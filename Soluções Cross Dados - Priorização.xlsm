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657" documentId="8_{503CD80B-8D70-4DAA-8919-4251F84D51DA}" xr6:coauthVersionLast="47" xr6:coauthVersionMax="47" xr10:uidLastSave="{B2345141-AC86-42EB-A048-82B9576469E4}"/>
  <bookViews>
    <workbookView xWindow="-108" yWindow="-108" windowWidth="23256" windowHeight="12456" firstSheet="5" activeTab="6" xr2:uid="{00000000-000D-0000-FFFF-FFFF00000000}"/>
  </bookViews>
  <sheets>
    <sheet name="Priorização - Reach" sheetId="3" r:id="rId1"/>
    <sheet name="Priorização - Impact" sheetId="2" r:id="rId2"/>
    <sheet name="Priorização - Confidence" sheetId="5" r:id="rId3"/>
    <sheet name="Priorização - Effort" sheetId="6" r:id="rId4"/>
    <sheet name="Priorização - Cost of Delay" sheetId="7" r:id="rId5"/>
    <sheet name="Priorização - OKR Alignment" sheetId="8" r:id="rId6"/>
    <sheet name="Priorização - Calculadora" sheetId="9" r:id="rId7"/>
  </sheets>
  <definedNames>
    <definedName name="_xleta.COLUMN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_xlpm.x" hidden="1" xlm="1">#NAME?</definedName>
    <definedName name="ListaConfidence">INDIRECT("tblConfidence[Valor]")</definedName>
    <definedName name="ListaEffort">INDIRECT("tblEffort[Nível de esforço de cada colaborador]")</definedName>
    <definedName name="ListaImpactEstrategico">INDIRECT("tblImpactEstrategico[Valor]")</definedName>
    <definedName name="ListaImpactFinanceiro">INDIRECT("tblImpactFinanceiro[Valor]")</definedName>
    <definedName name="ListaImpactTempo">INDIRECT("tblImpactTempo[Valor]")</definedName>
    <definedName name="ListaOKRAlignment">INDIRECT("tblOKRAlignment[Descrição]")</definedName>
    <definedName name="ListaReachFrequenciaUso">INDIRECT("tblReachFrequenciaUso[Valor]")</definedName>
    <definedName name="ListaReachQuemVaiUsar">INDIRECT("tblReachQuemVaiUsar[Valor]")</definedName>
    <definedName name="ListCostofDelay">INDIRECT("tblCostofDelay[Descrição]")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9" l="1"/>
  <c r="B8" i="9" s="1"/>
  <c r="S6" i="9"/>
  <c r="B7" i="9" s="1"/>
  <c r="Q6" i="9"/>
  <c r="B6" i="9" s="1"/>
  <c r="N6" i="9"/>
  <c r="B5" i="9" s="1"/>
  <c r="L6" i="9"/>
  <c r="B4" i="9" s="1"/>
  <c r="H6" i="9" a="1"/>
  <c r="H6" i="9" s="1"/>
  <c r="B3" i="9" s="1"/>
  <c r="V6" i="9" l="1"/>
  <c r="B9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<sst xmlns="http://schemas.openxmlformats.org/spreadsheetml/2006/main" count="183" uniqueCount="113">
  <si>
    <t>Diária</t>
  </si>
  <si>
    <t>Semanal</t>
  </si>
  <si>
    <t>Mensal</t>
  </si>
  <si>
    <t>Apenas pontual</t>
  </si>
  <si>
    <t>Peso</t>
  </si>
  <si>
    <t>Grupo</t>
  </si>
  <si>
    <t>📌 Pergunta 1.3 – Qual a frequência de uso esperada?</t>
  </si>
  <si>
    <t>-</t>
  </si>
  <si>
    <t>Sim, mais de R$500 mil/ano</t>
  </si>
  <si>
    <t>Sim, entre R$50 mil e R$500 mil/ano</t>
  </si>
  <si>
    <t>Sim, impacto estimado inferior a R$50 mil/ano</t>
  </si>
  <si>
    <t>Valor max de pessoas</t>
  </si>
  <si>
    <t>Valor min de pessoas</t>
  </si>
  <si>
    <t>📌 Pergunta 1.2 – Quantas pessoas devem acessar ou se beneficiar disso por mês?
📄 Campo numérico obrigatório</t>
  </si>
  <si>
    <t>📌 Pergunta 2.1.1 – Se “Sim” for marcado, aparece:
📝 Detalhe brevemente de onde vêm essas horas:
📄 Campo aberto (ex: “evita retrabalho na extração dos dados de eficiência dos ATMs”)</t>
  </si>
  <si>
    <t xml:space="preserve">Superintendência, diretorias (nível estratégico)	</t>
  </si>
  <si>
    <t>Sim – mais de 100 horas por mês</t>
  </si>
  <si>
    <t>Cargos de liderança (gerentes, coordenadores)</t>
  </si>
  <si>
    <t xml:space="preserve"> Sim – entre 10 e 100 horas por mês</t>
  </si>
  <si>
    <t>Sim – menos de 10 horas por mês</t>
  </si>
  <si>
    <t>Não há economia de tempo direta</t>
  </si>
  <si>
    <t>Só o time que está pedindo</t>
  </si>
  <si>
    <t>📌 Pergunta 1.1 – Quem vai usar essa solução ou dado?
📄 (marcar todas que se aplicam)</t>
  </si>
  <si>
    <t>🎯 Objetivo: capturar impacto em horas economizadas, valor financeiro estimado ou melhoria qualitativa.</t>
  </si>
  <si>
    <t>🎯 Objetivo: estimar com clareza quantas pessoas serão impactadas, e em que frequência.</t>
  </si>
  <si>
    <t>Seção 2 – Impacto</t>
  </si>
  <si>
    <t>Seção 1 – Reach (Alcance real)</t>
  </si>
  <si>
    <t>Reach</t>
  </si>
  <si>
    <t>Impact</t>
  </si>
  <si>
    <t>📌 Pergunta 1.2 – Quantas pessoas devem acessar ou se beneficiar disso por mês?</t>
  </si>
  <si>
    <t>Valor</t>
  </si>
  <si>
    <t>Justificativa</t>
  </si>
  <si>
    <t>Impacto localizado dentro de um único time</t>
  </si>
  <si>
    <t>Equipes de produto, operação ou governança (dados ou negócios)</t>
  </si>
  <si>
    <t>Aumenta o alcance</t>
  </si>
  <si>
    <t>Impacto mais estratégico e com poder decisório.</t>
  </si>
  <si>
    <t>Alto poder de disseminação, decisão e influência.</t>
  </si>
  <si>
    <t>📌 Pergunta 2.1 – Essa solução economiza tempo? Quanto?</t>
  </si>
  <si>
    <t>Não há impacto financeiro direto</t>
  </si>
  <si>
    <t>📌 Pergunta 2.2.1 – Se “Sim” for marcado, aparece:
📝 Explique o racional do valor estimado:
📄 Campo aberto (ex: “evita troca de equipamentos que custariam R$1MM por ano”)</t>
  </si>
  <si>
    <t>📌 Pergunta 2.3 – Essa solução tem potencial estratégico de reuso ou habilitação?
🎯 Objetivo: capturar o valor da iniciativa como alavanca para outras soluções, base comum entre produtos ou elemento de escalabilidade futura.</t>
  </si>
  <si>
    <t>📌 Pergunta 2.2 – Essa solução tem impacto financeiro direto ou indireto?</t>
  </si>
  <si>
    <t>É uma solução isolada ou específica demais, com baixo efeito em cadeia.</t>
  </si>
  <si>
    <t>Pode habilitar outros produtos ou soluções futuras</t>
  </si>
  <si>
    <t>É uma base (ex: API, dicionário de dados, spec) sobre a qual outras iniciativas poderão se apoiar, mas que ainda não são claras.</t>
  </si>
  <si>
    <t>Tem potencial de reuso em outros contextos similares ou jornadas com dependência já mapeada</t>
  </si>
  <si>
    <t>Pode ser reaproveitada por outros times, produtos ou jornadas com pequenas adaptações.</t>
  </si>
  <si>
    <t>📌 Pergunta 2.3 – Essa solução tem potencial estratégico de reuso ou habilitação?</t>
  </si>
  <si>
    <t>Não possui reuso relevante, nem habilita outras soluções</t>
  </si>
  <si>
    <t>Seção 3 – Confidence</t>
  </si>
  <si>
    <t>🎯 Objetivo: capturar o nível de confiança nas estimativas de Reach e Impact?</t>
  </si>
  <si>
    <t>📌 Pergunta 3.1 – Qual é o nosso nível de confiança nas estimativas de Reach e Impact?</t>
  </si>
  <si>
    <t>Certeza total (dados sólidos, experimentos validados)</t>
  </si>
  <si>
    <t>Alta confiança (benchmarks, entrevistas, analytics)</t>
  </si>
  <si>
    <t>Confiança média (hipóteses razoáveis, experiência prévia)</t>
  </si>
  <si>
    <t>Baixa confiança (ideias iniciais, sem evidências)</t>
  </si>
  <si>
    <t>Peso Percentual</t>
  </si>
  <si>
    <t>Confidence</t>
  </si>
  <si>
    <t>Seção 3 - Confidence</t>
  </si>
  <si>
    <t>Seção 4 - Effort</t>
  </si>
  <si>
    <t>🎯 Objetivo: Identificar quanto esforço (em pessoas) será necessário para entregar essa iniciativa?</t>
  </si>
  <si>
    <t>Esforço Numérico</t>
  </si>
  <si>
    <t>Muito baixo: &lt; 3 dias de uma pessoa</t>
  </si>
  <si>
    <t>Baixo: até 1 semana de uma pessoa</t>
  </si>
  <si>
    <t>Médio: até 1 sprint</t>
  </si>
  <si>
    <t>Alto: até 2 sprints</t>
  </si>
  <si>
    <t>Elevado: até 3 sprints</t>
  </si>
  <si>
    <t>Muito Elevado: até 4 sprints</t>
  </si>
  <si>
    <t>Nível de esforço de cada colaborador</t>
  </si>
  <si>
    <t>Seção 4 – Effort</t>
  </si>
  <si>
    <t>📌 Pergunta 4.2 – Quanto esforço (para cada colaborador) será necessário para entregar essa iniciativa?</t>
  </si>
  <si>
    <t>📌 Pergunta 4.1 – Quantos colaboradores serão necessários?</t>
  </si>
  <si>
    <t>Effort</t>
  </si>
  <si>
    <t>Seção 5 - Cost of Delay</t>
  </si>
  <si>
    <t>📌 Pergunta 5.1 – Qual o impacto de não priorizar agora essa iniciativa?</t>
  </si>
  <si>
    <t>Oportunidade, mas não urgente</t>
  </si>
  <si>
    <t>Descrição</t>
  </si>
  <si>
    <t>Baixo custo de não fazer. Pode esperar</t>
  </si>
  <si>
    <t>Referência mínima.</t>
  </si>
  <si>
    <t>Relevante, mas sem pressão imediata.</t>
  </si>
  <si>
    <t>Custo real de atraso (ineficiência, retrabalho)</t>
  </si>
  <si>
    <t>Perde-se eficiência se adiar.</t>
  </si>
  <si>
    <t>Impacto estratégico ou indireto relevante</t>
  </si>
  <si>
    <t>Traz efeitos em outras frentes ou produtos.</t>
  </si>
  <si>
    <t>Alto risco de perda de valor ou penalidade futura</t>
  </si>
  <si>
    <t>Atrasar pode causar perdas financeiras ou reputacionais.</t>
  </si>
  <si>
    <t>Urgência extrema (impacto regulatório, cliente ou receita direta)</t>
  </si>
  <si>
    <t>Máxima urgência, com risco real e imediato.</t>
  </si>
  <si>
    <t>Seção 5 – Cost of Delay</t>
  </si>
  <si>
    <t>🎯 Objetivo: Capturar o nível de confiança nas estimativas de Reach e Impact?</t>
  </si>
  <si>
    <t>🎯 Objetivo: Capturar o nível de urgência da iniciativa ser priorizada</t>
  </si>
  <si>
    <t>🎯 Objetivo: Capturar impacto em horas economizadas, valor financeiro estimado ou melhoria qualitativa.</t>
  </si>
  <si>
    <t>🎯 Objetivo: Estimar com clareza quantas pessoas serão impactadas, e em que frequência.</t>
  </si>
  <si>
    <t>Cost of Delay</t>
  </si>
  <si>
    <t>Seção 6 - OKR Alignment</t>
  </si>
  <si>
    <t>🎯 Objetivo: Identificar alinhamento estratégico</t>
  </si>
  <si>
    <t>📌 Pergunta 6.1 – Essa iniciativa está alinhada com algum OKR Estratégico da Comunidade?</t>
  </si>
  <si>
    <t>Não move OKR da comunidade</t>
  </si>
  <si>
    <t>Sem alinhamento direto.</t>
  </si>
  <si>
    <t>Está no Wave ou Book institucional, mas fora do OKR da comunidade</t>
  </si>
  <si>
    <t>Relevância institucional indireta.</t>
  </si>
  <si>
    <t>Move KR tático da comunidade</t>
  </si>
  <si>
    <t>Contribui para metas específicas, mas não críticas.</t>
  </si>
  <si>
    <t>Move OKR diretamente da comunidade</t>
  </si>
  <si>
    <t>Impacta diretamente os objetivos da comunidade.</t>
  </si>
  <si>
    <t>Move OKR crítico com apoio da diretoria estratégica</t>
  </si>
  <si>
    <t>Alinhamento total com prioridade institucional crítica e liderança engajada.</t>
  </si>
  <si>
    <t>Seção 6 – OKR Alignment</t>
  </si>
  <si>
    <t>OKR Alignment</t>
  </si>
  <si>
    <t>Score Final</t>
  </si>
  <si>
    <t>Resultado</t>
  </si>
  <si>
    <t>Formulário</t>
  </si>
  <si>
    <t>Fator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</si>
</sst>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62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" fillId="8" borderId="4" xfId="0" applyFont="1" applyFill="1" applyBorder="1" applyAlignment="1">
      <alignment horizontal="center" wrapText="1"/>
    </xf>
    <xf numFmtId="0" fontId="1" fillId="8" borderId="5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" fillId="8" borderId="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8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2" fillId="15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5" borderId="8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</cellXfs>
  <cellStyles count="1">
    <cellStyle name="Normal" xfId="0" builtinId="0"/>
  </cellStyles>
  <dxfs count="38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</font>
      <numFmt numFmtId="13" formatCode="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303B0F-D291-4011-804F-F3B2397CC517}" name="tblReachQuemVaiUsar" displayName="tblReachQuemVaiUsar" ref="A5:C9" totalsRowShown="0" headerRowDxfId="37" dataDxfId="36" tableBorderDxfId="35">
  <autoFilter ref="A5:C9" xr:uid="{3F303B0F-D291-4011-804F-F3B2397CC517}"/>
  <tableColumns count="3">
    <tableColumn id="1" xr3:uid="{8E4212E4-F79A-499B-9D2E-C8D6A14184C3}" name="Valor" dataDxfId="34"/>
    <tableColumn id="2" xr3:uid="{8809DD3B-D743-4C11-A196-E073D59DC332}" name="Peso" dataDxfId="33"/>
    <tableColumn id="3" xr3:uid="{185A2F93-A950-4C6B-BC7C-9A3A4B2235F1}" name="Justificativa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4E7CD6-B6B1-4F9D-B133-CBA14589F563}" name="tblReachQuantidadeUsuarios" displayName="tblReachQuantidadeUsuarios" ref="A13:C18" totalsRowShown="0" headerRowDxfId="31" tableBorderDxfId="30">
  <autoFilter ref="A13:C18" xr:uid="{734E7CD6-B6B1-4F9D-B133-CBA14589F563}"/>
  <tableColumns count="3">
    <tableColumn id="1" xr3:uid="{E99C9CD9-D39F-41D6-9341-9C55563CC115}" name="Valor min de pessoas"/>
    <tableColumn id="2" xr3:uid="{F6E19490-F2EC-42B2-B3F8-4610317D90C4}" name="Valor max de pessoas"/>
    <tableColumn id="3" xr3:uid="{5A850C38-FA4C-49CB-96CE-AE439BCA9328}" name="Peso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00371C-0358-4876-B3CB-D86D0AE2C209}" name="tblReachFrequenciaUso" displayName="tblReachFrequenciaUso" ref="A22:B26" totalsRowShown="0" dataDxfId="28">
  <autoFilter ref="A22:B26" xr:uid="{8900371C-0358-4876-B3CB-D86D0AE2C209}"/>
  <tableColumns count="2">
    <tableColumn id="1" xr3:uid="{18F59E43-9E3A-42D4-A226-0A34F54E63EA}" name="Valor" dataDxfId="27"/>
    <tableColumn id="2" xr3:uid="{FD227AD1-47A5-48F1-861A-B8490F357FDE}" name="Peso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972E4F-0E54-4896-B3AA-AD74D30CE6EB}" name="tblImpactTempo" displayName="tblImpactTempo" ref="A5:B9" totalsRowShown="0">
  <autoFilter ref="A5:B9" xr:uid="{42972E4F-0E54-4896-B3AA-AD74D30CE6EB}"/>
  <tableColumns count="2">
    <tableColumn id="1" xr3:uid="{29423CFE-6D06-4B57-B74A-FFCBBB728374}" name="Valor" dataDxfId="25"/>
    <tableColumn id="2" xr3:uid="{FA97AEA2-C78A-41C5-B74F-BCAFF0C542A2}" name="Peso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280CB9-3237-4875-92CF-14A190F979F6}" name="tblImpactFinanceiro" displayName="tblImpactFinanceiro" ref="A15:B19" totalsRowShown="0" dataDxfId="23">
  <autoFilter ref="A15:B19" xr:uid="{62280CB9-3237-4875-92CF-14A190F979F6}"/>
  <tableColumns count="2">
    <tableColumn id="1" xr3:uid="{54EBACDD-69D4-4E26-AAAE-428A53AC6C0B}" name="Valor" dataDxfId="22"/>
    <tableColumn id="2" xr3:uid="{1B4517F4-1865-453C-B903-1F97F17427F4}" name="Peso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455F55-6737-48E4-AA0D-A8CE3DF2D189}" name="tblImpactEstrategico" displayName="tblImpactEstrategico" ref="A26:C29" totalsRowShown="0" headerRowDxfId="18">
  <autoFilter ref="A26:C29" xr:uid="{C1455F55-6737-48E4-AA0D-A8CE3DF2D189}"/>
  <tableColumns count="3">
    <tableColumn id="1" xr3:uid="{7229D7BD-8566-4239-92C3-42C3B2901595}" name="Valor" dataDxfId="20"/>
    <tableColumn id="2" xr3:uid="{CADD8A86-4614-4CCF-BB1A-F5B06CE96AC3}" name="Peso" dataDxfId="19"/>
    <tableColumn id="3" xr3:uid="{54687285-D820-4745-BEDD-E88040DCA802}" name="Justificativ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16429-531C-4C6A-96E0-16849CD52DD9}" name="tblConfidence" displayName="tblConfidence" ref="A5:B9" totalsRowShown="0" headerRowDxfId="15" dataDxfId="14">
  <autoFilter ref="A5:B9" xr:uid="{42972E4F-0E54-4896-B3AA-AD74D30CE6EB}"/>
  <tableColumns count="2">
    <tableColumn id="1" xr3:uid="{74C26E81-CD32-4F45-8701-FAA8234C2CBF}" name="Valor" dataDxfId="17"/>
    <tableColumn id="2" xr3:uid="{3755CE6D-BD57-40B1-99B2-848738B9683C}" name="Peso Percentual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7F488-3C17-4EA7-9502-089A3E88B733}" name="tblEffort" displayName="tblEffort" ref="A7:B13" totalsRowShown="0" headerRowDxfId="13" dataDxfId="12">
  <autoFilter ref="A7:B13" xr:uid="{0247F488-3C17-4EA7-9502-089A3E88B733}"/>
  <tableColumns count="2">
    <tableColumn id="1" xr3:uid="{20ADF631-20F8-485B-9BF6-67AC2B119D17}" name="Nível de esforço de cada colaborador" dataDxfId="11"/>
    <tableColumn id="2" xr3:uid="{C815A194-8113-431A-9848-D64E2D517EA1}" name="Esforço Numérico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BFE63AB-1A28-48FA-BD4E-31E625E3BA21}" name="tblCostofDelay" displayName="tblCostofDelay" ref="A5:C11" totalsRowShown="0" headerRowDxfId="6" dataDxfId="5">
  <autoFilter ref="A5:C11" xr:uid="{42972E4F-0E54-4896-B3AA-AD74D30CE6EB}"/>
  <tableColumns count="3">
    <tableColumn id="1" xr3:uid="{BABFF187-15B9-476E-816B-BAEB84F639AE}" name="Descrição" dataDxfId="9"/>
    <tableColumn id="5" xr3:uid="{1007FD42-D47D-46CB-884A-E2905DB3F9C5}" name="Peso" dataDxfId="8"/>
    <tableColumn id="6" xr3:uid="{52DDD254-17BE-4380-B0A3-1C3860976118}" name="Justificativa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CFC29EF-F7F8-44CD-A635-2B2F1B9914F7}" name="tblOKRAlignment" displayName="tblOKRAlignment" ref="A5:C10" totalsRowShown="0" headerRowDxfId="1" dataDxfId="0">
  <autoFilter ref="A5:C10" xr:uid="{42972E4F-0E54-4896-B3AA-AD74D30CE6EB}"/>
  <tableColumns count="3">
    <tableColumn id="1" xr3:uid="{C0E508DF-E19F-4981-BA80-04ECE2A72CB6}" name="Descrição" dataDxfId="4"/>
    <tableColumn id="6" xr3:uid="{89F47553-26D1-47F6-A353-92F075B4AF91}" name="Peso" dataDxfId="3"/>
    <tableColumn id="7" xr3:uid="{1B0CE91E-68AE-45B8-8899-A30B703F1718}" name="Justificativa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D5EE-CC4F-4D4D-851A-558E5D4A9AC7}">
  <sheetPr codeName="Planilha21"/>
  <dimension ref="A1:D26"/>
  <sheetViews>
    <sheetView topLeftCell="A14" workbookViewId="0">
      <selection sqref="A1:C26"/>
    </sheetView>
  </sheetViews>
  <sheetFormatPr defaultRowHeight="14.4" x14ac:dyDescent="0.3"/>
  <cols>
    <col min="1" max="1" width="94.44140625" style="1" customWidth="1"/>
    <col min="2" max="2" width="20.88671875" style="1" customWidth="1"/>
    <col min="3" max="3" width="41.44140625" style="1" bestFit="1" customWidth="1"/>
    <col min="4" max="4" width="8.88671875" style="1"/>
  </cols>
  <sheetData>
    <row r="1" spans="1:4" ht="18" x14ac:dyDescent="0.35">
      <c r="A1" s="31" t="s">
        <v>26</v>
      </c>
      <c r="B1" s="31"/>
      <c r="C1" s="31"/>
      <c r="D1" s="9"/>
    </row>
    <row r="2" spans="1:4" ht="15" customHeight="1" x14ac:dyDescent="0.3">
      <c r="A2" s="32" t="s">
        <v>92</v>
      </c>
      <c r="B2" s="32"/>
      <c r="C2" s="32"/>
      <c r="D2" s="8"/>
    </row>
    <row r="3" spans="1:4" ht="40.049999999999997" customHeight="1" x14ac:dyDescent="0.3">
      <c r="A3" s="30" t="s">
        <v>22</v>
      </c>
      <c r="B3" s="30"/>
      <c r="C3" s="30"/>
      <c r="D3" s="3"/>
    </row>
    <row r="4" spans="1:4" hidden="1" x14ac:dyDescent="0.3">
      <c r="A4" s="13" t="s">
        <v>5</v>
      </c>
      <c r="B4" s="14" t="s">
        <v>4</v>
      </c>
      <c r="C4" s="21" t="s">
        <v>31</v>
      </c>
      <c r="D4" s="2"/>
    </row>
    <row r="5" spans="1:4" x14ac:dyDescent="0.3">
      <c r="A5" s="7" t="s">
        <v>30</v>
      </c>
      <c r="B5" s="6" t="s">
        <v>4</v>
      </c>
      <c r="C5" s="6" t="s">
        <v>31</v>
      </c>
      <c r="D5" s="2"/>
    </row>
    <row r="6" spans="1:4" x14ac:dyDescent="0.3">
      <c r="A6" s="22" t="s">
        <v>21</v>
      </c>
      <c r="B6" s="23">
        <v>1</v>
      </c>
      <c r="C6" s="5" t="s">
        <v>32</v>
      </c>
    </row>
    <row r="7" spans="1:4" x14ac:dyDescent="0.3">
      <c r="A7" s="22" t="s">
        <v>33</v>
      </c>
      <c r="B7" s="23">
        <v>1.5</v>
      </c>
      <c r="C7" s="5" t="s">
        <v>34</v>
      </c>
    </row>
    <row r="8" spans="1:4" x14ac:dyDescent="0.3">
      <c r="A8" s="24" t="s">
        <v>17</v>
      </c>
      <c r="B8" s="25">
        <v>3</v>
      </c>
      <c r="C8" s="5" t="s">
        <v>35</v>
      </c>
    </row>
    <row r="9" spans="1:4" ht="28.8" x14ac:dyDescent="0.3">
      <c r="A9" s="22" t="s">
        <v>15</v>
      </c>
      <c r="B9" s="23">
        <v>5</v>
      </c>
      <c r="C9" s="26" t="s">
        <v>36</v>
      </c>
    </row>
    <row r="10" spans="1:4" ht="20.399999999999999" customHeight="1" x14ac:dyDescent="0.3">
      <c r="A10" s="4"/>
    </row>
    <row r="11" spans="1:4" ht="40.049999999999997" customHeight="1" x14ac:dyDescent="0.3">
      <c r="A11" s="30" t="s">
        <v>13</v>
      </c>
      <c r="B11" s="30"/>
      <c r="C11" s="30"/>
      <c r="D11" s="3"/>
    </row>
    <row r="12" spans="1:4" ht="27" hidden="1" customHeight="1" x14ac:dyDescent="0.3">
      <c r="A12" s="18" t="s">
        <v>5</v>
      </c>
      <c r="B12" s="19" t="s">
        <v>7</v>
      </c>
      <c r="C12" s="20" t="s">
        <v>4</v>
      </c>
      <c r="D12" s="3"/>
    </row>
    <row r="13" spans="1:4" ht="21.6" customHeight="1" x14ac:dyDescent="0.3">
      <c r="A13" s="7" t="s">
        <v>12</v>
      </c>
      <c r="B13" s="7" t="s">
        <v>11</v>
      </c>
      <c r="C13" s="6" t="s">
        <v>4</v>
      </c>
      <c r="D13" s="3"/>
    </row>
    <row r="14" spans="1:4" x14ac:dyDescent="0.3">
      <c r="A14" s="16">
        <v>0</v>
      </c>
      <c r="B14" s="16">
        <v>10</v>
      </c>
      <c r="C14" s="16">
        <v>1</v>
      </c>
      <c r="D14" s="3"/>
    </row>
    <row r="15" spans="1:4" x14ac:dyDescent="0.3">
      <c r="A15" s="17">
        <v>10</v>
      </c>
      <c r="B15" s="17">
        <v>30</v>
      </c>
      <c r="C15" s="17">
        <v>2</v>
      </c>
      <c r="D15" s="3"/>
    </row>
    <row r="16" spans="1:4" x14ac:dyDescent="0.3">
      <c r="A16" s="16">
        <v>30</v>
      </c>
      <c r="B16" s="16">
        <v>60</v>
      </c>
      <c r="C16" s="16">
        <v>3</v>
      </c>
      <c r="D16" s="3"/>
    </row>
    <row r="17" spans="1:4" x14ac:dyDescent="0.3">
      <c r="A17" s="17">
        <v>60</v>
      </c>
      <c r="B17" s="17">
        <v>100</v>
      </c>
      <c r="C17" s="17">
        <v>5</v>
      </c>
      <c r="D17" s="3"/>
    </row>
    <row r="18" spans="1:4" ht="14.4" customHeight="1" x14ac:dyDescent="0.3">
      <c r="A18" s="15">
        <v>100</v>
      </c>
      <c r="B18" s="15" t="s">
        <v>7</v>
      </c>
      <c r="C18" s="16">
        <v>8</v>
      </c>
    </row>
    <row r="19" spans="1:4" x14ac:dyDescent="0.3">
      <c r="A19" s="3"/>
      <c r="B19" s="3"/>
    </row>
    <row r="20" spans="1:4" ht="30" customHeight="1" x14ac:dyDescent="0.3">
      <c r="A20" s="28" t="s">
        <v>6</v>
      </c>
      <c r="B20" s="29"/>
      <c r="C20" s="29"/>
      <c r="D20" s="3"/>
    </row>
    <row r="21" spans="1:4" hidden="1" x14ac:dyDescent="0.3">
      <c r="A21" s="10" t="s">
        <v>5</v>
      </c>
      <c r="B21" s="2" t="s">
        <v>4</v>
      </c>
      <c r="D21" s="2"/>
    </row>
    <row r="22" spans="1:4" x14ac:dyDescent="0.3">
      <c r="A22" s="3" t="s">
        <v>30</v>
      </c>
      <c r="B22" s="2" t="s">
        <v>4</v>
      </c>
      <c r="C22" s="2"/>
      <c r="D22" s="2"/>
    </row>
    <row r="23" spans="1:4" x14ac:dyDescent="0.3">
      <c r="A23" s="1" t="s">
        <v>3</v>
      </c>
      <c r="B23" s="1">
        <v>0.5</v>
      </c>
    </row>
    <row r="24" spans="1:4" x14ac:dyDescent="0.3">
      <c r="A24" s="1" t="s">
        <v>2</v>
      </c>
      <c r="B24" s="1">
        <v>1</v>
      </c>
    </row>
    <row r="25" spans="1:4" x14ac:dyDescent="0.3">
      <c r="A25" s="1" t="s">
        <v>1</v>
      </c>
      <c r="B25" s="1">
        <v>2</v>
      </c>
    </row>
    <row r="26" spans="1:4" x14ac:dyDescent="0.3">
      <c r="A26" s="1" t="s">
        <v>0</v>
      </c>
      <c r="B26" s="1">
        <v>5</v>
      </c>
    </row>
  </sheetData>
  <mergeCells count="5">
    <mergeCell ref="A20:C20"/>
    <mergeCell ref="A11:C11"/>
    <mergeCell ref="A1:C1"/>
    <mergeCell ref="A2:C2"/>
    <mergeCell ref="A3:C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47E55-CEB9-4BC4-A757-41A07D4DD4A6}">
  <sheetPr codeName="Planilha20"/>
  <dimension ref="A1:C29"/>
  <sheetViews>
    <sheetView topLeftCell="A13" zoomScaleNormal="100" workbookViewId="0">
      <selection sqref="A1:C29"/>
    </sheetView>
  </sheetViews>
  <sheetFormatPr defaultRowHeight="14.4" x14ac:dyDescent="0.3"/>
  <cols>
    <col min="1" max="1" width="94.44140625" style="1" customWidth="1"/>
    <col min="2" max="2" width="8.88671875" style="1"/>
    <col min="3" max="3" width="61.6640625" bestFit="1" customWidth="1"/>
  </cols>
  <sheetData>
    <row r="1" spans="1:3" ht="18" x14ac:dyDescent="0.3">
      <c r="A1" s="31" t="s">
        <v>25</v>
      </c>
      <c r="B1" s="31"/>
      <c r="C1" s="31"/>
    </row>
    <row r="2" spans="1:3" ht="15" customHeight="1" x14ac:dyDescent="0.3">
      <c r="A2" s="32" t="s">
        <v>91</v>
      </c>
      <c r="B2" s="32"/>
      <c r="C2" s="32"/>
    </row>
    <row r="3" spans="1:3" ht="30" customHeight="1" x14ac:dyDescent="0.3">
      <c r="A3" s="30" t="s">
        <v>37</v>
      </c>
      <c r="B3" s="30"/>
    </row>
    <row r="4" spans="1:3" hidden="1" x14ac:dyDescent="0.3">
      <c r="A4" s="3" t="s">
        <v>5</v>
      </c>
      <c r="B4" s="2" t="s">
        <v>4</v>
      </c>
    </row>
    <row r="5" spans="1:3" x14ac:dyDescent="0.3">
      <c r="A5" s="3" t="s">
        <v>30</v>
      </c>
      <c r="B5" s="2" t="s">
        <v>4</v>
      </c>
    </row>
    <row r="6" spans="1:3" x14ac:dyDescent="0.3">
      <c r="A6" s="4" t="s">
        <v>20</v>
      </c>
      <c r="B6" s="1">
        <v>1</v>
      </c>
    </row>
    <row r="7" spans="1:3" x14ac:dyDescent="0.3">
      <c r="A7" s="4" t="s">
        <v>19</v>
      </c>
      <c r="B7" s="1">
        <v>3</v>
      </c>
    </row>
    <row r="8" spans="1:3" x14ac:dyDescent="0.3">
      <c r="A8" s="4" t="s">
        <v>18</v>
      </c>
      <c r="B8" s="1">
        <v>5</v>
      </c>
    </row>
    <row r="9" spans="1:3" x14ac:dyDescent="0.3">
      <c r="A9" s="4" t="s">
        <v>16</v>
      </c>
      <c r="B9" s="1">
        <v>8</v>
      </c>
    </row>
    <row r="11" spans="1:3" ht="43.2" customHeight="1" x14ac:dyDescent="0.3">
      <c r="A11" s="33" t="s">
        <v>14</v>
      </c>
      <c r="B11" s="33"/>
    </row>
    <row r="12" spans="1:3" x14ac:dyDescent="0.3">
      <c r="A12" s="3"/>
    </row>
    <row r="13" spans="1:3" ht="30" customHeight="1" x14ac:dyDescent="0.3">
      <c r="A13" s="30" t="s">
        <v>41</v>
      </c>
      <c r="B13" s="30"/>
    </row>
    <row r="14" spans="1:3" ht="10.199999999999999" hidden="1" customHeight="1" x14ac:dyDescent="0.3">
      <c r="A14" s="7" t="s">
        <v>5</v>
      </c>
      <c r="B14" s="6" t="s">
        <v>4</v>
      </c>
    </row>
    <row r="15" spans="1:3" ht="21.6" customHeight="1" x14ac:dyDescent="0.3">
      <c r="A15" s="7" t="s">
        <v>30</v>
      </c>
      <c r="B15" s="6" t="s">
        <v>4</v>
      </c>
    </row>
    <row r="16" spans="1:3" x14ac:dyDescent="0.3">
      <c r="A16" s="5" t="s">
        <v>38</v>
      </c>
      <c r="B16" s="5">
        <v>1</v>
      </c>
    </row>
    <row r="17" spans="1:3" x14ac:dyDescent="0.3">
      <c r="A17" s="5" t="s">
        <v>10</v>
      </c>
      <c r="B17" s="5">
        <v>3</v>
      </c>
    </row>
    <row r="18" spans="1:3" x14ac:dyDescent="0.3">
      <c r="A18" s="5" t="s">
        <v>9</v>
      </c>
      <c r="B18" s="5">
        <v>5</v>
      </c>
    </row>
    <row r="19" spans="1:3" x14ac:dyDescent="0.3">
      <c r="A19" s="5" t="s">
        <v>8</v>
      </c>
      <c r="B19" s="5">
        <v>8</v>
      </c>
    </row>
    <row r="20" spans="1:3" ht="14.4" customHeight="1" x14ac:dyDescent="0.3"/>
    <row r="21" spans="1:3" s="27" customFormat="1" ht="49.8" customHeight="1" x14ac:dyDescent="0.3">
      <c r="A21" s="33" t="s">
        <v>39</v>
      </c>
      <c r="B21" s="33"/>
    </row>
    <row r="24" spans="1:3" ht="40.049999999999997" customHeight="1" x14ac:dyDescent="0.3">
      <c r="A24" s="30" t="s">
        <v>40</v>
      </c>
      <c r="B24" s="30"/>
      <c r="C24" s="30"/>
    </row>
    <row r="25" spans="1:3" hidden="1" x14ac:dyDescent="0.3">
      <c r="A25" s="1" t="s">
        <v>5</v>
      </c>
      <c r="B25" s="1" t="s">
        <v>4</v>
      </c>
      <c r="C25" t="s">
        <v>31</v>
      </c>
    </row>
    <row r="26" spans="1:3" x14ac:dyDescent="0.3">
      <c r="A26" s="5" t="s">
        <v>30</v>
      </c>
      <c r="B26" s="5" t="s">
        <v>4</v>
      </c>
      <c r="C26" s="5" t="s">
        <v>31</v>
      </c>
    </row>
    <row r="27" spans="1:3" x14ac:dyDescent="0.3">
      <c r="A27" s="5" t="s">
        <v>48</v>
      </c>
      <c r="B27" s="5">
        <v>1</v>
      </c>
      <c r="C27" s="5" t="s">
        <v>42</v>
      </c>
    </row>
    <row r="28" spans="1:3" ht="28.8" x14ac:dyDescent="0.3">
      <c r="A28" s="5" t="s">
        <v>43</v>
      </c>
      <c r="B28" s="5">
        <v>3</v>
      </c>
      <c r="C28" s="26" t="s">
        <v>44</v>
      </c>
    </row>
    <row r="29" spans="1:3" ht="28.8" x14ac:dyDescent="0.3">
      <c r="A29" s="5" t="s">
        <v>45</v>
      </c>
      <c r="B29" s="5">
        <v>5</v>
      </c>
      <c r="C29" s="26" t="s">
        <v>46</v>
      </c>
    </row>
  </sheetData>
  <mergeCells count="7">
    <mergeCell ref="A24:C24"/>
    <mergeCell ref="A1:C1"/>
    <mergeCell ref="A2:C2"/>
    <mergeCell ref="A3:B3"/>
    <mergeCell ref="A11:B11"/>
    <mergeCell ref="A21:B21"/>
    <mergeCell ref="A13:B13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2212-AD2F-47E1-8D39-E6895C6C8348}">
  <sheetPr codeName="Planilha22"/>
  <dimension ref="A1:B9"/>
  <sheetViews>
    <sheetView zoomScaleNormal="100" workbookViewId="0">
      <selection sqref="A1:B9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31" t="s">
        <v>58</v>
      </c>
      <c r="B1" s="31"/>
    </row>
    <row r="2" spans="1:2" ht="15" customHeight="1" x14ac:dyDescent="0.3">
      <c r="A2" s="32" t="s">
        <v>89</v>
      </c>
      <c r="B2" s="32"/>
    </row>
    <row r="3" spans="1:2" ht="30" customHeight="1" x14ac:dyDescent="0.3">
      <c r="A3" s="30" t="s">
        <v>51</v>
      </c>
      <c r="B3" s="30"/>
    </row>
    <row r="4" spans="1:2" hidden="1" x14ac:dyDescent="0.3">
      <c r="A4" s="3" t="s">
        <v>5</v>
      </c>
      <c r="B4" s="2" t="s">
        <v>4</v>
      </c>
    </row>
    <row r="5" spans="1:2" x14ac:dyDescent="0.3">
      <c r="A5" s="3" t="s">
        <v>30</v>
      </c>
      <c r="B5" s="2" t="s">
        <v>56</v>
      </c>
    </row>
    <row r="6" spans="1:2" x14ac:dyDescent="0.3">
      <c r="A6" s="26" t="s">
        <v>52</v>
      </c>
      <c r="B6" s="36">
        <v>1</v>
      </c>
    </row>
    <row r="7" spans="1:2" x14ac:dyDescent="0.3">
      <c r="A7" s="26" t="s">
        <v>53</v>
      </c>
      <c r="B7" s="36">
        <v>0.8</v>
      </c>
    </row>
    <row r="8" spans="1:2" x14ac:dyDescent="0.3">
      <c r="A8" s="26" t="s">
        <v>54</v>
      </c>
      <c r="B8" s="36">
        <v>0.5</v>
      </c>
    </row>
    <row r="9" spans="1:2" x14ac:dyDescent="0.3">
      <c r="A9" s="26" t="s">
        <v>55</v>
      </c>
      <c r="B9" s="36">
        <v>0.3</v>
      </c>
    </row>
  </sheetData>
  <mergeCells count="3">
    <mergeCell ref="A1:B1"/>
    <mergeCell ref="A2:B2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AEFB0-189A-4085-810E-CBC07B1FE728}">
  <sheetPr codeName="Planilha23"/>
  <dimension ref="A1:B13"/>
  <sheetViews>
    <sheetView zoomScaleNormal="100" workbookViewId="0">
      <selection sqref="A1:B13"/>
    </sheetView>
  </sheetViews>
  <sheetFormatPr defaultRowHeight="14.4" x14ac:dyDescent="0.3"/>
  <cols>
    <col min="1" max="1" width="94.44140625" style="1" customWidth="1"/>
    <col min="2" max="2" width="19" style="1" bestFit="1" customWidth="1"/>
  </cols>
  <sheetData>
    <row r="1" spans="1:2" ht="18" x14ac:dyDescent="0.3">
      <c r="A1" s="31" t="s">
        <v>59</v>
      </c>
      <c r="B1" s="31"/>
    </row>
    <row r="2" spans="1:2" ht="15" customHeight="1" x14ac:dyDescent="0.3">
      <c r="A2" s="32" t="s">
        <v>60</v>
      </c>
      <c r="B2" s="32"/>
    </row>
    <row r="3" spans="1:2" ht="15" customHeight="1" x14ac:dyDescent="0.3">
      <c r="A3" s="30" t="s">
        <v>71</v>
      </c>
      <c r="B3" s="30"/>
    </row>
    <row r="5" spans="1:2" x14ac:dyDescent="0.3">
      <c r="A5" s="30" t="s">
        <v>70</v>
      </c>
      <c r="B5" s="30"/>
    </row>
    <row r="6" spans="1:2" hidden="1" x14ac:dyDescent="0.3">
      <c r="A6" s="3" t="s">
        <v>5</v>
      </c>
      <c r="B6" s="2" t="s">
        <v>4</v>
      </c>
    </row>
    <row r="7" spans="1:2" x14ac:dyDescent="0.3">
      <c r="A7" s="7" t="s">
        <v>68</v>
      </c>
      <c r="B7" s="7" t="s">
        <v>61</v>
      </c>
    </row>
    <row r="8" spans="1:2" x14ac:dyDescent="0.3">
      <c r="A8" s="26" t="s">
        <v>62</v>
      </c>
      <c r="B8" s="26">
        <v>0.5</v>
      </c>
    </row>
    <row r="9" spans="1:2" x14ac:dyDescent="0.3">
      <c r="A9" s="26" t="s">
        <v>63</v>
      </c>
      <c r="B9" s="26">
        <v>1</v>
      </c>
    </row>
    <row r="10" spans="1:2" x14ac:dyDescent="0.3">
      <c r="A10" s="26" t="s">
        <v>64</v>
      </c>
      <c r="B10" s="26">
        <v>2</v>
      </c>
    </row>
    <row r="11" spans="1:2" x14ac:dyDescent="0.3">
      <c r="A11" s="26" t="s">
        <v>65</v>
      </c>
      <c r="B11" s="26">
        <v>4</v>
      </c>
    </row>
    <row r="12" spans="1:2" x14ac:dyDescent="0.3">
      <c r="A12" s="26" t="s">
        <v>66</v>
      </c>
      <c r="B12" s="26">
        <v>6</v>
      </c>
    </row>
    <row r="13" spans="1:2" x14ac:dyDescent="0.3">
      <c r="A13" s="26" t="s">
        <v>67</v>
      </c>
      <c r="B13" s="26">
        <v>8</v>
      </c>
    </row>
  </sheetData>
  <mergeCells count="4">
    <mergeCell ref="A1:B1"/>
    <mergeCell ref="A2:B2"/>
    <mergeCell ref="A5:B5"/>
    <mergeCell ref="A3:B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114E-7418-4E1D-8EEE-BDF9BCE45897}">
  <sheetPr codeName="Planilha24"/>
  <dimension ref="A1:D11"/>
  <sheetViews>
    <sheetView zoomScaleNormal="100" workbookViewId="0">
      <selection sqref="A1:C11"/>
    </sheetView>
  </sheetViews>
  <sheetFormatPr defaultRowHeight="14.4" x14ac:dyDescent="0.3"/>
  <cols>
    <col min="1" max="2" width="43.5546875" style="5" customWidth="1"/>
    <col min="3" max="3" width="45.5546875" style="5" customWidth="1"/>
  </cols>
  <sheetData>
    <row r="1" spans="1:4" ht="18" x14ac:dyDescent="0.3">
      <c r="A1" s="31" t="s">
        <v>73</v>
      </c>
      <c r="B1" s="31"/>
      <c r="C1" s="31"/>
    </row>
    <row r="2" spans="1:4" ht="15" customHeight="1" x14ac:dyDescent="0.3">
      <c r="A2" s="32" t="s">
        <v>90</v>
      </c>
      <c r="B2" s="32"/>
      <c r="C2" s="32"/>
    </row>
    <row r="3" spans="1:4" ht="30" customHeight="1" x14ac:dyDescent="0.3">
      <c r="A3" s="30" t="s">
        <v>74</v>
      </c>
      <c r="B3" s="30"/>
      <c r="C3" s="30"/>
    </row>
    <row r="4" spans="1:4" hidden="1" x14ac:dyDescent="0.3">
      <c r="A4" s="7" t="s">
        <v>5</v>
      </c>
      <c r="B4" s="5" t="s">
        <v>4</v>
      </c>
      <c r="C4" s="5" t="s">
        <v>31</v>
      </c>
    </row>
    <row r="5" spans="1:4" x14ac:dyDescent="0.3">
      <c r="A5" s="7" t="s">
        <v>76</v>
      </c>
      <c r="B5" s="7" t="s">
        <v>4</v>
      </c>
      <c r="C5" s="7" t="s">
        <v>31</v>
      </c>
      <c r="D5" s="39"/>
    </row>
    <row r="6" spans="1:4" x14ac:dyDescent="0.3">
      <c r="A6" s="7" t="s">
        <v>77</v>
      </c>
      <c r="B6" s="7">
        <v>1</v>
      </c>
      <c r="C6" s="26" t="s">
        <v>78</v>
      </c>
      <c r="D6" s="39"/>
    </row>
    <row r="7" spans="1:4" x14ac:dyDescent="0.3">
      <c r="A7" s="7" t="s">
        <v>75</v>
      </c>
      <c r="B7" s="7">
        <v>2</v>
      </c>
      <c r="C7" s="26" t="s">
        <v>79</v>
      </c>
      <c r="D7" s="39"/>
    </row>
    <row r="8" spans="1:4" x14ac:dyDescent="0.3">
      <c r="A8" s="7" t="s">
        <v>80</v>
      </c>
      <c r="B8" s="7">
        <v>3</v>
      </c>
      <c r="C8" s="26" t="s">
        <v>81</v>
      </c>
      <c r="D8" s="39"/>
    </row>
    <row r="9" spans="1:4" x14ac:dyDescent="0.3">
      <c r="A9" s="7" t="s">
        <v>82</v>
      </c>
      <c r="B9" s="7">
        <v>5</v>
      </c>
      <c r="C9" s="26" t="s">
        <v>83</v>
      </c>
      <c r="D9" s="39"/>
    </row>
    <row r="10" spans="1:4" ht="28.8" x14ac:dyDescent="0.3">
      <c r="A10" s="7" t="s">
        <v>84</v>
      </c>
      <c r="B10" s="7">
        <v>8</v>
      </c>
      <c r="C10" s="26" t="s">
        <v>85</v>
      </c>
    </row>
    <row r="11" spans="1:4" ht="28.8" x14ac:dyDescent="0.3">
      <c r="A11" s="7" t="s">
        <v>86</v>
      </c>
      <c r="B11" s="7">
        <v>13</v>
      </c>
      <c r="C11" s="26" t="s">
        <v>87</v>
      </c>
    </row>
  </sheetData>
  <mergeCells count="3">
    <mergeCell ref="A1:C1"/>
    <mergeCell ref="A2:C2"/>
    <mergeCell ref="A3:C3"/>
  </mergeCells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68DFF-F4D9-4908-BCCB-CBF1AD735289}">
  <sheetPr codeName="Planilha25"/>
  <dimension ref="A1:C10"/>
  <sheetViews>
    <sheetView zoomScaleNormal="100" workbookViewId="0">
      <selection sqref="A1:C1"/>
    </sheetView>
  </sheetViews>
  <sheetFormatPr defaultRowHeight="14.4" x14ac:dyDescent="0.3"/>
  <cols>
    <col min="1" max="3" width="44" style="5" customWidth="1"/>
  </cols>
  <sheetData>
    <row r="1" spans="1:3" ht="18" x14ac:dyDescent="0.3">
      <c r="A1" s="31" t="s">
        <v>94</v>
      </c>
      <c r="B1" s="31"/>
      <c r="C1" s="31"/>
    </row>
    <row r="2" spans="1:3" ht="15" customHeight="1" x14ac:dyDescent="0.3">
      <c r="A2" s="32" t="s">
        <v>95</v>
      </c>
      <c r="B2" s="32"/>
      <c r="C2" s="32"/>
    </row>
    <row r="3" spans="1:3" ht="30" customHeight="1" x14ac:dyDescent="0.3">
      <c r="A3" s="30" t="s">
        <v>96</v>
      </c>
      <c r="B3" s="30"/>
      <c r="C3" s="30"/>
    </row>
    <row r="4" spans="1:3" hidden="1" x14ac:dyDescent="0.3">
      <c r="A4" s="7" t="s">
        <v>5</v>
      </c>
      <c r="B4" s="5" t="s">
        <v>31</v>
      </c>
    </row>
    <row r="5" spans="1:3" x14ac:dyDescent="0.3">
      <c r="A5" s="7" t="s">
        <v>76</v>
      </c>
      <c r="B5" s="7" t="s">
        <v>4</v>
      </c>
      <c r="C5" s="7" t="s">
        <v>31</v>
      </c>
    </row>
    <row r="6" spans="1:3" x14ac:dyDescent="0.3">
      <c r="A6" s="7" t="s">
        <v>97</v>
      </c>
      <c r="B6" s="7">
        <v>1</v>
      </c>
      <c r="C6" s="26" t="s">
        <v>98</v>
      </c>
    </row>
    <row r="7" spans="1:3" ht="28.8" x14ac:dyDescent="0.3">
      <c r="A7" s="7" t="s">
        <v>99</v>
      </c>
      <c r="B7" s="7">
        <v>2</v>
      </c>
      <c r="C7" s="26" t="s">
        <v>100</v>
      </c>
    </row>
    <row r="8" spans="1:3" x14ac:dyDescent="0.3">
      <c r="A8" s="7" t="s">
        <v>101</v>
      </c>
      <c r="B8" s="7">
        <v>3</v>
      </c>
      <c r="C8" s="26" t="s">
        <v>102</v>
      </c>
    </row>
    <row r="9" spans="1:3" x14ac:dyDescent="0.3">
      <c r="A9" s="7" t="s">
        <v>103</v>
      </c>
      <c r="B9" s="7">
        <v>5</v>
      </c>
      <c r="C9" s="26" t="s">
        <v>104</v>
      </c>
    </row>
    <row r="10" spans="1:3" ht="28.8" x14ac:dyDescent="0.3">
      <c r="A10" s="7" t="s">
        <v>105</v>
      </c>
      <c r="B10" s="7">
        <v>8</v>
      </c>
      <c r="C10" s="26" t="s">
        <v>106</v>
      </c>
    </row>
  </sheetData>
  <mergeCells count="3">
    <mergeCell ref="A1:C1"/>
    <mergeCell ref="A3:C3"/>
    <mergeCell ref="A2:C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6EFEC-F050-4440-AB28-2EAC47A5D3B9}">
  <sheetPr codeName="Planilha26"/>
  <dimension ref="A1:V9"/>
  <sheetViews>
    <sheetView showGridLines="0" tabSelected="1" workbookViewId="0">
      <pane xSplit="2" topLeftCell="C1" activePane="topRight" state="frozen"/>
      <selection pane="topRight" sqref="A1:B1"/>
    </sheetView>
  </sheetViews>
  <sheetFormatPr defaultRowHeight="14.4" x14ac:dyDescent="0.3"/>
  <cols>
    <col min="1" max="1" width="26" bestFit="1" customWidth="1"/>
    <col min="2" max="2" width="16.88671875" customWidth="1"/>
    <col min="5" max="5" width="46.109375" style="5" customWidth="1"/>
    <col min="6" max="6" width="39.6640625" style="5" customWidth="1"/>
    <col min="7" max="7" width="37.21875" style="5" customWidth="1"/>
    <col min="8" max="8" width="21.44140625" style="1" customWidth="1"/>
    <col min="9" max="9" width="28.33203125" customWidth="1"/>
    <col min="10" max="10" width="40.33203125" customWidth="1"/>
    <col min="11" max="11" width="35.6640625" customWidth="1"/>
    <col min="12" max="12" width="27.21875" customWidth="1"/>
    <col min="13" max="13" width="28.5546875" bestFit="1" customWidth="1"/>
    <col min="14" max="14" width="25" customWidth="1"/>
    <col min="15" max="15" width="26.5546875" bestFit="1" customWidth="1"/>
    <col min="16" max="16" width="35" bestFit="1" customWidth="1"/>
    <col min="17" max="17" width="20.44140625" customWidth="1"/>
    <col min="18" max="18" width="31.33203125" bestFit="1" customWidth="1"/>
    <col min="19" max="19" width="15.44140625" customWidth="1"/>
    <col min="20" max="20" width="32" customWidth="1"/>
    <col min="21" max="21" width="15.33203125" customWidth="1"/>
    <col min="22" max="22" width="40.109375" customWidth="1"/>
  </cols>
  <sheetData>
    <row r="1" spans="1:22" ht="37.200000000000003" customHeight="1" x14ac:dyDescent="0.3">
      <c r="A1" s="52" t="s">
        <v>110</v>
      </c>
      <c r="B1" s="53"/>
      <c r="E1" s="50" t="s">
        <v>111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</row>
    <row r="2" spans="1:22" ht="37.200000000000003" customHeight="1" x14ac:dyDescent="0.3">
      <c r="A2" s="55" t="s">
        <v>112</v>
      </c>
      <c r="B2" s="56" t="s">
        <v>30</v>
      </c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</row>
    <row r="3" spans="1:22" ht="37.799999999999997" customHeight="1" x14ac:dyDescent="0.3">
      <c r="A3" s="58" t="s">
        <v>27</v>
      </c>
      <c r="B3" s="59">
        <f>H6</f>
        <v>6</v>
      </c>
      <c r="E3" s="31" t="s">
        <v>26</v>
      </c>
      <c r="F3" s="31"/>
      <c r="G3" s="31"/>
      <c r="H3" s="31"/>
      <c r="I3" s="34" t="s">
        <v>25</v>
      </c>
      <c r="J3" s="34"/>
      <c r="K3" s="34"/>
      <c r="L3" s="34"/>
      <c r="M3" s="37" t="s">
        <v>49</v>
      </c>
      <c r="N3" s="37"/>
      <c r="O3" s="38" t="s">
        <v>69</v>
      </c>
      <c r="P3" s="38"/>
      <c r="Q3" s="38"/>
      <c r="R3" s="40" t="s">
        <v>88</v>
      </c>
      <c r="S3" s="40"/>
      <c r="T3" s="41" t="s">
        <v>107</v>
      </c>
      <c r="U3" s="41"/>
      <c r="V3" s="44" t="s">
        <v>109</v>
      </c>
    </row>
    <row r="4" spans="1:22" ht="36.6" customHeight="1" x14ac:dyDescent="0.3">
      <c r="A4" s="58" t="s">
        <v>28</v>
      </c>
      <c r="B4" s="59">
        <f>L6</f>
        <v>72</v>
      </c>
      <c r="E4" s="49" t="s">
        <v>24</v>
      </c>
      <c r="F4" s="49"/>
      <c r="G4" s="49"/>
      <c r="H4" s="49"/>
      <c r="I4" s="48" t="s">
        <v>23</v>
      </c>
      <c r="J4" s="48"/>
      <c r="K4" s="48"/>
      <c r="L4" s="48"/>
      <c r="M4" s="46" t="s">
        <v>50</v>
      </c>
      <c r="N4" s="46"/>
      <c r="O4" s="47" t="s">
        <v>60</v>
      </c>
      <c r="P4" s="47"/>
      <c r="Q4" s="47"/>
      <c r="R4" s="42" t="s">
        <v>60</v>
      </c>
      <c r="S4" s="42"/>
      <c r="T4" s="43" t="s">
        <v>95</v>
      </c>
      <c r="U4" s="43"/>
      <c r="V4" s="44"/>
    </row>
    <row r="5" spans="1:22" ht="49.95" customHeight="1" x14ac:dyDescent="0.3">
      <c r="A5" s="58" t="s">
        <v>57</v>
      </c>
      <c r="B5" s="59">
        <f>N6</f>
        <v>1</v>
      </c>
      <c r="E5" s="11" t="s">
        <v>22</v>
      </c>
      <c r="F5" s="11" t="s">
        <v>29</v>
      </c>
      <c r="G5" s="11" t="s">
        <v>6</v>
      </c>
      <c r="H5" s="12" t="s">
        <v>27</v>
      </c>
      <c r="I5" s="11" t="s">
        <v>37</v>
      </c>
      <c r="J5" s="11" t="s">
        <v>41</v>
      </c>
      <c r="K5" s="11" t="s">
        <v>47</v>
      </c>
      <c r="L5" s="12" t="s">
        <v>28</v>
      </c>
      <c r="M5" s="11" t="s">
        <v>51</v>
      </c>
      <c r="N5" s="12" t="s">
        <v>57</v>
      </c>
      <c r="O5" s="11" t="s">
        <v>71</v>
      </c>
      <c r="P5" s="11" t="s">
        <v>70</v>
      </c>
      <c r="Q5" s="12" t="s">
        <v>72</v>
      </c>
      <c r="R5" s="11" t="s">
        <v>74</v>
      </c>
      <c r="S5" s="12" t="s">
        <v>93</v>
      </c>
      <c r="T5" s="11" t="s">
        <v>96</v>
      </c>
      <c r="U5" s="12" t="s">
        <v>108</v>
      </c>
      <c r="V5" s="44"/>
    </row>
    <row r="6" spans="1:22" ht="28.8" x14ac:dyDescent="0.3">
      <c r="A6" s="58" t="s">
        <v>72</v>
      </c>
      <c r="B6" s="59">
        <f>Q6</f>
        <v>2</v>
      </c>
      <c r="E6" s="26" t="s">
        <v>33</v>
      </c>
      <c r="F6" s="5">
        <v>120</v>
      </c>
      <c r="G6" s="5" t="s">
        <v>3</v>
      </c>
      <c r="H6" s="35" cm="1">
        <f t="array" ref="H6">IF(F6&lt;='Priorização - Reach'!B14,'Priorização - Reach'!C14,IF(F6&lt;='Priorização - Reach'!B15,'Priorização - Reach'!C15,IF(F6&lt;='Priorização - Reach'!B16,'Priorização - Reach'!C16,IF(F6&lt;='Priorização - Reach'!B17,'Priorização - Reach'!C16,'Priorização - Reach'!C18))))*VLOOKUP(G6,tblReachFrequenciaUso[#All],2,0)*IFERROR(IFERROR(SUM(
  _xlfn.MAP(
    _xlfn.TEXTSPLIT(E6, " | "),
    _xlfn.LAMBDA(_xlpm.x, _xlfn.XLOOKUP(_xlpm.x, tblReachQuemVaiUsar[Valor], tblReachQuemVaiUsar[Peso]))
  )
),VLOOKUP(E6,tblReachQuemVaiUsar[#All],2,0)),1)</f>
        <v>6</v>
      </c>
      <c r="I6" s="5" t="s">
        <v>19</v>
      </c>
      <c r="J6" s="5" t="s">
        <v>8</v>
      </c>
      <c r="K6" s="5" t="s">
        <v>43</v>
      </c>
      <c r="L6" s="35">
        <f>IFERROR(VLOOKUP(I6,tblImpactTempo[#All],2,0),1)*IFERROR(VLOOKUP(J6,tblImpactFinanceiro[#All],2,0),1)*IFERROR(VLOOKUP(K6,tblImpactEstrategico[#All],2,0),1)</f>
        <v>72</v>
      </c>
      <c r="M6" s="26" t="s">
        <v>52</v>
      </c>
      <c r="N6" s="35">
        <f>IFERROR(VLOOKUP(M6,tblConfidence[#All],2,0),1)</f>
        <v>1</v>
      </c>
      <c r="O6" s="5">
        <v>1</v>
      </c>
      <c r="P6" s="26" t="s">
        <v>64</v>
      </c>
      <c r="Q6" s="35">
        <f>VLOOKUP(P6,tblEffort[#All],2,0)*O6</f>
        <v>2</v>
      </c>
      <c r="R6" s="26" t="s">
        <v>86</v>
      </c>
      <c r="S6" s="35">
        <f>VLOOKUP(R6,tblCostofDelay[#All],2,0)</f>
        <v>13</v>
      </c>
      <c r="T6" s="26" t="s">
        <v>97</v>
      </c>
      <c r="U6" s="35">
        <f>VLOOKUP(T6,tblOKRAlignment[#All],2,0)</f>
        <v>1</v>
      </c>
      <c r="V6" s="45">
        <f>((H6*L6*N6)/Q6)*S6*U6</f>
        <v>2808</v>
      </c>
    </row>
    <row r="7" spans="1:22" ht="15.6" x14ac:dyDescent="0.3">
      <c r="A7" s="58" t="s">
        <v>93</v>
      </c>
      <c r="B7" s="59">
        <f>S6</f>
        <v>13</v>
      </c>
    </row>
    <row r="8" spans="1:22" ht="15.6" x14ac:dyDescent="0.3">
      <c r="A8" s="58" t="s">
        <v>108</v>
      </c>
      <c r="B8" s="59">
        <f>U6</f>
        <v>1</v>
      </c>
    </row>
    <row r="9" spans="1:22" ht="21" x14ac:dyDescent="0.3">
      <c r="A9" s="54" t="s">
        <v>109</v>
      </c>
      <c r="B9" s="57">
        <f>V6</f>
        <v>2808</v>
      </c>
    </row>
  </sheetData>
  <mergeCells count="15">
    <mergeCell ref="E1:V1"/>
    <mergeCell ref="A1:B1"/>
    <mergeCell ref="V3:V5"/>
    <mergeCell ref="E4:H4"/>
    <mergeCell ref="I4:L4"/>
    <mergeCell ref="M4:N4"/>
    <mergeCell ref="O4:Q4"/>
    <mergeCell ref="R4:S4"/>
    <mergeCell ref="T4:U4"/>
    <mergeCell ref="E3:H3"/>
    <mergeCell ref="I3:L3"/>
    <mergeCell ref="M3:N3"/>
    <mergeCell ref="O3:Q3"/>
    <mergeCell ref="R3:S3"/>
    <mergeCell ref="T3:U3"/>
  </mergeCells>
  <dataValidations count="10">
    <dataValidation type="list" allowBlank="1" showInputMessage="1" showErrorMessage="1" sqref="T6" xr:uid="{054DEEB1-E2B1-43E8-B80C-41DA42F38158}">
      <formula1>ListaOKRAlignment</formula1>
    </dataValidation>
    <dataValidation type="list" allowBlank="1" showInputMessage="1" showErrorMessage="1" sqref="R6" xr:uid="{D9695D8F-550D-4DFF-9619-B0847F466711}">
      <formula1>ListCostofDelay</formula1>
    </dataValidation>
    <dataValidation type="list" allowBlank="1" showInputMessage="1" showErrorMessage="1" sqref="P6" xr:uid="{DA166374-96D0-438D-A72A-B5A8D2B11657}">
      <formula1>ListaEffort</formula1>
    </dataValidation>
    <dataValidation type="list" allowBlank="1" showInputMessage="1" showErrorMessage="1" sqref="M6" xr:uid="{6B23341F-D7CE-4CD3-9CDC-BFAC9A91EC6E}">
      <formula1>ListaConfidence</formula1>
    </dataValidation>
    <dataValidation type="list" allowBlank="1" showInputMessage="1" showErrorMessage="1" sqref="G6" xr:uid="{6D4F2514-C734-4D61-9BCD-608722751D60}">
      <formula1>ListaReachFrequenciaUso</formula1>
    </dataValidation>
    <dataValidation type="list" allowBlank="1" showInputMessage="1" showErrorMessage="1" sqref="K6" xr:uid="{F1446526-F302-4C95-AD3B-D35F3FEB2D40}">
      <formula1>ListaImpactEstrategico</formula1>
    </dataValidation>
    <dataValidation type="list" allowBlank="1" showInputMessage="1" showErrorMessage="1" sqref="J6" xr:uid="{F8A21ECA-62DB-4215-BDD1-7C9E407BA3F2}">
      <formula1>ListaImpactFinanceiro</formula1>
    </dataValidation>
    <dataValidation type="list" allowBlank="1" showInputMessage="1" showErrorMessage="1" sqref="I6" xr:uid="{851F7F6C-89E4-4176-8B58-34AAF7454D7D}">
      <formula1>ListaImpactTempo</formula1>
    </dataValidation>
    <dataValidation type="list" allowBlank="1" showInputMessage="1" showErrorMessage="1" sqref="E6" xr:uid="{A9BF31A5-91C8-449B-8067-34FAA0111B81}">
      <formula1>ListaReachQuemVaiUsar</formula1>
    </dataValidation>
    <dataValidation type="whole" allowBlank="1" showInputMessage="1" showErrorMessage="1" sqref="F6 O6" xr:uid="{F9DE540F-BE99-47D3-A354-99B6B321EA43}">
      <formula1>0</formula1>
      <formula2>10000</formula2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Priorização - Reach</vt:lpstr>
      <vt:lpstr>Priorização - Impact</vt:lpstr>
      <vt:lpstr>Priorização - Confidence</vt:lpstr>
      <vt:lpstr>Priorização - Effort</vt:lpstr>
      <vt:lpstr>Priorização - Cost of Delay</vt:lpstr>
      <vt:lpstr>Priorização - OKR Alignment</vt:lpstr>
      <vt:lpstr>Priorização - Calculadora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2025-06-02T16:40:14Z</dcterms:modified>
</cp:coreProperties>
</file>