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3024" documentId="8_{9E45816D-0961-4B1C-B41D-9F083A802A59}" xr6:coauthVersionLast="47" xr6:coauthVersionMax="47" xr10:uidLastSave="{0B329CFA-5960-493F-B160-85BB7DB33A11}"/>
  <bookViews>
    <workbookView xWindow="-96" yWindow="-96" windowWidth="23232" windowHeight="12432" xr2:uid="{00000000-000D-0000-FFFF-FFFF00000000}"/>
  </bookViews>
  <sheets>
    <sheet name="Priorização" sheetId="14" r:id="rId1"/>
    <sheet name="Priorização - Impacto" sheetId="19" r:id="rId2"/>
    <sheet name="Priorização - Esforço" sheetId="22" r:id="rId3"/>
    <sheet name="Auxiliares" sheetId="2" r:id="rId4"/>
    <sheet name="Instruções - Sinaleiro" sheetId="4" r:id="rId5"/>
    <sheet name="Instruções - Tipos de Roadmap" sheetId="7" r:id="rId6"/>
    <sheet name="Story Points" sheetId="10" r:id="rId7"/>
    <sheet name="Etapas Dual Track Agile" sheetId="9" r:id="rId8"/>
    <sheet name="Calendário Comunidade 2025" sheetId="5" r:id="rId9"/>
  </sheets>
  <functionGroups builtInGroupCount="19"/>
  <definedNames>
    <definedName name="_xleta.COLUMN" hidden="1" xlm="1">#NAME?</definedName>
    <definedName name="_xleta.LEFT" hidden="1" xlm="1">#NAME?</definedName>
    <definedName name="_xleta.N" hidden="1" xlm="1">#NAME?</definedName>
    <definedName name="_xleta.RIGHT" hidden="1" xlm="1">#NAME?</definedName>
    <definedName name="_xleta.TIME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Lista_Classificação_da_Torre">INDIRECT("tbClassificacaoTorre[Classificação da Torre]")</definedName>
    <definedName name="Lista_Criticidade">INDIRECT("tbCriticidade[Criticidade]")</definedName>
    <definedName name="Lista_Discovery_Delivery">INDIRECT("tbDiscovery_Delivery[Discovery/Delivery]")</definedName>
    <definedName name="Lista_EscolhaRenuncia">INDIRECT("tbEscolhaRenuncia[Escolha ou Renúncia]")</definedName>
    <definedName name="Lista_Frente_Prioritária">INDIRECT("tbFrentePrioritaria[Frente Prioritária]")</definedName>
    <definedName name="Lista_Orquestrado_Envolvido">INDIRECT("tbOrquestrado_Envolvido[Orquestrado/Envolvido]")</definedName>
    <definedName name="Lista_Produtos">INDIRECT("tbProdutos[Produto]")</definedName>
    <definedName name="Lista_Sinaleiro">INDIRECT("tbSinaleiro[Sinaleiro]")</definedName>
    <definedName name="Lista_Status">INDIRECT("tbStatus[Status]")</definedName>
    <definedName name="listaDualTrack">INDIRECT("tbDualTrack[Esteira + Etapa]")</definedName>
    <definedName name="ListaEffort">INDIRECT("tblEffort[Nível de Esforço de cada colaborador]")</definedName>
    <definedName name="ListaEquipe">INDIRECT("tbEquipe[Equipe]")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4" l="1"/>
  <c r="T4" i="14"/>
  <c r="T5" i="14"/>
  <c r="T6" i="14"/>
  <c r="T7" i="14"/>
  <c r="F15" i="22" l="1"/>
  <c r="F14" i="22"/>
  <c r="F13" i="22"/>
  <c r="F12" i="22"/>
  <c r="F11" i="22"/>
  <c r="F2" i="22"/>
  <c r="F3" i="22"/>
  <c r="F4" i="22"/>
  <c r="F5" i="22"/>
  <c r="F6" i="22"/>
  <c r="F7" i="22"/>
  <c r="F8" i="22"/>
  <c r="F9" i="22"/>
  <c r="F10" i="22"/>
  <c r="C24" i="19"/>
  <c r="C22" i="19"/>
  <c r="AA6" i="2" l="1"/>
  <c r="AA5" i="2"/>
  <c r="AA4" i="2"/>
  <c r="AA3" i="2"/>
  <c r="V18" i="2" l="1"/>
  <c r="V17" i="2"/>
  <c r="V10" i="2"/>
  <c r="V9" i="2"/>
  <c r="V16" i="2"/>
  <c r="V4" i="2"/>
  <c r="V5" i="2"/>
  <c r="V6" i="2"/>
  <c r="V7" i="2"/>
  <c r="V8" i="2"/>
  <c r="V11" i="2"/>
  <c r="V12" i="2"/>
  <c r="V13" i="2"/>
  <c r="V14" i="2"/>
  <c r="V15" i="2"/>
  <c r="V3" i="2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tc={67D8F3F7-1E1E-4DD3-AEFF-110B731379DA}</author>
    <author>tc={3567BFA3-492A-46BD-AF19-EE08D69B40A2}</author>
    <author>tc={6DC9DDAA-26BE-4E82-B4BB-8FE70459B834}</author>
  </authors>
  <commentList>
    <comment ref="C2" authorId="0" shapeId="0" xr:uid="{67D8F3F7-1E1E-4DD3-AEFF-110B731379D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Produto principal impactado ou responsável pela iniciativa.</t>
      </text>
    </comment>
    <comment ref="D2" authorId="1" shapeId="0" xr:uid="{3567BFA3-492A-46BD-AF19-EE08D69B40A2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grande objetivo estratégico ou tema de valor, geralmente ligado a OKRs ou narrativas amplas.
Responder:
    Ex: “Operações Eficientes”, “Decisões Baseadas em Dados” </t>
      </text>
    </comment>
    <comment ref="E2" authorId="2" shapeId="0" xr:uid="{6DC9DDAA-26BE-4E82-B4BB-8FE70459B83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esforço mais delimitado que entrega parte de um épico. Pode envolver uma ou mais histórias.
Responder:
    Ex: “Score de Ecoeficiência”, “Painel de Agências no Radar Imobiliário”</t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<sst xmlns="http://schemas.openxmlformats.org/spreadsheetml/2006/main" count="464" uniqueCount="289">
  <si>
    <t>Escolha ou Renúncia</t>
  </si>
  <si>
    <t>Criticidade</t>
  </si>
  <si>
    <t>Produto</t>
  </si>
  <si>
    <t>Épico</t>
  </si>
  <si>
    <t>Iniciativa</t>
  </si>
  <si>
    <t>Classificação da Torre</t>
  </si>
  <si>
    <t>Frente Prioritária</t>
  </si>
  <si>
    <t>Discovery/Delivery</t>
  </si>
  <si>
    <t>Orquestrado/Envolvido</t>
  </si>
  <si>
    <t>Sinaleiro</t>
  </si>
  <si>
    <t>Status</t>
  </si>
  <si>
    <t>Outcome (Benefício Qualitativo)</t>
  </si>
  <si>
    <t>Data Captura</t>
  </si>
  <si>
    <t>KRs Estratégico</t>
  </si>
  <si>
    <t>Dores</t>
  </si>
  <si>
    <t>Riscos/Impedimentos/Dependência</t>
  </si>
  <si>
    <t>Impacto</t>
  </si>
  <si>
    <t>Probabilidade de acontecer</t>
  </si>
  <si>
    <t>Escolha</t>
  </si>
  <si>
    <t>Renúncia</t>
  </si>
  <si>
    <t>Baixa</t>
  </si>
  <si>
    <t>Média</t>
  </si>
  <si>
    <t>Alta</t>
  </si>
  <si>
    <t>IBS 360</t>
  </si>
  <si>
    <t>Gestão do Parque</t>
  </si>
  <si>
    <t>Geocompasso</t>
  </si>
  <si>
    <t>Score de Agências</t>
  </si>
  <si>
    <t>Scorefy</t>
  </si>
  <si>
    <t>Radar Imobiliário</t>
  </si>
  <si>
    <t>Inteligência Imobiliária - Planejamento de Negociação</t>
  </si>
  <si>
    <t>Inteligência Imobiliária - Hórus 3.0</t>
  </si>
  <si>
    <t>Evolução da Plataforma</t>
  </si>
  <si>
    <t>Evolução do Negócio</t>
  </si>
  <si>
    <t>Estruturante</t>
  </si>
  <si>
    <t>Feature</t>
  </si>
  <si>
    <t>Discovery</t>
  </si>
  <si>
    <t>Delivery</t>
  </si>
  <si>
    <t>Risco Operacional</t>
  </si>
  <si>
    <t>Risco Regulatório</t>
  </si>
  <si>
    <t>Suporte Aplicação</t>
  </si>
  <si>
    <t>Orquestrado</t>
  </si>
  <si>
    <t>Envolvido</t>
  </si>
  <si>
    <t>Ruim</t>
  </si>
  <si>
    <t>Médio</t>
  </si>
  <si>
    <t>Bom</t>
  </si>
  <si>
    <t>Excelente</t>
  </si>
  <si>
    <t>Planejamento de Pessoas</t>
  </si>
  <si>
    <t>Ideia</t>
  </si>
  <si>
    <t>Em Discovery</t>
  </si>
  <si>
    <t>Em Delivery</t>
  </si>
  <si>
    <t>Entregue</t>
  </si>
  <si>
    <t>Com impedimentos</t>
  </si>
  <si>
    <t>Cancelado</t>
  </si>
  <si>
    <t>Não mensurável</t>
  </si>
  <si>
    <t>Baixo</t>
  </si>
  <si>
    <t>Alto</t>
  </si>
  <si>
    <t>Muito Alto</t>
  </si>
  <si>
    <t>Data Inicio</t>
  </si>
  <si>
    <t>Data Fim</t>
  </si>
  <si>
    <r>
      <t xml:space="preserve">🔴 </t>
    </r>
    <r>
      <rPr>
        <b/>
        <sz val="11"/>
        <color theme="1"/>
        <rFont val="Calibri"/>
        <family val="2"/>
        <scheme val="minor"/>
      </rPr>
      <t>Ruim</t>
    </r>
  </si>
  <si>
    <r>
      <t xml:space="preserve">🟠 </t>
    </r>
    <r>
      <rPr>
        <b/>
        <sz val="11"/>
        <color theme="1"/>
        <rFont val="Calibri"/>
        <family val="2"/>
        <scheme val="minor"/>
      </rPr>
      <t>Médio</t>
    </r>
  </si>
  <si>
    <r>
      <t xml:space="preserve">🟢 </t>
    </r>
    <r>
      <rPr>
        <b/>
        <sz val="11"/>
        <color theme="1"/>
        <rFont val="Calibri"/>
        <family val="2"/>
        <scheme val="minor"/>
      </rPr>
      <t>Bom</t>
    </r>
  </si>
  <si>
    <t>Definição</t>
  </si>
  <si>
    <t>Critérios Práticos</t>
  </si>
  <si>
    <t>A fase está em risco crítico e precisa de intervenção imediata.</t>
  </si>
  <si>
    <t>A fase apresenta riscos ou desvios controláveis, mas exige atenção.</t>
  </si>
  <si>
    <t>A fase está dentro do esperado, com riscos mínimos e entregas previstas.</t>
  </si>
  <si>
    <r>
      <t xml:space="preserve">🌟 </t>
    </r>
    <r>
      <rPr>
        <b/>
        <sz val="11"/>
        <color theme="1"/>
        <rFont val="Calibri"/>
        <family val="2"/>
        <scheme val="minor"/>
      </rPr>
      <t>Excelente</t>
    </r>
  </si>
  <si>
    <t>A fase está fluindo com excelência, gerando valor antecipado ou com sinergia excepcional.</t>
  </si>
  <si>
    <t>- Atraso relevante sem previsão de recuperação
- Impedimentos não endereçados
- Falta de alinhamento com stakeholders
- Time desmotivado ou sem foco</t>
  </si>
  <si>
    <t>- Atrasos moderados
- Impedimentos sendo tratados
- Escopo pouco claro ou em redefinição
- Falta de comunicação recorrente</t>
  </si>
  <si>
    <t>- Dentro do prazo ou com pequeno atraso aceitável
- Escopo claro
- Comunicação fluindo- Times engajados</t>
  </si>
  <si>
    <t>- Adiantada ou concluída antes do previsto
- Feedbacks positivos
- Riscos nulos ou mitigados
- Alinhamento forte com estratégia e áreas envolvidas</t>
  </si>
  <si>
    <t>Calendário 2025</t>
  </si>
  <si>
    <t>Release</t>
  </si>
  <si>
    <t>Sprint</t>
  </si>
  <si>
    <t>R1</t>
  </si>
  <si>
    <t>S0</t>
  </si>
  <si>
    <t>S1</t>
  </si>
  <si>
    <t>S2</t>
  </si>
  <si>
    <t>S3</t>
  </si>
  <si>
    <t>S4</t>
  </si>
  <si>
    <t>R2</t>
  </si>
  <si>
    <t>31/04</t>
  </si>
  <si>
    <t>R3</t>
  </si>
  <si>
    <t>R4</t>
  </si>
  <si>
    <t>Tag</t>
  </si>
  <si>
    <t>ID Tático</t>
  </si>
  <si>
    <t>ID Estratégico</t>
  </si>
  <si>
    <t>Nível</t>
  </si>
  <si>
    <t>Visão</t>
  </si>
  <si>
    <t>Elemento</t>
  </si>
  <si>
    <t>Descrição</t>
  </si>
  <si>
    <t>Estratégico</t>
  </si>
  <si>
    <t>Longo prazo (trimestres/semestres)</t>
  </si>
  <si>
    <t>Épicos &amp; Iniciativas</t>
  </si>
  <si>
    <t>Agrupam grandes entregas e objetivos de negócio. Ex: "Reduzir custo de manutenção das agências", "Melhorar experiência dos gestores com planejamento de pessoas".</t>
  </si>
  <si>
    <t>Tático</t>
  </si>
  <si>
    <t>Curto prazo (sprints)</t>
  </si>
  <si>
    <t>Histórias de usuário / Features</t>
  </si>
  <si>
    <t>Representam entregas incrementais e testáveis. Ex: "Adicionar notificação de movimentação no app de planejamento", "Criar filtro de agências críticas no Scorefy".</t>
  </si>
  <si>
    <t>Operacional</t>
  </si>
  <si>
    <t>Execução diária</t>
  </si>
  <si>
    <t>Tasks &amp; Bugs</t>
  </si>
  <si>
    <t>Unidades de trabalho concretas e técnicas. Ex: "Criar endpoint para movimentações futuras", "Ajustar query do filtro de reincidência".</t>
  </si>
  <si>
    <t>Esteira</t>
  </si>
  <si>
    <t>Etapa</t>
  </si>
  <si>
    <t>Objetivo</t>
  </si>
  <si>
    <t>Frameworks</t>
  </si>
  <si>
    <t>Responsáveis</t>
  </si>
  <si>
    <t>Backlog de Ideias</t>
  </si>
  <si>
    <t>Coletar oportunidades, problemas e insights</t>
  </si>
  <si>
    <t>Opportunity Solution Tree, ICE Score, RICE Framework</t>
  </si>
  <si>
    <t>PM, UX Designer, Dev Team</t>
  </si>
  <si>
    <t>Pesquisa &amp; Benchmark</t>
  </si>
  <si>
    <t>Validar hipóteses com dados e feedbacks</t>
  </si>
  <si>
    <t>JTBD (Jobs-To-Be-Done), Data-Driven Decision Making</t>
  </si>
  <si>
    <t>PM, UX Designer</t>
  </si>
  <si>
    <t>Wireframes &amp; Fluxos</t>
  </si>
  <si>
    <t>Criar estrutura da solução antes de desenvolver</t>
  </si>
  <si>
    <t>Design Thinking, Story Mapping, Crazy 8’s</t>
  </si>
  <si>
    <t>UX/UI Designer, PM</t>
  </si>
  <si>
    <t>Protótipos &amp; Testes</t>
  </si>
  <si>
    <t>Construir protótipos e validar com usuários</t>
  </si>
  <si>
    <t>Design Sprint, Testes de Usabilidade, Card Sorting</t>
  </si>
  <si>
    <t>UX/UI Designer, UX Research</t>
  </si>
  <si>
    <t>Validação Técnica</t>
  </si>
  <si>
    <t>Avaliar viabilidade técnica e riscos</t>
  </si>
  <si>
    <t>Tech Spike, Proof of Concept (PoC), Event Storming</t>
  </si>
  <si>
    <t>Tech Lead, Dev Team</t>
  </si>
  <si>
    <t>Aprovação &amp; Priorização</t>
  </si>
  <si>
    <t>Refinamento final e passagem para desenvolvimento</t>
  </si>
  <si>
    <t>RICE, MoSCoW Prioritization</t>
  </si>
  <si>
    <t>PM, UX Designer, Tech Lead, Dev Team</t>
  </si>
  <si>
    <t>Backlog de Desenvolvimento</t>
  </si>
  <si>
    <t>Organizar e priorizar itens prontos para dev</t>
  </si>
  <si>
    <t>Scrum Backlog Refinement, Kanban</t>
  </si>
  <si>
    <t>PM, Tech Lead, Dev Team</t>
  </si>
  <si>
    <t>Desenvolvimento em Andamento</t>
  </si>
  <si>
    <t>Construir e integrar código com qualidade</t>
  </si>
  <si>
    <t>Test-Driven Development, Pair Programming, CI/CD</t>
  </si>
  <si>
    <t>Dev Team</t>
  </si>
  <si>
    <t>Homologação &amp; Ajustes</t>
  </si>
  <si>
    <t>Validar funcionalidade e corrigir erros</t>
  </si>
  <si>
    <t>Beta Testing, A/B Testing, Exploratory Testing</t>
  </si>
  <si>
    <t>QA, Tech Lead, PM, UX</t>
  </si>
  <si>
    <t>Pronto para Deploy</t>
  </si>
  <si>
    <t>Preparar para lançamento em produção</t>
  </si>
  <si>
    <t>Feature Toggle, Canary Releases, Blue-Green Deployment</t>
  </si>
  <si>
    <t>Tech Lead, DevOps, Dev Team</t>
  </si>
  <si>
    <t>Deploy &amp; Monitoramento</t>
  </si>
  <si>
    <t>Acompanhar impacto e corrigir rapidamente</t>
  </si>
  <si>
    <t>Observability</t>
  </si>
  <si>
    <t>DevOps, Dev Team, Tech Lead, PM, UX</t>
  </si>
  <si>
    <t>Story Points</t>
  </si>
  <si>
    <t>Horas Estimadas</t>
  </si>
  <si>
    <t>Descrição do Esforço</t>
  </si>
  <si>
    <t>Exemplos Práticos no Dia a Dia</t>
  </si>
  <si>
    <t>1 SP</t>
  </si>
  <si>
    <t>1 a 2 horas</t>
  </si>
  <si>
    <t>Tarefa pontual, de ajuste ou correção local.</t>
  </si>
  <si>
    <t>- Corrigir label ou ordenação em gráfico no Streamlit. 
- Alterar nome de coluna em view no Athena.</t>
  </si>
  <si>
    <t>2 SP</t>
  </si>
  <si>
    <t>2 a 4 horas</t>
  </si>
  <si>
    <t>Atividade simples, sem incerteza técnica ou dependência.</t>
  </si>
  <si>
    <t>- Adicionar filtro dropdown no app. 
- Escrever alerta no CloudWatch para função já existente.</t>
  </si>
  <si>
    <t>3 SP</t>
  </si>
  <si>
    <t>4 a 8 horas</t>
  </si>
  <si>
    <t>Demanda com impacto visual ou técnico moderado, mas com escopo bem definido.</t>
  </si>
  <si>
    <t>- Ajustar visualização no frontend com base em nova lógica de negócio. 
- Criar bucket e política simples no S3.</t>
  </si>
  <si>
    <t>5 SP</t>
  </si>
  <si>
    <t>8 a 16 horas</t>
  </si>
  <si>
    <t>Feature de porte médio com lógica e testes. Possível dependência de dados.</t>
  </si>
  <si>
    <t>- Criar nova visualização com múltiplos filtros no Streamlit. 
- Ingerir CSV do S3 no Athena e criar query agregada.</t>
  </si>
  <si>
    <t>8 SP</t>
  </si>
  <si>
    <t>16 a 24 horas</t>
  </si>
  <si>
    <t>Desenvolvimento completo com backend + frontend + validações ou integração AWS.</t>
  </si>
  <si>
    <t>- Desenvolver feature com chamada de API + exibição no frontend. 
- Criar Lambda que processa dados e grava em S3 + CloudWatch Logs.</t>
  </si>
  <si>
    <t>13 SP</t>
  </si>
  <si>
    <t>24 a 40 horas (3-5 d)</t>
  </si>
  <si>
    <t>Arquitetura nova, reestruturação, uso de serviço novo, análise exploratória grande.</t>
  </si>
  <si>
    <t>- Reestruturar modelo analítico para suportar múltiplos dashboards. 
- Implementar CI/CD com GitHub Actions para Streamlit + deploy em EC2 ou container AWS.</t>
  </si>
  <si>
    <t>21 SP</t>
  </si>
  <si>
    <t>&gt; 40 horas (1+ semana)</t>
  </si>
  <si>
    <t>Projeto ou módulo completo. Envolve fatiamento, coordenação e entregas parciais.</t>
  </si>
  <si>
    <t>- Criar dashboard completo com ingestão automatizada de dados, camada de transformação (dbt/Athena), backend e frontend. 
- Criar módulo de exportação de dados com fila SQS + Lambda + API Gateway para orquestração.</t>
  </si>
  <si>
    <t>Etapas Dual Track</t>
  </si>
  <si>
    <t>Esteira + Etapa</t>
  </si>
  <si>
    <t>Entrega, sem necessidade de monitoramento</t>
  </si>
  <si>
    <t>-</t>
  </si>
  <si>
    <t>Entrega</t>
  </si>
  <si>
    <t>Ponto Focal</t>
  </si>
  <si>
    <t>Desenvolvedor 1</t>
  </si>
  <si>
    <t>Desenvolvedor 2</t>
  </si>
  <si>
    <t>Equipe</t>
  </si>
  <si>
    <t>Gui</t>
  </si>
  <si>
    <t>Guto</t>
  </si>
  <si>
    <t>Everton</t>
  </si>
  <si>
    <t>Chris</t>
  </si>
  <si>
    <t>Gabs</t>
  </si>
  <si>
    <t>Ronald</t>
  </si>
  <si>
    <t>Mari</t>
  </si>
  <si>
    <t>Triz</t>
  </si>
  <si>
    <t>Naiara</t>
  </si>
  <si>
    <t>Time Murillo</t>
  </si>
  <si>
    <t>Time Advanced</t>
  </si>
  <si>
    <t>Outros</t>
  </si>
  <si>
    <t>Andrea</t>
  </si>
  <si>
    <t>Todos SCD</t>
  </si>
  <si>
    <t>TechLead Atuante</t>
  </si>
  <si>
    <t>Designer Atuante</t>
  </si>
  <si>
    <t>Reach</t>
  </si>
  <si>
    <t>Impact</t>
  </si>
  <si>
    <t>Confidence</t>
  </si>
  <si>
    <t>Effort</t>
  </si>
  <si>
    <t>Governança Atuante</t>
  </si>
  <si>
    <t>Feriados</t>
  </si>
  <si>
    <t>Data</t>
  </si>
  <si>
    <t>Dia</t>
  </si>
  <si>
    <t>Quicksight</t>
  </si>
  <si>
    <t>Desenvolvedor 3</t>
  </si>
  <si>
    <t>Canal Único de Ocorrências</t>
  </si>
  <si>
    <t>Score de Agências - Performance</t>
  </si>
  <si>
    <t>Estrutura</t>
  </si>
  <si>
    <t>Quantidade de pessoas</t>
  </si>
  <si>
    <t>SETA - GIMEA</t>
  </si>
  <si>
    <t>Liderança</t>
  </si>
  <si>
    <t>Jackeline de Caldas Horta</t>
  </si>
  <si>
    <t>Barbara Vizentin Goncalves</t>
  </si>
  <si>
    <t>CICF - RT Dados &amp; Numerário - Analytics AutoAtendimento</t>
  </si>
  <si>
    <t>CICF - RT Dados &amp; Numerário - Planejamento e Governança</t>
  </si>
  <si>
    <t>Leandro Urbinati</t>
  </si>
  <si>
    <t>Leandro Paixão Petruccelli</t>
  </si>
  <si>
    <t>CICF - RT Dados &amp; Numerário - Analytics Ab E Segurança</t>
  </si>
  <si>
    <t>CICF - Infra E Agencias - Gestão de Controle do K7 Cei</t>
  </si>
  <si>
    <t>Karen Roberta Real</t>
  </si>
  <si>
    <t>CICF - Infra E Agencias - Usabilidade e Navegação Cei</t>
  </si>
  <si>
    <t>CICF - Infra E Agencias - Integração Física e Lógica</t>
  </si>
  <si>
    <t>CICF - Infra E Agencias - Otimização Operacional Cei e Tecban</t>
  </si>
  <si>
    <t>CICF - Infra E Agencias - Plataforma e Controle Ab</t>
  </si>
  <si>
    <t>Mariana dos Santos Rodrigues</t>
  </si>
  <si>
    <t>CICF - Infra E Agencias - Soluções Ab</t>
  </si>
  <si>
    <t>CICF - Infra E Agencias - Solucoes para Gestão de Ativos</t>
  </si>
  <si>
    <t>CICF - Infra E Agencias - Workflows Aa e Ab</t>
  </si>
  <si>
    <t>Score de Agências - EcoEficiência</t>
  </si>
  <si>
    <t>SETA - ESG</t>
  </si>
  <si>
    <t>Raquel de Abreu Pereira Uhr</t>
  </si>
  <si>
    <t>Aprimoramento de usabilidade</t>
  </si>
  <si>
    <t>Performance &amp; EcoEficiência</t>
  </si>
  <si>
    <t>Cost of Delay</t>
  </si>
  <si>
    <t>Score Final</t>
  </si>
  <si>
    <t>SETA - Gerência de Operação Infra de Agências</t>
  </si>
  <si>
    <t>Marcos Della Barba</t>
  </si>
  <si>
    <t>SETA - Gerência Gestão e Planejamento Ops</t>
  </si>
  <si>
    <t>Mariana Rufino de Andrade</t>
  </si>
  <si>
    <t>Pieri Ferri</t>
  </si>
  <si>
    <t>Manutenção - Infra Civil</t>
  </si>
  <si>
    <t>MVP do Painel para visualização das ocorrências de manutenção - Infra Civil</t>
  </si>
  <si>
    <t>Bruno Mokarzel</t>
  </si>
  <si>
    <t>CICF - Infra E Agencias - Workflow Infra e Segurança</t>
  </si>
  <si>
    <t>Integração com o modelo</t>
  </si>
  <si>
    <t>Iniciar MVP utilizando a proposta aprovada em arquitetura AWS, integrando com modelo de Advanced Analytics</t>
  </si>
  <si>
    <t>Projeto</t>
  </si>
  <si>
    <t>Quantidade de colaboradores</t>
  </si>
  <si>
    <t>Esforço</t>
  </si>
  <si>
    <t>Cargo</t>
  </si>
  <si>
    <t>Estagiário(a)</t>
  </si>
  <si>
    <t>Analista</t>
  </si>
  <si>
    <t>Nível de Esforço de cada colaborador</t>
  </si>
  <si>
    <t>Médio: até 1 sprint</t>
  </si>
  <si>
    <t>Esforço Numérico</t>
  </si>
  <si>
    <t>Muito baixo: &lt; 3 dias de uma pessoa</t>
  </si>
  <si>
    <t>Baixo: até 1 semana de uma pessoa</t>
  </si>
  <si>
    <t>Alto: até 2 sprints</t>
  </si>
  <si>
    <t>Product Designer</t>
  </si>
  <si>
    <t>Elevado: até 3 sprints</t>
  </si>
  <si>
    <t>Muito Elevado: até 4 sprints</t>
  </si>
  <si>
    <t>TechLead</t>
  </si>
  <si>
    <t>Governança</t>
  </si>
  <si>
    <t>Duplicar Esforço por</t>
  </si>
  <si>
    <t>Desenvolvedor Adicionais</t>
  </si>
  <si>
    <t>Versão AWS</t>
  </si>
  <si>
    <t>OKR Alignment</t>
  </si>
  <si>
    <t>RICE Adaptado</t>
  </si>
  <si>
    <t>COPF</t>
  </si>
  <si>
    <t>AA e AB</t>
  </si>
  <si>
    <t>MVP do Painel para visualização das ocorrências de AA e AB.</t>
  </si>
  <si>
    <t>COPF - Manutenção Infra Civil</t>
  </si>
  <si>
    <t>COPF - AA e 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</si>
</sst>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9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A3A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theme="5"/>
      </patternFill>
    </fill>
  </fills>
  <borders count="5">
    <border>
      <left/>
      <right/>
      <top/>
      <bottom/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rgb="FFFF6200"/>
      </bottom>
      <diagonal/>
    </border>
    <border>
      <left/>
      <right/>
      <top style="thin">
        <color theme="5"/>
      </top>
      <bottom style="thin">
        <color rgb="FFFF6200"/>
      </bottom>
      <diagonal/>
    </border>
    <border>
      <left/>
      <right/>
      <top style="thin">
        <color rgb="FFFF6200"/>
      </top>
      <bottom style="thin">
        <color rgb="FFFF62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5" borderId="0" xfId="0" applyFont="1" applyFill="1" applyAlignment="1">
      <alignment horizontal="center" wrapText="1"/>
    </xf>
    <xf numFmtId="0" fontId="0" fillId="0" borderId="0" xfId="0" quotePrefix="1" applyAlignment="1">
      <alignment horizontal="center" vertical="center" wrapText="1"/>
    </xf>
    <xf numFmtId="16" fontId="0" fillId="0" borderId="0" xfId="0" applyNumberFormat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9" fontId="3" fillId="3" borderId="1" xfId="1" applyFont="1" applyFill="1" applyBorder="1" applyAlignment="1">
      <alignment horizontal="center" vertical="center" wrapText="1"/>
    </xf>
    <xf numFmtId="169" fontId="3" fillId="3" borderId="1" xfId="0" applyNumberFormat="1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9" fontId="3" fillId="3" borderId="3" xfId="1" applyFont="1" applyFill="1" applyBorder="1" applyAlignment="1">
      <alignment horizontal="center" vertical="center" wrapText="1"/>
    </xf>
    <xf numFmtId="169" fontId="3" fillId="3" borderId="3" xfId="0" applyNumberFormat="1" applyFont="1" applyFill="1" applyBorder="1" applyAlignment="1">
      <alignment horizontal="center" vertical="center" wrapText="1"/>
    </xf>
    <xf numFmtId="9" fontId="3" fillId="3" borderId="2" xfId="1" applyFont="1" applyFill="1" applyBorder="1" applyAlignment="1">
      <alignment horizontal="center" vertical="center" wrapText="1"/>
    </xf>
    <xf numFmtId="169" fontId="3" fillId="3" borderId="2" xfId="0" applyNumberFormat="1" applyFont="1" applyFill="1" applyBorder="1" applyAlignment="1">
      <alignment horizontal="center" vertical="center" wrapText="1"/>
    </xf>
    <xf numFmtId="9" fontId="3" fillId="3" borderId="4" xfId="1" applyFont="1" applyFill="1" applyBorder="1" applyAlignment="1">
      <alignment horizontal="center" vertical="center" wrapText="1"/>
    </xf>
    <xf numFmtId="169" fontId="3" fillId="3" borderId="4" xfId="0" applyNumberFormat="1" applyFont="1" applyFill="1" applyBorder="1" applyAlignment="1">
      <alignment horizontal="center" vertical="center" wrapText="1"/>
    </xf>
  </cellXfs>
  <cellStyles count="3">
    <cellStyle name="Normal" xfId="0" builtinId="0"/>
    <cellStyle name="Normal 6 4" xfId="2" xr:uid="{5880DD7B-FD28-43C8-B2B0-9114FC185CA2}"/>
    <cellStyle name="Porcentagem" xfId="1" builtinId="5"/>
  </cellStyles>
  <dxfs count="7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top style="thin">
          <color theme="5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200"/>
      <color rgb="FF000D3C"/>
      <color rgb="FF0A3A00"/>
      <color rgb="FFEAF2EF"/>
      <color rgb="FFC6E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- Emerson R." id="{1AB07DAC-6FFA-42F5-A98B-F2412B7653AF}" userId="7e66243f108409f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F80A26C-76A8-4D35-838E-42700DDABB3A}" name="tbPriorizacao" displayName="tbPriorizacao" ref="A2:T7" totalsRowShown="0" headerRowDxfId="74" dataDxfId="73" tableBorderDxfId="72">
  <autoFilter ref="A2:T7" xr:uid="{6F80A26C-76A8-4D35-838E-42700DDABB3A}"/>
  <tableColumns count="20">
    <tableColumn id="1" xr3:uid="{115F88A5-0470-45C1-AA24-E7C52EF917E1}" name="ID Tático" dataDxfId="71"/>
    <tableColumn id="2" xr3:uid="{2D2AD7DC-40EB-42B3-B6EB-5680616D5BB0}" name="ID Estratégico" dataDxfId="70"/>
    <tableColumn id="3" xr3:uid="{59F5D3E9-A704-4BB2-B625-906F420FAB74}" name="Produto" dataDxfId="69"/>
    <tableColumn id="4" xr3:uid="{EA6BF80D-E2B0-483A-81B7-512CCB41E039}" name="Épico" dataDxfId="68"/>
    <tableColumn id="5" xr3:uid="{D9DF7B2A-5335-493F-9462-00BB765D0335}" name="Iniciativa" dataDxfId="67"/>
    <tableColumn id="7" xr3:uid="{72DE16DE-5EBD-4E64-AF55-795564CF67EA}" name="Ponto Focal" dataDxfId="66"/>
    <tableColumn id="8" xr3:uid="{0DE02A18-44E9-4148-A796-5B1AE2DAFBAE}" name="Desenvolvedor 1" dataDxfId="65"/>
    <tableColumn id="9" xr3:uid="{F4128E2A-CB69-4FE4-90A5-9BCCED9115A2}" name="Desenvolvedor 2" dataDxfId="64"/>
    <tableColumn id="6" xr3:uid="{B63BCE19-8950-4458-8DAF-8D27ACF5C483}" name="Desenvolvedor 3" dataDxfId="63"/>
    <tableColumn id="20" xr3:uid="{F72FCA9B-D3CA-414F-9519-FE93755986E3}" name="Desenvolvedor Adicionais"/>
    <tableColumn id="10" xr3:uid="{24D00D9E-0E17-449F-8D76-BD7634D5709B}" name="Designer Atuante" dataDxfId="2"/>
    <tableColumn id="11" xr3:uid="{5CAA37CE-AA15-43E1-9277-59D1693BAB3F}" name="TechLead Atuante" dataDxfId="1"/>
    <tableColumn id="17" xr3:uid="{75A0469F-1153-4984-AE7C-4A31FBF72414}" name="Governança Atuante" dataDxfId="0"/>
    <tableColumn id="12" xr3:uid="{BCC8F7C4-F051-4171-B59A-8A758AF015EE}" name="Reach" dataDxfId="62">
      <calculatedColumnFormula>SUM('Priorização - Impacto'!C3:C14,'Priorização - Impacto'!C18)</calculatedColumnFormula>
    </tableColumn>
    <tableColumn id="13" xr3:uid="{A2EC69C6-AD01-471E-BA49-738D9F39E09B}" name="Impact" dataDxfId="61"/>
    <tableColumn id="14" xr3:uid="{F81A34CB-E506-4A8A-AADC-AE0BD0D15049}" name="Confidence" dataDxfId="60" dataCellStyle="Porcentagem"/>
    <tableColumn id="15" xr3:uid="{E1BE5337-B4A7-46A3-9A84-E7BA1AC0985D}" name="Effort" dataDxfId="59"/>
    <tableColumn id="18" xr3:uid="{61A889FF-EF6E-44CD-9772-053DF3DE471D}" name="Cost of Delay" dataDxfId="58"/>
    <tableColumn id="16" xr3:uid="{56A37474-61FA-4751-8373-1F66A5B2D1BC}" name="OKR Alignment" dataDxfId="57"/>
    <tableColumn id="19" xr3:uid="{C05E9922-825F-4740-9D6A-AAF6C16E20D5}" name="Score Final" dataDxfId="56">
      <calculatedColumnFormula>IFERROR(((tbPriorizacao[[#This Row],[Reach]]*tbPriorizacao[[#This Row],[Impact]]*tbPriorizacao[[#This Row],[Confidence]])/tbPriorizacao[[#This Row],[Effort]])*tbPriorizacao[[#This Row],[Cost of Delay]]*tbPriorizacao[[#This Row],[OKR Alignment]],"")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C7213D-8333-48BA-BEFD-5E9C97201475}" name="tblPriorizacaoEffort" displayName="tblPriorizacaoEffort" ref="A1:F15" totalsRowShown="0" headerRowDxfId="55" dataDxfId="54">
  <autoFilter ref="A1:F15" xr:uid="{47C7213D-8333-48BA-BEFD-5E9C97201475}"/>
  <tableColumns count="6">
    <tableColumn id="1" xr3:uid="{04815FE4-658E-47E4-954D-821529F386BB}" name="Projeto" dataDxfId="53"/>
    <tableColumn id="2" xr3:uid="{4E0FA37D-805F-449E-BC0A-25D3B9BFD0F9}" name="Quantidade de colaboradores" dataDxfId="52"/>
    <tableColumn id="3" xr3:uid="{1D6A2DE6-06AE-4322-90B5-2A18DAE4FA72}" name="Cargo" dataDxfId="51"/>
    <tableColumn id="7" xr3:uid="{7CB7B757-4EC2-4EE9-A89F-A4E13AC2553D}" name="Duplicar Esforço por" dataDxfId="50"/>
    <tableColumn id="4" xr3:uid="{F1B19B92-1F08-458E-9D71-D197265A4846}" name="Nível de Esforço de cada colaborador" dataDxfId="49"/>
    <tableColumn id="5" xr3:uid="{6087C7B0-1663-482F-AE40-E8DEFE0BC81B}" name="Esforço" dataDxfId="48">
      <calculatedColumnFormula>VLOOKUP(E2,Auxiliares!AC:AD,2,0)*B2*tblPriorizacaoEffort[[#This Row],[Duplicar Esforço por]]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57599-37F3-4D96-B4E6-84A9362620EC}" name="tbEscolhaRenuncia" displayName="tbEscolhaRenuncia" ref="A1:A3" totalsRowShown="0" headerRowDxfId="47" dataDxfId="46">
  <autoFilter ref="A1:A3" xr:uid="{AA757599-37F3-4D96-B4E6-84A9362620EC}"/>
  <tableColumns count="1">
    <tableColumn id="1" xr3:uid="{A3B2C8E4-B0A9-40C0-AF2B-417D3873E985}" name="Escolha ou Renúncia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A890CE-6FEC-4122-98C9-94CB23CB8EA2}" name="tbCriticidade" displayName="tbCriticidade" ref="B1:B4" totalsRowShown="0" headerRowDxfId="44" dataDxfId="43">
  <autoFilter ref="B1:B4" xr:uid="{2BA890CE-6FEC-4122-98C9-94CB23CB8EA2}"/>
  <tableColumns count="1">
    <tableColumn id="1" xr3:uid="{496BB293-208F-426B-BAC3-E1B6A79778D3}" name="Criticidade" dataDxfId="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74AD2F-FE54-4B31-86D1-D5B1C3F0661B}" name="tbProdutos" displayName="tbProdutos" ref="C1:C12" totalsRowShown="0" headerRowDxfId="41" dataDxfId="40">
  <autoFilter ref="C1:C12" xr:uid="{3474AD2F-FE54-4B31-86D1-D5B1C3F0661B}"/>
  <tableColumns count="1">
    <tableColumn id="1" xr3:uid="{12DDF75B-7B06-4B8F-952F-32A4752B8EFB}" name="Produto" dataDxfId="3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9A7E32-B887-4370-9254-4080768AE400}" name="tbClassificacaoTorre" displayName="tbClassificacaoTorre" ref="F1:F6" totalsRowShown="0" headerRowDxfId="38" dataDxfId="37">
  <autoFilter ref="F1:F6" xr:uid="{C49A7E32-B887-4370-9254-4080768AE400}"/>
  <tableColumns count="1">
    <tableColumn id="1" xr3:uid="{9C4F0D3F-743C-4308-9AE7-023E770654B1}" name="Classificação da Torre" dataDxfId="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D03D59-06C8-4701-9250-31D4979C91D6}" name="tbFrentePrioritaria" displayName="tbFrentePrioritaria" ref="G1:G3" totalsRowShown="0" headerRowDxfId="35" dataDxfId="34">
  <autoFilter ref="G1:G3" xr:uid="{80D03D59-06C8-4701-9250-31D4979C91D6}"/>
  <tableColumns count="1">
    <tableColumn id="1" xr3:uid="{3DB0E3A7-5132-4FB0-9863-28BF24D51AA0}" name="Frente Prioritária" dataDxfId="3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83CB18-2A6D-490B-98D5-DFCFF79E614D}" name="tbDiscovery_Delivery" displayName="tbDiscovery_Delivery" ref="H1:H3" totalsRowShown="0" headerRowDxfId="32" dataDxfId="31">
  <autoFilter ref="H1:H3" xr:uid="{3183CB18-2A6D-490B-98D5-DFCFF79E614D}"/>
  <tableColumns count="1">
    <tableColumn id="1" xr3:uid="{60F45FD6-D3E5-4F7D-B915-B7908D596601}" name="Discovery/Delivery" dataDxfId="3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EA76FF-2B35-49E3-A9AF-9A92FE2A8F38}" name="tbOrquestrado_Envolvido" displayName="tbOrquestrado_Envolvido" ref="I1:I3" totalsRowShown="0" headerRowDxfId="29" dataDxfId="28">
  <autoFilter ref="I1:I3" xr:uid="{A6EA76FF-2B35-49E3-A9AF-9A92FE2A8F38}"/>
  <tableColumns count="1">
    <tableColumn id="1" xr3:uid="{3749DB2D-5B10-460B-A576-40BEC8D69206}" name="Orquestrado/Envolvido" dataDxfId="2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A1713A-22D6-4B48-BDA0-AD080856E06A}" name="tbSinaleiro" displayName="tbSinaleiro" ref="J1:J5" totalsRowShown="0" headerRowDxfId="26" dataDxfId="25">
  <autoFilter ref="J1:J5" xr:uid="{F9A1713A-22D6-4B48-BDA0-AD080856E06A}"/>
  <tableColumns count="1">
    <tableColumn id="1" xr3:uid="{18EC6CDD-9C46-4804-A30E-18ABAA56A538}" name="Sinaleiro" dataDxfId="2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B5AB5D4-22B2-4C2C-B63F-F53F352073E0}" name="tbStatus" displayName="tbStatus" ref="K1:K7" totalsRowShown="0" headerRowDxfId="23" dataDxfId="22">
  <autoFilter ref="K1:K7" xr:uid="{3B5AB5D4-22B2-4C2C-B63F-F53F352073E0}"/>
  <tableColumns count="1">
    <tableColumn id="1" xr3:uid="{6FF1CB66-05E5-4EF8-BA1E-CE4F440C0DEE}" name="Status" dataDxfId="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3BAD48-2B24-4DD7-A931-7B9E796E78C3}" name="tbImpacto" displayName="tbImpacto" ref="Q1:Q6" totalsRowShown="0" headerRowDxfId="20" dataDxfId="19">
  <autoFilter ref="Q1:Q6" xr:uid="{743BAD48-2B24-4DD7-A931-7B9E796E78C3}"/>
  <tableColumns count="1">
    <tableColumn id="1" xr3:uid="{9FD2FB11-BB5A-4837-B98C-291B80B1BBA0}" name="Impacto" dataDxfId="1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6C76AE-E964-4860-B24B-8483730B4379}" name="tbDualTrack" displayName="tbDualTrack" ref="T2:V18" totalsRowShown="0" headerRowDxfId="17">
  <autoFilter ref="T2:V18" xr:uid="{9A6C76AE-E964-4860-B24B-8483730B4379}"/>
  <tableColumns count="3">
    <tableColumn id="1" xr3:uid="{E23F665F-D240-4C10-99D8-5C0D8D0A5895}" name="Esteira" dataDxfId="16"/>
    <tableColumn id="2" xr3:uid="{0681C7AE-CD5F-40BE-A33E-21B1BB461AAD}" name="Etapa" dataDxfId="15"/>
    <tableColumn id="3" xr3:uid="{0303A983-E11B-4508-A6BA-A03DE92D214C}" name="Esteira + Etapa" dataDxfId="14">
      <calculatedColumnFormula>_xlfn.CONCAT(T3, " - ",U3)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F3B3FB5-9BCF-48F0-A145-53D9910BEFC7}" name="tbEquipe" displayName="tbEquipe" ref="X1:X15" totalsRowShown="0" headerRowDxfId="13" dataDxfId="12">
  <autoFilter ref="X1:X15" xr:uid="{9F3B3FB5-9BCF-48F0-A145-53D9910BEFC7}"/>
  <tableColumns count="1">
    <tableColumn id="1" xr3:uid="{8A196F51-CF94-4665-9C36-E46DB8679DA4}" name="Equipe" dataDxfId="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395C44-2E44-404F-B6B3-AEF8CDF714DB}" name="tblFeriados" displayName="tblFeriados" ref="Z2:AA6" insertRowShift="1" totalsRowShown="0" headerRowDxfId="10" dataDxfId="9">
  <autoFilter ref="Z2:AA6" xr:uid="{A9395C44-2E44-404F-B6B3-AEF8CDF714DB}"/>
  <tableColumns count="2">
    <tableColumn id="1" xr3:uid="{0BE9C450-1933-46F2-9145-F7F52733023C}" name="Data" dataDxfId="8"/>
    <tableColumn id="2" xr3:uid="{1D24A32E-5826-42FD-BB14-6011A1892419}" name="Dia" dataDxfId="7">
      <calculatedColumnFormula>CHOOSE(WEEKDAY(Z3,2),"Segunda","Terça","Quarta","Quinta","Sexta","Sábado","Domingo")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61EEE50-35E6-4CA2-AF50-A6CFADB01666}" name="tblEffort" displayName="tblEffort" ref="AC2:AD8" totalsRowShown="0" headerRowDxfId="6" dataDxfId="5">
  <autoFilter ref="AC2:AD8" xr:uid="{061EEE50-35E6-4CA2-AF50-A6CFADB01666}"/>
  <tableColumns count="2">
    <tableColumn id="1" xr3:uid="{EA7D152C-3A84-4A93-ACB6-E84EED916E44}" name="Nível de Esforço de cada colaborador" dataDxfId="4"/>
    <tableColumn id="2" xr3:uid="{0841FA88-C065-4F0B-B1DE-568D09BBCB34}" name="Esforço Numérico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" dT="2025-05-05T01:46:22.51" personId="{1AB07DAC-6FFA-42F5-A98B-F2412B7653AF}" id="{67D8F3F7-1E1E-4DD3-AEFF-110B731379DA}">
    <text>Produto principal impactado ou responsável pela iniciativa.</text>
  </threadedComment>
  <threadedComment ref="D2" dT="2025-05-05T02:12:58.57" personId="{1AB07DAC-6FFA-42F5-A98B-F2412B7653AF}" id="{3567BFA3-492A-46BD-AF19-EE08D69B40A2}">
    <text>Um grande objetivo estratégico ou tema de valor, geralmente ligado a OKRs ou narrativas amplas.</text>
  </threadedComment>
  <threadedComment ref="D2" dT="2025-05-05T02:13:33.54" personId="{1AB07DAC-6FFA-42F5-A98B-F2412B7653AF}" id="{23A6ED5A-1869-4650-8076-A441F423B636}" parentId="{3567BFA3-492A-46BD-AF19-EE08D69B40A2}">
    <text xml:space="preserve">Ex: “Operações Eficientes”, “Decisões Baseadas em Dados” </text>
  </threadedComment>
  <threadedComment ref="E2" dT="2025-05-05T02:13:53.02" personId="{1AB07DAC-6FFA-42F5-A98B-F2412B7653AF}" id="{6DC9DDAA-26BE-4E82-B4BB-8FE70459B834}">
    <text>Um esforço mais delimitado que entrega parte de um épico. Pode envolver uma ou mais histórias.</text>
  </threadedComment>
  <threadedComment ref="E2" dT="2025-05-05T02:14:07.76" personId="{1AB07DAC-6FFA-42F5-A98B-F2412B7653AF}" id="{B43B2291-51F6-4A9D-8E9B-D839D2ACD516}" parentId="{6DC9DDAA-26BE-4E82-B4BB-8FE70459B834}">
    <text>Ex: “Score de Ecoeficiência”, “Painel de Agências no Radar Imobiliário”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AC9C-9C00-4F38-8700-569EF27E8D8E}">
  <sheetPr codeName="Planilha2"/>
  <dimension ref="A1:T7"/>
  <sheetViews>
    <sheetView tabSelected="1" topLeftCell="C1" workbookViewId="0">
      <pane xSplit="3" ySplit="2" topLeftCell="F3" activePane="bottomRight" state="frozen"/>
      <selection activeCell="B16" sqref="B16"/>
      <selection pane="topRight" activeCell="B16" sqref="B16"/>
      <selection pane="bottomLeft" activeCell="B16" sqref="B16"/>
      <selection pane="bottomRight" activeCell="C1" sqref="C1:E1"/>
    </sheetView>
  </sheetViews>
  <sheetFormatPr defaultRowHeight="14.4" outlineLevelCol="1" x14ac:dyDescent="0.3"/>
  <cols>
    <col min="1" max="2" width="19" hidden="1" customWidth="1"/>
    <col min="3" max="5" width="19" customWidth="1"/>
    <col min="6" max="6" width="12.77734375" customWidth="1" outlineLevel="1"/>
    <col min="7" max="9" width="16.88671875" customWidth="1" outlineLevel="1"/>
    <col min="10" max="10" width="16.21875" bestFit="1" customWidth="1" outlineLevel="1"/>
    <col min="11" max="11" width="17.33203125" customWidth="1" outlineLevel="1"/>
    <col min="12" max="12" width="18.109375" customWidth="1" outlineLevel="1"/>
    <col min="13" max="13" width="23" customWidth="1" outlineLevel="1"/>
    <col min="14" max="16" width="11.21875" customWidth="1"/>
    <col min="17" max="20" width="16.77734375" customWidth="1"/>
  </cols>
  <sheetData>
    <row r="1" spans="1:20" x14ac:dyDescent="0.3">
      <c r="C1" s="26" t="s">
        <v>4</v>
      </c>
      <c r="D1" s="26"/>
      <c r="E1" s="26"/>
      <c r="F1" s="24" t="s">
        <v>109</v>
      </c>
      <c r="G1" s="24"/>
      <c r="H1" s="24"/>
      <c r="I1" s="24"/>
      <c r="J1" s="24"/>
      <c r="K1" s="24"/>
      <c r="L1" s="24"/>
      <c r="M1" s="24"/>
      <c r="N1" s="25" t="s">
        <v>283</v>
      </c>
      <c r="O1" s="25"/>
      <c r="P1" s="25"/>
      <c r="Q1" s="25"/>
      <c r="R1" s="25"/>
      <c r="S1" s="25"/>
      <c r="T1" s="16"/>
    </row>
    <row r="2" spans="1:20" s="5" customFormat="1" ht="28.8" x14ac:dyDescent="0.3">
      <c r="A2" s="14" t="s">
        <v>87</v>
      </c>
      <c r="B2" s="14" t="s">
        <v>88</v>
      </c>
      <c r="C2" s="14" t="s">
        <v>2</v>
      </c>
      <c r="D2" s="14" t="s">
        <v>3</v>
      </c>
      <c r="E2" s="14" t="s">
        <v>4</v>
      </c>
      <c r="F2" s="14" t="s">
        <v>191</v>
      </c>
      <c r="G2" s="14" t="s">
        <v>192</v>
      </c>
      <c r="H2" s="14" t="s">
        <v>193</v>
      </c>
      <c r="I2" s="14" t="s">
        <v>220</v>
      </c>
      <c r="J2" s="23" t="s">
        <v>280</v>
      </c>
      <c r="K2" s="14" t="s">
        <v>210</v>
      </c>
      <c r="L2" s="14" t="s">
        <v>209</v>
      </c>
      <c r="M2" s="14" t="s">
        <v>215</v>
      </c>
      <c r="N2" s="14" t="s">
        <v>211</v>
      </c>
      <c r="O2" s="14" t="s">
        <v>212</v>
      </c>
      <c r="P2" s="14" t="s">
        <v>213</v>
      </c>
      <c r="Q2" s="14" t="s">
        <v>214</v>
      </c>
      <c r="R2" s="14" t="s">
        <v>249</v>
      </c>
      <c r="S2" s="14" t="s">
        <v>282</v>
      </c>
      <c r="T2" s="18" t="s">
        <v>250</v>
      </c>
    </row>
    <row r="3" spans="1:20" ht="28.8" x14ac:dyDescent="0.3">
      <c r="A3" s="12"/>
      <c r="B3" s="12"/>
      <c r="C3" s="12" t="s">
        <v>26</v>
      </c>
      <c r="D3" s="12" t="s">
        <v>248</v>
      </c>
      <c r="E3" s="12" t="s">
        <v>247</v>
      </c>
      <c r="F3" s="12" t="s">
        <v>203</v>
      </c>
      <c r="G3" s="12" t="s">
        <v>203</v>
      </c>
      <c r="H3" s="12" t="s">
        <v>202</v>
      </c>
      <c r="I3" s="12"/>
      <c r="J3" s="31"/>
      <c r="K3" s="31" t="s">
        <v>207</v>
      </c>
      <c r="L3" s="31" t="s">
        <v>195</v>
      </c>
      <c r="M3" s="32" t="s">
        <v>196</v>
      </c>
      <c r="N3" s="12">
        <v>152</v>
      </c>
      <c r="O3" s="12">
        <v>3</v>
      </c>
      <c r="P3" s="21">
        <v>0.8</v>
      </c>
      <c r="Q3" s="12">
        <v>8</v>
      </c>
      <c r="R3" s="12">
        <v>5</v>
      </c>
      <c r="S3" s="12">
        <v>8</v>
      </c>
      <c r="T3" s="22">
        <f>IFERROR(((tbPriorizacao[[#This Row],[Reach]]*tbPriorizacao[[#This Row],[Impact]]*tbPriorizacao[[#This Row],[Confidence]])/tbPriorizacao[[#This Row],[Effort]])*tbPriorizacao[[#This Row],[Cost of Delay]]*tbPriorizacao[[#This Row],[OKR Alignment]],"")</f>
        <v>1824</v>
      </c>
    </row>
    <row r="4" spans="1:20" ht="72" x14ac:dyDescent="0.3">
      <c r="A4" s="12"/>
      <c r="B4" s="12"/>
      <c r="C4" s="12" t="s">
        <v>221</v>
      </c>
      <c r="D4" s="12" t="s">
        <v>256</v>
      </c>
      <c r="E4" s="12" t="s">
        <v>257</v>
      </c>
      <c r="F4" s="12" t="s">
        <v>200</v>
      </c>
      <c r="G4" s="12" t="s">
        <v>200</v>
      </c>
      <c r="H4" s="12" t="s">
        <v>199</v>
      </c>
      <c r="I4" s="32" t="s">
        <v>197</v>
      </c>
      <c r="J4" s="31"/>
      <c r="K4" s="31" t="s">
        <v>207</v>
      </c>
      <c r="L4" s="31" t="s">
        <v>195</v>
      </c>
      <c r="M4" s="31" t="s">
        <v>196</v>
      </c>
      <c r="N4" s="12">
        <v>112.5</v>
      </c>
      <c r="O4" s="12">
        <v>75</v>
      </c>
      <c r="P4" s="21">
        <v>0.3</v>
      </c>
      <c r="Q4" s="12">
        <v>40</v>
      </c>
      <c r="R4" s="12">
        <v>5</v>
      </c>
      <c r="S4" s="12">
        <v>8</v>
      </c>
      <c r="T4" s="22">
        <f>IFERROR(((tbPriorizacao[[#This Row],[Reach]]*tbPriorizacao[[#This Row],[Impact]]*tbPriorizacao[[#This Row],[Confidence]])/tbPriorizacao[[#This Row],[Effort]])*tbPriorizacao[[#This Row],[Cost of Delay]]*tbPriorizacao[[#This Row],[OKR Alignment]],"")</f>
        <v>2531.25</v>
      </c>
    </row>
    <row r="5" spans="1:20" ht="100.8" x14ac:dyDescent="0.3">
      <c r="A5" s="12"/>
      <c r="B5" s="12"/>
      <c r="C5" s="12" t="s">
        <v>29</v>
      </c>
      <c r="D5" s="12" t="s">
        <v>260</v>
      </c>
      <c r="E5" s="12" t="s">
        <v>261</v>
      </c>
      <c r="F5" s="12" t="s">
        <v>197</v>
      </c>
      <c r="G5" s="12" t="s">
        <v>197</v>
      </c>
      <c r="H5" s="12" t="s">
        <v>198</v>
      </c>
      <c r="I5" s="33" t="s">
        <v>199</v>
      </c>
      <c r="J5" s="33"/>
      <c r="K5" s="33" t="s">
        <v>207</v>
      </c>
      <c r="L5" s="31" t="s">
        <v>195</v>
      </c>
      <c r="M5" s="31" t="s">
        <v>196</v>
      </c>
      <c r="N5" s="32">
        <v>1.5</v>
      </c>
      <c r="O5" s="32">
        <v>120</v>
      </c>
      <c r="P5" s="34">
        <v>0.8</v>
      </c>
      <c r="Q5" s="32">
        <v>18</v>
      </c>
      <c r="R5" s="32">
        <v>3</v>
      </c>
      <c r="S5" s="32">
        <v>2</v>
      </c>
      <c r="T5" s="35">
        <f>IFERROR(((tbPriorizacao[[#This Row],[Reach]]*tbPriorizacao[[#This Row],[Impact]]*tbPriorizacao[[#This Row],[Confidence]])/tbPriorizacao[[#This Row],[Effort]])*tbPriorizacao[[#This Row],[Cost of Delay]]*tbPriorizacao[[#This Row],[OKR Alignment]],"")</f>
        <v>48</v>
      </c>
    </row>
    <row r="6" spans="1:20" ht="28.8" x14ac:dyDescent="0.3">
      <c r="A6" s="12"/>
      <c r="B6" s="12"/>
      <c r="C6" s="12" t="s">
        <v>46</v>
      </c>
      <c r="D6" s="12" t="s">
        <v>281</v>
      </c>
      <c r="E6" s="12" t="s">
        <v>281</v>
      </c>
      <c r="F6" s="12" t="s">
        <v>200</v>
      </c>
      <c r="G6" s="12" t="s">
        <v>200</v>
      </c>
      <c r="H6" s="12" t="s">
        <v>201</v>
      </c>
      <c r="I6" s="31" t="s">
        <v>197</v>
      </c>
      <c r="J6" s="31"/>
      <c r="K6" s="31"/>
      <c r="L6" s="33" t="s">
        <v>195</v>
      </c>
      <c r="M6" s="33" t="s">
        <v>196</v>
      </c>
      <c r="N6" s="33">
        <v>47.5</v>
      </c>
      <c r="O6" s="33">
        <v>5</v>
      </c>
      <c r="P6" s="38">
        <v>0.5</v>
      </c>
      <c r="Q6" s="33">
        <v>24</v>
      </c>
      <c r="R6" s="33">
        <v>2</v>
      </c>
      <c r="S6" s="33">
        <v>1</v>
      </c>
      <c r="T6" s="39">
        <f>IFERROR(((tbPriorizacao[[#This Row],[Reach]]*tbPriorizacao[[#This Row],[Impact]]*tbPriorizacao[[#This Row],[Confidence]])/tbPriorizacao[[#This Row],[Effort]])*tbPriorizacao[[#This Row],[Cost of Delay]]*tbPriorizacao[[#This Row],[OKR Alignment]],"")</f>
        <v>9.8958333333333339</v>
      </c>
    </row>
    <row r="7" spans="1:20" ht="57.6" x14ac:dyDescent="0.3">
      <c r="A7" s="12"/>
      <c r="B7" s="12"/>
      <c r="C7" s="12" t="s">
        <v>284</v>
      </c>
      <c r="D7" s="12" t="s">
        <v>285</v>
      </c>
      <c r="E7" s="12" t="s">
        <v>286</v>
      </c>
      <c r="F7" s="32"/>
      <c r="G7" s="32" t="s">
        <v>208</v>
      </c>
      <c r="H7" s="32"/>
      <c r="I7" s="31"/>
      <c r="J7" s="31"/>
      <c r="K7" s="31" t="s">
        <v>207</v>
      </c>
      <c r="L7" s="31" t="s">
        <v>195</v>
      </c>
      <c r="M7" s="31" t="s">
        <v>196</v>
      </c>
      <c r="N7" s="31">
        <v>180</v>
      </c>
      <c r="O7" s="31">
        <v>125</v>
      </c>
      <c r="P7" s="36">
        <v>0.8</v>
      </c>
      <c r="Q7" s="31">
        <v>40</v>
      </c>
      <c r="R7" s="31">
        <v>5</v>
      </c>
      <c r="S7" s="31">
        <v>8</v>
      </c>
      <c r="T7" s="37">
        <f>IFERROR(((tbPriorizacao[[#This Row],[Reach]]*tbPriorizacao[[#This Row],[Impact]]*tbPriorizacao[[#This Row],[Confidence]])/tbPriorizacao[[#This Row],[Effort]])*tbPriorizacao[[#This Row],[Cost of Delay]]*tbPriorizacao[[#This Row],[OKR Alignment]],"")</f>
        <v>18000</v>
      </c>
    </row>
  </sheetData>
  <mergeCells count="3">
    <mergeCell ref="F1:M1"/>
    <mergeCell ref="N1:S1"/>
    <mergeCell ref="C1:E1"/>
  </mergeCells>
  <phoneticPr fontId="6" type="noConversion"/>
  <dataValidations count="2">
    <dataValidation type="list" allowBlank="1" showInputMessage="1" showErrorMessage="1" sqref="F3:M7" xr:uid="{B297DB4E-0D9E-45B9-B48E-47AB2A450F65}">
      <formula1>ListaEquipe</formula1>
    </dataValidation>
    <dataValidation type="list" allowBlank="1" showInputMessage="1" showErrorMessage="1" sqref="C3:C7" xr:uid="{D6542F6F-B2E3-4546-A1C4-76E9D9F6D501}">
      <formula1>Lista_Produtos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17D68E-B98C-4350-B8EE-518F84C088BE}">
          <x14:formula1>
            <xm:f>#REF!</xm:f>
          </x14:formula1>
          <xm:sqref>B3:B7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1175C-2BBA-4ABD-A14E-B5E77D335989}">
  <sheetPr codeName="Planilha16"/>
  <dimension ref="A1:C30"/>
  <sheetViews>
    <sheetView topLeftCell="A12" workbookViewId="0">
      <selection activeCell="A29" sqref="A29"/>
    </sheetView>
  </sheetViews>
  <sheetFormatPr defaultRowHeight="14.4" outlineLevelRow="1" x14ac:dyDescent="0.3"/>
  <cols>
    <col min="1" max="3" width="51.88671875" style="1" customWidth="1"/>
  </cols>
  <sheetData>
    <row r="1" spans="1:3" ht="15.6" x14ac:dyDescent="0.3">
      <c r="A1" s="27" t="s">
        <v>222</v>
      </c>
      <c r="B1" s="27"/>
      <c r="C1" s="27"/>
    </row>
    <row r="2" spans="1:3" x14ac:dyDescent="0.3">
      <c r="A2" s="17" t="s">
        <v>223</v>
      </c>
      <c r="B2" s="17" t="s">
        <v>226</v>
      </c>
      <c r="C2" s="17" t="s">
        <v>224</v>
      </c>
    </row>
    <row r="3" spans="1:3" outlineLevel="1" x14ac:dyDescent="0.3">
      <c r="A3" s="1" t="s">
        <v>225</v>
      </c>
      <c r="B3" s="1" t="s">
        <v>227</v>
      </c>
      <c r="C3" s="1">
        <v>7</v>
      </c>
    </row>
    <row r="4" spans="1:3" outlineLevel="1" x14ac:dyDescent="0.3">
      <c r="A4" s="1" t="s">
        <v>230</v>
      </c>
      <c r="B4" s="1" t="s">
        <v>228</v>
      </c>
      <c r="C4" s="1">
        <v>5</v>
      </c>
    </row>
    <row r="5" spans="1:3" outlineLevel="1" x14ac:dyDescent="0.3">
      <c r="A5" s="1" t="s">
        <v>229</v>
      </c>
      <c r="B5" s="1" t="s">
        <v>231</v>
      </c>
      <c r="C5" s="1">
        <v>15</v>
      </c>
    </row>
    <row r="6" spans="1:3" outlineLevel="1" x14ac:dyDescent="0.3">
      <c r="A6" s="1" t="s">
        <v>233</v>
      </c>
      <c r="B6" s="1" t="s">
        <v>232</v>
      </c>
      <c r="C6" s="1">
        <v>16</v>
      </c>
    </row>
    <row r="7" spans="1:3" outlineLevel="1" x14ac:dyDescent="0.3">
      <c r="A7" s="1" t="s">
        <v>234</v>
      </c>
      <c r="B7" s="1" t="s">
        <v>235</v>
      </c>
      <c r="C7" s="1">
        <v>10</v>
      </c>
    </row>
    <row r="8" spans="1:3" outlineLevel="1" x14ac:dyDescent="0.3">
      <c r="A8" s="1" t="s">
        <v>236</v>
      </c>
      <c r="B8" s="1" t="s">
        <v>235</v>
      </c>
      <c r="C8" s="1">
        <v>13</v>
      </c>
    </row>
    <row r="9" spans="1:3" outlineLevel="1" x14ac:dyDescent="0.3">
      <c r="A9" s="1" t="s">
        <v>237</v>
      </c>
      <c r="B9" s="1" t="s">
        <v>235</v>
      </c>
      <c r="C9" s="1">
        <v>12</v>
      </c>
    </row>
    <row r="10" spans="1:3" outlineLevel="1" x14ac:dyDescent="0.3">
      <c r="A10" s="1" t="s">
        <v>238</v>
      </c>
      <c r="B10" s="1" t="s">
        <v>235</v>
      </c>
      <c r="C10" s="1">
        <v>10</v>
      </c>
    </row>
    <row r="11" spans="1:3" outlineLevel="1" x14ac:dyDescent="0.3">
      <c r="A11" s="1" t="s">
        <v>239</v>
      </c>
      <c r="B11" s="1" t="s">
        <v>240</v>
      </c>
      <c r="C11" s="1">
        <v>6</v>
      </c>
    </row>
    <row r="12" spans="1:3" outlineLevel="1" x14ac:dyDescent="0.3">
      <c r="A12" s="1" t="s">
        <v>241</v>
      </c>
      <c r="B12" s="1" t="s">
        <v>240</v>
      </c>
      <c r="C12" s="1">
        <v>6</v>
      </c>
    </row>
    <row r="13" spans="1:3" outlineLevel="1" x14ac:dyDescent="0.3">
      <c r="A13" s="1" t="s">
        <v>242</v>
      </c>
      <c r="B13" s="1" t="s">
        <v>240</v>
      </c>
      <c r="C13" s="1">
        <v>7</v>
      </c>
    </row>
    <row r="14" spans="1:3" outlineLevel="1" x14ac:dyDescent="0.3">
      <c r="A14" s="1" t="s">
        <v>243</v>
      </c>
      <c r="B14" s="1" t="s">
        <v>240</v>
      </c>
      <c r="C14" s="1">
        <v>4</v>
      </c>
    </row>
    <row r="16" spans="1:3" ht="15.6" x14ac:dyDescent="0.3">
      <c r="A16" s="27" t="s">
        <v>244</v>
      </c>
      <c r="B16" s="27"/>
      <c r="C16" s="27"/>
    </row>
    <row r="17" spans="1:3" x14ac:dyDescent="0.3">
      <c r="A17" s="17" t="s">
        <v>223</v>
      </c>
      <c r="B17" s="17" t="s">
        <v>226</v>
      </c>
      <c r="C17" s="17" t="s">
        <v>224</v>
      </c>
    </row>
    <row r="18" spans="1:3" outlineLevel="1" x14ac:dyDescent="0.3">
      <c r="A18" s="1" t="s">
        <v>245</v>
      </c>
      <c r="B18" s="1" t="s">
        <v>246</v>
      </c>
      <c r="C18" s="1">
        <v>8</v>
      </c>
    </row>
    <row r="20" spans="1:3" ht="15.6" x14ac:dyDescent="0.3">
      <c r="A20" s="27" t="s">
        <v>287</v>
      </c>
      <c r="B20" s="27"/>
      <c r="C20" s="27"/>
    </row>
    <row r="21" spans="1:3" x14ac:dyDescent="0.3">
      <c r="A21" s="17" t="s">
        <v>223</v>
      </c>
      <c r="B21" s="17" t="s">
        <v>226</v>
      </c>
      <c r="C21" s="17" t="s">
        <v>224</v>
      </c>
    </row>
    <row r="22" spans="1:3" outlineLevel="1" x14ac:dyDescent="0.3">
      <c r="A22" s="1" t="s">
        <v>251</v>
      </c>
      <c r="B22" s="1" t="s">
        <v>252</v>
      </c>
      <c r="C22" s="1">
        <f>4+11+6+8</f>
        <v>29</v>
      </c>
    </row>
    <row r="23" spans="1:3" outlineLevel="1" x14ac:dyDescent="0.3">
      <c r="A23" s="1" t="s">
        <v>253</v>
      </c>
      <c r="B23" s="1" t="s">
        <v>254</v>
      </c>
      <c r="C23" s="1">
        <v>19</v>
      </c>
    </row>
    <row r="24" spans="1:3" outlineLevel="1" x14ac:dyDescent="0.3">
      <c r="A24" s="1" t="s">
        <v>253</v>
      </c>
      <c r="B24" s="1" t="s">
        <v>255</v>
      </c>
      <c r="C24" s="1">
        <f>12+14</f>
        <v>26</v>
      </c>
    </row>
    <row r="25" spans="1:3" outlineLevel="1" x14ac:dyDescent="0.3">
      <c r="A25" s="1" t="s">
        <v>259</v>
      </c>
      <c r="B25" s="1" t="s">
        <v>258</v>
      </c>
      <c r="C25" s="1">
        <v>9</v>
      </c>
    </row>
    <row r="27" spans="1:3" ht="15.6" x14ac:dyDescent="0.3">
      <c r="A27" s="27" t="s">
        <v>288</v>
      </c>
      <c r="B27" s="27"/>
      <c r="C27" s="27"/>
    </row>
    <row r="28" spans="1:3" x14ac:dyDescent="0.3">
      <c r="A28" s="17" t="s">
        <v>223</v>
      </c>
      <c r="B28" s="17" t="s">
        <v>226</v>
      </c>
      <c r="C28" s="17" t="s">
        <v>224</v>
      </c>
    </row>
    <row r="29" spans="1:3" outlineLevel="1" x14ac:dyDescent="0.3"/>
    <row r="30" spans="1:3" outlineLevel="1" x14ac:dyDescent="0.3"/>
  </sheetData>
  <mergeCells count="4">
    <mergeCell ref="A1:C1"/>
    <mergeCell ref="A16:C16"/>
    <mergeCell ref="A20:C20"/>
    <mergeCell ref="A27:C27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C3528-F644-406B-89AE-8CD060F15370}">
  <sheetPr codeName="Planilha17"/>
  <dimension ref="A1:F15"/>
  <sheetViews>
    <sheetView workbookViewId="0">
      <selection activeCell="E5" sqref="E5"/>
    </sheetView>
  </sheetViews>
  <sheetFormatPr defaultRowHeight="14.4" x14ac:dyDescent="0.3"/>
  <cols>
    <col min="1" max="1" width="28.109375" style="5" bestFit="1" customWidth="1"/>
    <col min="2" max="2" width="52.6640625" style="5" bestFit="1" customWidth="1"/>
    <col min="3" max="3" width="21" style="5" customWidth="1"/>
    <col min="4" max="4" width="13" style="5" customWidth="1"/>
    <col min="5" max="5" width="34" style="5" customWidth="1"/>
    <col min="6" max="6" width="21.33203125" style="5" bestFit="1" customWidth="1"/>
  </cols>
  <sheetData>
    <row r="1" spans="1:6" s="3" customFormat="1" ht="28.8" x14ac:dyDescent="0.3">
      <c r="A1" s="19" t="s">
        <v>262</v>
      </c>
      <c r="B1" s="19" t="s">
        <v>263</v>
      </c>
      <c r="C1" s="19" t="s">
        <v>265</v>
      </c>
      <c r="D1" s="20" t="s">
        <v>279</v>
      </c>
      <c r="E1" s="20" t="s">
        <v>268</v>
      </c>
      <c r="F1" s="19" t="s">
        <v>264</v>
      </c>
    </row>
    <row r="2" spans="1:6" x14ac:dyDescent="0.3">
      <c r="A2" s="5" t="s">
        <v>26</v>
      </c>
      <c r="B2" s="5">
        <v>2</v>
      </c>
      <c r="C2" s="5" t="s">
        <v>267</v>
      </c>
      <c r="D2" s="5">
        <v>1</v>
      </c>
      <c r="E2" s="5" t="s">
        <v>273</v>
      </c>
      <c r="F2" s="5">
        <f>VLOOKUP(E2,Auxiliares!AC:AD,2,0)*B2*tblPriorizacaoEffort[[#This Row],[Duplicar Esforço por]]</f>
        <v>8</v>
      </c>
    </row>
    <row r="3" spans="1:6" x14ac:dyDescent="0.3">
      <c r="A3" s="5" t="s">
        <v>26</v>
      </c>
      <c r="B3" s="5">
        <v>1</v>
      </c>
      <c r="C3" s="5" t="s">
        <v>274</v>
      </c>
      <c r="D3" s="5">
        <v>1</v>
      </c>
      <c r="E3" s="5" t="s">
        <v>272</v>
      </c>
      <c r="F3" s="5">
        <f>VLOOKUP(E3,Auxiliares!AC:AD,2,0)*B3*tblPriorizacaoEffort[[#This Row],[Duplicar Esforço por]]</f>
        <v>1</v>
      </c>
    </row>
    <row r="4" spans="1:6" x14ac:dyDescent="0.3">
      <c r="A4" s="5" t="s">
        <v>221</v>
      </c>
      <c r="B4" s="5">
        <v>1</v>
      </c>
      <c r="C4" s="5" t="s">
        <v>266</v>
      </c>
      <c r="D4" s="5">
        <v>1</v>
      </c>
      <c r="E4" s="5" t="s">
        <v>273</v>
      </c>
      <c r="F4" s="5">
        <f>VLOOKUP(E4,Auxiliares!AC:AD,2,0)*B4*tblPriorizacaoEffort[[#This Row],[Duplicar Esforço por]]</f>
        <v>4</v>
      </c>
    </row>
    <row r="5" spans="1:6" x14ac:dyDescent="0.3">
      <c r="A5" s="5" t="s">
        <v>221</v>
      </c>
      <c r="B5" s="5">
        <v>1</v>
      </c>
      <c r="C5" s="5" t="s">
        <v>267</v>
      </c>
      <c r="D5" s="5">
        <v>1</v>
      </c>
      <c r="E5" s="5" t="s">
        <v>273</v>
      </c>
      <c r="F5" s="5">
        <f>VLOOKUP(E5,Auxiliares!AC:AD,2,0)*B5*tblPriorizacaoEffort[[#This Row],[Duplicar Esforço por]]</f>
        <v>4</v>
      </c>
    </row>
    <row r="6" spans="1:6" x14ac:dyDescent="0.3">
      <c r="A6" s="5" t="s">
        <v>221</v>
      </c>
      <c r="B6" s="5">
        <v>1</v>
      </c>
      <c r="C6" s="5" t="s">
        <v>267</v>
      </c>
      <c r="D6" s="5">
        <v>1</v>
      </c>
      <c r="E6" s="5" t="s">
        <v>275</v>
      </c>
      <c r="F6" s="5">
        <f>VLOOKUP(E6,Auxiliares!AC:AD,2,0)*B6*tblPriorizacaoEffort[[#This Row],[Duplicar Esforço por]]</f>
        <v>6</v>
      </c>
    </row>
    <row r="7" spans="1:6" x14ac:dyDescent="0.3">
      <c r="A7" s="5" t="s">
        <v>221</v>
      </c>
      <c r="B7" s="5">
        <v>2</v>
      </c>
      <c r="C7" s="5" t="s">
        <v>267</v>
      </c>
      <c r="D7" s="5">
        <v>1</v>
      </c>
      <c r="E7" s="5" t="s">
        <v>276</v>
      </c>
      <c r="F7" s="5">
        <f>VLOOKUP(E7,Auxiliares!AC:AD,2,0)*B7*tblPriorizacaoEffort[[#This Row],[Duplicar Esforço por]]</f>
        <v>16</v>
      </c>
    </row>
    <row r="8" spans="1:6" x14ac:dyDescent="0.3">
      <c r="A8" s="5" t="s">
        <v>221</v>
      </c>
      <c r="B8" s="5">
        <v>1</v>
      </c>
      <c r="C8" s="5" t="s">
        <v>277</v>
      </c>
      <c r="D8" s="5">
        <v>6</v>
      </c>
      <c r="E8" s="5" t="s">
        <v>272</v>
      </c>
      <c r="F8" s="5">
        <f>VLOOKUP(E8,Auxiliares!AC:AD,2,0)*B8*tblPriorizacaoEffort[[#This Row],[Duplicar Esforço por]]</f>
        <v>6</v>
      </c>
    </row>
    <row r="9" spans="1:6" x14ac:dyDescent="0.3">
      <c r="A9" s="5" t="s">
        <v>221</v>
      </c>
      <c r="B9" s="5">
        <v>1</v>
      </c>
      <c r="C9" s="5" t="s">
        <v>277</v>
      </c>
      <c r="D9" s="5">
        <v>6</v>
      </c>
      <c r="E9" s="5" t="s">
        <v>272</v>
      </c>
      <c r="F9" s="5">
        <f>VLOOKUP(E9,Auxiliares!AC:AD,2,0)*B9*tblPriorizacaoEffort[[#This Row],[Duplicar Esforço por]]</f>
        <v>6</v>
      </c>
    </row>
    <row r="10" spans="1:6" x14ac:dyDescent="0.3">
      <c r="A10" s="5" t="s">
        <v>221</v>
      </c>
      <c r="B10" s="5">
        <v>1</v>
      </c>
      <c r="C10" s="5" t="s">
        <v>278</v>
      </c>
      <c r="D10" s="5">
        <v>6</v>
      </c>
      <c r="E10" s="5" t="s">
        <v>272</v>
      </c>
      <c r="F10" s="5">
        <f>VLOOKUP(E10,Auxiliares!AC:AD,2,0)*B10*tblPriorizacaoEffort[[#This Row],[Duplicar Esforço por]]</f>
        <v>6</v>
      </c>
    </row>
    <row r="11" spans="1:6" ht="28.8" x14ac:dyDescent="0.3">
      <c r="A11" s="8" t="s">
        <v>29</v>
      </c>
      <c r="B11" s="5">
        <v>1</v>
      </c>
      <c r="C11" s="5" t="s">
        <v>267</v>
      </c>
      <c r="D11" s="5">
        <v>1</v>
      </c>
      <c r="E11" s="5" t="s">
        <v>269</v>
      </c>
      <c r="F11" s="5">
        <f>VLOOKUP(E11,Auxiliares!AC:AD,2,0)*B11*tblPriorizacaoEffort[[#This Row],[Duplicar Esforço por]]</f>
        <v>2</v>
      </c>
    </row>
    <row r="12" spans="1:6" ht="28.8" x14ac:dyDescent="0.3">
      <c r="A12" s="8" t="s">
        <v>29</v>
      </c>
      <c r="B12" s="5">
        <v>1</v>
      </c>
      <c r="C12" s="5" t="s">
        <v>267</v>
      </c>
      <c r="D12" s="5">
        <v>3</v>
      </c>
      <c r="E12" s="5" t="s">
        <v>269</v>
      </c>
      <c r="F12" s="5">
        <f>VLOOKUP(E12,Auxiliares!AC:AD,2,0)*B12*tblPriorizacaoEffort[[#This Row],[Duplicar Esforço por]]</f>
        <v>6</v>
      </c>
    </row>
    <row r="13" spans="1:6" ht="28.8" x14ac:dyDescent="0.3">
      <c r="A13" s="8" t="s">
        <v>29</v>
      </c>
      <c r="B13" s="5">
        <v>1</v>
      </c>
      <c r="C13" s="5" t="s">
        <v>274</v>
      </c>
      <c r="D13" s="5">
        <v>2</v>
      </c>
      <c r="E13" s="5" t="s">
        <v>272</v>
      </c>
      <c r="F13" s="5">
        <f>VLOOKUP(E13,Auxiliares!AC:AD,2,0)*B13*tblPriorizacaoEffort[[#This Row],[Duplicar Esforço por]]</f>
        <v>2</v>
      </c>
    </row>
    <row r="14" spans="1:6" ht="28.8" x14ac:dyDescent="0.3">
      <c r="A14" s="8" t="s">
        <v>29</v>
      </c>
      <c r="B14" s="5">
        <v>1</v>
      </c>
      <c r="C14" s="5" t="s">
        <v>277</v>
      </c>
      <c r="D14" s="5">
        <v>2</v>
      </c>
      <c r="E14" s="5" t="s">
        <v>269</v>
      </c>
      <c r="F14" s="5">
        <f>VLOOKUP(E14,Auxiliares!AC:AD,2,0)*B14*tblPriorizacaoEffort[[#This Row],[Duplicar Esforço por]]</f>
        <v>4</v>
      </c>
    </row>
    <row r="15" spans="1:6" ht="28.8" x14ac:dyDescent="0.3">
      <c r="A15" s="8" t="s">
        <v>29</v>
      </c>
      <c r="B15" s="5">
        <v>1</v>
      </c>
      <c r="C15" s="5" t="s">
        <v>277</v>
      </c>
      <c r="D15" s="5">
        <v>2</v>
      </c>
      <c r="E15" s="5" t="s">
        <v>269</v>
      </c>
      <c r="F15" s="5">
        <f>VLOOKUP(E15,Auxiliares!AC:AD,2,0)*B15*tblPriorizacaoEffort[[#This Row],[Duplicar Esforço por]]</f>
        <v>4</v>
      </c>
    </row>
  </sheetData>
  <dataValidations count="5">
    <dataValidation type="whole" allowBlank="1" showInputMessage="1" showErrorMessage="1" sqref="B2:B15" xr:uid="{E2C1F63D-BCCE-4069-B990-EC004031E7DA}">
      <formula1>0</formula1>
      <formula2>100</formula2>
    </dataValidation>
    <dataValidation type="list" allowBlank="1" showInputMessage="1" showErrorMessage="1" sqref="C2:C15" xr:uid="{B6FA9BE5-022B-4B51-B1E0-CE0D16C8EC74}">
      <formula1>"Estagiário(a),Analista,Product Designer,TechLead,Governança"</formula1>
    </dataValidation>
    <dataValidation type="list" allowBlank="1" showInputMessage="1" showErrorMessage="1" sqref="E2:E15" xr:uid="{0056306B-2B8F-4B19-A003-99030AC1C96B}">
      <formula1>ListaEffort</formula1>
    </dataValidation>
    <dataValidation type="list" allowBlank="1" showInputMessage="1" showErrorMessage="1" sqref="A4:A10" xr:uid="{ED283518-DEA5-4C98-B0BC-49EEC952FD58}">
      <formula1>Lista_Produtos</formula1>
    </dataValidation>
    <dataValidation type="whole" allowBlank="1" showInputMessage="1" showErrorMessage="1" sqref="D2:D15" xr:uid="{9026299E-CABD-4CC0-A82D-6F2DE114E9AD}">
      <formula1>0</formula1>
      <formula2>30</formula2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D5F40-DF69-41FA-BE00-9DD522151E00}">
  <sheetPr codeName="Planilha8"/>
  <dimension ref="A1:AD18"/>
  <sheetViews>
    <sheetView topLeftCell="N1" workbookViewId="0"/>
  </sheetViews>
  <sheetFormatPr defaultRowHeight="14.4" x14ac:dyDescent="0.3"/>
  <cols>
    <col min="1" max="1" width="20.109375" style="1" customWidth="1"/>
    <col min="2" max="2" width="11.77734375" style="1" customWidth="1"/>
    <col min="3" max="3" width="45.6640625" style="1" bestFit="1" customWidth="1"/>
    <col min="4" max="4" width="5.5546875" style="1" bestFit="1" customWidth="1"/>
    <col min="5" max="5" width="8.5546875" style="1" bestFit="1" customWidth="1"/>
    <col min="6" max="6" width="20.88671875" style="1" customWidth="1"/>
    <col min="7" max="7" width="16.88671875" style="1" customWidth="1"/>
    <col min="8" max="8" width="18.6640625" style="1" customWidth="1"/>
    <col min="9" max="9" width="22.6640625" style="1" customWidth="1"/>
    <col min="10" max="10" width="12.77734375" style="1" customWidth="1"/>
    <col min="11" max="11" width="16.88671875" style="1" bestFit="1" customWidth="1"/>
    <col min="12" max="12" width="28.44140625" style="1" bestFit="1" customWidth="1"/>
    <col min="13" max="13" width="12" style="1" bestFit="1" customWidth="1"/>
    <col min="14" max="14" width="13.77734375" style="1" bestFit="1" customWidth="1"/>
    <col min="15" max="15" width="5.77734375" style="1" bestFit="1" customWidth="1"/>
    <col min="16" max="16" width="31.6640625" style="1" bestFit="1" customWidth="1"/>
    <col min="17" max="17" width="14.33203125" style="1" bestFit="1" customWidth="1"/>
    <col min="18" max="18" width="24.33203125" style="1" bestFit="1" customWidth="1"/>
    <col min="20" max="21" width="20.6640625" style="1" customWidth="1"/>
    <col min="22" max="22" width="36.77734375" style="1" bestFit="1" customWidth="1"/>
    <col min="24" max="24" width="13.44140625" style="5" bestFit="1" customWidth="1"/>
    <col min="26" max="26" width="10.5546875" bestFit="1" customWidth="1"/>
    <col min="29" max="29" width="34" style="1" customWidth="1"/>
    <col min="30" max="30" width="17.77734375" style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T1" s="24" t="s">
        <v>186</v>
      </c>
      <c r="U1" s="24"/>
      <c r="V1" s="24"/>
      <c r="X1" s="4" t="s">
        <v>194</v>
      </c>
      <c r="Z1" s="28" t="s">
        <v>216</v>
      </c>
      <c r="AA1" s="28"/>
      <c r="AC1" s="29" t="s">
        <v>264</v>
      </c>
      <c r="AD1" s="29"/>
    </row>
    <row r="2" spans="1:30" x14ac:dyDescent="0.3">
      <c r="A2" s="1" t="s">
        <v>18</v>
      </c>
      <c r="B2" s="1" t="s">
        <v>20</v>
      </c>
      <c r="C2" s="1" t="s">
        <v>23</v>
      </c>
      <c r="F2" s="1" t="s">
        <v>31</v>
      </c>
      <c r="G2" s="1" t="s">
        <v>33</v>
      </c>
      <c r="H2" s="1" t="s">
        <v>35</v>
      </c>
      <c r="I2" s="1" t="s">
        <v>40</v>
      </c>
      <c r="J2" s="1" t="s">
        <v>42</v>
      </c>
      <c r="K2" s="1" t="s">
        <v>47</v>
      </c>
      <c r="Q2" s="1" t="s">
        <v>53</v>
      </c>
      <c r="T2" s="1" t="s">
        <v>105</v>
      </c>
      <c r="U2" s="1" t="s">
        <v>106</v>
      </c>
      <c r="V2" s="1" t="s">
        <v>187</v>
      </c>
      <c r="X2" s="5" t="s">
        <v>195</v>
      </c>
      <c r="Z2" s="1" t="s">
        <v>217</v>
      </c>
      <c r="AA2" s="1" t="s">
        <v>218</v>
      </c>
      <c r="AC2" s="7" t="s">
        <v>268</v>
      </c>
      <c r="AD2" s="7" t="s">
        <v>270</v>
      </c>
    </row>
    <row r="3" spans="1:30" x14ac:dyDescent="0.3">
      <c r="A3" s="1" t="s">
        <v>19</v>
      </c>
      <c r="B3" s="1" t="s">
        <v>21</v>
      </c>
      <c r="C3" s="1" t="s">
        <v>24</v>
      </c>
      <c r="F3" s="1" t="s">
        <v>37</v>
      </c>
      <c r="G3" s="1" t="s">
        <v>34</v>
      </c>
      <c r="H3" s="1" t="s">
        <v>36</v>
      </c>
      <c r="I3" s="1" t="s">
        <v>41</v>
      </c>
      <c r="J3" s="1" t="s">
        <v>43</v>
      </c>
      <c r="K3" s="1" t="s">
        <v>48</v>
      </c>
      <c r="Q3" s="1" t="s">
        <v>54</v>
      </c>
      <c r="T3" s="7" t="s">
        <v>35</v>
      </c>
      <c r="U3" s="8" t="s">
        <v>110</v>
      </c>
      <c r="V3" s="1" t="str">
        <f>_xlfn.CONCAT(T3, " - ",U3)</f>
        <v>Discovery - Backlog de Ideias</v>
      </c>
      <c r="X3" s="5" t="s">
        <v>196</v>
      </c>
      <c r="Z3" s="15">
        <v>45907</v>
      </c>
      <c r="AA3" s="1" t="str">
        <f>CHOOSE(WEEKDAY(Z3,2),"Segunda","Terça","Quarta","Quinta","Sexta","Sábado","Domingo")</f>
        <v>Domingo</v>
      </c>
      <c r="AC3" s="8" t="s">
        <v>271</v>
      </c>
      <c r="AD3" s="8">
        <v>0.5</v>
      </c>
    </row>
    <row r="4" spans="1:30" x14ac:dyDescent="0.3">
      <c r="B4" s="1" t="s">
        <v>22</v>
      </c>
      <c r="C4" s="1" t="s">
        <v>25</v>
      </c>
      <c r="F4" s="1" t="s">
        <v>38</v>
      </c>
      <c r="J4" s="1" t="s">
        <v>44</v>
      </c>
      <c r="K4" s="1" t="s">
        <v>49</v>
      </c>
      <c r="Q4" s="1" t="s">
        <v>43</v>
      </c>
      <c r="T4" s="7" t="s">
        <v>35</v>
      </c>
      <c r="U4" s="8" t="s">
        <v>114</v>
      </c>
      <c r="V4" s="1" t="str">
        <f t="shared" ref="V4:V15" si="0">_xlfn.CONCAT(T4, " - ",U4)</f>
        <v>Discovery - Pesquisa &amp; Benchmark</v>
      </c>
      <c r="X4" s="5" t="s">
        <v>197</v>
      </c>
      <c r="Z4" s="15">
        <v>45942</v>
      </c>
      <c r="AA4" s="1" t="str">
        <f>CHOOSE(WEEKDAY(Z4,2),"Segunda","Terça","Quarta","Quinta","Sexta","Sábado","Domingo")</f>
        <v>Domingo</v>
      </c>
      <c r="AC4" s="8" t="s">
        <v>272</v>
      </c>
      <c r="AD4" s="8">
        <v>1</v>
      </c>
    </row>
    <row r="5" spans="1:30" x14ac:dyDescent="0.3">
      <c r="C5" s="1" t="s">
        <v>26</v>
      </c>
      <c r="F5" s="1" t="s">
        <v>32</v>
      </c>
      <c r="J5" s="1" t="s">
        <v>45</v>
      </c>
      <c r="K5" s="1" t="s">
        <v>50</v>
      </c>
      <c r="Q5" s="1" t="s">
        <v>55</v>
      </c>
      <c r="T5" s="7" t="s">
        <v>35</v>
      </c>
      <c r="U5" s="8" t="s">
        <v>118</v>
      </c>
      <c r="V5" s="1" t="str">
        <f t="shared" si="0"/>
        <v>Discovery - Wireframes &amp; Fluxos</v>
      </c>
      <c r="X5" s="5" t="s">
        <v>198</v>
      </c>
      <c r="Z5" s="15">
        <v>45963</v>
      </c>
      <c r="AA5" s="1" t="str">
        <f>CHOOSE(WEEKDAY(Z5,2),"Segunda","Terça","Quarta","Quinta","Sexta","Sábado","Domingo")</f>
        <v>Domingo</v>
      </c>
      <c r="AC5" s="8" t="s">
        <v>269</v>
      </c>
      <c r="AD5" s="8">
        <v>2</v>
      </c>
    </row>
    <row r="6" spans="1:30" x14ac:dyDescent="0.3">
      <c r="C6" s="1" t="s">
        <v>27</v>
      </c>
      <c r="F6" s="1" t="s">
        <v>39</v>
      </c>
      <c r="K6" s="1" t="s">
        <v>51</v>
      </c>
      <c r="Q6" s="1" t="s">
        <v>56</v>
      </c>
      <c r="T6" s="7" t="s">
        <v>35</v>
      </c>
      <c r="U6" s="8" t="s">
        <v>122</v>
      </c>
      <c r="V6" s="1" t="str">
        <f t="shared" si="0"/>
        <v>Discovery - Protótipos &amp; Testes</v>
      </c>
      <c r="X6" s="5" t="s">
        <v>199</v>
      </c>
      <c r="Z6" s="15">
        <v>45976</v>
      </c>
      <c r="AA6" s="1" t="str">
        <f>CHOOSE(WEEKDAY(Z6,2),"Segunda","Terça","Quarta","Quinta","Sexta","Sábado","Domingo")</f>
        <v>Sábado</v>
      </c>
      <c r="AC6" s="8" t="s">
        <v>273</v>
      </c>
      <c r="AD6" s="8">
        <v>4</v>
      </c>
    </row>
    <row r="7" spans="1:30" x14ac:dyDescent="0.3">
      <c r="C7" s="1" t="s">
        <v>28</v>
      </c>
      <c r="K7" s="1" t="s">
        <v>52</v>
      </c>
      <c r="T7" s="7" t="s">
        <v>35</v>
      </c>
      <c r="U7" s="8" t="s">
        <v>126</v>
      </c>
      <c r="V7" s="1" t="str">
        <f t="shared" si="0"/>
        <v>Discovery - Validação Técnica</v>
      </c>
      <c r="X7" s="5" t="s">
        <v>200</v>
      </c>
      <c r="AC7" s="8" t="s">
        <v>275</v>
      </c>
      <c r="AD7" s="8">
        <v>6</v>
      </c>
    </row>
    <row r="8" spans="1:30" ht="28.8" x14ac:dyDescent="0.3">
      <c r="C8" s="1" t="s">
        <v>29</v>
      </c>
      <c r="T8" s="7" t="s">
        <v>35</v>
      </c>
      <c r="U8" s="8" t="s">
        <v>130</v>
      </c>
      <c r="V8" s="1" t="str">
        <f t="shared" si="0"/>
        <v>Discovery - Aprovação &amp; Priorização</v>
      </c>
      <c r="X8" s="5" t="s">
        <v>201</v>
      </c>
      <c r="AC8" s="8" t="s">
        <v>276</v>
      </c>
      <c r="AD8" s="8">
        <v>8</v>
      </c>
    </row>
    <row r="9" spans="1:30" x14ac:dyDescent="0.3">
      <c r="C9" s="1" t="s">
        <v>30</v>
      </c>
      <c r="T9" s="7" t="s">
        <v>35</v>
      </c>
      <c r="U9" s="8" t="s">
        <v>51</v>
      </c>
      <c r="V9" s="1" t="str">
        <f>_xlfn.CONCAT(T9, " - ",U9)</f>
        <v>Discovery - Com impedimentos</v>
      </c>
      <c r="X9" s="5" t="s">
        <v>202</v>
      </c>
    </row>
    <row r="10" spans="1:30" x14ac:dyDescent="0.3">
      <c r="C10" s="1" t="s">
        <v>46</v>
      </c>
      <c r="T10" s="7" t="s">
        <v>35</v>
      </c>
      <c r="U10" s="8" t="s">
        <v>52</v>
      </c>
      <c r="V10" s="1" t="str">
        <f>_xlfn.CONCAT(T10, " - ",U10)</f>
        <v>Discovery - Cancelado</v>
      </c>
      <c r="X10" s="5" t="s">
        <v>203</v>
      </c>
    </row>
    <row r="11" spans="1:30" ht="28.8" x14ac:dyDescent="0.3">
      <c r="C11" s="5" t="s">
        <v>219</v>
      </c>
      <c r="T11" s="7" t="s">
        <v>36</v>
      </c>
      <c r="U11" s="8" t="s">
        <v>134</v>
      </c>
      <c r="V11" s="1" t="str">
        <f t="shared" si="0"/>
        <v>Delivery - Backlog de Desenvolvimento</v>
      </c>
      <c r="X11" s="5" t="s">
        <v>207</v>
      </c>
    </row>
    <row r="12" spans="1:30" ht="28.8" x14ac:dyDescent="0.3">
      <c r="C12" s="5" t="s">
        <v>284</v>
      </c>
      <c r="T12" s="7" t="s">
        <v>36</v>
      </c>
      <c r="U12" s="8" t="s">
        <v>138</v>
      </c>
      <c r="V12" s="1" t="str">
        <f t="shared" si="0"/>
        <v>Delivery - Desenvolvimento em Andamento</v>
      </c>
      <c r="X12" s="5" t="s">
        <v>208</v>
      </c>
    </row>
    <row r="13" spans="1:30" x14ac:dyDescent="0.3">
      <c r="T13" s="7" t="s">
        <v>36</v>
      </c>
      <c r="U13" s="8" t="s">
        <v>142</v>
      </c>
      <c r="V13" s="1" t="str">
        <f t="shared" si="0"/>
        <v>Delivery - Homologação &amp; Ajustes</v>
      </c>
      <c r="X13" s="5" t="s">
        <v>204</v>
      </c>
    </row>
    <row r="14" spans="1:30" x14ac:dyDescent="0.3">
      <c r="T14" s="7" t="s">
        <v>36</v>
      </c>
      <c r="U14" s="8" t="s">
        <v>146</v>
      </c>
      <c r="V14" s="1" t="str">
        <f t="shared" si="0"/>
        <v>Delivery - Pronto para Deploy</v>
      </c>
      <c r="X14" s="5" t="s">
        <v>205</v>
      </c>
    </row>
    <row r="15" spans="1:30" ht="28.8" x14ac:dyDescent="0.3">
      <c r="T15" s="7" t="s">
        <v>36</v>
      </c>
      <c r="U15" s="8" t="s">
        <v>150</v>
      </c>
      <c r="V15" s="1" t="str">
        <f t="shared" si="0"/>
        <v>Delivery - Deploy &amp; Monitoramento</v>
      </c>
      <c r="X15" s="5" t="s">
        <v>206</v>
      </c>
    </row>
    <row r="16" spans="1:30" x14ac:dyDescent="0.3">
      <c r="T16" s="7" t="s">
        <v>36</v>
      </c>
      <c r="U16" s="8" t="s">
        <v>190</v>
      </c>
      <c r="V16" s="1" t="str">
        <f>_xlfn.CONCAT(T16, " - ",U16)</f>
        <v>Delivery - Entrega</v>
      </c>
    </row>
    <row r="17" spans="20:22" x14ac:dyDescent="0.3">
      <c r="T17" s="7" t="s">
        <v>36</v>
      </c>
      <c r="U17" s="8" t="s">
        <v>51</v>
      </c>
      <c r="V17" s="1" t="str">
        <f>_xlfn.CONCAT(T17, " - ",U17)</f>
        <v>Delivery - Com impedimentos</v>
      </c>
    </row>
    <row r="18" spans="20:22" x14ac:dyDescent="0.3">
      <c r="T18" s="7" t="s">
        <v>36</v>
      </c>
      <c r="U18" s="8" t="s">
        <v>52</v>
      </c>
      <c r="V18" s="1" t="str">
        <f>_xlfn.CONCAT(T18, " - ",U18)</f>
        <v>Delivery - Cancelado</v>
      </c>
    </row>
  </sheetData>
  <mergeCells count="3">
    <mergeCell ref="T1:V1"/>
    <mergeCell ref="Z1:AA1"/>
    <mergeCell ref="AC1:AD1"/>
  </mergeCells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8B9F-5651-418D-934F-8A099C6CFFFF}">
  <sheetPr codeName="Planilha10"/>
  <dimension ref="A1:C5"/>
  <sheetViews>
    <sheetView workbookViewId="0"/>
  </sheetViews>
  <sheetFormatPr defaultRowHeight="14.4" x14ac:dyDescent="0.3"/>
  <cols>
    <col min="1" max="2" width="42.88671875" style="1" customWidth="1"/>
    <col min="3" max="3" width="78.6640625" style="1" customWidth="1"/>
  </cols>
  <sheetData>
    <row r="1" spans="1:3" x14ac:dyDescent="0.3">
      <c r="A1" s="9" t="s">
        <v>9</v>
      </c>
      <c r="B1" s="9" t="s">
        <v>62</v>
      </c>
      <c r="C1" s="9" t="s">
        <v>63</v>
      </c>
    </row>
    <row r="2" spans="1:3" ht="57.6" x14ac:dyDescent="0.3">
      <c r="A2" s="8" t="s">
        <v>59</v>
      </c>
      <c r="B2" s="8" t="s">
        <v>64</v>
      </c>
      <c r="C2" s="10" t="s">
        <v>69</v>
      </c>
    </row>
    <row r="3" spans="1:3" ht="57.6" x14ac:dyDescent="0.3">
      <c r="A3" s="8" t="s">
        <v>60</v>
      </c>
      <c r="B3" s="8" t="s">
        <v>65</v>
      </c>
      <c r="C3" s="10" t="s">
        <v>70</v>
      </c>
    </row>
    <row r="4" spans="1:3" ht="43.2" x14ac:dyDescent="0.3">
      <c r="A4" s="8" t="s">
        <v>61</v>
      </c>
      <c r="B4" s="8" t="s">
        <v>66</v>
      </c>
      <c r="C4" s="10" t="s">
        <v>71</v>
      </c>
    </row>
    <row r="5" spans="1:3" ht="57.6" x14ac:dyDescent="0.3">
      <c r="A5" s="8" t="s">
        <v>67</v>
      </c>
      <c r="B5" s="8" t="s">
        <v>68</v>
      </c>
      <c r="C5" s="10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8A46-C12E-45D9-9646-BD95E314D266}">
  <sheetPr codeName="Planilha11"/>
  <dimension ref="A1:D4"/>
  <sheetViews>
    <sheetView workbookViewId="0"/>
  </sheetViews>
  <sheetFormatPr defaultRowHeight="14.4" x14ac:dyDescent="0.3"/>
  <cols>
    <col min="1" max="4" width="50.77734375" style="1" customWidth="1"/>
  </cols>
  <sheetData>
    <row r="1" spans="1:4" x14ac:dyDescent="0.3">
      <c r="A1" s="13" t="s">
        <v>89</v>
      </c>
      <c r="B1" s="13" t="s">
        <v>90</v>
      </c>
      <c r="C1" s="13" t="s">
        <v>91</v>
      </c>
      <c r="D1" s="13" t="s">
        <v>92</v>
      </c>
    </row>
    <row r="2" spans="1:4" ht="43.2" x14ac:dyDescent="0.3">
      <c r="A2" s="7" t="s">
        <v>93</v>
      </c>
      <c r="B2" s="8" t="s">
        <v>94</v>
      </c>
      <c r="C2" s="7" t="s">
        <v>95</v>
      </c>
      <c r="D2" s="8" t="s">
        <v>96</v>
      </c>
    </row>
    <row r="3" spans="1:4" ht="43.2" x14ac:dyDescent="0.3">
      <c r="A3" s="7" t="s">
        <v>97</v>
      </c>
      <c r="B3" s="8" t="s">
        <v>98</v>
      </c>
      <c r="C3" s="7" t="s">
        <v>99</v>
      </c>
      <c r="D3" s="8" t="s">
        <v>100</v>
      </c>
    </row>
    <row r="4" spans="1:4" ht="43.2" x14ac:dyDescent="0.3">
      <c r="A4" s="7" t="s">
        <v>101</v>
      </c>
      <c r="B4" s="8" t="s">
        <v>102</v>
      </c>
      <c r="C4" s="7" t="s">
        <v>103</v>
      </c>
      <c r="D4" s="8" t="s">
        <v>104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6860-FD36-4EB1-BB5C-998BE78FB58F}">
  <sheetPr codeName="Planilha12"/>
  <dimension ref="A1:D8"/>
  <sheetViews>
    <sheetView workbookViewId="0">
      <selection sqref="A1:D8"/>
    </sheetView>
  </sheetViews>
  <sheetFormatPr defaultRowHeight="14.4" x14ac:dyDescent="0.3"/>
  <cols>
    <col min="1" max="3" width="34.6640625" style="5" customWidth="1"/>
    <col min="4" max="4" width="74.88671875" style="5" customWidth="1"/>
  </cols>
  <sheetData>
    <row r="1" spans="1:4" x14ac:dyDescent="0.3">
      <c r="A1" s="13" t="s">
        <v>154</v>
      </c>
      <c r="B1" s="13" t="s">
        <v>155</v>
      </c>
      <c r="C1" s="13" t="s">
        <v>156</v>
      </c>
      <c r="D1" s="13" t="s">
        <v>157</v>
      </c>
    </row>
    <row r="2" spans="1:4" ht="28.8" x14ac:dyDescent="0.3">
      <c r="A2" s="7" t="s">
        <v>158</v>
      </c>
      <c r="B2" s="8" t="s">
        <v>159</v>
      </c>
      <c r="C2" s="8" t="s">
        <v>160</v>
      </c>
      <c r="D2" s="10" t="s">
        <v>161</v>
      </c>
    </row>
    <row r="3" spans="1:4" ht="28.8" x14ac:dyDescent="0.3">
      <c r="A3" s="7" t="s">
        <v>162</v>
      </c>
      <c r="B3" s="8" t="s">
        <v>163</v>
      </c>
      <c r="C3" s="8" t="s">
        <v>164</v>
      </c>
      <c r="D3" s="10" t="s">
        <v>165</v>
      </c>
    </row>
    <row r="4" spans="1:4" ht="43.2" x14ac:dyDescent="0.3">
      <c r="A4" s="7" t="s">
        <v>166</v>
      </c>
      <c r="B4" s="8" t="s">
        <v>167</v>
      </c>
      <c r="C4" s="8" t="s">
        <v>168</v>
      </c>
      <c r="D4" s="10" t="s">
        <v>169</v>
      </c>
    </row>
    <row r="5" spans="1:4" ht="28.8" x14ac:dyDescent="0.3">
      <c r="A5" s="7" t="s">
        <v>170</v>
      </c>
      <c r="B5" s="8" t="s">
        <v>171</v>
      </c>
      <c r="C5" s="8" t="s">
        <v>172</v>
      </c>
      <c r="D5" s="10" t="s">
        <v>173</v>
      </c>
    </row>
    <row r="6" spans="1:4" ht="43.2" x14ac:dyDescent="0.3">
      <c r="A6" s="7" t="s">
        <v>174</v>
      </c>
      <c r="B6" s="8" t="s">
        <v>175</v>
      </c>
      <c r="C6" s="8" t="s">
        <v>176</v>
      </c>
      <c r="D6" s="10" t="s">
        <v>177</v>
      </c>
    </row>
    <row r="7" spans="1:4" ht="43.2" x14ac:dyDescent="0.3">
      <c r="A7" s="7" t="s">
        <v>178</v>
      </c>
      <c r="B7" s="8" t="s">
        <v>179</v>
      </c>
      <c r="C7" s="8" t="s">
        <v>180</v>
      </c>
      <c r="D7" s="10" t="s">
        <v>181</v>
      </c>
    </row>
    <row r="8" spans="1:4" ht="57.6" x14ac:dyDescent="0.3">
      <c r="A8" s="7" t="s">
        <v>182</v>
      </c>
      <c r="B8" s="8" t="s">
        <v>183</v>
      </c>
      <c r="C8" s="8" t="s">
        <v>184</v>
      </c>
      <c r="D8" s="10" t="s">
        <v>185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032E-6C86-450D-A345-7C88CD0B7F2F}">
  <sheetPr codeName="Planilha13"/>
  <dimension ref="A1:E13"/>
  <sheetViews>
    <sheetView workbookViewId="0">
      <selection activeCell="C13" sqref="C13"/>
    </sheetView>
  </sheetViews>
  <sheetFormatPr defaultRowHeight="14.4" x14ac:dyDescent="0.3"/>
  <cols>
    <col min="1" max="5" width="33.44140625" style="5" customWidth="1"/>
  </cols>
  <sheetData>
    <row r="1" spans="1:5" x14ac:dyDescent="0.3">
      <c r="A1" s="13" t="s">
        <v>105</v>
      </c>
      <c r="B1" s="13" t="s">
        <v>106</v>
      </c>
      <c r="C1" s="13" t="s">
        <v>107</v>
      </c>
      <c r="D1" s="13" t="s">
        <v>108</v>
      </c>
      <c r="E1" s="13" t="s">
        <v>109</v>
      </c>
    </row>
    <row r="2" spans="1:5" ht="28.8" x14ac:dyDescent="0.3">
      <c r="A2" s="7" t="s">
        <v>35</v>
      </c>
      <c r="B2" s="8" t="s">
        <v>110</v>
      </c>
      <c r="C2" s="8" t="s">
        <v>111</v>
      </c>
      <c r="D2" s="8" t="s">
        <v>112</v>
      </c>
      <c r="E2" s="8" t="s">
        <v>113</v>
      </c>
    </row>
    <row r="3" spans="1:5" ht="28.8" x14ac:dyDescent="0.3">
      <c r="A3" s="7" t="s">
        <v>35</v>
      </c>
      <c r="B3" s="8" t="s">
        <v>114</v>
      </c>
      <c r="C3" s="8" t="s">
        <v>115</v>
      </c>
      <c r="D3" s="8" t="s">
        <v>116</v>
      </c>
      <c r="E3" s="8" t="s">
        <v>117</v>
      </c>
    </row>
    <row r="4" spans="1:5" ht="28.8" x14ac:dyDescent="0.3">
      <c r="A4" s="7" t="s">
        <v>35</v>
      </c>
      <c r="B4" s="8" t="s">
        <v>118</v>
      </c>
      <c r="C4" s="8" t="s">
        <v>119</v>
      </c>
      <c r="D4" s="8" t="s">
        <v>120</v>
      </c>
      <c r="E4" s="8" t="s">
        <v>121</v>
      </c>
    </row>
    <row r="5" spans="1:5" ht="28.8" x14ac:dyDescent="0.3">
      <c r="A5" s="7" t="s">
        <v>35</v>
      </c>
      <c r="B5" s="8" t="s">
        <v>122</v>
      </c>
      <c r="C5" s="8" t="s">
        <v>123</v>
      </c>
      <c r="D5" s="8" t="s">
        <v>124</v>
      </c>
      <c r="E5" s="8" t="s">
        <v>125</v>
      </c>
    </row>
    <row r="6" spans="1:5" ht="28.8" x14ac:dyDescent="0.3">
      <c r="A6" s="7" t="s">
        <v>35</v>
      </c>
      <c r="B6" s="8" t="s">
        <v>126</v>
      </c>
      <c r="C6" s="8" t="s">
        <v>127</v>
      </c>
      <c r="D6" s="8" t="s">
        <v>128</v>
      </c>
      <c r="E6" s="8" t="s">
        <v>129</v>
      </c>
    </row>
    <row r="7" spans="1:5" ht="28.8" x14ac:dyDescent="0.3">
      <c r="A7" s="7" t="s">
        <v>35</v>
      </c>
      <c r="B7" s="8" t="s">
        <v>130</v>
      </c>
      <c r="C7" s="8" t="s">
        <v>131</v>
      </c>
      <c r="D7" s="8" t="s">
        <v>132</v>
      </c>
      <c r="E7" s="8" t="s">
        <v>133</v>
      </c>
    </row>
    <row r="8" spans="1:5" ht="28.8" x14ac:dyDescent="0.3">
      <c r="A8" s="7" t="s">
        <v>36</v>
      </c>
      <c r="B8" s="8" t="s">
        <v>134</v>
      </c>
      <c r="C8" s="8" t="s">
        <v>135</v>
      </c>
      <c r="D8" s="8" t="s">
        <v>136</v>
      </c>
      <c r="E8" s="8" t="s">
        <v>137</v>
      </c>
    </row>
    <row r="9" spans="1:5" ht="28.8" x14ac:dyDescent="0.3">
      <c r="A9" s="7" t="s">
        <v>36</v>
      </c>
      <c r="B9" s="8" t="s">
        <v>138</v>
      </c>
      <c r="C9" s="8" t="s">
        <v>139</v>
      </c>
      <c r="D9" s="8" t="s">
        <v>140</v>
      </c>
      <c r="E9" s="8" t="s">
        <v>141</v>
      </c>
    </row>
    <row r="10" spans="1:5" ht="28.8" x14ac:dyDescent="0.3">
      <c r="A10" s="7" t="s">
        <v>36</v>
      </c>
      <c r="B10" s="8" t="s">
        <v>142</v>
      </c>
      <c r="C10" s="8" t="s">
        <v>143</v>
      </c>
      <c r="D10" s="8" t="s">
        <v>144</v>
      </c>
      <c r="E10" s="8" t="s">
        <v>145</v>
      </c>
    </row>
    <row r="11" spans="1:5" ht="28.8" x14ac:dyDescent="0.3">
      <c r="A11" s="7" t="s">
        <v>36</v>
      </c>
      <c r="B11" s="8" t="s">
        <v>146</v>
      </c>
      <c r="C11" s="8" t="s">
        <v>147</v>
      </c>
      <c r="D11" s="8" t="s">
        <v>148</v>
      </c>
      <c r="E11" s="8" t="s">
        <v>149</v>
      </c>
    </row>
    <row r="12" spans="1:5" ht="28.8" x14ac:dyDescent="0.3">
      <c r="A12" s="7" t="s">
        <v>36</v>
      </c>
      <c r="B12" s="8" t="s">
        <v>150</v>
      </c>
      <c r="C12" s="8" t="s">
        <v>151</v>
      </c>
      <c r="D12" s="8" t="s">
        <v>152</v>
      </c>
      <c r="E12" s="8" t="s">
        <v>153</v>
      </c>
    </row>
    <row r="13" spans="1:5" ht="28.8" x14ac:dyDescent="0.3">
      <c r="A13" s="5" t="s">
        <v>36</v>
      </c>
      <c r="B13" s="5" t="s">
        <v>50</v>
      </c>
      <c r="C13" s="8" t="s">
        <v>188</v>
      </c>
      <c r="D13" s="5" t="s">
        <v>189</v>
      </c>
      <c r="E13" s="5" t="s">
        <v>189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C4AC-C119-4154-A114-EBD4BC998E58}">
  <sheetPr codeName="Planilha14"/>
  <dimension ref="A1:E22"/>
  <sheetViews>
    <sheetView workbookViewId="0">
      <selection activeCell="E9" sqref="E9"/>
    </sheetView>
  </sheetViews>
  <sheetFormatPr defaultRowHeight="14.4" x14ac:dyDescent="0.3"/>
  <cols>
    <col min="1" max="1" width="10.21875" style="1" customWidth="1"/>
    <col min="2" max="5" width="41.33203125" style="1" customWidth="1"/>
  </cols>
  <sheetData>
    <row r="1" spans="1:5" ht="18" x14ac:dyDescent="0.35">
      <c r="A1" s="30" t="s">
        <v>73</v>
      </c>
      <c r="B1" s="30"/>
      <c r="C1" s="30"/>
      <c r="D1" s="30"/>
      <c r="E1" s="30"/>
    </row>
    <row r="2" spans="1:5" x14ac:dyDescent="0.3">
      <c r="A2" s="6" t="s">
        <v>86</v>
      </c>
      <c r="B2" s="6" t="s">
        <v>74</v>
      </c>
      <c r="C2" s="6" t="s">
        <v>75</v>
      </c>
      <c r="D2" s="6" t="s">
        <v>57</v>
      </c>
      <c r="E2" s="6" t="s">
        <v>58</v>
      </c>
    </row>
    <row r="3" spans="1:5" x14ac:dyDescent="0.3">
      <c r="A3" s="1" t="str">
        <f>_xlfn.CONCAT(B3," ",C3," ", "2025")</f>
        <v>R1 S0 2025</v>
      </c>
      <c r="B3" s="1" t="s">
        <v>76</v>
      </c>
      <c r="C3" s="1" t="s">
        <v>77</v>
      </c>
      <c r="D3" s="11">
        <v>45658</v>
      </c>
      <c r="E3" s="11">
        <v>45660</v>
      </c>
    </row>
    <row r="4" spans="1:5" x14ac:dyDescent="0.3">
      <c r="A4" s="1" t="str">
        <f t="shared" ref="A4:A22" si="0">_xlfn.CONCAT(B4," ",C4," ", "2025")</f>
        <v>R1 S1 2025</v>
      </c>
      <c r="B4" s="1" t="s">
        <v>76</v>
      </c>
      <c r="C4" s="1" t="s">
        <v>78</v>
      </c>
      <c r="D4" s="11">
        <v>45663</v>
      </c>
      <c r="E4" s="11">
        <v>45681</v>
      </c>
    </row>
    <row r="5" spans="1:5" x14ac:dyDescent="0.3">
      <c r="A5" s="1" t="str">
        <f t="shared" si="0"/>
        <v>R1 S2 2025</v>
      </c>
      <c r="B5" s="1" t="s">
        <v>76</v>
      </c>
      <c r="C5" s="1" t="s">
        <v>79</v>
      </c>
      <c r="D5" s="11">
        <v>45684</v>
      </c>
      <c r="E5" s="11">
        <v>45702</v>
      </c>
    </row>
    <row r="6" spans="1:5" x14ac:dyDescent="0.3">
      <c r="A6" s="1" t="str">
        <f t="shared" si="0"/>
        <v>R1 S3 2025</v>
      </c>
      <c r="B6" s="1" t="s">
        <v>76</v>
      </c>
      <c r="C6" s="1" t="s">
        <v>80</v>
      </c>
      <c r="D6" s="11">
        <v>45705</v>
      </c>
      <c r="E6" s="11">
        <v>45723</v>
      </c>
    </row>
    <row r="7" spans="1:5" x14ac:dyDescent="0.3">
      <c r="A7" s="1" t="str">
        <f t="shared" si="0"/>
        <v>R1 S4 2025</v>
      </c>
      <c r="B7" s="1" t="s">
        <v>76</v>
      </c>
      <c r="C7" s="1" t="s">
        <v>81</v>
      </c>
      <c r="D7" s="11">
        <v>45726</v>
      </c>
      <c r="E7" s="11">
        <v>45744</v>
      </c>
    </row>
    <row r="8" spans="1:5" x14ac:dyDescent="0.3">
      <c r="A8" s="1" t="str">
        <f t="shared" si="0"/>
        <v>R2 S0 2025</v>
      </c>
      <c r="B8" s="1" t="s">
        <v>82</v>
      </c>
      <c r="C8" s="1" t="s">
        <v>77</v>
      </c>
      <c r="D8" s="11" t="s">
        <v>83</v>
      </c>
      <c r="E8" s="11">
        <v>45751</v>
      </c>
    </row>
    <row r="9" spans="1:5" x14ac:dyDescent="0.3">
      <c r="A9" s="1" t="str">
        <f t="shared" si="0"/>
        <v>R2 S1 2025</v>
      </c>
      <c r="B9" s="1" t="s">
        <v>82</v>
      </c>
      <c r="C9" s="1" t="s">
        <v>78</v>
      </c>
      <c r="D9" s="11">
        <v>45754</v>
      </c>
      <c r="E9" s="11">
        <v>45772</v>
      </c>
    </row>
    <row r="10" spans="1:5" x14ac:dyDescent="0.3">
      <c r="A10" s="1" t="str">
        <f t="shared" si="0"/>
        <v>R2 S2 2025</v>
      </c>
      <c r="B10" s="1" t="s">
        <v>82</v>
      </c>
      <c r="C10" s="1" t="s">
        <v>79</v>
      </c>
      <c r="D10" s="11">
        <v>45775</v>
      </c>
      <c r="E10" s="11">
        <v>45793</v>
      </c>
    </row>
    <row r="11" spans="1:5" x14ac:dyDescent="0.3">
      <c r="A11" s="1" t="str">
        <f t="shared" si="0"/>
        <v>R2 S3 2025</v>
      </c>
      <c r="B11" s="1" t="s">
        <v>82</v>
      </c>
      <c r="C11" s="1" t="s">
        <v>80</v>
      </c>
      <c r="D11" s="11">
        <v>45796</v>
      </c>
      <c r="E11" s="11">
        <v>45814</v>
      </c>
    </row>
    <row r="12" spans="1:5" x14ac:dyDescent="0.3">
      <c r="A12" s="1" t="str">
        <f t="shared" si="0"/>
        <v>R2 S4 2025</v>
      </c>
      <c r="B12" s="1" t="s">
        <v>82</v>
      </c>
      <c r="C12" s="1" t="s">
        <v>81</v>
      </c>
      <c r="D12" s="11">
        <v>45817</v>
      </c>
      <c r="E12" s="11">
        <v>45835</v>
      </c>
    </row>
    <row r="13" spans="1:5" x14ac:dyDescent="0.3">
      <c r="A13" s="1" t="str">
        <f t="shared" si="0"/>
        <v>R3 S0 2025</v>
      </c>
      <c r="B13" s="1" t="s">
        <v>84</v>
      </c>
      <c r="C13" s="1" t="s">
        <v>77</v>
      </c>
      <c r="D13" s="11">
        <v>45838</v>
      </c>
      <c r="E13" s="11">
        <v>45842</v>
      </c>
    </row>
    <row r="14" spans="1:5" x14ac:dyDescent="0.3">
      <c r="A14" s="1" t="str">
        <f t="shared" si="0"/>
        <v>R3 S1 2025</v>
      </c>
      <c r="B14" s="1" t="s">
        <v>84</v>
      </c>
      <c r="C14" s="1" t="s">
        <v>78</v>
      </c>
      <c r="D14" s="11">
        <v>45845</v>
      </c>
      <c r="E14" s="11">
        <v>45863</v>
      </c>
    </row>
    <row r="15" spans="1:5" x14ac:dyDescent="0.3">
      <c r="A15" s="1" t="str">
        <f t="shared" si="0"/>
        <v>R3 S2 2025</v>
      </c>
      <c r="B15" s="1" t="s">
        <v>84</v>
      </c>
      <c r="C15" s="1" t="s">
        <v>79</v>
      </c>
      <c r="D15" s="11">
        <v>45866</v>
      </c>
      <c r="E15" s="11">
        <v>45884</v>
      </c>
    </row>
    <row r="16" spans="1:5" x14ac:dyDescent="0.3">
      <c r="A16" s="1" t="str">
        <f t="shared" si="0"/>
        <v>R3 S3 2025</v>
      </c>
      <c r="B16" s="1" t="s">
        <v>84</v>
      </c>
      <c r="C16" s="1" t="s">
        <v>80</v>
      </c>
      <c r="D16" s="11">
        <v>45887</v>
      </c>
      <c r="E16" s="11">
        <v>45905</v>
      </c>
    </row>
    <row r="17" spans="1:5" x14ac:dyDescent="0.3">
      <c r="A17" s="1" t="str">
        <f t="shared" si="0"/>
        <v>R3 S4 2025</v>
      </c>
      <c r="B17" s="1" t="s">
        <v>84</v>
      </c>
      <c r="C17" s="1" t="s">
        <v>81</v>
      </c>
      <c r="D17" s="11">
        <v>45908</v>
      </c>
      <c r="E17" s="11">
        <v>45926</v>
      </c>
    </row>
    <row r="18" spans="1:5" x14ac:dyDescent="0.3">
      <c r="A18" s="1" t="str">
        <f t="shared" si="0"/>
        <v>R4 S0 2025</v>
      </c>
      <c r="B18" s="1" t="s">
        <v>85</v>
      </c>
      <c r="C18" s="1" t="s">
        <v>77</v>
      </c>
      <c r="D18" s="11">
        <v>45929</v>
      </c>
      <c r="E18" s="11">
        <v>45933</v>
      </c>
    </row>
    <row r="19" spans="1:5" x14ac:dyDescent="0.3">
      <c r="A19" s="1" t="str">
        <f t="shared" si="0"/>
        <v>R4 S1 2025</v>
      </c>
      <c r="B19" s="1" t="s">
        <v>85</v>
      </c>
      <c r="C19" s="1" t="s">
        <v>78</v>
      </c>
      <c r="D19" s="11">
        <v>45936</v>
      </c>
      <c r="E19" s="11">
        <v>45954</v>
      </c>
    </row>
    <row r="20" spans="1:5" x14ac:dyDescent="0.3">
      <c r="A20" s="1" t="str">
        <f t="shared" si="0"/>
        <v>R4 S2 2025</v>
      </c>
      <c r="B20" s="1" t="s">
        <v>85</v>
      </c>
      <c r="C20" s="1" t="s">
        <v>79</v>
      </c>
      <c r="D20" s="11">
        <v>45957</v>
      </c>
      <c r="E20" s="11">
        <v>45975</v>
      </c>
    </row>
    <row r="21" spans="1:5" x14ac:dyDescent="0.3">
      <c r="A21" s="1" t="str">
        <f t="shared" si="0"/>
        <v>R4 S3 2025</v>
      </c>
      <c r="B21" s="1" t="s">
        <v>85</v>
      </c>
      <c r="C21" s="1" t="s">
        <v>80</v>
      </c>
      <c r="D21" s="11">
        <v>45978</v>
      </c>
      <c r="E21" s="11">
        <v>45996</v>
      </c>
    </row>
    <row r="22" spans="1:5" x14ac:dyDescent="0.3">
      <c r="A22" s="1" t="str">
        <f t="shared" si="0"/>
        <v>R4 S4 2025</v>
      </c>
      <c r="B22" s="1" t="s">
        <v>85</v>
      </c>
      <c r="C22" s="1" t="s">
        <v>81</v>
      </c>
      <c r="D22" s="11">
        <v>45999</v>
      </c>
      <c r="E22" s="11">
        <v>46017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Priorização</vt:lpstr>
      <vt:lpstr>Priorização - Impacto</vt:lpstr>
      <vt:lpstr>Priorização - Esforço</vt:lpstr>
      <vt:lpstr>Auxiliares</vt:lpstr>
      <vt:lpstr>Instruções - Sinaleiro</vt:lpstr>
      <vt:lpstr>Instruções - Tipos de Roadmap</vt:lpstr>
      <vt:lpstr>Story Points</vt:lpstr>
      <vt:lpstr>Etapas Dual Track Agile</vt:lpstr>
      <vt:lpstr>Calendário Comunidade 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2025-07-09T18:07:02Z</dcterms:modified>
</cp:coreProperties>
</file>