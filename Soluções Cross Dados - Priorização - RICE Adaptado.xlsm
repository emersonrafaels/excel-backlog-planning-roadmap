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7e66243f108409f2/Área de Trabalho/Itaú/CICF/Product Manager/excel-backlog-planning-roadmap/"/>
    </mc:Choice>
  </mc:AlternateContent>
  <xr:revisionPtr revIDLastSave="943" documentId="8_{503CD80B-8D70-4DAA-8919-4251F84D51DA}" xr6:coauthVersionLast="47" xr6:coauthVersionMax="47" xr10:uidLastSave="{3F768174-672D-495E-9897-35C9250510A2}"/>
  <bookViews>
    <workbookView xWindow="-108" yWindow="-108" windowWidth="23256" windowHeight="12456" firstSheet="6" activeTab="7" xr2:uid="{00000000-000D-0000-FFFF-FFFF00000000}"/>
  </bookViews>
  <sheets>
    <sheet name="Priorização - Reach" sheetId="3" r:id="rId1"/>
    <sheet name="Priorização - Impact" sheetId="2" r:id="rId2"/>
    <sheet name="Priorização - Confidence" sheetId="5" r:id="rId3"/>
    <sheet name="Priorização - Effort" sheetId="6" r:id="rId4"/>
    <sheet name="Priorização - Cost of Delay" sheetId="7" r:id="rId5"/>
    <sheet name="Priorização - OKR Alignment" sheetId="8" r:id="rId6"/>
    <sheet name="Priorização - Resumo" sheetId="11" r:id="rId7"/>
    <sheet name="Priorização - Calculadora" sheetId="9" r:id="rId8"/>
    <sheet name="Priorização - Calculadora - SCD" sheetId="10" r:id="rId9"/>
  </sheets>
  <definedNames>
    <definedName name="_xleta.COLUMN" hidden="1" xlm="1">#NAME?</definedName>
    <definedName name="_xleta.IF" hidden="1" xlm="1">#NAME?</definedName>
    <definedName name="_xleta.IFERROR" hidden="1" xlm="1">#NAME?</definedName>
    <definedName name="_xleta.LEFT" hidden="1" xlm="1">#NAME?</definedName>
    <definedName name="_xleta.MAX" hidden="1" xlm="1">#NAME?</definedName>
    <definedName name="_xleta.N" hidden="1" xlm="1">#NAME?</definedName>
    <definedName name="_xleta.RIGHT" hidden="1" xlm="1">#NAME?</definedName>
    <definedName name="_xleta.VLOOKUP" hidden="1" xlm="1">#NAME?</definedName>
    <definedName name="_xlpm.fim" hidden="1" xlm="1">#NAME?</definedName>
    <definedName name="_xlpm.ini" hidden="1" xlm="1">#NAME?</definedName>
    <definedName name="_xlpm.rFim" hidden="1" xlm="1">#NAME?</definedName>
    <definedName name="_xlpm.rIni" hidden="1" xlm="1">#NAME?</definedName>
    <definedName name="_xlpm.sFim" hidden="1" xlm="1">#NAME?</definedName>
    <definedName name="_xlpm.sIni" hidden="1" xlm="1">#NAME?</definedName>
    <definedName name="_xlpm.total" hidden="1" xlm="1">#NAME?</definedName>
    <definedName name="_xlpm.x" hidden="1" xlm="1">#NAME?</definedName>
    <definedName name="ListaConfidence">INDIRECT("tblConfidence[Valor]")</definedName>
    <definedName name="ListaEffort">INDIRECT("tblEffort[Nível de esforço de cada colaborador]")</definedName>
    <definedName name="ListaImpactEstrategico">INDIRECT("tblImpactEstrategico[Valor]")</definedName>
    <definedName name="ListaImpactFinanceiro">INDIRECT("tblImpactFinanceiro[Valor]")</definedName>
    <definedName name="ListaImpactTempo">INDIRECT("tblImpactTempo[Valor]")</definedName>
    <definedName name="ListaOKRAlignment">INDIRECT("tblOKRAlignment[Descrição]")</definedName>
    <definedName name="ListaReachFrequenciaUso">INDIRECT("tblReachFrequenciaUso[Valor]")</definedName>
    <definedName name="ListaReachQuemVaiUsar">INDIRECT("tblReachQuemVaiUsar[Valor]")</definedName>
    <definedName name="ListCostofDelay">INDIRECT("tblCostofDelay[Descrição]")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6" i="10" l="1"/>
  <c r="S7" i="10"/>
  <c r="S8" i="10"/>
  <c r="S9" i="10"/>
  <c r="S10" i="10"/>
  <c r="S11" i="10"/>
  <c r="B6" i="11"/>
  <c r="B5" i="11"/>
  <c r="B4" i="11"/>
  <c r="B3" i="11"/>
  <c r="B2" i="11"/>
  <c r="B1" i="11"/>
  <c r="B7" i="11" s="1"/>
  <c r="L6" i="9"/>
  <c r="B4" i="9" s="1"/>
  <c r="H6" i="9" a="1"/>
  <c r="H6" i="9" s="1"/>
  <c r="I6" i="10"/>
  <c r="I7" i="10"/>
  <c r="I8" i="10"/>
  <c r="I9" i="10"/>
  <c r="I10" i="10"/>
  <c r="I11" i="10"/>
  <c r="E6" i="10" a="1"/>
  <c r="E6" i="10"/>
  <c r="E7" i="10" a="1"/>
  <c r="E7" i="10" s="1"/>
  <c r="E8" i="10" a="1"/>
  <c r="E8" i="10" s="1"/>
  <c r="E9" i="10" a="1"/>
  <c r="E9" i="10" s="1"/>
  <c r="E10" i="10" a="1"/>
  <c r="E10" i="10" s="1"/>
  <c r="E11" i="10" a="1"/>
  <c r="E11" i="10" s="1"/>
  <c r="K11" i="10"/>
  <c r="N11" i="10"/>
  <c r="P11" i="10"/>
  <c r="R11" i="10"/>
  <c r="K10" i="10"/>
  <c r="N10" i="10"/>
  <c r="P10" i="10"/>
  <c r="R10" i="10"/>
  <c r="U6" i="9"/>
  <c r="B8" i="9" s="1"/>
  <c r="S6" i="9"/>
  <c r="B7" i="9" s="1"/>
  <c r="Q6" i="9"/>
  <c r="B6" i="9" s="1"/>
  <c r="N6" i="10"/>
  <c r="N7" i="10"/>
  <c r="N8" i="10"/>
  <c r="N9" i="10"/>
  <c r="R6" i="10"/>
  <c r="R7" i="10"/>
  <c r="R8" i="10"/>
  <c r="R9" i="10"/>
  <c r="P6" i="10"/>
  <c r="P7" i="10"/>
  <c r="P8" i="10"/>
  <c r="P9" i="10"/>
  <c r="K9" i="10"/>
  <c r="K8" i="10"/>
  <c r="K7" i="10"/>
  <c r="K6" i="10"/>
  <c r="N6" i="9"/>
  <c r="B5" i="9" s="1"/>
  <c r="V6" i="9" l="1"/>
  <c r="B9" i="9" s="1"/>
  <c r="B3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<sst xmlns="http://schemas.openxmlformats.org/spreadsheetml/2006/main" count="291" uniqueCount="146">
  <si>
    <t>Diária</t>
  </si>
  <si>
    <t>Semanal</t>
  </si>
  <si>
    <t>Mensal</t>
  </si>
  <si>
    <t>Apenas pontual</t>
  </si>
  <si>
    <t>Peso</t>
  </si>
  <si>
    <t>Grupo</t>
  </si>
  <si>
    <t>📌 Pergunta 1.3 – Qual a frequência de uso esperada?</t>
  </si>
  <si>
    <t>-</t>
  </si>
  <si>
    <t>Sim, mais de R$500 mil/ano</t>
  </si>
  <si>
    <t>Sim, entre R$50 mil e R$500 mil/ano</t>
  </si>
  <si>
    <t>Sim, impacto estimado inferior a R$50 mil/ano</t>
  </si>
  <si>
    <t>Valor max de pessoas</t>
  </si>
  <si>
    <t>Valor min de pessoas</t>
  </si>
  <si>
    <t>📌 Pergunta 1.2 – Quantas pessoas devem acessar ou se beneficiar disso por mês?
📄 Campo numérico obrigatório</t>
  </si>
  <si>
    <t>📌 Pergunta 2.1.1 – Se “Sim” for marcado, aparece:
📝 Detalhe brevemente de onde vêm essas horas:
📄 Campo aberto (ex: “evita retrabalho na extração dos dados de eficiência dos ATMs”)</t>
  </si>
  <si>
    <t xml:space="preserve">Superintendência, diretorias (nível estratégico)	</t>
  </si>
  <si>
    <t>Sim – mais de 100 horas por mês</t>
  </si>
  <si>
    <t>Cargos de liderança (gerentes, coordenadores)</t>
  </si>
  <si>
    <t>Sim – menos de 10 horas por mês</t>
  </si>
  <si>
    <t>Não há economia de tempo direta</t>
  </si>
  <si>
    <t>Só o time que está pedindo</t>
  </si>
  <si>
    <t>📌 Pergunta 1.1 – Quem vai usar essa solução ou dado?
📄 (marcar todas que se aplicam)</t>
  </si>
  <si>
    <t>🎯 Objetivo: capturar impacto em horas economizadas, valor financeiro estimado ou melhoria qualitativa.</t>
  </si>
  <si>
    <t>🎯 Objetivo: estimar com clareza quantas pessoas serão impactadas, e em que frequência.</t>
  </si>
  <si>
    <t>Seção 2 – Impacto</t>
  </si>
  <si>
    <t>Seção 1 – Reach (Alcance real)</t>
  </si>
  <si>
    <t>Reach</t>
  </si>
  <si>
    <t>Impact</t>
  </si>
  <si>
    <t>📌 Pergunta 1.2 – Quantas pessoas devem acessar ou se beneficiar disso por mês?</t>
  </si>
  <si>
    <t>Valor</t>
  </si>
  <si>
    <t>Justificativa</t>
  </si>
  <si>
    <t>Impacto localizado dentro de um único time</t>
  </si>
  <si>
    <t>Equipes de produto, operação ou governança (dados ou negócios)</t>
  </si>
  <si>
    <t>Aumenta o alcance</t>
  </si>
  <si>
    <t>Impacto mais estratégico e com poder decisório.</t>
  </si>
  <si>
    <t>Alto poder de disseminação, decisão e influência.</t>
  </si>
  <si>
    <t>📌 Pergunta 2.1 – Essa solução economiza tempo? Quanto?</t>
  </si>
  <si>
    <t>Não há impacto financeiro direto</t>
  </si>
  <si>
    <t>📌 Pergunta 2.2.1 – Se “Sim” for marcado, aparece:
📝 Explique o racional do valor estimado:
📄 Campo aberto (ex: “evita troca de equipamentos que custariam R$1MM por ano”)</t>
  </si>
  <si>
    <t>📌 Pergunta 2.3 – Essa solução tem potencial estratégico de reuso ou habilitação?
🎯 Objetivo: capturar o valor da iniciativa como alavanca para outras soluções, base comum entre produtos ou elemento de escalabilidade futura.</t>
  </si>
  <si>
    <t>📌 Pergunta 2.2 – Essa solução tem impacto financeiro direto ou indireto?</t>
  </si>
  <si>
    <t>É uma solução isolada ou específica demais, com baixo efeito em cadeia.</t>
  </si>
  <si>
    <t>Pode habilitar outros produtos ou soluções futuras</t>
  </si>
  <si>
    <t>É uma base (ex: API, dicionário de dados, spec) sobre a qual outras iniciativas poderão se apoiar, mas que ainda não são claras.</t>
  </si>
  <si>
    <t>Tem potencial de reuso em outros contextos similares ou jornadas com dependência já mapeada</t>
  </si>
  <si>
    <t>Pode ser reaproveitada por outros times, produtos ou jornadas com pequenas adaptações.</t>
  </si>
  <si>
    <t>📌 Pergunta 2.3 – Essa solução tem potencial estratégico de reuso ou habilitação?</t>
  </si>
  <si>
    <t>Não possui reuso relevante, nem habilita outras soluções</t>
  </si>
  <si>
    <t>Seção 3 – Confidence</t>
  </si>
  <si>
    <t>🎯 Objetivo: capturar o nível de confiança nas estimativas de Reach e Impact?</t>
  </si>
  <si>
    <t>📌 Pergunta 3.1 – Qual é o nosso nível de confiança nas estimativas de Reach e Impact?</t>
  </si>
  <si>
    <t>Certeza total (dados sólidos, experimentos validados)</t>
  </si>
  <si>
    <t>Alta confiança (benchmarks, entrevistas, analytics)</t>
  </si>
  <si>
    <t>Confiança média (hipóteses razoáveis, experiência prévia)</t>
  </si>
  <si>
    <t>Baixa confiança (ideias iniciais, sem evidências)</t>
  </si>
  <si>
    <t>Peso Percentual</t>
  </si>
  <si>
    <t>Confidence</t>
  </si>
  <si>
    <t>Seção 3 - Confidence</t>
  </si>
  <si>
    <t>Seção 4 - Effort</t>
  </si>
  <si>
    <t>🎯 Objetivo: Identificar quanto esforço (em pessoas) será necessário para entregar essa iniciativa?</t>
  </si>
  <si>
    <t>Esforço Numérico</t>
  </si>
  <si>
    <t>Muito baixo: &lt; 3 dias de uma pessoa</t>
  </si>
  <si>
    <t>Baixo: até 1 semana de uma pessoa</t>
  </si>
  <si>
    <t>Médio: até 1 sprint</t>
  </si>
  <si>
    <t>Alto: até 2 sprints</t>
  </si>
  <si>
    <t>Elevado: até 3 sprints</t>
  </si>
  <si>
    <t>Muito Elevado: até 4 sprints</t>
  </si>
  <si>
    <t>Nível de esforço de cada colaborador</t>
  </si>
  <si>
    <t>Seção 4 – Effort</t>
  </si>
  <si>
    <t>📌 Pergunta 4.2 – Quanto esforço (para cada colaborador) será necessário para entregar essa iniciativa?</t>
  </si>
  <si>
    <t>📌 Pergunta 4.1 – Quantos colaboradores serão necessários?</t>
  </si>
  <si>
    <t>Effort</t>
  </si>
  <si>
    <t>Seção 5 - Cost of Delay</t>
  </si>
  <si>
    <t>📌 Pergunta 5.1 – Qual o impacto de não priorizar agora essa iniciativa?</t>
  </si>
  <si>
    <t>Oportunidade, mas não urgente</t>
  </si>
  <si>
    <t>Descrição</t>
  </si>
  <si>
    <t>Baixo custo de não fazer. Pode esperar</t>
  </si>
  <si>
    <t>Referência mínima.</t>
  </si>
  <si>
    <t>Relevante, mas sem pressão imediata.</t>
  </si>
  <si>
    <t>Custo real de atraso (ineficiência, retrabalho)</t>
  </si>
  <si>
    <t>Perde-se eficiência se adiar.</t>
  </si>
  <si>
    <t>Impacto estratégico ou indireto relevante</t>
  </si>
  <si>
    <t>Traz efeitos em outras frentes ou produtos.</t>
  </si>
  <si>
    <t>Alto risco de perda de valor ou penalidade futura</t>
  </si>
  <si>
    <t>Atrasar pode causar perdas financeiras ou reputacionais.</t>
  </si>
  <si>
    <t>Urgência extrema (impacto regulatório, cliente ou receita direta)</t>
  </si>
  <si>
    <t>Máxima urgência, com risco real e imediato.</t>
  </si>
  <si>
    <t>Seção 5 – Cost of Delay</t>
  </si>
  <si>
    <t>🎯 Objetivo: Capturar o nível de confiança nas estimativas de Reach e Impact?</t>
  </si>
  <si>
    <t>🎯 Objetivo: Capturar o nível de urgência da iniciativa ser priorizada</t>
  </si>
  <si>
    <t>🎯 Objetivo: Capturar impacto em horas economizadas, valor financeiro estimado ou melhoria qualitativa.</t>
  </si>
  <si>
    <t>🎯 Objetivo: Estimar com clareza quantas pessoas serão impactadas, e em que frequência.</t>
  </si>
  <si>
    <t>Cost of Delay</t>
  </si>
  <si>
    <t>Seção 6 - OKR Alignment</t>
  </si>
  <si>
    <t>🎯 Objetivo: Identificar alinhamento estratégico</t>
  </si>
  <si>
    <t>📌 Pergunta 6.1 – Essa iniciativa está alinhada com algum OKR Estratégico da Comunidade?</t>
  </si>
  <si>
    <t>Não move OKR da comunidade</t>
  </si>
  <si>
    <t>Sem alinhamento direto.</t>
  </si>
  <si>
    <t>Está no Wave ou Book institucional, mas fora do OKR da comunidade</t>
  </si>
  <si>
    <t>Relevância institucional indireta.</t>
  </si>
  <si>
    <t>Move KR tático da comunidade</t>
  </si>
  <si>
    <t>Contribui para metas específicas, mas não críticas.</t>
  </si>
  <si>
    <t>Move OKR diretamente da comunidade</t>
  </si>
  <si>
    <t>Impacta diretamente os objetivos da comunidade.</t>
  </si>
  <si>
    <t>Move OKR crítico com apoio da diretoria estratégica</t>
  </si>
  <si>
    <t>Alinhamento total com prioridade institucional crítica e liderança engajada.</t>
  </si>
  <si>
    <t>Seção 6 – OKR Alignment</t>
  </si>
  <si>
    <t>OKR Alignment</t>
  </si>
  <si>
    <t>Score Final</t>
  </si>
  <si>
    <t>Resultado</t>
  </si>
  <si>
    <t>Formulário</t>
  </si>
  <si>
    <t>Fator</t>
  </si>
  <si>
    <t>Coluna1</t>
  </si>
  <si>
    <t>Coluna2</t>
  </si>
  <si>
    <t>Coluna3</t>
  </si>
  <si>
    <t>Coluna4</t>
  </si>
  <si>
    <t>Coluna5</t>
  </si>
  <si>
    <t>Coluna6</t>
  </si>
  <si>
    <t>Coluna7</t>
  </si>
  <si>
    <t>Coluna8</t>
  </si>
  <si>
    <t>Coluna9</t>
  </si>
  <si>
    <t>Coluna10</t>
  </si>
  <si>
    <t>Coluna11</t>
  </si>
  <si>
    <t>Coluna12</t>
  </si>
  <si>
    <t>Coluna13</t>
  </si>
  <si>
    <t>Coluna14</t>
  </si>
  <si>
    <t>Coluna15</t>
  </si>
  <si>
    <t>Coluna16</t>
  </si>
  <si>
    <t>Coluna17</t>
  </si>
  <si>
    <t>Coluna18</t>
  </si>
  <si>
    <t>Produto</t>
  </si>
  <si>
    <t>Coluna19</t>
  </si>
  <si>
    <t>Score de Agências</t>
  </si>
  <si>
    <t>Equipes de produto, operação ou governança (dados ou negócios) | Cargos de liderança (gerentes, coordenadores)</t>
  </si>
  <si>
    <t xml:space="preserve">Equipes de produto, operação ou governança (dados ou negócios) | Cargos de liderança (gerentes, coordenadores) | Superintendência, diretorias (nível estratégico)	</t>
  </si>
  <si>
    <t>Sim – entre 10 e 100 horas por mês</t>
  </si>
  <si>
    <t>Inteligência Imobiliária - Planejamento de Negociação</t>
  </si>
  <si>
    <t>Planejamento de Pessoas</t>
  </si>
  <si>
    <t>Painel de Dados de Ocorrências - Manutenção Infra Civil</t>
  </si>
  <si>
    <t>Painel de Dados de Ocorrências - COPF</t>
  </si>
  <si>
    <t>Score Máximo Effort</t>
  </si>
  <si>
    <t>Score Máximo Impact</t>
  </si>
  <si>
    <t>Score Máximo Confidence</t>
  </si>
  <si>
    <t>Score Máximo Cost of Delay</t>
  </si>
  <si>
    <t>Score Máximo OKR Alignment</t>
  </si>
  <si>
    <t>Score Máximo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</si>
</sst>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62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0D3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2" fillId="0" borderId="1" xfId="0" applyFont="1" applyBorder="1" applyAlignment="1">
      <alignment horizontal="center" wrapText="1"/>
    </xf>
    <xf numFmtId="0" fontId="2" fillId="5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center" vertical="center"/>
    </xf>
    <xf numFmtId="0" fontId="1" fillId="8" borderId="4" xfId="0" applyFont="1" applyFill="1" applyBorder="1" applyAlignment="1">
      <alignment horizontal="center" wrapText="1"/>
    </xf>
    <xf numFmtId="0" fontId="1" fillId="8" borderId="5" xfId="0" applyFont="1" applyFill="1" applyBorder="1" applyAlignment="1">
      <alignment horizontal="center"/>
    </xf>
    <xf numFmtId="0" fontId="0" fillId="0" borderId="6" xfId="0" applyBorder="1" applyAlignment="1">
      <alignment horizontal="center" wrapText="1"/>
    </xf>
    <xf numFmtId="0" fontId="0" fillId="0" borderId="6" xfId="0" applyBorder="1" applyAlignment="1">
      <alignment horizontal="center"/>
    </xf>
    <xf numFmtId="0" fontId="0" fillId="9" borderId="6" xfId="0" applyFill="1" applyBorder="1" applyAlignment="1">
      <alignment horizontal="center"/>
    </xf>
    <xf numFmtId="0" fontId="1" fillId="8" borderId="4" xfId="0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horizontal="center" vertical="center" wrapText="1"/>
    </xf>
    <xf numFmtId="0" fontId="1" fillId="8" borderId="5" xfId="0" applyFont="1" applyFill="1" applyBorder="1" applyAlignment="1">
      <alignment horizontal="center" vertical="center"/>
    </xf>
    <xf numFmtId="0" fontId="1" fillId="8" borderId="7" xfId="0" applyFont="1" applyFill="1" applyBorder="1" applyAlignment="1">
      <alignment horizontal="center"/>
    </xf>
    <xf numFmtId="0" fontId="0" fillId="0" borderId="6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9" borderId="6" xfId="0" applyFill="1" applyBorder="1" applyAlignment="1">
      <alignment horizontal="center" vertical="center" wrapText="1"/>
    </xf>
    <xf numFmtId="0" fontId="0" fillId="9" borderId="6" xfId="0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/>
    </xf>
    <xf numFmtId="9" fontId="2" fillId="0" borderId="0" xfId="0" applyNumberFormat="1" applyFont="1" applyAlignment="1">
      <alignment horizontal="center" vertical="center" wrapText="1"/>
    </xf>
    <xf numFmtId="0" fontId="6" fillId="0" borderId="0" xfId="0" applyFont="1" applyAlignment="1">
      <alignment horizontal="left" vertical="center" indent="1"/>
    </xf>
    <xf numFmtId="0" fontId="9" fillId="0" borderId="0" xfId="0" applyFont="1" applyAlignment="1">
      <alignment horizontal="center" vertical="center"/>
    </xf>
    <xf numFmtId="0" fontId="12" fillId="15" borderId="0" xfId="0" applyFont="1" applyFill="1" applyAlignment="1">
      <alignment horizontal="center" vertical="center"/>
    </xf>
    <xf numFmtId="0" fontId="10" fillId="6" borderId="12" xfId="0" applyFont="1" applyFill="1" applyBorder="1" applyAlignment="1">
      <alignment horizontal="center" vertical="center"/>
    </xf>
    <xf numFmtId="0" fontId="4" fillId="16" borderId="10" xfId="0" applyFont="1" applyFill="1" applyBorder="1" applyAlignment="1">
      <alignment horizontal="center" vertical="center"/>
    </xf>
    <xf numFmtId="0" fontId="4" fillId="16" borderId="11" xfId="0" applyFont="1" applyFill="1" applyBorder="1" applyAlignment="1">
      <alignment horizontal="center" vertical="center"/>
    </xf>
    <xf numFmtId="0" fontId="10" fillId="17" borderId="13" xfId="0" applyFont="1" applyFill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1" fontId="11" fillId="0" borderId="11" xfId="0" applyNumberFormat="1" applyFont="1" applyBorder="1" applyAlignment="1">
      <alignment horizontal="center" vertical="center"/>
    </xf>
    <xf numFmtId="0" fontId="5" fillId="9" borderId="6" xfId="0" applyFont="1" applyFill="1" applyBorder="1" applyAlignment="1">
      <alignment horizontal="center" vertical="center"/>
    </xf>
    <xf numFmtId="0" fontId="0" fillId="0" borderId="14" xfId="0" applyBorder="1"/>
    <xf numFmtId="0" fontId="0" fillId="9" borderId="14" xfId="0" applyFill="1" applyBorder="1" applyAlignment="1">
      <alignment horizontal="center" vertical="center" wrapText="1"/>
    </xf>
    <xf numFmtId="0" fontId="0" fillId="9" borderId="14" xfId="0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9" fillId="9" borderId="14" xfId="0" applyFont="1" applyFill="1" applyBorder="1" applyAlignment="1">
      <alignment horizontal="center" vertical="center"/>
    </xf>
    <xf numFmtId="164" fontId="9" fillId="9" borderId="6" xfId="0" applyNumberFormat="1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0" borderId="15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2" fillId="0" borderId="19" xfId="0" applyFont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12" fillId="15" borderId="0" xfId="0" applyFont="1" applyFill="1" applyAlignment="1">
      <alignment horizontal="center" vertical="center"/>
    </xf>
    <xf numFmtId="0" fontId="12" fillId="15" borderId="8" xfId="0" applyFont="1" applyFill="1" applyBorder="1" applyAlignment="1">
      <alignment horizontal="center" vertical="center"/>
    </xf>
    <xf numFmtId="0" fontId="12" fillId="15" borderId="9" xfId="0" applyFont="1" applyFill="1" applyBorder="1" applyAlignment="1">
      <alignment horizontal="center" vertical="center"/>
    </xf>
    <xf numFmtId="0" fontId="8" fillId="1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 wrapText="1"/>
    </xf>
    <xf numFmtId="0" fontId="1" fillId="7" borderId="0" xfId="0" applyFont="1" applyFill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1" fillId="11" borderId="0" xfId="0" applyFont="1" applyFill="1" applyAlignment="1">
      <alignment horizontal="center" vertical="center" wrapText="1"/>
    </xf>
    <xf numFmtId="0" fontId="1" fillId="12" borderId="0" xfId="0" applyFont="1" applyFill="1" applyAlignment="1">
      <alignment horizontal="center" vertical="center" wrapText="1"/>
    </xf>
    <xf numFmtId="0" fontId="1" fillId="13" borderId="0" xfId="0" applyFont="1" applyFill="1" applyAlignment="1">
      <alignment horizontal="center" vertical="center" wrapText="1"/>
    </xf>
    <xf numFmtId="0" fontId="4" fillId="7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9" fillId="18" borderId="0" xfId="0" applyFont="1" applyFill="1" applyAlignment="1">
      <alignment horizontal="center" vertical="center"/>
    </xf>
    <xf numFmtId="0" fontId="8" fillId="14" borderId="14" xfId="0" applyFont="1" applyFill="1" applyBorder="1" applyAlignment="1">
      <alignment horizontal="center" vertical="center"/>
    </xf>
  </cellXfs>
  <cellStyles count="1">
    <cellStyle name="Normal" xfId="0" builtinId="0"/>
  </cellStyles>
  <dxfs count="61"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0.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alignment horizontal="center" vertical="center" textRotation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center" textRotation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center"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/>
      </font>
      <numFmt numFmtId="13" formatCode="0%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F303B0F-D291-4011-804F-F3B2397CC517}" name="tblReachQuemVaiUsar" displayName="tblReachQuemVaiUsar" ref="A5:C9" totalsRowShown="0" headerRowDxfId="60" dataDxfId="59" tableBorderDxfId="58">
  <autoFilter ref="A5:C9" xr:uid="{3F303B0F-D291-4011-804F-F3B2397CC517}"/>
  <tableColumns count="3">
    <tableColumn id="1" xr3:uid="{8E4212E4-F79A-499B-9D2E-C8D6A14184C3}" name="Valor" dataDxfId="57"/>
    <tableColumn id="2" xr3:uid="{8809DD3B-D743-4C11-A196-E073D59DC332}" name="Peso" dataDxfId="56"/>
    <tableColumn id="3" xr3:uid="{185A2F93-A950-4C6B-BC7C-9A3A4B2235F1}" name="Justificativa" dataDxfId="5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34E7CD6-B6B1-4F9D-B133-CBA14589F563}" name="tblReachQuantidadeUsuarios" displayName="tblReachQuantidadeUsuarios" ref="A13:C18" totalsRowShown="0" headerRowDxfId="54" tableBorderDxfId="53">
  <autoFilter ref="A13:C18" xr:uid="{734E7CD6-B6B1-4F9D-B133-CBA14589F563}"/>
  <tableColumns count="3">
    <tableColumn id="1" xr3:uid="{E99C9CD9-D39F-41D6-9341-9C55563CC115}" name="Valor min de pessoas"/>
    <tableColumn id="2" xr3:uid="{F6E19490-F2EC-42B2-B3F8-4610317D90C4}" name="Valor max de pessoas"/>
    <tableColumn id="3" xr3:uid="{5A850C38-FA4C-49CB-96CE-AE439BCA9328}" name="Peso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900371C-0358-4876-B3CB-D86D0AE2C209}" name="tblReachFrequenciaUso" displayName="tblReachFrequenciaUso" ref="A22:B26" totalsRowShown="0" dataDxfId="51">
  <autoFilter ref="A22:B26" xr:uid="{8900371C-0358-4876-B3CB-D86D0AE2C209}"/>
  <tableColumns count="2">
    <tableColumn id="1" xr3:uid="{18F59E43-9E3A-42D4-A226-0A34F54E63EA}" name="Valor" dataDxfId="50"/>
    <tableColumn id="2" xr3:uid="{FD227AD1-47A5-48F1-861A-B8490F357FDE}" name="Peso" dataDxfId="4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2972E4F-0E54-4896-B3AA-AD74D30CE6EB}" name="tblImpactTempo" displayName="tblImpactTempo" ref="A5:B9" totalsRowShown="0">
  <autoFilter ref="A5:B9" xr:uid="{42972E4F-0E54-4896-B3AA-AD74D30CE6EB}"/>
  <tableColumns count="2">
    <tableColumn id="1" xr3:uid="{29423CFE-6D06-4B57-B74A-FFCBBB728374}" name="Valor" dataDxfId="48"/>
    <tableColumn id="2" xr3:uid="{FA97AEA2-C78A-41C5-B74F-BCAFF0C542A2}" name="Peso" dataDxfId="4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2280CB9-3237-4875-92CF-14A190F979F6}" name="tblImpactFinanceiro" displayName="tblImpactFinanceiro" ref="A15:B19" totalsRowShown="0" dataDxfId="46">
  <autoFilter ref="A15:B19" xr:uid="{62280CB9-3237-4875-92CF-14A190F979F6}"/>
  <tableColumns count="2">
    <tableColumn id="1" xr3:uid="{54EBACDD-69D4-4E26-AAAE-428A53AC6C0B}" name="Valor" dataDxfId="45"/>
    <tableColumn id="2" xr3:uid="{1B4517F4-1865-453C-B903-1F97F17427F4}" name="Peso" dataDxfId="4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1455F55-6737-48E4-AA0D-A8CE3DF2D189}" name="tblImpactEstrategico" displayName="tblImpactEstrategico" ref="A26:C29" totalsRowShown="0" headerRowDxfId="43">
  <autoFilter ref="A26:C29" xr:uid="{C1455F55-6737-48E4-AA0D-A8CE3DF2D189}"/>
  <tableColumns count="3">
    <tableColumn id="1" xr3:uid="{7229D7BD-8566-4239-92C3-42C3B2901595}" name="Valor" dataDxfId="42"/>
    <tableColumn id="2" xr3:uid="{CADD8A86-4614-4CCF-BB1A-F5B06CE96AC3}" name="Peso" dataDxfId="41"/>
    <tableColumn id="3" xr3:uid="{54687285-D820-4745-BEDD-E88040DCA802}" name="Justificativ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2016429-531C-4C6A-96E0-16849CD52DD9}" name="tblConfidence" displayName="tblConfidence" ref="A5:B9" totalsRowShown="0" headerRowDxfId="40" dataDxfId="39">
  <autoFilter ref="A5:B9" xr:uid="{42972E4F-0E54-4896-B3AA-AD74D30CE6EB}"/>
  <tableColumns count="2">
    <tableColumn id="1" xr3:uid="{74C26E81-CD32-4F45-8701-FAA8234C2CBF}" name="Valor" dataDxfId="38"/>
    <tableColumn id="2" xr3:uid="{3755CE6D-BD57-40B1-99B2-848738B9683C}" name="Peso Percentual" dataDxfId="3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247F488-3C17-4EA7-9502-089A3E88B733}" name="tblEffort" displayName="tblEffort" ref="A7:B13" totalsRowShown="0" headerRowDxfId="36" dataDxfId="35">
  <autoFilter ref="A7:B13" xr:uid="{0247F488-3C17-4EA7-9502-089A3E88B733}"/>
  <tableColumns count="2">
    <tableColumn id="1" xr3:uid="{20ADF631-20F8-485B-9BF6-67AC2B119D17}" name="Nível de esforço de cada colaborador" dataDxfId="34"/>
    <tableColumn id="2" xr3:uid="{C815A194-8113-431A-9848-D64E2D517EA1}" name="Esforço Numérico" dataDxfId="3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BFE63AB-1A28-48FA-BD4E-31E625E3BA21}" name="tblCostofDelay" displayName="tblCostofDelay" ref="A5:C11" totalsRowShown="0" headerRowDxfId="32" dataDxfId="31">
  <autoFilter ref="A5:C11" xr:uid="{42972E4F-0E54-4896-B3AA-AD74D30CE6EB}"/>
  <tableColumns count="3">
    <tableColumn id="1" xr3:uid="{BABFF187-15B9-476E-816B-BAEB84F639AE}" name="Descrição" dataDxfId="30"/>
    <tableColumn id="5" xr3:uid="{1007FD42-D47D-46CB-884A-E2905DB3F9C5}" name="Peso" dataDxfId="29"/>
    <tableColumn id="6" xr3:uid="{52DDD254-17BE-4380-B0A3-1C3860976118}" name="Justificativa" dataDxfId="2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CFC29EF-F7F8-44CD-A635-2B2F1B9914F7}" name="tblOKRAlignment" displayName="tblOKRAlignment" ref="A5:C10" totalsRowShown="0" headerRowDxfId="27" dataDxfId="26">
  <autoFilter ref="A5:C10" xr:uid="{42972E4F-0E54-4896-B3AA-AD74D30CE6EB}"/>
  <tableColumns count="3">
    <tableColumn id="1" xr3:uid="{C0E508DF-E19F-4981-BA80-04ECE2A72CB6}" name="Descrição" dataDxfId="25"/>
    <tableColumn id="6" xr3:uid="{89F47553-26D1-47F6-A353-92F075B4AF91}" name="Peso" dataDxfId="24"/>
    <tableColumn id="7" xr3:uid="{1B0CE91E-68AE-45B8-8899-A30B703F1718}" name="Justificativa" dataDxfId="2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5BA1095-B381-4A59-BA77-4186E7D03013}" name="Tabela10" displayName="Tabela10" ref="A5:S11" totalsRowShown="0" dataDxfId="21" headerRowBorderDxfId="22" tableBorderDxfId="20" totalsRowBorderDxfId="19">
  <autoFilter ref="A5:S11" xr:uid="{A5BA1095-B381-4A59-BA77-4186E7D03013}"/>
  <tableColumns count="19">
    <tableColumn id="19" xr3:uid="{F34E2868-052D-441E-A855-463A33CDA839}" name="Coluna19" dataDxfId="18"/>
    <tableColumn id="1" xr3:uid="{BA152267-74AA-4B1A-8AD7-65FC3EFBD1FA}" name="Coluna1" dataDxfId="17"/>
    <tableColumn id="2" xr3:uid="{123DB88B-CD75-424E-AD5B-9BED4F84763C}" name="Coluna2" dataDxfId="16"/>
    <tableColumn id="3" xr3:uid="{2247DC9A-1D19-498F-B543-EE24BBFD3461}" name="Coluna3" dataDxfId="15"/>
    <tableColumn id="4" xr3:uid="{86859C5D-6A33-48C1-8B18-B831ACAADE99}" name="Coluna4" dataDxfId="14">
      <calculatedColumnFormula array="1">IFERROR(IF(C6&lt;='Priorização - Reach'!B14,'Priorização - Reach'!C14,IF(C6&lt;='Priorização - Reach'!B15,'Priorização - Reach'!C15,IF(C6&lt;='Priorização - Reach'!B16,'Priorização - Reach'!C16,IF(C6&lt;='Priorização - Reach'!B17,'Priorização - Reach'!C16,'Priorização - Reach'!C18))))+VLOOKUP(D6,tblReachFrequenciaUso[#All],2,0)+IFERROR(IFERROR(SUM(
  _xlfn.MAP(
    _xlfn.TEXTSPLIT(B6, " | "),
    _xlfn.LAMBDA(_xlpm.x, _xlfn.XLOOKUP(_xlpm.x, tblReachQuemVaiUsar[Valor], tblReachQuemVaiUsar[Peso]))
  )
),VLOOKUP(B6,tblReachQuemVaiUsar[#All],2,0)),1),"")</calculatedColumnFormula>
    </tableColumn>
    <tableColumn id="5" xr3:uid="{53E270EB-CA1A-4443-95F5-40AD427E04CE}" name="Coluna5" dataDxfId="13"/>
    <tableColumn id="6" xr3:uid="{8C8ACBAE-D8C4-45C8-A564-1B122CA94B4A}" name="Coluna6" dataDxfId="12"/>
    <tableColumn id="7" xr3:uid="{19B0D449-420F-4B11-8FCA-6ABCDBB6F281}" name="Coluna7" dataDxfId="11"/>
    <tableColumn id="8" xr3:uid="{2C6493A0-4DA7-45E1-9E98-B85DC8C4570D}" name="Coluna8" dataDxfId="10">
      <calculatedColumnFormula>IFERROR(VLOOKUP(F6,tblImpactTempo[#All],2,0),1)+IFERROR(VLOOKUP(G6,tblImpactFinanceiro[#All],2,0),1)+IFERROR(VLOOKUP(H6,tblImpactEstrategico[#All],2,0),1)</calculatedColumnFormula>
    </tableColumn>
    <tableColumn id="9" xr3:uid="{A45F80DD-85DC-4AC4-971C-0C63E36D7B18}" name="Coluna9" dataDxfId="9"/>
    <tableColumn id="10" xr3:uid="{79E46116-6487-4BFE-A7D4-F66734F5882D}" name="Coluna10" dataDxfId="8">
      <calculatedColumnFormula>IFERROR(VLOOKUP(J6,tblConfidence[#All],2,0),1)</calculatedColumnFormula>
    </tableColumn>
    <tableColumn id="11" xr3:uid="{566048B4-EDAD-402F-A630-04E03658261C}" name="Coluna11" dataDxfId="7"/>
    <tableColumn id="12" xr3:uid="{7056B9FF-7F43-4D0D-89AD-8C41D964F78A}" name="Coluna12" dataDxfId="6"/>
    <tableColumn id="13" xr3:uid="{430CC482-D30A-4C04-85D8-A2E9B4C24999}" name="Coluna13" dataDxfId="5">
      <calculatedColumnFormula>IFERROR(VLOOKUP(M6,tblEffort[#All],2,0)*L6,"")</calculatedColumnFormula>
    </tableColumn>
    <tableColumn id="14" xr3:uid="{D159C02B-3CF4-4CE8-8573-D88A475B51F1}" name="Coluna14" dataDxfId="4"/>
    <tableColumn id="15" xr3:uid="{BD2105CB-5AAD-4C1A-99A5-A091C58EAFE1}" name="Coluna15" dataDxfId="3">
      <calculatedColumnFormula>IFERROR(VLOOKUP(O6,tblCostofDelay[#All],2,0),"")</calculatedColumnFormula>
    </tableColumn>
    <tableColumn id="16" xr3:uid="{EA11C7AE-A5E4-4135-98FC-95B29E659BDF}" name="Coluna16" dataDxfId="2"/>
    <tableColumn id="17" xr3:uid="{0687FD2A-C5FF-48EC-9EE0-CA691721673E}" name="Coluna17" dataDxfId="1">
      <calculatedColumnFormula>IFERROR(VLOOKUP(Q6,tblOKRAlignment[#All],2,0),"")</calculatedColumnFormula>
    </tableColumn>
    <tableColumn id="18" xr3:uid="{5B8632D3-CA39-4DBF-94E8-DD13CF557A2A}" name="Coluna18" dataDxfId="0">
      <calculatedColumnFormula>IFERROR(((((E6*I6*K6)/N6)*P6*R6)/1)*1,"")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6D5EE-CC4F-4D4D-851A-558E5D4A9AC7}">
  <sheetPr codeName="Planilha21"/>
  <dimension ref="A1:D26"/>
  <sheetViews>
    <sheetView workbookViewId="0">
      <selection activeCell="A20" sqref="A20:C20"/>
    </sheetView>
  </sheetViews>
  <sheetFormatPr defaultRowHeight="14.4" x14ac:dyDescent="0.3"/>
  <cols>
    <col min="1" max="1" width="94.44140625" style="1" customWidth="1"/>
    <col min="2" max="2" width="20.88671875" style="1" customWidth="1"/>
    <col min="3" max="3" width="41.44140625" style="1" bestFit="1" customWidth="1"/>
    <col min="4" max="4" width="8.88671875" style="1"/>
  </cols>
  <sheetData>
    <row r="1" spans="1:4" ht="18" x14ac:dyDescent="0.35">
      <c r="A1" s="55" t="s">
        <v>25</v>
      </c>
      <c r="B1" s="55"/>
      <c r="C1" s="55"/>
      <c r="D1" s="9"/>
    </row>
    <row r="2" spans="1:4" ht="15" customHeight="1" x14ac:dyDescent="0.3">
      <c r="A2" s="56" t="s">
        <v>91</v>
      </c>
      <c r="B2" s="56"/>
      <c r="C2" s="56"/>
      <c r="D2" s="8"/>
    </row>
    <row r="3" spans="1:4" ht="40.049999999999997" customHeight="1" x14ac:dyDescent="0.3">
      <c r="A3" s="54" t="s">
        <v>21</v>
      </c>
      <c r="B3" s="54"/>
      <c r="C3" s="54"/>
      <c r="D3" s="3"/>
    </row>
    <row r="4" spans="1:4" hidden="1" x14ac:dyDescent="0.3">
      <c r="A4" s="13" t="s">
        <v>5</v>
      </c>
      <c r="B4" s="14" t="s">
        <v>4</v>
      </c>
      <c r="C4" s="21" t="s">
        <v>30</v>
      </c>
      <c r="D4" s="2"/>
    </row>
    <row r="5" spans="1:4" x14ac:dyDescent="0.3">
      <c r="A5" s="7" t="s">
        <v>29</v>
      </c>
      <c r="B5" s="6" t="s">
        <v>4</v>
      </c>
      <c r="C5" s="6" t="s">
        <v>30</v>
      </c>
      <c r="D5" s="2"/>
    </row>
    <row r="6" spans="1:4" x14ac:dyDescent="0.3">
      <c r="A6" s="22" t="s">
        <v>20</v>
      </c>
      <c r="B6" s="23">
        <v>1</v>
      </c>
      <c r="C6" s="5" t="s">
        <v>31</v>
      </c>
    </row>
    <row r="7" spans="1:4" x14ac:dyDescent="0.3">
      <c r="A7" s="22" t="s">
        <v>32</v>
      </c>
      <c r="B7" s="23">
        <v>1.5</v>
      </c>
      <c r="C7" s="5" t="s">
        <v>33</v>
      </c>
    </row>
    <row r="8" spans="1:4" x14ac:dyDescent="0.3">
      <c r="A8" s="24" t="s">
        <v>17</v>
      </c>
      <c r="B8" s="25">
        <v>3</v>
      </c>
      <c r="C8" s="5" t="s">
        <v>34</v>
      </c>
    </row>
    <row r="9" spans="1:4" ht="28.8" x14ac:dyDescent="0.3">
      <c r="A9" s="22" t="s">
        <v>15</v>
      </c>
      <c r="B9" s="23">
        <v>5</v>
      </c>
      <c r="C9" s="26" t="s">
        <v>35</v>
      </c>
    </row>
    <row r="10" spans="1:4" ht="20.399999999999999" customHeight="1" x14ac:dyDescent="0.3">
      <c r="A10" s="4"/>
    </row>
    <row r="11" spans="1:4" ht="40.049999999999997" customHeight="1" x14ac:dyDescent="0.3">
      <c r="A11" s="54" t="s">
        <v>13</v>
      </c>
      <c r="B11" s="54"/>
      <c r="C11" s="54"/>
      <c r="D11" s="3"/>
    </row>
    <row r="12" spans="1:4" ht="27" hidden="1" customHeight="1" x14ac:dyDescent="0.3">
      <c r="A12" s="18" t="s">
        <v>5</v>
      </c>
      <c r="B12" s="19" t="s">
        <v>7</v>
      </c>
      <c r="C12" s="20" t="s">
        <v>4</v>
      </c>
      <c r="D12" s="3"/>
    </row>
    <row r="13" spans="1:4" ht="21.6" customHeight="1" x14ac:dyDescent="0.3">
      <c r="A13" s="7" t="s">
        <v>12</v>
      </c>
      <c r="B13" s="7" t="s">
        <v>11</v>
      </c>
      <c r="C13" s="6" t="s">
        <v>4</v>
      </c>
      <c r="D13" s="3"/>
    </row>
    <row r="14" spans="1:4" x14ac:dyDescent="0.3">
      <c r="A14" s="16">
        <v>0</v>
      </c>
      <c r="B14" s="16">
        <v>10</v>
      </c>
      <c r="C14" s="16">
        <v>1</v>
      </c>
      <c r="D14" s="3"/>
    </row>
    <row r="15" spans="1:4" x14ac:dyDescent="0.3">
      <c r="A15" s="17">
        <v>10</v>
      </c>
      <c r="B15" s="17">
        <v>30</v>
      </c>
      <c r="C15" s="17">
        <v>2</v>
      </c>
      <c r="D15" s="3"/>
    </row>
    <row r="16" spans="1:4" x14ac:dyDescent="0.3">
      <c r="A16" s="16">
        <v>30</v>
      </c>
      <c r="B16" s="16">
        <v>60</v>
      </c>
      <c r="C16" s="16">
        <v>3</v>
      </c>
      <c r="D16" s="3"/>
    </row>
    <row r="17" spans="1:4" x14ac:dyDescent="0.3">
      <c r="A17" s="17">
        <v>60</v>
      </c>
      <c r="B17" s="17">
        <v>100</v>
      </c>
      <c r="C17" s="17">
        <v>5</v>
      </c>
      <c r="D17" s="3"/>
    </row>
    <row r="18" spans="1:4" ht="14.4" customHeight="1" x14ac:dyDescent="0.3">
      <c r="A18" s="15">
        <v>100</v>
      </c>
      <c r="B18" s="15" t="s">
        <v>7</v>
      </c>
      <c r="C18" s="16">
        <v>8</v>
      </c>
    </row>
    <row r="19" spans="1:4" x14ac:dyDescent="0.3">
      <c r="A19" s="3"/>
      <c r="B19" s="3"/>
    </row>
    <row r="20" spans="1:4" ht="30" customHeight="1" x14ac:dyDescent="0.3">
      <c r="A20" s="52" t="s">
        <v>6</v>
      </c>
      <c r="B20" s="53"/>
      <c r="C20" s="53"/>
      <c r="D20" s="3"/>
    </row>
    <row r="21" spans="1:4" hidden="1" x14ac:dyDescent="0.3">
      <c r="A21" s="10" t="s">
        <v>5</v>
      </c>
      <c r="B21" s="2" t="s">
        <v>4</v>
      </c>
      <c r="D21" s="2"/>
    </row>
    <row r="22" spans="1:4" x14ac:dyDescent="0.3">
      <c r="A22" s="3" t="s">
        <v>29</v>
      </c>
      <c r="B22" s="2" t="s">
        <v>4</v>
      </c>
      <c r="C22" s="2"/>
      <c r="D22" s="2"/>
    </row>
    <row r="23" spans="1:4" x14ac:dyDescent="0.3">
      <c r="A23" s="1" t="s">
        <v>3</v>
      </c>
      <c r="B23" s="1">
        <v>0.5</v>
      </c>
    </row>
    <row r="24" spans="1:4" x14ac:dyDescent="0.3">
      <c r="A24" s="1" t="s">
        <v>2</v>
      </c>
      <c r="B24" s="1">
        <v>1</v>
      </c>
    </row>
    <row r="25" spans="1:4" x14ac:dyDescent="0.3">
      <c r="A25" s="1" t="s">
        <v>1</v>
      </c>
      <c r="B25" s="1">
        <v>2</v>
      </c>
    </row>
    <row r="26" spans="1:4" x14ac:dyDescent="0.3">
      <c r="A26" s="1" t="s">
        <v>0</v>
      </c>
      <c r="B26" s="1">
        <v>5</v>
      </c>
    </row>
  </sheetData>
  <mergeCells count="5">
    <mergeCell ref="A20:C20"/>
    <mergeCell ref="A11:C11"/>
    <mergeCell ref="A1:C1"/>
    <mergeCell ref="A2:C2"/>
    <mergeCell ref="A3:C3"/>
  </mergeCells>
  <pageMargins left="0.511811024" right="0.511811024" top="0.78740157499999996" bottom="0.78740157499999996" header="0.31496062000000002" footer="0.31496062000000002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47E55-CEB9-4BC4-A757-41A07D4DD4A6}">
  <sheetPr codeName="Planilha20"/>
  <dimension ref="A1:C29"/>
  <sheetViews>
    <sheetView topLeftCell="A13" zoomScaleNormal="100" workbookViewId="0">
      <selection activeCell="B29" sqref="B29"/>
    </sheetView>
  </sheetViews>
  <sheetFormatPr defaultRowHeight="14.4" x14ac:dyDescent="0.3"/>
  <cols>
    <col min="1" max="1" width="94.44140625" style="1" customWidth="1"/>
    <col min="2" max="2" width="8.88671875" style="1"/>
    <col min="3" max="3" width="61.6640625" bestFit="1" customWidth="1"/>
  </cols>
  <sheetData>
    <row r="1" spans="1:3" ht="18" x14ac:dyDescent="0.3">
      <c r="A1" s="55" t="s">
        <v>24</v>
      </c>
      <c r="B1" s="55"/>
      <c r="C1" s="55"/>
    </row>
    <row r="2" spans="1:3" ht="15" customHeight="1" x14ac:dyDescent="0.3">
      <c r="A2" s="56" t="s">
        <v>90</v>
      </c>
      <c r="B2" s="56"/>
      <c r="C2" s="56"/>
    </row>
    <row r="3" spans="1:3" ht="30" customHeight="1" x14ac:dyDescent="0.3">
      <c r="A3" s="54" t="s">
        <v>36</v>
      </c>
      <c r="B3" s="54"/>
    </row>
    <row r="4" spans="1:3" hidden="1" x14ac:dyDescent="0.3">
      <c r="A4" s="3" t="s">
        <v>5</v>
      </c>
      <c r="B4" s="2" t="s">
        <v>4</v>
      </c>
    </row>
    <row r="5" spans="1:3" x14ac:dyDescent="0.3">
      <c r="A5" s="3" t="s">
        <v>29</v>
      </c>
      <c r="B5" s="2" t="s">
        <v>4</v>
      </c>
    </row>
    <row r="6" spans="1:3" x14ac:dyDescent="0.3">
      <c r="A6" s="4" t="s">
        <v>19</v>
      </c>
      <c r="B6" s="1">
        <v>1</v>
      </c>
    </row>
    <row r="7" spans="1:3" x14ac:dyDescent="0.3">
      <c r="A7" s="4" t="s">
        <v>18</v>
      </c>
      <c r="B7" s="1">
        <v>3</v>
      </c>
    </row>
    <row r="8" spans="1:3" x14ac:dyDescent="0.3">
      <c r="A8" s="4" t="s">
        <v>135</v>
      </c>
      <c r="B8" s="1">
        <v>5</v>
      </c>
    </row>
    <row r="9" spans="1:3" x14ac:dyDescent="0.3">
      <c r="A9" s="4" t="s">
        <v>16</v>
      </c>
      <c r="B9" s="1">
        <v>8</v>
      </c>
    </row>
    <row r="11" spans="1:3" ht="43.2" customHeight="1" x14ac:dyDescent="0.3">
      <c r="A11" s="57" t="s">
        <v>14</v>
      </c>
      <c r="B11" s="57"/>
    </row>
    <row r="12" spans="1:3" x14ac:dyDescent="0.3">
      <c r="A12" s="3"/>
    </row>
    <row r="13" spans="1:3" ht="30" customHeight="1" x14ac:dyDescent="0.3">
      <c r="A13" s="54" t="s">
        <v>40</v>
      </c>
      <c r="B13" s="54"/>
    </row>
    <row r="14" spans="1:3" ht="10.199999999999999" hidden="1" customHeight="1" x14ac:dyDescent="0.3">
      <c r="A14" s="7" t="s">
        <v>5</v>
      </c>
      <c r="B14" s="6" t="s">
        <v>4</v>
      </c>
    </row>
    <row r="15" spans="1:3" ht="21.6" customHeight="1" x14ac:dyDescent="0.3">
      <c r="A15" s="7" t="s">
        <v>29</v>
      </c>
      <c r="B15" s="6" t="s">
        <v>4</v>
      </c>
    </row>
    <row r="16" spans="1:3" x14ac:dyDescent="0.3">
      <c r="A16" s="5" t="s">
        <v>37</v>
      </c>
      <c r="B16" s="5">
        <v>1</v>
      </c>
    </row>
    <row r="17" spans="1:3" x14ac:dyDescent="0.3">
      <c r="A17" s="5" t="s">
        <v>10</v>
      </c>
      <c r="B17" s="5">
        <v>3</v>
      </c>
    </row>
    <row r="18" spans="1:3" x14ac:dyDescent="0.3">
      <c r="A18" s="5" t="s">
        <v>9</v>
      </c>
      <c r="B18" s="5">
        <v>5</v>
      </c>
    </row>
    <row r="19" spans="1:3" x14ac:dyDescent="0.3">
      <c r="A19" s="5" t="s">
        <v>8</v>
      </c>
      <c r="B19" s="5">
        <v>8</v>
      </c>
    </row>
    <row r="20" spans="1:3" ht="14.4" customHeight="1" x14ac:dyDescent="0.3"/>
    <row r="21" spans="1:3" s="27" customFormat="1" ht="49.8" customHeight="1" x14ac:dyDescent="0.3">
      <c r="A21" s="57" t="s">
        <v>38</v>
      </c>
      <c r="B21" s="57"/>
    </row>
    <row r="24" spans="1:3" ht="40.049999999999997" customHeight="1" x14ac:dyDescent="0.3">
      <c r="A24" s="54" t="s">
        <v>39</v>
      </c>
      <c r="B24" s="54"/>
      <c r="C24" s="54"/>
    </row>
    <row r="25" spans="1:3" hidden="1" x14ac:dyDescent="0.3">
      <c r="A25" s="1" t="s">
        <v>5</v>
      </c>
      <c r="B25" s="1" t="s">
        <v>4</v>
      </c>
      <c r="C25" t="s">
        <v>30</v>
      </c>
    </row>
    <row r="26" spans="1:3" x14ac:dyDescent="0.3">
      <c r="A26" s="5" t="s">
        <v>29</v>
      </c>
      <c r="B26" s="5" t="s">
        <v>4</v>
      </c>
      <c r="C26" s="5" t="s">
        <v>30</v>
      </c>
    </row>
    <row r="27" spans="1:3" x14ac:dyDescent="0.3">
      <c r="A27" s="5" t="s">
        <v>47</v>
      </c>
      <c r="B27" s="5">
        <v>1</v>
      </c>
      <c r="C27" s="5" t="s">
        <v>41</v>
      </c>
    </row>
    <row r="28" spans="1:3" ht="28.8" x14ac:dyDescent="0.3">
      <c r="A28" s="5" t="s">
        <v>42</v>
      </c>
      <c r="B28" s="5">
        <v>3</v>
      </c>
      <c r="C28" s="26" t="s">
        <v>43</v>
      </c>
    </row>
    <row r="29" spans="1:3" ht="28.8" x14ac:dyDescent="0.3">
      <c r="A29" s="5" t="s">
        <v>44</v>
      </c>
      <c r="B29" s="5">
        <v>5</v>
      </c>
      <c r="C29" s="26" t="s">
        <v>45</v>
      </c>
    </row>
  </sheetData>
  <mergeCells count="7">
    <mergeCell ref="A24:C24"/>
    <mergeCell ref="A1:C1"/>
    <mergeCell ref="A2:C2"/>
    <mergeCell ref="A3:B3"/>
    <mergeCell ref="A11:B11"/>
    <mergeCell ref="A21:B21"/>
    <mergeCell ref="A13:B13"/>
  </mergeCells>
  <pageMargins left="0.511811024" right="0.511811024" top="0.78740157499999996" bottom="0.78740157499999996" header="0.31496062000000002" footer="0.31496062000000002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F2212-AD2F-47E1-8D39-E6895C6C8348}">
  <sheetPr codeName="Planilha22"/>
  <dimension ref="A1:B9"/>
  <sheetViews>
    <sheetView zoomScaleNormal="100" workbookViewId="0">
      <selection activeCell="B6" sqref="B6"/>
    </sheetView>
  </sheetViews>
  <sheetFormatPr defaultRowHeight="14.4" x14ac:dyDescent="0.3"/>
  <cols>
    <col min="1" max="1" width="94.44140625" style="1" customWidth="1"/>
    <col min="2" max="2" width="19" style="1" bestFit="1" customWidth="1"/>
  </cols>
  <sheetData>
    <row r="1" spans="1:2" ht="18" x14ac:dyDescent="0.3">
      <c r="A1" s="55" t="s">
        <v>57</v>
      </c>
      <c r="B1" s="55"/>
    </row>
    <row r="2" spans="1:2" ht="15" customHeight="1" x14ac:dyDescent="0.3">
      <c r="A2" s="56" t="s">
        <v>88</v>
      </c>
      <c r="B2" s="56"/>
    </row>
    <row r="3" spans="1:2" ht="30" customHeight="1" x14ac:dyDescent="0.3">
      <c r="A3" s="54" t="s">
        <v>50</v>
      </c>
      <c r="B3" s="54"/>
    </row>
    <row r="4" spans="1:2" hidden="1" x14ac:dyDescent="0.3">
      <c r="A4" s="3" t="s">
        <v>5</v>
      </c>
      <c r="B4" s="2" t="s">
        <v>4</v>
      </c>
    </row>
    <row r="5" spans="1:2" x14ac:dyDescent="0.3">
      <c r="A5" s="3" t="s">
        <v>29</v>
      </c>
      <c r="B5" s="2" t="s">
        <v>55</v>
      </c>
    </row>
    <row r="6" spans="1:2" x14ac:dyDescent="0.3">
      <c r="A6" s="26" t="s">
        <v>51</v>
      </c>
      <c r="B6" s="29">
        <v>1</v>
      </c>
    </row>
    <row r="7" spans="1:2" x14ac:dyDescent="0.3">
      <c r="A7" s="26" t="s">
        <v>52</v>
      </c>
      <c r="B7" s="29">
        <v>0.8</v>
      </c>
    </row>
    <row r="8" spans="1:2" x14ac:dyDescent="0.3">
      <c r="A8" s="26" t="s">
        <v>53</v>
      </c>
      <c r="B8" s="29">
        <v>0.5</v>
      </c>
    </row>
    <row r="9" spans="1:2" x14ac:dyDescent="0.3">
      <c r="A9" s="26" t="s">
        <v>54</v>
      </c>
      <c r="B9" s="29">
        <v>0.3</v>
      </c>
    </row>
  </sheetData>
  <mergeCells count="3">
    <mergeCell ref="A1:B1"/>
    <mergeCell ref="A2:B2"/>
    <mergeCell ref="A3:B3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AEFB0-189A-4085-810E-CBC07B1FE728}">
  <sheetPr codeName="Planilha23"/>
  <dimension ref="A1:B13"/>
  <sheetViews>
    <sheetView zoomScaleNormal="100" workbookViewId="0">
      <selection sqref="A1:B13"/>
    </sheetView>
  </sheetViews>
  <sheetFormatPr defaultRowHeight="14.4" x14ac:dyDescent="0.3"/>
  <cols>
    <col min="1" max="1" width="94.44140625" style="1" customWidth="1"/>
    <col min="2" max="2" width="19" style="1" bestFit="1" customWidth="1"/>
  </cols>
  <sheetData>
    <row r="1" spans="1:2" ht="18" x14ac:dyDescent="0.3">
      <c r="A1" s="55" t="s">
        <v>58</v>
      </c>
      <c r="B1" s="55"/>
    </row>
    <row r="2" spans="1:2" ht="15" customHeight="1" x14ac:dyDescent="0.3">
      <c r="A2" s="56" t="s">
        <v>59</v>
      </c>
      <c r="B2" s="56"/>
    </row>
    <row r="3" spans="1:2" ht="15" customHeight="1" x14ac:dyDescent="0.3">
      <c r="A3" s="54" t="s">
        <v>70</v>
      </c>
      <c r="B3" s="54"/>
    </row>
    <row r="5" spans="1:2" x14ac:dyDescent="0.3">
      <c r="A5" s="54" t="s">
        <v>69</v>
      </c>
      <c r="B5" s="54"/>
    </row>
    <row r="6" spans="1:2" hidden="1" x14ac:dyDescent="0.3">
      <c r="A6" s="3" t="s">
        <v>5</v>
      </c>
      <c r="B6" s="2" t="s">
        <v>4</v>
      </c>
    </row>
    <row r="7" spans="1:2" x14ac:dyDescent="0.3">
      <c r="A7" s="7" t="s">
        <v>67</v>
      </c>
      <c r="B7" s="7" t="s">
        <v>60</v>
      </c>
    </row>
    <row r="8" spans="1:2" x14ac:dyDescent="0.3">
      <c r="A8" s="26" t="s">
        <v>61</v>
      </c>
      <c r="B8" s="26">
        <v>0.5</v>
      </c>
    </row>
    <row r="9" spans="1:2" x14ac:dyDescent="0.3">
      <c r="A9" s="26" t="s">
        <v>62</v>
      </c>
      <c r="B9" s="26">
        <v>1</v>
      </c>
    </row>
    <row r="10" spans="1:2" x14ac:dyDescent="0.3">
      <c r="A10" s="26" t="s">
        <v>63</v>
      </c>
      <c r="B10" s="26">
        <v>2</v>
      </c>
    </row>
    <row r="11" spans="1:2" x14ac:dyDescent="0.3">
      <c r="A11" s="26" t="s">
        <v>64</v>
      </c>
      <c r="B11" s="26">
        <v>4</v>
      </c>
    </row>
    <row r="12" spans="1:2" x14ac:dyDescent="0.3">
      <c r="A12" s="26" t="s">
        <v>65</v>
      </c>
      <c r="B12" s="26">
        <v>6</v>
      </c>
    </row>
    <row r="13" spans="1:2" x14ac:dyDescent="0.3">
      <c r="A13" s="26" t="s">
        <v>66</v>
      </c>
      <c r="B13" s="26">
        <v>8</v>
      </c>
    </row>
  </sheetData>
  <mergeCells count="4">
    <mergeCell ref="A1:B1"/>
    <mergeCell ref="A2:B2"/>
    <mergeCell ref="A5:B5"/>
    <mergeCell ref="A3:B3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3114E-7418-4E1D-8EEE-BDF9BCE45897}">
  <sheetPr codeName="Planilha24"/>
  <dimension ref="A1:D11"/>
  <sheetViews>
    <sheetView zoomScaleNormal="100" workbookViewId="0">
      <selection sqref="A1:C11"/>
    </sheetView>
  </sheetViews>
  <sheetFormatPr defaultRowHeight="14.4" x14ac:dyDescent="0.3"/>
  <cols>
    <col min="1" max="2" width="43.5546875" style="5" customWidth="1"/>
    <col min="3" max="3" width="45.5546875" style="5" customWidth="1"/>
  </cols>
  <sheetData>
    <row r="1" spans="1:4" ht="18" x14ac:dyDescent="0.3">
      <c r="A1" s="55" t="s">
        <v>72</v>
      </c>
      <c r="B1" s="55"/>
      <c r="C1" s="55"/>
    </row>
    <row r="2" spans="1:4" ht="15" customHeight="1" x14ac:dyDescent="0.3">
      <c r="A2" s="56" t="s">
        <v>89</v>
      </c>
      <c r="B2" s="56"/>
      <c r="C2" s="56"/>
    </row>
    <row r="3" spans="1:4" ht="30" customHeight="1" x14ac:dyDescent="0.3">
      <c r="A3" s="54" t="s">
        <v>73</v>
      </c>
      <c r="B3" s="54"/>
      <c r="C3" s="54"/>
    </row>
    <row r="4" spans="1:4" hidden="1" x14ac:dyDescent="0.3">
      <c r="A4" s="7" t="s">
        <v>5</v>
      </c>
      <c r="B4" s="5" t="s">
        <v>4</v>
      </c>
      <c r="C4" s="5" t="s">
        <v>30</v>
      </c>
    </row>
    <row r="5" spans="1:4" x14ac:dyDescent="0.3">
      <c r="A5" s="7" t="s">
        <v>75</v>
      </c>
      <c r="B5" s="7" t="s">
        <v>4</v>
      </c>
      <c r="C5" s="7" t="s">
        <v>30</v>
      </c>
      <c r="D5" s="30"/>
    </row>
    <row r="6" spans="1:4" x14ac:dyDescent="0.3">
      <c r="A6" s="7" t="s">
        <v>76</v>
      </c>
      <c r="B6" s="7">
        <v>1</v>
      </c>
      <c r="C6" s="26" t="s">
        <v>77</v>
      </c>
      <c r="D6" s="30"/>
    </row>
    <row r="7" spans="1:4" x14ac:dyDescent="0.3">
      <c r="A7" s="7" t="s">
        <v>74</v>
      </c>
      <c r="B7" s="7">
        <v>2</v>
      </c>
      <c r="C7" s="26" t="s">
        <v>78</v>
      </c>
      <c r="D7" s="30"/>
    </row>
    <row r="8" spans="1:4" x14ac:dyDescent="0.3">
      <c r="A8" s="7" t="s">
        <v>79</v>
      </c>
      <c r="B8" s="7">
        <v>3</v>
      </c>
      <c r="C8" s="26" t="s">
        <v>80</v>
      </c>
      <c r="D8" s="30"/>
    </row>
    <row r="9" spans="1:4" x14ac:dyDescent="0.3">
      <c r="A9" s="7" t="s">
        <v>81</v>
      </c>
      <c r="B9" s="7">
        <v>5</v>
      </c>
      <c r="C9" s="26" t="s">
        <v>82</v>
      </c>
      <c r="D9" s="30"/>
    </row>
    <row r="10" spans="1:4" ht="28.8" x14ac:dyDescent="0.3">
      <c r="A10" s="7" t="s">
        <v>83</v>
      </c>
      <c r="B10" s="7">
        <v>8</v>
      </c>
      <c r="C10" s="26" t="s">
        <v>84</v>
      </c>
    </row>
    <row r="11" spans="1:4" ht="28.8" x14ac:dyDescent="0.3">
      <c r="A11" s="7" t="s">
        <v>85</v>
      </c>
      <c r="B11" s="7">
        <v>13</v>
      </c>
      <c r="C11" s="26" t="s">
        <v>86</v>
      </c>
    </row>
  </sheetData>
  <mergeCells count="3">
    <mergeCell ref="A1:C1"/>
    <mergeCell ref="A2:C2"/>
    <mergeCell ref="A3:C3"/>
  </mergeCells>
  <phoneticPr fontId="7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68DFF-F4D9-4908-BCCB-CBF1AD735289}">
  <sheetPr codeName="Planilha25"/>
  <dimension ref="A1:C10"/>
  <sheetViews>
    <sheetView zoomScaleNormal="100" workbookViewId="0">
      <selection sqref="A1:C1"/>
    </sheetView>
  </sheetViews>
  <sheetFormatPr defaultRowHeight="14.4" x14ac:dyDescent="0.3"/>
  <cols>
    <col min="1" max="3" width="44" style="5" customWidth="1"/>
  </cols>
  <sheetData>
    <row r="1" spans="1:3" ht="18" x14ac:dyDescent="0.3">
      <c r="A1" s="55" t="s">
        <v>93</v>
      </c>
      <c r="B1" s="55"/>
      <c r="C1" s="55"/>
    </row>
    <row r="2" spans="1:3" ht="15" customHeight="1" x14ac:dyDescent="0.3">
      <c r="A2" s="56" t="s">
        <v>94</v>
      </c>
      <c r="B2" s="56"/>
      <c r="C2" s="56"/>
    </row>
    <row r="3" spans="1:3" ht="30" customHeight="1" x14ac:dyDescent="0.3">
      <c r="A3" s="54" t="s">
        <v>95</v>
      </c>
      <c r="B3" s="54"/>
      <c r="C3" s="54"/>
    </row>
    <row r="4" spans="1:3" hidden="1" x14ac:dyDescent="0.3">
      <c r="A4" s="7" t="s">
        <v>5</v>
      </c>
      <c r="B4" s="5" t="s">
        <v>30</v>
      </c>
    </row>
    <row r="5" spans="1:3" x14ac:dyDescent="0.3">
      <c r="A5" s="7" t="s">
        <v>75</v>
      </c>
      <c r="B5" s="7" t="s">
        <v>4</v>
      </c>
      <c r="C5" s="7" t="s">
        <v>30</v>
      </c>
    </row>
    <row r="6" spans="1:3" x14ac:dyDescent="0.3">
      <c r="A6" s="7" t="s">
        <v>96</v>
      </c>
      <c r="B6" s="7">
        <v>1</v>
      </c>
      <c r="C6" s="26" t="s">
        <v>97</v>
      </c>
    </row>
    <row r="7" spans="1:3" ht="28.8" x14ac:dyDescent="0.3">
      <c r="A7" s="7" t="s">
        <v>98</v>
      </c>
      <c r="B7" s="7">
        <v>2</v>
      </c>
      <c r="C7" s="26" t="s">
        <v>99</v>
      </c>
    </row>
    <row r="8" spans="1:3" x14ac:dyDescent="0.3">
      <c r="A8" s="7" t="s">
        <v>100</v>
      </c>
      <c r="B8" s="7">
        <v>3</v>
      </c>
      <c r="C8" s="26" t="s">
        <v>101</v>
      </c>
    </row>
    <row r="9" spans="1:3" x14ac:dyDescent="0.3">
      <c r="A9" s="7" t="s">
        <v>102</v>
      </c>
      <c r="B9" s="7">
        <v>5</v>
      </c>
      <c r="C9" s="26" t="s">
        <v>103</v>
      </c>
    </row>
    <row r="10" spans="1:3" ht="28.8" x14ac:dyDescent="0.3">
      <c r="A10" s="7" t="s">
        <v>104</v>
      </c>
      <c r="B10" s="7">
        <v>8</v>
      </c>
      <c r="C10" s="26" t="s">
        <v>105</v>
      </c>
    </row>
  </sheetData>
  <mergeCells count="3">
    <mergeCell ref="A1:C1"/>
    <mergeCell ref="A3:C3"/>
    <mergeCell ref="A2:C2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F25F8-8A35-4828-9C69-F9B8D9844D62}">
  <dimension ref="A1:B7"/>
  <sheetViews>
    <sheetView workbookViewId="0"/>
  </sheetViews>
  <sheetFormatPr defaultRowHeight="14.4" x14ac:dyDescent="0.3"/>
  <cols>
    <col min="1" max="2" width="32.109375" style="5" customWidth="1"/>
  </cols>
  <sheetData>
    <row r="1" spans="1:2" x14ac:dyDescent="0.3">
      <c r="A1" s="49" t="s">
        <v>140</v>
      </c>
      <c r="B1" s="46">
        <f>(SUM(tblReachQuemVaiUsar[Peso]))+MAX(tblReachQuantidadeUsuarios[[#All],[Peso]])+MAX(tblReachFrequenciaUso[[#All],[Peso]])</f>
        <v>23.5</v>
      </c>
    </row>
    <row r="2" spans="1:2" x14ac:dyDescent="0.3">
      <c r="A2" s="50" t="s">
        <v>141</v>
      </c>
      <c r="B2" s="47">
        <f>(MAX(tblImpactTempo[[#All],[Peso]])+MAX(tblImpactFinanceiro[[#All],[Peso]])+MAX(tblImpactEstrategico[[#All],[Peso]]))</f>
        <v>21</v>
      </c>
    </row>
    <row r="3" spans="1:2" x14ac:dyDescent="0.3">
      <c r="A3" s="50" t="s">
        <v>142</v>
      </c>
      <c r="B3" s="47">
        <f>MAX(tblConfidence[Peso Percentual])</f>
        <v>1</v>
      </c>
    </row>
    <row r="4" spans="1:2" x14ac:dyDescent="0.3">
      <c r="A4" s="50" t="s">
        <v>140</v>
      </c>
      <c r="B4" s="47">
        <f>MIN(tblEffort[Esforço Numérico])</f>
        <v>0.5</v>
      </c>
    </row>
    <row r="5" spans="1:2" x14ac:dyDescent="0.3">
      <c r="A5" s="50" t="s">
        <v>143</v>
      </c>
      <c r="B5" s="47">
        <f>MAX(tblCostofDelay[Peso])</f>
        <v>13</v>
      </c>
    </row>
    <row r="6" spans="1:2" x14ac:dyDescent="0.3">
      <c r="A6" s="50" t="s">
        <v>144</v>
      </c>
      <c r="B6" s="47">
        <f>MAX(tblOKRAlignment[[#All],[Peso]])</f>
        <v>8</v>
      </c>
    </row>
    <row r="7" spans="1:2" ht="15" thickBot="1" x14ac:dyDescent="0.35">
      <c r="A7" s="51" t="s">
        <v>145</v>
      </c>
      <c r="B7" s="48">
        <f>(B1*B2*B3/B4)*B5*B6</f>
        <v>102648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6EFEC-F050-4440-AB28-2EAC47A5D3B9}">
  <sheetPr codeName="Planilha26"/>
  <dimension ref="A1:V9"/>
  <sheetViews>
    <sheetView showGridLines="0" tabSelected="1" workbookViewId="0">
      <pane xSplit="2" topLeftCell="C1" activePane="topRight" state="frozen"/>
      <selection pane="topRight" activeCell="H6" sqref="H6"/>
    </sheetView>
  </sheetViews>
  <sheetFormatPr defaultRowHeight="14.4" x14ac:dyDescent="0.3"/>
  <cols>
    <col min="1" max="1" width="26" bestFit="1" customWidth="1"/>
    <col min="2" max="2" width="16.88671875" customWidth="1"/>
    <col min="5" max="5" width="46.109375" style="5" customWidth="1"/>
    <col min="6" max="6" width="39.6640625" style="5" customWidth="1"/>
    <col min="7" max="7" width="37.21875" style="5" customWidth="1"/>
    <col min="8" max="8" width="21.44140625" style="1" customWidth="1"/>
    <col min="9" max="9" width="28.33203125" customWidth="1"/>
    <col min="10" max="10" width="40.33203125" customWidth="1"/>
    <col min="11" max="11" width="35.6640625" customWidth="1"/>
    <col min="12" max="12" width="27.21875" customWidth="1"/>
    <col min="13" max="13" width="28.5546875" bestFit="1" customWidth="1"/>
    <col min="14" max="14" width="25" customWidth="1"/>
    <col min="15" max="15" width="26.5546875" bestFit="1" customWidth="1"/>
    <col min="16" max="16" width="35" bestFit="1" customWidth="1"/>
    <col min="17" max="17" width="20.44140625" customWidth="1"/>
    <col min="18" max="18" width="31.33203125" bestFit="1" customWidth="1"/>
    <col min="19" max="19" width="15.44140625" customWidth="1"/>
    <col min="20" max="20" width="32" customWidth="1"/>
    <col min="21" max="21" width="15.33203125" customWidth="1"/>
    <col min="22" max="22" width="40.109375" customWidth="1"/>
  </cols>
  <sheetData>
    <row r="1" spans="1:22" ht="37.200000000000003" customHeight="1" x14ac:dyDescent="0.3">
      <c r="A1" s="59" t="s">
        <v>109</v>
      </c>
      <c r="B1" s="60"/>
      <c r="E1" s="58" t="s">
        <v>110</v>
      </c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</row>
    <row r="2" spans="1:22" ht="37.200000000000003" customHeight="1" x14ac:dyDescent="0.3">
      <c r="A2" s="34" t="s">
        <v>111</v>
      </c>
      <c r="B2" s="35" t="s">
        <v>29</v>
      </c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</row>
    <row r="3" spans="1:22" ht="37.799999999999997" customHeight="1" x14ac:dyDescent="0.3">
      <c r="A3" s="37" t="s">
        <v>26</v>
      </c>
      <c r="B3" s="38">
        <f>H6</f>
        <v>10</v>
      </c>
      <c r="E3" s="55" t="s">
        <v>25</v>
      </c>
      <c r="F3" s="55"/>
      <c r="G3" s="55"/>
      <c r="H3" s="55"/>
      <c r="I3" s="68" t="s">
        <v>24</v>
      </c>
      <c r="J3" s="68"/>
      <c r="K3" s="68"/>
      <c r="L3" s="68"/>
      <c r="M3" s="69" t="s">
        <v>48</v>
      </c>
      <c r="N3" s="69"/>
      <c r="O3" s="70" t="s">
        <v>68</v>
      </c>
      <c r="P3" s="70"/>
      <c r="Q3" s="70"/>
      <c r="R3" s="71" t="s">
        <v>87</v>
      </c>
      <c r="S3" s="71"/>
      <c r="T3" s="72" t="s">
        <v>106</v>
      </c>
      <c r="U3" s="72"/>
      <c r="V3" s="61" t="s">
        <v>108</v>
      </c>
    </row>
    <row r="4" spans="1:22" ht="36.6" customHeight="1" x14ac:dyDescent="0.3">
      <c r="A4" s="37" t="s">
        <v>27</v>
      </c>
      <c r="B4" s="38">
        <f>L6</f>
        <v>14</v>
      </c>
      <c r="E4" s="62" t="s">
        <v>23</v>
      </c>
      <c r="F4" s="62"/>
      <c r="G4" s="62"/>
      <c r="H4" s="62"/>
      <c r="I4" s="63" t="s">
        <v>22</v>
      </c>
      <c r="J4" s="63"/>
      <c r="K4" s="63"/>
      <c r="L4" s="63"/>
      <c r="M4" s="64" t="s">
        <v>49</v>
      </c>
      <c r="N4" s="64"/>
      <c r="O4" s="65" t="s">
        <v>59</v>
      </c>
      <c r="P4" s="65"/>
      <c r="Q4" s="65"/>
      <c r="R4" s="66" t="s">
        <v>59</v>
      </c>
      <c r="S4" s="66"/>
      <c r="T4" s="67" t="s">
        <v>94</v>
      </c>
      <c r="U4" s="67"/>
      <c r="V4" s="61"/>
    </row>
    <row r="5" spans="1:22" ht="49.95" customHeight="1" x14ac:dyDescent="0.3">
      <c r="A5" s="37" t="s">
        <v>56</v>
      </c>
      <c r="B5" s="38">
        <f>N6</f>
        <v>1</v>
      </c>
      <c r="E5" s="11" t="s">
        <v>21</v>
      </c>
      <c r="F5" s="11" t="s">
        <v>28</v>
      </c>
      <c r="G5" s="11" t="s">
        <v>6</v>
      </c>
      <c r="H5" s="12" t="s">
        <v>26</v>
      </c>
      <c r="I5" s="11" t="s">
        <v>36</v>
      </c>
      <c r="J5" s="11" t="s">
        <v>40</v>
      </c>
      <c r="K5" s="11" t="s">
        <v>46</v>
      </c>
      <c r="L5" s="12" t="s">
        <v>27</v>
      </c>
      <c r="M5" s="11" t="s">
        <v>50</v>
      </c>
      <c r="N5" s="12" t="s">
        <v>56</v>
      </c>
      <c r="O5" s="11" t="s">
        <v>70</v>
      </c>
      <c r="P5" s="11" t="s">
        <v>69</v>
      </c>
      <c r="Q5" s="12" t="s">
        <v>71</v>
      </c>
      <c r="R5" s="11" t="s">
        <v>73</v>
      </c>
      <c r="S5" s="12" t="s">
        <v>92</v>
      </c>
      <c r="T5" s="11" t="s">
        <v>95</v>
      </c>
      <c r="U5" s="12" t="s">
        <v>107</v>
      </c>
      <c r="V5" s="61"/>
    </row>
    <row r="6" spans="1:22" ht="28.8" x14ac:dyDescent="0.3">
      <c r="A6" s="37" t="s">
        <v>71</v>
      </c>
      <c r="B6" s="38">
        <f>Q6</f>
        <v>2</v>
      </c>
      <c r="E6" s="26" t="s">
        <v>32</v>
      </c>
      <c r="F6" s="5">
        <v>120</v>
      </c>
      <c r="G6" s="5" t="s">
        <v>3</v>
      </c>
      <c r="H6" s="28" cm="1">
        <f t="array" ref="H6">IFERROR(IF(F6&lt;='Priorização - Reach'!B14,'Priorização - Reach'!C14,IF(F6&lt;='Priorização - Reach'!B15,'Priorização - Reach'!C15,IF(F6&lt;='Priorização - Reach'!B16,'Priorização - Reach'!C16,IF(F6&lt;='Priorização - Reach'!B17,'Priorização - Reach'!C16,'Priorização - Reach'!C18))))+VLOOKUP(G6,tblReachFrequenciaUso[#All],2,0)+IFERROR(IFERROR(SUM(
  _xlfn.MAP(
    _xlfn.TEXTSPLIT(E6, " | "),
    _xlfn.LAMBDA(_xlpm.x, _xlfn.XLOOKUP(_xlpm.x, tblReachQuemVaiUsar[Valor], tblReachQuemVaiUsar[Peso]))
  )
),VLOOKUP(E6,tblReachQuemVaiUsar[#All],2,0)),1),"")</f>
        <v>10</v>
      </c>
      <c r="I6" s="5" t="s">
        <v>18</v>
      </c>
      <c r="J6" s="5" t="s">
        <v>8</v>
      </c>
      <c r="K6" s="5" t="s">
        <v>42</v>
      </c>
      <c r="L6" s="28">
        <f>IFERROR(VLOOKUP(I6,tblImpactTempo[#All],2,0),1)+IFERROR(VLOOKUP(J6,tblImpactFinanceiro[#All],2,0),1)+IFERROR(VLOOKUP(K6,tblImpactEstrategico[#All],2,0),1)</f>
        <v>14</v>
      </c>
      <c r="M6" s="26" t="s">
        <v>51</v>
      </c>
      <c r="N6" s="28">
        <f>IFERROR(VLOOKUP(M6,tblConfidence[#All],2,0),1)</f>
        <v>1</v>
      </c>
      <c r="O6" s="5">
        <v>1</v>
      </c>
      <c r="P6" s="26" t="s">
        <v>63</v>
      </c>
      <c r="Q6" s="28">
        <f>IFERROR(VLOOKUP(P6,tblEffort[#All],2,0)*O6,"")</f>
        <v>2</v>
      </c>
      <c r="R6" s="26" t="s">
        <v>85</v>
      </c>
      <c r="S6" s="28">
        <f>IFERROR(VLOOKUP(R6,tblCostofDelay[#All],2,0),"")</f>
        <v>13</v>
      </c>
      <c r="T6" s="26" t="s">
        <v>96</v>
      </c>
      <c r="U6" s="28">
        <f>IFERROR(VLOOKUP(T6,tblOKRAlignment[#All],2,0),"")</f>
        <v>1</v>
      </c>
      <c r="V6" s="31">
        <f>IFERROR(((H6*L6*N6)/Q6)*S6*U6,0)</f>
        <v>910</v>
      </c>
    </row>
    <row r="7" spans="1:22" ht="15.6" x14ac:dyDescent="0.3">
      <c r="A7" s="37" t="s">
        <v>92</v>
      </c>
      <c r="B7" s="38">
        <f>S6</f>
        <v>13</v>
      </c>
    </row>
    <row r="8" spans="1:22" ht="15.6" x14ac:dyDescent="0.3">
      <c r="A8" s="37" t="s">
        <v>107</v>
      </c>
      <c r="B8" s="38">
        <f>U6</f>
        <v>1</v>
      </c>
    </row>
    <row r="9" spans="1:22" ht="21" x14ac:dyDescent="0.3">
      <c r="A9" s="33" t="s">
        <v>108</v>
      </c>
      <c r="B9" s="36">
        <f>V6</f>
        <v>910</v>
      </c>
    </row>
  </sheetData>
  <mergeCells count="15">
    <mergeCell ref="E1:V1"/>
    <mergeCell ref="A1:B1"/>
    <mergeCell ref="V3:V5"/>
    <mergeCell ref="E4:H4"/>
    <mergeCell ref="I4:L4"/>
    <mergeCell ref="M4:N4"/>
    <mergeCell ref="O4:Q4"/>
    <mergeCell ref="R4:S4"/>
    <mergeCell ref="T4:U4"/>
    <mergeCell ref="E3:H3"/>
    <mergeCell ref="I3:L3"/>
    <mergeCell ref="M3:N3"/>
    <mergeCell ref="O3:Q3"/>
    <mergeCell ref="R3:S3"/>
    <mergeCell ref="T3:U3"/>
  </mergeCells>
  <dataValidations count="10">
    <dataValidation type="list" allowBlank="1" showInputMessage="1" showErrorMessage="1" sqref="T6" xr:uid="{054DEEB1-E2B1-43E8-B80C-41DA42F38158}">
      <formula1>ListaOKRAlignment</formula1>
    </dataValidation>
    <dataValidation type="list" allowBlank="1" showInputMessage="1" showErrorMessage="1" sqref="R6" xr:uid="{D9695D8F-550D-4DFF-9619-B0847F466711}">
      <formula1>ListCostofDelay</formula1>
    </dataValidation>
    <dataValidation type="list" allowBlank="1" showInputMessage="1" showErrorMessage="1" sqref="P6" xr:uid="{DA166374-96D0-438D-A72A-B5A8D2B11657}">
      <formula1>ListaEffort</formula1>
    </dataValidation>
    <dataValidation type="list" allowBlank="1" showInputMessage="1" showErrorMessage="1" sqref="M6" xr:uid="{6B23341F-D7CE-4CD3-9CDC-BFAC9A91EC6E}">
      <formula1>ListaConfidence</formula1>
    </dataValidation>
    <dataValidation type="list" allowBlank="1" showInputMessage="1" showErrorMessage="1" sqref="G6" xr:uid="{6D4F2514-C734-4D61-9BCD-608722751D60}">
      <formula1>ListaReachFrequenciaUso</formula1>
    </dataValidation>
    <dataValidation type="list" allowBlank="1" showInputMessage="1" showErrorMessage="1" sqref="K6" xr:uid="{F1446526-F302-4C95-AD3B-D35F3FEB2D40}">
      <formula1>ListaImpactEstrategico</formula1>
    </dataValidation>
    <dataValidation type="list" allowBlank="1" showInputMessage="1" showErrorMessage="1" sqref="J6" xr:uid="{F8A21ECA-62DB-4215-BDD1-7C9E407BA3F2}">
      <formula1>ListaImpactFinanceiro</formula1>
    </dataValidation>
    <dataValidation type="list" allowBlank="1" showInputMessage="1" showErrorMessage="1" sqref="I6" xr:uid="{851F7F6C-89E4-4176-8B58-34AAF7454D7D}">
      <formula1>ListaImpactTempo</formula1>
    </dataValidation>
    <dataValidation type="list" allowBlank="1" showInputMessage="1" showErrorMessage="1" sqref="E6" xr:uid="{A9BF31A5-91C8-449B-8067-34FAA0111B81}">
      <formula1>ListaReachQuemVaiUsar</formula1>
    </dataValidation>
    <dataValidation type="whole" allowBlank="1" showInputMessage="1" showErrorMessage="1" sqref="F6 O6" xr:uid="{F9DE540F-BE99-47D3-A354-99B6B321EA43}">
      <formula1>0</formula1>
      <formula2>10000</formula2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F560E-C189-4240-A184-EB766DD6B0B4}">
  <sheetPr codeName="Planilha27"/>
  <dimension ref="A1:S11"/>
  <sheetViews>
    <sheetView showGridLines="0" workbookViewId="0">
      <pane xSplit="2" topLeftCell="C1" activePane="topRight" state="frozen"/>
      <selection pane="topRight" activeCell="A2" sqref="A2:A4"/>
    </sheetView>
  </sheetViews>
  <sheetFormatPr defaultRowHeight="14.4" x14ac:dyDescent="0.3"/>
  <cols>
    <col min="1" max="1" width="26" customWidth="1"/>
    <col min="2" max="2" width="46.109375" style="5" customWidth="1"/>
    <col min="3" max="3" width="39.6640625" style="5" customWidth="1"/>
    <col min="4" max="4" width="37.21875" style="5" customWidth="1"/>
    <col min="5" max="5" width="21.44140625" style="1" customWidth="1"/>
    <col min="6" max="6" width="28.33203125" customWidth="1"/>
    <col min="7" max="7" width="40.33203125" customWidth="1"/>
    <col min="8" max="8" width="35.6640625" customWidth="1"/>
    <col min="9" max="9" width="27.21875" customWidth="1"/>
    <col min="10" max="10" width="28.5546875" bestFit="1" customWidth="1"/>
    <col min="11" max="11" width="25" customWidth="1"/>
    <col min="12" max="12" width="26.5546875" bestFit="1" customWidth="1"/>
    <col min="13" max="13" width="35" bestFit="1" customWidth="1"/>
    <col min="14" max="14" width="20.44140625" customWidth="1"/>
    <col min="15" max="15" width="31.33203125" bestFit="1" customWidth="1"/>
    <col min="16" max="16" width="15.44140625" customWidth="1"/>
    <col min="17" max="17" width="32" customWidth="1"/>
    <col min="18" max="18" width="15.33203125" customWidth="1"/>
    <col min="19" max="19" width="40.109375" customWidth="1"/>
  </cols>
  <sheetData>
    <row r="1" spans="1:19" ht="37.200000000000003" customHeight="1" x14ac:dyDescent="0.3">
      <c r="A1" s="58" t="s">
        <v>110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</row>
    <row r="2" spans="1:19" ht="37.799999999999997" customHeight="1" x14ac:dyDescent="0.3">
      <c r="A2" s="73" t="s">
        <v>130</v>
      </c>
      <c r="B2" s="55" t="s">
        <v>25</v>
      </c>
      <c r="C2" s="55"/>
      <c r="D2" s="55"/>
      <c r="E2" s="55"/>
      <c r="F2" s="68" t="s">
        <v>24</v>
      </c>
      <c r="G2" s="68"/>
      <c r="H2" s="68"/>
      <c r="I2" s="68"/>
      <c r="J2" s="69" t="s">
        <v>48</v>
      </c>
      <c r="K2" s="69"/>
      <c r="L2" s="70" t="s">
        <v>68</v>
      </c>
      <c r="M2" s="70"/>
      <c r="N2" s="70"/>
      <c r="O2" s="71" t="s">
        <v>87</v>
      </c>
      <c r="P2" s="71"/>
      <c r="Q2" s="72" t="s">
        <v>106</v>
      </c>
      <c r="R2" s="72"/>
      <c r="S2" s="61" t="s">
        <v>108</v>
      </c>
    </row>
    <row r="3" spans="1:19" ht="36.6" customHeight="1" x14ac:dyDescent="0.3">
      <c r="A3" s="73"/>
      <c r="B3" s="62" t="s">
        <v>23</v>
      </c>
      <c r="C3" s="62"/>
      <c r="D3" s="62"/>
      <c r="E3" s="62"/>
      <c r="F3" s="63" t="s">
        <v>22</v>
      </c>
      <c r="G3" s="63"/>
      <c r="H3" s="63"/>
      <c r="I3" s="63"/>
      <c r="J3" s="64" t="s">
        <v>49</v>
      </c>
      <c r="K3" s="64"/>
      <c r="L3" s="65" t="s">
        <v>59</v>
      </c>
      <c r="M3" s="65"/>
      <c r="N3" s="65"/>
      <c r="O3" s="66" t="s">
        <v>59</v>
      </c>
      <c r="P3" s="66"/>
      <c r="Q3" s="67" t="s">
        <v>94</v>
      </c>
      <c r="R3" s="67"/>
      <c r="S3" s="61"/>
    </row>
    <row r="4" spans="1:19" ht="43.2" x14ac:dyDescent="0.3">
      <c r="A4" s="73"/>
      <c r="B4" s="11" t="s">
        <v>21</v>
      </c>
      <c r="C4" s="11" t="s">
        <v>28</v>
      </c>
      <c r="D4" s="11" t="s">
        <v>6</v>
      </c>
      <c r="E4" s="12" t="s">
        <v>26</v>
      </c>
      <c r="F4" s="11" t="s">
        <v>36</v>
      </c>
      <c r="G4" s="11" t="s">
        <v>40</v>
      </c>
      <c r="H4" s="11" t="s">
        <v>46</v>
      </c>
      <c r="I4" s="12" t="s">
        <v>27</v>
      </c>
      <c r="J4" s="11" t="s">
        <v>50</v>
      </c>
      <c r="K4" s="12" t="s">
        <v>56</v>
      </c>
      <c r="L4" s="11" t="s">
        <v>70</v>
      </c>
      <c r="M4" s="11" t="s">
        <v>69</v>
      </c>
      <c r="N4" s="12" t="s">
        <v>71</v>
      </c>
      <c r="O4" s="11" t="s">
        <v>73</v>
      </c>
      <c r="P4" s="12" t="s">
        <v>92</v>
      </c>
      <c r="Q4" s="11" t="s">
        <v>95</v>
      </c>
      <c r="R4" s="12" t="s">
        <v>107</v>
      </c>
      <c r="S4" s="74"/>
    </row>
    <row r="5" spans="1:19" ht="18" hidden="1" x14ac:dyDescent="0.3">
      <c r="A5" s="40" t="s">
        <v>131</v>
      </c>
      <c r="B5" s="41" t="s">
        <v>112</v>
      </c>
      <c r="C5" s="42" t="s">
        <v>113</v>
      </c>
      <c r="D5" s="42" t="s">
        <v>114</v>
      </c>
      <c r="E5" s="43" t="s">
        <v>115</v>
      </c>
      <c r="F5" s="42" t="s">
        <v>116</v>
      </c>
      <c r="G5" s="42" t="s">
        <v>117</v>
      </c>
      <c r="H5" s="42" t="s">
        <v>118</v>
      </c>
      <c r="I5" s="43" t="s">
        <v>119</v>
      </c>
      <c r="J5" s="41" t="s">
        <v>120</v>
      </c>
      <c r="K5" s="43" t="s">
        <v>121</v>
      </c>
      <c r="L5" s="42" t="s">
        <v>122</v>
      </c>
      <c r="M5" s="41" t="s">
        <v>123</v>
      </c>
      <c r="N5" s="43" t="s">
        <v>124</v>
      </c>
      <c r="O5" s="41" t="s">
        <v>125</v>
      </c>
      <c r="P5" s="43" t="s">
        <v>126</v>
      </c>
      <c r="Q5" s="41" t="s">
        <v>127</v>
      </c>
      <c r="R5" s="43" t="s">
        <v>128</v>
      </c>
      <c r="S5" s="44" t="s">
        <v>129</v>
      </c>
    </row>
    <row r="6" spans="1:19" s="5" customFormat="1" ht="57.6" x14ac:dyDescent="0.3">
      <c r="A6" s="5" t="s">
        <v>132</v>
      </c>
      <c r="B6" s="24" t="s">
        <v>134</v>
      </c>
      <c r="C6" s="25">
        <v>119</v>
      </c>
      <c r="D6" s="25" t="s">
        <v>1</v>
      </c>
      <c r="E6" s="39" cm="1">
        <f t="array" ref="E6">IFERROR(IF(C6&lt;='Priorização - Reach'!B14,'Priorização - Reach'!C14,IF(C6&lt;='Priorização - Reach'!B15,'Priorização - Reach'!C15,IF(C6&lt;='Priorização - Reach'!B16,'Priorização - Reach'!C16,IF(C6&lt;='Priorização - Reach'!B17,'Priorização - Reach'!C16,'Priorização - Reach'!C18))))+VLOOKUP(D6,tblReachFrequenciaUso[#All],2,0)+IFERROR(IFERROR(SUM(
  _xlfn.MAP(
    _xlfn.TEXTSPLIT(B6, " | "),
    _xlfn.LAMBDA(_xlpm.x, _xlfn.XLOOKUP(_xlpm.x, tblReachQuemVaiUsar[Valor], tblReachQuemVaiUsar[Peso]))
  )
),VLOOKUP(B6,tblReachQuemVaiUsar[#All],2,0)),1),"")</f>
        <v>19.5</v>
      </c>
      <c r="F6" s="25" t="s">
        <v>18</v>
      </c>
      <c r="G6" s="25" t="s">
        <v>37</v>
      </c>
      <c r="H6" s="24" t="s">
        <v>47</v>
      </c>
      <c r="I6" s="39">
        <f>IFERROR(VLOOKUP(F6,tblImpactTempo[#All],2,0),1)+IFERROR(VLOOKUP(G6,tblImpactFinanceiro[#All],2,0),1)+IFERROR(VLOOKUP(H6,tblImpactEstrategico[#All],2,0),1)</f>
        <v>5</v>
      </c>
      <c r="J6" s="24" t="s">
        <v>52</v>
      </c>
      <c r="K6" s="39">
        <f>IFERROR(VLOOKUP(J6,tblConfidence[#All],2,0),1)</f>
        <v>0.8</v>
      </c>
      <c r="L6" s="25">
        <v>2</v>
      </c>
      <c r="M6" s="24" t="s">
        <v>64</v>
      </c>
      <c r="N6" s="39">
        <f>IFERROR(VLOOKUP(M6,tblEffort[#All],2,0)*L6,"")</f>
        <v>8</v>
      </c>
      <c r="O6" s="24" t="s">
        <v>81</v>
      </c>
      <c r="P6" s="39">
        <f>IFERROR(VLOOKUP(O6,tblCostofDelay[#All],2,0),"")</f>
        <v>5</v>
      </c>
      <c r="Q6" s="24" t="s">
        <v>104</v>
      </c>
      <c r="R6" s="39">
        <f>IFERROR(VLOOKUP(Q6,tblOKRAlignment[#All],2,0),"")</f>
        <v>8</v>
      </c>
      <c r="S6" s="45">
        <f t="shared" ref="S6:S11" si="0">IFERROR(((((E6*I6*K6)/N6)*P6*R6)/1)*1,"")</f>
        <v>390</v>
      </c>
    </row>
    <row r="7" spans="1:19" ht="43.2" x14ac:dyDescent="0.3">
      <c r="A7" s="26" t="s">
        <v>138</v>
      </c>
      <c r="B7" s="24" t="s">
        <v>133</v>
      </c>
      <c r="C7" s="25">
        <v>83</v>
      </c>
      <c r="D7" s="25" t="s">
        <v>0</v>
      </c>
      <c r="E7" s="39" cm="1">
        <f t="array" ref="E7">IFERROR(IF(C7&lt;='Priorização - Reach'!B15,'Priorização - Reach'!C15,IF(C7&lt;='Priorização - Reach'!B16,'Priorização - Reach'!C16,IF(C7&lt;='Priorização - Reach'!B17,'Priorização - Reach'!C17,IF(C7&lt;='Priorização - Reach'!B18,'Priorização - Reach'!C17,'Priorização - Reach'!C19))))+VLOOKUP(D7,tblReachFrequenciaUso[#All],2,0)+IFERROR(IFERROR(SUM(
  _xlfn.MAP(
    _xlfn.TEXTSPLIT(B7, " | "),
    _xlfn.LAMBDA(_xlpm.x, _xlfn.XLOOKUP(_xlpm.x, tblReachQuemVaiUsar[Valor], tblReachQuemVaiUsar[Peso]))
  )
),VLOOKUP(B7,tblReachQuemVaiUsar[#All],2,0)),1),"")</f>
        <v>14.5</v>
      </c>
      <c r="F7" s="25" t="s">
        <v>18</v>
      </c>
      <c r="G7" s="25" t="s">
        <v>9</v>
      </c>
      <c r="H7" s="24" t="s">
        <v>44</v>
      </c>
      <c r="I7" s="39">
        <f>IFERROR(VLOOKUP(F7,tblImpactTempo[#All],2,0),1)+IFERROR(VLOOKUP(G7,tblImpactFinanceiro[#All],2,0),1)+IFERROR(VLOOKUP(H7,tblImpactEstrategico[#All],2,0),1)</f>
        <v>13</v>
      </c>
      <c r="J7" s="24" t="s">
        <v>54</v>
      </c>
      <c r="K7" s="39">
        <f>IFERROR(VLOOKUP(J7,tblConfidence[#All],2,0),1)</f>
        <v>0.3</v>
      </c>
      <c r="L7" s="25">
        <v>5</v>
      </c>
      <c r="M7" s="24" t="s">
        <v>66</v>
      </c>
      <c r="N7" s="39">
        <f>IFERROR(VLOOKUP(M7,tblEffort[#All],2,0)*L7,"")</f>
        <v>40</v>
      </c>
      <c r="O7" s="24" t="s">
        <v>81</v>
      </c>
      <c r="P7" s="39">
        <f>IFERROR(VLOOKUP(O7,tblCostofDelay[#All],2,0),"")</f>
        <v>5</v>
      </c>
      <c r="Q7" s="24" t="s">
        <v>104</v>
      </c>
      <c r="R7" s="39">
        <f>IFERROR(VLOOKUP(Q7,tblOKRAlignment[#All],2,0),"")</f>
        <v>8</v>
      </c>
      <c r="S7" s="45">
        <f t="shared" si="0"/>
        <v>56.55</v>
      </c>
    </row>
    <row r="8" spans="1:19" ht="28.8" x14ac:dyDescent="0.3">
      <c r="A8" s="26" t="s">
        <v>136</v>
      </c>
      <c r="B8" s="24" t="s">
        <v>20</v>
      </c>
      <c r="C8" s="25">
        <v>5</v>
      </c>
      <c r="D8" s="25" t="s">
        <v>3</v>
      </c>
      <c r="E8" s="39" cm="1">
        <f t="array" ref="E8">IFERROR(IF(C8&lt;='Priorização - Reach'!B16,'Priorização - Reach'!C16,IF(C8&lt;='Priorização - Reach'!B17,'Priorização - Reach'!C17,IF(C8&lt;='Priorização - Reach'!B18,'Priorização - Reach'!C18,IF(C8&lt;='Priorização - Reach'!B19,'Priorização - Reach'!C18,'Priorização - Reach'!C20))))+VLOOKUP(D8,tblReachFrequenciaUso[#All],2,0)+IFERROR(IFERROR(SUM(
  _xlfn.MAP(
    _xlfn.TEXTSPLIT(B8, " | "),
    _xlfn.LAMBDA(_xlpm.x, _xlfn.XLOOKUP(_xlpm.x, tblReachQuemVaiUsar[Valor], tblReachQuemVaiUsar[Peso]))
  )
),VLOOKUP(B8,tblReachQuemVaiUsar[#All],2,0)),1),"")</f>
        <v>4.5</v>
      </c>
      <c r="F8" s="25" t="s">
        <v>135</v>
      </c>
      <c r="G8" s="25" t="s">
        <v>8</v>
      </c>
      <c r="H8" s="24" t="s">
        <v>42</v>
      </c>
      <c r="I8" s="39">
        <f>IFERROR(VLOOKUP(F8,tblImpactTempo[#All],2,0),1)+IFERROR(VLOOKUP(G8,tblImpactFinanceiro[#All],2,0),1)+IFERROR(VLOOKUP(H8,tblImpactEstrategico[#All],2,0),1)</f>
        <v>16</v>
      </c>
      <c r="J8" s="24" t="s">
        <v>52</v>
      </c>
      <c r="K8" s="39">
        <f>IFERROR(VLOOKUP(J8,tblConfidence[#All],2,0),1)</f>
        <v>0.8</v>
      </c>
      <c r="L8" s="25">
        <v>3</v>
      </c>
      <c r="M8" s="24" t="s">
        <v>65</v>
      </c>
      <c r="N8" s="39">
        <f>IFERROR(VLOOKUP(M8,tblEffort[#All],2,0)*L8,"")</f>
        <v>18</v>
      </c>
      <c r="O8" s="24" t="s">
        <v>79</v>
      </c>
      <c r="P8" s="39">
        <f>IFERROR(VLOOKUP(O8,tblCostofDelay[#All],2,0),"")</f>
        <v>3</v>
      </c>
      <c r="Q8" s="24" t="s">
        <v>98</v>
      </c>
      <c r="R8" s="39">
        <f>IFERROR(VLOOKUP(Q8,tblOKRAlignment[#All],2,0),"")</f>
        <v>2</v>
      </c>
      <c r="S8" s="45">
        <f t="shared" si="0"/>
        <v>19.200000000000003</v>
      </c>
    </row>
    <row r="9" spans="1:19" ht="57.6" x14ac:dyDescent="0.3">
      <c r="A9" s="5" t="s">
        <v>137</v>
      </c>
      <c r="B9" s="24" t="s">
        <v>134</v>
      </c>
      <c r="C9" s="25">
        <v>100</v>
      </c>
      <c r="D9" s="25" t="s">
        <v>2</v>
      </c>
      <c r="E9" s="39" cm="1">
        <f t="array" ref="E9">IFERROR(IF(C9&lt;='Priorização - Reach'!B17,'Priorização - Reach'!C17,IF(C9&lt;='Priorização - Reach'!B18,'Priorização - Reach'!C18,IF(C9&lt;='Priorização - Reach'!B19,'Priorização - Reach'!C19,IF(C9&lt;='Priorização - Reach'!B20,'Priorização - Reach'!C19,'Priorização - Reach'!C21))))+VLOOKUP(D9,tblReachFrequenciaUso[#All],2,0)+IFERROR(IFERROR(SUM(
  _xlfn.MAP(
    _xlfn.TEXTSPLIT(B9, " | "),
    _xlfn.LAMBDA(_xlpm.x, _xlfn.XLOOKUP(_xlpm.x, tblReachQuemVaiUsar[Valor], tblReachQuemVaiUsar[Peso]))
  )
),VLOOKUP(B9,tblReachQuemVaiUsar[#All],2,0)),1),"")</f>
        <v>15.5</v>
      </c>
      <c r="F9" s="25" t="s">
        <v>135</v>
      </c>
      <c r="G9" s="25" t="s">
        <v>37</v>
      </c>
      <c r="H9" s="24" t="s">
        <v>47</v>
      </c>
      <c r="I9" s="39">
        <f>IFERROR(VLOOKUP(F9,tblImpactTempo[#All],2,0),1)+IFERROR(VLOOKUP(G9,tblImpactFinanceiro[#All],2,0),1)+IFERROR(VLOOKUP(H9,tblImpactEstrategico[#All],2,0),1)</f>
        <v>7</v>
      </c>
      <c r="J9" s="24" t="s">
        <v>53</v>
      </c>
      <c r="K9" s="39">
        <f>IFERROR(VLOOKUP(J9,tblConfidence[#All],2,0),1)</f>
        <v>0.5</v>
      </c>
      <c r="L9" s="25">
        <v>3</v>
      </c>
      <c r="M9" s="24" t="s">
        <v>66</v>
      </c>
      <c r="N9" s="39">
        <f>IFERROR(VLOOKUP(M9,tblEffort[#All],2,0)*L9,"")</f>
        <v>24</v>
      </c>
      <c r="O9" s="24" t="s">
        <v>74</v>
      </c>
      <c r="P9" s="39">
        <f>IFERROR(VLOOKUP(O9,tblCostofDelay[#All],2,0),"")</f>
        <v>2</v>
      </c>
      <c r="Q9" s="24" t="s">
        <v>96</v>
      </c>
      <c r="R9" s="39">
        <f>IFERROR(VLOOKUP(Q9,tblOKRAlignment[#All],2,0),"")</f>
        <v>1</v>
      </c>
      <c r="S9" s="45">
        <f t="shared" si="0"/>
        <v>4.520833333333333</v>
      </c>
    </row>
    <row r="10" spans="1:19" ht="43.2" x14ac:dyDescent="0.3">
      <c r="A10" s="26" t="s">
        <v>139</v>
      </c>
      <c r="B10" s="24" t="s">
        <v>133</v>
      </c>
      <c r="C10" s="25">
        <v>119</v>
      </c>
      <c r="D10" s="25" t="s">
        <v>0</v>
      </c>
      <c r="E10" s="39" cm="1">
        <f t="array" ref="E10">IFERROR(IF(C10&lt;='Priorização - Reach'!B18,'Priorização - Reach'!C18,IF(C10&lt;='Priorização - Reach'!B19,'Priorização - Reach'!C19,IF(C10&lt;='Priorização - Reach'!B20,'Priorização - Reach'!C20,IF(C10&lt;='Priorização - Reach'!B21,'Priorização - Reach'!C20,'Priorização - Reach'!C22))))+VLOOKUP(D10,tblReachFrequenciaUso[#All],2,0)+IFERROR(IFERROR(SUM(
  _xlfn.MAP(
    _xlfn.TEXTSPLIT(B10, " | "),
    _xlfn.LAMBDA(_xlpm.x, _xlfn.XLOOKUP(_xlpm.x, tblReachQuemVaiUsar[Valor], tblReachQuemVaiUsar[Peso]))
  )
),VLOOKUP(B10,tblReachQuemVaiUsar[#All],2,0)),1),"")</f>
        <v>17.5</v>
      </c>
      <c r="F10" s="25" t="s">
        <v>135</v>
      </c>
      <c r="G10" s="25" t="s">
        <v>9</v>
      </c>
      <c r="H10" s="24" t="s">
        <v>44</v>
      </c>
      <c r="I10" s="39">
        <f>IFERROR(VLOOKUP(F10,tblImpactTempo[#All],2,0),1)+IFERROR(VLOOKUP(G10,tblImpactFinanceiro[#All],2,0),1)+IFERROR(VLOOKUP(H10,tblImpactEstrategico[#All],2,0),1)</f>
        <v>15</v>
      </c>
      <c r="J10" s="24" t="s">
        <v>52</v>
      </c>
      <c r="K10" s="39">
        <f>IFERROR(VLOOKUP(J10,tblConfidence[#All],2,0),1)</f>
        <v>0.8</v>
      </c>
      <c r="L10" s="25">
        <v>5</v>
      </c>
      <c r="M10" s="24" t="s">
        <v>66</v>
      </c>
      <c r="N10" s="39">
        <f>IFERROR(VLOOKUP(M10,tblEffort[#All],2,0)*L10,"")</f>
        <v>40</v>
      </c>
      <c r="O10" s="24" t="s">
        <v>81</v>
      </c>
      <c r="P10" s="39">
        <f>IFERROR(VLOOKUP(O10,tblCostofDelay[#All],2,0),"")</f>
        <v>5</v>
      </c>
      <c r="Q10" s="24" t="s">
        <v>104</v>
      </c>
      <c r="R10" s="39">
        <f>IFERROR(VLOOKUP(Q10,tblOKRAlignment[#All],2,0),"")</f>
        <v>8</v>
      </c>
      <c r="S10" s="45">
        <f t="shared" si="0"/>
        <v>210</v>
      </c>
    </row>
    <row r="11" spans="1:19" ht="18" x14ac:dyDescent="0.3">
      <c r="A11" s="5"/>
      <c r="B11" s="24"/>
      <c r="C11" s="25"/>
      <c r="D11" s="25"/>
      <c r="E11" s="39" t="str" cm="1">
        <f t="array" ref="E11">IFERROR(IF(C11&lt;='Priorização - Reach'!B19,'Priorização - Reach'!C19,IF(C11&lt;='Priorização - Reach'!B20,'Priorização - Reach'!C20,IF(C11&lt;='Priorização - Reach'!B21,'Priorização - Reach'!C21,IF(C11&lt;='Priorização - Reach'!B22,'Priorização - Reach'!C21,'Priorização - Reach'!C23))))+VLOOKUP(D11,tblReachFrequenciaUso[#All],2,0)+IFERROR(IFERROR(SUM(
  _xlfn.MAP(
    _xlfn.TEXTSPLIT(B11, " | "),
    _xlfn.LAMBDA(_xlpm.x, _xlfn.XLOOKUP(_xlpm.x, tblReachQuemVaiUsar[Valor], tblReachQuemVaiUsar[Peso]))
  )
),VLOOKUP(B11,tblReachQuemVaiUsar[#All],2,0)),1),"")</f>
        <v/>
      </c>
      <c r="F11" s="25"/>
      <c r="G11" s="25"/>
      <c r="H11" s="24"/>
      <c r="I11" s="39">
        <f>IFERROR(VLOOKUP(F11,tblImpactTempo[#All],2,0),1)+IFERROR(VLOOKUP(G11,tblImpactFinanceiro[#All],2,0),1)+IFERROR(VLOOKUP(H11,tblImpactEstrategico[#All],2,0),1)</f>
        <v>3</v>
      </c>
      <c r="J11" s="24"/>
      <c r="K11" s="39">
        <f>IFERROR(VLOOKUP(J11,tblConfidence[#All],2,0),1)</f>
        <v>1</v>
      </c>
      <c r="L11" s="25"/>
      <c r="M11" s="24"/>
      <c r="N11" s="39" t="str">
        <f>IFERROR(VLOOKUP(M11,tblEffort[#All],2,0)*L11,"")</f>
        <v/>
      </c>
      <c r="O11" s="24"/>
      <c r="P11" s="39" t="str">
        <f>IFERROR(VLOOKUP(O11,tblCostofDelay[#All],2,0),"")</f>
        <v/>
      </c>
      <c r="Q11" s="24"/>
      <c r="R11" s="39" t="str">
        <f>IFERROR(VLOOKUP(Q11,tblOKRAlignment[#All],2,0),"")</f>
        <v/>
      </c>
      <c r="S11" s="45" t="str">
        <f t="shared" si="0"/>
        <v/>
      </c>
    </row>
  </sheetData>
  <mergeCells count="15">
    <mergeCell ref="A1:S1"/>
    <mergeCell ref="A2:A4"/>
    <mergeCell ref="B2:E2"/>
    <mergeCell ref="F2:I2"/>
    <mergeCell ref="J2:K2"/>
    <mergeCell ref="L2:N2"/>
    <mergeCell ref="O2:P2"/>
    <mergeCell ref="Q2:R2"/>
    <mergeCell ref="S2:S4"/>
    <mergeCell ref="B3:E3"/>
    <mergeCell ref="F3:I3"/>
    <mergeCell ref="J3:K3"/>
    <mergeCell ref="L3:N3"/>
    <mergeCell ref="O3:P3"/>
    <mergeCell ref="Q3:R3"/>
  </mergeCells>
  <dataValidations count="10">
    <dataValidation type="whole" allowBlank="1" showInputMessage="1" showErrorMessage="1" sqref="C6:C11 L6:L11" xr:uid="{C75B7E9C-ED27-4B6E-BACA-795BA1569DB0}">
      <formula1>0</formula1>
      <formula2>10000</formula2>
    </dataValidation>
    <dataValidation type="list" allowBlank="1" showInputMessage="1" showErrorMessage="1" sqref="B6:B11" xr:uid="{F91DB818-E888-4542-97DA-CA3B62BB766D}">
      <formula1>ListaReachQuemVaiUsar</formula1>
    </dataValidation>
    <dataValidation type="list" allowBlank="1" showInputMessage="1" showErrorMessage="1" sqref="F6:F11" xr:uid="{793CB265-656F-46D2-B7CF-8424516E2292}">
      <formula1>ListaImpactTempo</formula1>
    </dataValidation>
    <dataValidation type="list" allowBlank="1" showInputMessage="1" showErrorMessage="1" sqref="G6:G11" xr:uid="{1B95A833-02D1-4C19-A2F5-B6E00ED5DEEE}">
      <formula1>ListaImpactFinanceiro</formula1>
    </dataValidation>
    <dataValidation type="list" allowBlank="1" showInputMessage="1" showErrorMessage="1" sqref="H6:H11" xr:uid="{798F8F41-3407-47B3-A453-106364C964C6}">
      <formula1>ListaImpactEstrategico</formula1>
    </dataValidation>
    <dataValidation type="list" allowBlank="1" showInputMessage="1" showErrorMessage="1" sqref="D6:D11" xr:uid="{C9ADFDFE-058E-459B-91B0-623EB4BB3297}">
      <formula1>ListaReachFrequenciaUso</formula1>
    </dataValidation>
    <dataValidation type="list" allowBlank="1" showInputMessage="1" showErrorMessage="1" sqref="J6:J11" xr:uid="{19A9A111-0462-4CCB-AE30-C0AED8ACEC54}">
      <formula1>ListaConfidence</formula1>
    </dataValidation>
    <dataValidation type="list" allowBlank="1" showInputMessage="1" showErrorMessage="1" sqref="M6:M11" xr:uid="{29E4FAA6-CE6A-4A03-9A59-CC76C4554693}">
      <formula1>ListaEffort</formula1>
    </dataValidation>
    <dataValidation type="list" allowBlank="1" showInputMessage="1" showErrorMessage="1" sqref="O6:O11" xr:uid="{31D38C76-ABFB-450D-9570-1A726E19379C}">
      <formula1>ListCostofDelay</formula1>
    </dataValidation>
    <dataValidation type="list" allowBlank="1" showInputMessage="1" showErrorMessage="1" sqref="Q6:Q11" xr:uid="{DDD6F30B-97EF-4E43-A8A6-DA6C6C518BC9}">
      <formula1>ListaOKRAlignment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Priorização - Reach</vt:lpstr>
      <vt:lpstr>Priorização - Impact</vt:lpstr>
      <vt:lpstr>Priorização - Confidence</vt:lpstr>
      <vt:lpstr>Priorização - Effort</vt:lpstr>
      <vt:lpstr>Priorização - Cost of Delay</vt:lpstr>
      <vt:lpstr>Priorização - OKR Alignment</vt:lpstr>
      <vt:lpstr>Priorização - Resumo</vt:lpstr>
      <vt:lpstr>Priorização - Calculadora</vt:lpstr>
      <vt:lpstr>Priorização - Calculadora - SCD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- Emerson R.</dc:creator>
  <cp:lastModifiedBy>- Emerson R.</cp:lastModifiedBy>
  <dcterms:created xsi:type="dcterms:W3CDTF">2015-06-05T18:19:34Z</dcterms:created>
  <dcterms:modified xsi:type="dcterms:W3CDTF">2025-07-07T01:19:54Z</dcterms:modified>
</cp:coreProperties>
</file>