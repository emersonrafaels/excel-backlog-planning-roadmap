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Product Manager/excel-backlog-planning-roadmap/"/>
    </mc:Choice>
  </mc:AlternateContent>
  <xr:revisionPtr revIDLastSave="3452" documentId="8_{9E45816D-0961-4B1C-B41D-9F083A802A59}" xr6:coauthVersionLast="47" xr6:coauthVersionMax="47" xr10:uidLastSave="{264FCAEF-3814-440E-8B2A-83AF92E1F41A}"/>
  <bookViews>
    <workbookView xWindow="-96" yWindow="-96" windowWidth="23232" windowHeight="12432" firstSheet="1" activeTab="1" xr2:uid="{00000000-000D-0000-FFFF-FFFF00000000}"/>
  </bookViews>
  <sheets>
    <sheet name="Alocação - Esboço" sheetId="23" r:id="rId1"/>
    <sheet name="Alocação - Real" sheetId="26" r:id="rId2"/>
    <sheet name="Analytics" sheetId="28" r:id="rId3"/>
    <sheet name="Auxiliares" sheetId="2" r:id="rId4"/>
    <sheet name="Instruções - Tipos de Roadmap" sheetId="7" r:id="rId5"/>
    <sheet name="Story Points" sheetId="10" r:id="rId6"/>
    <sheet name="Etapas Dual Track Agile" sheetId="9" r:id="rId7"/>
    <sheet name="Calendário Comunidade 2025" sheetId="5" r:id="rId8"/>
  </sheets>
  <functionGroups builtInGroupCount="19"/>
  <definedNames>
    <definedName name="_xleta.COLUMN" hidden="1" xlm="1">#NAME?</definedName>
    <definedName name="_xleta.FIND" hidden="1" xlm="1">#NAME?</definedName>
    <definedName name="_xleta.IF" hidden="1" xlm="1">#NAME?</definedName>
    <definedName name="_xleta.LEFT" hidden="1" xlm="1">#NAME?</definedName>
    <definedName name="_xleta.N" hidden="1" xlm="1">#NAME?</definedName>
    <definedName name="_xleta.RIGHT" hidden="1" xlm="1">#NAME?</definedName>
    <definedName name="_xleta.TIME" hidden="1" xlm="1">#NAME?</definedName>
    <definedName name="_xleta.VALUE" hidden="1" xlm="1">#NAME?</definedName>
    <definedName name="_xleta.VLOOKUP" hidden="1" xlm="1">#NAME?</definedName>
    <definedName name="_xlpm.fim" hidden="1" xlm="1">#NAME?</definedName>
    <definedName name="_xlpm.ini" hidden="1" xlm="1">#NAME?</definedName>
    <definedName name="_xlpm.rFim" hidden="1" xlm="1">#NAME?</definedName>
    <definedName name="_xlpm.rIni" hidden="1" xlm="1">#NAME?</definedName>
    <definedName name="_xlpm.sFim" hidden="1" xlm="1">#NAME?</definedName>
    <definedName name="_xlpm.sIni" hidden="1" xlm="1">#NAME?</definedName>
    <definedName name="_xlpm.total" hidden="1" xlm="1">#NAME?</definedName>
    <definedName name="Lista_Classificação_da_Torre">INDIRECT("tbClassificacaoTorre[Classificação da Torre]")</definedName>
    <definedName name="Lista_Criticidade">INDIRECT("tbCriticidade[Criticidade]")</definedName>
    <definedName name="Lista_Discovery_Delivery">INDIRECT("tbDiscovery_Delivery[Discovery/Delivery]")</definedName>
    <definedName name="Lista_EscolhaRenuncia">INDIRECT("tbEscolhaRenuncia[Escolha ou Renúncia]")</definedName>
    <definedName name="Lista_Frente_Prioritária">INDIRECT("tbFrentePrioritaria[Frente Prioritária]")</definedName>
    <definedName name="Lista_Orquestrado_Envolvido">INDIRECT("tbOrquestrado_Envolvido[Orquestrado/Envolvido]")</definedName>
    <definedName name="Lista_Produtos">INDIRECT("tbProdutos[Produto]")</definedName>
    <definedName name="Lista_Sinaleiro">INDIRECT("tbSinaleiro[Sinaleiro]")</definedName>
    <definedName name="Lista_Status">INDIRECT("tbStatus[Status]")</definedName>
    <definedName name="listaDualTrack">INDIRECT("tbDualTrack[Esteira + Etapa]")</definedName>
    <definedName name="ListaEffort">INDIRECT("tblEffort[Nível de Esforço de cada colaborador]")</definedName>
    <definedName name="ListaEquipe">INDIRECT("tbEquipe[Equipe]")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 a="1"/>
  <c r="E13" i="28" s="1"/>
  <c r="F13" i="28" s="1"/>
  <c r="G13" i="28" s="1"/>
  <c r="E14" i="28" a="1"/>
  <c r="E14" i="28" s="1"/>
  <c r="F14" i="28" s="1"/>
  <c r="G14" i="28" s="1"/>
  <c r="E15" i="28" a="1"/>
  <c r="E15" i="28" s="1"/>
  <c r="F15" i="28" s="1"/>
  <c r="G15" i="28" s="1"/>
  <c r="E16" i="28" a="1"/>
  <c r="E16" i="28" s="1"/>
  <c r="F16" i="28" s="1"/>
  <c r="G16" i="28" s="1"/>
  <c r="E17" i="28" a="1"/>
  <c r="E17" i="28" s="1"/>
  <c r="F17" i="28" s="1"/>
  <c r="G17" i="28" s="1"/>
  <c r="E18" i="28" a="1"/>
  <c r="E18" i="28" s="1"/>
  <c r="F18" i="28" s="1"/>
  <c r="G18" i="28" s="1"/>
  <c r="E19" i="28" a="1"/>
  <c r="E19" i="28" s="1"/>
  <c r="F19" i="28" s="1"/>
  <c r="G19" i="28" s="1"/>
  <c r="E20" i="28" a="1"/>
  <c r="E20" i="28" s="1"/>
  <c r="F20" i="28" s="1"/>
  <c r="G20" i="28" s="1"/>
  <c r="D13" i="28" a="1"/>
  <c r="D13" i="28" s="1"/>
  <c r="D14" i="28" a="1"/>
  <c r="D14" i="28" s="1"/>
  <c r="D15" i="28" a="1"/>
  <c r="D15" i="28" s="1"/>
  <c r="D16" i="28" a="1"/>
  <c r="D16" i="28" s="1"/>
  <c r="D17" i="28" a="1"/>
  <c r="D17" i="28" s="1"/>
  <c r="D18" i="28" a="1"/>
  <c r="D18" i="28" s="1"/>
  <c r="D19" i="28" a="1"/>
  <c r="D19" i="28" s="1"/>
  <c r="D20" i="28" a="1"/>
  <c r="D20" i="28" s="1"/>
  <c r="C13" i="28" a="1"/>
  <c r="C13" i="28" s="1"/>
  <c r="C14" i="28" a="1"/>
  <c r="C14" i="28" s="1"/>
  <c r="C15" i="28" a="1"/>
  <c r="C15" i="28" s="1"/>
  <c r="C16" i="28" a="1"/>
  <c r="C16" i="28" s="1"/>
  <c r="C17" i="28" a="1"/>
  <c r="C17" i="28" s="1"/>
  <c r="C18" i="28" a="1"/>
  <c r="C18" i="28" s="1"/>
  <c r="C19" i="28" a="1"/>
  <c r="C19" i="28" s="1"/>
  <c r="C20" i="28" a="1"/>
  <c r="C20" i="28" s="1"/>
  <c r="AB6" i="2" l="1"/>
  <c r="AB5" i="2"/>
  <c r="AB4" i="2"/>
  <c r="AB3" i="2"/>
  <c r="V18" i="2" l="1"/>
  <c r="V17" i="2"/>
  <c r="V10" i="2"/>
  <c r="V9" i="2"/>
  <c r="V16" i="2"/>
  <c r="V4" i="2"/>
  <c r="V5" i="2"/>
  <c r="V6" i="2"/>
  <c r="V7" i="2"/>
  <c r="V8" i="2"/>
  <c r="V11" i="2"/>
  <c r="V12" i="2"/>
  <c r="V13" i="2"/>
  <c r="V14" i="2"/>
  <c r="V15" i="2"/>
  <c r="V3" i="2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3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<sst xmlns="http://schemas.openxmlformats.org/spreadsheetml/2006/main" count="755" uniqueCount="282">
  <si>
    <t>Desenvolver produtos de dados fortalecendo o reuso, com o objetivo de democratizar, tornar acessível  e escalável qualquer solução de dados e analytics.</t>
  </si>
  <si>
    <t>Escolha ou Renúncia</t>
  </si>
  <si>
    <t>Criticidade</t>
  </si>
  <si>
    <t>Produto</t>
  </si>
  <si>
    <t>Épico</t>
  </si>
  <si>
    <t>Iniciativa</t>
  </si>
  <si>
    <t>Classificação da Torre</t>
  </si>
  <si>
    <t>Frente Prioritária</t>
  </si>
  <si>
    <t>Discovery/Delivery</t>
  </si>
  <si>
    <t>Orquestrado/Envolvido</t>
  </si>
  <si>
    <t>Sinaleiro</t>
  </si>
  <si>
    <t>Status</t>
  </si>
  <si>
    <t>Outcome (Benefício Qualitativo)</t>
  </si>
  <si>
    <t>Data Captura</t>
  </si>
  <si>
    <t>KRs Estratégico</t>
  </si>
  <si>
    <t>Dores</t>
  </si>
  <si>
    <t>Riscos/Impedimentos/Dependência</t>
  </si>
  <si>
    <t>Impacto</t>
  </si>
  <si>
    <t>Probabilidade de acontecer</t>
  </si>
  <si>
    <t>Escolha</t>
  </si>
  <si>
    <t>Renúncia</t>
  </si>
  <si>
    <t>Baixa</t>
  </si>
  <si>
    <t>Média</t>
  </si>
  <si>
    <t>Alta</t>
  </si>
  <si>
    <t>IBS 360</t>
  </si>
  <si>
    <t>Gestão do Parque</t>
  </si>
  <si>
    <t>Geocompasso</t>
  </si>
  <si>
    <t>Score de Agências</t>
  </si>
  <si>
    <t>Scorefy</t>
  </si>
  <si>
    <t>Radar Imobiliário</t>
  </si>
  <si>
    <t>Inteligência Imobiliária - Planejamento de Negociação</t>
  </si>
  <si>
    <t>Inteligência Imobiliária - Hórus 3.0</t>
  </si>
  <si>
    <t>Evolução da Plataforma</t>
  </si>
  <si>
    <t>Evolução do Negócio</t>
  </si>
  <si>
    <t>Estruturante</t>
  </si>
  <si>
    <t>Feature</t>
  </si>
  <si>
    <t>Discovery</t>
  </si>
  <si>
    <t>Delivery</t>
  </si>
  <si>
    <t>Risco Operacional</t>
  </si>
  <si>
    <t>Risco Regulatório</t>
  </si>
  <si>
    <t>Suporte Aplicação</t>
  </si>
  <si>
    <t>Orquestrado</t>
  </si>
  <si>
    <t>Envolvido</t>
  </si>
  <si>
    <t>Ruim</t>
  </si>
  <si>
    <t>Médio</t>
  </si>
  <si>
    <t>Bom</t>
  </si>
  <si>
    <t>Excelente</t>
  </si>
  <si>
    <t>Planejamento de Pessoas</t>
  </si>
  <si>
    <t>Ideia</t>
  </si>
  <si>
    <t>Em Discovery</t>
  </si>
  <si>
    <t>Em Delivery</t>
  </si>
  <si>
    <t>Entregue</t>
  </si>
  <si>
    <t>Com impedimentos</t>
  </si>
  <si>
    <t>Cancelado</t>
  </si>
  <si>
    <t>Não mensurável</t>
  </si>
  <si>
    <t>Baixo</t>
  </si>
  <si>
    <t>Alto</t>
  </si>
  <si>
    <t>Muito Alto</t>
  </si>
  <si>
    <t>Data Inicio</t>
  </si>
  <si>
    <t>Data Fim</t>
  </si>
  <si>
    <t>Calendário 2025</t>
  </si>
  <si>
    <t>Release</t>
  </si>
  <si>
    <t>Sprint</t>
  </si>
  <si>
    <t>R1</t>
  </si>
  <si>
    <t>S0</t>
  </si>
  <si>
    <t>S1</t>
  </si>
  <si>
    <t>S2</t>
  </si>
  <si>
    <t>S3</t>
  </si>
  <si>
    <t>S4</t>
  </si>
  <si>
    <t>R2</t>
  </si>
  <si>
    <t>31/04</t>
  </si>
  <si>
    <t>R3</t>
  </si>
  <si>
    <t>R4</t>
  </si>
  <si>
    <t>Tag</t>
  </si>
  <si>
    <t>História</t>
  </si>
  <si>
    <t>Nível</t>
  </si>
  <si>
    <t>Visão</t>
  </si>
  <si>
    <t>Elemento</t>
  </si>
  <si>
    <t>Descrição</t>
  </si>
  <si>
    <t>Estratégico</t>
  </si>
  <si>
    <t>Longo prazo (trimestres/semestres)</t>
  </si>
  <si>
    <t>Épicos &amp; Iniciativas</t>
  </si>
  <si>
    <t>Agrupam grandes entregas e objetivos de negócio. Ex: "Reduzir custo de manutenção das agências", "Melhorar experiência dos gestores com planejamento de pessoas".</t>
  </si>
  <si>
    <t>Tático</t>
  </si>
  <si>
    <t>Curto prazo (sprints)</t>
  </si>
  <si>
    <t>Histórias de usuário / Features</t>
  </si>
  <si>
    <t>Representam entregas incrementais e testáveis. Ex: "Adicionar notificação de movimentação no app de planejamento", "Criar filtro de agências críticas no Scorefy".</t>
  </si>
  <si>
    <t>Operacional</t>
  </si>
  <si>
    <t>Execução diária</t>
  </si>
  <si>
    <t>Tasks &amp; Bugs</t>
  </si>
  <si>
    <t>Unidades de trabalho concretas e técnicas. Ex: "Criar endpoint para movimentações futuras", "Ajustar query do filtro de reincidência".</t>
  </si>
  <si>
    <t>Esteira</t>
  </si>
  <si>
    <t>Etapa</t>
  </si>
  <si>
    <t>Objetivo</t>
  </si>
  <si>
    <t>Frameworks</t>
  </si>
  <si>
    <t>Responsáveis</t>
  </si>
  <si>
    <t>Backlog de Ideias</t>
  </si>
  <si>
    <t>Coletar oportunidades, problemas e insights</t>
  </si>
  <si>
    <t>Opportunity Solution Tree, ICE Score, RICE Framework</t>
  </si>
  <si>
    <t>PM, UX Designer, Dev Team</t>
  </si>
  <si>
    <t>Pesquisa &amp; Benchmark</t>
  </si>
  <si>
    <t>Validar hipóteses com dados e feedbacks</t>
  </si>
  <si>
    <t>JTBD (Jobs-To-Be-Done), Data-Driven Decision Making</t>
  </si>
  <si>
    <t>PM, UX Designer</t>
  </si>
  <si>
    <t>Wireframes &amp; Fluxos</t>
  </si>
  <si>
    <t>Criar estrutura da solução antes de desenvolver</t>
  </si>
  <si>
    <t>Design Thinking, Story Mapping, Crazy 8’s</t>
  </si>
  <si>
    <t>UX/UI Designer, PM</t>
  </si>
  <si>
    <t>Protótipos &amp; Testes</t>
  </si>
  <si>
    <t>Construir protótipos e validar com usuários</t>
  </si>
  <si>
    <t>Design Sprint, Testes de Usabilidade, Card Sorting</t>
  </si>
  <si>
    <t>UX/UI Designer, UX Research</t>
  </si>
  <si>
    <t>Validação Técnica</t>
  </si>
  <si>
    <t>Avaliar viabilidade técnica e riscos</t>
  </si>
  <si>
    <t>Tech Spike, Proof of Concept (PoC), Event Storming</t>
  </si>
  <si>
    <t>Tech Lead, Dev Team</t>
  </si>
  <si>
    <t>Aprovação &amp; Priorização</t>
  </si>
  <si>
    <t>Refinamento final e passagem para desenvolvimento</t>
  </si>
  <si>
    <t>RICE, MoSCoW Prioritization</t>
  </si>
  <si>
    <t>PM, UX Designer, Tech Lead, Dev Team</t>
  </si>
  <si>
    <t>Backlog de Desenvolvimento</t>
  </si>
  <si>
    <t>Organizar e priorizar itens prontos para dev</t>
  </si>
  <si>
    <t>Scrum Backlog Refinement, Kanban</t>
  </si>
  <si>
    <t>PM, Tech Lead, Dev Team</t>
  </si>
  <si>
    <t>Desenvolvimento em Andamento</t>
  </si>
  <si>
    <t>Construir e integrar código com qualidade</t>
  </si>
  <si>
    <t>Test-Driven Development, Pair Programming, CI/CD</t>
  </si>
  <si>
    <t>Dev Team</t>
  </si>
  <si>
    <t>Homologação &amp; Ajustes</t>
  </si>
  <si>
    <t>Validar funcionalidade e corrigir erros</t>
  </si>
  <si>
    <t>Beta Testing, A/B Testing, Exploratory Testing</t>
  </si>
  <si>
    <t>QA, Tech Lead, PM, UX</t>
  </si>
  <si>
    <t>Pronto para Deploy</t>
  </si>
  <si>
    <t>Preparar para lançamento em produção</t>
  </si>
  <si>
    <t>Feature Toggle, Canary Releases, Blue-Green Deployment</t>
  </si>
  <si>
    <t>Tech Lead, DevOps, Dev Team</t>
  </si>
  <si>
    <t>Deploy &amp; Monitoramento</t>
  </si>
  <si>
    <t>Acompanhar impacto e corrigir rapidamente</t>
  </si>
  <si>
    <t>Observability</t>
  </si>
  <si>
    <t>DevOps, Dev Team, Tech Lead, PM, UX</t>
  </si>
  <si>
    <t>Story Points</t>
  </si>
  <si>
    <t>Horas Estimadas</t>
  </si>
  <si>
    <t>Descrição do Esforço</t>
  </si>
  <si>
    <t>Exemplos Práticos no Dia a Dia</t>
  </si>
  <si>
    <t>1 SP</t>
  </si>
  <si>
    <t>1 a 2 horas</t>
  </si>
  <si>
    <t>Tarefa pontual, de ajuste ou correção local.</t>
  </si>
  <si>
    <t>- Corrigir label ou ordenação em gráfico no Streamlit. 
- Alterar nome de coluna em view no Athena.</t>
  </si>
  <si>
    <t>2 SP</t>
  </si>
  <si>
    <t>2 a 4 horas</t>
  </si>
  <si>
    <t>Atividade simples, sem incerteza técnica ou dependência.</t>
  </si>
  <si>
    <t>- Adicionar filtro dropdown no app. 
- Escrever alerta no CloudWatch para função já existente.</t>
  </si>
  <si>
    <t>3 SP</t>
  </si>
  <si>
    <t>4 a 8 horas</t>
  </si>
  <si>
    <t>Demanda com impacto visual ou técnico moderado, mas com escopo bem definido.</t>
  </si>
  <si>
    <t>- Ajustar visualização no frontend com base em nova lógica de negócio. 
- Criar bucket e política simples no S3.</t>
  </si>
  <si>
    <t>5 SP</t>
  </si>
  <si>
    <t>8 a 16 horas</t>
  </si>
  <si>
    <t>Feature de porte médio com lógica e testes. Possível dependência de dados.</t>
  </si>
  <si>
    <t>- Criar nova visualização com múltiplos filtros no Streamlit. 
- Ingerir CSV do S3 no Athena e criar query agregada.</t>
  </si>
  <si>
    <t>8 SP</t>
  </si>
  <si>
    <t>16 a 24 horas</t>
  </si>
  <si>
    <t>Desenvolvimento completo com backend + frontend + validações ou integração AWS.</t>
  </si>
  <si>
    <t>- Desenvolver feature com chamada de API + exibição no frontend. 
- Criar Lambda que processa dados e grava em S3 + CloudWatch Logs.</t>
  </si>
  <si>
    <t>13 SP</t>
  </si>
  <si>
    <t>24 a 40 horas (3-5 d)</t>
  </si>
  <si>
    <t>Arquitetura nova, reestruturação, uso de serviço novo, análise exploratória grande.</t>
  </si>
  <si>
    <t>- Reestruturar modelo analítico para suportar múltiplos dashboards. 
- Implementar CI/CD com GitHub Actions para Streamlit + deploy em EC2 ou container AWS.</t>
  </si>
  <si>
    <t>21 SP</t>
  </si>
  <si>
    <t>&gt; 40 horas (1+ semana)</t>
  </si>
  <si>
    <t>Projeto ou módulo completo. Envolve fatiamento, coordenação e entregas parciais.</t>
  </si>
  <si>
    <t>- Criar dashboard completo com ingestão automatizada de dados, camada de transformação (dbt/Athena), backend e frontend. 
- Criar módulo de exportação de dados com fila SQS + Lambda + API Gateway para orquestração.</t>
  </si>
  <si>
    <t>Etapas Dual Track</t>
  </si>
  <si>
    <t>Esteira + Etapa</t>
  </si>
  <si>
    <t>Entrega, sem necessidade de monitoramento</t>
  </si>
  <si>
    <t>-</t>
  </si>
  <si>
    <t>Entrega</t>
  </si>
  <si>
    <t>Equipe</t>
  </si>
  <si>
    <t>Gui</t>
  </si>
  <si>
    <t>Guto</t>
  </si>
  <si>
    <t>Everton</t>
  </si>
  <si>
    <t>Chris</t>
  </si>
  <si>
    <t>Gabs</t>
  </si>
  <si>
    <t>Ronald</t>
  </si>
  <si>
    <t>Gi</t>
  </si>
  <si>
    <t>Mari</t>
  </si>
  <si>
    <t>Triz</t>
  </si>
  <si>
    <t>Naiara</t>
  </si>
  <si>
    <t>Time Murillo</t>
  </si>
  <si>
    <t>Time Advanced</t>
  </si>
  <si>
    <t>Outros</t>
  </si>
  <si>
    <t>Andrea</t>
  </si>
  <si>
    <t>Todos SCD</t>
  </si>
  <si>
    <t>Feriados</t>
  </si>
  <si>
    <t>Data</t>
  </si>
  <si>
    <t>Dia</t>
  </si>
  <si>
    <t>Quicksight</t>
  </si>
  <si>
    <t>R3 S1 2025</t>
  </si>
  <si>
    <t>Canal Único de Ocorrências - Manutenção Infra Civil</t>
  </si>
  <si>
    <t>Esforço</t>
  </si>
  <si>
    <t>Cargo</t>
  </si>
  <si>
    <t>Analista</t>
  </si>
  <si>
    <t>Nível de Esforço de cada colaborador</t>
  </si>
  <si>
    <t>Médio: até 1 sprint</t>
  </si>
  <si>
    <t>Esforço Numérico</t>
  </si>
  <si>
    <t>Muito baixo: &lt; 3 dias de uma pessoa</t>
  </si>
  <si>
    <t>Baixo: até 1 semana de uma pessoa</t>
  </si>
  <si>
    <t>Alto: até 2 sprints</t>
  </si>
  <si>
    <t>Elevado: até 3 sprints</t>
  </si>
  <si>
    <t>Muito Elevado: até 4 sprints</t>
  </si>
  <si>
    <t>Acompanhamento de Esteiras</t>
  </si>
  <si>
    <t>AWSCloudBridge</t>
  </si>
  <si>
    <t>Alocação - R2 S4 2025</t>
  </si>
  <si>
    <t>Alocação - R3 S1 2025</t>
  </si>
  <si>
    <t>Alocação - R3 S2 2025</t>
  </si>
  <si>
    <t>Outputs</t>
  </si>
  <si>
    <t>Base 360 - Redução de Manualidades</t>
  </si>
  <si>
    <t>Inicio do Desenvolvimento do FrontEnd</t>
  </si>
  <si>
    <t>Incrementos do produto com baixa/média complexidade</t>
  </si>
  <si>
    <t>Continuação da transposição até a QE6</t>
  </si>
  <si>
    <t>Continuação do desenvolvimento do backend</t>
  </si>
  <si>
    <t>Renúncia pelo time de Advanced (Impedimento Arquitetura)</t>
  </si>
  <si>
    <t>BAU Base 360</t>
  </si>
  <si>
    <t>Finalização do FrontEnd</t>
  </si>
  <si>
    <t>BAU Score Eco, BAU Score Performance. Incrementar novas melhorias.</t>
  </si>
  <si>
    <t>Desenvolvimento</t>
  </si>
  <si>
    <t>Inicio do desenvolvimento (BackEnd e FrontEnd)</t>
  </si>
  <si>
    <t>Melhorias Visuais. Adição de novas métricas.</t>
  </si>
  <si>
    <t>Melhorias incrementais no produto</t>
  </si>
  <si>
    <t>Alocação - R3 S3 2025</t>
  </si>
  <si>
    <t>Acompanhamento do que já está entregue</t>
  </si>
  <si>
    <t xml:space="preserve">BAU Score Eco, BAU Score Performance. Incrementar novas melhorias. </t>
  </si>
  <si>
    <t>Alocação - R3 S4 2025</t>
  </si>
  <si>
    <t>Homologação com o cliente</t>
  </si>
  <si>
    <t>Alocação - R4 S1 2025</t>
  </si>
  <si>
    <t>Colocar o produto em produção</t>
  </si>
  <si>
    <t>Colaborador</t>
  </si>
  <si>
    <t>Quantidade de Horas Estagiário</t>
  </si>
  <si>
    <t>Quantidade de Horas Analista</t>
  </si>
  <si>
    <t>Configurações</t>
  </si>
  <si>
    <t>Estagiário</t>
  </si>
  <si>
    <t>Soluções Cross Dados - Alocação das Sprints</t>
  </si>
  <si>
    <t>Dispersão Esperada</t>
  </si>
  <si>
    <t>Pontos</t>
  </si>
  <si>
    <t>COPF</t>
  </si>
  <si>
    <t>Criação da Infraestrutura de Microfrontends</t>
  </si>
  <si>
    <t>Soluções Cross Dados - Alocação das Sprints - Percentual de Alocação por Colaborador</t>
  </si>
  <si>
    <t>Quantidade de Produtos</t>
  </si>
  <si>
    <t>Quantidade de Iniciativas</t>
  </si>
  <si>
    <t>Percentual de Tempo Alocado</t>
  </si>
  <si>
    <t>Criação da Infraestrutura de APIs</t>
  </si>
  <si>
    <t>Infraestrutura para Comunicação Externa com Fornecedores</t>
  </si>
  <si>
    <t>Criação da Infraestrutura para ETLs</t>
  </si>
  <si>
    <t>Modelagem dos Dados do Signus (Field Service)</t>
  </si>
  <si>
    <t>Criação do banco de dados para armazenamento dos resultados (DynamoDB)</t>
  </si>
  <si>
    <t>Criar Triggers na Jornada do Frontend</t>
  </si>
  <si>
    <t>Quantidade de Pontos Alocado</t>
  </si>
  <si>
    <t>Quantidade de Horas Alocado</t>
  </si>
  <si>
    <t>Horas mín.</t>
  </si>
  <si>
    <t>Horas máx.</t>
  </si>
  <si>
    <t>56*</t>
  </si>
  <si>
    <t>Valor em horas de cada ponto</t>
  </si>
  <si>
    <t>Inclusão da Informação de Pontos VIPs na Base 360</t>
  </si>
  <si>
    <t>Geração da Base Integradora (SPEC) para Acompanhamento de Esteiras no IBS 360</t>
  </si>
  <si>
    <t>Tela de Acompanhamento de Esteiras no IBS 360 para Diretores e Supts Comerciais</t>
  </si>
  <si>
    <t>Integração da Base Spec com o Frontend do Acompanhamento de Esteiras</t>
  </si>
  <si>
    <t>Nova Funcionalidade: “Agências Mais Próximas”</t>
  </si>
  <si>
    <t>Controle de Layer para Ativar ou Ocultar Raio de Busca no Geocompasso</t>
  </si>
  <si>
    <t>FrontEnd Camada Saque Pix e Troco no Geocompasso</t>
  </si>
  <si>
    <t>Discovery - Prospecção de Folhas</t>
  </si>
  <si>
    <t>Criação e Configuração do DynamoDB para Armazenamento de Dados do Planejamento de Negociações</t>
  </si>
  <si>
    <t>Leitura da Base de Contrato pela Lambda</t>
  </si>
  <si>
    <t>Enviar Dados de Output para a Lambda POST</t>
  </si>
  <si>
    <t>Criação do Bucket/ROLE para Atuar com Step Functions</t>
  </si>
  <si>
    <t>Validar Ajustes Finais de Front com o Stakeholder</t>
  </si>
  <si>
    <t>Lambda de atuação com Step Function</t>
  </si>
  <si>
    <t>Adicionar Campo de EFC</t>
  </si>
  <si>
    <t>Percentual de participação</t>
  </si>
  <si>
    <t>Obtenção de link fixo</t>
  </si>
  <si>
    <t>Desenho do fluxo de dados</t>
  </si>
  <si>
    <t>Análise Exploratória dos Dados Faltantes nos KPIs</t>
  </si>
  <si>
    <t>Ajuste do Formato de Log para Funcionamento da Dashboard no QuickSight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</si>
</sst>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6200"/>
      <name val="Calibri"/>
      <family val="2"/>
      <scheme val="minor"/>
    </font>
    <font>
      <u/>
      <sz val="12"/>
      <color rgb="FF000D3C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62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A3A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0D3C"/>
        <bgColor theme="4" tint="0.79998168889431442"/>
      </patternFill>
    </fill>
    <fill>
      <patternFill patternType="solid">
        <fgColor rgb="FF00B050"/>
        <bgColor theme="4" tint="0.79998168889431442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FF6200"/>
      </left>
      <right style="thin">
        <color rgb="FFFF6200"/>
      </right>
      <top style="thin">
        <color rgb="FFFF6200"/>
      </top>
      <bottom style="thin">
        <color rgb="FFFF6200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6" fontId="0" fillId="0" borderId="0" xfId="0" applyNumberFormat="1" applyAlignment="1">
      <alignment horizontal="center"/>
    </xf>
    <xf numFmtId="0" fontId="3" fillId="5" borderId="0" xfId="0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0" borderId="5" xfId="1" applyFont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9" fontId="0" fillId="0" borderId="5" xfId="1" applyFont="1" applyBorder="1" applyAlignment="1">
      <alignment horizontal="center" vertical="center" wrapText="1"/>
    </xf>
    <xf numFmtId="9" fontId="0" fillId="9" borderId="5" xfId="1" applyFont="1" applyFill="1" applyBorder="1" applyAlignment="1">
      <alignment horizontal="center" vertical="center"/>
    </xf>
    <xf numFmtId="9" fontId="0" fillId="9" borderId="12" xfId="1" applyFont="1" applyFill="1" applyBorder="1" applyAlignment="1">
      <alignment horizontal="center" vertical="center"/>
    </xf>
    <xf numFmtId="9" fontId="10" fillId="2" borderId="5" xfId="1" applyFont="1" applyFill="1" applyBorder="1" applyAlignment="1">
      <alignment horizontal="center" vertical="center"/>
    </xf>
    <xf numFmtId="0" fontId="6" fillId="0" borderId="14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9" fontId="7" fillId="0" borderId="14" xfId="1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4" fillId="0" borderId="0" xfId="0" applyFont="1" applyAlignment="1">
      <alignment horizontal="left" vertical="center" indent="7"/>
    </xf>
    <xf numFmtId="0" fontId="5" fillId="0" borderId="0" xfId="0" applyFont="1" applyAlignment="1">
      <alignment horizontal="left" vertical="center" indent="7"/>
    </xf>
    <xf numFmtId="0" fontId="3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left" vertical="center" indent="7"/>
    </xf>
    <xf numFmtId="0" fontId="3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9" fontId="0" fillId="0" borderId="15" xfId="1" applyFont="1" applyBorder="1" applyAlignment="1">
      <alignment horizontal="center"/>
    </xf>
    <xf numFmtId="0" fontId="0" fillId="0" borderId="13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9" fontId="0" fillId="0" borderId="15" xfId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9" fontId="0" fillId="0" borderId="16" xfId="1" applyFont="1" applyBorder="1" applyAlignment="1">
      <alignment horizontal="center" vertical="center"/>
    </xf>
    <xf numFmtId="9" fontId="0" fillId="0" borderId="13" xfId="1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3" xfId="1" applyNumberFormat="1" applyFont="1" applyBorder="1" applyAlignment="1">
      <alignment horizontal="center"/>
    </xf>
    <xf numFmtId="0" fontId="0" fillId="0" borderId="15" xfId="1" applyNumberFormat="1" applyFont="1" applyBorder="1" applyAlignment="1">
      <alignment horizontal="center"/>
    </xf>
    <xf numFmtId="0" fontId="7" fillId="0" borderId="14" xfId="0" applyNumberFormat="1" applyFont="1" applyBorder="1" applyAlignment="1">
      <alignment horizontal="center"/>
    </xf>
  </cellXfs>
  <cellStyles count="3">
    <cellStyle name="Normal" xfId="0" builtinId="0"/>
    <cellStyle name="Normal 6 4" xfId="2" xr:uid="{5880DD7B-FD28-43C8-B2B0-9114FC185CA2}"/>
    <cellStyle name="Porcentagem" xfId="1" builtinId="5"/>
  </cellStyles>
  <dxfs count="6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-F400]h:mm:ss\ AM/PM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200"/>
      <color rgb="FF000D3C"/>
      <color rgb="FF0A3A00"/>
      <color rgb="FFEAF2EF"/>
      <color rgb="FFC6E0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29819</xdr:colOff>
      <xdr:row>0</xdr:row>
      <xdr:rowOff>49696</xdr:rowOff>
    </xdr:from>
    <xdr:to>
      <xdr:col>0</xdr:col>
      <xdr:colOff>673793</xdr:colOff>
      <xdr:row>3</xdr:row>
      <xdr:rowOff>134510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01EEDE5-6112-4D16-B67F-495A3FBDC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19" y="49696"/>
          <a:ext cx="643974" cy="633454"/>
        </a:xfrm>
        <a:prstGeom prst="rect">
          <a:avLst/>
        </a:prstGeom>
      </xdr:spPr>
    </xdr:pic>
    <xdr:clientData/>
  </xdr:twoCellAnchor>
  <xdr:twoCellAnchor>
    <xdr:from>
      <xdr:col>0</xdr:col>
      <xdr:colOff>7620</xdr:colOff>
      <xdr:row>5</xdr:row>
      <xdr:rowOff>0</xdr:rowOff>
    </xdr:from>
    <xdr:to>
      <xdr:col>55</xdr:col>
      <xdr:colOff>602820</xdr:colOff>
      <xdr:row>5</xdr:row>
      <xdr:rowOff>173160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3DED6569-7989-EF14-098B-3F736E496F74}"/>
            </a:ext>
          </a:extLst>
        </xdr:cNvPr>
        <xdr:cNvCxnSpPr/>
      </xdr:nvCxnSpPr>
      <xdr:spPr>
        <a:xfrm>
          <a:off x="7620" y="2011680"/>
          <a:ext cx="3797130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175260</xdr:rowOff>
    </xdr:from>
    <xdr:to>
      <xdr:col>55</xdr:col>
      <xdr:colOff>602820</xdr:colOff>
      <xdr:row>5</xdr:row>
      <xdr:rowOff>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62CAE4B5-4BE7-12B3-4E3A-64237C26A86E}"/>
            </a:ext>
          </a:extLst>
        </xdr:cNvPr>
        <xdr:cNvCxnSpPr/>
      </xdr:nvCxnSpPr>
      <xdr:spPr>
        <a:xfrm>
          <a:off x="7620" y="906780"/>
          <a:ext cx="3797130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29819</xdr:colOff>
      <xdr:row>0</xdr:row>
      <xdr:rowOff>49696</xdr:rowOff>
    </xdr:from>
    <xdr:to>
      <xdr:col>0</xdr:col>
      <xdr:colOff>673793</xdr:colOff>
      <xdr:row>3</xdr:row>
      <xdr:rowOff>134510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F9441D-4B37-411C-80CA-76D3F3C15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19" y="49696"/>
          <a:ext cx="643974" cy="633454"/>
        </a:xfrm>
        <a:prstGeom prst="rect">
          <a:avLst/>
        </a:prstGeom>
      </xdr:spPr>
    </xdr:pic>
    <xdr:clientData/>
  </xdr:twoCellAnchor>
  <xdr:twoCellAnchor>
    <xdr:from>
      <xdr:col>0</xdr:col>
      <xdr:colOff>7620</xdr:colOff>
      <xdr:row>9</xdr:row>
      <xdr:rowOff>137160</xdr:rowOff>
    </xdr:from>
    <xdr:to>
      <xdr:col>56</xdr:col>
      <xdr:colOff>602820</xdr:colOff>
      <xdr:row>10</xdr:row>
      <xdr:rowOff>173160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670C076A-431C-4992-96E9-F48117617E41}"/>
            </a:ext>
          </a:extLst>
        </xdr:cNvPr>
        <xdr:cNvCxnSpPr/>
      </xdr:nvCxnSpPr>
      <xdr:spPr>
        <a:xfrm>
          <a:off x="7620" y="1813560"/>
          <a:ext cx="4187274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175260</xdr:rowOff>
    </xdr:from>
    <xdr:to>
      <xdr:col>56</xdr:col>
      <xdr:colOff>602820</xdr:colOff>
      <xdr:row>6</xdr:row>
      <xdr:rowOff>28380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D8214C46-83DA-4FCD-A229-FF73CB0965F9}"/>
            </a:ext>
          </a:extLst>
        </xdr:cNvPr>
        <xdr:cNvCxnSpPr/>
      </xdr:nvCxnSpPr>
      <xdr:spPr>
        <a:xfrm>
          <a:off x="7620" y="906780"/>
          <a:ext cx="4187274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096FA60-EF05-4578-991E-BDB49EF94B7E}" name="tbAlocacaoSprint" displayName="tbAlocacaoSprint" ref="A7:F48" totalsRowShown="0" headerRowDxfId="18" dataDxfId="17">
  <autoFilter ref="A7:F48" xr:uid="{3096FA60-EF05-4578-991E-BDB49EF94B7E}"/>
  <tableColumns count="6">
    <tableColumn id="6" xr3:uid="{E4E16B24-E859-4F33-B09B-BB90F029C674}" name="Sprint" dataDxfId="16"/>
    <tableColumn id="7" xr3:uid="{F3E7D0A9-64CF-4924-9B0B-ABBCA37A4C2C}" name="Produto" dataDxfId="15"/>
    <tableColumn id="8" xr3:uid="{5DBC58C8-63FD-4658-A4FE-BF8B4565BF5A}" name="História" dataDxfId="14"/>
    <tableColumn id="1" xr3:uid="{D53127D7-B9D5-41EE-A04C-6158DE170650}" name="Colaborador" dataDxfId="13"/>
    <tableColumn id="13" xr3:uid="{A4C76D28-21E7-4DEB-9692-FE03686AF9C2}" name="Pontos" dataDxfId="12"/>
    <tableColumn id="14" xr3:uid="{1FC4CFAC-4DC9-42E7-8540-218DE1635D86}" name="Percentual de participação" dataDxfId="11" dataCellStyle="Porcentagem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BC1145-8903-4AB5-90A8-4B96B60AC70C}" name="tbAlocacaoSprint2" displayName="tbAlocacaoSprint2" ref="A12:G20" totalsRowShown="0" headerRowDxfId="10" dataDxfId="23">
  <autoFilter ref="A12:G20" xr:uid="{3096FA60-EF05-4578-991E-BDB49EF94B7E}"/>
  <tableColumns count="7">
    <tableColumn id="6" xr3:uid="{D2845121-5683-41F2-AEE4-2EEFA9AF0060}" name="Sprint" dataDxfId="22"/>
    <tableColumn id="7" xr3:uid="{EEAAE75B-DA2D-4DF8-B198-BF83EB602320}" name="Colaborador" dataDxfId="21"/>
    <tableColumn id="8" xr3:uid="{F106F2C2-B3F8-405C-8F01-9CB5896E7992}" name="Quantidade de Produtos" dataDxfId="20">
      <calculatedColumnFormula array="1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calculatedColumnFormula>
    </tableColumn>
    <tableColumn id="13" xr3:uid="{62C2C85F-1469-4FEC-A91E-355E77800602}" name="Quantidade de Iniciativas" dataDxfId="19">
      <calculatedColumnFormula array="1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calculatedColumnFormula>
    </tableColumn>
    <tableColumn id="14" xr3:uid="{10DF47FB-42C0-47B4-ACD7-D1C0340AA876}" name="Quantidade de Pontos Alocado" dataDxfId="9" dataCellStyle="Porcentagem">
      <calculatedColumnFormula array="1">SUMPRODUCT(
  (tbAlocacaoSprint[Colaborador]=tbAlocacaoSprint2[[#This Row],[Colaborador]]) *
  VALUE(LEFT(tbAlocacaoSprint[Pontos], FIND(" ", tbAlocacaoSprint[Pontos])-1)) *
  tbAlocacaoSprint[Percentual de participação]
)</calculatedColumnFormula>
    </tableColumn>
    <tableColumn id="17" xr3:uid="{C1EFCA59-049E-4B34-9A0C-01DCB0197BA6}" name="Quantidade de Horas Alocado" dataDxfId="8" dataCellStyle="Porcentagem">
      <calculatedColumnFormula>tbAlocacaoSprint2[[#This Row],[Quantidade de Pontos Alocado]]*$D$9</calculatedColumnFormula>
    </tableColumn>
    <tableColumn id="15" xr3:uid="{18155A08-5A4E-4174-9A64-F7092873FBB9}" name="Percentual de Tempo Alocado" dataDxfId="6" dataCellStyle="Porcentagem">
      <calculatedColumnFormula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57599-37F3-4D96-B4E6-84A9362620EC}" name="tbEscolhaRenuncia" displayName="tbEscolhaRenuncia" ref="A1:A3" totalsRowShown="0" headerRowDxfId="68" dataDxfId="67">
  <autoFilter ref="A1:A3" xr:uid="{AA757599-37F3-4D96-B4E6-84A9362620EC}"/>
  <tableColumns count="1">
    <tableColumn id="1" xr3:uid="{A3B2C8E4-B0A9-40C0-AF2B-417D3873E985}" name="Escolha ou Renúncia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A890CE-6FEC-4122-98C9-94CB23CB8EA2}" name="tbCriticidade" displayName="tbCriticidade" ref="B1:B4" totalsRowShown="0" headerRowDxfId="65" dataDxfId="64">
  <autoFilter ref="B1:B4" xr:uid="{2BA890CE-6FEC-4122-98C9-94CB23CB8EA2}"/>
  <tableColumns count="1">
    <tableColumn id="1" xr3:uid="{496BB293-208F-426B-BAC3-E1B6A79778D3}" name="Criticidade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74AD2F-FE54-4B31-86D1-D5B1C3F0661B}" name="tbProdutos" displayName="tbProdutos" ref="C1:C12" totalsRowShown="0" headerRowDxfId="62" dataDxfId="61">
  <autoFilter ref="C1:C12" xr:uid="{3474AD2F-FE54-4B31-86D1-D5B1C3F0661B}"/>
  <tableColumns count="1">
    <tableColumn id="1" xr3:uid="{12DDF75B-7B06-4B8F-952F-32A4752B8EFB}" name="Produto" dataDxfId="6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9A7E32-B887-4370-9254-4080768AE400}" name="tbClassificacaoTorre" displayName="tbClassificacaoTorre" ref="F1:F6" totalsRowShown="0" headerRowDxfId="59" dataDxfId="58">
  <autoFilter ref="F1:F6" xr:uid="{C49A7E32-B887-4370-9254-4080768AE400}"/>
  <tableColumns count="1">
    <tableColumn id="1" xr3:uid="{9C4F0D3F-743C-4308-9AE7-023E770654B1}" name="Classificação da Torre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D03D59-06C8-4701-9250-31D4979C91D6}" name="tbFrentePrioritaria" displayName="tbFrentePrioritaria" ref="G1:G3" totalsRowShown="0" headerRowDxfId="56" dataDxfId="55">
  <autoFilter ref="G1:G3" xr:uid="{80D03D59-06C8-4701-9250-31D4979C91D6}"/>
  <tableColumns count="1">
    <tableColumn id="1" xr3:uid="{3DB0E3A7-5132-4FB0-9863-28BF24D51AA0}" name="Frente Prioritária" dataDxfId="5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83CB18-2A6D-490B-98D5-DFCFF79E614D}" name="tbDiscovery_Delivery" displayName="tbDiscovery_Delivery" ref="H1:H3" totalsRowShown="0" headerRowDxfId="53" dataDxfId="52">
  <autoFilter ref="H1:H3" xr:uid="{3183CB18-2A6D-490B-98D5-DFCFF79E614D}"/>
  <tableColumns count="1">
    <tableColumn id="1" xr3:uid="{60F45FD6-D3E5-4F7D-B915-B7908D596601}" name="Discovery/Delivery" dataDxfId="5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EA76FF-2B35-49E3-A9AF-9A92FE2A8F38}" name="tbOrquestrado_Envolvido" displayName="tbOrquestrado_Envolvido" ref="I1:I3" totalsRowShown="0" headerRowDxfId="50" dataDxfId="49">
  <autoFilter ref="I1:I3" xr:uid="{A6EA76FF-2B35-49E3-A9AF-9A92FE2A8F38}"/>
  <tableColumns count="1">
    <tableColumn id="1" xr3:uid="{3749DB2D-5B10-460B-A576-40BEC8D69206}" name="Orquestrado/Envolvido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A1713A-22D6-4B48-BDA0-AD080856E06A}" name="tbSinaleiro" displayName="tbSinaleiro" ref="J1:J5" totalsRowShown="0" headerRowDxfId="47" dataDxfId="46">
  <autoFilter ref="J1:J5" xr:uid="{F9A1713A-22D6-4B48-BDA0-AD080856E06A}"/>
  <tableColumns count="1">
    <tableColumn id="1" xr3:uid="{18EC6CDD-9C46-4804-A30E-18ABAA56A538}" name="Sinaleiro" dataDxfId="4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B5AB5D4-22B2-4C2C-B63F-F53F352073E0}" name="tbStatus" displayName="tbStatus" ref="K1:K7" totalsRowShown="0" headerRowDxfId="44" dataDxfId="43">
  <autoFilter ref="K1:K7" xr:uid="{3B5AB5D4-22B2-4C2C-B63F-F53F352073E0}"/>
  <tableColumns count="1">
    <tableColumn id="1" xr3:uid="{6FF1CB66-05E5-4EF8-BA1E-CE4F440C0DEE}" name="Status" dataDxfId="4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43BAD48-2B24-4DD7-A931-7B9E796E78C3}" name="tbImpacto" displayName="tbImpacto" ref="Q1:Q6" totalsRowShown="0" headerRowDxfId="41" dataDxfId="40">
  <autoFilter ref="Q1:Q6" xr:uid="{743BAD48-2B24-4DD7-A931-7B9E796E78C3}"/>
  <tableColumns count="1">
    <tableColumn id="1" xr3:uid="{9FD2FB11-BB5A-4837-B98C-291B80B1BBA0}" name="Impacto" dataDxfId="3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A6C76AE-E964-4860-B24B-8483730B4379}" name="tbDualTrack" displayName="tbDualTrack" ref="T2:V18" totalsRowShown="0" headerRowDxfId="38">
  <autoFilter ref="T2:V18" xr:uid="{9A6C76AE-E964-4860-B24B-8483730B4379}"/>
  <tableColumns count="3">
    <tableColumn id="1" xr3:uid="{E23F665F-D240-4C10-99D8-5C0D8D0A5895}" name="Esteira" dataDxfId="37"/>
    <tableColumn id="2" xr3:uid="{0681C7AE-CD5F-40BE-A33E-21B1BB461AAD}" name="Etapa" dataDxfId="36"/>
    <tableColumn id="3" xr3:uid="{0303A983-E11B-4508-A6BA-A03DE92D214C}" name="Esteira + Etapa" dataDxfId="35">
      <calculatedColumnFormula>_xlfn.CONCAT(T3, " - ",U3)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F3B3FB5-9BCF-48F0-A145-53D9910BEFC7}" name="tbEquipe" displayName="tbEquipe" ref="X1:Y15" totalsRowShown="0" headerRowDxfId="34" dataDxfId="33">
  <autoFilter ref="X1:Y15" xr:uid="{9F3B3FB5-9BCF-48F0-A145-53D9910BEFC7}"/>
  <tableColumns count="2">
    <tableColumn id="1" xr3:uid="{8A196F51-CF94-4665-9C36-E46DB8679DA4}" name="Equipe" dataDxfId="32"/>
    <tableColumn id="2" xr3:uid="{A04121CB-311E-4B3E-B933-655C2CB32109}" name="Cargo" dataDxfId="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395C44-2E44-404F-B6B3-AEF8CDF714DB}" name="tblFeriados" displayName="tblFeriados" ref="AA2:AB6" insertRowShift="1" totalsRowShown="0" headerRowDxfId="31" dataDxfId="30">
  <autoFilter ref="AA2:AB6" xr:uid="{A9395C44-2E44-404F-B6B3-AEF8CDF714DB}"/>
  <tableColumns count="2">
    <tableColumn id="1" xr3:uid="{0BE9C450-1933-46F2-9145-F7F52733023C}" name="Data" dataDxfId="29"/>
    <tableColumn id="2" xr3:uid="{1D24A32E-5826-42FD-BB14-6011A1892419}" name="Dia" dataDxfId="28">
      <calculatedColumnFormula>CHOOSE(WEEKDAY(AA3,2),"Segunda","Terça","Quarta","Quinta","Sexta","Sábado","Domingo")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61EEE50-35E6-4CA2-AF50-A6CFADB01666}" name="tblEffort" displayName="tblEffort" ref="AD2:AE8" totalsRowShown="0" headerRowDxfId="27" dataDxfId="26">
  <autoFilter ref="AD2:AE8" xr:uid="{061EEE50-35E6-4CA2-AF50-A6CFADB01666}"/>
  <tableColumns count="2">
    <tableColumn id="1" xr3:uid="{EA7D152C-3A84-4A93-ACB6-E84EED916E44}" name="Nível de Esforço de cada colaborador" dataDxfId="25"/>
    <tableColumn id="2" xr3:uid="{0841FA88-C065-4F0B-B1DE-568D09BBCB34}" name="Esforço Numérico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3B792-AAA4-40FC-A6D8-D3B6E2B767C2}">
  <sheetPr codeName="Planilha18"/>
  <dimension ref="A1:M89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4.4" outlineLevelRow="1" x14ac:dyDescent="0.3"/>
  <cols>
    <col min="1" max="1" width="48.5546875" style="5" bestFit="1" customWidth="1"/>
    <col min="2" max="7" width="12.33203125" style="5" customWidth="1"/>
    <col min="8" max="10" width="12.33203125" customWidth="1"/>
    <col min="13" max="13" width="54.6640625" style="5" bestFit="1" customWidth="1"/>
  </cols>
  <sheetData>
    <row r="1" spans="1:13" ht="15.6" x14ac:dyDescent="0.3">
      <c r="A1" s="44" t="s">
        <v>212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</row>
    <row r="2" spans="1:13" ht="32.4" customHeight="1" outlineLevel="1" x14ac:dyDescent="0.3">
      <c r="A2" s="27" t="s">
        <v>3</v>
      </c>
      <c r="B2" s="18" t="s">
        <v>180</v>
      </c>
      <c r="C2" s="13" t="s">
        <v>181</v>
      </c>
      <c r="D2" s="18" t="s">
        <v>182</v>
      </c>
      <c r="E2" s="13" t="s">
        <v>183</v>
      </c>
      <c r="F2" s="18" t="s">
        <v>184</v>
      </c>
      <c r="G2" s="13" t="s">
        <v>185</v>
      </c>
      <c r="H2" s="18" t="s">
        <v>186</v>
      </c>
      <c r="I2" s="13" t="s">
        <v>187</v>
      </c>
      <c r="J2" s="13" t="s">
        <v>191</v>
      </c>
      <c r="K2" s="13" t="s">
        <v>178</v>
      </c>
      <c r="L2" s="18" t="s">
        <v>179</v>
      </c>
      <c r="M2" s="30" t="s">
        <v>215</v>
      </c>
    </row>
    <row r="3" spans="1:13" outlineLevel="1" x14ac:dyDescent="0.3">
      <c r="A3" s="14" t="s">
        <v>24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9"/>
      <c r="M3" s="31"/>
    </row>
    <row r="4" spans="1:13" outlineLevel="1" x14ac:dyDescent="0.3">
      <c r="A4" s="15" t="s">
        <v>25</v>
      </c>
      <c r="B4" s="19"/>
      <c r="C4" s="19"/>
      <c r="D4" s="19"/>
      <c r="E4" s="19">
        <v>1</v>
      </c>
      <c r="F4" s="19"/>
      <c r="G4" s="19"/>
      <c r="H4" s="19"/>
      <c r="I4" s="19">
        <v>0.2</v>
      </c>
      <c r="J4" s="19"/>
      <c r="K4" s="19">
        <v>0.3</v>
      </c>
      <c r="L4" s="24">
        <v>0.3</v>
      </c>
      <c r="M4" s="32" t="s">
        <v>216</v>
      </c>
    </row>
    <row r="5" spans="1:13" outlineLevel="1" x14ac:dyDescent="0.3">
      <c r="A5" s="15" t="s">
        <v>210</v>
      </c>
      <c r="B5" s="20"/>
      <c r="C5" s="19"/>
      <c r="D5" s="19"/>
      <c r="E5" s="19"/>
      <c r="F5" s="19"/>
      <c r="G5" s="19">
        <v>1</v>
      </c>
      <c r="H5" s="19"/>
      <c r="I5" s="19"/>
      <c r="J5" s="19">
        <v>0.4</v>
      </c>
      <c r="K5" s="19">
        <v>0.2</v>
      </c>
      <c r="L5" s="24">
        <v>0.2</v>
      </c>
      <c r="M5" s="20" t="s">
        <v>217</v>
      </c>
    </row>
    <row r="6" spans="1:13" outlineLevel="1" x14ac:dyDescent="0.3">
      <c r="A6" s="15" t="s">
        <v>26</v>
      </c>
      <c r="B6" s="19"/>
      <c r="C6" s="19"/>
      <c r="D6" s="19"/>
      <c r="E6" s="19"/>
      <c r="F6" s="19"/>
      <c r="G6" s="19"/>
      <c r="H6" s="19">
        <v>0.5</v>
      </c>
      <c r="I6" s="19"/>
      <c r="J6" s="19"/>
      <c r="K6" s="19"/>
      <c r="L6" s="24"/>
      <c r="M6" s="32" t="s">
        <v>218</v>
      </c>
    </row>
    <row r="7" spans="1:13" outlineLevel="1" x14ac:dyDescent="0.3">
      <c r="A7" s="15" t="s">
        <v>27</v>
      </c>
      <c r="B7" s="19"/>
      <c r="C7" s="19"/>
      <c r="D7" s="19">
        <v>0.5</v>
      </c>
      <c r="E7" s="19"/>
      <c r="F7" s="19"/>
      <c r="G7" s="19"/>
      <c r="H7" s="19">
        <v>0.5</v>
      </c>
      <c r="I7" s="19">
        <v>0.8</v>
      </c>
      <c r="J7" s="19">
        <v>0.1</v>
      </c>
      <c r="K7" s="19">
        <v>0.2</v>
      </c>
      <c r="L7" s="24">
        <v>0.2</v>
      </c>
      <c r="M7" s="32" t="s">
        <v>218</v>
      </c>
    </row>
    <row r="8" spans="1:13" outlineLevel="1" x14ac:dyDescent="0.3">
      <c r="A8" s="15" t="s">
        <v>29</v>
      </c>
      <c r="B8" s="19"/>
      <c r="C8" s="19">
        <v>1</v>
      </c>
      <c r="D8" s="19">
        <v>0.5</v>
      </c>
      <c r="E8" s="19"/>
      <c r="F8" s="19"/>
      <c r="G8" s="19"/>
      <c r="H8" s="19"/>
      <c r="I8" s="19"/>
      <c r="J8" s="19"/>
      <c r="K8" s="19"/>
      <c r="L8" s="24"/>
      <c r="M8" s="20" t="s">
        <v>219</v>
      </c>
    </row>
    <row r="9" spans="1:13" outlineLevel="1" x14ac:dyDescent="0.3">
      <c r="A9" s="15" t="s">
        <v>30</v>
      </c>
      <c r="B9" s="19">
        <v>0.5</v>
      </c>
      <c r="C9" s="19"/>
      <c r="D9" s="19"/>
      <c r="E9" s="19"/>
      <c r="F9" s="19"/>
      <c r="G9" s="19"/>
      <c r="H9" s="19"/>
      <c r="I9" s="19"/>
      <c r="J9" s="19"/>
      <c r="K9" s="19"/>
      <c r="L9" s="24"/>
      <c r="M9" s="20" t="s">
        <v>220</v>
      </c>
    </row>
    <row r="10" spans="1:13" outlineLevel="1" x14ac:dyDescent="0.3">
      <c r="A10" s="15" t="s">
        <v>31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24"/>
      <c r="M10" s="33" t="s">
        <v>221</v>
      </c>
    </row>
    <row r="11" spans="1:13" outlineLevel="1" x14ac:dyDescent="0.3">
      <c r="A11" s="15" t="s">
        <v>47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24"/>
      <c r="M11" s="33" t="s">
        <v>20</v>
      </c>
    </row>
    <row r="12" spans="1:13" outlineLevel="1" x14ac:dyDescent="0.3">
      <c r="A12" s="15" t="s">
        <v>196</v>
      </c>
      <c r="B12" s="19"/>
      <c r="C12" s="19"/>
      <c r="D12" s="19"/>
      <c r="E12" s="19"/>
      <c r="F12" s="19">
        <v>1</v>
      </c>
      <c r="G12" s="19"/>
      <c r="H12" s="19"/>
      <c r="I12" s="19"/>
      <c r="J12" s="19"/>
      <c r="K12" s="19"/>
      <c r="L12" s="24"/>
      <c r="M12" s="20" t="s">
        <v>227</v>
      </c>
    </row>
    <row r="13" spans="1:13" outlineLevel="1" x14ac:dyDescent="0.3">
      <c r="A13" s="15" t="s">
        <v>198</v>
      </c>
      <c r="B13" s="19"/>
      <c r="C13" s="19"/>
      <c r="D13" s="19"/>
      <c r="E13" s="19"/>
      <c r="F13" s="19"/>
      <c r="G13" s="19"/>
      <c r="H13" s="19"/>
      <c r="I13" s="19"/>
      <c r="J13" s="19">
        <v>0.5</v>
      </c>
      <c r="K13" s="19">
        <v>0.3</v>
      </c>
      <c r="L13" s="24">
        <v>0.3</v>
      </c>
      <c r="M13" s="20" t="s">
        <v>36</v>
      </c>
    </row>
    <row r="14" spans="1:13" outlineLevel="1" x14ac:dyDescent="0.3">
      <c r="A14" s="16" t="s">
        <v>211</v>
      </c>
      <c r="B14" s="25">
        <v>0.5</v>
      </c>
      <c r="C14" s="25"/>
      <c r="D14" s="25"/>
      <c r="E14" s="25"/>
      <c r="F14" s="25"/>
      <c r="G14" s="25"/>
      <c r="H14" s="25"/>
      <c r="I14" s="25"/>
      <c r="J14" s="25"/>
      <c r="K14" s="25"/>
      <c r="L14" s="26"/>
      <c r="M14" s="34" t="s">
        <v>20</v>
      </c>
    </row>
    <row r="16" spans="1:13" ht="15.6" x14ac:dyDescent="0.3">
      <c r="A16" s="44" t="s">
        <v>213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</row>
    <row r="17" spans="1:13" outlineLevel="1" x14ac:dyDescent="0.3">
      <c r="A17" s="17" t="s">
        <v>3</v>
      </c>
      <c r="B17" s="21" t="s">
        <v>180</v>
      </c>
      <c r="C17" s="22" t="s">
        <v>181</v>
      </c>
      <c r="D17" s="21" t="s">
        <v>182</v>
      </c>
      <c r="E17" s="22" t="s">
        <v>183</v>
      </c>
      <c r="F17" s="21" t="s">
        <v>184</v>
      </c>
      <c r="G17" s="22" t="s">
        <v>185</v>
      </c>
      <c r="H17" s="21" t="s">
        <v>186</v>
      </c>
      <c r="I17" s="22" t="s">
        <v>187</v>
      </c>
      <c r="J17" s="22" t="s">
        <v>191</v>
      </c>
      <c r="K17" s="22" t="s">
        <v>178</v>
      </c>
      <c r="L17" s="23" t="s">
        <v>179</v>
      </c>
      <c r="M17" s="30" t="s">
        <v>215</v>
      </c>
    </row>
    <row r="18" spans="1:13" outlineLevel="1" x14ac:dyDescent="0.3">
      <c r="A18" s="14" t="s">
        <v>24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24"/>
      <c r="M18" s="31"/>
    </row>
    <row r="19" spans="1:13" outlineLevel="1" x14ac:dyDescent="0.3">
      <c r="A19" s="15" t="s">
        <v>25</v>
      </c>
      <c r="B19" s="19"/>
      <c r="C19" s="19"/>
      <c r="D19" s="19"/>
      <c r="E19" s="19"/>
      <c r="F19" s="19"/>
      <c r="G19" s="19"/>
      <c r="H19" s="19"/>
      <c r="I19" s="19">
        <v>0.2</v>
      </c>
      <c r="J19" s="19"/>
      <c r="K19" s="19"/>
      <c r="L19" s="24"/>
      <c r="M19" s="20" t="s">
        <v>222</v>
      </c>
    </row>
    <row r="20" spans="1:13" outlineLevel="1" x14ac:dyDescent="0.3">
      <c r="A20" s="15" t="s">
        <v>210</v>
      </c>
      <c r="B20" s="19"/>
      <c r="C20" s="19"/>
      <c r="D20" s="19"/>
      <c r="E20" s="19"/>
      <c r="F20" s="19"/>
      <c r="G20" s="19">
        <v>1</v>
      </c>
      <c r="H20" s="19"/>
      <c r="I20" s="19"/>
      <c r="J20" s="19"/>
      <c r="K20" s="19"/>
      <c r="L20" s="24"/>
      <c r="M20" s="20" t="s">
        <v>223</v>
      </c>
    </row>
    <row r="21" spans="1:13" outlineLevel="1" x14ac:dyDescent="0.3">
      <c r="A21" s="15" t="s">
        <v>26</v>
      </c>
      <c r="B21" s="19"/>
      <c r="C21" s="19"/>
      <c r="D21" s="19"/>
      <c r="E21" s="19"/>
      <c r="F21" s="19"/>
      <c r="G21" s="19"/>
      <c r="H21" s="19">
        <v>0.8</v>
      </c>
      <c r="I21" s="19"/>
      <c r="J21" s="19"/>
      <c r="K21" s="19"/>
      <c r="L21" s="24"/>
      <c r="M21" s="20" t="s">
        <v>228</v>
      </c>
    </row>
    <row r="22" spans="1:13" ht="28.8" outlineLevel="1" x14ac:dyDescent="0.3">
      <c r="A22" s="15" t="s">
        <v>27</v>
      </c>
      <c r="B22" s="19"/>
      <c r="C22" s="19"/>
      <c r="D22" s="19"/>
      <c r="E22" s="19"/>
      <c r="F22" s="19"/>
      <c r="G22" s="19"/>
      <c r="H22" s="19">
        <v>0.2</v>
      </c>
      <c r="I22" s="19">
        <v>0.8</v>
      </c>
      <c r="J22" s="19"/>
      <c r="K22" s="19"/>
      <c r="L22" s="24"/>
      <c r="M22" s="32" t="s">
        <v>224</v>
      </c>
    </row>
    <row r="23" spans="1:13" outlineLevel="1" x14ac:dyDescent="0.3">
      <c r="A23" s="15" t="s">
        <v>29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24"/>
      <c r="M23" s="35" t="s">
        <v>51</v>
      </c>
    </row>
    <row r="24" spans="1:13" outlineLevel="1" x14ac:dyDescent="0.3">
      <c r="A24" s="15" t="s">
        <v>30</v>
      </c>
      <c r="B24" s="19">
        <v>0.5</v>
      </c>
      <c r="C24" s="19"/>
      <c r="D24" s="19"/>
      <c r="E24" s="19"/>
      <c r="F24" s="19"/>
      <c r="G24" s="19"/>
      <c r="H24" s="19"/>
      <c r="I24" s="19"/>
      <c r="J24" s="19"/>
      <c r="K24" s="19"/>
      <c r="L24" s="24"/>
      <c r="M24" s="20" t="s">
        <v>220</v>
      </c>
    </row>
    <row r="25" spans="1:13" outlineLevel="1" x14ac:dyDescent="0.3">
      <c r="A25" s="15" t="s">
        <v>31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24"/>
      <c r="M25" s="33" t="s">
        <v>221</v>
      </c>
    </row>
    <row r="26" spans="1:13" outlineLevel="1" x14ac:dyDescent="0.3">
      <c r="A26" s="15" t="s">
        <v>47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24"/>
      <c r="M26" s="33" t="s">
        <v>20</v>
      </c>
    </row>
    <row r="27" spans="1:13" outlineLevel="1" x14ac:dyDescent="0.3">
      <c r="A27" s="15" t="s">
        <v>196</v>
      </c>
      <c r="B27" s="19"/>
      <c r="C27" s="19"/>
      <c r="D27" s="19"/>
      <c r="E27" s="19"/>
      <c r="F27" s="19">
        <v>1</v>
      </c>
      <c r="G27" s="19"/>
      <c r="H27" s="19"/>
      <c r="I27" s="19"/>
      <c r="J27" s="19"/>
      <c r="K27" s="19"/>
      <c r="L27" s="24"/>
      <c r="M27" s="20" t="s">
        <v>227</v>
      </c>
    </row>
    <row r="28" spans="1:13" outlineLevel="1" x14ac:dyDescent="0.3">
      <c r="A28" s="15" t="s">
        <v>198</v>
      </c>
      <c r="B28" s="19">
        <v>0.5</v>
      </c>
      <c r="C28" s="19">
        <v>1</v>
      </c>
      <c r="D28" s="19">
        <v>1</v>
      </c>
      <c r="E28" s="19">
        <v>1</v>
      </c>
      <c r="F28" s="19"/>
      <c r="G28" s="19"/>
      <c r="H28" s="19"/>
      <c r="I28" s="19"/>
      <c r="J28" s="19">
        <v>1</v>
      </c>
      <c r="K28" s="19">
        <v>1</v>
      </c>
      <c r="L28" s="24">
        <v>1</v>
      </c>
      <c r="M28" s="20" t="s">
        <v>226</v>
      </c>
    </row>
    <row r="29" spans="1:13" outlineLevel="1" x14ac:dyDescent="0.3">
      <c r="A29" s="16" t="s">
        <v>211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6"/>
      <c r="M29" s="33" t="s">
        <v>20</v>
      </c>
    </row>
    <row r="31" spans="1:13" ht="15.6" x14ac:dyDescent="0.3">
      <c r="A31" s="44" t="s">
        <v>214</v>
      </c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</row>
    <row r="32" spans="1:13" ht="14.4" customHeight="1" outlineLevel="1" x14ac:dyDescent="0.3">
      <c r="A32" s="17" t="s">
        <v>3</v>
      </c>
      <c r="B32" s="21" t="s">
        <v>180</v>
      </c>
      <c r="C32" s="22" t="s">
        <v>181</v>
      </c>
      <c r="D32" s="21" t="s">
        <v>182</v>
      </c>
      <c r="E32" s="22" t="s">
        <v>183</v>
      </c>
      <c r="F32" s="21" t="s">
        <v>184</v>
      </c>
      <c r="G32" s="22" t="s">
        <v>185</v>
      </c>
      <c r="H32" s="21" t="s">
        <v>186</v>
      </c>
      <c r="I32" s="22" t="s">
        <v>187</v>
      </c>
      <c r="J32" s="22" t="s">
        <v>191</v>
      </c>
      <c r="K32" s="22" t="s">
        <v>178</v>
      </c>
      <c r="L32" s="23" t="s">
        <v>179</v>
      </c>
      <c r="M32" s="30" t="s">
        <v>215</v>
      </c>
    </row>
    <row r="33" spans="1:13" outlineLevel="1" x14ac:dyDescent="0.3">
      <c r="A33" s="14" t="s">
        <v>24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outlineLevel="1" x14ac:dyDescent="0.3">
      <c r="A34" s="15" t="s">
        <v>25</v>
      </c>
      <c r="C34" s="19"/>
      <c r="D34" s="19"/>
      <c r="E34" s="19"/>
      <c r="F34" s="19"/>
      <c r="G34" s="19"/>
      <c r="H34" s="19"/>
      <c r="I34" s="19">
        <v>0.2</v>
      </c>
      <c r="J34" s="19"/>
      <c r="K34" s="19"/>
      <c r="L34" s="19"/>
      <c r="M34" s="19" t="s">
        <v>222</v>
      </c>
    </row>
    <row r="35" spans="1:13" outlineLevel="1" x14ac:dyDescent="0.3">
      <c r="A35" s="15" t="s">
        <v>210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35" t="s">
        <v>51</v>
      </c>
    </row>
    <row r="36" spans="1:13" outlineLevel="1" x14ac:dyDescent="0.3">
      <c r="A36" s="15" t="s">
        <v>26</v>
      </c>
      <c r="B36" s="19"/>
      <c r="C36" s="19"/>
      <c r="D36" s="19"/>
      <c r="E36" s="19"/>
      <c r="F36" s="19"/>
      <c r="G36" s="19"/>
      <c r="H36" s="19">
        <v>0.5</v>
      </c>
      <c r="I36" s="19"/>
      <c r="J36" s="19"/>
      <c r="K36" s="19"/>
      <c r="L36" s="19"/>
      <c r="M36" s="20" t="s">
        <v>228</v>
      </c>
    </row>
    <row r="37" spans="1:13" ht="28.8" outlineLevel="1" x14ac:dyDescent="0.3">
      <c r="A37" s="15" t="s">
        <v>27</v>
      </c>
      <c r="B37" s="19"/>
      <c r="C37" s="19"/>
      <c r="D37" s="19"/>
      <c r="E37" s="19"/>
      <c r="F37" s="19"/>
      <c r="G37" s="19"/>
      <c r="H37" s="19">
        <v>0.5</v>
      </c>
      <c r="I37" s="19">
        <v>0.8</v>
      </c>
      <c r="J37" s="19"/>
      <c r="K37" s="19"/>
      <c r="L37" s="19"/>
      <c r="M37" s="32" t="s">
        <v>224</v>
      </c>
    </row>
    <row r="38" spans="1:13" outlineLevel="1" x14ac:dyDescent="0.3">
      <c r="A38" s="15" t="s">
        <v>29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35" t="s">
        <v>51</v>
      </c>
    </row>
    <row r="39" spans="1:13" outlineLevel="1" x14ac:dyDescent="0.3">
      <c r="A39" s="15" t="s">
        <v>30</v>
      </c>
      <c r="B39" s="19"/>
      <c r="C39" s="19"/>
      <c r="D39" s="19"/>
      <c r="E39" s="19"/>
      <c r="F39" s="19"/>
      <c r="G39" s="19"/>
      <c r="H39" s="19"/>
      <c r="I39" s="19"/>
      <c r="J39" s="19"/>
      <c r="K39" s="19">
        <v>0.3</v>
      </c>
      <c r="L39" s="19">
        <v>0.3</v>
      </c>
      <c r="M39" s="35" t="s">
        <v>51</v>
      </c>
    </row>
    <row r="40" spans="1:13" outlineLevel="1" x14ac:dyDescent="0.3">
      <c r="A40" s="15" t="s">
        <v>31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33" t="s">
        <v>221</v>
      </c>
    </row>
    <row r="41" spans="1:13" outlineLevel="1" x14ac:dyDescent="0.3">
      <c r="A41" s="15" t="s">
        <v>47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33" t="s">
        <v>20</v>
      </c>
    </row>
    <row r="42" spans="1:13" outlineLevel="1" x14ac:dyDescent="0.3">
      <c r="A42" s="15" t="s">
        <v>196</v>
      </c>
      <c r="B42" s="19"/>
      <c r="C42" s="19"/>
      <c r="D42" s="19"/>
      <c r="E42" s="19"/>
      <c r="F42" s="19">
        <v>1</v>
      </c>
      <c r="G42" s="19"/>
      <c r="H42" s="19"/>
      <c r="I42" s="19"/>
      <c r="J42" s="19"/>
      <c r="K42" s="19"/>
      <c r="L42" s="19"/>
      <c r="M42" s="19"/>
    </row>
    <row r="43" spans="1:13" outlineLevel="1" x14ac:dyDescent="0.3">
      <c r="A43" s="15" t="s">
        <v>198</v>
      </c>
      <c r="B43" s="19">
        <v>1</v>
      </c>
      <c r="C43" s="19">
        <v>1</v>
      </c>
      <c r="D43" s="19">
        <v>1</v>
      </c>
      <c r="E43" s="19"/>
      <c r="F43" s="19"/>
      <c r="G43" s="19">
        <v>1</v>
      </c>
      <c r="H43" s="19"/>
      <c r="I43" s="19"/>
      <c r="J43" s="19">
        <v>1</v>
      </c>
      <c r="K43" s="19">
        <v>0.7</v>
      </c>
      <c r="L43" s="19">
        <v>0.7</v>
      </c>
      <c r="M43" s="19" t="s">
        <v>225</v>
      </c>
    </row>
    <row r="44" spans="1:13" outlineLevel="1" x14ac:dyDescent="0.3">
      <c r="A44" s="15" t="s">
        <v>211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6" spans="1:13" ht="15.6" x14ac:dyDescent="0.3">
      <c r="A46" s="44" t="s">
        <v>229</v>
      </c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</row>
    <row r="47" spans="1:13" x14ac:dyDescent="0.3">
      <c r="A47" s="17" t="s">
        <v>3</v>
      </c>
      <c r="B47" s="21" t="s">
        <v>180</v>
      </c>
      <c r="C47" s="22" t="s">
        <v>181</v>
      </c>
      <c r="D47" s="21" t="s">
        <v>182</v>
      </c>
      <c r="E47" s="22" t="s">
        <v>183</v>
      </c>
      <c r="F47" s="21" t="s">
        <v>184</v>
      </c>
      <c r="G47" s="22" t="s">
        <v>185</v>
      </c>
      <c r="H47" s="21" t="s">
        <v>186</v>
      </c>
      <c r="I47" s="22" t="s">
        <v>187</v>
      </c>
      <c r="J47" s="22" t="s">
        <v>191</v>
      </c>
      <c r="K47" s="22" t="s">
        <v>178</v>
      </c>
      <c r="L47" s="23" t="s">
        <v>179</v>
      </c>
      <c r="M47" s="30" t="s">
        <v>215</v>
      </c>
    </row>
    <row r="48" spans="1:13" x14ac:dyDescent="0.3">
      <c r="A48" s="14" t="s">
        <v>24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3">
      <c r="A49" s="15" t="s">
        <v>25</v>
      </c>
      <c r="C49" s="19"/>
      <c r="D49" s="19"/>
      <c r="E49" s="19"/>
      <c r="F49" s="19"/>
      <c r="G49" s="19"/>
      <c r="H49" s="19"/>
      <c r="I49" s="19">
        <v>0.2</v>
      </c>
      <c r="J49" s="19"/>
      <c r="K49" s="19"/>
      <c r="L49" s="19"/>
      <c r="M49" s="19" t="s">
        <v>222</v>
      </c>
    </row>
    <row r="50" spans="1:13" x14ac:dyDescent="0.3">
      <c r="A50" s="15" t="s">
        <v>210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35" t="s">
        <v>51</v>
      </c>
    </row>
    <row r="51" spans="1:13" x14ac:dyDescent="0.3">
      <c r="A51" s="15" t="s">
        <v>26</v>
      </c>
      <c r="B51" s="19"/>
      <c r="C51" s="19"/>
      <c r="D51" s="19"/>
      <c r="E51" s="19"/>
      <c r="F51" s="19">
        <v>0.5</v>
      </c>
      <c r="G51" s="19"/>
      <c r="H51" s="19"/>
      <c r="I51" s="19"/>
      <c r="J51" s="19"/>
      <c r="K51" s="19"/>
      <c r="L51" s="19"/>
      <c r="M51" s="20" t="s">
        <v>230</v>
      </c>
    </row>
    <row r="52" spans="1:13" ht="28.8" x14ac:dyDescent="0.3">
      <c r="A52" s="15" t="s">
        <v>27</v>
      </c>
      <c r="B52" s="19"/>
      <c r="C52" s="19"/>
      <c r="D52" s="19"/>
      <c r="E52" s="19"/>
      <c r="F52" s="19">
        <v>0.5</v>
      </c>
      <c r="G52" s="19"/>
      <c r="H52" s="19"/>
      <c r="I52" s="19">
        <v>0.8</v>
      </c>
      <c r="J52" s="19"/>
      <c r="K52" s="19"/>
      <c r="L52" s="19"/>
      <c r="M52" s="32" t="s">
        <v>231</v>
      </c>
    </row>
    <row r="53" spans="1:13" x14ac:dyDescent="0.3">
      <c r="A53" s="15" t="s">
        <v>29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35" t="s">
        <v>51</v>
      </c>
    </row>
    <row r="54" spans="1:13" x14ac:dyDescent="0.3">
      <c r="A54" s="15" t="s">
        <v>30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35" t="s">
        <v>51</v>
      </c>
    </row>
    <row r="55" spans="1:13" x14ac:dyDescent="0.3">
      <c r="A55" s="15" t="s">
        <v>31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33" t="s">
        <v>221</v>
      </c>
    </row>
    <row r="56" spans="1:13" x14ac:dyDescent="0.3">
      <c r="A56" s="15" t="s">
        <v>47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33" t="s">
        <v>20</v>
      </c>
    </row>
    <row r="57" spans="1:13" x14ac:dyDescent="0.3">
      <c r="A57" s="15" t="s">
        <v>196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3">
      <c r="A58" s="15" t="s">
        <v>198</v>
      </c>
      <c r="B58" s="19">
        <v>1</v>
      </c>
      <c r="C58" s="19">
        <v>1</v>
      </c>
      <c r="D58" s="19">
        <v>1</v>
      </c>
      <c r="E58" s="19">
        <v>1</v>
      </c>
      <c r="F58" s="19"/>
      <c r="G58" s="19">
        <v>1</v>
      </c>
      <c r="H58" s="19">
        <v>1</v>
      </c>
      <c r="I58" s="19"/>
      <c r="J58" s="19">
        <v>1</v>
      </c>
      <c r="K58" s="19">
        <v>1</v>
      </c>
      <c r="L58" s="19">
        <v>1</v>
      </c>
      <c r="M58" s="19" t="s">
        <v>225</v>
      </c>
    </row>
    <row r="59" spans="1:13" x14ac:dyDescent="0.3">
      <c r="A59" s="15" t="s">
        <v>211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1" spans="1:13" ht="15.6" x14ac:dyDescent="0.3">
      <c r="A61" s="44" t="s">
        <v>232</v>
      </c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</row>
    <row r="62" spans="1:13" x14ac:dyDescent="0.3">
      <c r="A62" s="17" t="s">
        <v>3</v>
      </c>
      <c r="B62" s="21" t="s">
        <v>180</v>
      </c>
      <c r="C62" s="22" t="s">
        <v>181</v>
      </c>
      <c r="D62" s="21" t="s">
        <v>182</v>
      </c>
      <c r="E62" s="22" t="s">
        <v>183</v>
      </c>
      <c r="F62" s="21" t="s">
        <v>184</v>
      </c>
      <c r="G62" s="22" t="s">
        <v>185</v>
      </c>
      <c r="H62" s="21" t="s">
        <v>186</v>
      </c>
      <c r="I62" s="22" t="s">
        <v>187</v>
      </c>
      <c r="J62" s="22" t="s">
        <v>191</v>
      </c>
      <c r="K62" s="22" t="s">
        <v>178</v>
      </c>
      <c r="L62" s="23" t="s">
        <v>179</v>
      </c>
      <c r="M62" s="30" t="s">
        <v>215</v>
      </c>
    </row>
    <row r="63" spans="1:13" x14ac:dyDescent="0.3">
      <c r="A63" s="14" t="s">
        <v>24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3">
      <c r="A64" s="15" t="s">
        <v>25</v>
      </c>
      <c r="C64" s="19"/>
      <c r="D64" s="19"/>
      <c r="E64" s="19"/>
      <c r="G64" s="19"/>
      <c r="H64" s="19"/>
      <c r="I64" s="19">
        <v>0.2</v>
      </c>
      <c r="J64" s="19"/>
      <c r="K64" s="19"/>
      <c r="L64" s="19"/>
      <c r="M64" s="19" t="s">
        <v>222</v>
      </c>
    </row>
    <row r="65" spans="1:13" x14ac:dyDescent="0.3">
      <c r="A65" s="15" t="s">
        <v>210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35" t="s">
        <v>51</v>
      </c>
    </row>
    <row r="66" spans="1:13" x14ac:dyDescent="0.3">
      <c r="A66" s="15" t="s">
        <v>26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20" t="s">
        <v>230</v>
      </c>
    </row>
    <row r="67" spans="1:13" ht="28.8" x14ac:dyDescent="0.3">
      <c r="A67" s="15" t="s">
        <v>27</v>
      </c>
      <c r="B67" s="19"/>
      <c r="C67" s="19"/>
      <c r="D67" s="19"/>
      <c r="E67" s="19"/>
      <c r="F67" s="19"/>
      <c r="G67" s="19"/>
      <c r="H67" s="19"/>
      <c r="I67" s="19">
        <v>0.8</v>
      </c>
      <c r="J67" s="19"/>
      <c r="K67" s="19"/>
      <c r="L67" s="19"/>
      <c r="M67" s="32" t="s">
        <v>231</v>
      </c>
    </row>
    <row r="68" spans="1:13" x14ac:dyDescent="0.3">
      <c r="A68" s="15" t="s">
        <v>29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35" t="s">
        <v>51</v>
      </c>
    </row>
    <row r="69" spans="1:13" x14ac:dyDescent="0.3">
      <c r="A69" s="15" t="s">
        <v>30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35" t="s">
        <v>51</v>
      </c>
    </row>
    <row r="70" spans="1:13" x14ac:dyDescent="0.3">
      <c r="A70" s="15" t="s">
        <v>31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33" t="s">
        <v>221</v>
      </c>
    </row>
    <row r="71" spans="1:13" x14ac:dyDescent="0.3">
      <c r="A71" s="15" t="s">
        <v>47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33" t="s">
        <v>20</v>
      </c>
    </row>
    <row r="72" spans="1:13" x14ac:dyDescent="0.3">
      <c r="A72" s="15" t="s">
        <v>196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3">
      <c r="A73" s="15" t="s">
        <v>198</v>
      </c>
      <c r="B73" s="19"/>
      <c r="C73" s="19"/>
      <c r="D73" s="19"/>
      <c r="E73" s="19"/>
      <c r="F73" s="19"/>
      <c r="G73" s="19"/>
      <c r="H73" s="19"/>
      <c r="I73" s="19"/>
      <c r="J73" s="19">
        <v>1</v>
      </c>
      <c r="K73" s="19">
        <v>1</v>
      </c>
      <c r="L73" s="19">
        <v>1</v>
      </c>
      <c r="M73" s="19" t="s">
        <v>233</v>
      </c>
    </row>
    <row r="74" spans="1:13" x14ac:dyDescent="0.3">
      <c r="A74" s="15" t="s">
        <v>211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6" spans="1:13" ht="15.6" x14ac:dyDescent="0.3">
      <c r="A76" s="44" t="s">
        <v>234</v>
      </c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</row>
    <row r="77" spans="1:13" x14ac:dyDescent="0.3">
      <c r="A77" s="17" t="s">
        <v>3</v>
      </c>
      <c r="B77" s="21" t="s">
        <v>180</v>
      </c>
      <c r="C77" s="22" t="s">
        <v>181</v>
      </c>
      <c r="D77" s="21" t="s">
        <v>182</v>
      </c>
      <c r="E77" s="22" t="s">
        <v>183</v>
      </c>
      <c r="F77" s="21" t="s">
        <v>184</v>
      </c>
      <c r="G77" s="22" t="s">
        <v>185</v>
      </c>
      <c r="H77" s="21" t="s">
        <v>186</v>
      </c>
      <c r="I77" s="22" t="s">
        <v>187</v>
      </c>
      <c r="J77" s="22" t="s">
        <v>191</v>
      </c>
      <c r="K77" s="22" t="s">
        <v>178</v>
      </c>
      <c r="L77" s="23" t="s">
        <v>179</v>
      </c>
      <c r="M77" s="30" t="s">
        <v>215</v>
      </c>
    </row>
    <row r="78" spans="1:13" x14ac:dyDescent="0.3">
      <c r="A78" s="14" t="s">
        <v>24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3">
      <c r="A79" s="15" t="s">
        <v>25</v>
      </c>
      <c r="C79" s="19"/>
      <c r="D79" s="19"/>
      <c r="E79" s="19"/>
      <c r="G79" s="19"/>
      <c r="H79" s="19"/>
      <c r="I79" s="19"/>
      <c r="J79" s="19"/>
      <c r="K79" s="19"/>
      <c r="L79" s="19"/>
      <c r="M79" s="19" t="s">
        <v>222</v>
      </c>
    </row>
    <row r="80" spans="1:13" x14ac:dyDescent="0.3">
      <c r="A80" s="15" t="s">
        <v>210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35" t="s">
        <v>51</v>
      </c>
    </row>
    <row r="81" spans="1:13" x14ac:dyDescent="0.3">
      <c r="A81" s="15" t="s">
        <v>26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20" t="s">
        <v>230</v>
      </c>
    </row>
    <row r="82" spans="1:13" ht="28.8" x14ac:dyDescent="0.3">
      <c r="A82" s="15" t="s">
        <v>27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32" t="s">
        <v>231</v>
      </c>
    </row>
    <row r="83" spans="1:13" x14ac:dyDescent="0.3">
      <c r="A83" s="15" t="s">
        <v>29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35" t="s">
        <v>51</v>
      </c>
    </row>
    <row r="84" spans="1:13" x14ac:dyDescent="0.3">
      <c r="A84" s="15" t="s">
        <v>30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35" t="s">
        <v>51</v>
      </c>
    </row>
    <row r="85" spans="1:13" x14ac:dyDescent="0.3">
      <c r="A85" s="15" t="s">
        <v>31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33" t="s">
        <v>221</v>
      </c>
    </row>
    <row r="86" spans="1:13" x14ac:dyDescent="0.3">
      <c r="A86" s="15" t="s">
        <v>47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33" t="s">
        <v>20</v>
      </c>
    </row>
    <row r="87" spans="1:13" x14ac:dyDescent="0.3">
      <c r="A87" s="15" t="s">
        <v>196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3">
      <c r="A88" s="15" t="s">
        <v>198</v>
      </c>
      <c r="B88" s="19">
        <v>1</v>
      </c>
      <c r="C88" s="19">
        <v>1</v>
      </c>
      <c r="D88" s="19"/>
      <c r="E88" s="19"/>
      <c r="F88" s="19"/>
      <c r="G88" s="19"/>
      <c r="H88" s="19"/>
      <c r="I88" s="19"/>
      <c r="J88" s="19">
        <v>0.5</v>
      </c>
      <c r="K88" s="19">
        <v>0.5</v>
      </c>
      <c r="L88" s="19">
        <v>0.5</v>
      </c>
      <c r="M88" s="19" t="s">
        <v>235</v>
      </c>
    </row>
    <row r="89" spans="1:13" x14ac:dyDescent="0.3">
      <c r="A89" s="15" t="s">
        <v>211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</sheetData>
  <mergeCells count="6">
    <mergeCell ref="A76:M76"/>
    <mergeCell ref="A31:M31"/>
    <mergeCell ref="A16:M16"/>
    <mergeCell ref="A1:M1"/>
    <mergeCell ref="A46:M46"/>
    <mergeCell ref="A61:M61"/>
  </mergeCells>
  <conditionalFormatting sqref="B3:M11 B13:M14 B12:L12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{110BA819-02E1-4C14-A658-F8C52DF4A28D}</x14:id>
        </ext>
      </extLst>
    </cfRule>
  </conditionalFormatting>
  <conditionalFormatting sqref="B18:M23 B28:M28 B29:L29 B24:L27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{2EB043EB-40F8-4702-BF6C-4CDDDAB0D942}</x14:id>
        </ext>
      </extLst>
    </cfRule>
  </conditionalFormatting>
  <conditionalFormatting sqref="C34:M34 B33:M33 B43:M44 B35:L41 B42:E42 G42:M42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{4D2FD1E6-75EE-40C0-B273-F84D07D469CF}</x14:id>
        </ext>
      </extLst>
    </cfRule>
  </conditionalFormatting>
  <conditionalFormatting sqref="A3:A14">
    <cfRule type="expression" dxfId="5" priority="45">
      <formula>ISEVEN(ROW())</formula>
    </cfRule>
  </conditionalFormatting>
  <conditionalFormatting sqref="A18:A29">
    <cfRule type="expression" dxfId="4" priority="44">
      <formula>ISEVEN(ROW())</formula>
    </cfRule>
  </conditionalFormatting>
  <conditionalFormatting sqref="A34:A44">
    <cfRule type="expression" dxfId="3" priority="43">
      <formula>ISEVEN(ROW())</formula>
    </cfRule>
  </conditionalFormatting>
  <conditionalFormatting sqref="M25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{8BB3EE1C-E149-415A-975B-8DC745B0ED36}</x14:id>
        </ext>
      </extLst>
    </cfRule>
  </conditionalFormatting>
  <conditionalFormatting sqref="M2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{88104747-C9AB-4136-A181-72992CA098E5}</x14:id>
        </ext>
      </extLst>
    </cfRule>
  </conditionalFormatting>
  <conditionalFormatting sqref="M2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{F87E5BAC-6FF2-4922-B5B0-A86AADACA620}</x14:id>
        </ext>
      </extLst>
    </cfRule>
  </conditionalFormatting>
  <conditionalFormatting sqref="M27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{A8239143-58DE-4F0C-8833-EC6EF2F7F95E}</x14:id>
        </ext>
      </extLst>
    </cfRule>
  </conditionalFormatting>
  <conditionalFormatting sqref="M24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{81EE92B9-9AD8-4D33-AC27-C650B82CC835}</x14:id>
        </ext>
      </extLst>
    </cfRule>
  </conditionalFormatting>
  <conditionalFormatting sqref="M40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{4FC10B96-FD04-4AB3-A25D-74C308953AC2}</x14:id>
        </ext>
      </extLst>
    </cfRule>
  </conditionalFormatting>
  <conditionalFormatting sqref="M4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{611AD00C-67EB-463C-9515-FDAC77AEB4E6}</x14:id>
        </ext>
      </extLst>
    </cfRule>
  </conditionalFormatting>
  <conditionalFormatting sqref="M12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{EA20EEDF-1DC6-41D4-B07F-8F9B36853FDF}</x14:id>
        </ext>
      </extLst>
    </cfRule>
  </conditionalFormatting>
  <conditionalFormatting sqref="M38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{DE71267B-DA48-49D3-917C-E85DCE0A39BC}</x14:id>
        </ext>
      </extLst>
    </cfRule>
  </conditionalFormatting>
  <conditionalFormatting sqref="M39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{E31BCE8C-4659-4A40-BC56-16A153978835}</x14:id>
        </ext>
      </extLst>
    </cfRule>
  </conditionalFormatting>
  <conditionalFormatting sqref="M37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{1BCA8C87-4657-485B-A4A3-B23EB4579ED2}</x14:id>
        </ext>
      </extLst>
    </cfRule>
  </conditionalFormatting>
  <conditionalFormatting sqref="M3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{19D5ABB0-5E36-449C-A053-73F2E8E5CF1A}</x14:id>
        </ext>
      </extLst>
    </cfRule>
  </conditionalFormatting>
  <conditionalFormatting sqref="M35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{9BA35AF7-6E39-4074-A932-FBB25803DCBA}</x14:id>
        </ext>
      </extLst>
    </cfRule>
  </conditionalFormatting>
  <conditionalFormatting sqref="C49:M49 B48:M48 B57:M59 B50:L5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{D4DE7DFA-653C-4E6B-B561-B8EDB55A7F4F}</x14:id>
        </ext>
      </extLst>
    </cfRule>
  </conditionalFormatting>
  <conditionalFormatting sqref="A49:A59">
    <cfRule type="expression" dxfId="2" priority="27">
      <formula>ISEVEN(ROW())</formula>
    </cfRule>
  </conditionalFormatting>
  <conditionalFormatting sqref="M5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{DAFFF849-69D6-4069-BE9D-1A986C554DC2}</x14:id>
        </ext>
      </extLst>
    </cfRule>
  </conditionalFormatting>
  <conditionalFormatting sqref="M5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{08FE16EC-DAA2-4956-9143-B92CC3225E30}</x14:id>
        </ext>
      </extLst>
    </cfRule>
  </conditionalFormatting>
  <conditionalFormatting sqref="M5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{6B054156-AC34-49E1-B2BA-5EDFDC3CEB4F}</x14:id>
        </ext>
      </extLst>
    </cfRule>
  </conditionalFormatting>
  <conditionalFormatting sqref="M54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{ECC37D74-AB55-4CF0-9D65-4F7ACDBC4936}</x14:id>
        </ext>
      </extLst>
    </cfRule>
  </conditionalFormatting>
  <conditionalFormatting sqref="M52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{B75810FD-B3C9-4E24-BEC3-D4D8746A2B4C}</x14:id>
        </ext>
      </extLst>
    </cfRule>
  </conditionalFormatting>
  <conditionalFormatting sqref="M51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{914D965B-B4E0-4674-B6D2-46D341C8F0D2}</x14:id>
        </ext>
      </extLst>
    </cfRule>
  </conditionalFormatting>
  <conditionalFormatting sqref="M5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{BF14D715-35B2-4AB7-AA2E-66DE1CCFA1EB}</x14:id>
        </ext>
      </extLst>
    </cfRule>
  </conditionalFormatting>
  <conditionalFormatting sqref="F42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{662A6F64-CD99-41B3-9ABA-2C3FA2B3BADB}</x14:id>
        </ext>
      </extLst>
    </cfRule>
  </conditionalFormatting>
  <conditionalFormatting sqref="C64:E64 I65:L71 I72:M74 I63:M64 G64:H64 B63:H63 B65:H7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{D7AF9082-268B-4B13-B10F-5FDCA66240F1}</x14:id>
        </ext>
      </extLst>
    </cfRule>
  </conditionalFormatting>
  <conditionalFormatting sqref="A64:A74">
    <cfRule type="expression" dxfId="1" priority="17">
      <formula>ISEVEN(ROW())</formula>
    </cfRule>
  </conditionalFormatting>
  <conditionalFormatting sqref="M7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{4E8D4E71-6E35-49F1-AC2D-1906623A0D94}</x14:id>
        </ext>
      </extLst>
    </cfRule>
  </conditionalFormatting>
  <conditionalFormatting sqref="M7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{B7FB06A7-E343-4881-BDF2-772695735D75}</x14:id>
        </ext>
      </extLst>
    </cfRule>
  </conditionalFormatting>
  <conditionalFormatting sqref="M6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{FD7159A0-1409-4C8D-87C0-5F70355A7DE3}</x14:id>
        </ext>
      </extLst>
    </cfRule>
  </conditionalFormatting>
  <conditionalFormatting sqref="M6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{097EF5E5-BDA4-4B90-A457-A4DE2EDCD79E}</x14:id>
        </ext>
      </extLst>
    </cfRule>
  </conditionalFormatting>
  <conditionalFormatting sqref="M6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{CDE38F28-5834-41C9-965B-E8A4B041A370}</x14:id>
        </ext>
      </extLst>
    </cfRule>
  </conditionalFormatting>
  <conditionalFormatting sqref="M6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{0F371997-27A0-4CF4-85AB-A2636C5FB54A}</x14:id>
        </ext>
      </extLst>
    </cfRule>
  </conditionalFormatting>
  <conditionalFormatting sqref="M6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{0FEEC030-284E-4787-BF92-9EAF5659535D}</x14:id>
        </ext>
      </extLst>
    </cfRule>
  </conditionalFormatting>
  <conditionalFormatting sqref="C79:E79 I83:L86 I87:M89 G79:H79 B78:M78 B80:H89 J79:M79 J80:L82 I79:I8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{3E511246-5EDA-4B3B-B443-C3E29F87A44C}</x14:id>
        </ext>
      </extLst>
    </cfRule>
  </conditionalFormatting>
  <conditionalFormatting sqref="A79:A89">
    <cfRule type="expression" dxfId="0" priority="8">
      <formula>ISEVEN(ROW())</formula>
    </cfRule>
  </conditionalFormatting>
  <conditionalFormatting sqref="M8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{FD19ECD7-D4C6-4D2D-AE8C-3268C60987EE}</x14:id>
        </ext>
      </extLst>
    </cfRule>
  </conditionalFormatting>
  <conditionalFormatting sqref="M8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{509A64BA-E502-40A5-98A3-ECEFDEAE6533}</x14:id>
        </ext>
      </extLst>
    </cfRule>
  </conditionalFormatting>
  <conditionalFormatting sqref="M8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{79CA0384-B958-443B-AB34-484BEAE43247}</x14:id>
        </ext>
      </extLst>
    </cfRule>
  </conditionalFormatting>
  <conditionalFormatting sqref="M8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{6FA7ECBA-370B-4F53-9599-91E4068B0AA4}</x14:id>
        </ext>
      </extLst>
    </cfRule>
  </conditionalFormatting>
  <conditionalFormatting sqref="M8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{B2D01E22-D7C6-4524-85BD-7F78719AB924}</x14:id>
        </ext>
      </extLst>
    </cfRule>
  </conditionalFormatting>
  <conditionalFormatting sqref="M8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{F6FEF3CA-D627-41DB-83B2-E91FD8304E51}</x14:id>
        </ext>
      </extLst>
    </cfRule>
  </conditionalFormatting>
  <conditionalFormatting sqref="M8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{1794D752-7915-4BE8-9B8B-EFB2CC10EDD2}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0BA819-02E1-4C14-A658-F8C52DF4A2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B3:M11 B13:M14 B12:L12</xm:sqref>
        </x14:conditionalFormatting>
        <x14:conditionalFormatting xmlns:xm="http://schemas.microsoft.com/office/excel/2006/main">
          <x14:cfRule type="dataBar" id="{2EB043EB-40F8-4702-BF6C-4CDDDAB0D94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B18:M23 B28:M28 B29:L29 B24:L27</xm:sqref>
        </x14:conditionalFormatting>
        <x14:conditionalFormatting xmlns:xm="http://schemas.microsoft.com/office/excel/2006/main">
          <x14:cfRule type="dataBar" id="{4D2FD1E6-75EE-40C0-B273-F84D07D469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C34:M34 B33:M33 B43:M44 B35:L41 B42:E42 G42:M42</xm:sqref>
        </x14:conditionalFormatting>
        <x14:conditionalFormatting xmlns:xm="http://schemas.microsoft.com/office/excel/2006/main">
          <x14:cfRule type="dataBar" id="{8BB3EE1C-E149-415A-975B-8DC745B0ED3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88104747-C9AB-4136-A181-72992CA098E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F87E5BAC-6FF2-4922-B5B0-A86AADACA62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A8239143-58DE-4F0C-8833-EC6EF2F7F95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81EE92B9-9AD8-4D33-AC27-C650B82CC8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4FC10B96-FD04-4AB3-A25D-74C308953A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M40</xm:sqref>
        </x14:conditionalFormatting>
        <x14:conditionalFormatting xmlns:xm="http://schemas.microsoft.com/office/excel/2006/main">
          <x14:cfRule type="dataBar" id="{611AD00C-67EB-463C-9515-FDAC77AEB4E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M41</xm:sqref>
        </x14:conditionalFormatting>
        <x14:conditionalFormatting xmlns:xm="http://schemas.microsoft.com/office/excel/2006/main">
          <x14:cfRule type="dataBar" id="{EA20EEDF-1DC6-41D4-B07F-8F9B36853F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E71267B-DA48-49D3-917C-E85DCE0A39B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M38</xm:sqref>
        </x14:conditionalFormatting>
        <x14:conditionalFormatting xmlns:xm="http://schemas.microsoft.com/office/excel/2006/main">
          <x14:cfRule type="dataBar" id="{E31BCE8C-4659-4A40-BC56-16A1539788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M39</xm:sqref>
        </x14:conditionalFormatting>
        <x14:conditionalFormatting xmlns:xm="http://schemas.microsoft.com/office/excel/2006/main">
          <x14:cfRule type="dataBar" id="{1BCA8C87-4657-485B-A4A3-B23EB4579E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M37</xm:sqref>
        </x14:conditionalFormatting>
        <x14:conditionalFormatting xmlns:xm="http://schemas.microsoft.com/office/excel/2006/main">
          <x14:cfRule type="dataBar" id="{19D5ABB0-5E36-449C-A053-73F2E8E5CF1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M36</xm:sqref>
        </x14:conditionalFormatting>
        <x14:conditionalFormatting xmlns:xm="http://schemas.microsoft.com/office/excel/2006/main">
          <x14:cfRule type="dataBar" id="{9BA35AF7-6E39-4074-A932-FBB25803DC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M35</xm:sqref>
        </x14:conditionalFormatting>
        <x14:conditionalFormatting xmlns:xm="http://schemas.microsoft.com/office/excel/2006/main">
          <x14:cfRule type="dataBar" id="{D4DE7DFA-653C-4E6B-B561-B8EDB55A7F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C49:M49 B48:M48 B57:M59 B50:L56</xm:sqref>
        </x14:conditionalFormatting>
        <x14:conditionalFormatting xmlns:xm="http://schemas.microsoft.com/office/excel/2006/main">
          <x14:cfRule type="dataBar" id="{DAFFF849-69D6-4069-BE9D-1A986C554D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M55</xm:sqref>
        </x14:conditionalFormatting>
        <x14:conditionalFormatting xmlns:xm="http://schemas.microsoft.com/office/excel/2006/main">
          <x14:cfRule type="dataBar" id="{08FE16EC-DAA2-4956-9143-B92CC3225E3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M56</xm:sqref>
        </x14:conditionalFormatting>
        <x14:conditionalFormatting xmlns:xm="http://schemas.microsoft.com/office/excel/2006/main">
          <x14:cfRule type="dataBar" id="{6B054156-AC34-49E1-B2BA-5EDFDC3CEB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M53</xm:sqref>
        </x14:conditionalFormatting>
        <x14:conditionalFormatting xmlns:xm="http://schemas.microsoft.com/office/excel/2006/main">
          <x14:cfRule type="dataBar" id="{ECC37D74-AB55-4CF0-9D65-4F7ACDBC493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M54</xm:sqref>
        </x14:conditionalFormatting>
        <x14:conditionalFormatting xmlns:xm="http://schemas.microsoft.com/office/excel/2006/main">
          <x14:cfRule type="dataBar" id="{B75810FD-B3C9-4E24-BEC3-D4D8746A2B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M52</xm:sqref>
        </x14:conditionalFormatting>
        <x14:conditionalFormatting xmlns:xm="http://schemas.microsoft.com/office/excel/2006/main">
          <x14:cfRule type="dataBar" id="{914D965B-B4E0-4674-B6D2-46D341C8F0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M51</xm:sqref>
        </x14:conditionalFormatting>
        <x14:conditionalFormatting xmlns:xm="http://schemas.microsoft.com/office/excel/2006/main">
          <x14:cfRule type="dataBar" id="{BF14D715-35B2-4AB7-AA2E-66DE1CCFA1E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M50</xm:sqref>
        </x14:conditionalFormatting>
        <x14:conditionalFormatting xmlns:xm="http://schemas.microsoft.com/office/excel/2006/main">
          <x14:cfRule type="dataBar" id="{662A6F64-CD99-41B3-9ABA-2C3FA2B3BAD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D7AF9082-268B-4B13-B10F-5FDCA66240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C64:E64 I65:L71 I72:M74 I63:M64 G64:H64 B63:H63 B65:H74</xm:sqref>
        </x14:conditionalFormatting>
        <x14:conditionalFormatting xmlns:xm="http://schemas.microsoft.com/office/excel/2006/main">
          <x14:cfRule type="dataBar" id="{4E8D4E71-6E35-49F1-AC2D-1906623A0D9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M70</xm:sqref>
        </x14:conditionalFormatting>
        <x14:conditionalFormatting xmlns:xm="http://schemas.microsoft.com/office/excel/2006/main">
          <x14:cfRule type="dataBar" id="{B7FB06A7-E343-4881-BDF2-772695735D7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M71</xm:sqref>
        </x14:conditionalFormatting>
        <x14:conditionalFormatting xmlns:xm="http://schemas.microsoft.com/office/excel/2006/main">
          <x14:cfRule type="dataBar" id="{FD7159A0-1409-4C8D-87C0-5F70355A7DE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M68</xm:sqref>
        </x14:conditionalFormatting>
        <x14:conditionalFormatting xmlns:xm="http://schemas.microsoft.com/office/excel/2006/main">
          <x14:cfRule type="dataBar" id="{097EF5E5-BDA4-4B90-A457-A4DE2EDCD79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M69</xm:sqref>
        </x14:conditionalFormatting>
        <x14:conditionalFormatting xmlns:xm="http://schemas.microsoft.com/office/excel/2006/main">
          <x14:cfRule type="dataBar" id="{CDE38F28-5834-41C9-965B-E8A4B041A37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M67</xm:sqref>
        </x14:conditionalFormatting>
        <x14:conditionalFormatting xmlns:xm="http://schemas.microsoft.com/office/excel/2006/main">
          <x14:cfRule type="dataBar" id="{0F371997-27A0-4CF4-85AB-A2636C5FB54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M66</xm:sqref>
        </x14:conditionalFormatting>
        <x14:conditionalFormatting xmlns:xm="http://schemas.microsoft.com/office/excel/2006/main">
          <x14:cfRule type="dataBar" id="{0FEEC030-284E-4787-BF92-9EAF5659535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M65</xm:sqref>
        </x14:conditionalFormatting>
        <x14:conditionalFormatting xmlns:xm="http://schemas.microsoft.com/office/excel/2006/main">
          <x14:cfRule type="dataBar" id="{3E511246-5EDA-4B3B-B443-C3E29F87A4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C79:E79 I83:L86 I87:M89 G79:H79 B78:M78 B80:H89 J79:M79 J80:L82 I79:I82</xm:sqref>
        </x14:conditionalFormatting>
        <x14:conditionalFormatting xmlns:xm="http://schemas.microsoft.com/office/excel/2006/main">
          <x14:cfRule type="dataBar" id="{FD19ECD7-D4C6-4D2D-AE8C-3268C60987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M85</xm:sqref>
        </x14:conditionalFormatting>
        <x14:conditionalFormatting xmlns:xm="http://schemas.microsoft.com/office/excel/2006/main">
          <x14:cfRule type="dataBar" id="{509A64BA-E502-40A5-98A3-ECEFDEAE65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M86</xm:sqref>
        </x14:conditionalFormatting>
        <x14:conditionalFormatting xmlns:xm="http://schemas.microsoft.com/office/excel/2006/main">
          <x14:cfRule type="dataBar" id="{79CA0384-B958-443B-AB34-484BEAE4324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M83</xm:sqref>
        </x14:conditionalFormatting>
        <x14:conditionalFormatting xmlns:xm="http://schemas.microsoft.com/office/excel/2006/main">
          <x14:cfRule type="dataBar" id="{6FA7ECBA-370B-4F53-9599-91E4068B0AA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M84</xm:sqref>
        </x14:conditionalFormatting>
        <x14:conditionalFormatting xmlns:xm="http://schemas.microsoft.com/office/excel/2006/main">
          <x14:cfRule type="dataBar" id="{B2D01E22-D7C6-4524-85BD-7F78719AB9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M82</xm:sqref>
        </x14:conditionalFormatting>
        <x14:conditionalFormatting xmlns:xm="http://schemas.microsoft.com/office/excel/2006/main">
          <x14:cfRule type="dataBar" id="{F6FEF3CA-D627-41DB-83B2-E91FD8304E5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M81</xm:sqref>
        </x14:conditionalFormatting>
        <x14:conditionalFormatting xmlns:xm="http://schemas.microsoft.com/office/excel/2006/main">
          <x14:cfRule type="dataBar" id="{1794D752-7915-4BE8-9B8B-EFB2CC10ED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3278-45E1-4B18-9C22-F27864CE7CCB}">
  <dimension ref="A1:BE48"/>
  <sheetViews>
    <sheetView tabSelected="1" workbookViewId="0">
      <selection activeCell="A7" sqref="A7"/>
    </sheetView>
  </sheetViews>
  <sheetFormatPr defaultRowHeight="14.4" x14ac:dyDescent="0.3"/>
  <cols>
    <col min="1" max="1" width="31.21875" style="1" bestFit="1" customWidth="1"/>
    <col min="2" max="2" width="15.88671875" style="1" bestFit="1" customWidth="1"/>
    <col min="3" max="3" width="37.77734375" style="1" bestFit="1" customWidth="1"/>
    <col min="4" max="4" width="19.6640625" style="1" customWidth="1"/>
    <col min="5" max="5" width="21.77734375" style="1" customWidth="1"/>
    <col min="6" max="6" width="24.44140625" style="1" bestFit="1" customWidth="1"/>
    <col min="7" max="7" width="24.44140625" bestFit="1" customWidth="1"/>
  </cols>
  <sheetData>
    <row r="1" spans="1:57" ht="14.4" customHeight="1" x14ac:dyDescent="0.3">
      <c r="A1" s="41" t="s">
        <v>241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</row>
    <row r="2" spans="1:57" ht="14.4" customHeight="1" x14ac:dyDescent="0.3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</row>
    <row r="3" spans="1:57" ht="14.4" customHeight="1" x14ac:dyDescent="0.3">
      <c r="A3" s="42" t="s">
        <v>0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</row>
    <row r="4" spans="1:57" ht="14.4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</row>
    <row r="5" spans="1:57" ht="14.4" customHeight="1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</row>
    <row r="7" spans="1:57" x14ac:dyDescent="0.3">
      <c r="A7" s="6" t="s">
        <v>62</v>
      </c>
      <c r="B7" s="6" t="s">
        <v>3</v>
      </c>
      <c r="C7" s="6" t="s">
        <v>74</v>
      </c>
      <c r="D7" s="6" t="s">
        <v>236</v>
      </c>
      <c r="E7" s="6" t="s">
        <v>243</v>
      </c>
      <c r="F7" s="6" t="s">
        <v>277</v>
      </c>
      <c r="G7" s="1"/>
    </row>
    <row r="8" spans="1:57" x14ac:dyDescent="0.3">
      <c r="A8" s="39" t="s">
        <v>197</v>
      </c>
      <c r="B8" s="39" t="s">
        <v>244</v>
      </c>
      <c r="C8" s="39" t="s">
        <v>245</v>
      </c>
      <c r="D8" s="39" t="s">
        <v>179</v>
      </c>
      <c r="E8" s="39" t="s">
        <v>164</v>
      </c>
      <c r="F8" s="53">
        <v>1</v>
      </c>
      <c r="G8" s="1"/>
    </row>
    <row r="9" spans="1:57" x14ac:dyDescent="0.3">
      <c r="A9" s="39" t="s">
        <v>197</v>
      </c>
      <c r="B9" s="39" t="s">
        <v>244</v>
      </c>
      <c r="C9" s="39" t="s">
        <v>245</v>
      </c>
      <c r="D9" s="39" t="s">
        <v>181</v>
      </c>
      <c r="E9" s="39" t="s">
        <v>164</v>
      </c>
      <c r="F9" s="53">
        <v>1</v>
      </c>
      <c r="G9" s="1"/>
    </row>
    <row r="10" spans="1:57" x14ac:dyDescent="0.3">
      <c r="A10" s="39" t="s">
        <v>197</v>
      </c>
      <c r="B10" s="39" t="s">
        <v>244</v>
      </c>
      <c r="C10" s="39" t="s">
        <v>245</v>
      </c>
      <c r="D10" s="39" t="s">
        <v>180</v>
      </c>
      <c r="E10" s="39" t="s">
        <v>164</v>
      </c>
      <c r="F10" s="53">
        <v>1</v>
      </c>
      <c r="G10" s="1"/>
    </row>
    <row r="11" spans="1:57" x14ac:dyDescent="0.3">
      <c r="A11" s="39" t="s">
        <v>197</v>
      </c>
      <c r="B11" s="39" t="s">
        <v>244</v>
      </c>
      <c r="C11" s="39" t="s">
        <v>245</v>
      </c>
      <c r="D11" s="39" t="s">
        <v>182</v>
      </c>
      <c r="E11" s="39" t="s">
        <v>164</v>
      </c>
      <c r="F11" s="53">
        <v>1</v>
      </c>
      <c r="G11" s="1"/>
    </row>
    <row r="12" spans="1:57" x14ac:dyDescent="0.3">
      <c r="A12" s="39" t="s">
        <v>197</v>
      </c>
      <c r="B12" s="39" t="s">
        <v>244</v>
      </c>
      <c r="C12" s="39" t="s">
        <v>250</v>
      </c>
      <c r="D12" s="39" t="s">
        <v>179</v>
      </c>
      <c r="E12" s="39" t="s">
        <v>164</v>
      </c>
      <c r="F12" s="53">
        <v>1</v>
      </c>
      <c r="G12" s="1"/>
    </row>
    <row r="13" spans="1:57" x14ac:dyDescent="0.3">
      <c r="A13" s="39" t="s">
        <v>197</v>
      </c>
      <c r="B13" s="39" t="s">
        <v>244</v>
      </c>
      <c r="C13" s="39" t="s">
        <v>250</v>
      </c>
      <c r="D13" s="39" t="s">
        <v>187</v>
      </c>
      <c r="E13" s="39" t="s">
        <v>164</v>
      </c>
      <c r="F13" s="53">
        <v>1</v>
      </c>
      <c r="G13" s="1"/>
    </row>
    <row r="14" spans="1:57" x14ac:dyDescent="0.3">
      <c r="A14" s="39" t="s">
        <v>197</v>
      </c>
      <c r="B14" s="39" t="s">
        <v>244</v>
      </c>
      <c r="C14" s="39" t="s">
        <v>250</v>
      </c>
      <c r="D14" s="39" t="s">
        <v>180</v>
      </c>
      <c r="E14" s="39" t="s">
        <v>164</v>
      </c>
      <c r="F14" s="53">
        <v>1</v>
      </c>
      <c r="G14" s="1"/>
    </row>
    <row r="15" spans="1:57" x14ac:dyDescent="0.3">
      <c r="A15" s="39" t="s">
        <v>197</v>
      </c>
      <c r="B15" s="39" t="s">
        <v>244</v>
      </c>
      <c r="C15" s="39" t="s">
        <v>250</v>
      </c>
      <c r="D15" s="39" t="s">
        <v>182</v>
      </c>
      <c r="E15" s="39" t="s">
        <v>164</v>
      </c>
      <c r="F15" s="53">
        <v>1</v>
      </c>
      <c r="G15" s="1"/>
    </row>
    <row r="16" spans="1:57" ht="28.8" x14ac:dyDescent="0.3">
      <c r="A16" s="39" t="s">
        <v>197</v>
      </c>
      <c r="B16" s="39" t="s">
        <v>244</v>
      </c>
      <c r="C16" s="52" t="s">
        <v>251</v>
      </c>
      <c r="D16" s="39" t="s">
        <v>179</v>
      </c>
      <c r="E16" s="39" t="s">
        <v>164</v>
      </c>
      <c r="F16" s="53">
        <v>1</v>
      </c>
    </row>
    <row r="17" spans="1:6" ht="28.8" x14ac:dyDescent="0.3">
      <c r="A17" s="54" t="s">
        <v>197</v>
      </c>
      <c r="B17" s="54" t="s">
        <v>244</v>
      </c>
      <c r="C17" s="52" t="s">
        <v>251</v>
      </c>
      <c r="D17" s="51" t="s">
        <v>180</v>
      </c>
      <c r="E17" s="54" t="s">
        <v>164</v>
      </c>
      <c r="F17" s="55">
        <v>1</v>
      </c>
    </row>
    <row r="18" spans="1:6" ht="28.8" x14ac:dyDescent="0.3">
      <c r="A18" s="54" t="s">
        <v>197</v>
      </c>
      <c r="B18" s="54" t="s">
        <v>244</v>
      </c>
      <c r="C18" s="52" t="s">
        <v>251</v>
      </c>
      <c r="D18" s="51" t="s">
        <v>182</v>
      </c>
      <c r="E18" s="54" t="s">
        <v>164</v>
      </c>
      <c r="F18" s="55">
        <v>1</v>
      </c>
    </row>
    <row r="19" spans="1:6" x14ac:dyDescent="0.3">
      <c r="A19" s="54" t="s">
        <v>197</v>
      </c>
      <c r="B19" s="54" t="s">
        <v>244</v>
      </c>
      <c r="C19" s="54" t="s">
        <v>252</v>
      </c>
      <c r="D19" s="39" t="s">
        <v>180</v>
      </c>
      <c r="E19" s="54" t="s">
        <v>164</v>
      </c>
      <c r="F19" s="55">
        <v>1</v>
      </c>
    </row>
    <row r="20" spans="1:6" x14ac:dyDescent="0.3">
      <c r="A20" s="54" t="s">
        <v>197</v>
      </c>
      <c r="B20" s="54" t="s">
        <v>244</v>
      </c>
      <c r="C20" s="54" t="s">
        <v>252</v>
      </c>
      <c r="D20" s="39" t="s">
        <v>187</v>
      </c>
      <c r="E20" s="54" t="s">
        <v>164</v>
      </c>
      <c r="F20" s="55">
        <v>1</v>
      </c>
    </row>
    <row r="21" spans="1:6" ht="28.8" x14ac:dyDescent="0.3">
      <c r="A21" s="54" t="s">
        <v>197</v>
      </c>
      <c r="B21" s="54" t="s">
        <v>244</v>
      </c>
      <c r="C21" s="52" t="s">
        <v>253</v>
      </c>
      <c r="D21" s="39" t="s">
        <v>180</v>
      </c>
      <c r="E21" s="54" t="s">
        <v>164</v>
      </c>
      <c r="F21" s="55">
        <v>1</v>
      </c>
    </row>
    <row r="22" spans="1:6" ht="28.8" x14ac:dyDescent="0.3">
      <c r="A22" s="54" t="s">
        <v>197</v>
      </c>
      <c r="B22" s="54" t="s">
        <v>244</v>
      </c>
      <c r="C22" s="52" t="s">
        <v>253</v>
      </c>
      <c r="D22" s="39" t="s">
        <v>183</v>
      </c>
      <c r="E22" s="54" t="s">
        <v>164</v>
      </c>
      <c r="F22" s="55">
        <v>1</v>
      </c>
    </row>
    <row r="23" spans="1:6" ht="28.8" x14ac:dyDescent="0.3">
      <c r="A23" s="54" t="s">
        <v>197</v>
      </c>
      <c r="B23" s="54" t="s">
        <v>244</v>
      </c>
      <c r="C23" s="52" t="s">
        <v>253</v>
      </c>
      <c r="D23" s="39" t="s">
        <v>186</v>
      </c>
      <c r="E23" s="54" t="s">
        <v>164</v>
      </c>
      <c r="F23" s="55">
        <v>1</v>
      </c>
    </row>
    <row r="24" spans="1:6" ht="28.8" x14ac:dyDescent="0.3">
      <c r="A24" s="54" t="s">
        <v>197</v>
      </c>
      <c r="B24" s="54" t="s">
        <v>244</v>
      </c>
      <c r="C24" s="52" t="s">
        <v>253</v>
      </c>
      <c r="D24" s="39" t="s">
        <v>187</v>
      </c>
      <c r="E24" s="54" t="s">
        <v>164</v>
      </c>
      <c r="F24" s="55">
        <v>1</v>
      </c>
    </row>
    <row r="25" spans="1:6" ht="43.2" x14ac:dyDescent="0.3">
      <c r="A25" s="54" t="s">
        <v>197</v>
      </c>
      <c r="B25" s="39" t="s">
        <v>24</v>
      </c>
      <c r="C25" s="57" t="s">
        <v>254</v>
      </c>
      <c r="D25" s="50" t="s">
        <v>182</v>
      </c>
      <c r="E25" s="39" t="s">
        <v>164</v>
      </c>
      <c r="F25" s="56">
        <v>1</v>
      </c>
    </row>
    <row r="26" spans="1:6" x14ac:dyDescent="0.3">
      <c r="A26" s="54" t="s">
        <v>197</v>
      </c>
      <c r="B26" s="39" t="s">
        <v>24</v>
      </c>
      <c r="C26" s="57" t="s">
        <v>255</v>
      </c>
      <c r="D26" s="50" t="s">
        <v>182</v>
      </c>
      <c r="E26" s="39" t="s">
        <v>164</v>
      </c>
      <c r="F26" s="56">
        <v>1</v>
      </c>
    </row>
    <row r="27" spans="1:6" ht="28.8" x14ac:dyDescent="0.3">
      <c r="A27" s="54" t="s">
        <v>197</v>
      </c>
      <c r="B27" s="54" t="s">
        <v>25</v>
      </c>
      <c r="C27" s="52" t="s">
        <v>262</v>
      </c>
      <c r="D27" s="51" t="s">
        <v>183</v>
      </c>
      <c r="E27" s="39" t="s">
        <v>164</v>
      </c>
      <c r="F27" s="56">
        <v>1</v>
      </c>
    </row>
    <row r="28" spans="1:6" ht="28.8" x14ac:dyDescent="0.3">
      <c r="A28" s="54" t="s">
        <v>197</v>
      </c>
      <c r="B28" s="54" t="s">
        <v>25</v>
      </c>
      <c r="C28" s="52" t="s">
        <v>263</v>
      </c>
      <c r="D28" s="51" t="s">
        <v>185</v>
      </c>
      <c r="E28" s="39" t="s">
        <v>164</v>
      </c>
      <c r="F28" s="56">
        <v>1</v>
      </c>
    </row>
    <row r="29" spans="1:6" ht="28.8" x14ac:dyDescent="0.3">
      <c r="A29" s="54" t="s">
        <v>197</v>
      </c>
      <c r="B29" s="54" t="s">
        <v>25</v>
      </c>
      <c r="C29" s="57" t="s">
        <v>265</v>
      </c>
      <c r="D29" s="51" t="s">
        <v>185</v>
      </c>
      <c r="E29" s="39" t="s">
        <v>164</v>
      </c>
      <c r="F29" s="56">
        <v>1</v>
      </c>
    </row>
    <row r="30" spans="1:6" ht="28.8" x14ac:dyDescent="0.3">
      <c r="A30" s="54" t="s">
        <v>197</v>
      </c>
      <c r="B30" s="54" t="s">
        <v>25</v>
      </c>
      <c r="C30" s="52" t="s">
        <v>264</v>
      </c>
      <c r="D30" s="51" t="s">
        <v>185</v>
      </c>
      <c r="E30" s="39" t="s">
        <v>164</v>
      </c>
      <c r="F30" s="56">
        <v>1</v>
      </c>
    </row>
    <row r="31" spans="1:6" ht="28.8" x14ac:dyDescent="0.3">
      <c r="A31" s="54" t="s">
        <v>197</v>
      </c>
      <c r="B31" s="54" t="s">
        <v>26</v>
      </c>
      <c r="C31" s="52" t="s">
        <v>266</v>
      </c>
      <c r="D31" s="51" t="s">
        <v>186</v>
      </c>
      <c r="E31" s="39" t="s">
        <v>164</v>
      </c>
      <c r="F31" s="56">
        <v>1</v>
      </c>
    </row>
    <row r="32" spans="1:6" ht="28.8" x14ac:dyDescent="0.3">
      <c r="A32" s="54" t="s">
        <v>197</v>
      </c>
      <c r="B32" s="54" t="s">
        <v>26</v>
      </c>
      <c r="C32" s="52" t="s">
        <v>267</v>
      </c>
      <c r="D32" s="51" t="s">
        <v>186</v>
      </c>
      <c r="E32" s="54" t="s">
        <v>164</v>
      </c>
      <c r="F32" s="55">
        <v>1</v>
      </c>
    </row>
    <row r="33" spans="1:6" ht="28.8" x14ac:dyDescent="0.3">
      <c r="A33" s="54" t="s">
        <v>197</v>
      </c>
      <c r="B33" s="54" t="s">
        <v>26</v>
      </c>
      <c r="C33" s="52" t="s">
        <v>268</v>
      </c>
      <c r="D33" s="51" t="s">
        <v>186</v>
      </c>
      <c r="E33" s="54" t="s">
        <v>164</v>
      </c>
      <c r="F33" s="55">
        <v>1</v>
      </c>
    </row>
    <row r="34" spans="1:6" x14ac:dyDescent="0.3">
      <c r="A34" s="54" t="s">
        <v>197</v>
      </c>
      <c r="B34" s="54" t="s">
        <v>26</v>
      </c>
      <c r="C34" s="52" t="s">
        <v>269</v>
      </c>
      <c r="D34" s="51" t="s">
        <v>186</v>
      </c>
      <c r="E34" s="54" t="s">
        <v>164</v>
      </c>
      <c r="F34" s="55">
        <v>1</v>
      </c>
    </row>
    <row r="35" spans="1:6" ht="57.6" x14ac:dyDescent="0.3">
      <c r="A35" s="54" t="s">
        <v>197</v>
      </c>
      <c r="B35" s="52" t="s">
        <v>30</v>
      </c>
      <c r="C35" s="52" t="s">
        <v>270</v>
      </c>
      <c r="D35" s="51" t="s">
        <v>180</v>
      </c>
      <c r="E35" s="54" t="s">
        <v>164</v>
      </c>
      <c r="F35" s="55">
        <v>1</v>
      </c>
    </row>
    <row r="36" spans="1:6" ht="57.6" x14ac:dyDescent="0.3">
      <c r="A36" s="54" t="s">
        <v>197</v>
      </c>
      <c r="B36" s="52" t="s">
        <v>30</v>
      </c>
      <c r="C36" s="52" t="s">
        <v>270</v>
      </c>
      <c r="D36" s="51" t="s">
        <v>181</v>
      </c>
      <c r="E36" s="54" t="s">
        <v>164</v>
      </c>
      <c r="F36" s="55">
        <v>1</v>
      </c>
    </row>
    <row r="37" spans="1:6" ht="57.6" x14ac:dyDescent="0.3">
      <c r="A37" s="54" t="s">
        <v>197</v>
      </c>
      <c r="B37" s="57" t="s">
        <v>30</v>
      </c>
      <c r="C37" s="57" t="s">
        <v>271</v>
      </c>
      <c r="D37" s="50" t="s">
        <v>180</v>
      </c>
      <c r="E37" s="39" t="s">
        <v>164</v>
      </c>
      <c r="F37" s="56">
        <v>1</v>
      </c>
    </row>
    <row r="38" spans="1:6" ht="57.6" x14ac:dyDescent="0.3">
      <c r="A38" s="54" t="s">
        <v>197</v>
      </c>
      <c r="B38" s="52" t="s">
        <v>30</v>
      </c>
      <c r="C38" s="57" t="s">
        <v>271</v>
      </c>
      <c r="D38" s="51" t="s">
        <v>181</v>
      </c>
      <c r="E38" s="54" t="s">
        <v>164</v>
      </c>
      <c r="F38" s="55">
        <v>1</v>
      </c>
    </row>
    <row r="39" spans="1:6" ht="57.6" x14ac:dyDescent="0.3">
      <c r="A39" s="54" t="s">
        <v>197</v>
      </c>
      <c r="B39" s="57" t="s">
        <v>30</v>
      </c>
      <c r="C39" s="57" t="s">
        <v>272</v>
      </c>
      <c r="D39" s="50" t="s">
        <v>180</v>
      </c>
      <c r="E39" s="39" t="s">
        <v>164</v>
      </c>
      <c r="F39" s="56">
        <v>1</v>
      </c>
    </row>
    <row r="40" spans="1:6" ht="57.6" x14ac:dyDescent="0.3">
      <c r="A40" s="54" t="s">
        <v>197</v>
      </c>
      <c r="B40" s="57" t="s">
        <v>30</v>
      </c>
      <c r="C40" s="57" t="s">
        <v>272</v>
      </c>
      <c r="D40" s="50" t="s">
        <v>181</v>
      </c>
      <c r="E40" s="39" t="s">
        <v>164</v>
      </c>
      <c r="F40" s="56">
        <v>1</v>
      </c>
    </row>
    <row r="41" spans="1:6" ht="57.6" x14ac:dyDescent="0.3">
      <c r="A41" s="54" t="s">
        <v>197</v>
      </c>
      <c r="B41" s="57" t="s">
        <v>30</v>
      </c>
      <c r="C41" s="57" t="s">
        <v>273</v>
      </c>
      <c r="D41" s="50" t="s">
        <v>180</v>
      </c>
      <c r="E41" s="39" t="s">
        <v>164</v>
      </c>
      <c r="F41" s="56">
        <v>1</v>
      </c>
    </row>
    <row r="42" spans="1:6" ht="57.6" x14ac:dyDescent="0.3">
      <c r="A42" s="54" t="s">
        <v>197</v>
      </c>
      <c r="B42" s="57" t="s">
        <v>30</v>
      </c>
      <c r="C42" s="57" t="s">
        <v>275</v>
      </c>
      <c r="D42" s="50" t="s">
        <v>180</v>
      </c>
      <c r="E42" s="39" t="s">
        <v>164</v>
      </c>
      <c r="F42" s="56">
        <v>1</v>
      </c>
    </row>
    <row r="43" spans="1:6" ht="57.6" x14ac:dyDescent="0.3">
      <c r="A43" s="54" t="s">
        <v>197</v>
      </c>
      <c r="B43" s="52" t="s">
        <v>30</v>
      </c>
      <c r="C43" s="52" t="s">
        <v>274</v>
      </c>
      <c r="D43" s="51" t="s">
        <v>181</v>
      </c>
      <c r="E43" s="54" t="s">
        <v>164</v>
      </c>
      <c r="F43" s="55">
        <v>1</v>
      </c>
    </row>
    <row r="44" spans="1:6" ht="57.6" x14ac:dyDescent="0.3">
      <c r="A44" s="54" t="s">
        <v>197</v>
      </c>
      <c r="B44" s="52" t="s">
        <v>30</v>
      </c>
      <c r="C44" s="54" t="s">
        <v>276</v>
      </c>
      <c r="D44" s="51" t="s">
        <v>181</v>
      </c>
      <c r="E44" s="54" t="s">
        <v>164</v>
      </c>
      <c r="F44" s="55">
        <v>1</v>
      </c>
    </row>
    <row r="45" spans="1:6" ht="28.8" x14ac:dyDescent="0.3">
      <c r="A45" s="54" t="s">
        <v>197</v>
      </c>
      <c r="B45" s="52" t="s">
        <v>27</v>
      </c>
      <c r="C45" s="52" t="s">
        <v>280</v>
      </c>
      <c r="D45" s="51" t="s">
        <v>182</v>
      </c>
      <c r="E45" s="54" t="s">
        <v>164</v>
      </c>
      <c r="F45" s="55">
        <v>1</v>
      </c>
    </row>
    <row r="46" spans="1:6" ht="28.8" x14ac:dyDescent="0.3">
      <c r="A46" s="54" t="s">
        <v>197</v>
      </c>
      <c r="B46" s="54" t="s">
        <v>196</v>
      </c>
      <c r="C46" s="52" t="s">
        <v>281</v>
      </c>
      <c r="D46" s="51" t="s">
        <v>186</v>
      </c>
      <c r="E46" s="54" t="s">
        <v>152</v>
      </c>
      <c r="F46" s="55">
        <v>1</v>
      </c>
    </row>
    <row r="47" spans="1:6" x14ac:dyDescent="0.3">
      <c r="A47" s="54" t="s">
        <v>197</v>
      </c>
      <c r="B47" s="54" t="s">
        <v>196</v>
      </c>
      <c r="C47" s="54" t="s">
        <v>278</v>
      </c>
      <c r="D47" s="51" t="s">
        <v>186</v>
      </c>
      <c r="E47" s="54" t="s">
        <v>148</v>
      </c>
      <c r="F47" s="55">
        <v>1</v>
      </c>
    </row>
    <row r="48" spans="1:6" x14ac:dyDescent="0.3">
      <c r="A48" s="54" t="s">
        <v>197</v>
      </c>
      <c r="B48" s="54" t="s">
        <v>196</v>
      </c>
      <c r="C48" s="54" t="s">
        <v>279</v>
      </c>
      <c r="D48" s="51" t="s">
        <v>186</v>
      </c>
      <c r="E48" s="54" t="s">
        <v>156</v>
      </c>
      <c r="F48" s="55">
        <v>1</v>
      </c>
    </row>
  </sheetData>
  <mergeCells count="2">
    <mergeCell ref="A1:BE2"/>
    <mergeCell ref="A3:BD5"/>
  </mergeCells>
  <phoneticPr fontId="9" type="noConversion"/>
  <dataValidations count="3">
    <dataValidation type="decimal" allowBlank="1" showInputMessage="1" showErrorMessage="1" sqref="F8:F48" xr:uid="{AF4763DD-8134-4CF0-9E46-B54B060261A8}">
      <formula1>0</formula1>
      <formula2>1</formula2>
    </dataValidation>
    <dataValidation type="list" allowBlank="1" showInputMessage="1" showErrorMessage="1" sqref="B8:B48" xr:uid="{2599AFA7-E0F5-4464-A430-A265C34E8D86}">
      <formula1>Lista_Produtos</formula1>
    </dataValidation>
    <dataValidation type="list" allowBlank="1" showInputMessage="1" showErrorMessage="1" sqref="D8:D48" xr:uid="{17ED1722-027C-42EF-B863-BEC2391E5193}">
      <formula1>ListaEquipe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94A185-56EB-476A-B0A7-41A8EE8B9BC5}">
          <x14:formula1>
            <xm:f>'Calendário Comunidade 2025'!$A$3:$A$22</xm:f>
          </x14:formula1>
          <xm:sqref>A8:A48</xm:sqref>
        </x14:dataValidation>
        <x14:dataValidation type="list" allowBlank="1" showInputMessage="1" showErrorMessage="1" xr:uid="{82DC529A-D8D4-405C-9302-2919C9F56796}">
          <x14:formula1>
            <xm:f>'Story Points'!$A$2:$A$8</xm:f>
          </x14:formula1>
          <xm:sqref>E8:E48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01BE4-D78E-4B07-AE01-260F7444AD62}">
  <dimension ref="A1:BF26"/>
  <sheetViews>
    <sheetView workbookViewId="0">
      <selection activeCell="G13" sqref="G13"/>
    </sheetView>
  </sheetViews>
  <sheetFormatPr defaultRowHeight="14.4" x14ac:dyDescent="0.3"/>
  <cols>
    <col min="1" max="1" width="31.21875" style="1" bestFit="1" customWidth="1"/>
    <col min="2" max="2" width="15.88671875" style="1" bestFit="1" customWidth="1"/>
    <col min="3" max="3" width="37.77734375" style="1" bestFit="1" customWidth="1"/>
    <col min="4" max="4" width="27" style="1" bestFit="1" customWidth="1"/>
    <col min="5" max="6" width="21.77734375" style="1" customWidth="1"/>
    <col min="7" max="7" width="28.21875" style="1" customWidth="1"/>
    <col min="8" max="8" width="24.44140625" bestFit="1" customWidth="1"/>
  </cols>
  <sheetData>
    <row r="1" spans="1:58" ht="14.4" customHeight="1" x14ac:dyDescent="0.3">
      <c r="A1" s="41" t="s">
        <v>246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</row>
    <row r="2" spans="1:58" ht="14.4" customHeight="1" x14ac:dyDescent="0.3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</row>
    <row r="3" spans="1:58" ht="14.4" customHeight="1" x14ac:dyDescent="0.3">
      <c r="A3" s="42" t="s">
        <v>0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</row>
    <row r="4" spans="1:58" ht="14.4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</row>
    <row r="5" spans="1:58" ht="14.4" customHeight="1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</row>
    <row r="6" spans="1:58" ht="14.4" customHeight="1" x14ac:dyDescent="0.3">
      <c r="A6" s="45" t="s">
        <v>239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</row>
    <row r="7" spans="1:58" ht="14.4" customHeight="1" x14ac:dyDescent="0.3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</row>
    <row r="8" spans="1:58" ht="15.6" x14ac:dyDescent="0.3">
      <c r="A8" s="36" t="s">
        <v>237</v>
      </c>
      <c r="B8" s="37">
        <v>6</v>
      </c>
      <c r="C8" s="36" t="s">
        <v>238</v>
      </c>
      <c r="D8" s="37">
        <v>8</v>
      </c>
    </row>
    <row r="9" spans="1:58" ht="15.6" x14ac:dyDescent="0.3">
      <c r="A9" s="36" t="s">
        <v>242</v>
      </c>
      <c r="B9" s="38">
        <v>0.15</v>
      </c>
      <c r="C9" s="36" t="s">
        <v>261</v>
      </c>
      <c r="D9" s="60">
        <v>2.5</v>
      </c>
    </row>
    <row r="12" spans="1:58" s="3" customFormat="1" ht="28.8" x14ac:dyDescent="0.3">
      <c r="A12" s="4" t="s">
        <v>62</v>
      </c>
      <c r="B12" s="4" t="s">
        <v>236</v>
      </c>
      <c r="C12" s="4" t="s">
        <v>247</v>
      </c>
      <c r="D12" s="4" t="s">
        <v>248</v>
      </c>
      <c r="E12" s="7" t="s">
        <v>256</v>
      </c>
      <c r="F12" s="7" t="s">
        <v>257</v>
      </c>
      <c r="G12" s="4" t="s">
        <v>249</v>
      </c>
      <c r="H12" s="5"/>
    </row>
    <row r="13" spans="1:58" x14ac:dyDescent="0.3">
      <c r="A13" s="40" t="s">
        <v>197</v>
      </c>
      <c r="B13" s="5" t="s">
        <v>179</v>
      </c>
      <c r="C13" s="40" cm="1">
        <f t="array" ref="C13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1</v>
      </c>
      <c r="D13" s="40" cm="1">
        <f t="array" ref="D13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3</v>
      </c>
      <c r="E13" s="58" cm="1">
        <f t="array" ref="E13">SUMPRODUCT(
  (tbAlocacaoSprint[Colaborador]=tbAlocacaoSprint2[[#This Row],[Colaborador]]) *
  VALUE(LEFT(tbAlocacaoSprint[Pontos], FIND(" ", tbAlocacaoSprint[Pontos])-1)) *
  tbAlocacaoSprint[Percentual de participação]
)</f>
        <v>39</v>
      </c>
      <c r="F13" s="59">
        <f>tbAlocacaoSprint2[[#This Row],[Quantidade de Pontos Alocado]]*$D$9</f>
        <v>97.5</v>
      </c>
      <c r="G13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0.95588235294117652</v>
      </c>
      <c r="H13" s="1"/>
    </row>
    <row r="14" spans="1:58" x14ac:dyDescent="0.3">
      <c r="A14" s="40" t="s">
        <v>197</v>
      </c>
      <c r="B14" s="5" t="s">
        <v>180</v>
      </c>
      <c r="C14" s="40" cm="1">
        <f t="array" ref="C14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4" s="40" cm="1">
        <f t="array" ref="D14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10</v>
      </c>
      <c r="E14" s="58" cm="1">
        <f t="array" ref="E14">SUMPRODUCT(
  (tbAlocacaoSprint[Colaborador]=tbAlocacaoSprint2[[#This Row],[Colaborador]]) *
  VALUE(LEFT(tbAlocacaoSprint[Pontos], FIND(" ", tbAlocacaoSprint[Pontos])-1)) *
  tbAlocacaoSprint[Percentual de participação]
)</f>
        <v>130</v>
      </c>
      <c r="F14" s="59">
        <f>tbAlocacaoSprint2[[#This Row],[Quantidade de Pontos Alocado]]*$D$9</f>
        <v>325</v>
      </c>
      <c r="G14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3.1862745098039214</v>
      </c>
      <c r="H14" s="1"/>
    </row>
    <row r="15" spans="1:58" x14ac:dyDescent="0.3">
      <c r="A15" s="40" t="s">
        <v>197</v>
      </c>
      <c r="B15" s="5" t="s">
        <v>181</v>
      </c>
      <c r="C15" s="40" cm="1">
        <f t="array" ref="C15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5" s="40" cm="1">
        <f t="array" ref="D15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6</v>
      </c>
      <c r="E15" s="58" cm="1">
        <f t="array" ref="E15">SUMPRODUCT(
  (tbAlocacaoSprint[Colaborador]=tbAlocacaoSprint2[[#This Row],[Colaborador]]) *
  VALUE(LEFT(tbAlocacaoSprint[Pontos], FIND(" ", tbAlocacaoSprint[Pontos])-1)) *
  tbAlocacaoSprint[Percentual de participação]
)</f>
        <v>78</v>
      </c>
      <c r="F15" s="59">
        <f>tbAlocacaoSprint2[[#This Row],[Quantidade de Pontos Alocado]]*$D$9</f>
        <v>195</v>
      </c>
      <c r="G15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1.911764705882353</v>
      </c>
      <c r="H15" s="1"/>
    </row>
    <row r="16" spans="1:58" x14ac:dyDescent="0.3">
      <c r="A16" s="40" t="s">
        <v>197</v>
      </c>
      <c r="B16" s="5" t="s">
        <v>182</v>
      </c>
      <c r="C16" s="40" cm="1">
        <f t="array" ref="C16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3</v>
      </c>
      <c r="D16" s="40" cm="1">
        <f t="array" ref="D16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6</v>
      </c>
      <c r="E16" s="58" cm="1">
        <f t="array" ref="E16">SUMPRODUCT(
  (tbAlocacaoSprint[Colaborador]=tbAlocacaoSprint2[[#This Row],[Colaborador]]) *
  VALUE(LEFT(tbAlocacaoSprint[Pontos], FIND(" ", tbAlocacaoSprint[Pontos])-1)) *
  tbAlocacaoSprint[Percentual de participação]
)</f>
        <v>78</v>
      </c>
      <c r="F16" s="59">
        <f>tbAlocacaoSprint2[[#This Row],[Quantidade de Pontos Alocado]]*$D$9</f>
        <v>195</v>
      </c>
      <c r="G16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1.911764705882353</v>
      </c>
      <c r="H16" s="1"/>
    </row>
    <row r="17" spans="1:8" x14ac:dyDescent="0.3">
      <c r="A17" s="40" t="s">
        <v>197</v>
      </c>
      <c r="B17" s="5" t="s">
        <v>183</v>
      </c>
      <c r="C17" s="40" cm="1">
        <f t="array" ref="C17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7" s="40" cm="1">
        <f t="array" ref="D17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2</v>
      </c>
      <c r="E17" s="58" cm="1">
        <f t="array" ref="E17">SUMPRODUCT(
  (tbAlocacaoSprint[Colaborador]=tbAlocacaoSprint2[[#This Row],[Colaborador]]) *
  VALUE(LEFT(tbAlocacaoSprint[Pontos], FIND(" ", tbAlocacaoSprint[Pontos])-1)) *
  tbAlocacaoSprint[Percentual de participação]
)</f>
        <v>26</v>
      </c>
      <c r="F17" s="59">
        <f>tbAlocacaoSprint2[[#This Row],[Quantidade de Pontos Alocado]]*$D$9</f>
        <v>65</v>
      </c>
      <c r="G17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0.63725490196078427</v>
      </c>
      <c r="H17" s="1"/>
    </row>
    <row r="18" spans="1:8" x14ac:dyDescent="0.3">
      <c r="A18" s="40" t="s">
        <v>197</v>
      </c>
      <c r="B18" s="5" t="s">
        <v>185</v>
      </c>
      <c r="C18" s="40" cm="1">
        <f t="array" ref="C18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1</v>
      </c>
      <c r="D18" s="40" cm="1">
        <f t="array" ref="D18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3</v>
      </c>
      <c r="E18" s="58" cm="1">
        <f t="array" ref="E18">SUMPRODUCT(
  (tbAlocacaoSprint[Colaborador]=tbAlocacaoSprint2[[#This Row],[Colaborador]]) *
  VALUE(LEFT(tbAlocacaoSprint[Pontos], FIND(" ", tbAlocacaoSprint[Pontos])-1)) *
  tbAlocacaoSprint[Percentual de participação]
)</f>
        <v>39</v>
      </c>
      <c r="F18" s="59">
        <f>tbAlocacaoSprint2[[#This Row],[Quantidade de Pontos Alocado]]*$D$9</f>
        <v>97.5</v>
      </c>
      <c r="G18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1.2745098039215685</v>
      </c>
      <c r="H18" s="1"/>
    </row>
    <row r="19" spans="1:8" x14ac:dyDescent="0.3">
      <c r="A19" s="40" t="s">
        <v>197</v>
      </c>
      <c r="B19" s="5" t="s">
        <v>186</v>
      </c>
      <c r="C19" s="40" cm="1">
        <f t="array" ref="C19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3</v>
      </c>
      <c r="D19" s="40" cm="1">
        <f t="array" ref="D19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8</v>
      </c>
      <c r="E19" s="58" cm="1">
        <f t="array" ref="E19">SUMPRODUCT(
  (tbAlocacaoSprint[Colaborador]=tbAlocacaoSprint2[[#This Row],[Colaborador]]) *
  VALUE(LEFT(tbAlocacaoSprint[Pontos], FIND(" ", tbAlocacaoSprint[Pontos])-1)) *
  tbAlocacaoSprint[Percentual de participação]
)</f>
        <v>75</v>
      </c>
      <c r="F19" s="59">
        <f>tbAlocacaoSprint2[[#This Row],[Quantidade de Pontos Alocado]]*$D$9</f>
        <v>187.5</v>
      </c>
      <c r="G19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1.838235294117647</v>
      </c>
      <c r="H19" s="1"/>
    </row>
    <row r="20" spans="1:8" x14ac:dyDescent="0.3">
      <c r="A20" s="40" t="s">
        <v>197</v>
      </c>
      <c r="B20" s="5" t="s">
        <v>187</v>
      </c>
      <c r="C20" s="40" cm="1">
        <f t="array" ref="C20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1</v>
      </c>
      <c r="D20" s="40" cm="1">
        <f t="array" ref="D20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3</v>
      </c>
      <c r="E20" s="58" cm="1">
        <f t="array" ref="E20">SUMPRODUCT(
  (tbAlocacaoSprint[Colaborador]=tbAlocacaoSprint2[[#This Row],[Colaborador]]) *
  VALUE(LEFT(tbAlocacaoSprint[Pontos], FIND(" ", tbAlocacaoSprint[Pontos])-1)) *
  tbAlocacaoSprint[Percentual de participação]
)</f>
        <v>39</v>
      </c>
      <c r="F20" s="59">
        <f>tbAlocacaoSprint2[[#This Row],[Quantidade de Pontos Alocado]]*$D$9</f>
        <v>97.5</v>
      </c>
      <c r="G20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1.2745098039215685</v>
      </c>
      <c r="H20" s="1"/>
    </row>
    <row r="21" spans="1:8" x14ac:dyDescent="0.3">
      <c r="G21"/>
    </row>
    <row r="22" spans="1:8" x14ac:dyDescent="0.3">
      <c r="G22"/>
    </row>
    <row r="23" spans="1:8" x14ac:dyDescent="0.3">
      <c r="G23"/>
    </row>
    <row r="24" spans="1:8" x14ac:dyDescent="0.3">
      <c r="G24"/>
    </row>
    <row r="25" spans="1:8" x14ac:dyDescent="0.3">
      <c r="G25"/>
    </row>
    <row r="26" spans="1:8" x14ac:dyDescent="0.3">
      <c r="G26"/>
    </row>
  </sheetData>
  <mergeCells count="3">
    <mergeCell ref="A1:BF2"/>
    <mergeCell ref="A3:BE5"/>
    <mergeCell ref="A6:BF7"/>
  </mergeCells>
  <conditionalFormatting sqref="G13:G2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{50D8FA38-5751-4113-9D51-5D57B752424F}</x14:id>
        </ext>
      </extLst>
    </cfRule>
  </conditionalFormatting>
  <conditionalFormatting sqref="G13:G20">
    <cfRule type="iconSet" priority="1">
      <iconSet iconSet="3Symbols" reverse="1">
        <cfvo type="percent" val="0"/>
        <cfvo type="num" val="0.8"/>
        <cfvo type="num" val="0.9"/>
      </iconSet>
    </cfRule>
  </conditionalFormatting>
  <dataValidations count="3">
    <dataValidation type="decimal" allowBlank="1" showInputMessage="1" showErrorMessage="1" sqref="B9" xr:uid="{B81E27FD-BD7B-4A5C-8A3E-86B21A6843F8}">
      <formula1>0</formula1>
      <formula2>1</formula2>
    </dataValidation>
    <dataValidation type="whole" allowBlank="1" showInputMessage="1" showErrorMessage="1" sqref="B8 D8" xr:uid="{1A38E9B7-1752-40BD-AAB1-BF4517DEA868}">
      <formula1>0</formula1>
      <formula2>10</formula2>
    </dataValidation>
    <dataValidation type="list" allowBlank="1" showInputMessage="1" showErrorMessage="1" sqref="B13:B20" xr:uid="{20904AA5-F51F-4128-89E4-A7537DAA6A24}">
      <formula1>ListaEquipe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D8FA38-5751-4113-9D51-5D57B75242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G13:G20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832341-F413-42BB-9CF9-F67D2ACA3BC6}">
          <x14:formula1>
            <xm:f>'Calendário Comunidade 2025'!$A$3:$A$22</xm:f>
          </x14:formula1>
          <xm:sqref>A13:A20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76DAAAE2-FFC2-477C-A95B-63AA179FC1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Analytics!G13:G13</xm:f>
              <xm:sqref>G13</xm:sqref>
            </x14:sparkline>
            <x14:sparkline>
              <xm:f>Analytics!G14:G14</xm:f>
              <xm:sqref>G14</xm:sqref>
            </x14:sparkline>
            <x14:sparkline>
              <xm:f>Analytics!G15:G15</xm:f>
              <xm:sqref>G15</xm:sqref>
            </x14:sparkline>
            <x14:sparkline>
              <xm:f>Analytics!G16:G16</xm:f>
              <xm:sqref>G16</xm:sqref>
            </x14:sparkline>
            <x14:sparkline>
              <xm:f>Analytics!G17:G17</xm:f>
              <xm:sqref>G17</xm:sqref>
            </x14:sparkline>
            <x14:sparkline>
              <xm:f>Analytics!G18:G18</xm:f>
              <xm:sqref>G18</xm:sqref>
            </x14:sparkline>
            <x14:sparkline>
              <xm:f>Analytics!G19:G19</xm:f>
              <xm:sqref>G19</xm:sqref>
            </x14:sparkline>
            <x14:sparkline>
              <xm:f>Analytics!G20:G20</xm:f>
              <xm:sqref>G20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D5F40-DF69-41FA-BE00-9DD522151E00}">
  <sheetPr codeName="Planilha8"/>
  <dimension ref="A1:AE18"/>
  <sheetViews>
    <sheetView topLeftCell="S1" workbookViewId="0">
      <selection activeCell="Y16" sqref="Y16"/>
    </sheetView>
  </sheetViews>
  <sheetFormatPr defaultRowHeight="14.4" x14ac:dyDescent="0.3"/>
  <cols>
    <col min="1" max="1" width="20.109375" style="1" customWidth="1"/>
    <col min="2" max="2" width="11.77734375" style="1" customWidth="1"/>
    <col min="3" max="3" width="45.6640625" style="1" bestFit="1" customWidth="1"/>
    <col min="4" max="4" width="5.5546875" style="1" bestFit="1" customWidth="1"/>
    <col min="5" max="5" width="8.5546875" style="1" bestFit="1" customWidth="1"/>
    <col min="6" max="6" width="20.88671875" style="1" customWidth="1"/>
    <col min="7" max="7" width="16.88671875" style="1" customWidth="1"/>
    <col min="8" max="8" width="18.6640625" style="1" customWidth="1"/>
    <col min="9" max="9" width="22.6640625" style="1" customWidth="1"/>
    <col min="10" max="10" width="12.77734375" style="1" customWidth="1"/>
    <col min="11" max="11" width="16.88671875" style="1" bestFit="1" customWidth="1"/>
    <col min="12" max="12" width="28.44140625" style="1" bestFit="1" customWidth="1"/>
    <col min="13" max="13" width="12" style="1" bestFit="1" customWidth="1"/>
    <col min="14" max="14" width="13.77734375" style="1" bestFit="1" customWidth="1"/>
    <col min="15" max="15" width="5.77734375" style="1" bestFit="1" customWidth="1"/>
    <col min="16" max="16" width="31.6640625" style="1" bestFit="1" customWidth="1"/>
    <col min="17" max="17" width="14.33203125" style="1" bestFit="1" customWidth="1"/>
    <col min="18" max="18" width="24.33203125" style="1" bestFit="1" customWidth="1"/>
    <col min="20" max="21" width="20.6640625" style="1" customWidth="1"/>
    <col min="22" max="22" width="36.77734375" style="1" bestFit="1" customWidth="1"/>
    <col min="24" max="24" width="13.44140625" style="5" bestFit="1" customWidth="1"/>
    <col min="26" max="27" width="10.5546875" bestFit="1" customWidth="1"/>
    <col min="29" max="29" width="34" style="1" customWidth="1"/>
    <col min="30" max="30" width="17.77734375" style="1" customWidth="1"/>
  </cols>
  <sheetData>
    <row r="1" spans="1:31" x14ac:dyDescent="0.3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T1" s="43" t="s">
        <v>172</v>
      </c>
      <c r="U1" s="43"/>
      <c r="V1" s="43"/>
      <c r="X1" s="4" t="s">
        <v>177</v>
      </c>
      <c r="Y1" s="4" t="s">
        <v>200</v>
      </c>
      <c r="AA1" s="46" t="s">
        <v>193</v>
      </c>
      <c r="AB1" s="46"/>
      <c r="AC1"/>
      <c r="AD1" s="47" t="s">
        <v>199</v>
      </c>
      <c r="AE1" s="47"/>
    </row>
    <row r="2" spans="1:31" ht="43.2" x14ac:dyDescent="0.3">
      <c r="A2" s="1" t="s">
        <v>19</v>
      </c>
      <c r="B2" s="1" t="s">
        <v>21</v>
      </c>
      <c r="C2" s="1" t="s">
        <v>24</v>
      </c>
      <c r="F2" s="1" t="s">
        <v>32</v>
      </c>
      <c r="G2" s="1" t="s">
        <v>34</v>
      </c>
      <c r="H2" s="1" t="s">
        <v>36</v>
      </c>
      <c r="I2" s="1" t="s">
        <v>41</v>
      </c>
      <c r="J2" s="1" t="s">
        <v>43</v>
      </c>
      <c r="K2" s="1" t="s">
        <v>48</v>
      </c>
      <c r="Q2" s="1" t="s">
        <v>54</v>
      </c>
      <c r="T2" s="1" t="s">
        <v>91</v>
      </c>
      <c r="U2" s="1" t="s">
        <v>92</v>
      </c>
      <c r="V2" s="1" t="s">
        <v>173</v>
      </c>
      <c r="X2" s="5" t="s">
        <v>178</v>
      </c>
      <c r="Y2" s="5" t="s">
        <v>201</v>
      </c>
      <c r="AA2" s="1" t="s">
        <v>194</v>
      </c>
      <c r="AB2" s="1" t="s">
        <v>195</v>
      </c>
      <c r="AC2"/>
      <c r="AD2" s="7" t="s">
        <v>202</v>
      </c>
      <c r="AE2" s="7" t="s">
        <v>204</v>
      </c>
    </row>
    <row r="3" spans="1:31" ht="28.8" x14ac:dyDescent="0.3">
      <c r="A3" s="1" t="s">
        <v>20</v>
      </c>
      <c r="B3" s="1" t="s">
        <v>22</v>
      </c>
      <c r="C3" s="1" t="s">
        <v>25</v>
      </c>
      <c r="F3" s="1" t="s">
        <v>38</v>
      </c>
      <c r="G3" s="1" t="s">
        <v>35</v>
      </c>
      <c r="H3" s="1" t="s">
        <v>37</v>
      </c>
      <c r="I3" s="1" t="s">
        <v>42</v>
      </c>
      <c r="J3" s="1" t="s">
        <v>44</v>
      </c>
      <c r="K3" s="1" t="s">
        <v>49</v>
      </c>
      <c r="Q3" s="1" t="s">
        <v>55</v>
      </c>
      <c r="T3" s="7" t="s">
        <v>36</v>
      </c>
      <c r="U3" s="8" t="s">
        <v>96</v>
      </c>
      <c r="V3" s="1" t="str">
        <f>_xlfn.CONCAT(T3, " - ",U3)</f>
        <v>Discovery - Backlog de Ideias</v>
      </c>
      <c r="X3" s="5" t="s">
        <v>179</v>
      </c>
      <c r="Y3" s="5" t="s">
        <v>201</v>
      </c>
      <c r="AA3" s="12">
        <v>45907</v>
      </c>
      <c r="AB3" s="1" t="str">
        <f>CHOOSE(WEEKDAY(AA3,2),"Segunda","Terça","Quarta","Quinta","Sexta","Sábado","Domingo")</f>
        <v>Domingo</v>
      </c>
      <c r="AC3"/>
      <c r="AD3" s="8" t="s">
        <v>205</v>
      </c>
      <c r="AE3" s="8">
        <v>0.5</v>
      </c>
    </row>
    <row r="4" spans="1:31" ht="43.2" x14ac:dyDescent="0.3">
      <c r="B4" s="1" t="s">
        <v>23</v>
      </c>
      <c r="C4" s="1" t="s">
        <v>26</v>
      </c>
      <c r="F4" s="1" t="s">
        <v>39</v>
      </c>
      <c r="J4" s="1" t="s">
        <v>45</v>
      </c>
      <c r="K4" s="1" t="s">
        <v>50</v>
      </c>
      <c r="Q4" s="1" t="s">
        <v>44</v>
      </c>
      <c r="T4" s="7" t="s">
        <v>36</v>
      </c>
      <c r="U4" s="8" t="s">
        <v>100</v>
      </c>
      <c r="V4" s="1" t="str">
        <f t="shared" ref="V4:V15" si="0">_xlfn.CONCAT(T4, " - ",U4)</f>
        <v>Discovery - Pesquisa &amp; Benchmark</v>
      </c>
      <c r="X4" s="5" t="s">
        <v>180</v>
      </c>
      <c r="Y4" s="5" t="s">
        <v>201</v>
      </c>
      <c r="AA4" s="12">
        <v>45942</v>
      </c>
      <c r="AB4" s="1" t="str">
        <f>CHOOSE(WEEKDAY(AA4,2),"Segunda","Terça","Quarta","Quinta","Sexta","Sábado","Domingo")</f>
        <v>Domingo</v>
      </c>
      <c r="AC4"/>
      <c r="AD4" s="8" t="s">
        <v>206</v>
      </c>
      <c r="AE4" s="8">
        <v>1</v>
      </c>
    </row>
    <row r="5" spans="1:31" x14ac:dyDescent="0.3">
      <c r="C5" s="1" t="s">
        <v>27</v>
      </c>
      <c r="F5" s="1" t="s">
        <v>33</v>
      </c>
      <c r="J5" s="1" t="s">
        <v>46</v>
      </c>
      <c r="K5" s="1" t="s">
        <v>51</v>
      </c>
      <c r="Q5" s="1" t="s">
        <v>56</v>
      </c>
      <c r="T5" s="7" t="s">
        <v>36</v>
      </c>
      <c r="U5" s="8" t="s">
        <v>104</v>
      </c>
      <c r="V5" s="1" t="str">
        <f t="shared" si="0"/>
        <v>Discovery - Wireframes &amp; Fluxos</v>
      </c>
      <c r="X5" s="5" t="s">
        <v>181</v>
      </c>
      <c r="Y5" s="5" t="s">
        <v>201</v>
      </c>
      <c r="AA5" s="12">
        <v>45963</v>
      </c>
      <c r="AB5" s="1" t="str">
        <f>CHOOSE(WEEKDAY(AA5,2),"Segunda","Terça","Quarta","Quinta","Sexta","Sábado","Domingo")</f>
        <v>Domingo</v>
      </c>
      <c r="AC5"/>
      <c r="AD5" s="8" t="s">
        <v>203</v>
      </c>
      <c r="AE5" s="8">
        <v>2</v>
      </c>
    </row>
    <row r="6" spans="1:31" x14ac:dyDescent="0.3">
      <c r="C6" s="1" t="s">
        <v>28</v>
      </c>
      <c r="F6" s="1" t="s">
        <v>40</v>
      </c>
      <c r="K6" s="1" t="s">
        <v>52</v>
      </c>
      <c r="Q6" s="1" t="s">
        <v>57</v>
      </c>
      <c r="T6" s="7" t="s">
        <v>36</v>
      </c>
      <c r="U6" s="8" t="s">
        <v>108</v>
      </c>
      <c r="V6" s="1" t="str">
        <f t="shared" si="0"/>
        <v>Discovery - Protótipos &amp; Testes</v>
      </c>
      <c r="X6" s="5" t="s">
        <v>182</v>
      </c>
      <c r="Y6" s="5" t="s">
        <v>201</v>
      </c>
      <c r="AA6" s="12">
        <v>45976</v>
      </c>
      <c r="AB6" s="1" t="str">
        <f>CHOOSE(WEEKDAY(AA6,2),"Segunda","Terça","Quarta","Quinta","Sexta","Sábado","Domingo")</f>
        <v>Sábado</v>
      </c>
      <c r="AC6"/>
      <c r="AD6" s="8" t="s">
        <v>207</v>
      </c>
      <c r="AE6" s="8">
        <v>4</v>
      </c>
    </row>
    <row r="7" spans="1:31" ht="28.8" x14ac:dyDescent="0.3">
      <c r="C7" s="1" t="s">
        <v>29</v>
      </c>
      <c r="K7" s="1" t="s">
        <v>53</v>
      </c>
      <c r="T7" s="7" t="s">
        <v>36</v>
      </c>
      <c r="U7" s="8" t="s">
        <v>112</v>
      </c>
      <c r="V7" s="1" t="str">
        <f t="shared" si="0"/>
        <v>Discovery - Validação Técnica</v>
      </c>
      <c r="X7" s="5" t="s">
        <v>183</v>
      </c>
      <c r="Y7" s="5" t="s">
        <v>201</v>
      </c>
      <c r="AC7"/>
      <c r="AD7" s="8" t="s">
        <v>208</v>
      </c>
      <c r="AE7" s="8">
        <v>6</v>
      </c>
    </row>
    <row r="8" spans="1:31" ht="28.8" x14ac:dyDescent="0.3">
      <c r="C8" s="1" t="s">
        <v>30</v>
      </c>
      <c r="T8" s="7" t="s">
        <v>36</v>
      </c>
      <c r="U8" s="8" t="s">
        <v>116</v>
      </c>
      <c r="V8" s="1" t="str">
        <f t="shared" si="0"/>
        <v>Discovery - Aprovação &amp; Priorização</v>
      </c>
      <c r="X8" s="5" t="s">
        <v>185</v>
      </c>
      <c r="Y8" s="5" t="s">
        <v>240</v>
      </c>
      <c r="AC8"/>
      <c r="AD8" s="8" t="s">
        <v>209</v>
      </c>
      <c r="AE8" s="8">
        <v>8</v>
      </c>
    </row>
    <row r="9" spans="1:31" x14ac:dyDescent="0.3">
      <c r="C9" s="1" t="s">
        <v>31</v>
      </c>
      <c r="T9" s="7" t="s">
        <v>36</v>
      </c>
      <c r="U9" s="8" t="s">
        <v>52</v>
      </c>
      <c r="V9" s="1" t="str">
        <f>_xlfn.CONCAT(T9, " - ",U9)</f>
        <v>Discovery - Com impedimentos</v>
      </c>
      <c r="X9" s="5" t="s">
        <v>186</v>
      </c>
      <c r="Y9" s="5" t="s">
        <v>201</v>
      </c>
      <c r="AC9"/>
      <c r="AE9" s="1"/>
    </row>
    <row r="10" spans="1:31" x14ac:dyDescent="0.3">
      <c r="C10" s="1" t="s">
        <v>47</v>
      </c>
      <c r="T10" s="7" t="s">
        <v>36</v>
      </c>
      <c r="U10" s="8" t="s">
        <v>53</v>
      </c>
      <c r="V10" s="1" t="str">
        <f>_xlfn.CONCAT(T10, " - ",U10)</f>
        <v>Discovery - Cancelado</v>
      </c>
      <c r="X10" s="5" t="s">
        <v>187</v>
      </c>
      <c r="Y10" s="5" t="s">
        <v>240</v>
      </c>
      <c r="AC10"/>
      <c r="AE10" s="1"/>
    </row>
    <row r="11" spans="1:31" ht="28.8" x14ac:dyDescent="0.3">
      <c r="C11" s="1" t="s">
        <v>196</v>
      </c>
      <c r="T11" s="7" t="s">
        <v>37</v>
      </c>
      <c r="U11" s="8" t="s">
        <v>120</v>
      </c>
      <c r="V11" s="1" t="str">
        <f t="shared" si="0"/>
        <v>Delivery - Backlog de Desenvolvimento</v>
      </c>
      <c r="X11" s="5" t="s">
        <v>191</v>
      </c>
      <c r="Y11" s="5" t="s">
        <v>201</v>
      </c>
      <c r="AC11"/>
      <c r="AE11" s="1"/>
    </row>
    <row r="12" spans="1:31" ht="28.8" x14ac:dyDescent="0.3">
      <c r="C12" s="1" t="s">
        <v>244</v>
      </c>
      <c r="T12" s="7" t="s">
        <v>37</v>
      </c>
      <c r="U12" s="8" t="s">
        <v>124</v>
      </c>
      <c r="V12" s="1" t="str">
        <f t="shared" si="0"/>
        <v>Delivery - Desenvolvimento em Andamento</v>
      </c>
      <c r="X12" s="5" t="s">
        <v>192</v>
      </c>
      <c r="Y12" s="5"/>
      <c r="AC12"/>
      <c r="AE12" s="1"/>
    </row>
    <row r="13" spans="1:31" x14ac:dyDescent="0.3">
      <c r="T13" s="7" t="s">
        <v>37</v>
      </c>
      <c r="U13" s="8" t="s">
        <v>128</v>
      </c>
      <c r="V13" s="1" t="str">
        <f t="shared" si="0"/>
        <v>Delivery - Homologação &amp; Ajustes</v>
      </c>
      <c r="X13" s="5" t="s">
        <v>188</v>
      </c>
      <c r="Y13" s="5"/>
      <c r="AC13"/>
      <c r="AE13" s="1"/>
    </row>
    <row r="14" spans="1:31" x14ac:dyDescent="0.3">
      <c r="T14" s="7" t="s">
        <v>37</v>
      </c>
      <c r="U14" s="8" t="s">
        <v>132</v>
      </c>
      <c r="V14" s="1" t="str">
        <f t="shared" si="0"/>
        <v>Delivery - Pronto para Deploy</v>
      </c>
      <c r="X14" s="5" t="s">
        <v>189</v>
      </c>
      <c r="Y14" s="5"/>
      <c r="AC14"/>
      <c r="AE14" s="1"/>
    </row>
    <row r="15" spans="1:31" ht="28.8" x14ac:dyDescent="0.3">
      <c r="T15" s="7" t="s">
        <v>37</v>
      </c>
      <c r="U15" s="8" t="s">
        <v>136</v>
      </c>
      <c r="V15" s="1" t="str">
        <f t="shared" si="0"/>
        <v>Delivery - Deploy &amp; Monitoramento</v>
      </c>
      <c r="X15" s="5" t="s">
        <v>190</v>
      </c>
      <c r="Y15" s="5"/>
      <c r="AC15"/>
      <c r="AE15" s="1"/>
    </row>
    <row r="16" spans="1:31" x14ac:dyDescent="0.3">
      <c r="T16" s="7" t="s">
        <v>37</v>
      </c>
      <c r="U16" s="8" t="s">
        <v>176</v>
      </c>
      <c r="V16" s="1" t="str">
        <f>_xlfn.CONCAT(T16, " - ",U16)</f>
        <v>Delivery - Entrega</v>
      </c>
    </row>
    <row r="17" spans="20:22" x14ac:dyDescent="0.3">
      <c r="T17" s="7" t="s">
        <v>37</v>
      </c>
      <c r="U17" s="8" t="s">
        <v>52</v>
      </c>
      <c r="V17" s="1" t="str">
        <f>_xlfn.CONCAT(T17, " - ",U17)</f>
        <v>Delivery - Com impedimentos</v>
      </c>
    </row>
    <row r="18" spans="20:22" x14ac:dyDescent="0.3">
      <c r="T18" s="7" t="s">
        <v>37</v>
      </c>
      <c r="U18" s="8" t="s">
        <v>53</v>
      </c>
      <c r="V18" s="1" t="str">
        <f>_xlfn.CONCAT(T18, " - ",U18)</f>
        <v>Delivery - Cancelado</v>
      </c>
    </row>
  </sheetData>
  <mergeCells count="3">
    <mergeCell ref="T1:V1"/>
    <mergeCell ref="AA1:AB1"/>
    <mergeCell ref="AD1:AE1"/>
  </mergeCells>
  <dataValidations count="1">
    <dataValidation type="list" allowBlank="1" showInputMessage="1" showErrorMessage="1" sqref="Y2:Y15" xr:uid="{5EC56731-473C-4DF1-A3D2-9CA71323D018}">
      <formula1>"Estagiário,Analista"</formula1>
    </dataValidation>
  </dataValidations>
  <pageMargins left="0.511811024" right="0.511811024" top="0.78740157499999996" bottom="0.78740157499999996" header="0.31496062000000002" footer="0.31496062000000002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8A46-C12E-45D9-9646-BD95E314D266}">
  <sheetPr codeName="Planilha11"/>
  <dimension ref="A1:D4"/>
  <sheetViews>
    <sheetView workbookViewId="0"/>
  </sheetViews>
  <sheetFormatPr defaultRowHeight="14.4" x14ac:dyDescent="0.3"/>
  <cols>
    <col min="1" max="4" width="50.77734375" style="1" customWidth="1"/>
  </cols>
  <sheetData>
    <row r="1" spans="1:4" x14ac:dyDescent="0.3">
      <c r="A1" s="11" t="s">
        <v>75</v>
      </c>
      <c r="B1" s="11" t="s">
        <v>76</v>
      </c>
      <c r="C1" s="11" t="s">
        <v>77</v>
      </c>
      <c r="D1" s="11" t="s">
        <v>78</v>
      </c>
    </row>
    <row r="2" spans="1:4" ht="43.2" x14ac:dyDescent="0.3">
      <c r="A2" s="7" t="s">
        <v>79</v>
      </c>
      <c r="B2" s="8" t="s">
        <v>80</v>
      </c>
      <c r="C2" s="7" t="s">
        <v>81</v>
      </c>
      <c r="D2" s="8" t="s">
        <v>82</v>
      </c>
    </row>
    <row r="3" spans="1:4" ht="43.2" x14ac:dyDescent="0.3">
      <c r="A3" s="7" t="s">
        <v>83</v>
      </c>
      <c r="B3" s="8" t="s">
        <v>84</v>
      </c>
      <c r="C3" s="7" t="s">
        <v>85</v>
      </c>
      <c r="D3" s="8" t="s">
        <v>86</v>
      </c>
    </row>
    <row r="4" spans="1:4" ht="43.2" x14ac:dyDescent="0.3">
      <c r="A4" s="7" t="s">
        <v>87</v>
      </c>
      <c r="B4" s="8" t="s">
        <v>88</v>
      </c>
      <c r="C4" s="7" t="s">
        <v>89</v>
      </c>
      <c r="D4" s="8" t="s">
        <v>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86860-FD36-4EB1-BB5C-998BE78FB58F}">
  <sheetPr codeName="Planilha12"/>
  <dimension ref="A1:G8"/>
  <sheetViews>
    <sheetView workbookViewId="0">
      <selection sqref="A1:G8"/>
    </sheetView>
  </sheetViews>
  <sheetFormatPr defaultRowHeight="14.4" x14ac:dyDescent="0.3"/>
  <cols>
    <col min="1" max="1" width="21.5546875" style="5" customWidth="1"/>
    <col min="2" max="2" width="26.77734375" style="5" customWidth="1"/>
    <col min="3" max="5" width="15" style="5" customWidth="1"/>
    <col min="6" max="6" width="34.6640625" style="5" customWidth="1"/>
    <col min="7" max="7" width="74.88671875" style="5" customWidth="1"/>
  </cols>
  <sheetData>
    <row r="1" spans="1:7" x14ac:dyDescent="0.3">
      <c r="A1" s="11" t="s">
        <v>140</v>
      </c>
      <c r="B1" s="11" t="s">
        <v>141</v>
      </c>
      <c r="C1" s="11" t="s">
        <v>258</v>
      </c>
      <c r="D1" s="11" t="s">
        <v>259</v>
      </c>
      <c r="E1" s="11" t="s">
        <v>22</v>
      </c>
      <c r="F1" s="11" t="s">
        <v>142</v>
      </c>
      <c r="G1" s="11" t="s">
        <v>143</v>
      </c>
    </row>
    <row r="2" spans="1:7" ht="28.8" x14ac:dyDescent="0.3">
      <c r="A2" s="7" t="s">
        <v>144</v>
      </c>
      <c r="B2" s="8" t="s">
        <v>145</v>
      </c>
      <c r="C2" s="8">
        <v>1</v>
      </c>
      <c r="D2" s="8">
        <v>2</v>
      </c>
      <c r="E2" s="8">
        <v>1.5</v>
      </c>
      <c r="F2" s="8" t="s">
        <v>146</v>
      </c>
      <c r="G2" s="9" t="s">
        <v>147</v>
      </c>
    </row>
    <row r="3" spans="1:7" ht="28.8" x14ac:dyDescent="0.3">
      <c r="A3" s="7" t="s">
        <v>148</v>
      </c>
      <c r="B3" s="8" t="s">
        <v>149</v>
      </c>
      <c r="C3" s="8">
        <v>2</v>
      </c>
      <c r="D3" s="8">
        <v>4</v>
      </c>
      <c r="E3" s="8">
        <v>3</v>
      </c>
      <c r="F3" s="8" t="s">
        <v>150</v>
      </c>
      <c r="G3" s="9" t="s">
        <v>151</v>
      </c>
    </row>
    <row r="4" spans="1:7" ht="43.2" x14ac:dyDescent="0.3">
      <c r="A4" s="7" t="s">
        <v>152</v>
      </c>
      <c r="B4" s="8" t="s">
        <v>153</v>
      </c>
      <c r="C4" s="8">
        <v>4</v>
      </c>
      <c r="D4" s="8">
        <v>8</v>
      </c>
      <c r="E4" s="8">
        <v>6</v>
      </c>
      <c r="F4" s="8" t="s">
        <v>154</v>
      </c>
      <c r="G4" s="9" t="s">
        <v>155</v>
      </c>
    </row>
    <row r="5" spans="1:7" ht="28.8" x14ac:dyDescent="0.3">
      <c r="A5" s="7" t="s">
        <v>156</v>
      </c>
      <c r="B5" s="8" t="s">
        <v>157</v>
      </c>
      <c r="C5" s="8">
        <v>8</v>
      </c>
      <c r="D5" s="8">
        <v>16</v>
      </c>
      <c r="E5" s="8">
        <v>12</v>
      </c>
      <c r="F5" s="8" t="s">
        <v>158</v>
      </c>
      <c r="G5" s="9" t="s">
        <v>159</v>
      </c>
    </row>
    <row r="6" spans="1:7" ht="43.2" x14ac:dyDescent="0.3">
      <c r="A6" s="7" t="s">
        <v>160</v>
      </c>
      <c r="B6" s="8" t="s">
        <v>161</v>
      </c>
      <c r="C6" s="8">
        <v>16</v>
      </c>
      <c r="D6" s="8">
        <v>24</v>
      </c>
      <c r="E6" s="8">
        <v>20</v>
      </c>
      <c r="F6" s="8" t="s">
        <v>162</v>
      </c>
      <c r="G6" s="9" t="s">
        <v>163</v>
      </c>
    </row>
    <row r="7" spans="1:7" ht="43.2" x14ac:dyDescent="0.3">
      <c r="A7" s="7" t="s">
        <v>164</v>
      </c>
      <c r="B7" s="8" t="s">
        <v>165</v>
      </c>
      <c r="C7" s="8">
        <v>24</v>
      </c>
      <c r="D7" s="8">
        <v>40</v>
      </c>
      <c r="E7" s="8">
        <v>32</v>
      </c>
      <c r="F7" s="8" t="s">
        <v>166</v>
      </c>
      <c r="G7" s="9" t="s">
        <v>167</v>
      </c>
    </row>
    <row r="8" spans="1:7" ht="57.6" x14ac:dyDescent="0.3">
      <c r="A8" s="7" t="s">
        <v>168</v>
      </c>
      <c r="B8" s="8" t="s">
        <v>169</v>
      </c>
      <c r="C8" s="8">
        <v>40</v>
      </c>
      <c r="D8" s="8" t="s">
        <v>260</v>
      </c>
      <c r="E8" s="8">
        <v>48</v>
      </c>
      <c r="F8" s="8" t="s">
        <v>170</v>
      </c>
      <c r="G8" s="9" t="s">
        <v>171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032E-6C86-450D-A345-7C88CD0B7F2F}">
  <sheetPr codeName="Planilha13"/>
  <dimension ref="A1:E13"/>
  <sheetViews>
    <sheetView workbookViewId="0">
      <selection activeCell="C13" sqref="C13"/>
    </sheetView>
  </sheetViews>
  <sheetFormatPr defaultRowHeight="14.4" x14ac:dyDescent="0.3"/>
  <cols>
    <col min="1" max="5" width="33.44140625" style="5" customWidth="1"/>
  </cols>
  <sheetData>
    <row r="1" spans="1:5" x14ac:dyDescent="0.3">
      <c r="A1" s="11" t="s">
        <v>91</v>
      </c>
      <c r="B1" s="11" t="s">
        <v>92</v>
      </c>
      <c r="C1" s="11" t="s">
        <v>93</v>
      </c>
      <c r="D1" s="11" t="s">
        <v>94</v>
      </c>
      <c r="E1" s="11" t="s">
        <v>95</v>
      </c>
    </row>
    <row r="2" spans="1:5" ht="28.8" x14ac:dyDescent="0.3">
      <c r="A2" s="7" t="s">
        <v>36</v>
      </c>
      <c r="B2" s="8" t="s">
        <v>96</v>
      </c>
      <c r="C2" s="8" t="s">
        <v>97</v>
      </c>
      <c r="D2" s="8" t="s">
        <v>98</v>
      </c>
      <c r="E2" s="8" t="s">
        <v>99</v>
      </c>
    </row>
    <row r="3" spans="1:5" ht="28.8" x14ac:dyDescent="0.3">
      <c r="A3" s="7" t="s">
        <v>36</v>
      </c>
      <c r="B3" s="8" t="s">
        <v>100</v>
      </c>
      <c r="C3" s="8" t="s">
        <v>101</v>
      </c>
      <c r="D3" s="8" t="s">
        <v>102</v>
      </c>
      <c r="E3" s="8" t="s">
        <v>103</v>
      </c>
    </row>
    <row r="4" spans="1:5" ht="28.8" x14ac:dyDescent="0.3">
      <c r="A4" s="7" t="s">
        <v>36</v>
      </c>
      <c r="B4" s="8" t="s">
        <v>104</v>
      </c>
      <c r="C4" s="8" t="s">
        <v>105</v>
      </c>
      <c r="D4" s="8" t="s">
        <v>106</v>
      </c>
      <c r="E4" s="8" t="s">
        <v>107</v>
      </c>
    </row>
    <row r="5" spans="1:5" ht="28.8" x14ac:dyDescent="0.3">
      <c r="A5" s="7" t="s">
        <v>36</v>
      </c>
      <c r="B5" s="8" t="s">
        <v>108</v>
      </c>
      <c r="C5" s="8" t="s">
        <v>109</v>
      </c>
      <c r="D5" s="8" t="s">
        <v>110</v>
      </c>
      <c r="E5" s="8" t="s">
        <v>111</v>
      </c>
    </row>
    <row r="6" spans="1:5" ht="28.8" x14ac:dyDescent="0.3">
      <c r="A6" s="7" t="s">
        <v>36</v>
      </c>
      <c r="B6" s="8" t="s">
        <v>112</v>
      </c>
      <c r="C6" s="8" t="s">
        <v>113</v>
      </c>
      <c r="D6" s="8" t="s">
        <v>114</v>
      </c>
      <c r="E6" s="8" t="s">
        <v>115</v>
      </c>
    </row>
    <row r="7" spans="1:5" ht="28.8" x14ac:dyDescent="0.3">
      <c r="A7" s="7" t="s">
        <v>36</v>
      </c>
      <c r="B7" s="8" t="s">
        <v>116</v>
      </c>
      <c r="C7" s="8" t="s">
        <v>117</v>
      </c>
      <c r="D7" s="8" t="s">
        <v>118</v>
      </c>
      <c r="E7" s="8" t="s">
        <v>119</v>
      </c>
    </row>
    <row r="8" spans="1:5" ht="28.8" x14ac:dyDescent="0.3">
      <c r="A8" s="7" t="s">
        <v>37</v>
      </c>
      <c r="B8" s="8" t="s">
        <v>120</v>
      </c>
      <c r="C8" s="8" t="s">
        <v>121</v>
      </c>
      <c r="D8" s="8" t="s">
        <v>122</v>
      </c>
      <c r="E8" s="8" t="s">
        <v>123</v>
      </c>
    </row>
    <row r="9" spans="1:5" ht="28.8" x14ac:dyDescent="0.3">
      <c r="A9" s="7" t="s">
        <v>37</v>
      </c>
      <c r="B9" s="8" t="s">
        <v>124</v>
      </c>
      <c r="C9" s="8" t="s">
        <v>125</v>
      </c>
      <c r="D9" s="8" t="s">
        <v>126</v>
      </c>
      <c r="E9" s="8" t="s">
        <v>127</v>
      </c>
    </row>
    <row r="10" spans="1:5" ht="28.8" x14ac:dyDescent="0.3">
      <c r="A10" s="7" t="s">
        <v>37</v>
      </c>
      <c r="B10" s="8" t="s">
        <v>128</v>
      </c>
      <c r="C10" s="8" t="s">
        <v>129</v>
      </c>
      <c r="D10" s="8" t="s">
        <v>130</v>
      </c>
      <c r="E10" s="8" t="s">
        <v>131</v>
      </c>
    </row>
    <row r="11" spans="1:5" ht="28.8" x14ac:dyDescent="0.3">
      <c r="A11" s="7" t="s">
        <v>37</v>
      </c>
      <c r="B11" s="8" t="s">
        <v>132</v>
      </c>
      <c r="C11" s="8" t="s">
        <v>133</v>
      </c>
      <c r="D11" s="8" t="s">
        <v>134</v>
      </c>
      <c r="E11" s="8" t="s">
        <v>135</v>
      </c>
    </row>
    <row r="12" spans="1:5" ht="28.8" x14ac:dyDescent="0.3">
      <c r="A12" s="7" t="s">
        <v>37</v>
      </c>
      <c r="B12" s="8" t="s">
        <v>136</v>
      </c>
      <c r="C12" s="8" t="s">
        <v>137</v>
      </c>
      <c r="D12" s="8" t="s">
        <v>138</v>
      </c>
      <c r="E12" s="8" t="s">
        <v>139</v>
      </c>
    </row>
    <row r="13" spans="1:5" ht="28.8" x14ac:dyDescent="0.3">
      <c r="A13" s="5" t="s">
        <v>37</v>
      </c>
      <c r="B13" s="5" t="s">
        <v>51</v>
      </c>
      <c r="C13" s="8" t="s">
        <v>174</v>
      </c>
      <c r="D13" s="5" t="s">
        <v>175</v>
      </c>
      <c r="E13" s="5" t="s">
        <v>175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BC4AC-C119-4154-A114-EBD4BC998E58}">
  <sheetPr codeName="Planilha14"/>
  <dimension ref="A1:E22"/>
  <sheetViews>
    <sheetView workbookViewId="0">
      <selection activeCell="E9" sqref="E9"/>
    </sheetView>
  </sheetViews>
  <sheetFormatPr defaultRowHeight="14.4" x14ac:dyDescent="0.3"/>
  <cols>
    <col min="1" max="1" width="10.21875" style="1" customWidth="1"/>
    <col min="2" max="5" width="41.33203125" style="1" customWidth="1"/>
  </cols>
  <sheetData>
    <row r="1" spans="1:5" ht="18" x14ac:dyDescent="0.35">
      <c r="A1" s="48" t="s">
        <v>60</v>
      </c>
      <c r="B1" s="48"/>
      <c r="C1" s="48"/>
      <c r="D1" s="48"/>
      <c r="E1" s="48"/>
    </row>
    <row r="2" spans="1:5" x14ac:dyDescent="0.3">
      <c r="A2" s="6" t="s">
        <v>73</v>
      </c>
      <c r="B2" s="6" t="s">
        <v>61</v>
      </c>
      <c r="C2" s="6" t="s">
        <v>62</v>
      </c>
      <c r="D2" s="6" t="s">
        <v>58</v>
      </c>
      <c r="E2" s="6" t="s">
        <v>59</v>
      </c>
    </row>
    <row r="3" spans="1:5" x14ac:dyDescent="0.3">
      <c r="A3" s="1" t="str">
        <f>_xlfn.CONCAT(B3," ",C3," ", "2025")</f>
        <v>R1 S0 2025</v>
      </c>
      <c r="B3" s="1" t="s">
        <v>63</v>
      </c>
      <c r="C3" s="1" t="s">
        <v>64</v>
      </c>
      <c r="D3" s="10">
        <v>45658</v>
      </c>
      <c r="E3" s="10">
        <v>45660</v>
      </c>
    </row>
    <row r="4" spans="1:5" x14ac:dyDescent="0.3">
      <c r="A4" s="1" t="str">
        <f t="shared" ref="A4:A22" si="0">_xlfn.CONCAT(B4," ",C4," ", "2025")</f>
        <v>R1 S1 2025</v>
      </c>
      <c r="B4" s="1" t="s">
        <v>63</v>
      </c>
      <c r="C4" s="1" t="s">
        <v>65</v>
      </c>
      <c r="D4" s="10">
        <v>45663</v>
      </c>
      <c r="E4" s="10">
        <v>45681</v>
      </c>
    </row>
    <row r="5" spans="1:5" x14ac:dyDescent="0.3">
      <c r="A5" s="1" t="str">
        <f t="shared" si="0"/>
        <v>R1 S2 2025</v>
      </c>
      <c r="B5" s="1" t="s">
        <v>63</v>
      </c>
      <c r="C5" s="1" t="s">
        <v>66</v>
      </c>
      <c r="D5" s="10">
        <v>45684</v>
      </c>
      <c r="E5" s="10">
        <v>45702</v>
      </c>
    </row>
    <row r="6" spans="1:5" x14ac:dyDescent="0.3">
      <c r="A6" s="1" t="str">
        <f t="shared" si="0"/>
        <v>R1 S3 2025</v>
      </c>
      <c r="B6" s="1" t="s">
        <v>63</v>
      </c>
      <c r="C6" s="1" t="s">
        <v>67</v>
      </c>
      <c r="D6" s="10">
        <v>45705</v>
      </c>
      <c r="E6" s="10">
        <v>45723</v>
      </c>
    </row>
    <row r="7" spans="1:5" x14ac:dyDescent="0.3">
      <c r="A7" s="1" t="str">
        <f t="shared" si="0"/>
        <v>R1 S4 2025</v>
      </c>
      <c r="B7" s="1" t="s">
        <v>63</v>
      </c>
      <c r="C7" s="1" t="s">
        <v>68</v>
      </c>
      <c r="D7" s="10">
        <v>45726</v>
      </c>
      <c r="E7" s="10">
        <v>45744</v>
      </c>
    </row>
    <row r="8" spans="1:5" x14ac:dyDescent="0.3">
      <c r="A8" s="1" t="str">
        <f t="shared" si="0"/>
        <v>R2 S0 2025</v>
      </c>
      <c r="B8" s="1" t="s">
        <v>69</v>
      </c>
      <c r="C8" s="1" t="s">
        <v>64</v>
      </c>
      <c r="D8" s="10" t="s">
        <v>70</v>
      </c>
      <c r="E8" s="10">
        <v>45751</v>
      </c>
    </row>
    <row r="9" spans="1:5" x14ac:dyDescent="0.3">
      <c r="A9" s="1" t="str">
        <f t="shared" si="0"/>
        <v>R2 S1 2025</v>
      </c>
      <c r="B9" s="1" t="s">
        <v>69</v>
      </c>
      <c r="C9" s="1" t="s">
        <v>65</v>
      </c>
      <c r="D9" s="10">
        <v>45754</v>
      </c>
      <c r="E9" s="10">
        <v>45772</v>
      </c>
    </row>
    <row r="10" spans="1:5" x14ac:dyDescent="0.3">
      <c r="A10" s="1" t="str">
        <f t="shared" si="0"/>
        <v>R2 S2 2025</v>
      </c>
      <c r="B10" s="1" t="s">
        <v>69</v>
      </c>
      <c r="C10" s="1" t="s">
        <v>66</v>
      </c>
      <c r="D10" s="10">
        <v>45775</v>
      </c>
      <c r="E10" s="10">
        <v>45793</v>
      </c>
    </row>
    <row r="11" spans="1:5" x14ac:dyDescent="0.3">
      <c r="A11" s="1" t="str">
        <f t="shared" si="0"/>
        <v>R2 S3 2025</v>
      </c>
      <c r="B11" s="1" t="s">
        <v>69</v>
      </c>
      <c r="C11" s="1" t="s">
        <v>67</v>
      </c>
      <c r="D11" s="10">
        <v>45796</v>
      </c>
      <c r="E11" s="10">
        <v>45814</v>
      </c>
    </row>
    <row r="12" spans="1:5" x14ac:dyDescent="0.3">
      <c r="A12" s="1" t="str">
        <f t="shared" si="0"/>
        <v>R2 S4 2025</v>
      </c>
      <c r="B12" s="1" t="s">
        <v>69</v>
      </c>
      <c r="C12" s="1" t="s">
        <v>68</v>
      </c>
      <c r="D12" s="10">
        <v>45817</v>
      </c>
      <c r="E12" s="10">
        <v>45835</v>
      </c>
    </row>
    <row r="13" spans="1:5" x14ac:dyDescent="0.3">
      <c r="A13" s="1" t="str">
        <f t="shared" si="0"/>
        <v>R3 S0 2025</v>
      </c>
      <c r="B13" s="1" t="s">
        <v>71</v>
      </c>
      <c r="C13" s="1" t="s">
        <v>64</v>
      </c>
      <c r="D13" s="10">
        <v>45838</v>
      </c>
      <c r="E13" s="10">
        <v>45842</v>
      </c>
    </row>
    <row r="14" spans="1:5" x14ac:dyDescent="0.3">
      <c r="A14" s="1" t="str">
        <f t="shared" si="0"/>
        <v>R3 S1 2025</v>
      </c>
      <c r="B14" s="1" t="s">
        <v>71</v>
      </c>
      <c r="C14" s="1" t="s">
        <v>65</v>
      </c>
      <c r="D14" s="10">
        <v>45845</v>
      </c>
      <c r="E14" s="10">
        <v>45863</v>
      </c>
    </row>
    <row r="15" spans="1:5" x14ac:dyDescent="0.3">
      <c r="A15" s="1" t="str">
        <f t="shared" si="0"/>
        <v>R3 S2 2025</v>
      </c>
      <c r="B15" s="1" t="s">
        <v>71</v>
      </c>
      <c r="C15" s="1" t="s">
        <v>66</v>
      </c>
      <c r="D15" s="10">
        <v>45866</v>
      </c>
      <c r="E15" s="10">
        <v>45884</v>
      </c>
    </row>
    <row r="16" spans="1:5" x14ac:dyDescent="0.3">
      <c r="A16" s="1" t="str">
        <f t="shared" si="0"/>
        <v>R3 S3 2025</v>
      </c>
      <c r="B16" s="1" t="s">
        <v>71</v>
      </c>
      <c r="C16" s="1" t="s">
        <v>67</v>
      </c>
      <c r="D16" s="10">
        <v>45887</v>
      </c>
      <c r="E16" s="10">
        <v>45905</v>
      </c>
    </row>
    <row r="17" spans="1:5" x14ac:dyDescent="0.3">
      <c r="A17" s="1" t="str">
        <f t="shared" si="0"/>
        <v>R3 S4 2025</v>
      </c>
      <c r="B17" s="1" t="s">
        <v>71</v>
      </c>
      <c r="C17" s="1" t="s">
        <v>68</v>
      </c>
      <c r="D17" s="10">
        <v>45908</v>
      </c>
      <c r="E17" s="10">
        <v>45926</v>
      </c>
    </row>
    <row r="18" spans="1:5" x14ac:dyDescent="0.3">
      <c r="A18" s="1" t="str">
        <f t="shared" si="0"/>
        <v>R4 S0 2025</v>
      </c>
      <c r="B18" s="1" t="s">
        <v>72</v>
      </c>
      <c r="C18" s="1" t="s">
        <v>64</v>
      </c>
      <c r="D18" s="10">
        <v>45929</v>
      </c>
      <c r="E18" s="10">
        <v>45933</v>
      </c>
    </row>
    <row r="19" spans="1:5" x14ac:dyDescent="0.3">
      <c r="A19" s="1" t="str">
        <f t="shared" si="0"/>
        <v>R4 S1 2025</v>
      </c>
      <c r="B19" s="1" t="s">
        <v>72</v>
      </c>
      <c r="C19" s="1" t="s">
        <v>65</v>
      </c>
      <c r="D19" s="10">
        <v>45936</v>
      </c>
      <c r="E19" s="10">
        <v>45954</v>
      </c>
    </row>
    <row r="20" spans="1:5" x14ac:dyDescent="0.3">
      <c r="A20" s="1" t="str">
        <f t="shared" si="0"/>
        <v>R4 S2 2025</v>
      </c>
      <c r="B20" s="1" t="s">
        <v>72</v>
      </c>
      <c r="C20" s="1" t="s">
        <v>66</v>
      </c>
      <c r="D20" s="10">
        <v>45957</v>
      </c>
      <c r="E20" s="10">
        <v>45975</v>
      </c>
    </row>
    <row r="21" spans="1:5" x14ac:dyDescent="0.3">
      <c r="A21" s="1" t="str">
        <f t="shared" si="0"/>
        <v>R4 S3 2025</v>
      </c>
      <c r="B21" s="1" t="s">
        <v>72</v>
      </c>
      <c r="C21" s="1" t="s">
        <v>67</v>
      </c>
      <c r="D21" s="10">
        <v>45978</v>
      </c>
      <c r="E21" s="10">
        <v>45996</v>
      </c>
    </row>
    <row r="22" spans="1:5" x14ac:dyDescent="0.3">
      <c r="A22" s="1" t="str">
        <f t="shared" si="0"/>
        <v>R4 S4 2025</v>
      </c>
      <c r="B22" s="1" t="s">
        <v>72</v>
      </c>
      <c r="C22" s="1" t="s">
        <v>68</v>
      </c>
      <c r="D22" s="10">
        <v>45999</v>
      </c>
      <c r="E22" s="10">
        <v>46017</v>
      </c>
    </row>
  </sheetData>
  <mergeCells count="1"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Alocação - Esboço</vt:lpstr>
      <vt:lpstr>Alocação - Real</vt:lpstr>
      <vt:lpstr>Analytics</vt:lpstr>
      <vt:lpstr>Auxiliares</vt:lpstr>
      <vt:lpstr>Instruções - Tipos de Roadmap</vt:lpstr>
      <vt:lpstr>Story Points</vt:lpstr>
      <vt:lpstr>Etapas Dual Track Agile</vt:lpstr>
      <vt:lpstr>Calendário Comunidade 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 Emerson R.</dc:creator>
  <cp:lastModifiedBy>- Emerson R.</cp:lastModifiedBy>
  <dcterms:created xsi:type="dcterms:W3CDTF">2015-06-05T18:19:34Z</dcterms:created>
  <dcterms:modified xsi:type="dcterms:W3CDTF">2025-07-09T17:46:51Z</dcterms:modified>
</cp:coreProperties>
</file>