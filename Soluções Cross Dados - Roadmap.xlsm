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997" documentId="8_{9E45816D-0961-4B1C-B41D-9F083A802A59}" xr6:coauthVersionLast="47" xr6:coauthVersionMax="47" xr10:uidLastSave="{755434F0-ADBD-43D1-8036-EA05E6BCB98D}"/>
  <bookViews>
    <workbookView xWindow="-108" yWindow="-108" windowWidth="23256" windowHeight="12456" firstSheet="11" activeTab="12" xr2:uid="{00000000-000D-0000-FFFF-FFFF00000000}"/>
  </bookViews>
  <sheets>
    <sheet name="Menu" sheetId="18" r:id="rId1"/>
    <sheet name="Priorização" sheetId="14" r:id="rId2"/>
    <sheet name="Priorização - Impacto" sheetId="19" r:id="rId3"/>
    <sheet name="Priorização - Esforço" sheetId="22" r:id="rId4"/>
    <sheet name="Roadmap - Visão Timeline" sheetId="17" r:id="rId5"/>
    <sheet name="Sprint Goals" sheetId="15" r:id="rId6"/>
    <sheet name="Agendas Roadmap" sheetId="24" r:id="rId7"/>
    <sheet name="Roadmap Estratégico" sheetId="1" r:id="rId8"/>
    <sheet name="Analytics Roadmap Estratégico" sheetId="13" r:id="rId9"/>
    <sheet name="Roadmap Tático" sheetId="6" r:id="rId10"/>
    <sheet name="Analytics Roadmap Tático" sheetId="12" r:id="rId11"/>
    <sheet name="Indicadores por Sprint" sheetId="25" r:id="rId12"/>
    <sheet name="Auxiliares" sheetId="2" r:id="rId13"/>
    <sheet name="Instruções" sheetId="3" r:id="rId14"/>
    <sheet name="Instruções - Sinaleiro" sheetId="4" r:id="rId15"/>
    <sheet name="Instruções - Tipos de Roadmap" sheetId="7" r:id="rId16"/>
    <sheet name="Story Points" sheetId="10" r:id="rId17"/>
    <sheet name="Etapas Dual Track Agile" sheetId="9" r:id="rId18"/>
    <sheet name="Calendário Comunidade 2025" sheetId="5" r:id="rId19"/>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TIME"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9">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42" r:id="rId20"/>
    <pivotCache cacheId="43"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25" l="1"/>
  <c r="G3" i="25" s="1"/>
  <c r="T3" i="14"/>
  <c r="T4" i="14"/>
  <c r="T5" i="14"/>
  <c r="T6" i="14"/>
  <c r="T7" i="14"/>
  <c r="F15" i="22" l="1"/>
  <c r="F14" i="22"/>
  <c r="F13" i="22"/>
  <c r="F12" i="22"/>
  <c r="F11" i="22"/>
  <c r="F2" i="22"/>
  <c r="F3" i="22"/>
  <c r="F4" i="22"/>
  <c r="F5" i="22"/>
  <c r="F6" i="22"/>
  <c r="F7" i="22"/>
  <c r="F8" i="22"/>
  <c r="F9" i="22"/>
  <c r="F10" i="22"/>
  <c r="C24" i="19"/>
  <c r="C22" i="19"/>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M4" i="17" a="1"/>
  <c r="BT5" i="17" a="1"/>
  <c r="AV5" i="17" a="1"/>
  <c r="P5" i="17" a="1"/>
  <c r="DI4" i="17" a="1"/>
  <c r="AK4" i="17" a="1"/>
  <c r="AS4" i="17" a="1"/>
  <c r="AF5" i="17" a="1"/>
  <c r="BO5" i="17" a="1"/>
  <c r="CS5" i="17" a="1"/>
  <c r="AM5" i="17" a="1"/>
  <c r="V5" i="17" a="1"/>
  <c r="BE5" i="17" a="1"/>
  <c r="CH5" i="17" a="1"/>
  <c r="BV5" i="17" a="1"/>
  <c r="BJ5" i="17" a="1"/>
  <c r="CR5" i="17" a="1"/>
  <c r="CT5" i="17" a="1"/>
  <c r="CP5" i="17" a="1"/>
  <c r="AW5" i="17" a="1"/>
  <c r="AK5" i="17" a="1"/>
  <c r="BU5" i="17" a="1"/>
  <c r="Q5" i="17" a="1"/>
  <c r="AY5" i="17" a="1"/>
  <c r="BS5" i="17" a="1"/>
  <c r="DI5" i="17" a="1"/>
  <c r="AD5" i="17" a="1"/>
  <c r="AW4" i="17" a="1"/>
  <c r="Z5" i="17" a="1"/>
  <c r="CA5" i="17" a="1"/>
  <c r="W5" i="17" a="1"/>
  <c r="BQ5" i="17" a="1"/>
  <c r="AG5" i="17" a="1"/>
  <c r="CM5" i="17" a="1"/>
  <c r="CO4" i="17" a="1"/>
  <c r="DH5" i="17" a="1"/>
  <c r="AX5" i="17" a="1"/>
  <c r="BI5" i="17" a="1"/>
  <c r="CB5" i="17" a="1"/>
  <c r="CE5" i="17" a="1"/>
  <c r="M5" i="17" a="1"/>
  <c r="BK5" i="17" a="1"/>
  <c r="DA5" i="17" a="1"/>
  <c r="DJ5" i="17" a="1"/>
  <c r="BC5" i="17" a="1"/>
  <c r="Y5" i="17" a="1"/>
  <c r="S5" i="17" a="1"/>
  <c r="CN5" i="17" a="1"/>
  <c r="DG5" i="17" a="1"/>
  <c r="AH5" i="17" a="1"/>
  <c r="CC5" i="17" a="1"/>
  <c r="N5" i="17" a="1"/>
  <c r="CZ5" i="17" a="1"/>
  <c r="DE5" i="17" a="1"/>
  <c r="U5" i="17" a="1"/>
  <c r="AG4" i="17" a="1"/>
  <c r="CV5" i="17" a="1"/>
  <c r="AT5" i="17" a="1"/>
  <c r="AL5" i="17" a="1"/>
  <c r="CO5" i="17" a="1"/>
  <c r="BB5" i="17" a="1"/>
  <c r="CW5" i="17" a="1"/>
  <c r="Q4" i="17" a="1"/>
  <c r="BY5" i="17" a="1"/>
  <c r="AJ5" i="17" a="1"/>
  <c r="CL5" i="17" a="1"/>
  <c r="AU5" i="17" a="1"/>
  <c r="DD5" i="17" a="1"/>
  <c r="CS4" i="17" a="1"/>
  <c r="CY5" i="17" a="1"/>
  <c r="AP5" i="17" a="1"/>
  <c r="DC5" i="17" a="1"/>
  <c r="AR5" i="17" a="1"/>
  <c r="CK4" i="17" a="1"/>
  <c r="AO4" i="17" a="1"/>
  <c r="BY4" i="17" a="1"/>
  <c r="CF5" i="17" a="1"/>
  <c r="CX5" i="17" a="1"/>
  <c r="AZ5" i="17" a="1"/>
  <c r="X5" i="17" a="1"/>
  <c r="BI4" i="17" a="1"/>
  <c r="BA5" i="17" a="1"/>
  <c r="CU5" i="17" a="1"/>
  <c r="BX5" i="17" a="1"/>
  <c r="AC4" i="17" a="1"/>
  <c r="CI5" i="17" a="1"/>
  <c r="CW4" i="17" a="1"/>
  <c r="BE4" i="17" a="1"/>
  <c r="T5" i="17" a="1"/>
  <c r="CQ5" i="17" a="1"/>
  <c r="AE5" i="17" a="1"/>
  <c r="CG5" i="17" a="1"/>
  <c r="BP5" i="17" a="1"/>
  <c r="BH5" i="17" a="1"/>
  <c r="BM4" i="17" a="1"/>
  <c r="U4" i="17" a="1"/>
  <c r="DF5" i="17" a="1"/>
  <c r="AS5" i="17" a="1"/>
  <c r="BF5" i="17" a="1"/>
  <c r="DE4" i="17" a="1"/>
  <c r="BN5" i="17" a="1"/>
  <c r="AO5" i="17" a="1"/>
  <c r="BZ5" i="17" a="1"/>
  <c r="DK5" i="17" a="1"/>
  <c r="CD5" i="17" a="1"/>
  <c r="BW5" i="17" a="1"/>
  <c r="AB5" i="17" a="1"/>
  <c r="DB5" i="17" a="1"/>
  <c r="O5" i="17" a="1"/>
  <c r="BR5" i="17" a="1"/>
  <c r="CG4" i="17" a="1"/>
  <c r="AA5" i="17" a="1"/>
  <c r="DL5" i="17" a="1"/>
  <c r="BD5" i="17" a="1"/>
  <c r="BM5" i="17" a="1"/>
  <c r="Y4" i="17" a="1"/>
  <c r="AN5" i="17" a="1"/>
  <c r="DA4" i="17" a="1"/>
  <c r="BL5" i="17" a="1"/>
  <c r="BU4" i="17" a="1"/>
  <c r="CC4" i="17" a="1"/>
  <c r="CK5" i="17" a="1"/>
  <c r="BG5" i="17" a="1"/>
  <c r="BQ4" i="17" a="1"/>
  <c r="BA4" i="17" a="1"/>
  <c r="AC5" i="17" a="1"/>
  <c r="AQ5" i="17" a="1"/>
  <c r="CJ5" i="17" a="1"/>
  <c r="AI5" i="17" a="1"/>
  <c r="R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N101" i="17" s="1"/>
  <c r="O101" i="17" s="1"/>
  <c r="P101" i="17" s="1"/>
  <c r="M105" i="17"/>
  <c r="N105" i="17" s="1"/>
  <c r="M118" i="17"/>
  <c r="N118" i="17" s="1"/>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N148" i="17" s="1"/>
  <c r="M153" i="17"/>
  <c r="N153" i="17" s="1"/>
  <c r="M164" i="17"/>
  <c r="N164" i="17" s="1"/>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N48" i="17" s="1"/>
  <c r="M65" i="17"/>
  <c r="N65" i="17" s="1"/>
  <c r="O65" i="17" s="1"/>
  <c r="M78" i="17"/>
  <c r="M83" i="17"/>
  <c r="N83" i="17" s="1"/>
  <c r="M89" i="17"/>
  <c r="M95" i="17"/>
  <c r="M106" i="17"/>
  <c r="M112" i="17"/>
  <c r="M119" i="17"/>
  <c r="M126" i="17"/>
  <c r="N126" i="17" s="1"/>
  <c r="M138" i="17"/>
  <c r="N138" i="17" s="1"/>
  <c r="M154" i="17"/>
  <c r="N154" i="17" s="1"/>
  <c r="O154" i="17" s="1"/>
  <c r="M159" i="17"/>
  <c r="N159" i="17" s="1"/>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N228" i="17" s="1"/>
  <c r="M245" i="17"/>
  <c r="N245" i="17" s="1"/>
  <c r="M262" i="17"/>
  <c r="N262" i="17" s="1"/>
  <c r="O262" i="17" s="1"/>
  <c r="M24" i="17"/>
  <c r="M129" i="17"/>
  <c r="M201" i="17"/>
  <c r="M8" i="17"/>
  <c r="M110" i="17"/>
  <c r="M122" i="17"/>
  <c r="M194" i="17"/>
  <c r="N194" i="17" s="1"/>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N214" i="17" s="1"/>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N237" i="17" s="1"/>
  <c r="M255" i="17"/>
  <c r="N255" i="17" s="1"/>
  <c r="M300" i="17"/>
  <c r="N300" i="17" s="1"/>
  <c r="M60" i="17"/>
  <c r="M103" i="17"/>
  <c r="N103" i="17" s="1"/>
  <c r="M140" i="17"/>
  <c r="N140" i="17" s="1"/>
  <c r="M221" i="17"/>
  <c r="N221" i="17" s="1"/>
  <c r="M249" i="17"/>
  <c r="M51" i="17"/>
  <c r="M91" i="17"/>
  <c r="N91" i="17" s="1"/>
  <c r="M162" i="17"/>
  <c r="M274" i="17"/>
  <c r="M294" i="17"/>
  <c r="N294" i="17" s="1"/>
  <c r="O294" i="17" s="1"/>
  <c r="M34" i="17"/>
  <c r="N34" i="17" s="1"/>
  <c r="M73" i="17"/>
  <c r="N73" i="17" s="1"/>
  <c r="M111" i="17"/>
  <c r="N111" i="17" s="1"/>
  <c r="M147" i="17"/>
  <c r="N147" i="17" s="1"/>
  <c r="M182" i="17"/>
  <c r="M275" i="17"/>
  <c r="N275" i="17" s="1"/>
  <c r="M9" i="17"/>
  <c r="M62" i="17"/>
  <c r="M86" i="17"/>
  <c r="M149" i="17"/>
  <c r="M259" i="17"/>
  <c r="M286" i="17"/>
  <c r="M29" i="17"/>
  <c r="N29" i="17" s="1"/>
  <c r="M36" i="17"/>
  <c r="N36" i="17" s="1"/>
  <c r="M54" i="17"/>
  <c r="N54" i="17" s="1"/>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N250" i="17" s="1"/>
  <c r="O250" i="17" s="1"/>
  <c r="M287" i="17"/>
  <c r="N287" i="17" s="1"/>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174" i="17" l="1"/>
  <c r="O265" i="17"/>
  <c r="P265" i="17" s="1"/>
  <c r="O36" i="17"/>
  <c r="O191" i="17"/>
  <c r="O117" i="17"/>
  <c r="P117" i="17" s="1"/>
  <c r="P36" i="17"/>
  <c r="Q36" i="17" s="1"/>
  <c r="R36" i="17" s="1"/>
  <c r="O73" i="17"/>
  <c r="P73" i="17" s="1"/>
  <c r="O271" i="17"/>
  <c r="P271" i="17" s="1"/>
  <c r="Q271" i="17" s="1"/>
  <c r="O155" i="17"/>
  <c r="P155" i="17" s="1"/>
  <c r="O283" i="17"/>
  <c r="P283" i="17" s="1"/>
  <c r="Q283" i="17" s="1"/>
  <c r="O107" i="17"/>
  <c r="P107" i="17" s="1"/>
  <c r="O266" i="17"/>
  <c r="P266" i="17" s="1"/>
  <c r="O205" i="17"/>
  <c r="P205" i="17" s="1"/>
  <c r="Q205" i="17" s="1"/>
  <c r="O287" i="17"/>
  <c r="O284" i="17"/>
  <c r="P284" i="17" s="1"/>
  <c r="Q284" i="17" s="1"/>
  <c r="O100" i="17"/>
  <c r="P100" i="17" s="1"/>
  <c r="N78" i="17"/>
  <c r="O78" i="17" s="1"/>
  <c r="O241" i="17"/>
  <c r="O300" i="17"/>
  <c r="O202" i="17"/>
  <c r="P202" i="17" s="1"/>
  <c r="O255" i="17"/>
  <c r="P255" i="17" s="1"/>
  <c r="Q255" i="17" s="1"/>
  <c r="R255" i="17" s="1"/>
  <c r="O138" i="17"/>
  <c r="P138" i="17" s="1"/>
  <c r="O17" i="17"/>
  <c r="P17" i="17" s="1"/>
  <c r="O273" i="17"/>
  <c r="O131" i="17"/>
  <c r="P131" i="17" s="1"/>
  <c r="O242" i="17"/>
  <c r="P242" i="17" s="1"/>
  <c r="O228" i="17"/>
  <c r="P228" i="17" s="1"/>
  <c r="Q228" i="17" s="1"/>
  <c r="O61" i="17"/>
  <c r="N23" i="17"/>
  <c r="O23" i="17" s="1"/>
  <c r="P23" i="17" s="1"/>
  <c r="N208" i="17"/>
  <c r="O208" i="17" s="1"/>
  <c r="P208" i="17" s="1"/>
  <c r="Q208" i="17" s="1"/>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O172" i="17"/>
  <c r="N219" i="17"/>
  <c r="O298" i="17"/>
  <c r="P298" i="17" s="1"/>
  <c r="Q298" i="17" s="1"/>
  <c r="R298" i="17" s="1"/>
  <c r="O173" i="17"/>
  <c r="P173" i="17" s="1"/>
  <c r="O177" i="17"/>
  <c r="P177" i="17" s="1"/>
  <c r="Q177" i="17" s="1"/>
  <c r="O114" i="17"/>
  <c r="P114" i="17" s="1"/>
  <c r="N11" i="17"/>
  <c r="O11" i="17" s="1"/>
  <c r="P11" i="17" s="1"/>
  <c r="O217" i="17"/>
  <c r="P217" i="17" s="1"/>
  <c r="Q217" i="17" s="1"/>
  <c r="R217" i="17" s="1"/>
  <c r="O108" i="17"/>
  <c r="P108" i="17" s="1"/>
  <c r="O213" i="17"/>
  <c r="P213" i="17" s="1"/>
  <c r="O16" i="17"/>
  <c r="P16" i="17" s="1"/>
  <c r="O185" i="17"/>
  <c r="N231" i="17"/>
  <c r="N167" i="17"/>
  <c r="O167" i="17" s="1"/>
  <c r="N259" i="17"/>
  <c r="O259" i="17"/>
  <c r="N41" i="17"/>
  <c r="O41" i="17" s="1"/>
  <c r="P41" i="17" s="1"/>
  <c r="Q41" i="17" s="1"/>
  <c r="N222" i="17"/>
  <c r="N122" i="17"/>
  <c r="N269" i="17"/>
  <c r="N290" i="17"/>
  <c r="O290" i="17" s="1"/>
  <c r="P290" i="17" s="1"/>
  <c r="N257" i="17"/>
  <c r="O257" i="17" s="1"/>
  <c r="N224" i="17"/>
  <c r="N47" i="17"/>
  <c r="O30" i="17"/>
  <c r="P30" i="17" s="1"/>
  <c r="N37" i="17"/>
  <c r="O37" i="17" s="1"/>
  <c r="P37" i="17" s="1"/>
  <c r="N123" i="17"/>
  <c r="N162" i="17"/>
  <c r="O162" i="17" s="1"/>
  <c r="N299" i="17"/>
  <c r="O299" i="17" s="1"/>
  <c r="N110" i="17"/>
  <c r="O110" i="17" s="1"/>
  <c r="N291" i="17"/>
  <c r="O291" i="17" s="1"/>
  <c r="N247" i="17"/>
  <c r="O247" i="17" s="1"/>
  <c r="N258" i="17"/>
  <c r="O258" i="17" s="1"/>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s="1"/>
  <c r="P90" i="17" s="1"/>
  <c r="Q90" i="17" s="1"/>
  <c r="N62" i="17"/>
  <c r="O62" i="17" s="1"/>
  <c r="P33" i="17"/>
  <c r="Q33" i="17"/>
  <c r="R33" i="17" s="1"/>
  <c r="N151" i="17"/>
  <c r="O151" i="17" s="1"/>
  <c r="N95" i="17"/>
  <c r="N64" i="17"/>
  <c r="O64" i="17" s="1"/>
  <c r="N197" i="17"/>
  <c r="O197" i="17" s="1"/>
  <c r="O275" i="17"/>
  <c r="P275" i="17" s="1"/>
  <c r="N75" i="17"/>
  <c r="N232" i="17"/>
  <c r="N76" i="17"/>
  <c r="O76" i="17" s="1"/>
  <c r="N116" i="17"/>
  <c r="O116" i="17" s="1"/>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s="1"/>
  <c r="N121" i="17"/>
  <c r="O121" i="17" s="1"/>
  <c r="N225" i="17"/>
  <c r="O225" i="17" s="1"/>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N51" i="17"/>
  <c r="N243" i="17"/>
  <c r="N171" i="17"/>
  <c r="O171" i="17"/>
  <c r="N188" i="17"/>
  <c r="O188" i="17" s="1"/>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s="1"/>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s="1"/>
  <c r="N67" i="17"/>
  <c r="O93" i="17"/>
  <c r="P25" i="17"/>
  <c r="Q25" i="17" s="1"/>
  <c r="N136" i="17"/>
  <c r="O136" i="17"/>
  <c r="N178" i="17"/>
  <c r="P28" i="17"/>
  <c r="Q28" i="17" s="1"/>
  <c r="O164" i="17"/>
  <c r="P164" i="17" s="1"/>
  <c r="O71" i="17"/>
  <c r="P71" i="17" s="1"/>
  <c r="O105" i="17"/>
  <c r="P105" i="17" s="1"/>
  <c r="O54" i="17"/>
  <c r="O48" i="17"/>
  <c r="P48" i="17" s="1"/>
  <c r="O126" i="17"/>
  <c r="N97" i="17"/>
  <c r="O97" i="17" s="1"/>
  <c r="P97" i="17" s="1"/>
  <c r="O238" i="17"/>
  <c r="O301" i="17"/>
  <c r="O45" i="17"/>
  <c r="P45" i="17" s="1"/>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P157" i="17" s="1"/>
  <c r="Q157" i="17" s="1"/>
  <c r="R157" i="17" s="1"/>
  <c r="O103" i="17"/>
  <c r="P103" i="17" s="1"/>
  <c r="N84" i="17"/>
  <c r="O245" i="17"/>
  <c r="P245" i="17" s="1"/>
  <c r="N87" i="17"/>
  <c r="N176" i="17"/>
  <c r="O168" i="17"/>
  <c r="P250" i="17"/>
  <c r="Q250" i="17" s="1"/>
  <c r="R250" i="17" s="1"/>
  <c r="P163" i="17"/>
  <c r="Q163" i="17" s="1"/>
  <c r="N124" i="17"/>
  <c r="N286" i="17"/>
  <c r="N59" i="17"/>
  <c r="N49" i="17"/>
  <c r="O194" i="17"/>
  <c r="P194" i="17" s="1"/>
  <c r="Q194" i="17" s="1"/>
  <c r="N109" i="17"/>
  <c r="O109" i="17" s="1"/>
  <c r="N7" i="17"/>
  <c r="N276" i="17"/>
  <c r="O276" i="17" s="1"/>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Q115" i="17" s="1"/>
  <c r="R115" i="17" s="1"/>
  <c r="O267" i="17"/>
  <c r="P267" i="17" s="1"/>
  <c r="Q267" i="17" s="1"/>
  <c r="O53" i="17"/>
  <c r="P53" i="17" s="1"/>
  <c r="N40" i="17"/>
  <c r="O196" i="17"/>
  <c r="N55" i="17"/>
  <c r="N35" i="17"/>
  <c r="O35" i="17" s="1"/>
  <c r="O220" i="17"/>
  <c r="P220" i="17" s="1"/>
  <c r="O148" i="17"/>
  <c r="O10" i="17"/>
  <c r="P10" i="17" s="1"/>
  <c r="P191" i="17"/>
  <c r="P282" i="17"/>
  <c r="Q282" i="17" s="1"/>
  <c r="P94" i="17"/>
  <c r="Q94" i="17" s="1"/>
  <c r="P294" i="17"/>
  <c r="P156" i="17"/>
  <c r="Q156" i="17" s="1"/>
  <c r="P270" i="17"/>
  <c r="P65" i="17"/>
  <c r="Q65" i="17" s="1"/>
  <c r="Q117" i="17"/>
  <c r="P174" i="17"/>
  <c r="Q265" i="17"/>
  <c r="P61" i="17"/>
  <c r="R163" i="17" l="1"/>
  <c r="Q266" i="17"/>
  <c r="P303" i="17"/>
  <c r="R256" i="17"/>
  <c r="S256" i="17" s="1"/>
  <c r="S36" i="17"/>
  <c r="T36" i="17" s="1"/>
  <c r="Q107" i="17"/>
  <c r="R107" i="17" s="1"/>
  <c r="P20" i="17"/>
  <c r="Q17" i="17"/>
  <c r="R17" i="17" s="1"/>
  <c r="S17" i="17" s="1"/>
  <c r="T17" i="17" s="1"/>
  <c r="Q244" i="17"/>
  <c r="R244" i="17" s="1"/>
  <c r="P188" i="17"/>
  <c r="P285" i="17"/>
  <c r="Q285" i="17"/>
  <c r="R285" i="17" s="1"/>
  <c r="S285" i="17" s="1"/>
  <c r="Q74" i="17"/>
  <c r="R74" i="17" s="1"/>
  <c r="S74" i="17" s="1"/>
  <c r="Q44" i="17"/>
  <c r="R284" i="17"/>
  <c r="O81" i="17"/>
  <c r="P81" i="17" s="1"/>
  <c r="P209" i="17"/>
  <c r="Q209" i="17" s="1"/>
  <c r="Q287" i="17"/>
  <c r="R287" i="17" s="1"/>
  <c r="Q202" i="17"/>
  <c r="R202" i="17" s="1"/>
  <c r="O190" i="17"/>
  <c r="P190" i="17" s="1"/>
  <c r="Q190" i="17" s="1"/>
  <c r="R190" i="17" s="1"/>
  <c r="S190" i="17" s="1"/>
  <c r="T190" i="17" s="1"/>
  <c r="O222" i="17"/>
  <c r="P222" i="17" s="1"/>
  <c r="P78" i="17"/>
  <c r="Q78" i="17" s="1"/>
  <c r="Q242" i="17"/>
  <c r="R228" i="17"/>
  <c r="S228" i="17" s="1"/>
  <c r="T228" i="17" s="1"/>
  <c r="P26" i="17"/>
  <c r="Q26" i="17" s="1"/>
  <c r="R26" i="17" s="1"/>
  <c r="P241" i="17"/>
  <c r="Q241" i="17" s="1"/>
  <c r="Q166" i="17"/>
  <c r="Q146" i="17"/>
  <c r="P299" i="17"/>
  <c r="Q299" i="17" s="1"/>
  <c r="P252" i="17"/>
  <c r="Q252" i="17" s="1"/>
  <c r="R252" i="17" s="1"/>
  <c r="P288" i="17"/>
  <c r="Q100" i="17"/>
  <c r="R100" i="17" s="1"/>
  <c r="S100" i="17" s="1"/>
  <c r="O72" i="17"/>
  <c r="Q20" i="17"/>
  <c r="R20" i="17" s="1"/>
  <c r="P273" i="17"/>
  <c r="Q273" i="17" s="1"/>
  <c r="R273" i="17" s="1"/>
  <c r="Q251" i="17"/>
  <c r="R251" i="17" s="1"/>
  <c r="P225" i="17"/>
  <c r="Q225" i="17" s="1"/>
  <c r="R225" i="17" s="1"/>
  <c r="S225" i="17" s="1"/>
  <c r="R25" i="17"/>
  <c r="R159" i="17"/>
  <c r="S159" i="17" s="1"/>
  <c r="Q11" i="17"/>
  <c r="R11" i="17" s="1"/>
  <c r="Q206" i="17"/>
  <c r="O59" i="17"/>
  <c r="P59" i="17" s="1"/>
  <c r="P62" i="17"/>
  <c r="Q62" i="17" s="1"/>
  <c r="R62" i="17" s="1"/>
  <c r="S62" i="17" s="1"/>
  <c r="P162" i="17"/>
  <c r="Q162" i="17" s="1"/>
  <c r="P24" i="17"/>
  <c r="Q220" i="17"/>
  <c r="Q303" i="17"/>
  <c r="R303" i="17" s="1"/>
  <c r="P92" i="17"/>
  <c r="Q92" i="17" s="1"/>
  <c r="R92" i="17" s="1"/>
  <c r="O15" i="17"/>
  <c r="P15" i="17" s="1"/>
  <c r="Q15" i="17" s="1"/>
  <c r="O281" i="17"/>
  <c r="P281" i="17" s="1"/>
  <c r="P247" i="17"/>
  <c r="Q247" i="17" s="1"/>
  <c r="R247" i="17" s="1"/>
  <c r="Q140" i="17"/>
  <c r="R140" i="17" s="1"/>
  <c r="S140" i="17" s="1"/>
  <c r="Q213" i="17"/>
  <c r="R213" i="17" s="1"/>
  <c r="S213" i="17" s="1"/>
  <c r="Q23" i="17"/>
  <c r="P64" i="17"/>
  <c r="Q64" i="17" s="1"/>
  <c r="O219" i="17"/>
  <c r="P219" i="17" s="1"/>
  <c r="P137" i="17"/>
  <c r="Q137" i="17" s="1"/>
  <c r="P148" i="17"/>
  <c r="Q148" i="17" s="1"/>
  <c r="P238" i="17"/>
  <c r="Q238" i="17" s="1"/>
  <c r="Q48" i="17"/>
  <c r="R48" i="17" s="1"/>
  <c r="P291" i="17"/>
  <c r="Q291" i="17" s="1"/>
  <c r="P185" i="17"/>
  <c r="P172" i="17"/>
  <c r="Q147" i="17"/>
  <c r="R147" i="17" s="1"/>
  <c r="O243" i="17"/>
  <c r="Q21" i="17"/>
  <c r="R21" i="17" s="1"/>
  <c r="Q16" i="17"/>
  <c r="R16" i="17" s="1"/>
  <c r="P31" i="17"/>
  <c r="Q31" i="17" s="1"/>
  <c r="Q300" i="17"/>
  <c r="P212" i="17"/>
  <c r="Q212" i="17" s="1"/>
  <c r="P9" i="17"/>
  <c r="Q9" i="17" s="1"/>
  <c r="Q173" i="17"/>
  <c r="R173" i="17" s="1"/>
  <c r="O13" i="17"/>
  <c r="P13" i="17" s="1"/>
  <c r="Q82" i="17"/>
  <c r="R12" i="17"/>
  <c r="S12" i="17" s="1"/>
  <c r="T12" i="17" s="1"/>
  <c r="Q175" i="17"/>
  <c r="R175" i="17" s="1"/>
  <c r="S175" i="17" s="1"/>
  <c r="T175" i="17" s="1"/>
  <c r="P144" i="17"/>
  <c r="Q262" i="17"/>
  <c r="P260" i="17"/>
  <c r="Q260" i="17" s="1"/>
  <c r="P76" i="17"/>
  <c r="Q76" i="17" s="1"/>
  <c r="R300" i="17"/>
  <c r="O70" i="17"/>
  <c r="P70" i="17" s="1"/>
  <c r="R82" i="17"/>
  <c r="S82" i="17" s="1"/>
  <c r="O77" i="17"/>
  <c r="P77" i="17" s="1"/>
  <c r="P43" i="17"/>
  <c r="P128" i="17"/>
  <c r="Q99" i="17"/>
  <c r="R99" i="17" s="1"/>
  <c r="Q154" i="17"/>
  <c r="P171" i="17"/>
  <c r="Q171" i="17" s="1"/>
  <c r="P126" i="17"/>
  <c r="Q126" i="17"/>
  <c r="O193" i="17"/>
  <c r="P193" i="17" s="1"/>
  <c r="P240" i="17"/>
  <c r="P39" i="17"/>
  <c r="Q39" i="17" s="1"/>
  <c r="O32" i="17"/>
  <c r="O127" i="17"/>
  <c r="P127" i="17" s="1"/>
  <c r="P195" i="17"/>
  <c r="Q85" i="17"/>
  <c r="P196" i="17"/>
  <c r="Q196" i="17" s="1"/>
  <c r="P261" i="17"/>
  <c r="Q261" i="17" s="1"/>
  <c r="R261" i="17" s="1"/>
  <c r="P257" i="17"/>
  <c r="Q257" i="17" s="1"/>
  <c r="R200" i="17"/>
  <c r="S200" i="17" s="1"/>
  <c r="T200" i="17" s="1"/>
  <c r="P133" i="17"/>
  <c r="Q133" i="17" s="1"/>
  <c r="P218" i="17"/>
  <c r="Q218" i="17" s="1"/>
  <c r="R218" i="17" s="1"/>
  <c r="Q207" i="17"/>
  <c r="P253" i="17"/>
  <c r="Q253" i="17" s="1"/>
  <c r="P110" i="17"/>
  <c r="P230" i="17"/>
  <c r="Q230" i="17" s="1"/>
  <c r="Q91" i="17"/>
  <c r="R91" i="17" s="1"/>
  <c r="S284" i="17"/>
  <c r="P170" i="17"/>
  <c r="Q29" i="17"/>
  <c r="R29" i="17" s="1"/>
  <c r="Q66" i="17"/>
  <c r="R66" i="17" s="1"/>
  <c r="P54" i="17"/>
  <c r="Q54" i="17" s="1"/>
  <c r="O18" i="17"/>
  <c r="P18" i="17" s="1"/>
  <c r="P234" i="17"/>
  <c r="Q234" i="17" s="1"/>
  <c r="O169" i="17"/>
  <c r="P169" i="17" s="1"/>
  <c r="P181" i="17"/>
  <c r="P167" i="17"/>
  <c r="O75" i="17"/>
  <c r="P235" i="17"/>
  <c r="P111"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s="1"/>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Q164" i="17"/>
  <c r="R164" i="17" s="1"/>
  <c r="O201" i="17"/>
  <c r="O86" i="17"/>
  <c r="P86" i="17" s="1"/>
  <c r="Q86" i="17" s="1"/>
  <c r="O38" i="17"/>
  <c r="Q192" i="17"/>
  <c r="P139" i="17"/>
  <c r="O112" i="17"/>
  <c r="P112" i="17" s="1"/>
  <c r="P134" i="17"/>
  <c r="Q134" i="17" s="1"/>
  <c r="Q143" i="17"/>
  <c r="R143" i="17" s="1"/>
  <c r="P79" i="17"/>
  <c r="Q79" i="17"/>
  <c r="R79" i="17" s="1"/>
  <c r="P186" i="17"/>
  <c r="Q186" i="17" s="1"/>
  <c r="P68" i="17"/>
  <c r="R305" i="17"/>
  <c r="S305" i="17" s="1"/>
  <c r="T305" i="17" s="1"/>
  <c r="U305" i="17" s="1"/>
  <c r="V305" i="17" s="1"/>
  <c r="P93" i="17"/>
  <c r="P229" i="17"/>
  <c r="O248" i="17"/>
  <c r="O40" i="17"/>
  <c r="P40" i="17" s="1"/>
  <c r="O286" i="17"/>
  <c r="O67" i="17"/>
  <c r="O278" i="17"/>
  <c r="P278" i="17" s="1"/>
  <c r="Q278" i="17" s="1"/>
  <c r="P292" i="17"/>
  <c r="P158" i="17"/>
  <c r="P121" i="17"/>
  <c r="O80" i="17"/>
  <c r="P221" i="17"/>
  <c r="Q221" i="17" s="1"/>
  <c r="O263" i="17"/>
  <c r="O176" i="17"/>
  <c r="Q71" i="17"/>
  <c r="R71" i="17" s="1"/>
  <c r="P60" i="17"/>
  <c r="Q60" i="17" s="1"/>
  <c r="P14" i="17"/>
  <c r="P149" i="17"/>
  <c r="Q149" i="17" s="1"/>
  <c r="R149" i="17" s="1"/>
  <c r="O160" i="17"/>
  <c r="P160" i="17" s="1"/>
  <c r="Q160" i="17" s="1"/>
  <c r="P151" i="17"/>
  <c r="Q151" i="17" s="1"/>
  <c r="R151" i="17" s="1"/>
  <c r="O122" i="17"/>
  <c r="P122" i="17" s="1"/>
  <c r="O231" i="17"/>
  <c r="O49" i="17"/>
  <c r="P49" i="17" s="1"/>
  <c r="Q233" i="17"/>
  <c r="O129" i="17"/>
  <c r="Q106" i="17"/>
  <c r="O47" i="17"/>
  <c r="P237" i="17"/>
  <c r="Q237" i="17" s="1"/>
  <c r="O199" i="17"/>
  <c r="P199" i="17" s="1"/>
  <c r="O57" i="17"/>
  <c r="P57" i="17" s="1"/>
  <c r="Q302" i="17"/>
  <c r="R302" i="17" s="1"/>
  <c r="O182" i="17"/>
  <c r="P182" i="17"/>
  <c r="Q182" i="17" s="1"/>
  <c r="O8" i="17"/>
  <c r="P204" i="17"/>
  <c r="Q204" i="17" s="1"/>
  <c r="R204" i="17" s="1"/>
  <c r="O224" i="17"/>
  <c r="P224" i="17" s="1"/>
  <c r="O7" i="17"/>
  <c r="O84" i="17"/>
  <c r="Q108" i="17"/>
  <c r="P88" i="17"/>
  <c r="P268" i="17"/>
  <c r="Q268" i="17" s="1"/>
  <c r="O179" i="17"/>
  <c r="P249" i="17"/>
  <c r="Q249" i="17" s="1"/>
  <c r="O210" i="17"/>
  <c r="O232" i="17"/>
  <c r="O203" i="17"/>
  <c r="P297" i="17"/>
  <c r="Q297" i="17" s="1"/>
  <c r="R297" i="17" s="1"/>
  <c r="R65" i="17"/>
  <c r="R34" i="17"/>
  <c r="S34" i="17" s="1"/>
  <c r="R239" i="17"/>
  <c r="S239" i="17" s="1"/>
  <c r="P69" i="17"/>
  <c r="P277" i="17"/>
  <c r="Q277" i="17" s="1"/>
  <c r="P22" i="17"/>
  <c r="Q22" i="17" s="1"/>
  <c r="P214" i="17"/>
  <c r="Q103" i="17"/>
  <c r="P301" i="17"/>
  <c r="P27" i="17"/>
  <c r="Q89" i="17"/>
  <c r="P211" i="17"/>
  <c r="Q211" i="17" s="1"/>
  <c r="O125" i="17"/>
  <c r="P125" i="17" s="1"/>
  <c r="P197" i="17"/>
  <c r="O123" i="17"/>
  <c r="P259" i="17"/>
  <c r="R295" i="17"/>
  <c r="P102" i="17"/>
  <c r="Q50" i="17"/>
  <c r="P276" i="17"/>
  <c r="Q276" i="17" s="1"/>
  <c r="O296" i="17"/>
  <c r="Q184" i="17"/>
  <c r="R184" i="17" s="1"/>
  <c r="S184" i="17" s="1"/>
  <c r="P136" i="17"/>
  <c r="Q136" i="17" s="1"/>
  <c r="R28" i="17"/>
  <c r="S28" i="17" s="1"/>
  <c r="T28" i="17" s="1"/>
  <c r="P258" i="17"/>
  <c r="Q258" i="17" s="1"/>
  <c r="R258" i="17" s="1"/>
  <c r="O55" i="17"/>
  <c r="O58" i="17"/>
  <c r="Q150" i="17"/>
  <c r="R150" i="17" s="1"/>
  <c r="P168" i="17"/>
  <c r="Q152" i="17"/>
  <c r="R152" i="17" s="1"/>
  <c r="P46" i="17"/>
  <c r="Q46" i="17" s="1"/>
  <c r="Q45" i="17"/>
  <c r="R45" i="17" s="1"/>
  <c r="P145" i="17"/>
  <c r="S19" i="17"/>
  <c r="T19" i="17" s="1"/>
  <c r="R208" i="17"/>
  <c r="S208" i="17" s="1"/>
  <c r="Q275" i="17"/>
  <c r="O124" i="17"/>
  <c r="P124" i="17" s="1"/>
  <c r="Q124" i="17" s="1"/>
  <c r="P35" i="17"/>
  <c r="Q35" i="17" s="1"/>
  <c r="Q96" i="17"/>
  <c r="O51" i="17"/>
  <c r="R101" i="17"/>
  <c r="S101" i="17" s="1"/>
  <c r="O95" i="17"/>
  <c r="Q254" i="17"/>
  <c r="P109" i="17"/>
  <c r="Q109" i="17" s="1"/>
  <c r="Q97" i="17"/>
  <c r="R97" i="17" s="1"/>
  <c r="S97" i="17" s="1"/>
  <c r="O132" i="17"/>
  <c r="P132" i="17" s="1"/>
  <c r="Q188" i="17"/>
  <c r="P272" i="17"/>
  <c r="S107" i="17"/>
  <c r="Q187" i="17"/>
  <c r="S115" i="17"/>
  <c r="T115" i="17" s="1"/>
  <c r="U115" i="17" s="1"/>
  <c r="R117" i="17"/>
  <c r="S117" i="17" s="1"/>
  <c r="Q174" i="17"/>
  <c r="S153" i="17"/>
  <c r="R44" i="17"/>
  <c r="S44" i="17" s="1"/>
  <c r="Q53" i="17"/>
  <c r="Q37" i="17"/>
  <c r="Q294" i="17"/>
  <c r="R41" i="17"/>
  <c r="Q61" i="17"/>
  <c r="Q30" i="17"/>
  <c r="R265" i="17"/>
  <c r="Q131" i="17"/>
  <c r="R131" i="17" s="1"/>
  <c r="Q120" i="17"/>
  <c r="R120" i="17" s="1"/>
  <c r="R282" i="17"/>
  <c r="S282" i="17" s="1"/>
  <c r="Q73" i="17"/>
  <c r="R73" i="17" s="1"/>
  <c r="R177" i="17"/>
  <c r="Q138" i="17"/>
  <c r="R227" i="17"/>
  <c r="S227" i="17" s="1"/>
  <c r="Q270" i="17"/>
  <c r="Q114" i="17"/>
  <c r="R283" i="17"/>
  <c r="S255" i="17"/>
  <c r="T255" i="17" s="1"/>
  <c r="Q280" i="17"/>
  <c r="R156" i="17"/>
  <c r="S163" i="17"/>
  <c r="Q279" i="17"/>
  <c r="S180" i="17"/>
  <c r="S217" i="17"/>
  <c r="R83" i="17"/>
  <c r="S250" i="17"/>
  <c r="T250" i="17" s="1"/>
  <c r="Q264" i="17"/>
  <c r="Q155" i="17"/>
  <c r="S118" i="17"/>
  <c r="R90" i="17"/>
  <c r="R52" i="17"/>
  <c r="S52" i="17" s="1"/>
  <c r="Q290" i="17"/>
  <c r="R165" i="17"/>
  <c r="R267" i="17"/>
  <c r="R205" i="17"/>
  <c r="R266" i="17"/>
  <c r="Q191" i="17"/>
  <c r="T256" i="17"/>
  <c r="U256" i="17" s="1"/>
  <c r="S298" i="17"/>
  <c r="Q245" i="17"/>
  <c r="R94" i="17"/>
  <c r="R271" i="17"/>
  <c r="R198" i="17"/>
  <c r="R126" i="17" l="1"/>
  <c r="T107" i="17"/>
  <c r="U107" i="17" s="1"/>
  <c r="U36" i="17"/>
  <c r="R260" i="17"/>
  <c r="Q222" i="17"/>
  <c r="R222" i="17" s="1"/>
  <c r="S222" i="17" s="1"/>
  <c r="Q18" i="17"/>
  <c r="R18" i="17" s="1"/>
  <c r="S18" i="17" s="1"/>
  <c r="Q122" i="17"/>
  <c r="R122" i="17" s="1"/>
  <c r="S122" i="17" s="1"/>
  <c r="T122" i="17" s="1"/>
  <c r="Q40" i="17"/>
  <c r="R40" i="17" s="1"/>
  <c r="T82" i="17"/>
  <c r="U82" i="17" s="1"/>
  <c r="R78" i="17"/>
  <c r="S78" i="17" s="1"/>
  <c r="Q81" i="17"/>
  <c r="R81" i="17" s="1"/>
  <c r="S126" i="17"/>
  <c r="T126" i="17" s="1"/>
  <c r="U126" i="17" s="1"/>
  <c r="Q178" i="17"/>
  <c r="R178" i="17" s="1"/>
  <c r="R206" i="17"/>
  <c r="S206" i="17" s="1"/>
  <c r="R299" i="17"/>
  <c r="S299" i="17" s="1"/>
  <c r="T299" i="17" s="1"/>
  <c r="S300" i="17"/>
  <c r="T300" i="17" s="1"/>
  <c r="P75" i="17"/>
  <c r="Q75" i="17" s="1"/>
  <c r="S21" i="17"/>
  <c r="T21" i="17" s="1"/>
  <c r="U21" i="17" s="1"/>
  <c r="V21" i="17" s="1"/>
  <c r="S25" i="17"/>
  <c r="T25" i="17" s="1"/>
  <c r="R241" i="17"/>
  <c r="S241" i="17" s="1"/>
  <c r="T241" i="17" s="1"/>
  <c r="S48" i="17"/>
  <c r="T48" i="17" s="1"/>
  <c r="T100" i="17"/>
  <c r="U100" i="17" s="1"/>
  <c r="R242" i="17"/>
  <c r="S242" i="17" s="1"/>
  <c r="T242" i="17" s="1"/>
  <c r="U242" i="17" s="1"/>
  <c r="V242" i="17" s="1"/>
  <c r="R103" i="17"/>
  <c r="S103" i="17" s="1"/>
  <c r="T184" i="17"/>
  <c r="U184" i="17" s="1"/>
  <c r="V184" i="17" s="1"/>
  <c r="P32" i="17"/>
  <c r="Q32" i="17" s="1"/>
  <c r="R166" i="17"/>
  <c r="S166" i="17" s="1"/>
  <c r="U228" i="17"/>
  <c r="V228" i="17" s="1"/>
  <c r="R209" i="17"/>
  <c r="S209" i="17" s="1"/>
  <c r="Q49" i="17"/>
  <c r="R49" i="17" s="1"/>
  <c r="S49" i="17" s="1"/>
  <c r="Q288" i="17"/>
  <c r="R288" i="17" s="1"/>
  <c r="S146" i="17"/>
  <c r="S251" i="17"/>
  <c r="T251" i="17" s="1"/>
  <c r="U251" i="17" s="1"/>
  <c r="R211" i="17"/>
  <c r="S211" i="17" s="1"/>
  <c r="T211" i="17" s="1"/>
  <c r="R238" i="17"/>
  <c r="S238" i="17" s="1"/>
  <c r="S297" i="17"/>
  <c r="T297" i="17" s="1"/>
  <c r="R304" i="17"/>
  <c r="S304" i="17" s="1"/>
  <c r="T304" i="17" s="1"/>
  <c r="R146" i="17"/>
  <c r="V36" i="17"/>
  <c r="W36" i="17" s="1"/>
  <c r="X36" i="17" s="1"/>
  <c r="Y36" i="17" s="1"/>
  <c r="T239" i="17"/>
  <c r="U239" i="17" s="1"/>
  <c r="S273" i="17"/>
  <c r="T273" i="17" s="1"/>
  <c r="R162" i="17"/>
  <c r="S162" i="17" s="1"/>
  <c r="T162" i="17" s="1"/>
  <c r="Q119" i="17"/>
  <c r="R119" i="17" s="1"/>
  <c r="S119" i="17" s="1"/>
  <c r="P72" i="17"/>
  <c r="Q13" i="17"/>
  <c r="R13" i="17" s="1"/>
  <c r="Q59" i="17"/>
  <c r="R59" i="17"/>
  <c r="R23" i="17"/>
  <c r="S23" i="17" s="1"/>
  <c r="T23" i="17" s="1"/>
  <c r="R220" i="17"/>
  <c r="Q215" i="17"/>
  <c r="R215" i="17" s="1"/>
  <c r="Q281" i="17"/>
  <c r="R281" i="17" s="1"/>
  <c r="R160" i="17"/>
  <c r="S160" i="17" s="1"/>
  <c r="U12" i="17"/>
  <c r="V12" i="17" s="1"/>
  <c r="R262" i="17"/>
  <c r="S262" i="17" s="1"/>
  <c r="P243" i="17"/>
  <c r="Q243" i="17" s="1"/>
  <c r="T34" i="17"/>
  <c r="U34" i="17" s="1"/>
  <c r="S91" i="17"/>
  <c r="T91" i="17" s="1"/>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19" i="17" s="1"/>
  <c r="R268" i="17"/>
  <c r="Q235" i="17"/>
  <c r="S223" i="17"/>
  <c r="T223" i="17" s="1"/>
  <c r="Q24" i="17"/>
  <c r="Q144" i="17"/>
  <c r="R144" i="17" s="1"/>
  <c r="S144" i="17" s="1"/>
  <c r="Q110" i="17"/>
  <c r="R110" i="17" s="1"/>
  <c r="Q172" i="17"/>
  <c r="R172" i="17" s="1"/>
  <c r="T159" i="17"/>
  <c r="R270" i="17"/>
  <c r="R89" i="17"/>
  <c r="P80" i="17"/>
  <c r="Q80" i="17"/>
  <c r="R113" i="17"/>
  <c r="S29" i="17"/>
  <c r="R254" i="17"/>
  <c r="P296" i="17"/>
  <c r="Q296" i="17" s="1"/>
  <c r="P47" i="17"/>
  <c r="Q47" i="17" s="1"/>
  <c r="R47" i="17" s="1"/>
  <c r="R106" i="17"/>
  <c r="S106" i="17" s="1"/>
  <c r="T106" i="17" s="1"/>
  <c r="Q216" i="17"/>
  <c r="R216" i="17" s="1"/>
  <c r="R207" i="17"/>
  <c r="P58" i="17"/>
  <c r="Q58" i="17" s="1"/>
  <c r="Q6" i="17"/>
  <c r="R289" i="17"/>
  <c r="R85" i="17"/>
  <c r="S85" i="17" s="1"/>
  <c r="Q259" i="17"/>
  <c r="R259" i="17" s="1"/>
  <c r="U190" i="17"/>
  <c r="V190" i="17" s="1"/>
  <c r="W190" i="17" s="1"/>
  <c r="Q272" i="17"/>
  <c r="R272" i="17" s="1"/>
  <c r="R96" i="17"/>
  <c r="S96" i="17" s="1"/>
  <c r="R108" i="17"/>
  <c r="P231" i="17"/>
  <c r="S71" i="17"/>
  <c r="T71" i="17" s="1"/>
  <c r="R278" i="17"/>
  <c r="S116" i="17"/>
  <c r="R46" i="17"/>
  <c r="S46" i="17" s="1"/>
  <c r="S79" i="17"/>
  <c r="T79" i="17" s="1"/>
  <c r="Q87" i="17"/>
  <c r="R87" i="17" s="1"/>
  <c r="R86" i="17"/>
  <c r="S86" i="17" s="1"/>
  <c r="R192" i="17"/>
  <c r="Q132" i="17"/>
  <c r="R132" i="17" s="1"/>
  <c r="U28" i="17"/>
  <c r="V28" i="17" s="1"/>
  <c r="P203" i="17"/>
  <c r="S92" i="17"/>
  <c r="T92" i="17" s="1"/>
  <c r="P176" i="17"/>
  <c r="S143" i="17"/>
  <c r="S63" i="17"/>
  <c r="T63" i="17" s="1"/>
  <c r="R134" i="17"/>
  <c r="S134" i="17"/>
  <c r="S151" i="17"/>
  <c r="T151" i="17" s="1"/>
  <c r="U151" i="17" s="1"/>
  <c r="V141" i="17"/>
  <c r="T29" i="17"/>
  <c r="S130" i="17"/>
  <c r="T130" i="17" s="1"/>
  <c r="P8" i="17"/>
  <c r="S204" i="17"/>
  <c r="T204" i="17" s="1"/>
  <c r="S295" i="17"/>
  <c r="T295" i="17" s="1"/>
  <c r="U295" i="17" s="1"/>
  <c r="P248" i="17"/>
  <c r="Q248" i="17" s="1"/>
  <c r="Q158" i="17"/>
  <c r="R158" i="17" s="1"/>
  <c r="S158" i="17" s="1"/>
  <c r="R230" i="17"/>
  <c r="S230" i="17" s="1"/>
  <c r="T230" i="17" s="1"/>
  <c r="R277" i="17"/>
  <c r="S277" i="17" s="1"/>
  <c r="P67" i="17"/>
  <c r="Q67" i="17"/>
  <c r="Q42" i="17"/>
  <c r="Q189" i="17"/>
  <c r="Q98" i="17"/>
  <c r="R98" i="17" s="1"/>
  <c r="S99" i="17"/>
  <c r="T99" i="17" s="1"/>
  <c r="S65" i="17"/>
  <c r="T65" i="17"/>
  <c r="P201" i="17"/>
  <c r="R234" i="17"/>
  <c r="S234" i="17" s="1"/>
  <c r="Q145" i="17"/>
  <c r="Q214" i="17"/>
  <c r="R214" i="17" s="1"/>
  <c r="Q139" i="17"/>
  <c r="R139" i="17" s="1"/>
  <c r="S139" i="17" s="1"/>
  <c r="T139" i="17" s="1"/>
  <c r="U139" i="17" s="1"/>
  <c r="S66" i="17"/>
  <c r="Q127" i="17"/>
  <c r="P104" i="17"/>
  <c r="R22" i="17"/>
  <c r="S22" i="17" s="1"/>
  <c r="U122" i="17"/>
  <c r="S293" i="17"/>
  <c r="T293" i="17" s="1"/>
  <c r="U293" i="17" s="1"/>
  <c r="S120" i="17"/>
  <c r="T120" i="17" s="1"/>
  <c r="P95" i="17"/>
  <c r="R186" i="17"/>
  <c r="S186" i="17" s="1"/>
  <c r="Q125" i="17"/>
  <c r="R125" i="17" s="1"/>
  <c r="T135" i="17"/>
  <c r="U135" i="17" s="1"/>
  <c r="Q199" i="17"/>
  <c r="R39" i="17"/>
  <c r="P38" i="17"/>
  <c r="Q38" i="17" s="1"/>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S10" i="17" s="1"/>
  <c r="T10" i="17" s="1"/>
  <c r="R15" i="17"/>
  <c r="P232" i="17"/>
  <c r="Q232" i="17" s="1"/>
  <c r="Q183" i="17"/>
  <c r="Q195" i="17"/>
  <c r="R195" i="17" s="1"/>
  <c r="P246" i="17"/>
  <c r="R233" i="17"/>
  <c r="S233" i="17" s="1"/>
  <c r="S26" i="17"/>
  <c r="T26" i="17" s="1"/>
  <c r="Q274" i="17"/>
  <c r="R54" i="17"/>
  <c r="R171" i="17"/>
  <c r="S171" i="17" s="1"/>
  <c r="Q93" i="17"/>
  <c r="R93" i="17" s="1"/>
  <c r="S93" i="17" s="1"/>
  <c r="T208" i="17"/>
  <c r="Q102" i="17"/>
  <c r="Q168" i="17"/>
  <c r="Q88" i="17"/>
  <c r="R182" i="17"/>
  <c r="P129" i="17"/>
  <c r="Q129" i="17" s="1"/>
  <c r="Q240" i="17"/>
  <c r="R240" i="17" s="1"/>
  <c r="Q111" i="17"/>
  <c r="T33" i="17"/>
  <c r="U33" i="17" s="1"/>
  <c r="R253" i="17"/>
  <c r="S253" i="17" s="1"/>
  <c r="R154" i="17"/>
  <c r="S154" i="17" s="1"/>
  <c r="Q14" i="17"/>
  <c r="R14" i="17" s="1"/>
  <c r="R50" i="17"/>
  <c r="Q167" i="17"/>
  <c r="R188" i="17"/>
  <c r="S188" i="17" s="1"/>
  <c r="P55" i="17"/>
  <c r="Q57" i="17"/>
  <c r="Q68" i="17"/>
  <c r="R68" i="17" s="1"/>
  <c r="S287" i="17"/>
  <c r="Q169" i="17"/>
  <c r="R169" i="17" s="1"/>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P51" i="17"/>
  <c r="Q51" i="17" s="1"/>
  <c r="R31" i="17"/>
  <c r="P210" i="17"/>
  <c r="R136" i="17"/>
  <c r="S164" i="17"/>
  <c r="Q269" i="17"/>
  <c r="R269" i="17" s="1"/>
  <c r="R196" i="17"/>
  <c r="S196" i="17" s="1"/>
  <c r="R60" i="17"/>
  <c r="Q121" i="17"/>
  <c r="R121" i="17" s="1"/>
  <c r="P142" i="17"/>
  <c r="Q142" i="17" s="1"/>
  <c r="S83" i="17"/>
  <c r="T83" i="17" s="1"/>
  <c r="S252" i="17"/>
  <c r="S173" i="17"/>
  <c r="T173" i="17" s="1"/>
  <c r="R191" i="17"/>
  <c r="S191" i="17" s="1"/>
  <c r="S94" i="17"/>
  <c r="T94" i="17" s="1"/>
  <c r="U94" i="17" s="1"/>
  <c r="V94" i="17" s="1"/>
  <c r="S205" i="17"/>
  <c r="S302" i="17"/>
  <c r="T302" i="17" s="1"/>
  <c r="U250" i="17"/>
  <c r="V250" i="17" s="1"/>
  <c r="U175" i="17"/>
  <c r="V175" i="17" s="1"/>
  <c r="S198" i="17"/>
  <c r="R212" i="17"/>
  <c r="S244" i="17"/>
  <c r="T225" i="17"/>
  <c r="U225" i="17" s="1"/>
  <c r="T298" i="17"/>
  <c r="S266" i="17"/>
  <c r="S16" i="17"/>
  <c r="U157" i="17"/>
  <c r="T180" i="17"/>
  <c r="S202" i="17"/>
  <c r="R245" i="17"/>
  <c r="T222" i="17"/>
  <c r="U222" i="17" s="1"/>
  <c r="S90" i="17"/>
  <c r="T90" i="17" s="1"/>
  <c r="S247" i="17"/>
  <c r="T118" i="17"/>
  <c r="R279" i="17"/>
  <c r="S279" i="17" s="1"/>
  <c r="R137" i="17"/>
  <c r="R290" i="17"/>
  <c r="R155" i="17"/>
  <c r="S258" i="17"/>
  <c r="T258" i="17" s="1"/>
  <c r="U258" i="17" s="1"/>
  <c r="T282" i="17"/>
  <c r="U282" i="17" s="1"/>
  <c r="S303" i="17"/>
  <c r="R291" i="17"/>
  <c r="T52" i="17"/>
  <c r="T285" i="17"/>
  <c r="T217" i="17"/>
  <c r="U200" i="17"/>
  <c r="S267" i="17"/>
  <c r="T267" i="17" s="1"/>
  <c r="S271" i="17"/>
  <c r="R264" i="17"/>
  <c r="S165" i="17"/>
  <c r="T213" i="17"/>
  <c r="T105" i="17"/>
  <c r="T62" i="17"/>
  <c r="T163" i="17"/>
  <c r="U163" i="17" s="1"/>
  <c r="V163" i="17" s="1"/>
  <c r="R280" i="17"/>
  <c r="R61" i="17"/>
  <c r="S20" i="17"/>
  <c r="U255" i="17"/>
  <c r="W305" i="17"/>
  <c r="X305" i="17" s="1"/>
  <c r="S73" i="17"/>
  <c r="T74" i="17"/>
  <c r="R114" i="17"/>
  <c r="T44" i="17"/>
  <c r="S218" i="17"/>
  <c r="S283" i="17"/>
  <c r="S177" i="17"/>
  <c r="S131" i="17"/>
  <c r="T131" i="17" s="1"/>
  <c r="S156" i="17"/>
  <c r="S41" i="17"/>
  <c r="R294" i="17"/>
  <c r="S294" i="17" s="1"/>
  <c r="R187" i="17"/>
  <c r="V107" i="17"/>
  <c r="S261" i="17"/>
  <c r="T194" i="17"/>
  <c r="U194" i="17" s="1"/>
  <c r="S265" i="17"/>
  <c r="T265" i="17" s="1"/>
  <c r="U265" i="17" s="1"/>
  <c r="U17" i="17"/>
  <c r="V17" i="17" s="1"/>
  <c r="R30" i="17"/>
  <c r="S30" i="17" s="1"/>
  <c r="T117" i="17"/>
  <c r="U117" i="17" s="1"/>
  <c r="T227" i="17"/>
  <c r="R37" i="17"/>
  <c r="V115" i="17"/>
  <c r="R53" i="17"/>
  <c r="T140" i="17"/>
  <c r="T153" i="17"/>
  <c r="R138" i="17"/>
  <c r="R174" i="17"/>
  <c r="S269" i="17" l="1"/>
  <c r="S40" i="17"/>
  <c r="T40" i="17" s="1"/>
  <c r="S59" i="17"/>
  <c r="U25" i="17"/>
  <c r="S13" i="17"/>
  <c r="S289" i="17"/>
  <c r="T289" i="17" s="1"/>
  <c r="T146" i="17"/>
  <c r="U146" i="17" s="1"/>
  <c r="T288" i="17"/>
  <c r="U288" i="17" s="1"/>
  <c r="T78" i="17"/>
  <c r="U78" i="17" s="1"/>
  <c r="U92" i="17"/>
  <c r="V92" i="17" s="1"/>
  <c r="V239" i="17"/>
  <c r="W239" i="17" s="1"/>
  <c r="T96" i="17"/>
  <c r="U96" i="17" s="1"/>
  <c r="V96" i="17" s="1"/>
  <c r="R75" i="17"/>
  <c r="T206" i="17"/>
  <c r="U206" i="17" s="1"/>
  <c r="S288" i="17"/>
  <c r="S216" i="17"/>
  <c r="R24" i="17"/>
  <c r="S24" i="17" s="1"/>
  <c r="T13" i="17"/>
  <c r="T238" i="17"/>
  <c r="V100" i="17"/>
  <c r="W100" i="17" s="1"/>
  <c r="T287" i="17"/>
  <c r="U287" i="17" s="1"/>
  <c r="U62" i="17"/>
  <c r="U300" i="17"/>
  <c r="V300" i="17" s="1"/>
  <c r="R32" i="17"/>
  <c r="S32" i="17" s="1"/>
  <c r="T209" i="17"/>
  <c r="U209" i="17" s="1"/>
  <c r="R185" i="17"/>
  <c r="S281" i="17"/>
  <c r="T281" i="17" s="1"/>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U166" i="17" s="1"/>
  <c r="V166" i="17" s="1"/>
  <c r="T196" i="17"/>
  <c r="U196" i="17" s="1"/>
  <c r="V196" i="17" s="1"/>
  <c r="S68" i="17"/>
  <c r="T68" i="17" s="1"/>
  <c r="U68" i="17" s="1"/>
  <c r="U48" i="17"/>
  <c r="T253" i="17"/>
  <c r="U253" i="17" s="1"/>
  <c r="S125" i="17"/>
  <c r="T125" i="17" s="1"/>
  <c r="T148" i="17"/>
  <c r="U148" i="17" s="1"/>
  <c r="T144" i="17"/>
  <c r="R243" i="17"/>
  <c r="S268" i="17"/>
  <c r="R58" i="17"/>
  <c r="S58" i="17" s="1"/>
  <c r="R235" i="17"/>
  <c r="R67" i="17"/>
  <c r="S67" i="17" s="1"/>
  <c r="S249" i="17"/>
  <c r="T249" i="17" s="1"/>
  <c r="T277" i="17"/>
  <c r="U277" i="17" s="1"/>
  <c r="S70" i="17"/>
  <c r="S172" i="17"/>
  <c r="T276" i="17"/>
  <c r="U276" i="17" s="1"/>
  <c r="V276" i="17" s="1"/>
  <c r="W276" i="17" s="1"/>
  <c r="U238" i="17"/>
  <c r="V238" i="17" s="1"/>
  <c r="S7" i="17"/>
  <c r="T7" i="17" s="1"/>
  <c r="U7" i="17" s="1"/>
  <c r="T158" i="17"/>
  <c r="U158" i="17" s="1"/>
  <c r="V158" i="17" s="1"/>
  <c r="V284" i="17"/>
  <c r="W284" i="17" s="1"/>
  <c r="S110" i="17"/>
  <c r="T110" i="17" s="1"/>
  <c r="S226" i="17"/>
  <c r="T226" i="17" s="1"/>
  <c r="T134" i="17"/>
  <c r="U134" i="17" s="1"/>
  <c r="V134" i="17" s="1"/>
  <c r="T262" i="17"/>
  <c r="U262" i="17" s="1"/>
  <c r="T76" i="17"/>
  <c r="V19" i="17"/>
  <c r="T22" i="17"/>
  <c r="S214" i="17"/>
  <c r="T214" i="17" s="1"/>
  <c r="U214" i="17" s="1"/>
  <c r="V214" i="17" s="1"/>
  <c r="S272" i="17"/>
  <c r="T272" i="17" s="1"/>
  <c r="S77" i="17"/>
  <c r="T77" i="17" s="1"/>
  <c r="U77" i="17" s="1"/>
  <c r="U147" i="17"/>
  <c r="V147" i="17" s="1"/>
  <c r="W147" i="17" s="1"/>
  <c r="T86" i="17"/>
  <c r="U86" i="17" s="1"/>
  <c r="S128" i="17"/>
  <c r="T128" i="17" s="1"/>
  <c r="U128" i="17" s="1"/>
  <c r="W12" i="17"/>
  <c r="X12" i="17" s="1"/>
  <c r="U23" i="17"/>
  <c r="V23" i="17" s="1"/>
  <c r="W23" i="17" s="1"/>
  <c r="T9" i="17"/>
  <c r="U159" i="17"/>
  <c r="S219" i="17"/>
  <c r="T219" i="17" s="1"/>
  <c r="V34" i="17"/>
  <c r="W34" i="17" s="1"/>
  <c r="U90" i="17"/>
  <c r="V90" i="17" s="1"/>
  <c r="T64" i="17"/>
  <c r="U64" i="17" s="1"/>
  <c r="T152" i="17"/>
  <c r="U152" i="17" s="1"/>
  <c r="V152" i="17" s="1"/>
  <c r="T49" i="17"/>
  <c r="U49" i="17" s="1"/>
  <c r="V49" i="17" s="1"/>
  <c r="S89" i="17"/>
  <c r="T89" i="17" s="1"/>
  <c r="U89" i="17" s="1"/>
  <c r="T233" i="17"/>
  <c r="S27" i="17"/>
  <c r="S170" i="17"/>
  <c r="T234" i="17"/>
  <c r="U99" i="17"/>
  <c r="V99" i="17" s="1"/>
  <c r="T257" i="17"/>
  <c r="U257" i="17" s="1"/>
  <c r="U211" i="17"/>
  <c r="V211" i="17"/>
  <c r="U71" i="17"/>
  <c r="V71" i="17" s="1"/>
  <c r="S47" i="17"/>
  <c r="T46" i="17"/>
  <c r="U46" i="17" s="1"/>
  <c r="Q203" i="17"/>
  <c r="R203" i="17" s="1"/>
  <c r="U150" i="17"/>
  <c r="V150" i="17" s="1"/>
  <c r="W250" i="17"/>
  <c r="X250" i="17" s="1"/>
  <c r="S212" i="17"/>
  <c r="U130" i="17"/>
  <c r="R224" i="17"/>
  <c r="S224" i="17" s="1"/>
  <c r="S15" i="17"/>
  <c r="S178" i="17"/>
  <c r="T178" i="17" s="1"/>
  <c r="V82" i="17"/>
  <c r="W82" i="17" s="1"/>
  <c r="T143" i="17"/>
  <c r="U143" i="17" s="1"/>
  <c r="S113" i="17"/>
  <c r="T113" i="17" s="1"/>
  <c r="S240" i="17"/>
  <c r="T240" i="17" s="1"/>
  <c r="R197" i="17"/>
  <c r="U10" i="17"/>
  <c r="V10"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s="1"/>
  <c r="V260" i="17" s="1"/>
  <c r="R6" i="17"/>
  <c r="S278" i="17"/>
  <c r="T164" i="17"/>
  <c r="U223" i="17"/>
  <c r="V223" i="17"/>
  <c r="S207" i="17"/>
  <c r="Q201" i="17"/>
  <c r="S254" i="17"/>
  <c r="T254" i="17" s="1"/>
  <c r="S121" i="17"/>
  <c r="T121" i="17" s="1"/>
  <c r="Q210" i="17"/>
  <c r="Q286" i="17"/>
  <c r="S109" i="17"/>
  <c r="R168" i="17"/>
  <c r="S136" i="17"/>
  <c r="R38" i="17"/>
  <c r="S38" i="17" s="1"/>
  <c r="T38" i="17" s="1"/>
  <c r="S98" i="17"/>
  <c r="R127" i="17"/>
  <c r="S14" i="17"/>
  <c r="T14" i="17" s="1"/>
  <c r="T186" i="17"/>
  <c r="U186" i="17" s="1"/>
  <c r="V186" i="17" s="1"/>
  <c r="T85" i="17"/>
  <c r="U85" i="17" s="1"/>
  <c r="T171" i="17"/>
  <c r="U171" i="17" s="1"/>
  <c r="V295" i="17"/>
  <c r="W295" i="17" s="1"/>
  <c r="X295" i="17" s="1"/>
  <c r="U63" i="17"/>
  <c r="V63" i="17" s="1"/>
  <c r="S60" i="17"/>
  <c r="T60" i="17" s="1"/>
  <c r="S182" i="17"/>
  <c r="Q55" i="17"/>
  <c r="Q104" i="17"/>
  <c r="S237" i="17"/>
  <c r="T237" i="17" s="1"/>
  <c r="R248" i="17"/>
  <c r="S248" i="17" s="1"/>
  <c r="R183" i="17"/>
  <c r="S183" i="17" s="1"/>
  <c r="T183" i="17" s="1"/>
  <c r="S259" i="17"/>
  <c r="T259" i="17" s="1"/>
  <c r="U259" i="17" s="1"/>
  <c r="R42" i="17"/>
  <c r="V293" i="17"/>
  <c r="W293" i="17" s="1"/>
  <c r="X293" i="17" s="1"/>
  <c r="R51" i="17"/>
  <c r="S51" i="17" s="1"/>
  <c r="S270" i="17"/>
  <c r="T270" i="17" s="1"/>
  <c r="U270" i="17" s="1"/>
  <c r="R57" i="17"/>
  <c r="S57" i="17" s="1"/>
  <c r="R189" i="17"/>
  <c r="R193" i="17"/>
  <c r="S193" i="17" s="1"/>
  <c r="R301" i="17"/>
  <c r="R145" i="17"/>
  <c r="S145" i="17" s="1"/>
  <c r="S54" i="17"/>
  <c r="R102" i="17"/>
  <c r="S102" i="17" s="1"/>
  <c r="R129" i="17"/>
  <c r="S81" i="17"/>
  <c r="S39" i="17"/>
  <c r="T39" i="17" s="1"/>
  <c r="U39" i="17" s="1"/>
  <c r="Q231" i="17"/>
  <c r="R231" i="17" s="1"/>
  <c r="U40" i="17"/>
  <c r="V40" i="17" s="1"/>
  <c r="T154" i="17"/>
  <c r="U154" i="17" s="1"/>
  <c r="V154" i="17" s="1"/>
  <c r="R274" i="17"/>
  <c r="S274" i="17" s="1"/>
  <c r="V135" i="17"/>
  <c r="W135" i="17" s="1"/>
  <c r="X190" i="17"/>
  <c r="Y190" i="17" s="1"/>
  <c r="Z190" i="17" s="1"/>
  <c r="T66" i="17"/>
  <c r="S31" i="17"/>
  <c r="S133" i="17"/>
  <c r="T133" i="17" s="1"/>
  <c r="Q236" i="17"/>
  <c r="R236" i="17" s="1"/>
  <c r="Q246" i="17"/>
  <c r="R246" i="17" s="1"/>
  <c r="V33" i="17"/>
  <c r="T93" i="17"/>
  <c r="U93" i="17" s="1"/>
  <c r="V93" i="17" s="1"/>
  <c r="T229" i="17"/>
  <c r="U229" i="17" s="1"/>
  <c r="V229" i="17" s="1"/>
  <c r="R232" i="17"/>
  <c r="S232" i="17" s="1"/>
  <c r="T149" i="17"/>
  <c r="Q8" i="17"/>
  <c r="R8" i="17" s="1"/>
  <c r="Q84" i="17"/>
  <c r="R84" i="17" s="1"/>
  <c r="S132" i="17"/>
  <c r="T132" i="17" s="1"/>
  <c r="S87" i="17"/>
  <c r="T87" i="17" s="1"/>
  <c r="T216" i="17"/>
  <c r="U216" i="17" s="1"/>
  <c r="R296" i="17"/>
  <c r="R88" i="17"/>
  <c r="S88" i="17" s="1"/>
  <c r="R292" i="17"/>
  <c r="S221" i="17"/>
  <c r="T221" i="17" s="1"/>
  <c r="Q176" i="17"/>
  <c r="R176" i="17" s="1"/>
  <c r="T116" i="17"/>
  <c r="S195" i="17"/>
  <c r="T195" i="17" s="1"/>
  <c r="Q95" i="17"/>
  <c r="R95" i="17"/>
  <c r="W65" i="17"/>
  <c r="X65" i="17" s="1"/>
  <c r="R161" i="17"/>
  <c r="S161" i="17" s="1"/>
  <c r="Q179" i="17"/>
  <c r="T69" i="17"/>
  <c r="U69" i="17" s="1"/>
  <c r="V69" i="17" s="1"/>
  <c r="U29" i="17"/>
  <c r="V29" i="17" s="1"/>
  <c r="U79" i="17"/>
  <c r="R167" i="17"/>
  <c r="S167" i="17" s="1"/>
  <c r="S50" i="17"/>
  <c r="R112" i="17"/>
  <c r="S123" i="17"/>
  <c r="R56" i="17"/>
  <c r="S56" i="17" s="1"/>
  <c r="W115" i="17"/>
  <c r="X115" i="17" s="1"/>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s="1"/>
  <c r="T202" i="17"/>
  <c r="T252" i="17"/>
  <c r="U252" i="17" s="1"/>
  <c r="S61" i="17"/>
  <c r="Y256" i="17"/>
  <c r="Z256" i="17" s="1"/>
  <c r="U230" i="17"/>
  <c r="V230" i="17" s="1"/>
  <c r="U217" i="17"/>
  <c r="V217" i="17"/>
  <c r="W217" i="17" s="1"/>
  <c r="U124" i="17"/>
  <c r="U105" i="17"/>
  <c r="V105" i="17" s="1"/>
  <c r="W105" i="17" s="1"/>
  <c r="V288" i="17"/>
  <c r="W242" i="17"/>
  <c r="T269" i="17"/>
  <c r="T191" i="17"/>
  <c r="U191" i="17" s="1"/>
  <c r="V157" i="17"/>
  <c r="W157" i="17" s="1"/>
  <c r="T266" i="17"/>
  <c r="W175" i="17"/>
  <c r="V277" i="17"/>
  <c r="W277" i="17" s="1"/>
  <c r="S280" i="17"/>
  <c r="T244" i="17"/>
  <c r="U213" i="17"/>
  <c r="U267" i="17"/>
  <c r="V267" i="17" s="1"/>
  <c r="U302" i="17"/>
  <c r="U118" i="17"/>
  <c r="U275" i="17"/>
  <c r="U285" i="17"/>
  <c r="V285" i="17" s="1"/>
  <c r="W285" i="17" s="1"/>
  <c r="V258" i="17"/>
  <c r="U83" i="17"/>
  <c r="W163" i="17"/>
  <c r="V200" i="17"/>
  <c r="S291" i="17"/>
  <c r="T291" i="17" s="1"/>
  <c r="S290" i="17"/>
  <c r="W184" i="17"/>
  <c r="X184" i="17" s="1"/>
  <c r="U180" i="17"/>
  <c r="T198" i="17"/>
  <c r="Y305" i="17"/>
  <c r="T303" i="17"/>
  <c r="U303" i="17" s="1"/>
  <c r="V282" i="17"/>
  <c r="T271" i="17"/>
  <c r="U271" i="17" s="1"/>
  <c r="V271" i="17" s="1"/>
  <c r="V225" i="17"/>
  <c r="W225" i="17"/>
  <c r="U52" i="17"/>
  <c r="T279" i="17"/>
  <c r="T160" i="17"/>
  <c r="U160" i="17" s="1"/>
  <c r="V139" i="17"/>
  <c r="S155" i="17"/>
  <c r="W94" i="17"/>
  <c r="S137" i="17"/>
  <c r="U241" i="17"/>
  <c r="T16" i="17"/>
  <c r="U298" i="17"/>
  <c r="S245" i="17"/>
  <c r="V151" i="17"/>
  <c r="T247" i="17"/>
  <c r="V222" i="17"/>
  <c r="U173" i="17"/>
  <c r="Y25" i="17" l="1"/>
  <c r="V25" i="17"/>
  <c r="W25" i="17" s="1"/>
  <c r="X25" i="17" s="1"/>
  <c r="U13" i="17"/>
  <c r="S236" i="17"/>
  <c r="V146" i="17"/>
  <c r="U9" i="17"/>
  <c r="V9" i="17" s="1"/>
  <c r="W9" i="17" s="1"/>
  <c r="X9" i="17" s="1"/>
  <c r="Y9" i="17" s="1"/>
  <c r="W215" i="17"/>
  <c r="X215" i="17" s="1"/>
  <c r="U289" i="17"/>
  <c r="V289" i="17" s="1"/>
  <c r="W289" i="17"/>
  <c r="X289" i="17" s="1"/>
  <c r="Y289" i="17" s="1"/>
  <c r="V287" i="17"/>
  <c r="W287" i="17" s="1"/>
  <c r="X100" i="17"/>
  <c r="Y100" i="17" s="1"/>
  <c r="Z100" i="17" s="1"/>
  <c r="S243" i="17"/>
  <c r="T243" i="17" s="1"/>
  <c r="U243" i="17" s="1"/>
  <c r="S75" i="17"/>
  <c r="T75" i="17" s="1"/>
  <c r="U75" i="17" s="1"/>
  <c r="U254" i="17"/>
  <c r="V254" i="17" s="1"/>
  <c r="W254" i="17" s="1"/>
  <c r="U60" i="17"/>
  <c r="V60" i="17" s="1"/>
  <c r="W60" i="17" s="1"/>
  <c r="W99" i="17"/>
  <c r="X99" i="17" s="1"/>
  <c r="S235" i="17"/>
  <c r="T235" i="17" s="1"/>
  <c r="T24" i="17"/>
  <c r="W300" i="17"/>
  <c r="X300" i="17" s="1"/>
  <c r="V62" i="17"/>
  <c r="W62" i="17" s="1"/>
  <c r="W297" i="17"/>
  <c r="X297" i="17" s="1"/>
  <c r="Y297" i="17" s="1"/>
  <c r="V262" i="17"/>
  <c r="W262" i="17" s="1"/>
  <c r="X34" i="17"/>
  <c r="Y34" i="17" s="1"/>
  <c r="U226" i="17"/>
  <c r="V226" i="17" s="1"/>
  <c r="V78" i="17"/>
  <c r="W78" i="17" s="1"/>
  <c r="X78" i="17" s="1"/>
  <c r="Y78" i="17" s="1"/>
  <c r="V59" i="17"/>
  <c r="W59" i="17" s="1"/>
  <c r="V77" i="17"/>
  <c r="W77" i="17" s="1"/>
  <c r="U110" i="17"/>
  <c r="V110" i="17" s="1"/>
  <c r="U113" i="17"/>
  <c r="V113" i="17" s="1"/>
  <c r="R72" i="17"/>
  <c r="S72" i="17"/>
  <c r="T56" i="17"/>
  <c r="U56" i="17" s="1"/>
  <c r="V56" i="17" s="1"/>
  <c r="W211" i="17"/>
  <c r="X211" i="17" s="1"/>
  <c r="Y211" i="17" s="1"/>
  <c r="V48" i="17"/>
  <c r="W48" i="17" s="1"/>
  <c r="X48" i="17" s="1"/>
  <c r="S185" i="17"/>
  <c r="T32" i="17"/>
  <c r="U32" i="17" s="1"/>
  <c r="U237" i="17"/>
  <c r="V237" i="17" s="1"/>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220" i="17" s="1"/>
  <c r="W220" i="17" s="1"/>
  <c r="U125" i="17"/>
  <c r="V125" i="17" s="1"/>
  <c r="W125" i="17" s="1"/>
  <c r="X125" i="17" s="1"/>
  <c r="V253" i="17"/>
  <c r="W253" i="17" s="1"/>
  <c r="U219" i="17"/>
  <c r="V219" i="17" s="1"/>
  <c r="V128" i="17"/>
  <c r="W128" i="17" s="1"/>
  <c r="T268" i="17"/>
  <c r="U268" i="17"/>
  <c r="W19" i="17"/>
  <c r="X19" i="17" s="1"/>
  <c r="W90" i="17"/>
  <c r="X90" i="17" s="1"/>
  <c r="Y90" i="17" s="1"/>
  <c r="Z90" i="17" s="1"/>
  <c r="AA90" i="17" s="1"/>
  <c r="AB90" i="17" s="1"/>
  <c r="T172" i="17"/>
  <c r="U172" i="17" s="1"/>
  <c r="V159" i="17"/>
  <c r="U144" i="17"/>
  <c r="V144" i="17" s="1"/>
  <c r="U121" i="17"/>
  <c r="V121" i="17" s="1"/>
  <c r="V171" i="17"/>
  <c r="W171" i="17" s="1"/>
  <c r="U195" i="17"/>
  <c r="W40" i="17"/>
  <c r="X40" i="17" s="1"/>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U111" i="17"/>
  <c r="V111" i="17" s="1"/>
  <c r="W111" i="17" s="1"/>
  <c r="W154" i="17"/>
  <c r="X154" i="17" s="1"/>
  <c r="V259" i="17"/>
  <c r="W259" i="17" s="1"/>
  <c r="X259" i="17" s="1"/>
  <c r="S84" i="17"/>
  <c r="T84" i="17" s="1"/>
  <c r="W188" i="17"/>
  <c r="X188" i="17" s="1"/>
  <c r="U73" i="17"/>
  <c r="V73" i="17" s="1"/>
  <c r="T123" i="17"/>
  <c r="T31" i="17"/>
  <c r="U31" i="17" s="1"/>
  <c r="R201" i="17"/>
  <c r="S201" i="17" s="1"/>
  <c r="S189" i="17"/>
  <c r="T189" i="17" s="1"/>
  <c r="U149" i="17"/>
  <c r="S95" i="17"/>
  <c r="T95" i="17" s="1"/>
  <c r="U95" i="17" s="1"/>
  <c r="U240" i="17"/>
  <c r="V240" i="17" s="1"/>
  <c r="T167" i="17"/>
  <c r="U167" i="17" s="1"/>
  <c r="R55" i="17"/>
  <c r="S55" i="17" s="1"/>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207" i="17"/>
  <c r="U207" i="17" s="1"/>
  <c r="T15" i="17"/>
  <c r="U15" i="17" s="1"/>
  <c r="U37" i="17"/>
  <c r="S197" i="17"/>
  <c r="T197" i="17" s="1"/>
  <c r="T109" i="17"/>
  <c r="U109" i="17" s="1"/>
  <c r="T192" i="17"/>
  <c r="S142" i="17"/>
  <c r="T142" i="17" s="1"/>
  <c r="U233" i="17"/>
  <c r="S112" i="17"/>
  <c r="T112" i="17" s="1"/>
  <c r="R286" i="17"/>
  <c r="S286" i="17" s="1"/>
  <c r="T224" i="17"/>
  <c r="U22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X299" i="17"/>
  <c r="S6" i="17"/>
  <c r="S246" i="17"/>
  <c r="T246" i="17" s="1"/>
  <c r="S127" i="17"/>
  <c r="T236" i="17"/>
  <c r="X276" i="17"/>
  <c r="Y276" i="17" s="1"/>
  <c r="Z276" i="17" s="1"/>
  <c r="AA276" i="17" s="1"/>
  <c r="X285" i="17"/>
  <c r="Y285" i="17" s="1"/>
  <c r="Z285" i="17" s="1"/>
  <c r="T245" i="17"/>
  <c r="U279" i="17"/>
  <c r="Y295" i="17"/>
  <c r="Z295" i="17" s="1"/>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U294" i="17"/>
  <c r="V294" i="17" s="1"/>
  <c r="W294" i="17" s="1"/>
  <c r="X294" i="17" s="1"/>
  <c r="Y294" i="17" s="1"/>
  <c r="Z294" i="17" s="1"/>
  <c r="AA294" i="17" s="1"/>
  <c r="V173" i="17"/>
  <c r="W173" i="17" s="1"/>
  <c r="W222" i="17"/>
  <c r="T53" i="17"/>
  <c r="V302" i="17"/>
  <c r="V119" i="17"/>
  <c r="V298" i="17"/>
  <c r="X157" i="17"/>
  <c r="W139" i="17"/>
  <c r="X139" i="17" s="1"/>
  <c r="V303" i="17"/>
  <c r="Y250" i="17"/>
  <c r="V181" i="17"/>
  <c r="Z305" i="17"/>
  <c r="W200" i="17"/>
  <c r="X200" i="17" s="1"/>
  <c r="Y200" i="17" s="1"/>
  <c r="Z200" i="17" s="1"/>
  <c r="V83" i="17"/>
  <c r="U266" i="17"/>
  <c r="X117" i="17"/>
  <c r="T137" i="17"/>
  <c r="X94" i="17"/>
  <c r="T155"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T138" i="17"/>
  <c r="U138" i="17" s="1"/>
  <c r="U156" i="17"/>
  <c r="V131" i="17"/>
  <c r="V35" i="17"/>
  <c r="U16" i="17"/>
  <c r="V241" i="17"/>
  <c r="W229" i="17"/>
  <c r="X229" i="17" s="1"/>
  <c r="T290" i="17"/>
  <c r="V124" i="17"/>
  <c r="V74" i="17"/>
  <c r="X265" i="17"/>
  <c r="U283" i="17"/>
  <c r="W227" i="17"/>
  <c r="V85" i="17"/>
  <c r="W85" i="17" s="1"/>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X28"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V153" i="17"/>
  <c r="T174" i="17"/>
  <c r="Y115" i="17"/>
  <c r="V206" i="17"/>
  <c r="W206" i="17" s="1"/>
  <c r="V43" i="17"/>
  <c r="X91" i="17"/>
  <c r="Y91" i="17" s="1"/>
  <c r="Y45" i="17"/>
  <c r="U244" i="17"/>
  <c r="V191" i="17"/>
  <c r="X105" i="17"/>
  <c r="T114" i="17"/>
  <c r="W96" i="17"/>
  <c r="U38" i="17"/>
  <c r="V162" i="17"/>
  <c r="Z289" i="17" l="1"/>
  <c r="W237" i="17"/>
  <c r="X262" i="17"/>
  <c r="V75" i="17"/>
  <c r="X287" i="17"/>
  <c r="X59" i="17"/>
  <c r="Y59" i="17"/>
  <c r="Z59" i="17" s="1"/>
  <c r="AA59" i="17" s="1"/>
  <c r="Y10" i="17"/>
  <c r="X254" i="17"/>
  <c r="Y254" i="17" s="1"/>
  <c r="W75" i="17"/>
  <c r="X75" i="17" s="1"/>
  <c r="W219" i="17"/>
  <c r="X219" i="17"/>
  <c r="V243" i="17"/>
  <c r="W243" i="17" s="1"/>
  <c r="X243" i="17" s="1"/>
  <c r="T104" i="17"/>
  <c r="U104" i="17" s="1"/>
  <c r="V104"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U185" i="17" s="1"/>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Z19" i="17" s="1"/>
  <c r="AA19" i="17" s="1"/>
  <c r="Y63" i="17"/>
  <c r="Z63" i="17" s="1"/>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X281" i="17"/>
  <c r="Y281" i="17" s="1"/>
  <c r="X85" i="17"/>
  <c r="Y85" i="17" s="1"/>
  <c r="W221" i="17"/>
  <c r="X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39" i="17" s="1"/>
  <c r="Z39" i="17" s="1"/>
  <c r="AA39" i="17" s="1"/>
  <c r="AB39" i="17" s="1"/>
  <c r="AC39" i="17" s="1"/>
  <c r="AD39" i="17" s="1"/>
  <c r="AE39" i="17" s="1"/>
  <c r="AF39" i="17" s="1"/>
  <c r="AG39" i="17" s="1"/>
  <c r="AH39" i="17" s="1"/>
  <c r="AI39" i="17" s="1"/>
  <c r="AJ39" i="17" s="1"/>
  <c r="AK39" i="17" s="1"/>
  <c r="AL39" i="17" s="1"/>
  <c r="Y154" i="17"/>
  <c r="Z154" i="17" s="1"/>
  <c r="AA154" i="17" s="1"/>
  <c r="W172" i="17"/>
  <c r="X172" i="17" s="1"/>
  <c r="X253" i="17"/>
  <c r="Y253" i="17" s="1"/>
  <c r="W76" i="17"/>
  <c r="X76" i="17" s="1"/>
  <c r="Y76" i="17" s="1"/>
  <c r="Z76" i="17" s="1"/>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T286" i="17"/>
  <c r="U286" i="17" s="1"/>
  <c r="Z148" i="17"/>
  <c r="AA148" i="17" s="1"/>
  <c r="W193" i="17"/>
  <c r="X193" i="17" s="1"/>
  <c r="U142" i="17"/>
  <c r="V142" i="17" s="1"/>
  <c r="V51" i="17"/>
  <c r="W51" i="17" s="1"/>
  <c r="W240" i="17"/>
  <c r="X240" i="17" s="1"/>
  <c r="V109" i="17"/>
  <c r="W133" i="17"/>
  <c r="X133" i="17" s="1"/>
  <c r="Y133" i="17" s="1"/>
  <c r="V27" i="17"/>
  <c r="W27" i="17" s="1"/>
  <c r="X27" i="17" s="1"/>
  <c r="Y27" i="17" s="1"/>
  <c r="Z27" i="17" s="1"/>
  <c r="AA27" i="17" s="1"/>
  <c r="V161" i="17"/>
  <c r="U84" i="17"/>
  <c r="V84" i="17" s="1"/>
  <c r="W84" i="17" s="1"/>
  <c r="X257" i="17"/>
  <c r="Y257" i="17" s="1"/>
  <c r="V31" i="17"/>
  <c r="X33" i="17"/>
  <c r="Z211" i="17"/>
  <c r="AA211" i="17" s="1"/>
  <c r="V116" i="17"/>
  <c r="V212" i="17"/>
  <c r="U112" i="17"/>
  <c r="X79" i="17"/>
  <c r="Y79" i="17" s="1"/>
  <c r="V102" i="17"/>
  <c r="T127" i="17"/>
  <c r="X130" i="17"/>
  <c r="X208" i="17"/>
  <c r="U42" i="17"/>
  <c r="V42" i="17" s="1"/>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U129" i="17" s="1"/>
  <c r="T263" i="17"/>
  <c r="V95" i="17"/>
  <c r="X206" i="17"/>
  <c r="Y206" i="17" s="1"/>
  <c r="W108" i="17"/>
  <c r="X260" i="17"/>
  <c r="Y260" i="17" s="1"/>
  <c r="X7" i="17"/>
  <c r="Y7" i="17" s="1"/>
  <c r="W88" i="17"/>
  <c r="X88" i="17" s="1"/>
  <c r="V57" i="17"/>
  <c r="Y188" i="17"/>
  <c r="Z188" i="17" s="1"/>
  <c r="W164" i="17"/>
  <c r="X164" i="17" s="1"/>
  <c r="T301" i="17"/>
  <c r="T55" i="17"/>
  <c r="V54" i="17"/>
  <c r="W216" i="17"/>
  <c r="U189" i="17"/>
  <c r="V189" i="17" s="1"/>
  <c r="V58" i="17"/>
  <c r="X60" i="17"/>
  <c r="AC11" i="17"/>
  <c r="AD11" i="17" s="1"/>
  <c r="AE11" i="17" s="1"/>
  <c r="AF11" i="17" s="1"/>
  <c r="AG11" i="17" s="1"/>
  <c r="U248" i="17"/>
  <c r="V248" i="17" s="1"/>
  <c r="T8" i="17"/>
  <c r="U8" i="17" s="1"/>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T6" i="17"/>
  <c r="U6" i="17" s="1"/>
  <c r="V6" i="17" s="1"/>
  <c r="W6" i="17" s="1"/>
  <c r="U278" i="17"/>
  <c r="V278" i="17" s="1"/>
  <c r="U123" i="17"/>
  <c r="X304" i="17"/>
  <c r="Y304" i="17" s="1"/>
  <c r="U176" i="17"/>
  <c r="V176"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U136" i="17"/>
  <c r="X89" i="17"/>
  <c r="Y89" i="17" s="1"/>
  <c r="Z89"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AB285" i="17"/>
  <c r="AC285" i="17" s="1"/>
  <c r="V15" i="17"/>
  <c r="S179" i="17"/>
  <c r="T179" i="17" s="1"/>
  <c r="V234" i="17"/>
  <c r="V272"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Y219" i="17" l="1"/>
  <c r="AD118" i="17"/>
  <c r="AE118" i="17" s="1"/>
  <c r="AF118" i="17" s="1"/>
  <c r="AG118" i="17" s="1"/>
  <c r="AH118" i="17" s="1"/>
  <c r="AI118" i="17" s="1"/>
  <c r="AB59" i="17"/>
  <c r="AC59" i="17" s="1"/>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W168" i="17"/>
  <c r="X168" i="17" s="1"/>
  <c r="Y113" i="17"/>
  <c r="Z113" i="17" s="1"/>
  <c r="AA22" i="17"/>
  <c r="AB22" i="17" s="1"/>
  <c r="AC22" i="17" s="1"/>
  <c r="AD22" i="17" s="1"/>
  <c r="AE22" i="17" s="1"/>
  <c r="AF22" i="17" s="1"/>
  <c r="AG22" i="17" s="1"/>
  <c r="Y75" i="17"/>
  <c r="Z75" i="17" s="1"/>
  <c r="AA75" i="17" s="1"/>
  <c r="AB75" i="17" s="1"/>
  <c r="AC75" i="17" s="1"/>
  <c r="AD75" i="17" s="1"/>
  <c r="AE75" i="17" s="1"/>
  <c r="AF75" i="17" s="1"/>
  <c r="AG75" i="17" s="1"/>
  <c r="AH75" i="17" s="1"/>
  <c r="AI75" i="17" s="1"/>
  <c r="AJ75" i="17" s="1"/>
  <c r="AK75" i="17" s="1"/>
  <c r="AL75" i="17" s="1"/>
  <c r="AM75" i="17" s="1"/>
  <c r="AN75" i="17" s="1"/>
  <c r="AO75" i="17" s="1"/>
  <c r="AP75" i="17" s="1"/>
  <c r="Z254" i="17"/>
  <c r="AA254" i="17" s="1"/>
  <c r="AO184" i="17"/>
  <c r="AP184" i="17" s="1"/>
  <c r="AQ184" i="17" s="1"/>
  <c r="AR184" i="17" s="1"/>
  <c r="AS184" i="17" s="1"/>
  <c r="AT184" i="17" s="1"/>
  <c r="AU184" i="17" s="1"/>
  <c r="X195" i="17"/>
  <c r="Y195"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43" i="17"/>
  <c r="Z243" i="17" s="1"/>
  <c r="AN128" i="17"/>
  <c r="Z281" i="17"/>
  <c r="AA281" i="17" s="1"/>
  <c r="AB281" i="17" s="1"/>
  <c r="AC281" i="17" s="1"/>
  <c r="CX150" i="17"/>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AA253" i="17" s="1"/>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s="1"/>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s="1"/>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Y241" i="17"/>
  <c r="W161" i="17"/>
  <c r="X161" i="17" s="1"/>
  <c r="X108" i="17"/>
  <c r="Y108" i="17" s="1"/>
  <c r="W236" i="17"/>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Y6" i="17" s="1"/>
  <c r="Z6" i="17" s="1"/>
  <c r="V8" i="17"/>
  <c r="W8" i="17" s="1"/>
  <c r="V192" i="17"/>
  <c r="W102" i="17"/>
  <c r="V232" i="17"/>
  <c r="U179" i="17"/>
  <c r="W66" i="17"/>
  <c r="X66" i="17" s="1"/>
  <c r="W54" i="17"/>
  <c r="Z143" i="17"/>
  <c r="AA143" i="17" s="1"/>
  <c r="AB143" i="17" s="1"/>
  <c r="AC143" i="17" s="1"/>
  <c r="AD143" i="17" s="1"/>
  <c r="W272" i="17"/>
  <c r="Y246" i="17"/>
  <c r="V129" i="17"/>
  <c r="V123" i="17"/>
  <c r="W123" i="17" s="1"/>
  <c r="U231" i="17"/>
  <c r="Y122"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B254" i="17" l="1"/>
  <c r="AC254" i="17" s="1"/>
  <c r="AD254" i="17" s="1"/>
  <c r="AE254" i="17" s="1"/>
  <c r="AF254"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AG77" i="17"/>
  <c r="Z195" i="17"/>
  <c r="X199" i="17"/>
  <c r="Y199"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AA56" i="17"/>
  <c r="BJ206" i="17"/>
  <c r="BK206" i="17" s="1"/>
  <c r="BL206" i="17" s="1"/>
  <c r="BM206" i="17" s="1"/>
  <c r="BN206" i="17" s="1"/>
  <c r="BO206" i="17" s="1"/>
  <c r="BP206" i="17" s="1"/>
  <c r="BQ206" i="17" s="1"/>
  <c r="BR206" i="17" s="1"/>
  <c r="BS206" i="17" s="1"/>
  <c r="BT206" i="17" s="1"/>
  <c r="BU206" i="17" s="1"/>
  <c r="BV206" i="17" s="1"/>
  <c r="BW206" i="17" s="1"/>
  <c r="BX206" i="17" s="1"/>
  <c r="BY206" i="17" s="1"/>
  <c r="BZ206" i="17" s="1"/>
  <c r="Y291" i="17"/>
  <c r="Z291" i="17" s="1"/>
  <c r="AA291" i="17" s="1"/>
  <c r="AB291" i="17" s="1"/>
  <c r="AO128" i="17"/>
  <c r="AP128" i="17" s="1"/>
  <c r="AQ128"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s="1"/>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47" i="17" s="1"/>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H85" i="17"/>
  <c r="AI85" i="17" s="1"/>
  <c r="AJ85" i="17" s="1"/>
  <c r="AK85" i="17" s="1"/>
  <c r="AL85" i="17" s="1"/>
  <c r="AM85" i="17" s="1"/>
  <c r="AN85" i="17" s="1"/>
  <c r="AO85" i="17" s="1"/>
  <c r="AP85" i="17" s="1"/>
  <c r="AQ85"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G254" i="17" l="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AC164" i="17"/>
  <c r="AD164" i="17" s="1"/>
  <c r="AE164" i="17" s="1"/>
  <c r="AF164" i="17" s="1"/>
  <c r="AG164" i="17" s="1"/>
  <c r="AH164" i="17" s="1"/>
  <c r="AI164" i="17" s="1"/>
  <c r="AJ164" i="17" s="1"/>
  <c r="AK164" i="17" s="1"/>
  <c r="AA57" i="17"/>
  <c r="AB57" i="17" s="1"/>
  <c r="AC57"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B111" i="17"/>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CG215" i="17" l="1"/>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AH254" i="17"/>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E210" i="17" l="1"/>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AI254" i="17"/>
  <c r="AJ254" i="17" s="1"/>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CQ254" i="17" l="1"/>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<sst xmlns="http://schemas.openxmlformats.org/spreadsheetml/2006/main" count="2364" uniqueCount="621">
  <si>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</si>
  <si>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</si>
  <si>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</si>
  <si>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</si>
  <si>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</si>
  <si>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</si>
  <si>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</si>
  <si>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</si>
  <si>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</si>
  <si>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</si>
  <si>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</si>
  <si>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</si>
  <si>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</si>
  <si>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</si>
  <si>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</si>
  <si>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</si>
  <si>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</si>
  <si>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</si>
  <si>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</si>
  <si>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</si>
  <si>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</si>
  <si>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</si>
  <si>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</si>
  <si>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</si>
  <si>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</si>
  <si>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</si>
  <si>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</si>
  <si>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</si>
  <si>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</si>
  <si>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</si>
  <si>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</si>
  <si>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</si>
  <si>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</si>
  <si>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</si>
  <si>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</si>
  <si>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</si>
  <si>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</si>
  <si>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</si>
  <si>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</si>
  <si>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</si>
  <si>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</si>
  <si>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</si>
  <si>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</si>
  <si>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</si>
  <si>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</si>
  <si>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</si>
  <si>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</si>
  <si>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</si>
  <si>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</si>
  <si>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</si>
  <si>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</si>
  <si>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</si>
  <si>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</si>
  <si>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</si>
  <si>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</si>
  <si>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</si>
  <si>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</si>
  <si>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</si>
  <si>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</si>
  <si>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</si>
  <si>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</si>
  <si>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</si>
  <si>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</si>
  <si>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</si>
  <si>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</si>
  <si>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</si>
  <si>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</si>
  <si>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</si>
  <si>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</si>
  <si>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</si>
  <si>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</si>
  <si>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</si>
  <si>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</si>
  <si>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</si>
  <si>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</si>
  <si>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</si>
  <si>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</si>
  <si>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</si>
  <si>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</si>
  <si>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</si>
  <si>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</si>
  <si>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</si>
  <si>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</si>
  <si>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</si>
  <si>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</si>
  <si>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</si>
  <si>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</si>
  <si>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</si>
  <si>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</si>
  <si>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</si>
  <si>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</si>
  <si>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</si>
  <si>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</si>
  <si>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</si>
  <si>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</si>
  <si>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</si>
  <si>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</si>
  <si>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</si>
  <si>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</si>
  <si>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</si>
  <si>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</si>
  <si>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</si>
  <si>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</si>
  <si>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</si>
  <si>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</si>
  <si>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</si>
  <si>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</si>
  <si>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</si>
  <si>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</si>
  <si>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</si>
  <si>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</si>
  <si>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</si>
  <si>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</si>
  <si>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</si>
  <si>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</si>
  <si>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</si>
  <si>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</si>
  <si>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</si>
  <si>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</si>
  <si>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</si>
  <si>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</si>
  <si>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</si>
  <si>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</si>
  <si>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</si>
  <si>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</si>
  <si>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</si>
  <si>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</si>
  <si>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</si>
  <si>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</si>
  <si>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</si>
  <si>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</si>
  <si>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</si>
  <si>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</si>
  <si>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</si>
  <si>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</si>
  <si>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</si>
  <si>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</si>
  <si>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</si>
  <si>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</si>
  <si>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</si>
  <si>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</si>
  <si>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</si>
  <si>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</si>
  <si>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</si>
  <si>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</si>
  <si>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</si>
  <si>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</si>
  <si>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</si>
  <si>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</si>
  <si>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</si>
  <si>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</si>
  <si>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</si>
  <si>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</si>
  <si>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</si>
  <si>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</si>
  <si>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</si>
  <si>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</si>
  <si>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</si>
  <si>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</si>
  <si>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</si>
  <si>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</si>
  <si>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</si>
  <si>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</si>
  <si>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</si>
  <si>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</si>
  <si>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</si>
  <si>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</si>
  <si>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</si>
  <si>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</si>
  <si>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</si>
  <si>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</si>
  <si>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</si>
  <si>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</si>
  <si>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</si>
  <si>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</si>
  <si>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</si>
  <si>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</si>
  <si>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</si>
  <si>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</si>
  <si>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</si>
  <si>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</si>
  <si>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</si>
  <si>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</si>
  <si>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</si>
  <si>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</si>
  <si>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</si>
  <si>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</si>
  <si>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</si>
  <si>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</si>
  <si>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</si>
  <si>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</si>
  <si>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</si>
  <si>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</si>
  <si>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</si>
  <si>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</si>
  <si>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</si>
  <si>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</si>
  <si>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</si>
  <si>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</si>
  <si>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</si>
  <si>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</si>
  <si>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</si>
  <si>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</si>
  <si>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</si>
  <si>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</si>
  <si>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</si>
  <si>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</si>
  <si>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</si>
  <si>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</si>
  <si>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</si>
  <si>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</si>
  <si>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</si>
  <si>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</si>
  <si>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</si>
  <si>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</si>
  <si>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</si>
  <si>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</si>
  <si>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</si>
  <si>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</si>
  <si>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</si>
  <si>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</si>
  <si>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</si>
  <si>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</si>
  <si>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</si>
  <si>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</si>
  <si>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</si>
  <si>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</si>
  <si>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</si>
  <si>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</si>
  <si>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</si>
  <si>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</si>
  <si>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</si>
  <si>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</si>
  <si>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</si>
  <si>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</si>
  <si>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</si>
  <si>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</si>
  <si>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</si>
  <si>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</si>
  <si>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</si>
  <si>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</si>
  <si>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</si>
  <si>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</si>
  <si>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</si>
  <si>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</si>
  <si>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</si>
  <si>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</si>
  <si>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</si>
  <si>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</si>
  <si>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</si>
  <si>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</si>
  <si>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</si>
  <si>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</si>
  <si>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</si>
  <si>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</si>
  <si>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</si>
  <si>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</si>
  <si>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</si>
  <si>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</si>
  <si>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</si>
  <si>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</si>
  <si>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</si>
  <si>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</si>
  <si>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</si>
  <si>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</si>
  <si>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</si>
  <si>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</si>
  <si>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</si>
  <si>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</si>
  <si>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</si>
  <si>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</si>
  <si>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</si>
  <si>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</si>
  <si>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</si>
  <si>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</si>
  <si>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</si>
  <si>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</si>
  <si>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</si>
  <si>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</si>
  <si>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</si>
  <si>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</si>
  <si>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</si>
  <si>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</si>
  <si>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</si>
  <si>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</si>
  <si>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</si>
  <si>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</si>
  <si>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</si>
  <si>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</si>
  <si>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</si>
  <si>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</si>
  <si>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</si>
  <si>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</si>
  <si>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</si>
  <si>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</si>
  <si>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</si>
  <si>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</si>
  <si>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</si>
  <si>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</si>
  <si>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</si>
  <si>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</si>
  <si>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</si>
  <si>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</si>
  <si>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</si>
  <si>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</si>
  <si>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</si>
  <si>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</si>
  <si>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</si>
  <si>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</si>
  <si>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</si>
  <si>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</si>
  <si>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</si>
  <si>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</si>
  <si>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</si>
  <si>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</si>
  <si>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</si>
  <si>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</si>
  <si>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</si>
  <si>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</si>
  <si>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</si>
  <si>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</si>
  <si>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</si>
  <si>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</si>
  <si>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</si>
  <si>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</si>
  <si>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</si>
  <si>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</si>
  <si>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</si>
  <si>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</si>
  <si>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</si>
  <si>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</si>
  <si>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</si>
  <si>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</si>
  <si>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</si>
  <si>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</si>
  <si>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</si>
  <si>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</si>
  <si>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</si>
  <si>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</si>
  <si>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</si>
  <si>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</si>
  <si>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</si>
  <si>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</si>
  <si>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</si>
  <si>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</si>
  <si>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</si>
  <si>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</si>
  <si>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</si>
  <si>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</si>
  <si>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</si>
  <si>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</si>
  <si>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</si>
  <si>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</si>
  <si>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</si>
  <si>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</si>
  <si>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</si>
  <si>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</si>
  <si>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</si>
  <si>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</si>
  <si>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</si>
  <si>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</si>
  <si>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</si>
  <si>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</si>
  <si>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</si>
  <si>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</si>
  <si>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</si>
  <si>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</si>
  <si>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</si>
  <si>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</si>
  <si>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</si>
  <si>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</si>
  <si>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</si>
  <si>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</si>
  <si>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</si>
  <si>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</si>
  <si>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</si>
  <si>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</si>
  <si>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</si>
  <si>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</si>
  <si>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</si>
  <si>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</si>
  <si>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</si>
  <si>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</si>
  <si>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</si>
  <si>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</si>
  <si>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</si>
  <si>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</si>
  <si>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</si>
  <si>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</si>
  <si>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</si>
  <si>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</si>
  <si>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</si>
  <si>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</si>
  <si>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</si>
  <si>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</si>
  <si>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</si>
  <si>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</si>
  <si>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</si>
  <si>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</si>
  <si>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</si>
  <si>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</si>
  <si>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</si>
  <si>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</si>
  <si>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</si>
  <si>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</si>
  <si>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</si>
  <si>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</si>
  <si>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</si>
  <si>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</si>
  <si>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</si>
  <si>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</si>
  <si>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</si>
  <si>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</si>
  <si>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</si>
  <si>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</si>
  <si>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</si>
  <si>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</si>
  <si>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</si>
  <si>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</si>
  <si>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</si>
  <si>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</si>
  <si>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</si>
  <si>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</si>
  <si>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</si>
  <si>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</si>
  <si>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</si>
  <si>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</si>
  <si>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</si>
  <si>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</si>
  <si>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</si>
  <si>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</si>
  <si>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</si>
  <si>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</si>
  <si>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</si>
  <si>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</si>
  <si>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</si>
  <si>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</si>
  <si>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</si>
  <si>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</si>
  <si>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</si>
  <si>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</si>
  <si>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</si>
  <si>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</si>
  <si>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</si>
  <si>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</si>
  <si>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</si>
  <si>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</si>
  <si>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</si>
  <si>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</si>
  <si>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</si>
  <si>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</si>
  <si>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</si>
  <si>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</si>
  <si>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</si>
  <si>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</si>
  <si>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</si>
  <si>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</si>
  <si>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</si>
  <si>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</si>
  <si>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</si>
  <si>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</si>
  <si>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</si>
  <si>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</si>
  <si>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</si>
  <si>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</si>
  <si>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</si>
  <si>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</si>
  <si>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</si>
  <si>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</si>
  <si>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</si>
  <si>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</si>
  <si>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</si>
  <si>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</si>
  <si>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</si>
  <si>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</si>
  <si>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</si>
  <si>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</si>
  <si>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</si>
  <si>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</si>
  <si>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</si>
  <si>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</si>
  <si>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</si>
  <si>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</si>
  <si>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</si>
  <si>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</si>
  <si>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</si>
  <si>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</si>
  <si>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</si>
  <si>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</si>
  <si>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</si>
  <si>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</si>
  <si>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</si>
  <si>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</si>
  <si>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</si>
  <si>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</si>
  <si>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</si>
  <si>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</si>
  <si>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</si>
  <si>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</si>
  <si>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</si>
  <si>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</si>
  <si>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</si>
  <si>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</si>
  <si>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</si>
  <si>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</si>
  <si>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</si>
  <si>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</si>
  <si>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</si>
  <si>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</si>
  <si>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</si>
  <si>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</si>
  <si>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</si>
  <si>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</si>
  <si>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</si>
  <si>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</si>
  <si>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</si>
  <si>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</si>
  <si>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</si>
  <si>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</si>
  <si>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</si>
  <si>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</si>
  <si>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</si>
  <si>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</si>
  <si>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</si>
  <si>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</si>
  <si>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</si>
  <si>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</si>
  <si>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</si>
  <si>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</si>
  <si>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</si>
  <si>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</si>
  <si>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</si>
  <si>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</si>
  <si>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</si>
  <si>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</si>
  <si>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</si>
  <si>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</si>
  <si>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</si>
  <si>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</si>
  <si>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</si>
  <si>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</si>
  <si>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</si>
  <si>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</si>
  <si>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</si>
  <si>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</si>
  <si>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</si>
  <si>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</si>
  <si>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</si>
  <si>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</si>
  <si>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</si>
  <si>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</si>
  <si>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</si>
  <si>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</si>
  <si>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</si>
  <si>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</si>
  <si>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</si>
  <si>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</si>
  <si>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</si>
  <si>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</si>
  <si>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</si>
  <si>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</si>
  <si>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</si>
  <si>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</si>
  <si>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</si>
  <si>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</si>
  <si>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</si>
  <si>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</si>
  <si>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</si>
  <si>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</si>
  <si>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</si>
  <si>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</si>
  <si>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</si>
  <si>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</si>
  <si>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</si>
  <si>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</si>
  <si>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</si>
  <si>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</si>
  <si>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</si>
  <si>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</si>
  <si>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</si>
  <si>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</si>
  <si>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</si>
  <si>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</si>
  <si>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</si>
  <si>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</si>
  <si>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</si>
  <si>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</si>
  <si>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</si>
  <si>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Versão AWS</t>
  </si>
  <si>
    <t>OKR Alignment</t>
  </si>
  <si>
    <t>RICE Adaptado</t>
  </si>
  <si>
    <t>Painel de Dados de Ocorrências - COPF</t>
  </si>
  <si>
    <t>Participantes</t>
  </si>
  <si>
    <t>Fernanda (VISAGIO), Emerson V. Rafael (SCD), Andrea Lemos (SCD), Luciene dos Ramos Gomes (GIMEA), Guilherme de Oliveira Branco (SCD), Thatiana Albieri (SCD)</t>
  </si>
  <si>
    <t>Entender os principais dados/dashboards utilizados pela GIMEA para acompanhamento das ocorrências e dos fornecedores.</t>
  </si>
  <si>
    <t>Discovery - Tech</t>
  </si>
  <si>
    <t>Fernanda (VISAGIO), Emerson V. Rafael (SCD), Andrea Lemos (SCD), Guilherme de Oliveira Branco (SCD), Thatiana Albieri (SCD), Alexandre Amodio (Arquitetura de Tecnologia), Sergio Golim (Arquitetura de Tecnologia)</t>
  </si>
  <si>
    <t>Realizada</t>
  </si>
  <si>
    <t>Insights extraídos</t>
  </si>
  <si>
    <t>Ações e próximos passos</t>
  </si>
  <si>
    <t>Agendada</t>
  </si>
  <si>
    <t>Discovery - CX</t>
  </si>
  <si>
    <t>Blueprint</t>
  </si>
  <si>
    <t>Fernanda (VISAGIO), Emerson V. Rafael (SCD), Andrea Lemos (SCD), Guilherme de Oliveira Branco (SCD), Thatiana Albieri (SCD)</t>
  </si>
  <si>
    <t>Histórias Concluidas</t>
  </si>
  <si>
    <t>Contagem de Data Fim Real</t>
  </si>
  <si>
    <t>Histórias Desenvolvidas</t>
  </si>
  <si>
    <t>Percentual de Histórias Concluidas</t>
  </si>
  <si>
    <t>Percentual de Histórias Concluidas por Sprint</t>
  </si>
  <si>
    <t>Análise por Sprint de Conclusão</t>
  </si>
  <si>
    <t>R1 S2 2025</t>
  </si>
  <si>
    <t>Carregamento imediato de módulos pesados mesmo quando o usuário não deseja acessá-los.
Falta de clareza sobre quais módulos estão disponíveis, levando a confusão na navegação.
Dificuldade de novos usuários entenderem o funcionamento do IBS logo após o login.
Baixa eficiência na experiência inicial, com impacto negativo na adoção do produto.</t>
  </si>
  <si>
    <t>Experiência inicial mais fluida, com maior clareza sobre os módulos disponíveis e seus propósitos.
Redução do atrito técnico e cognitivo no primeiro acesso, especialmente para novos usuários.
Empoderamento do usuário na jornada de navegação, com base em suas permissões e necessidades.
Melhoria da percepção geral de usabilidade e design do IBS.</t>
  </si>
  <si>
    <t>Objetivo: Redução de tempo de carregamento e aumento da eficiência na navegação como fatores mensuráveis.
Resultados Chaves:
- Redução no tempo médio de carregamento inicial do sistema, comparado à experiência anterior.
- Aumento do número de usuários afirmando, que a navegação ficou mais clara e rápida.
- Aumento da taxa de conclusão da navegação com sucesso sem abandonar o sistema na primeira interação.</t>
  </si>
  <si>
    <t xml:space="preserve">- Redução no tempo de carregamento inicial
- Nível de satisfação com a página inicial (pesquisa)	
- Taxa de usuários que acessam pelo menos um módulo após a página inicial	
- Tempo médio até o primeiro clique após login		</t>
  </si>
  <si>
    <t>Falta de rastreabilidade ponta-a-ponta das interações dos usuários.
Dificuldade em correlacionar múltiplos eventos de uma mesma jornada.
Logs heterogêneos, sem estrutura padronizada e pouco úteis para auditoria ou diagnóstico técnico.
Complexidade na identificação da causa raiz de falhas reportadas pelos usuários.
Ausência de uma visão estruturada e em tempo real das ações realizadas na plataforma.</t>
  </si>
  <si>
    <t>Governança técnica mais robusta e confiável.
Agilidade no diagnóstico de falhas e comportamento do sistema.
Confiança ampliada nos logs como fonte para auditorias, investigações e observabilidade.
Redução de ruído em reuniões de troubleshooting e maior autonomia do time técnico.
Cultura de produtização com rastreabilidade (data centric), apoiando evolução contínua com base em dados de uso.</t>
  </si>
  <si>
    <t>✅ 100% das interações relevantes com UUID registrado e propagado no log.
✅ ≥ 95% dos logs contendo os campos user, action, widget, status e uuid.
✅ ≥ 80% das análises de erro com causa raiz identificada a partir dos logs estruturados.
✅ Redução ≥ 50% no tempo médio de diagnóstico de falhas técnicas, segundo registros internos.</t>
  </si>
  <si>
    <t xml:space="preserve">-Taxa de logs com UUID presente	
- Taxa de conformidade dos campos estruturados (user, action, etc.)	
- Tempo médio para diagnóstico de erro (TMD)	
- Incidentes com causa raiz identificada via log estruturado	</t>
  </si>
  <si>
    <t>Na R2 S3, após a entrega, foi necessário realizar ajustes, pois os logs foram identificados com alguns erros. Além disso, o desenvolvedor do Quicksight relatou confusão nos logs pela junção de logs OLD e New.</t>
  </si>
  <si>
    <t>COPF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</si>
</sst>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69" formatCode="0.0"/>
  </numFmts>
  <fonts count="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b/>
      <sz val="14"/>
      <color theme="0"/>
      <name val="Calibri"/>
      <family val="2"/>
      <scheme val="minor"/>
    </font>
  </fonts>
  <fills count="20">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s>
  <borders count="25">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47">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34" fillId="3" borderId="0" xfId="0" applyFont="1" applyFill="1" applyAlignment="1">
      <alignment horizontal="center" vertical="center" wrapText="1"/>
    </xf>
    <xf numFmtId="0" fontId="2" fillId="15" borderId="0" xfId="0" applyFont="1" applyFill="1" applyAlignment="1">
      <alignment horizontal="center"/>
    </xf>
    <xf numFmtId="0" fontId="2" fillId="19" borderId="0" xfId="0" applyFont="1" applyFill="1" applyAlignment="1">
      <alignment horizontal="center" vertical="center"/>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9" fontId="3" fillId="3" borderId="1" xfId="1" applyFont="1" applyFill="1" applyBorder="1" applyAlignment="1">
      <alignment horizontal="center" vertical="center" wrapText="1"/>
    </xf>
    <xf numFmtId="169" fontId="3" fillId="3" borderId="1" xfId="0" applyNumberFormat="1" applyFont="1" applyFill="1" applyBorder="1" applyAlignment="1">
      <alignment horizontal="center" vertical="center" wrapText="1"/>
    </xf>
    <xf numFmtId="0" fontId="2" fillId="10" borderId="0" xfId="0" applyFont="1" applyFill="1" applyAlignment="1">
      <alignment horizontal="center" vertical="center" wrapText="1"/>
    </xf>
    <xf numFmtId="0" fontId="6" fillId="7" borderId="0" xfId="0" applyFont="1" applyFill="1" applyAlignment="1">
      <alignment horizontal="center"/>
    </xf>
    <xf numFmtId="14" fontId="3" fillId="0" borderId="0" xfId="0" applyNumberFormat="1" applyFont="1" applyAlignment="1">
      <alignment horizontal="center" vertical="center"/>
    </xf>
    <xf numFmtId="14" fontId="0" fillId="0" borderId="0" xfId="0" applyNumberFormat="1" applyAlignment="1">
      <alignment horizontal="center" vertical="center"/>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3" fillId="7" borderId="0" xfId="0" applyFont="1" applyFill="1" applyAlignment="1">
      <alignment horizontal="center" vertical="center"/>
    </xf>
    <xf numFmtId="0" fontId="2" fillId="6" borderId="0" xfId="0" applyFont="1" applyFill="1" applyAlignment="1">
      <alignment horizontal="center"/>
    </xf>
    <xf numFmtId="0" fontId="2" fillId="2" borderId="0" xfId="0" applyFont="1" applyFill="1" applyAlignment="1">
      <alignment horizontal="center"/>
    </xf>
    <xf numFmtId="0" fontId="7" fillId="7" borderId="0" xfId="0" applyFont="1" applyFill="1" applyAlignment="1">
      <alignment horizontal="center"/>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18" fillId="0" borderId="0" xfId="3" applyFont="1" applyAlignment="1">
      <alignment horizontal="center" vertical="center" wrapText="1"/>
    </xf>
    <xf numFmtId="164" fontId="26" fillId="15" borderId="0" xfId="3" applyFont="1" applyFill="1" applyAlignment="1">
      <alignment horizontal="center" vertical="center" wrapText="1"/>
    </xf>
    <xf numFmtId="0" fontId="35" fillId="6" borderId="0" xfId="0" applyFont="1" applyFill="1" applyAlignment="1">
      <alignment horizontal="center"/>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6"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12" fillId="7" borderId="0" xfId="0" applyFont="1" applyFill="1" applyAlignment="1">
      <alignment horizontal="center"/>
    </xf>
  </cellXfs>
  <cellStyles count="4">
    <cellStyle name="Hiperlink" xfId="2" builtinId="8"/>
    <cellStyle name="Normal" xfId="0" builtinId="0"/>
    <cellStyle name="Normal 6 4" xfId="3" xr:uid="{5880DD7B-FD28-43C8-B2B0-9114FC185CA2}"/>
    <cellStyle name="Porcentagem" xfId="1" builtinId="5"/>
  </cellStyles>
  <dxfs count="233">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70" formatCode="d\-mmm"/>
      <fill>
        <patternFill patternType="solid">
          <fgColor indexed="64"/>
          <bgColor theme="0" tint="-4.9989318521683403E-2"/>
        </patternFill>
      </fill>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9" formatCode="0.0"/>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FF6200"/>
      <color rgb="FF000D3C"/>
      <color rgb="FF0A3A00"/>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44.155616550925"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34"/>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2">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s v="Adequação dos Logs do IBS 360"/>
        <s v="Automatização da Atualização da Dashboard no QuickSight"/>
        <m u="1"/>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Com impedimentos"/>
        <s v="Em Discovery"/>
        <s v="Em Delivery"/>
        <s v="Cancelado"/>
        <s v="Ideia" u="1"/>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44.155742361108" createdVersion="8" refreshedVersion="8" minRefreshableVersion="3" recordCount="38" xr:uid="{22AE7A5F-62DA-442C-9C4D-BCA79BCF3440}">
  <cacheSource type="worksheet">
    <worksheetSource name="tbRoadMapTatico"/>
  </cacheSource>
  <cacheFields count="46">
    <cacheField name="ID Tático" numFmtId="0">
      <sharedItems containsSemiMixedTypes="0" containsString="0" containsNumber="1" containsInteger="1" minValue="7" maxValue="44"/>
    </cacheField>
    <cacheField name="ID Estratégico" numFmtId="0">
      <sharedItems containsSemiMixedTypes="0" containsString="0" containsNumber="1" containsInteger="1" minValue="7" maxValue="34"/>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3">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 v="Quicksight"/>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40">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Quicksight - Adequação dos Logs do IBS 360"/>
        <s v="Quicksight - Automatização da Atualização da Dashboard no QuickSight"/>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Com impedimentos"/>
        <s v="Em Discovery"/>
        <s v="Em Delivery"/>
        <s v="Ideia"/>
      </sharedItems>
    </cacheField>
    <cacheField name="Ponto Focal" numFmtId="0">
      <sharedItems count="9">
        <s v="Gabs"/>
        <s v="Everton"/>
        <s v="Todos SCD"/>
        <s v="Andrea"/>
        <s v="Chris"/>
        <s v="Ronald"/>
        <s v="Izadora"/>
        <s v="Naiara"/>
        <s v="Triz"/>
      </sharedItems>
    </cacheField>
    <cacheField name="Desenvolvedor 1" numFmtId="0">
      <sharedItems containsBlank="1" count="9">
        <s v="Gabs"/>
        <s v="Everton"/>
        <s v="Todos SCD"/>
        <m/>
        <s v="Chris"/>
        <s v="Ronald"/>
        <s v="Time Advanced"/>
        <s v="Izadora"/>
        <s v="Triz"/>
      </sharedItems>
    </cacheField>
    <cacheField name="Desenvolvedor 2" numFmtId="0">
      <sharedItems containsBlank="1" count="12">
        <s v="Chris"/>
        <s v="Guto"/>
        <m/>
        <s v="Gabs"/>
        <s v="Everton"/>
        <s v="Naiara"/>
        <s v="Triz"/>
        <s v="Time Murillo"/>
        <s v="Izadora"/>
        <s v="Ronald"/>
        <s v="Mari"/>
        <s v="G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ount="6">
        <s v="R1 S4 2025"/>
        <s v="R2 S1 2025"/>
        <s v="R2 S2 2025"/>
        <s v="R2 S3 2025"/>
        <m/>
        <s v="R2 S4 2025"/>
      </sharedItems>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2 2025"/>
    <s v="R1 S3 2025"/>
    <s v="R1 S3 2025"/>
    <s v="R1 S4 2025"/>
    <s v="2 sprints"/>
    <s v="3 sprints"/>
    <s v="2 sprints"/>
    <s v="Carregamento imediato de módulos pesados mesmo quando o usuário não deseja acessá-los._x000a__x000a_Falta de clareza sobre quais módulos estão disponíveis, levando a confusão na navegação._x000a__x000a_Dificuldade de novos usuários entenderem o funcionamento do IBS logo após o login._x000a__x000a_Baixa eficiência na experiência inicial, com impacto negativo na adoção do produto."/>
    <s v="Todos os usuários do IBS 360:_x000a__x000a_Gestão do Parque_x000a_Geocompasso_x000a_Scorefy_x000a_Radar Imobiliário"/>
    <s v="Experiência inicial mais fluida, com maior clareza sobre os módulos disponíveis e seus propósitos._x000a__x000a_Redução do atrito técnico e cognitivo no primeiro acesso, especialmente para novos usuários._x000a__x000a_Empoderamento do usuário na jornada de navegação, com base em suas permissões e necessidades._x000a__x000a_Melhoria da percepção geral de usabilidade e design do IBS."/>
    <s v="Objetivo: Redução de tempo de carregamento e aumento da eficiência na navegação como fatores mensuráveis._x000a__x000a_Resultados Chaves:_x000a__x000a_- Redução no tempo médio de carregamento inicial do sistema, comparado à experiência anterior._x000a__x000a_- Aumento do número de usuários afirmando, que a navegação ficou mais clara e rápida._x000a__x000a_- Aumento da taxa de conclusão da navegação com sucesso sem abandonar o sistema na primeira interação."/>
    <x v="0"/>
    <m/>
    <x v="0"/>
    <s v="- Redução no tempo de carregamento inicial_x000a__x000a_- Nível de satisfação com a página inicial (pesquisa)_x0009__x000a__x000a_- Taxa de usuários que acessam pelo menos um módulo após a página inicial_x0009__x000a__x000a_- Tempo médio até o primeiro clique após login_x0009__x0009_"/>
    <m/>
    <m/>
    <m/>
    <m/>
    <m/>
    <m/>
    <s v="Delivery - Desenvolvimento em Andamento"/>
    <s v="Delivery - Desenvolvimento em Andamento"/>
    <m/>
    <m/>
    <m/>
    <m/>
  </r>
  <r>
    <n v="8"/>
    <x v="0"/>
    <x v="0"/>
    <x v="0"/>
    <x v="0"/>
    <x v="0"/>
    <s v="Evolução da Plataforma"/>
    <s v="Estruturante"/>
    <x v="1"/>
    <s v="Orquestrado"/>
    <x v="1"/>
    <n v="1"/>
    <x v="0"/>
    <x v="0"/>
    <x v="0"/>
    <x v="0"/>
    <m/>
    <s v="R1 S2 2025"/>
    <s v="R1 S3 2025"/>
    <s v="R1 S3 2025"/>
    <s v="R1 S4 2025"/>
    <s v="2 sprints"/>
    <s v="3 sprints"/>
    <s v="2 sprints"/>
    <s v="Carregamento imediato de módulos pesados mesmo quando o usuário não deseja acessá-los._x000a__x000a_Falta de clareza sobre quais módulos estão disponíveis, levando a confusão na navegação._x000a__x000a_Dificuldade de novos usuários entenderem o funcionamento do IBS logo após o login._x000a__x000a_Baixa eficiência na experiência inicial, com impacto negativo na adoção do produto."/>
    <s v="Todos os usuários do IBS 360:_x000a__x000a_Gestão do Parque_x000a_Geocompasso_x000a_Scorefy_x000a_Radar Imobiliário"/>
    <s v="Experiência inicial mais fluida, com maior clareza sobre os módulos disponíveis e seus propósitos._x000a__x000a_Redução do atrito técnico e cognitivo no primeiro acesso, especialmente para novos usuários._x000a__x000a_Empoderamento do usuário na jornada de navegação, com base em suas permissões e necessidades._x000a__x000a_Melhoria da percepção geral de usabilidade e design do IBS."/>
    <s v="Objetivo: Redução de tempo de carregamento e aumento da eficiência na navegação como fatores mensuráveis._x000a__x000a_Resultados Chaves:_x000a__x000a_- Redução no tempo médio de carregamento inicial do sistema, comparado à experiência anterior._x000a__x000a_- Aumento do número de usuários afirmando, que a navegação ficou mais clara e rápida._x000a__x000a_- Aumento da taxa de conclusão da navegação com sucesso sem abandonar o sistema na primeira interação."/>
    <x v="0"/>
    <m/>
    <x v="0"/>
    <s v="- Redução no tempo de carregamento inicial_x000a__x000a_- Nível de satisfação com a página inicial (pesquisa)_x0009__x000a__x000a_- Taxa de usuários que acessam pelo menos um módulo após a página inicial_x0009__x000a__x000a_- Tempo médio até o primeiro clique após login_x0009__x0009_"/>
    <m/>
    <m/>
    <m/>
    <m/>
    <m/>
    <m/>
    <s v="Delivery - Desenvolvimento em Andamento"/>
    <s v="Delivery - Desenvolvimento em Andamento"/>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s v="R2 S2 2025"/>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0"/>
    <x v="1"/>
    <x v="1"/>
    <x v="1"/>
    <m/>
    <s v="R2 S1 2025"/>
    <s v="R2 S1 2025"/>
    <s v="R2 S1 2025"/>
    <s v="R2 S2 2025"/>
    <s v="1 sprint"/>
    <s v="2 sprints"/>
    <s v="2 sprints"/>
    <m/>
    <s v="Todos os usuários do IBS 360:_x000a__x000a_Gestão do Parque_x000a_Geocompasso_x000a_Scorefy_x000a_Radar Imobiliário_x000a__x000a_Foco em quem já usou a plataforma"/>
    <m/>
    <m/>
    <x v="0"/>
    <m/>
    <x v="0"/>
    <m/>
    <m/>
    <m/>
    <m/>
    <m/>
    <m/>
    <m/>
    <m/>
    <m/>
    <s v="Discovery - Wireframes &amp; Fluxos"/>
    <s v="Discovery - Validação Técnica"/>
    <m/>
    <m/>
  </r>
  <r>
    <n v="15"/>
    <x v="0"/>
    <x v="0"/>
    <x v="0"/>
    <x v="4"/>
    <x v="5"/>
    <s v="Evolução da Plataforma"/>
    <s v="Estruturante"/>
    <x v="1"/>
    <s v="Orquestrado"/>
    <x v="0"/>
    <n v="2"/>
    <x v="0"/>
    <x v="1"/>
    <x v="1"/>
    <x v="1"/>
    <m/>
    <s v="R2 S1 2025"/>
    <s v="R2 S2 2025"/>
    <s v="R2 S1 2025"/>
    <s v="R2 S2 2025"/>
    <s v="1 sprint"/>
    <s v="2 sprints"/>
    <s v="1 sprint"/>
    <m/>
    <s v="Todos os usuários do IBS 360:_x000a__x000a_Gestão do Parque_x000a_Geocompasso_x000a_Scorefy_x000a_Radar Imobiliário_x000a__x000a_Foco em quem já usou a plataforma"/>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0"/>
    <x v="2"/>
    <x v="0"/>
    <x v="2"/>
    <s v="Card Sorting"/>
    <s v="R1 S4 2025"/>
    <s v="R2 S1 2025"/>
    <s v="R2 S1 2025"/>
    <s v="R2 S3 2025"/>
    <s v="2 sprints"/>
    <s v="4 sprints"/>
    <s v="3 sprints"/>
    <s v="Necessidade de saber com exatidão qual a distância entre duas ou mais agências."/>
    <s v="SQUAD Estratégia de Ocupação, Folhas."/>
    <m/>
    <m/>
    <x v="0"/>
    <m/>
    <x v="0"/>
    <m/>
    <m/>
    <m/>
    <m/>
    <m/>
    <m/>
    <m/>
    <m/>
    <s v="Discovery - Pesquisa &amp; Benchmark"/>
    <s v="Discovery - Protótipos &amp; Testes"/>
    <s v="Discovery - Protótipos &amp; Testes"/>
    <s v="Discovery - Aprovação &amp; Priorização"/>
    <m/>
  </r>
  <r>
    <n v="19"/>
    <x v="0"/>
    <x v="0"/>
    <x v="2"/>
    <x v="6"/>
    <x v="7"/>
    <s v="Evolução da Plataforma"/>
    <s v="Feature"/>
    <x v="1"/>
    <s v="Orquestrado"/>
    <x v="1"/>
    <n v="1"/>
    <x v="0"/>
    <x v="2"/>
    <x v="0"/>
    <x v="2"/>
    <m/>
    <s v="R1 S4 2025"/>
    <s v="R2 S4 2025"/>
    <s v="R2 S1 2025"/>
    <s v="R3 S1 2025"/>
    <s v="2 sprints"/>
    <s v="6 sprints"/>
    <s v="2 sprints"/>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1"/>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4"/>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33"/>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n v="7"/>
    <n v="7"/>
    <x v="0"/>
    <x v="0"/>
    <x v="0"/>
    <x v="0"/>
    <x v="0"/>
    <s v="Evolução da Plataforma"/>
    <s v="Estruturante"/>
    <x v="0"/>
    <s v="Orquestrado"/>
    <x v="0"/>
    <n v="2"/>
    <x v="0"/>
    <x v="0"/>
    <x v="0"/>
    <x v="0"/>
    <x v="0"/>
    <x v="0"/>
    <x v="0"/>
    <x v="0"/>
    <x v="0"/>
    <s v="R1 S2 2025"/>
    <s v="R1 S3 2025"/>
    <s v="R1 S3 2025"/>
    <x v="0"/>
    <s v="2 sprints"/>
    <s v="3 sprints"/>
    <s v="2 sprints"/>
    <s v="Carregamento imediato de módulos pesados mesmo quando o usuário não deseja acessá-los._x000a__x000a_Falta de clareza sobre quais módulos estão disponíveis, levando a confusão na navegação._x000a__x000a_Dificuldade de novos usuários entenderem o funcionamento do IBS logo após o login._x000a__x000a_Baixa eficiência na experiência inicial, com impacto negativo na adoção do produto."/>
    <s v="Todos os usuários do IBS 360:_x000a__x000a_Gestão do Parque_x000a_Geocompasso_x000a_Scorefy_x000a_Radar Imobiliário"/>
    <s v="Experiência inicial mais fluida, com maior clareza sobre os módulos disponíveis e seus propósitos._x000a__x000a_Redução do atrito técnico e cognitivo no primeiro acesso, especialmente para novos usuários._x000a__x000a_Empoderamento do usuário na jornada de navegação, com base em suas permissões e necessidades._x000a__x000a_Melhoria da percepção geral de usabilidade e design do IBS."/>
    <s v="Objetivo: Redução de tempo de carregamento e aumento da eficiência na navegação como fatores mensuráveis._x000a__x000a_Resultados Chaves:_x000a__x000a_- Redução no tempo médio de carregamento inicial do sistema, comparado à experiência anterior._x000a__x000a_- Aumento do número de usuários afirmando, que a navegação ficou mais clara e rápida._x000a__x000a_- Aumento da taxa de conclusão da navegação com sucesso sem abandonar o sistema na primeira interação."/>
    <s v="- Redução no tempo de carregamento inicial_x000a__x000a_- Nível de satisfação com a página inicial (pesquisa)_x0009__x000a__x000a_- Taxa de usuários que acessam pelo menos um módulo após a página inicial_x0009__x000a__x000a_- Tempo médio até o primeiro clique após login_x0009__x0009_"/>
    <m/>
    <m/>
    <m/>
    <m/>
    <m/>
    <m/>
    <s v="Delivery - Backlog de Desenvolvimento"/>
    <s v="Delivery - Backlog de Desenvolvimento"/>
    <m/>
    <m/>
    <m/>
    <m/>
  </r>
  <r>
    <n v="8"/>
    <n v="8"/>
    <x v="0"/>
    <x v="0"/>
    <x v="0"/>
    <x v="0"/>
    <x v="1"/>
    <s v="Evolução da Plataforma"/>
    <s v="Estruturante"/>
    <x v="1"/>
    <s v="Orquestrado"/>
    <x v="1"/>
    <n v="1"/>
    <x v="0"/>
    <x v="0"/>
    <x v="0"/>
    <x v="0"/>
    <x v="0"/>
    <x v="0"/>
    <x v="0"/>
    <x v="0"/>
    <x v="0"/>
    <s v="R1 S2 2025"/>
    <s v="R1 S3 2025"/>
    <s v="R1 S3 2025"/>
    <x v="0"/>
    <s v="2 sprints"/>
    <s v="3 sprints"/>
    <s v="2 sprints"/>
    <s v="Carregamento imediato de módulos pesados mesmo quando o usuário não deseja acessá-los._x000a__x000a_Falta de clareza sobre quais módulos estão disponíveis, levando a confusão na navegação._x000a__x000a_Dificuldade de novos usuários entenderem o funcionamento do IBS logo após o login._x000a__x000a_Baixa eficiência na experiência inicial, com impacto negativo na adoção do produto."/>
    <s v="Todos os usuários do IBS 360:_x000a__x000a_Gestão do Parque_x000a_Geocompasso_x000a_Scorefy_x000a_Radar Imobiliário"/>
    <s v="Experiência inicial mais fluida, com maior clareza sobre os módulos disponíveis e seus propósitos._x000a__x000a_Redução do atrito técnico e cognitivo no primeiro acesso, especialmente para novos usuários._x000a__x000a_Empoderamento do usuário na jornada de navegação, com base em suas permissões e necessidades._x000a__x000a_Melhoria da percepção geral de usabilidade e design do IBS."/>
    <s v="Objetivo: Redução de tempo de carregamento e aumento da eficiência na navegação como fatores mensuráveis._x000a__x000a_Resultados Chaves:_x000a__x000a_- Redução no tempo médio de carregamento inicial do sistema, comparado à experiência anterior._x000a__x000a_- Aumento do número de usuários afirmando, que a navegação ficou mais clara e rápida._x000a__x000a_- Aumento da taxa de conclusão da navegação com sucesso sem abandonar o sistema na primeira interação."/>
    <s v="- Redução no tempo de carregamento inicial_x000a__x000a_- Nível de satisfação com a página inicial (pesquisa)_x0009__x000a__x000a_- Taxa de usuários que acessam pelo menos um módulo após a página inicial_x0009__x000a__x000a_- Tempo médio até o primeiro clique após login_x0009__x0009_"/>
    <m/>
    <m/>
    <m/>
    <m/>
    <m/>
    <m/>
    <s v="Delivery - Backlog de Desenvolvimento"/>
    <s v="Delivery - Backlog de Desenvolvimento"/>
    <m/>
    <m/>
    <m/>
    <m/>
  </r>
  <r>
    <n v="9"/>
    <n v="9"/>
    <x v="0"/>
    <x v="1"/>
    <x v="0"/>
    <x v="0"/>
    <x v="2"/>
    <s v="Evolução da Plataforma"/>
    <s v="Estruturante"/>
    <x v="1"/>
    <s v="Orquestrado"/>
    <x v="1"/>
    <n v="1"/>
    <x v="0"/>
    <x v="1"/>
    <x v="1"/>
    <x v="1"/>
    <x v="1"/>
    <x v="0"/>
    <x v="1"/>
    <x v="0"/>
    <x v="0"/>
    <s v="R1 S3 2025"/>
    <s v="R1 S4 2025"/>
    <s v="R1 S3 2025"/>
    <x v="1"/>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x v="1"/>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x v="1"/>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x v="1"/>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x v="2"/>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x v="2"/>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x v="2"/>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x v="3"/>
    <s v="1 sprint"/>
    <s v="3 sprints"/>
    <s v="3 sprints"/>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0"/>
    <x v="4"/>
    <x v="4"/>
    <x v="3"/>
    <x v="0"/>
    <x v="0"/>
    <x v="0"/>
    <x v="1"/>
    <x v="1"/>
    <s v="R2 S1 2025"/>
    <s v="R2 S1 2025"/>
    <s v="R2 S1 2025"/>
    <x v="2"/>
    <s v="1 sprint"/>
    <s v="2 sprints"/>
    <s v="2 sprints"/>
    <s v="Falta de rastreabilidade ponta-a-ponta das interações dos usuários._x000a__x000a_Dificuldade em correlacionar múltiplos eventos de uma mesma jornada._x000a__x000a_Logs heterogêneos, sem estrutura padronizada e pouco úteis para auditoria ou diagnóstico técnico._x000a__x000a_Complexidade na identificação da causa raiz de falhas reportadas pelos usuários._x000a__x000a_Ausência de uma visão estruturada e em tempo real das ações realizadas na plataforma."/>
    <s v="Time de Produtos - SCD"/>
    <s v="Governança técnica mais robusta e confiável._x000a__x000a_Agilidade no diagnóstico de falhas e comportamento do sistema._x000a__x000a_Confiança ampliada nos logs como fonte para auditorias, investigações e observabilidade._x000a__x000a_Redução de ruído em reuniões de troubleshooting e maior autonomia do time técnico._x000a__x000a_Cultura de produtização com rastreabilidade (data centric), apoiando evolução contínua com base em dados de uso."/>
    <s v="✅ 100% das interações relevantes com UUID registrado e propagado no log._x000a__x000a_✅ ≥ 95% dos logs contendo os campos user, action, widget, status e uuid._x000a__x000a_✅ ≥ 80% das análises de erro com causa raiz identificada a partir dos logs estruturados._x000a__x000a_✅ Redução ≥ 50% no tempo médio de diagnóstico de falhas técnicas, segundo registros internos."/>
    <s v="-Taxa de logs com UUID presente_x0009__x000a__x000a_- Taxa de conformidade dos campos estruturados (user, action, etc.)_x0009__x000a__x000a_- Tempo médio para diagnóstico de erro (TMD)_x0009__x000a__x000a_- Incidentes com causa raiz identificada via log estruturado_x0009_"/>
    <m/>
    <m/>
    <m/>
    <s v="Na R2 S3, após a entrega, foi necessário realizar ajustes, pois os logs foram identificados com alguns erros. Além disso, o desenvolvedor do Quicksight relatou confusão nos logs pela junção de logs OLD e New."/>
    <m/>
    <m/>
    <m/>
    <m/>
    <s v="Delivery - Backlog de Desenvolvimento"/>
    <s v="Delivery - Entrega"/>
    <m/>
    <m/>
  </r>
  <r>
    <n v="18"/>
    <n v="13"/>
    <x v="0"/>
    <x v="3"/>
    <x v="0"/>
    <x v="0"/>
    <x v="11"/>
    <s v="Evolução da Plataforma"/>
    <s v="Estruturante"/>
    <x v="1"/>
    <s v="Orquestrado"/>
    <x v="0"/>
    <n v="2"/>
    <x v="1"/>
    <x v="0"/>
    <x v="0"/>
    <x v="2"/>
    <x v="0"/>
    <x v="0"/>
    <x v="0"/>
    <x v="0"/>
    <x v="0"/>
    <s v="R2 S1 2025"/>
    <s v="R2 S2 2025"/>
    <s v="R2 S1 2025"/>
    <x v="4"/>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2"/>
    <x v="5"/>
    <x v="5"/>
    <x v="4"/>
    <x v="1"/>
    <x v="0"/>
    <x v="1"/>
    <x v="1"/>
    <x v="1"/>
    <s v="R1 S3 2025"/>
    <s v="R1 S3 2025"/>
    <s v="R1 S4 2025"/>
    <x v="4"/>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1"/>
    <x v="5"/>
    <x v="5"/>
    <x v="4"/>
    <x v="1"/>
    <x v="0"/>
    <x v="1"/>
    <x v="1"/>
    <x v="1"/>
    <s v="R1 S3 2025"/>
    <s v="R1 S3 2025"/>
    <s v="R1 S4 2025"/>
    <x v="4"/>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0"/>
    <x v="5"/>
    <x v="5"/>
    <x v="5"/>
    <x v="0"/>
    <x v="0"/>
    <x v="1"/>
    <x v="1"/>
    <x v="1"/>
    <s v="R1 S4 2025"/>
    <s v="R1 S4 2025"/>
    <s v="R2 S1 2025"/>
    <x v="5"/>
    <s v="2 sprints"/>
    <s v="5 sprints"/>
    <s v="5 sprints"/>
    <m/>
    <m/>
    <m/>
    <m/>
    <m/>
    <m/>
    <m/>
    <m/>
    <m/>
    <m/>
    <m/>
    <m/>
    <s v="Discovery - Backlog de Ideias"/>
    <s v="Discovery - Backlog de Ideias"/>
    <s v="Discovery - Backlog de Ideias"/>
    <m/>
    <m/>
  </r>
  <r>
    <n v="22"/>
    <n v="16"/>
    <x v="1"/>
    <x v="5"/>
    <x v="0"/>
    <x v="0"/>
    <x v="15"/>
    <s v="Suporte Aplicação"/>
    <s v="Estruturante"/>
    <x v="0"/>
    <s v="Orquestrado"/>
    <x v="0"/>
    <n v="2"/>
    <x v="0"/>
    <x v="5"/>
    <x v="5"/>
    <x v="5"/>
    <x v="0"/>
    <x v="0"/>
    <x v="1"/>
    <x v="1"/>
    <x v="1"/>
    <s v="R2 S2 2025"/>
    <s v="R2 S2 2025"/>
    <s v="R2 S2 2025"/>
    <x v="5"/>
    <s v="1 sprint"/>
    <s v="3 sprints"/>
    <s v="3 sprints"/>
    <m/>
    <m/>
    <m/>
    <m/>
    <m/>
    <m/>
    <m/>
    <m/>
    <m/>
    <m/>
    <m/>
    <m/>
    <m/>
    <m/>
    <s v="Discovery - Pesquisa &amp; Benchmark"/>
    <m/>
    <m/>
  </r>
  <r>
    <n v="23"/>
    <n v="16"/>
    <x v="1"/>
    <x v="5"/>
    <x v="0"/>
    <x v="0"/>
    <x v="16"/>
    <s v="Risco Operacional"/>
    <s v="Estruturante"/>
    <x v="1"/>
    <s v="Orquestrado"/>
    <x v="1"/>
    <n v="1"/>
    <x v="3"/>
    <x v="5"/>
    <x v="5"/>
    <x v="5"/>
    <x v="0"/>
    <x v="0"/>
    <x v="1"/>
    <x v="1"/>
    <x v="1"/>
    <s v="R2 S1 2025"/>
    <s v="R2 S1 2025"/>
    <s v="R2 S2 2025"/>
    <x v="4"/>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3"/>
    <x v="5"/>
    <x v="5"/>
    <x v="5"/>
    <x v="0"/>
    <x v="0"/>
    <x v="1"/>
    <x v="1"/>
    <x v="1"/>
    <m/>
    <m/>
    <m/>
    <x v="4"/>
    <s v=""/>
    <s v=""/>
    <s v=""/>
    <m/>
    <m/>
    <m/>
    <m/>
    <m/>
    <m/>
    <m/>
    <m/>
    <m/>
    <m/>
    <m/>
    <m/>
    <m/>
    <m/>
    <s v="Discovery - Validação Técnica"/>
    <m/>
    <m/>
  </r>
  <r>
    <n v="25"/>
    <n v="18"/>
    <x v="2"/>
    <x v="6"/>
    <x v="0"/>
    <x v="0"/>
    <x v="18"/>
    <s v="Evolução da Plataforma"/>
    <s v="Feature"/>
    <x v="0"/>
    <s v="Orquestrado"/>
    <x v="1"/>
    <n v="1"/>
    <x v="2"/>
    <x v="5"/>
    <x v="5"/>
    <x v="6"/>
    <x v="0"/>
    <x v="0"/>
    <x v="0"/>
    <x v="0"/>
    <x v="0"/>
    <s v="R1 S4 2025"/>
    <s v="R2 S1 2025"/>
    <s v="R2 S1 2025"/>
    <x v="4"/>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4"/>
    <x v="5"/>
    <x v="5"/>
    <x v="6"/>
    <x v="0"/>
    <x v="0"/>
    <x v="0"/>
    <x v="1"/>
    <x v="0"/>
    <s v="R1 S4 2025"/>
    <m/>
    <s v="R2 S1 2025"/>
    <x v="4"/>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3"/>
    <x v="4"/>
    <x v="4"/>
    <x v="7"/>
    <x v="2"/>
    <x v="0"/>
    <x v="1"/>
    <x v="0"/>
    <x v="0"/>
    <s v="R1 S1 2025"/>
    <s v="R1 S3 2025"/>
    <s v="R1 S4 2025"/>
    <x v="4"/>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3"/>
    <x v="0"/>
    <x v="0"/>
    <x v="7"/>
    <x v="1"/>
    <x v="0"/>
    <x v="1"/>
    <x v="1"/>
    <x v="1"/>
    <s v="R2 S3 2025"/>
    <s v="R2 S2 2025"/>
    <s v="R2 S4 2025"/>
    <x v="4"/>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x v="2"/>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3"/>
    <x v="1"/>
    <x v="1"/>
    <x v="0"/>
    <x v="2"/>
    <x v="0"/>
    <x v="1"/>
    <x v="1"/>
    <x v="1"/>
    <s v="R2 S2 2025"/>
    <s v="R2 S2 2025"/>
    <s v="R3 S2 2025"/>
    <x v="4"/>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2"/>
    <x v="4"/>
    <x v="4"/>
    <x v="3"/>
    <x v="0"/>
    <x v="0"/>
    <x v="1"/>
    <x v="1"/>
    <x v="0"/>
    <s v="R1 S3 2025"/>
    <s v="R1 S3 2025"/>
    <s v="R2 S3 2025"/>
    <x v="4"/>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4"/>
    <x v="4"/>
    <x v="4"/>
    <x v="3"/>
    <x v="0"/>
    <x v="0"/>
    <x v="1"/>
    <x v="1"/>
    <x v="0"/>
    <s v="R2 S2 2025"/>
    <m/>
    <s v="R2 S3 2025"/>
    <x v="4"/>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x v="2"/>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1"/>
    <x v="4"/>
    <x v="4"/>
    <x v="3"/>
    <x v="0"/>
    <x v="0"/>
    <x v="1"/>
    <x v="1"/>
    <x v="1"/>
    <s v="R2 S2 2025"/>
    <s v="R2 S2 2025"/>
    <m/>
    <x v="4"/>
    <s v=""/>
    <s v=""/>
    <s v=""/>
    <m/>
    <s v="Inicialmente: SETA - GPA._x000a_Futuro: Possível escalar para IGA e Garantias."/>
    <m/>
    <m/>
    <m/>
    <m/>
    <m/>
    <m/>
    <m/>
    <m/>
    <m/>
    <m/>
    <m/>
    <m/>
    <s v="Discovery - Com impedimentos"/>
    <m/>
    <m/>
  </r>
  <r>
    <n v="35"/>
    <n v="24"/>
    <x v="6"/>
    <x v="10"/>
    <x v="0"/>
    <x v="2"/>
    <x v="27"/>
    <s v="Evolução do Negócio"/>
    <s v="Feature"/>
    <x v="1"/>
    <s v="Envolvido"/>
    <x v="2"/>
    <n v="3"/>
    <x v="3"/>
    <x v="6"/>
    <x v="6"/>
    <x v="8"/>
    <x v="0"/>
    <x v="0"/>
    <x v="1"/>
    <x v="0"/>
    <x v="1"/>
    <s v="R2 S1 2025"/>
    <s v="R2 S1 2025"/>
    <m/>
    <x v="4"/>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2"/>
    <x v="6"/>
    <x v="6"/>
    <x v="8"/>
    <x v="0"/>
    <x v="0"/>
    <x v="1"/>
    <x v="0"/>
    <x v="1"/>
    <s v="R2 S1 2025"/>
    <s v="R2 S1 2025"/>
    <m/>
    <x v="4"/>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2"/>
    <x v="5"/>
    <x v="5"/>
    <x v="5"/>
    <x v="0"/>
    <x v="0"/>
    <x v="1"/>
    <x v="1"/>
    <x v="1"/>
    <s v="R2 S2 2025"/>
    <s v="R2 S2 2025"/>
    <s v="R2 S2 2025"/>
    <x v="4"/>
    <s v="1 sprint"/>
    <s v=""/>
    <s v=""/>
    <m/>
    <s v="Todos os usuários do IBS 360"/>
    <m/>
    <m/>
    <m/>
    <m/>
    <s v="Baixo"/>
    <m/>
    <m/>
    <m/>
    <m/>
    <m/>
    <m/>
    <m/>
    <s v="Discovery - Protótipos &amp; Testes"/>
    <m/>
    <m/>
  </r>
  <r>
    <n v="38"/>
    <n v="30"/>
    <x v="1"/>
    <x v="5"/>
    <x v="0"/>
    <x v="1"/>
    <x v="30"/>
    <s v="Risco Operacional"/>
    <s v="Estruturante"/>
    <x v="1"/>
    <s v="Envolvido"/>
    <x v="3"/>
    <n v="4"/>
    <x v="4"/>
    <x v="1"/>
    <x v="5"/>
    <x v="5"/>
    <x v="0"/>
    <x v="0"/>
    <x v="1"/>
    <x v="1"/>
    <x v="1"/>
    <s v="R2 S2 2025"/>
    <s v="R2 S3 2025"/>
    <s v="R2 S2 2025"/>
    <x v="4"/>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m/>
    <m/>
    <m/>
    <m/>
    <m/>
    <s v="Delivery - Backlog de Desenvolvimento"/>
    <m/>
  </r>
  <r>
    <n v="39"/>
    <n v="30"/>
    <x v="1"/>
    <x v="5"/>
    <x v="0"/>
    <x v="0"/>
    <x v="31"/>
    <s v="Risco Operacional"/>
    <s v="Estruturante"/>
    <x v="1"/>
    <s v="Orquestrado"/>
    <x v="4"/>
    <s v=""/>
    <x v="4"/>
    <x v="1"/>
    <x v="1"/>
    <x v="9"/>
    <x v="0"/>
    <x v="0"/>
    <x v="1"/>
    <x v="1"/>
    <x v="1"/>
    <s v="R2 S3 2025"/>
    <m/>
    <m/>
    <x v="4"/>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x v="4"/>
    <s v=""/>
    <s v=""/>
    <s v=""/>
    <m/>
    <m/>
    <m/>
    <m/>
    <m/>
    <m/>
    <m/>
    <m/>
    <m/>
    <m/>
    <m/>
    <m/>
    <m/>
    <m/>
    <m/>
    <m/>
    <m/>
  </r>
  <r>
    <n v="41"/>
    <n v="31"/>
    <x v="7"/>
    <x v="11"/>
    <x v="0"/>
    <x v="0"/>
    <x v="33"/>
    <s v="Evolução da Plataforma"/>
    <s v="Feature"/>
    <x v="0"/>
    <s v="Orquestrado"/>
    <x v="4"/>
    <s v=""/>
    <x v="4"/>
    <x v="7"/>
    <x v="3"/>
    <x v="2"/>
    <x v="0"/>
    <x v="0"/>
    <x v="0"/>
    <x v="1"/>
    <x v="1"/>
    <s v="R2 S3 2025"/>
    <m/>
    <s v="R2 S3 2025"/>
    <x v="4"/>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4"/>
    <x v="0"/>
    <x v="0"/>
    <x v="10"/>
    <x v="3"/>
    <x v="1"/>
    <x v="0"/>
    <x v="1"/>
    <x v="1"/>
    <s v="R2 S3 2025"/>
    <m/>
    <s v="R2 S4 2025"/>
    <x v="4"/>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3"/>
    <n v="33"/>
    <x v="8"/>
    <x v="12"/>
    <x v="0"/>
    <x v="2"/>
    <x v="35"/>
    <s v="Suporte Aplicação"/>
    <s v="Estruturante"/>
    <x v="1"/>
    <s v="Orquestrado"/>
    <x v="2"/>
    <n v="3"/>
    <x v="3"/>
    <x v="8"/>
    <x v="8"/>
    <x v="11"/>
    <x v="0"/>
    <x v="0"/>
    <x v="1"/>
    <x v="1"/>
    <x v="1"/>
    <s v="R2 S3 2025"/>
    <s v="R2 S3 2025"/>
    <s v="R2 S3 2025"/>
    <x v="4"/>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m/>
    <s v="Schema dos logs pode ser inconsistente entre serviços ou versões antigas do código"/>
    <s v="Baixo"/>
    <m/>
    <m/>
    <m/>
    <m/>
    <m/>
    <m/>
    <m/>
    <m/>
    <s v="Delivery - Backlog de Desenvolvimento"/>
    <m/>
  </r>
  <r>
    <n v="44"/>
    <n v="34"/>
    <x v="8"/>
    <x v="12"/>
    <x v="0"/>
    <x v="2"/>
    <x v="36"/>
    <s v="Suporte Aplicação"/>
    <s v="Estruturante"/>
    <x v="1"/>
    <s v="Orquestrado"/>
    <x v="2"/>
    <n v="3"/>
    <x v="3"/>
    <x v="8"/>
    <x v="8"/>
    <x v="11"/>
    <x v="0"/>
    <x v="0"/>
    <x v="1"/>
    <x v="1"/>
    <x v="1"/>
    <s v="R2 S3 2025"/>
    <s v="R2 S3 2025"/>
    <s v="R3 S1 2025"/>
    <x v="4"/>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s v="% de execuções automáticas bem-sucedidas: ≥ 98% por semana_x000a__x000a_Tempo de esforço manual reduzido a 0"/>
    <s v="Falha na execução do Glue ou na consulta do Athena, causando dados desatualizados no painel"/>
    <s v="Baixo"/>
    <m/>
    <m/>
    <m/>
    <m/>
    <m/>
    <m/>
    <m/>
    <m/>
    <s v="Delivery - Backlog de Desenvolvi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42"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D37"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3">
        <item x="1"/>
        <item x="2"/>
        <item x="6"/>
        <item x="3"/>
        <item x="5"/>
        <item x="0"/>
        <item x="4"/>
        <item m="1" x="21"/>
        <item x="7"/>
        <item x="8"/>
        <item x="9"/>
        <item x="10"/>
        <item x="11"/>
        <item x="12"/>
        <item x="13"/>
        <item x="15"/>
        <item m="1" x="20"/>
        <item x="14"/>
        <item x="16"/>
        <item m="1" x="19"/>
        <item x="18"/>
        <item x="17"/>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m="1" x="5"/>
        <item h="1" x="1"/>
        <item h="1" x="4"/>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23">
    <i>
      <x/>
    </i>
    <i r="1">
      <x v="1"/>
    </i>
    <i r="2">
      <x v="2"/>
    </i>
    <i r="2">
      <x v="15"/>
    </i>
    <i>
      <x v="3"/>
    </i>
    <i r="1">
      <x v="8"/>
    </i>
    <i r="2">
      <x v="9"/>
    </i>
    <i>
      <x v="4"/>
    </i>
    <i r="1">
      <x v="9"/>
    </i>
    <i r="2">
      <x v="10"/>
    </i>
    <i>
      <x v="6"/>
    </i>
    <i r="1">
      <x v="11"/>
    </i>
    <i r="2">
      <x v="12"/>
    </i>
    <i r="1">
      <x v="13"/>
    </i>
    <i r="2">
      <x v="17"/>
    </i>
    <i>
      <x v="7"/>
    </i>
    <i r="1">
      <x v="13"/>
    </i>
    <i r="2">
      <x v="18"/>
    </i>
    <i>
      <x v="8"/>
    </i>
    <i r="1">
      <x v="14"/>
    </i>
    <i r="2">
      <x v="20"/>
    </i>
    <i r="2">
      <x v="21"/>
    </i>
    <i t="grand">
      <x/>
    </i>
  </rowItems>
  <colFields count="1">
    <field x="12"/>
  </colFields>
  <colItems count="3">
    <i>
      <x/>
    </i>
    <i>
      <x v="1"/>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43"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0" firstHeaderRow="1" firstDataRow="2" firstDataCol="1" rowPageCount="12" colPageCount="1"/>
  <pivotFields count="46">
    <pivotField dataField="1" showAll="0"/>
    <pivotField showAll="0"/>
    <pivotField axis="axisRow" showAll="0">
      <items count="10">
        <item x="2"/>
        <item x="1"/>
        <item x="0"/>
        <item x="5"/>
        <item x="4"/>
        <item x="3"/>
        <item x="7"/>
        <item x="6"/>
        <item x="8"/>
        <item t="default"/>
      </items>
    </pivotField>
    <pivotField axis="axisRow" showAll="0">
      <items count="14">
        <item x="1"/>
        <item x="5"/>
        <item x="2"/>
        <item x="9"/>
        <item x="8"/>
        <item x="7"/>
        <item x="0"/>
        <item x="4"/>
        <item x="6"/>
        <item x="3"/>
        <item x="11"/>
        <item x="10"/>
        <item x="12"/>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40">
        <item x="7"/>
        <item x="14"/>
        <item x="2"/>
        <item x="13"/>
        <item x="12"/>
        <item x="9"/>
        <item x="4"/>
        <item x="1"/>
        <item x="11"/>
        <item x="8"/>
        <item x="0"/>
        <item x="3"/>
        <item x="5"/>
        <item x="6"/>
        <item x="15"/>
        <item x="16"/>
        <item x="17"/>
        <item x="18"/>
        <item m="1" x="37"/>
        <item m="1" x="38"/>
        <item m="1" x="39"/>
        <item x="10"/>
        <item x="19"/>
        <item x="20"/>
        <item x="21"/>
        <item x="22"/>
        <item x="23"/>
        <item x="24"/>
        <item x="25"/>
        <item x="26"/>
        <item x="27"/>
        <item x="28"/>
        <item x="29"/>
        <item x="30"/>
        <item x="31"/>
        <item x="32"/>
        <item x="33"/>
        <item x="34"/>
        <item x="35"/>
        <item x="36"/>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2"/>
        <item h="1" x="0"/>
        <item x="4"/>
        <item x="3"/>
        <item h="1" x="1"/>
        <item t="default"/>
      </items>
    </pivotField>
    <pivotField axis="axisPage" showAll="0">
      <items count="10">
        <item x="3"/>
        <item x="4"/>
        <item x="1"/>
        <item x="0"/>
        <item x="6"/>
        <item x="7"/>
        <item x="5"/>
        <item x="2"/>
        <item x="8"/>
        <item t="default"/>
      </items>
    </pivotField>
    <pivotField axis="axisPage" showAll="0">
      <items count="10">
        <item x="4"/>
        <item x="1"/>
        <item x="0"/>
        <item x="7"/>
        <item x="5"/>
        <item x="6"/>
        <item x="2"/>
        <item x="3"/>
        <item x="8"/>
        <item t="default"/>
      </items>
    </pivotField>
    <pivotField axis="axisPage" showAll="0">
      <items count="13">
        <item x="0"/>
        <item x="4"/>
        <item x="3"/>
        <item x="1"/>
        <item x="8"/>
        <item x="10"/>
        <item x="5"/>
        <item x="9"/>
        <item x="7"/>
        <item x="6"/>
        <item x="2"/>
        <item x="11"/>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3">
    <i>
      <x/>
    </i>
    <i r="1">
      <x v="8"/>
    </i>
    <i r="2">
      <x v="17"/>
    </i>
    <i r="2">
      <x v="22"/>
    </i>
    <i>
      <x v="1"/>
    </i>
    <i r="1">
      <x v="1"/>
    </i>
    <i r="2">
      <x v="4"/>
    </i>
    <i r="2">
      <x v="15"/>
    </i>
    <i r="2">
      <x v="16"/>
    </i>
    <i r="2">
      <x v="32"/>
    </i>
    <i r="2">
      <x v="33"/>
    </i>
    <i r="2">
      <x v="34"/>
    </i>
    <i>
      <x v="4"/>
    </i>
    <i r="1">
      <x v="4"/>
    </i>
    <i r="2">
      <x v="26"/>
    </i>
    <i r="2">
      <x v="27"/>
    </i>
    <i>
      <x v="5"/>
    </i>
    <i r="1">
      <x v="5"/>
    </i>
    <i r="2">
      <x v="23"/>
    </i>
    <i r="2">
      <x v="24"/>
    </i>
    <i>
      <x v="6"/>
    </i>
    <i r="1">
      <x v="10"/>
    </i>
    <i r="2">
      <x v="36"/>
    </i>
    <i r="2">
      <x v="37"/>
    </i>
    <i>
      <x v="7"/>
    </i>
    <i r="1">
      <x v="11"/>
    </i>
    <i r="2">
      <x v="30"/>
    </i>
    <i r="2">
      <x v="31"/>
    </i>
    <i>
      <x v="8"/>
    </i>
    <i r="1">
      <x v="12"/>
    </i>
    <i r="2">
      <x v="38"/>
    </i>
    <i r="2">
      <x v="39"/>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CA4D14-185C-4498-A2F0-20169B5C6F0B}" name="Tabela dinâmica1" cacheId="4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2:B46" firstHeaderRow="1" firstDataRow="1" firstDataCol="1"/>
  <pivotFields count="46">
    <pivotField showAll="0"/>
    <pivotField showAll="0"/>
    <pivotField showAll="0"/>
    <pivotField showAll="0"/>
    <pivotField showAll="0"/>
    <pivotField showAll="0"/>
    <pivotField axis="axisRow" showAll="0">
      <items count="41">
        <item x="7"/>
        <item x="16"/>
        <item x="17"/>
        <item x="14"/>
        <item x="2"/>
        <item x="13"/>
        <item x="12"/>
        <item x="15"/>
        <item x="19"/>
        <item x="9"/>
        <item x="4"/>
        <item x="1"/>
        <item x="11"/>
        <item x="18"/>
        <item x="10"/>
        <item x="30"/>
        <item x="25"/>
        <item x="26"/>
        <item x="8"/>
        <item x="29"/>
        <item m="1" x="37"/>
        <item x="23"/>
        <item x="22"/>
        <item x="24"/>
        <item x="0"/>
        <item x="20"/>
        <item x="3"/>
        <item x="32"/>
        <item x="28"/>
        <item x="27"/>
        <item x="31"/>
        <item x="34"/>
        <item x="33"/>
        <item x="5"/>
        <item x="6"/>
        <item m="1" x="38"/>
        <item x="21"/>
        <item m="1" x="39"/>
        <item x="35"/>
        <item x="3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7">
        <item x="1"/>
        <item x="2"/>
        <item x="4"/>
        <item x="0"/>
        <item x="3"/>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5"/>
    <field x="6"/>
  </rowFields>
  <rowItems count="44">
    <i>
      <x/>
    </i>
    <i r="1">
      <x v="4"/>
    </i>
    <i r="1">
      <x v="10"/>
    </i>
    <i r="1">
      <x v="26"/>
    </i>
    <i r="1">
      <x v="33"/>
    </i>
    <i>
      <x v="1"/>
    </i>
    <i r="1">
      <x/>
    </i>
    <i r="1">
      <x v="14"/>
    </i>
    <i r="1">
      <x v="16"/>
    </i>
    <i r="1">
      <x v="18"/>
    </i>
    <i r="1">
      <x v="22"/>
    </i>
    <i r="1">
      <x v="34"/>
    </i>
    <i>
      <x v="2"/>
    </i>
    <i r="1">
      <x v="1"/>
    </i>
    <i r="1">
      <x v="2"/>
    </i>
    <i r="1">
      <x v="5"/>
    </i>
    <i r="1">
      <x v="6"/>
    </i>
    <i r="1">
      <x v="8"/>
    </i>
    <i r="1">
      <x v="12"/>
    </i>
    <i r="1">
      <x v="13"/>
    </i>
    <i r="1">
      <x v="15"/>
    </i>
    <i r="1">
      <x v="17"/>
    </i>
    <i r="1">
      <x v="19"/>
    </i>
    <i r="1">
      <x v="21"/>
    </i>
    <i r="1">
      <x v="23"/>
    </i>
    <i r="1">
      <x v="25"/>
    </i>
    <i r="1">
      <x v="27"/>
    </i>
    <i r="1">
      <x v="28"/>
    </i>
    <i r="1">
      <x v="29"/>
    </i>
    <i r="1">
      <x v="30"/>
    </i>
    <i r="1">
      <x v="31"/>
    </i>
    <i r="1">
      <x v="32"/>
    </i>
    <i r="1">
      <x v="36"/>
    </i>
    <i r="1">
      <x v="38"/>
    </i>
    <i r="1">
      <x v="39"/>
    </i>
    <i>
      <x v="3"/>
    </i>
    <i r="1">
      <x v="11"/>
    </i>
    <i r="1">
      <x v="24"/>
    </i>
    <i>
      <x v="4"/>
    </i>
    <i r="1">
      <x v="9"/>
    </i>
    <i>
      <x v="5"/>
    </i>
    <i r="1">
      <x v="3"/>
    </i>
    <i r="1">
      <x v="7"/>
    </i>
    <i t="grand">
      <x/>
    </i>
  </rowItems>
  <colItems count="1">
    <i/>
  </colItems>
  <dataFields count="1">
    <dataField name="Contagem de Data Fim Real" fld="2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T7" totalsRowShown="0" headerRowDxfId="232" dataDxfId="231" tableBorderDxfId="230">
  <autoFilter ref="A2:T7" xr:uid="{6F80A26C-76A8-4D35-838E-42700DDABB3A}"/>
  <tableColumns count="20">
    <tableColumn id="1" xr3:uid="{115F88A5-0470-45C1-AA24-E7C52EF917E1}" name="ID Tático" dataDxfId="229"/>
    <tableColumn id="2" xr3:uid="{2D2AD7DC-40EB-42B3-B6EB-5680616D5BB0}" name="ID Estratégico" dataDxfId="228"/>
    <tableColumn id="3" xr3:uid="{59F5D3E9-A704-4BB2-B625-906F420FAB74}" name="Produto" dataDxfId="227"/>
    <tableColumn id="4" xr3:uid="{EA6BF80D-E2B0-483A-81B7-512CCB41E039}" name="Épico" dataDxfId="226"/>
    <tableColumn id="5" xr3:uid="{D9DF7B2A-5335-493F-9462-00BB765D0335}" name="Iniciativa" dataDxfId="225"/>
    <tableColumn id="7" xr3:uid="{72DE16DE-5EBD-4E64-AF55-795564CF67EA}" name="Ponto Focal" dataDxfId="224"/>
    <tableColumn id="8" xr3:uid="{0DE02A18-44E9-4148-A796-5B1AE2DAFBAE}" name="Desenvolvedor 1" dataDxfId="223"/>
    <tableColumn id="9" xr3:uid="{F4128E2A-CB69-4FE4-90A5-9BCCED9115A2}" name="Desenvolvedor 2" dataDxfId="222"/>
    <tableColumn id="6" xr3:uid="{B63BCE19-8950-4458-8DAF-8D27ACF5C483}" name="Desenvolvedor 3" dataDxfId="221"/>
    <tableColumn id="20" xr3:uid="{F72FCA9B-D3CA-414F-9519-FE93755986E3}" name="Desenvolvedor Adicionais"/>
    <tableColumn id="10" xr3:uid="{24D00D9E-0E17-449F-8D76-BD7634D5709B}" name="Designer Atuante" dataDxfId="220"/>
    <tableColumn id="11" xr3:uid="{5CAA37CE-AA15-43E1-9277-59D1693BAB3F}" name="TechLead Atuante" dataDxfId="219"/>
    <tableColumn id="17" xr3:uid="{75A0469F-1153-4984-AE7C-4A31FBF72414}" name="Governança Atuante" dataDxfId="218"/>
    <tableColumn id="12" xr3:uid="{BCC8F7C4-F051-4171-B59A-8A758AF015EE}" name="Reach" dataDxfId="217">
      <calculatedColumnFormula>SUM('Priorização - Impacto'!C3:C14,'Priorização - Impacto'!C18)</calculatedColumnFormula>
    </tableColumn>
    <tableColumn id="13" xr3:uid="{A2EC69C6-AD01-471E-BA49-738D9F39E09B}" name="Impact" dataDxfId="216"/>
    <tableColumn id="14" xr3:uid="{F81A34CB-E506-4A8A-AADC-AE0BD0D15049}" name="Confidence" dataDxfId="215" dataCellStyle="Porcentagem"/>
    <tableColumn id="15" xr3:uid="{E1BE5337-B4A7-46A3-9A84-E7BA1AC0985D}" name="Effort" dataDxfId="214"/>
    <tableColumn id="18" xr3:uid="{61A889FF-EF6E-44CD-9772-053DF3DE471D}" name="Cost of Delay" dataDxfId="213"/>
    <tableColumn id="16" xr3:uid="{56A37474-61FA-4751-8373-1F66A5B2D1BC}" name="OKR Alignment" dataDxfId="212"/>
    <tableColumn id="19" xr3:uid="{C05E9922-825F-4740-9D6A-AAF6C16E20D5}" name="Score Final" dataDxfId="211">
      <calculatedColumnFormula>IFERROR(((tbPriorizacao[[#This Row],[Reach]]*tbPriorizacao[[#This Row],[Impact]]*tbPriorizacao[[#This Row],[Confidence]])/tbPriorizacao[[#This Row],[Effort]])*tbPriorizacao[[#This Row],[Cost of Delay]]*tbPriorizacao[[#This Row],[OKR Alignment]],"")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210" dataDxfId="209">
  <autoFilter ref="A1:F15" xr:uid="{47C7213D-8333-48BA-BEFD-5E9C97201475}"/>
  <tableColumns count="6">
    <tableColumn id="1" xr3:uid="{04815FE4-658E-47E4-954D-821529F386BB}" name="Projeto" dataDxfId="208"/>
    <tableColumn id="2" xr3:uid="{4E0FA37D-805F-449E-BC0A-25D3B9BFD0F9}" name="Quantidade de colaboradores" dataDxfId="207"/>
    <tableColumn id="3" xr3:uid="{1D6A2DE6-06AE-4322-90B5-2A18DAE4FA72}" name="Cargo" dataDxfId="206"/>
    <tableColumn id="7" xr3:uid="{7CB7B757-4EC2-4EE9-A89F-A4E13AC2553D}" name="Duplicar Esforço por" dataDxfId="205"/>
    <tableColumn id="4" xr3:uid="{F1B19B92-1F08-458E-9D71-D197265A4846}" name="Nível de Esforço de cada colaborador" dataDxfId="204"/>
    <tableColumn id="5" xr3:uid="{6087C7B0-1663-482F-AE40-E8DEFE0BC81B}" name="Esforço" dataDxfId="203">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02" dataDxfId="200" headerRowBorderDxfId="201" tableBorderDxfId="199" headerRowCellStyle="Normal 6 4" dataCellStyle="Normal 6 4">
  <autoFilter ref="G5:H305" xr:uid="{972E8234-95B8-4E9C-A9E0-DCAD992EAC7A}"/>
  <tableColumns count="2">
    <tableColumn id="1" xr3:uid="{E217D63E-2549-4572-BA51-F79206F9185A}" name="Start" dataDxfId="198" dataCellStyle="Normal 6 4">
      <calculatedColumnFormula>IF(E6="","",IF(WEEKDAY($D$3, 2) - WEEKDAY(E6, 2) &lt;= 0, E6 + (WEEKDAY($D$3,2) - WEEKDAY(E6,2)), E6 - (7 - (WEEKDAY($D$3,2) - WEEKDAY(E6,2)))))</calculatedColumnFormula>
    </tableColumn>
    <tableColumn id="2" xr3:uid="{3291BF73-248A-4A2C-8971-EB6BA787BC5C}" name="End" dataDxfId="197"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196" dataDxfId="195">
  <autoFilter ref="A6:I11" xr:uid="{6BA32154-0D50-4B89-B7B1-385104020260}"/>
  <tableColumns count="9">
    <tableColumn id="30" xr3:uid="{6B5EE5E2-FD9D-4DCE-832D-4166561CBE1E}" name="Release/Sprint" dataDxfId="194"/>
    <tableColumn id="3" xr3:uid="{AE17FE07-0D67-4FA4-903D-46D1CD3A4243}" name="IDS Estratégicos" dataDxfId="193"/>
    <tableColumn id="2" xr3:uid="{61E14223-25F4-4753-80B8-B092D116A364}" name="Produto" dataDxfId="192"/>
    <tableColumn id="1" xr3:uid="{32CBEE87-6E72-4E6F-A4CC-13C86DD66F85}" name="Entrega Esperada (Output)" dataDxfId="191"/>
    <tableColumn id="4" xr3:uid="{CA47A50A-E164-433A-925E-98B5090D4B79}" name="Definition of Done" dataDxfId="190"/>
    <tableColumn id="9" xr3:uid="{821A8710-BA16-4428-A134-5B066A693357}" name="Outcome (Benefício Qualitativo)" dataDxfId="189"/>
    <tableColumn id="8" xr3:uid="{CDAC6621-68BC-4D17-8E2D-1EDE798489A0}" name="Outcome (Benefício Quantitativo)" dataDxfId="188"/>
    <tableColumn id="5" xr3:uid="{99D55A8A-FA6F-4693-BB41-F72BF7BD31BB}" name="Métricas de Sucesso" dataDxfId="187"/>
    <tableColumn id="7" xr3:uid="{86CE438B-681A-4976-8FA6-AEA4FEB5BA93}" name="Status da Entrega" dataDxfId="186"/>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185" dataDxfId="184">
  <autoFilter ref="A6:AR34" xr:uid="{6BA32154-0D50-4B89-B7B1-385104020260}"/>
  <tableColumns count="44">
    <tableColumn id="30" xr3:uid="{0E56E67E-8737-4233-BA2C-797377C2E454}" name="ID" dataDxfId="183">
      <calculatedColumnFormula>ROW()</calculatedColumnFormula>
    </tableColumn>
    <tableColumn id="1" xr3:uid="{8AC0F2DC-0B1B-4118-81F1-AE559173DBF2}" name="Escolha ou Renúncia" dataDxfId="182"/>
    <tableColumn id="2" xr3:uid="{7F27EAE6-969C-4CBA-9D16-486E1D41AADC}" name="Criticidade" dataDxfId="181"/>
    <tableColumn id="3" xr3:uid="{CCEED094-FEC1-445E-BABC-FADFC06A28E4}" name="Produto" dataDxfId="180"/>
    <tableColumn id="4" xr3:uid="{967D085F-622E-405E-AD79-9BDF413D3CA6}" name="Épico" dataDxfId="179"/>
    <tableColumn id="5" xr3:uid="{2279D44A-C222-4B35-A843-D8F9184A6609}" name="Iniciativa" dataDxfId="178"/>
    <tableColumn id="6" xr3:uid="{943070F8-15D4-4758-818D-31CFC4258FAC}" name="Classificação da Torre" dataDxfId="177"/>
    <tableColumn id="7" xr3:uid="{DD2A737D-B661-4FAB-8E10-75D3CDC7439E}" name="Frente Prioritária" dataDxfId="176"/>
    <tableColumn id="8" xr3:uid="{B0A65E94-070E-4DD5-B9F7-31AF7B2D62A3}" name="Discovery/Delivery" dataDxfId="175"/>
    <tableColumn id="9" xr3:uid="{B75D5C62-4D31-44F9-91E9-F7D7DCD45012}" name="Orquestrado/Envolvido" dataDxfId="174"/>
    <tableColumn id="10" xr3:uid="{47B87414-AEF6-4913-8269-F59DDF1D184D}" name="Sinaleiro" dataDxfId="173"/>
    <tableColumn id="24" xr3:uid="{D9397D15-854D-4AC6-8A69-FC1A0CC738F2}" name="Sinaleiro - Ícone" dataDxfId="172">
      <calculatedColumnFormula>IF(K7="Ruim",1,IF(K7="Médio",2,IF(K7="Bom",3,IF(K7="Excelente",4,""))))</calculatedColumnFormula>
    </tableColumn>
    <tableColumn id="11" xr3:uid="{A3D06573-42AF-439F-8978-7EBCC7B70B7D}" name="Status" dataDxfId="171"/>
    <tableColumn id="15" xr3:uid="{A54099E6-08D4-4A9D-8A10-F1DCE5F5835D}" name="Usamos o Dual Track?" dataDxfId="170"/>
    <tableColumn id="32" xr3:uid="{600EA50E-6025-4BEE-A66B-F3B7D4CEDCE5}" name="Fizemos protótipo?" dataDxfId="169"/>
    <tableColumn id="23" xr3:uid="{051C96F6-7D34-4C90-B07C-EE8D2226FA74}" name="Fizemos pesquisa com o usuário?" dataDxfId="168"/>
    <tableColumn id="33" xr3:uid="{5085B780-B842-4940-867D-2D45198882E3}" name="Técnica de Pesquisa" dataDxfId="167"/>
    <tableColumn id="20" xr3:uid="{17CC5FD0-48B8-4456-8E72-560731EC73F4}" name="Data Início Desejado" dataDxfId="166"/>
    <tableColumn id="21" xr3:uid="{0FD5A5BD-4BC3-426D-BFD6-F8DF99472854}" name="Data Início Real" dataDxfId="165"/>
    <tableColumn id="19" xr3:uid="{709D0704-AE53-43C6-BAC0-2865D52B7529}" name="Data Fim Desejado" dataDxfId="164"/>
    <tableColumn id="22" xr3:uid="{A209C5C8-7939-439C-B870-F6EBEF8E3B29}" name="Data Fim Real" dataDxfId="163"/>
    <tableColumn id="31" xr3:uid="{DD12A6BD-9806-4685-AF50-3A33B37D3A9F}" name="Duração em Sprints (Inicio Desejado x Fim Desejado)" dataDxfId="162">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61">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60">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59"/>
    <tableColumn id="27" xr3:uid="{2D9BDBEB-14C6-4F92-8742-7B726F621527}" name="Público Alvo" dataDxfId="158"/>
    <tableColumn id="12" xr3:uid="{8BBA324D-F6D0-40D3-B647-654D1D60BD24}" name="Outcome (Benefício Qualitativo)" dataDxfId="157"/>
    <tableColumn id="43" xr3:uid="{A2687CC9-A0B5-45F8-9F21-D580B702A5A6}" name="Outcome (Benefício Quantitativo)" dataDxfId="156"/>
    <tableColumn id="44" xr3:uid="{D9D725A6-3FE4-422D-9858-0440DDD08E9A}" name="Book Wave" dataDxfId="155"/>
    <tableColumn id="13" xr3:uid="{298BD868-6FFF-44BE-8270-A68244128F73}" name="Data Captura" dataDxfId="154"/>
    <tableColumn id="14" xr3:uid="{612577E3-761D-491C-B17F-DB3D9B261AD6}" name="KRs Estratégico" dataDxfId="153"/>
    <tableColumn id="29" xr3:uid="{5B2F67F7-EC77-48CC-9CF8-980ED664A8A7}" name="Métricas" dataDxfId="152"/>
    <tableColumn id="16" xr3:uid="{2FD32F0F-1BBB-4E15-ACD9-C4E7A4526764}" name="Riscos/Impedimentos/Dependência" dataDxfId="151"/>
    <tableColumn id="17" xr3:uid="{5B8CC24F-CF05-4968-9F1D-70C538425E5D}" name="Tamanho Impacto" dataDxfId="150"/>
    <tableColumn id="18" xr3:uid="{6EC2050A-C610-4EF5-96DB-2C4485927D05}" name="Probabilidade de acontecer" dataDxfId="149" dataCellStyle="Porcentagem"/>
    <tableColumn id="42" xr3:uid="{250CD5EF-877D-4D90-AAC1-35ABF8B5212A}" name="Observações" dataDxfId="148" dataCellStyle="Porcentagem"/>
    <tableColumn id="34" xr3:uid="{B8751BC0-53E3-4AFF-8568-9F44E558F3B6}" name="S1_x000a_06/01 à 24/01" dataDxfId="147"/>
    <tableColumn id="35" xr3:uid="{BF7DD851-4D12-41C1-A9E8-137912475C86}" name="S2_x000a_27/01 à 14/02" dataDxfId="146"/>
    <tableColumn id="36" xr3:uid="{48E139B4-601D-4F4F-8CCC-FC8231C98C04}" name="S3_x000a_17/02 à 07/03" dataDxfId="145"/>
    <tableColumn id="37" xr3:uid="{139B45EE-546D-4C1B-842D-B394C8818B7A}" name="S4_x000a_10/03 à 28/03" dataDxfId="144"/>
    <tableColumn id="38" xr3:uid="{9BD91145-A43F-436C-B6BF-8B8843A59670}" name="S1_x000a_07/04 à 25/04" dataDxfId="143"/>
    <tableColumn id="39" xr3:uid="{F4CB1DF1-5187-4101-BC97-EB36E3C814D4}" name="S2_x000a_28/04 à 16/05" dataDxfId="142"/>
    <tableColumn id="40" xr3:uid="{C18BB2F9-5896-450D-87C9-D267CC9CCFCA}" name="S3_x000a_19/05 à 06/06" dataDxfId="141"/>
    <tableColumn id="41" xr3:uid="{06D39BE1-C1BB-4041-9DFD-91F4C48CB48A}" name="S4_x000a_09/06 à 27/06" dataDxfId="140"/>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39" dataDxfId="138">
  <autoFilter ref="A6:AT44" xr:uid="{6BA32154-0D50-4B89-B7B1-385104020260}"/>
  <tableColumns count="46">
    <tableColumn id="30" xr3:uid="{B56D968F-A32C-4C89-B514-50DAECA39148}" name="ID Tático" dataDxfId="137">
      <calculatedColumnFormula>ROW()</calculatedColumnFormula>
    </tableColumn>
    <tableColumn id="33" xr3:uid="{60907C6A-16F9-43A7-8B60-39F0236F6A8C}" name="ID Estratégico" dataDxfId="136"/>
    <tableColumn id="32" xr3:uid="{BB6D5314-335F-4C9A-A231-C8BB6780D934}" name="Produto" dataDxfId="135">
      <calculatedColumnFormula>VLOOKUP(tbRoadMapTatico[[#This Row],[ID Estratégico]],'Roadmap Estratégico'!A:BE,4,0)</calculatedColumnFormula>
    </tableColumn>
    <tableColumn id="23" xr3:uid="{4169D703-9525-4BFB-B382-AA4FC003C0E8}" name="Épico" dataDxfId="134">
      <calculatedColumnFormula>VLOOKUP(tbRoadMapTatico[[#This Row],[ID Estratégico]],'Roadmap Estratégico'!A:BE,5,0)</calculatedColumnFormula>
    </tableColumn>
    <tableColumn id="1" xr3:uid="{52FC966A-8FEA-4B57-8B22-DE5C831C0000}" name="Escolha ou Renúncia" dataDxfId="133"/>
    <tableColumn id="2" xr3:uid="{7B9DC637-C8ED-41AD-A8AC-7B24FF679BAE}" name="Criticidade" dataDxfId="132"/>
    <tableColumn id="5" xr3:uid="{78E0CBA9-0962-430A-94A4-C2CAE6897B61}" name="História" dataDxfId="131"/>
    <tableColumn id="6" xr3:uid="{43422C44-158E-41BF-8599-821290A6EE0A}" name="Classificação da Torre" dataDxfId="130"/>
    <tableColumn id="7" xr3:uid="{99FEC7A3-4E3C-4E5A-B20B-17D5AB726D7A}" name="Frente Prioritária" dataDxfId="129"/>
    <tableColumn id="8" xr3:uid="{5E49F8EC-67E8-47E3-B04F-59B45C756805}" name="Discovery/Delivery" dataDxfId="128"/>
    <tableColumn id="9" xr3:uid="{D2A99BD3-82E5-4B56-89C2-B692EBE84017}" name="Orquestrado/Envolvido" dataDxfId="127"/>
    <tableColumn id="10" xr3:uid="{F29536F2-ADAE-4C7A-9412-9328072998B2}" name="Sinaleiro" dataDxfId="126"/>
    <tableColumn id="24" xr3:uid="{EE3DD426-0B76-4499-9D5A-1A51F6B6C1D2}" name="Sinaleiro - Ícone" dataDxfId="125">
      <calculatedColumnFormula>IF(L7="Ruim",1,IF(L7="Médio",2,IF(L7="Bom",3,IF(L7="Excelente",4,""))))</calculatedColumnFormula>
    </tableColumn>
    <tableColumn id="11" xr3:uid="{CC4303A3-B401-40D8-8E33-5607A9779B9C}" name="Status" dataDxfId="124"/>
    <tableColumn id="42" xr3:uid="{756832C3-80BD-44B2-B695-9FEF6FA6BF3A}" name="Ponto Focal" dataDxfId="123"/>
    <tableColumn id="44" xr3:uid="{97DA0706-4C85-4D6E-83F2-C17B7D2C2F08}" name="Desenvolvedor 1" dataDxfId="122"/>
    <tableColumn id="47" xr3:uid="{F6967205-A2FD-469F-B427-BEE99EC8BB75}" name="Desenvolvedor 2" dataDxfId="121"/>
    <tableColumn id="14" xr3:uid="{E0F95F48-1437-442A-B7BF-C2E57BF3766A}" name="Desenvolvedor 3" dataDxfId="120"/>
    <tableColumn id="15" xr3:uid="{F9CDCB82-D0FA-427C-A182-57568C9C9999}" name="Desenvolvedores (Adicionais)" dataDxfId="119"/>
    <tableColumn id="46" xr3:uid="{8316D2A6-A4CB-4A20-8FDC-0F69315FFDFD}" name="Designer Atuante" dataDxfId="118"/>
    <tableColumn id="43" xr3:uid="{F11166D1-1979-4496-91EF-D1C415566070}" name="TechLead Atuante" dataDxfId="117"/>
    <tableColumn id="3" xr3:uid="{AC553164-1496-40C9-9BAF-6D54F8CCFC28}" name="Governança Atuante" dataDxfId="116"/>
    <tableColumn id="20" xr3:uid="{B1C8B6C1-895F-4435-AEF0-315383BDA264}" name="Data Início Desejado" dataDxfId="115"/>
    <tableColumn id="21" xr3:uid="{5F70BD49-7E22-4433-92B6-F620CB961729}" name="Data Início Real" dataDxfId="114"/>
    <tableColumn id="19" xr3:uid="{2B9D60C8-47A2-40B2-814E-D98AB2C3C833}" name="Data Fim Desejado" dataDxfId="113"/>
    <tableColumn id="22" xr3:uid="{AACBECF5-1878-4622-AD50-649CA690A085}" name="Data Fim Real" dataDxfId="112"/>
    <tableColumn id="31" xr3:uid="{0436528C-3E80-406A-BA8E-B39858BE5EB7}" name="Duração em Sprints (Inicio Desejado x Fim Desejado)" dataDxfId="111">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10">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09">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08"/>
    <tableColumn id="27" xr3:uid="{EB798511-1DB6-487E-96D8-684CA3F1D275}" name="Público Alvo" dataDxfId="107"/>
    <tableColumn id="12" xr3:uid="{ADEB9D19-C085-47A7-956C-BED12C8A8F27}" name="Outcome (Benefício Qualitativo)" dataDxfId="106"/>
    <tableColumn id="13" xr3:uid="{872FC513-E199-4911-8064-2B7F7789A231}" name="Outcome (Benefício Quantitativo)" dataDxfId="105"/>
    <tableColumn id="29" xr3:uid="{9754B748-F73A-4DE1-B662-66E2F279C1A2}" name="Métricas" dataDxfId="104"/>
    <tableColumn id="16" xr3:uid="{25E3857B-2B32-4DBA-849A-712F82B39FF3}" name="Riscos/Impedimentos/Dependência" dataDxfId="103"/>
    <tableColumn id="17" xr3:uid="{5FCC81CB-A5F3-47F7-82E6-F28C521EB721}" name="Impacto" dataDxfId="102"/>
    <tableColumn id="18" xr3:uid="{7273EDA0-8F5E-41C9-89CB-CEAFE2BE789D}" name="Probabilidade de acontecer" dataDxfId="101" dataCellStyle="Porcentagem"/>
    <tableColumn id="4" xr3:uid="{8327C63C-0D75-4CC5-AE0D-64DB26C618E3}" name="Observações" dataDxfId="100" dataCellStyle="Porcentagem"/>
    <tableColumn id="34" xr3:uid="{B390D4A0-F1F8-4402-82B7-7477D81492BB}" name="S1_x000a_06/01 à 24/01" dataDxfId="99"/>
    <tableColumn id="35" xr3:uid="{5A85E98F-7C65-4611-AF89-66E725572FA7}" name="S2_x000a_27/01 à 14/02" dataDxfId="98"/>
    <tableColumn id="36" xr3:uid="{86278F46-BA54-4F24-B167-1F9F688982DA}" name="S3_x000a_17/02 à 07/03" dataDxfId="97"/>
    <tableColumn id="37" xr3:uid="{99DA3A12-2B65-49E9-A658-5936B382F201}" name="S4_x000a_10/03 à 28/03" dataDxfId="96"/>
    <tableColumn id="38" xr3:uid="{69870856-5F7C-442E-913E-11EBAE492628}" name="S1_x000a_07/04 à 25/04" dataDxfId="95"/>
    <tableColumn id="39" xr3:uid="{FA2A891F-A45D-41E0-B8D2-4AB70BF87BC7}" name="S2_x000a_28/04 à 16/05" dataDxfId="94"/>
    <tableColumn id="40" xr3:uid="{2FD3DC18-0B1C-401F-8454-3AB01FA98162}" name="S3_x000a_19/05 à 06/06" dataDxfId="93"/>
    <tableColumn id="41" xr3:uid="{6FB0D2FF-CE25-4FA1-B276-33DB9A164536}" name="S4_x000a_09/06 à 27/06" dataDxfId="92"/>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91" dataDxfId="90">
  <autoFilter ref="A1:A3" xr:uid="{AA757599-37F3-4D96-B4E6-84A9362620EC}"/>
  <tableColumns count="1">
    <tableColumn id="1" xr3:uid="{A3B2C8E4-B0A9-40C0-AF2B-417D3873E985}" name="Escolha ou Renúncia"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88" dataDxfId="87">
  <autoFilter ref="B1:B4" xr:uid="{2BA890CE-6FEC-4122-98C9-94CB23CB8EA2}"/>
  <tableColumns count="1">
    <tableColumn id="1" xr3:uid="{496BB293-208F-426B-BAC3-E1B6A79778D3}" name="Criticidade" dataDxfId="8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85" dataDxfId="84">
  <autoFilter ref="C1:C12" xr:uid="{3474AD2F-FE54-4B31-86D1-D5B1C3F0661B}"/>
  <tableColumns count="1">
    <tableColumn id="1" xr3:uid="{12DDF75B-7B06-4B8F-952F-32A4752B8EFB}" name="Produto" dataDxfId="8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82" dataDxfId="81">
  <autoFilter ref="F1:F6" xr:uid="{C49A7E32-B887-4370-9254-4080768AE400}"/>
  <tableColumns count="1">
    <tableColumn id="1" xr3:uid="{9C4F0D3F-743C-4308-9AE7-023E770654B1}" name="Classificação da Torre" dataDxfId="8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79" dataDxfId="78">
  <autoFilter ref="G1:G3" xr:uid="{80D03D59-06C8-4701-9250-31D4979C91D6}"/>
  <tableColumns count="1">
    <tableColumn id="1" xr3:uid="{3DB0E3A7-5132-4FB0-9863-28BF24D51AA0}" name="Frente Prioritária" dataDxfId="7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76" dataDxfId="75">
  <autoFilter ref="H1:H3" xr:uid="{3183CB18-2A6D-490B-98D5-DFCFF79E614D}"/>
  <tableColumns count="1">
    <tableColumn id="1" xr3:uid="{60F45FD6-D3E5-4F7D-B915-B7908D596601}" name="Discovery/Delivery" dataDxfId="7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73" dataDxfId="72">
  <autoFilter ref="I1:I3" xr:uid="{A6EA76FF-2B35-49E3-A9AF-9A92FE2A8F38}"/>
  <tableColumns count="1">
    <tableColumn id="1" xr3:uid="{3749DB2D-5B10-460B-A576-40BEC8D69206}" name="Orquestrado/Envolvido" dataDxfId="7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70" dataDxfId="69">
  <autoFilter ref="J1:J5" xr:uid="{F9A1713A-22D6-4B48-BDA0-AD080856E06A}"/>
  <tableColumns count="1">
    <tableColumn id="1" xr3:uid="{18EC6CDD-9C46-4804-A30E-18ABAA56A538}" name="Sinaleiro" dataDxfId="6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67" dataDxfId="66">
  <autoFilter ref="K1:K7" xr:uid="{3B5AB5D4-22B2-4C2C-B63F-F53F352073E0}"/>
  <tableColumns count="1">
    <tableColumn id="1" xr3:uid="{6FF1CB66-05E5-4EF8-BA1E-CE4F440C0DEE}" name="Status" dataDxfId="6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64" dataDxfId="63">
  <autoFilter ref="Q1:Q6" xr:uid="{743BAD48-2B24-4DD7-A931-7B9E796E78C3}"/>
  <tableColumns count="1">
    <tableColumn id="1" xr3:uid="{9FD2FB11-BB5A-4837-B98C-291B80B1BBA0}" name="Impacto" dataDxfId="6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61">
  <autoFilter ref="T2:V18" xr:uid="{9A6C76AE-E964-4860-B24B-8483730B4379}"/>
  <tableColumns count="3">
    <tableColumn id="1" xr3:uid="{E23F665F-D240-4C10-99D8-5C0D8D0A5895}" name="Esteira" dataDxfId="60"/>
    <tableColumn id="2" xr3:uid="{0681C7AE-CD5F-40BE-A33E-21B1BB461AAD}" name="Etapa" dataDxfId="59"/>
    <tableColumn id="3" xr3:uid="{0303A983-E11B-4508-A6BA-A03DE92D214C}" name="Esteira + Etapa" dataDxfId="58">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5" totalsRowShown="0" headerRowDxfId="57" dataDxfId="56">
  <autoFilter ref="X1:X15" xr:uid="{9F3B3FB5-9BCF-48F0-A145-53D9910BEFC7}"/>
  <tableColumns count="1">
    <tableColumn id="1" xr3:uid="{8A196F51-CF94-4665-9C36-E46DB8679DA4}" name="Equipe" dataDxfId="5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54" dataDxfId="53">
  <autoFilter ref="Z2:AA6" xr:uid="{A9395C44-2E44-404F-B6B3-AEF8CDF714DB}"/>
  <tableColumns count="2">
    <tableColumn id="1" xr3:uid="{0BE9C450-1933-46F2-9145-F7F52733023C}" name="Data" dataDxfId="52"/>
    <tableColumn id="2" xr3:uid="{1D24A32E-5826-42FD-BB14-6011A1892419}" name="Dia" dataDxfId="51">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50" dataDxfId="49">
  <autoFilter ref="AC2:AD8" xr:uid="{061EEE50-35E6-4CA2-AF50-A6CFADB01666}"/>
  <tableColumns count="2">
    <tableColumn id="1" xr3:uid="{EA7D152C-3A84-4A93-ACB6-E84EED916E44}" name="Nível de Esforço de cada colaborador" dataDxfId="48"/>
    <tableColumn id="2" xr3:uid="{0841FA88-C065-4F0B-B1DE-568D09BBCB34}" name="Esforço Numérico" dataDxfId="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workbookViewId="0">
      <selection activeCell="B8" sqref="B8"/>
    </sheetView>
  </sheetViews>
  <sheetFormatPr defaultRowHeight="14.4" x14ac:dyDescent="0.3"/>
  <cols>
    <col min="2" max="2" width="69.33203125" bestFit="1" customWidth="1"/>
  </cols>
  <sheetData>
    <row r="1" spans="1:61" ht="14.4" customHeight="1" x14ac:dyDescent="0.3">
      <c r="A1" s="118" t="s">
        <v>391</v>
      </c>
      <c r="B1" s="118"/>
      <c r="C1" s="118"/>
      <c r="D1" s="118"/>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row>
    <row r="2" spans="1:61" ht="14.4" customHeight="1" x14ac:dyDescent="0.3">
      <c r="A2" s="118"/>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row>
    <row r="3" spans="1:61" ht="14.4" customHeight="1" x14ac:dyDescent="0.3">
      <c r="A3" s="119" t="s">
        <v>0</v>
      </c>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19"/>
      <c r="BG3" s="119"/>
      <c r="BH3" s="119"/>
    </row>
    <row r="4" spans="1:61" ht="14.4" customHeight="1" x14ac:dyDescent="0.3">
      <c r="A4" s="119"/>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19"/>
      <c r="BG4" s="119"/>
      <c r="BH4" s="119"/>
    </row>
    <row r="6" spans="1:61" ht="22.8" customHeight="1" x14ac:dyDescent="0.3">
      <c r="A6" s="120" t="s">
        <v>521</v>
      </c>
      <c r="B6" s="120"/>
      <c r="C6" s="120"/>
      <c r="D6" s="120"/>
      <c r="E6" s="120"/>
      <c r="F6" s="120"/>
      <c r="G6" s="120"/>
      <c r="H6" s="120"/>
      <c r="I6" s="120"/>
      <c r="J6" s="120"/>
      <c r="K6" s="120"/>
      <c r="L6" s="120"/>
      <c r="M6" s="120"/>
      <c r="N6" s="120"/>
      <c r="O6" s="120"/>
      <c r="P6" s="120"/>
    </row>
    <row r="8" spans="1:61" s="5" customFormat="1" ht="40.049999999999997" customHeight="1" x14ac:dyDescent="0.3">
      <c r="B8" s="104" t="s">
        <v>484</v>
      </c>
    </row>
    <row r="9" spans="1:61" ht="40.049999999999997" customHeight="1" x14ac:dyDescent="0.3">
      <c r="B9" s="105" t="s">
        <v>485</v>
      </c>
    </row>
    <row r="10" spans="1:61" ht="40.049999999999997" customHeight="1" x14ac:dyDescent="0.3">
      <c r="B10" s="104" t="s">
        <v>486</v>
      </c>
    </row>
    <row r="11" spans="1:61" ht="40.049999999999997" customHeight="1" x14ac:dyDescent="0.3">
      <c r="B11" s="104" t="s">
        <v>520</v>
      </c>
    </row>
    <row r="12" spans="1:61" ht="40.049999999999997" customHeight="1" x14ac:dyDescent="0.3">
      <c r="B12" s="104" t="s">
        <v>487</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T7"/>
  <sheetViews>
    <sheetView topLeftCell="C1" workbookViewId="0">
      <pane xSplit="3" ySplit="2" topLeftCell="G3" activePane="bottomRight" state="frozen"/>
      <selection activeCell="B16" sqref="B16"/>
      <selection pane="topRight" activeCell="B16" sqref="B16"/>
      <selection pane="bottomLeft" activeCell="B16" sqref="B16"/>
      <selection pane="bottomRight" activeCell="E5" sqref="E5"/>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20" width="16.77734375" customWidth="1"/>
  </cols>
  <sheetData>
    <row r="1" spans="1:20" x14ac:dyDescent="0.3">
      <c r="C1" s="123" t="s">
        <v>5</v>
      </c>
      <c r="D1" s="123"/>
      <c r="E1" s="123"/>
      <c r="F1" s="121" t="s">
        <v>192</v>
      </c>
      <c r="G1" s="121"/>
      <c r="H1" s="121"/>
      <c r="I1" s="121"/>
      <c r="J1" s="121"/>
      <c r="K1" s="121"/>
      <c r="L1" s="121"/>
      <c r="M1" s="121"/>
      <c r="N1" s="122" t="s">
        <v>590</v>
      </c>
      <c r="O1" s="122"/>
      <c r="P1" s="122"/>
      <c r="Q1" s="122"/>
      <c r="R1" s="122"/>
      <c r="S1" s="122"/>
      <c r="T1" s="100"/>
    </row>
    <row r="2" spans="1:20" s="7" customFormat="1" ht="28.8" x14ac:dyDescent="0.3">
      <c r="A2" s="36" t="s">
        <v>142</v>
      </c>
      <c r="B2" s="36" t="s">
        <v>144</v>
      </c>
      <c r="C2" s="36" t="s">
        <v>3</v>
      </c>
      <c r="D2" s="36" t="s">
        <v>4</v>
      </c>
      <c r="E2" s="36" t="s">
        <v>5</v>
      </c>
      <c r="F2" s="36" t="s">
        <v>318</v>
      </c>
      <c r="G2" s="36" t="s">
        <v>319</v>
      </c>
      <c r="H2" s="36" t="s">
        <v>320</v>
      </c>
      <c r="I2" s="36" t="s">
        <v>450</v>
      </c>
      <c r="J2" s="114" t="s">
        <v>586</v>
      </c>
      <c r="K2" s="36" t="s">
        <v>339</v>
      </c>
      <c r="L2" s="36" t="s">
        <v>338</v>
      </c>
      <c r="M2" s="36" t="s">
        <v>375</v>
      </c>
      <c r="N2" s="36" t="s">
        <v>351</v>
      </c>
      <c r="O2" s="36" t="s">
        <v>352</v>
      </c>
      <c r="P2" s="36" t="s">
        <v>353</v>
      </c>
      <c r="Q2" s="36" t="s">
        <v>354</v>
      </c>
      <c r="R2" s="36" t="s">
        <v>549</v>
      </c>
      <c r="S2" s="36" t="s">
        <v>589</v>
      </c>
      <c r="T2" s="108" t="s">
        <v>550</v>
      </c>
    </row>
    <row r="3" spans="1:20" ht="28.8" x14ac:dyDescent="0.3">
      <c r="A3" s="26"/>
      <c r="B3" s="26"/>
      <c r="C3" s="26" t="s">
        <v>29</v>
      </c>
      <c r="D3" s="26" t="s">
        <v>548</v>
      </c>
      <c r="E3" s="26" t="s">
        <v>547</v>
      </c>
      <c r="F3" s="26" t="s">
        <v>331</v>
      </c>
      <c r="G3" s="26" t="s">
        <v>331</v>
      </c>
      <c r="H3" s="26" t="s">
        <v>330</v>
      </c>
      <c r="I3" s="26"/>
      <c r="J3" s="8"/>
      <c r="K3" s="8" t="s">
        <v>336</v>
      </c>
      <c r="L3" s="8" t="s">
        <v>322</v>
      </c>
      <c r="M3" s="25" t="s">
        <v>323</v>
      </c>
      <c r="N3" s="26">
        <v>152</v>
      </c>
      <c r="O3" s="26">
        <v>3</v>
      </c>
      <c r="P3" s="112">
        <v>0.8</v>
      </c>
      <c r="Q3" s="26">
        <v>8</v>
      </c>
      <c r="R3" s="26">
        <v>5</v>
      </c>
      <c r="S3" s="26">
        <v>8</v>
      </c>
      <c r="T3" s="113">
        <f>IFERROR(((tbPriorizacao[[#This Row],[Reach]]*tbPriorizacao[[#This Row],[Impact]]*tbPriorizacao[[#This Row],[Confidence]])/tbPriorizacao[[#This Row],[Effort]])*tbPriorizacao[[#This Row],[Cost of Delay]]*tbPriorizacao[[#This Row],[OKR Alignment]],"")</f>
        <v>1824</v>
      </c>
    </row>
    <row r="4" spans="1:20" ht="72" x14ac:dyDescent="0.3">
      <c r="A4" s="26"/>
      <c r="B4" s="26"/>
      <c r="C4" s="26" t="s">
        <v>502</v>
      </c>
      <c r="D4" s="26" t="s">
        <v>557</v>
      </c>
      <c r="E4" s="26" t="s">
        <v>558</v>
      </c>
      <c r="F4" s="26" t="s">
        <v>327</v>
      </c>
      <c r="G4" s="26" t="s">
        <v>327</v>
      </c>
      <c r="H4" s="26" t="s">
        <v>326</v>
      </c>
      <c r="I4" s="26" t="s">
        <v>324</v>
      </c>
      <c r="J4" s="8"/>
      <c r="K4" s="8" t="s">
        <v>336</v>
      </c>
      <c r="L4" s="8" t="s">
        <v>322</v>
      </c>
      <c r="M4" s="25" t="s">
        <v>323</v>
      </c>
      <c r="N4" s="26">
        <v>112.5</v>
      </c>
      <c r="O4" s="26">
        <v>75</v>
      </c>
      <c r="P4" s="112">
        <v>0.3</v>
      </c>
      <c r="Q4" s="26">
        <v>40</v>
      </c>
      <c r="R4" s="26">
        <v>5</v>
      </c>
      <c r="S4" s="26">
        <v>8</v>
      </c>
      <c r="T4" s="113">
        <f>IFERROR(((tbPriorizacao[[#This Row],[Reach]]*tbPriorizacao[[#This Row],[Impact]]*tbPriorizacao[[#This Row],[Confidence]])/tbPriorizacao[[#This Row],[Effort]])*tbPriorizacao[[#This Row],[Cost of Delay]]*tbPriorizacao[[#This Row],[OKR Alignment]],"")</f>
        <v>2531.25</v>
      </c>
    </row>
    <row r="5" spans="1:20" ht="100.8" x14ac:dyDescent="0.3">
      <c r="A5" s="26"/>
      <c r="B5" s="26"/>
      <c r="C5" s="26" t="s">
        <v>32</v>
      </c>
      <c r="D5" s="26" t="s">
        <v>561</v>
      </c>
      <c r="E5" s="26" t="s">
        <v>562</v>
      </c>
      <c r="F5" s="26" t="s">
        <v>324</v>
      </c>
      <c r="G5" s="26" t="s">
        <v>324</v>
      </c>
      <c r="H5" s="26" t="s">
        <v>325</v>
      </c>
      <c r="I5" s="26" t="s">
        <v>326</v>
      </c>
      <c r="J5" s="8"/>
      <c r="K5" s="8" t="s">
        <v>336</v>
      </c>
      <c r="L5" s="8" t="s">
        <v>322</v>
      </c>
      <c r="M5" s="25" t="s">
        <v>323</v>
      </c>
      <c r="N5" s="26">
        <v>1.5</v>
      </c>
      <c r="O5" s="26">
        <v>120</v>
      </c>
      <c r="P5" s="112">
        <v>0.8</v>
      </c>
      <c r="Q5" s="26">
        <v>18</v>
      </c>
      <c r="R5" s="26">
        <v>3</v>
      </c>
      <c r="S5" s="26">
        <v>2</v>
      </c>
      <c r="T5" s="113">
        <f>IFERROR(((tbPriorizacao[[#This Row],[Reach]]*tbPriorizacao[[#This Row],[Impact]]*tbPriorizacao[[#This Row],[Confidence]])/tbPriorizacao[[#This Row],[Effort]])*tbPriorizacao[[#This Row],[Cost of Delay]]*tbPriorizacao[[#This Row],[OKR Alignment]],"")</f>
        <v>48</v>
      </c>
    </row>
    <row r="6" spans="1:20" ht="28.8" x14ac:dyDescent="0.3">
      <c r="A6" s="26"/>
      <c r="B6" s="26"/>
      <c r="C6" s="26" t="s">
        <v>49</v>
      </c>
      <c r="D6" s="26" t="s">
        <v>588</v>
      </c>
      <c r="E6" s="26" t="s">
        <v>588</v>
      </c>
      <c r="F6" s="26" t="s">
        <v>327</v>
      </c>
      <c r="G6" s="26" t="s">
        <v>327</v>
      </c>
      <c r="H6" s="26" t="s">
        <v>329</v>
      </c>
      <c r="I6" s="26" t="s">
        <v>324</v>
      </c>
      <c r="J6" s="8"/>
      <c r="K6" s="26"/>
      <c r="L6" s="26" t="s">
        <v>322</v>
      </c>
      <c r="M6" s="25" t="s">
        <v>323</v>
      </c>
      <c r="N6" s="26">
        <v>47.5</v>
      </c>
      <c r="O6" s="26">
        <v>5</v>
      </c>
      <c r="P6" s="112">
        <v>0.5</v>
      </c>
      <c r="Q6" s="26">
        <v>24</v>
      </c>
      <c r="R6" s="26">
        <v>2</v>
      </c>
      <c r="S6" s="26">
        <v>1</v>
      </c>
      <c r="T6" s="113">
        <f>IFERROR(((tbPriorizacao[[#This Row],[Reach]]*tbPriorizacao[[#This Row],[Impact]]*tbPriorizacao[[#This Row],[Confidence]])/tbPriorizacao[[#This Row],[Effort]])*tbPriorizacao[[#This Row],[Cost of Delay]]*tbPriorizacao[[#This Row],[OKR Alignment]],"")</f>
        <v>9.8958333333333339</v>
      </c>
    </row>
    <row r="7" spans="1:20" ht="72" x14ac:dyDescent="0.3">
      <c r="A7" s="26"/>
      <c r="B7" s="26"/>
      <c r="C7" s="26" t="s">
        <v>502</v>
      </c>
      <c r="D7" s="26" t="s">
        <v>584</v>
      </c>
      <c r="E7" s="26" t="s">
        <v>585</v>
      </c>
      <c r="F7" s="26"/>
      <c r="G7" s="26" t="s">
        <v>326</v>
      </c>
      <c r="H7" s="26" t="s">
        <v>327</v>
      </c>
      <c r="I7" s="26" t="s">
        <v>324</v>
      </c>
      <c r="J7" s="26" t="s">
        <v>587</v>
      </c>
      <c r="K7" s="8" t="s">
        <v>336</v>
      </c>
      <c r="L7" s="8" t="s">
        <v>322</v>
      </c>
      <c r="M7" s="25" t="s">
        <v>323</v>
      </c>
      <c r="N7" s="26">
        <v>180</v>
      </c>
      <c r="O7" s="26">
        <v>125</v>
      </c>
      <c r="P7" s="112">
        <v>0.8</v>
      </c>
      <c r="Q7" s="26">
        <v>40</v>
      </c>
      <c r="R7" s="26">
        <v>5</v>
      </c>
      <c r="S7" s="26">
        <v>8</v>
      </c>
      <c r="T7" s="113">
        <f>IFERROR(((tbPriorizacao[[#This Row],[Reach]]*tbPriorizacao[[#This Row],[Impact]]*tbPriorizacao[[#This Row],[Confidence]])/tbPriorizacao[[#This Row],[Effort]])*tbPriorizacao[[#This Row],[Cost of Delay]]*tbPriorizacao[[#This Row],[OKR Alignment]],"")</f>
        <v>18000</v>
      </c>
    </row>
  </sheetData>
  <mergeCells count="3">
    <mergeCell ref="F1:M1"/>
    <mergeCell ref="N1:S1"/>
    <mergeCell ref="C1:E1"/>
  </mergeCells>
  <phoneticPr fontId="14" type="noConversion"/>
  <dataValidations disablePrompts="1" count="2">
    <dataValidation type="list" allowBlank="1" showInputMessage="1" showErrorMessage="1" sqref="F3:M7" xr:uid="{B297DB4E-0D9E-45B9-B48E-47AB2A450F65}">
      <formula1>ListaEquipe</formula1>
    </dataValidation>
    <dataValidation type="list" allowBlank="1" showInputMessage="1" showErrorMessage="1" sqref="C3:C7"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7D68E-B98C-4350-B8EE-518F84C088BE}">
          <x14:formula1>
            <xm:f>'Roadmap Estratégico'!$A$7:$A$503</xm:f>
          </x14:formula1>
          <xm:sqref>B3:B7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activeCell="E5" sqref="E5"/>
    </sheetView>
  </sheetViews>
  <sheetFormatPr defaultRowHeight="14.4" outlineLevelRow="1" x14ac:dyDescent="0.3"/>
  <cols>
    <col min="1" max="3" width="51.88671875" style="1" customWidth="1"/>
  </cols>
  <sheetData>
    <row r="1" spans="1:3" ht="15.6" x14ac:dyDescent="0.3">
      <c r="A1" s="124" t="s">
        <v>522</v>
      </c>
      <c r="B1" s="124"/>
      <c r="C1" s="124"/>
    </row>
    <row r="2" spans="1:3" x14ac:dyDescent="0.3">
      <c r="A2" s="107" t="s">
        <v>523</v>
      </c>
      <c r="B2" s="107" t="s">
        <v>526</v>
      </c>
      <c r="C2" s="107" t="s">
        <v>524</v>
      </c>
    </row>
    <row r="3" spans="1:3" outlineLevel="1" x14ac:dyDescent="0.3">
      <c r="A3" s="1" t="s">
        <v>525</v>
      </c>
      <c r="B3" s="1" t="s">
        <v>527</v>
      </c>
      <c r="C3" s="1">
        <v>7</v>
      </c>
    </row>
    <row r="4" spans="1:3" outlineLevel="1" x14ac:dyDescent="0.3">
      <c r="A4" s="1" t="s">
        <v>530</v>
      </c>
      <c r="B4" s="1" t="s">
        <v>528</v>
      </c>
      <c r="C4" s="1">
        <v>5</v>
      </c>
    </row>
    <row r="5" spans="1:3" outlineLevel="1" x14ac:dyDescent="0.3">
      <c r="A5" s="1" t="s">
        <v>529</v>
      </c>
      <c r="B5" s="1" t="s">
        <v>531</v>
      </c>
      <c r="C5" s="1">
        <v>15</v>
      </c>
    </row>
    <row r="6" spans="1:3" outlineLevel="1" x14ac:dyDescent="0.3">
      <c r="A6" s="1" t="s">
        <v>533</v>
      </c>
      <c r="B6" s="1" t="s">
        <v>532</v>
      </c>
      <c r="C6" s="1">
        <v>16</v>
      </c>
    </row>
    <row r="7" spans="1:3" outlineLevel="1" x14ac:dyDescent="0.3">
      <c r="A7" s="1" t="s">
        <v>534</v>
      </c>
      <c r="B7" s="1" t="s">
        <v>535</v>
      </c>
      <c r="C7" s="1">
        <v>10</v>
      </c>
    </row>
    <row r="8" spans="1:3" outlineLevel="1" x14ac:dyDescent="0.3">
      <c r="A8" s="1" t="s">
        <v>536</v>
      </c>
      <c r="B8" s="1" t="s">
        <v>535</v>
      </c>
      <c r="C8" s="1">
        <v>13</v>
      </c>
    </row>
    <row r="9" spans="1:3" outlineLevel="1" x14ac:dyDescent="0.3">
      <c r="A9" s="1" t="s">
        <v>537</v>
      </c>
      <c r="B9" s="1" t="s">
        <v>535</v>
      </c>
      <c r="C9" s="1">
        <v>12</v>
      </c>
    </row>
    <row r="10" spans="1:3" outlineLevel="1" x14ac:dyDescent="0.3">
      <c r="A10" s="1" t="s">
        <v>538</v>
      </c>
      <c r="B10" s="1" t="s">
        <v>535</v>
      </c>
      <c r="C10" s="1">
        <v>10</v>
      </c>
    </row>
    <row r="11" spans="1:3" outlineLevel="1" x14ac:dyDescent="0.3">
      <c r="A11" s="1" t="s">
        <v>539</v>
      </c>
      <c r="B11" s="1" t="s">
        <v>540</v>
      </c>
      <c r="C11" s="1">
        <v>6</v>
      </c>
    </row>
    <row r="12" spans="1:3" outlineLevel="1" x14ac:dyDescent="0.3">
      <c r="A12" s="1" t="s">
        <v>541</v>
      </c>
      <c r="B12" s="1" t="s">
        <v>540</v>
      </c>
      <c r="C12" s="1">
        <v>6</v>
      </c>
    </row>
    <row r="13" spans="1:3" outlineLevel="1" x14ac:dyDescent="0.3">
      <c r="A13" s="1" t="s">
        <v>542</v>
      </c>
      <c r="B13" s="1" t="s">
        <v>540</v>
      </c>
      <c r="C13" s="1">
        <v>7</v>
      </c>
    </row>
    <row r="14" spans="1:3" outlineLevel="1" x14ac:dyDescent="0.3">
      <c r="A14" s="1" t="s">
        <v>543</v>
      </c>
      <c r="B14" s="1" t="s">
        <v>540</v>
      </c>
      <c r="C14" s="1">
        <v>4</v>
      </c>
    </row>
    <row r="16" spans="1:3" ht="15.6" x14ac:dyDescent="0.3">
      <c r="A16" s="124" t="s">
        <v>544</v>
      </c>
      <c r="B16" s="124"/>
      <c r="C16" s="124"/>
    </row>
    <row r="17" spans="1:3" x14ac:dyDescent="0.3">
      <c r="A17" s="107" t="s">
        <v>523</v>
      </c>
      <c r="B17" s="107" t="s">
        <v>526</v>
      </c>
      <c r="C17" s="107" t="s">
        <v>524</v>
      </c>
    </row>
    <row r="18" spans="1:3" outlineLevel="1" x14ac:dyDescent="0.3">
      <c r="A18" s="1" t="s">
        <v>545</v>
      </c>
      <c r="B18" s="1" t="s">
        <v>546</v>
      </c>
      <c r="C18" s="1">
        <v>8</v>
      </c>
    </row>
    <row r="20" spans="1:3" ht="15.6" x14ac:dyDescent="0.3">
      <c r="A20" s="124" t="s">
        <v>551</v>
      </c>
      <c r="B20" s="124"/>
      <c r="C20" s="124"/>
    </row>
    <row r="21" spans="1:3" x14ac:dyDescent="0.3">
      <c r="A21" s="107" t="s">
        <v>523</v>
      </c>
      <c r="B21" s="107" t="s">
        <v>526</v>
      </c>
      <c r="C21" s="107" t="s">
        <v>524</v>
      </c>
    </row>
    <row r="22" spans="1:3" outlineLevel="1" x14ac:dyDescent="0.3">
      <c r="A22" s="1" t="s">
        <v>552</v>
      </c>
      <c r="B22" s="1" t="s">
        <v>553</v>
      </c>
      <c r="C22" s="1">
        <f>4+11+6+8</f>
        <v>29</v>
      </c>
    </row>
    <row r="23" spans="1:3" outlineLevel="1" x14ac:dyDescent="0.3">
      <c r="A23" s="1" t="s">
        <v>554</v>
      </c>
      <c r="B23" s="1" t="s">
        <v>555</v>
      </c>
      <c r="C23" s="1">
        <v>19</v>
      </c>
    </row>
    <row r="24" spans="1:3" outlineLevel="1" x14ac:dyDescent="0.3">
      <c r="A24" s="1" t="s">
        <v>554</v>
      </c>
      <c r="B24" s="1" t="s">
        <v>556</v>
      </c>
      <c r="C24" s="1">
        <f>12+14</f>
        <v>26</v>
      </c>
    </row>
    <row r="25" spans="1:3" outlineLevel="1" x14ac:dyDescent="0.3">
      <c r="A25" s="1" t="s">
        <v>560</v>
      </c>
      <c r="B25" s="1" t="s">
        <v>559</v>
      </c>
      <c r="C25" s="1">
        <v>9</v>
      </c>
    </row>
    <row r="27" spans="1:3" ht="15.6" x14ac:dyDescent="0.3">
      <c r="A27" s="124" t="s">
        <v>551</v>
      </c>
      <c r="B27" s="124"/>
      <c r="C27" s="124"/>
    </row>
    <row r="28" spans="1:3" x14ac:dyDescent="0.3">
      <c r="A28" s="107" t="s">
        <v>523</v>
      </c>
      <c r="B28" s="107" t="s">
        <v>526</v>
      </c>
      <c r="C28" s="107" t="s">
        <v>524</v>
      </c>
    </row>
    <row r="29" spans="1:3" outlineLevel="1" x14ac:dyDescent="0.3">
      <c r="A29" s="1" t="s">
        <v>32</v>
      </c>
      <c r="B29" s="1" t="s">
        <v>563</v>
      </c>
      <c r="C29" s="1">
        <v>9</v>
      </c>
    </row>
    <row r="30" spans="1:3" ht="28.8" outlineLevel="1" x14ac:dyDescent="0.3">
      <c r="A30" s="111" t="s">
        <v>565</v>
      </c>
      <c r="B30" s="1" t="s">
        <v>564</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E5" sqref="E5"/>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09" t="s">
        <v>566</v>
      </c>
      <c r="B1" s="109" t="s">
        <v>567</v>
      </c>
      <c r="C1" s="109" t="s">
        <v>569</v>
      </c>
      <c r="D1" s="110" t="s">
        <v>583</v>
      </c>
      <c r="E1" s="110" t="s">
        <v>572</v>
      </c>
      <c r="F1" s="109" t="s">
        <v>568</v>
      </c>
    </row>
    <row r="2" spans="1:6" x14ac:dyDescent="0.3">
      <c r="A2" s="7" t="s">
        <v>29</v>
      </c>
      <c r="B2" s="7">
        <v>2</v>
      </c>
      <c r="C2" s="7" t="s">
        <v>571</v>
      </c>
      <c r="D2" s="7">
        <v>1</v>
      </c>
      <c r="E2" s="7" t="s">
        <v>577</v>
      </c>
      <c r="F2" s="7">
        <f>VLOOKUP(E2,Auxiliares!AC:AD,2,0)*B2*tblPriorizacaoEffort[[#This Row],[Duplicar Esforço por]]</f>
        <v>8</v>
      </c>
    </row>
    <row r="3" spans="1:6" x14ac:dyDescent="0.3">
      <c r="A3" s="7" t="s">
        <v>29</v>
      </c>
      <c r="B3" s="7">
        <v>1</v>
      </c>
      <c r="C3" s="7" t="s">
        <v>578</v>
      </c>
      <c r="D3" s="7">
        <v>1</v>
      </c>
      <c r="E3" s="7" t="s">
        <v>576</v>
      </c>
      <c r="F3" s="7">
        <f>VLOOKUP(E3,Auxiliares!AC:AD,2,0)*B3*tblPriorizacaoEffort[[#This Row],[Duplicar Esforço por]]</f>
        <v>1</v>
      </c>
    </row>
    <row r="4" spans="1:6" x14ac:dyDescent="0.3">
      <c r="A4" s="7" t="s">
        <v>502</v>
      </c>
      <c r="B4" s="7">
        <v>1</v>
      </c>
      <c r="C4" s="7" t="s">
        <v>570</v>
      </c>
      <c r="D4" s="7">
        <v>1</v>
      </c>
      <c r="E4" s="7" t="s">
        <v>577</v>
      </c>
      <c r="F4" s="7">
        <f>VLOOKUP(E4,Auxiliares!AC:AD,2,0)*B4*tblPriorizacaoEffort[[#This Row],[Duplicar Esforço por]]</f>
        <v>4</v>
      </c>
    </row>
    <row r="5" spans="1:6" x14ac:dyDescent="0.3">
      <c r="A5" s="7" t="s">
        <v>502</v>
      </c>
      <c r="B5" s="7">
        <v>1</v>
      </c>
      <c r="C5" s="7" t="s">
        <v>571</v>
      </c>
      <c r="D5" s="7">
        <v>1</v>
      </c>
      <c r="E5" s="7" t="s">
        <v>577</v>
      </c>
      <c r="F5" s="7">
        <f>VLOOKUP(E5,Auxiliares!AC:AD,2,0)*B5*tblPriorizacaoEffort[[#This Row],[Duplicar Esforço por]]</f>
        <v>4</v>
      </c>
    </row>
    <row r="6" spans="1:6" x14ac:dyDescent="0.3">
      <c r="A6" s="7" t="s">
        <v>502</v>
      </c>
      <c r="B6" s="7">
        <v>1</v>
      </c>
      <c r="C6" s="7" t="s">
        <v>571</v>
      </c>
      <c r="D6" s="7">
        <v>1</v>
      </c>
      <c r="E6" s="7" t="s">
        <v>579</v>
      </c>
      <c r="F6" s="7">
        <f>VLOOKUP(E6,Auxiliares!AC:AD,2,0)*B6*tblPriorizacaoEffort[[#This Row],[Duplicar Esforço por]]</f>
        <v>6</v>
      </c>
    </row>
    <row r="7" spans="1:6" x14ac:dyDescent="0.3">
      <c r="A7" s="7" t="s">
        <v>502</v>
      </c>
      <c r="B7" s="7">
        <v>2</v>
      </c>
      <c r="C7" s="7" t="s">
        <v>571</v>
      </c>
      <c r="D7" s="7">
        <v>1</v>
      </c>
      <c r="E7" s="7" t="s">
        <v>580</v>
      </c>
      <c r="F7" s="7">
        <f>VLOOKUP(E7,Auxiliares!AC:AD,2,0)*B7*tblPriorizacaoEffort[[#This Row],[Duplicar Esforço por]]</f>
        <v>16</v>
      </c>
    </row>
    <row r="8" spans="1:6" x14ac:dyDescent="0.3">
      <c r="A8" s="7" t="s">
        <v>502</v>
      </c>
      <c r="B8" s="7">
        <v>1</v>
      </c>
      <c r="C8" s="7" t="s">
        <v>581</v>
      </c>
      <c r="D8" s="7">
        <v>6</v>
      </c>
      <c r="E8" s="7" t="s">
        <v>576</v>
      </c>
      <c r="F8" s="7">
        <f>VLOOKUP(E8,Auxiliares!AC:AD,2,0)*B8*tblPriorizacaoEffort[[#This Row],[Duplicar Esforço por]]</f>
        <v>6</v>
      </c>
    </row>
    <row r="9" spans="1:6" x14ac:dyDescent="0.3">
      <c r="A9" s="7" t="s">
        <v>502</v>
      </c>
      <c r="B9" s="7">
        <v>1</v>
      </c>
      <c r="C9" s="7" t="s">
        <v>581</v>
      </c>
      <c r="D9" s="7">
        <v>6</v>
      </c>
      <c r="E9" s="7" t="s">
        <v>576</v>
      </c>
      <c r="F9" s="7">
        <f>VLOOKUP(E9,Auxiliares!AC:AD,2,0)*B9*tblPriorizacaoEffort[[#This Row],[Duplicar Esforço por]]</f>
        <v>6</v>
      </c>
    </row>
    <row r="10" spans="1:6" x14ac:dyDescent="0.3">
      <c r="A10" s="7" t="s">
        <v>502</v>
      </c>
      <c r="B10" s="7">
        <v>1</v>
      </c>
      <c r="C10" s="7" t="s">
        <v>582</v>
      </c>
      <c r="D10" s="7">
        <v>6</v>
      </c>
      <c r="E10" s="7" t="s">
        <v>576</v>
      </c>
      <c r="F10" s="7">
        <f>VLOOKUP(E10,Auxiliares!AC:AD,2,0)*B10*tblPriorizacaoEffort[[#This Row],[Duplicar Esforço por]]</f>
        <v>6</v>
      </c>
    </row>
    <row r="11" spans="1:6" ht="28.8" x14ac:dyDescent="0.3">
      <c r="A11" s="16" t="s">
        <v>32</v>
      </c>
      <c r="B11" s="7">
        <v>1</v>
      </c>
      <c r="C11" s="7" t="s">
        <v>571</v>
      </c>
      <c r="D11" s="7">
        <v>1</v>
      </c>
      <c r="E11" s="7" t="s">
        <v>573</v>
      </c>
      <c r="F11" s="7">
        <f>VLOOKUP(E11,Auxiliares!AC:AD,2,0)*B11*tblPriorizacaoEffort[[#This Row],[Duplicar Esforço por]]</f>
        <v>2</v>
      </c>
    </row>
    <row r="12" spans="1:6" ht="28.8" x14ac:dyDescent="0.3">
      <c r="A12" s="16" t="s">
        <v>32</v>
      </c>
      <c r="B12" s="7">
        <v>1</v>
      </c>
      <c r="C12" s="7" t="s">
        <v>571</v>
      </c>
      <c r="D12" s="7">
        <v>3</v>
      </c>
      <c r="E12" s="7" t="s">
        <v>573</v>
      </c>
      <c r="F12" s="7">
        <f>VLOOKUP(E12,Auxiliares!AC:AD,2,0)*B12*tblPriorizacaoEffort[[#This Row],[Duplicar Esforço por]]</f>
        <v>6</v>
      </c>
    </row>
    <row r="13" spans="1:6" ht="28.8" x14ac:dyDescent="0.3">
      <c r="A13" s="16" t="s">
        <v>32</v>
      </c>
      <c r="B13" s="7">
        <v>1</v>
      </c>
      <c r="C13" s="7" t="s">
        <v>578</v>
      </c>
      <c r="D13" s="7">
        <v>2</v>
      </c>
      <c r="E13" s="7" t="s">
        <v>576</v>
      </c>
      <c r="F13" s="7">
        <f>VLOOKUP(E13,Auxiliares!AC:AD,2,0)*B13*tblPriorizacaoEffort[[#This Row],[Duplicar Esforço por]]</f>
        <v>2</v>
      </c>
    </row>
    <row r="14" spans="1:6" ht="28.8" x14ac:dyDescent="0.3">
      <c r="A14" s="16" t="s">
        <v>32</v>
      </c>
      <c r="B14" s="7">
        <v>1</v>
      </c>
      <c r="C14" s="7" t="s">
        <v>581</v>
      </c>
      <c r="D14" s="7">
        <v>2</v>
      </c>
      <c r="E14" s="7" t="s">
        <v>573</v>
      </c>
      <c r="F14" s="7">
        <f>VLOOKUP(E14,Auxiliares!AC:AD,2,0)*B14*tblPriorizacaoEffort[[#This Row],[Duplicar Esforço por]]</f>
        <v>4</v>
      </c>
    </row>
    <row r="15" spans="1:6" ht="28.8" x14ac:dyDescent="0.3">
      <c r="A15" s="16" t="s">
        <v>32</v>
      </c>
      <c r="B15" s="7">
        <v>1</v>
      </c>
      <c r="C15" s="7" t="s">
        <v>581</v>
      </c>
      <c r="D15" s="7">
        <v>2</v>
      </c>
      <c r="E15" s="7" t="s">
        <v>573</v>
      </c>
      <c r="F15" s="7">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K12" sqref="K12"/>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423</v>
      </c>
      <c r="D2" s="136" t="s">
        <v>367</v>
      </c>
      <c r="E2" s="136"/>
      <c r="F2" s="135" t="s">
        <v>442</v>
      </c>
      <c r="G2" s="135"/>
      <c r="H2" s="135"/>
      <c r="I2" s="135"/>
      <c r="J2" s="64">
        <v>3</v>
      </c>
      <c r="K2" s="40"/>
      <c r="L2" s="44"/>
      <c r="M2" s="133">
        <f>M3</f>
        <v>45814</v>
      </c>
      <c r="N2" s="134"/>
      <c r="O2" s="134"/>
      <c r="P2" s="134"/>
      <c r="Q2" s="133">
        <f>Q3</f>
        <v>45835</v>
      </c>
      <c r="R2" s="134"/>
      <c r="S2" s="134"/>
      <c r="T2" s="134"/>
      <c r="U2" s="133">
        <f t="shared" ref="U2" si="0">U3</f>
        <v>45863</v>
      </c>
      <c r="V2" s="134"/>
      <c r="W2" s="134"/>
      <c r="X2" s="134"/>
      <c r="Y2" s="133">
        <f t="shared" ref="Y2" si="1">Y3</f>
        <v>45884</v>
      </c>
      <c r="Z2" s="134"/>
      <c r="AA2" s="134"/>
      <c r="AB2" s="134"/>
      <c r="AC2" s="133">
        <f t="shared" ref="AC2" si="2">AC3</f>
        <v>45905</v>
      </c>
      <c r="AD2" s="134"/>
      <c r="AE2" s="134"/>
      <c r="AF2" s="134"/>
      <c r="AG2" s="133">
        <f t="shared" ref="AG2" si="3">AG3</f>
        <v>45926</v>
      </c>
      <c r="AH2" s="134"/>
      <c r="AI2" s="134"/>
      <c r="AJ2" s="134"/>
      <c r="AK2" s="133">
        <f t="shared" ref="AK2" si="4">AK3</f>
        <v>45954</v>
      </c>
      <c r="AL2" s="134"/>
      <c r="AM2" s="134"/>
      <c r="AN2" s="134"/>
      <c r="AO2" s="133">
        <f t="shared" ref="AO2" si="5">AO3</f>
        <v>45975</v>
      </c>
      <c r="AP2" s="134"/>
      <c r="AQ2" s="134"/>
      <c r="AR2" s="134"/>
      <c r="AS2" s="133">
        <f t="shared" ref="AS2" si="6">AS3</f>
        <v>45996</v>
      </c>
      <c r="AT2" s="134"/>
      <c r="AU2" s="134"/>
      <c r="AV2" s="134"/>
      <c r="AW2" s="133">
        <f t="shared" ref="AW2" si="7">AW3</f>
        <v>46017</v>
      </c>
      <c r="AX2" s="134"/>
      <c r="AY2" s="134"/>
      <c r="AZ2" s="134"/>
      <c r="BA2" s="133">
        <f t="shared" ref="BA2" si="8">BA3</f>
        <v>46045</v>
      </c>
      <c r="BB2" s="134"/>
      <c r="BC2" s="134"/>
      <c r="BD2" s="134"/>
      <c r="BE2" s="133">
        <f t="shared" ref="BE2" si="9">BE3</f>
        <v>46066</v>
      </c>
      <c r="BF2" s="134"/>
      <c r="BG2" s="134"/>
      <c r="BH2" s="134"/>
      <c r="BI2" s="133">
        <f t="shared" ref="BI2" si="10">BI3</f>
        <v>46087</v>
      </c>
      <c r="BJ2" s="134"/>
      <c r="BK2" s="134"/>
      <c r="BL2" s="134"/>
      <c r="BM2" s="133">
        <f t="shared" ref="BM2" si="11">BM3</f>
        <v>46108</v>
      </c>
      <c r="BN2" s="134"/>
      <c r="BO2" s="134"/>
      <c r="BP2" s="134"/>
      <c r="BQ2" s="133">
        <f t="shared" ref="BQ2" si="12">BQ3</f>
        <v>46136</v>
      </c>
      <c r="BR2" s="134"/>
      <c r="BS2" s="134"/>
      <c r="BT2" s="134"/>
      <c r="BU2" s="133">
        <f t="shared" ref="BU2" si="13">BU3</f>
        <v>46157</v>
      </c>
      <c r="BV2" s="134"/>
      <c r="BW2" s="134"/>
      <c r="BX2" s="134"/>
      <c r="BY2" s="133">
        <f t="shared" ref="BY2" si="14">BY3</f>
        <v>46178</v>
      </c>
      <c r="BZ2" s="134"/>
      <c r="CA2" s="134"/>
      <c r="CB2" s="134"/>
      <c r="CC2" s="133">
        <f t="shared" ref="CC2" si="15">CC3</f>
        <v>46199</v>
      </c>
      <c r="CD2" s="134"/>
      <c r="CE2" s="134"/>
      <c r="CF2" s="134"/>
      <c r="CG2" s="133">
        <f t="shared" ref="CG2" si="16">CG3</f>
        <v>46227</v>
      </c>
      <c r="CH2" s="134"/>
      <c r="CI2" s="134"/>
      <c r="CJ2" s="134"/>
      <c r="CK2" s="133">
        <f t="shared" ref="CK2" si="17">CK3</f>
        <v>46248</v>
      </c>
      <c r="CL2" s="134"/>
      <c r="CM2" s="134"/>
      <c r="CN2" s="134"/>
      <c r="CO2" s="133">
        <f t="shared" ref="CO2" si="18">CO3</f>
        <v>46269</v>
      </c>
      <c r="CP2" s="134"/>
      <c r="CQ2" s="134"/>
      <c r="CR2" s="134"/>
      <c r="CS2" s="133">
        <f t="shared" ref="CS2" si="19">CS3</f>
        <v>46290</v>
      </c>
      <c r="CT2" s="134"/>
      <c r="CU2" s="134"/>
      <c r="CV2" s="134"/>
      <c r="CW2" s="133">
        <f t="shared" ref="CW2" si="20">CW3</f>
        <v>46318</v>
      </c>
      <c r="CX2" s="134"/>
      <c r="CY2" s="134"/>
      <c r="CZ2" s="134"/>
      <c r="DA2" s="133">
        <f t="shared" ref="DA2" si="21">DA3</f>
        <v>46339</v>
      </c>
      <c r="DB2" s="134"/>
      <c r="DC2" s="134"/>
      <c r="DD2" s="134"/>
      <c r="DE2" s="133">
        <f t="shared" ref="DE2" si="22">DE3</f>
        <v>46360</v>
      </c>
      <c r="DF2" s="134"/>
      <c r="DG2" s="134"/>
      <c r="DH2" s="134"/>
      <c r="DI2" s="133">
        <f t="shared" ref="DI2" si="23">DI3</f>
        <v>46381</v>
      </c>
      <c r="DJ2" s="134"/>
      <c r="DK2" s="134"/>
      <c r="DL2" s="134"/>
    </row>
    <row r="3" spans="1:116" x14ac:dyDescent="0.3">
      <c r="A3" s="39"/>
      <c r="B3" s="40"/>
      <c r="C3" s="45" t="s">
        <v>443</v>
      </c>
      <c r="D3" s="46">
        <v>45796</v>
      </c>
      <c r="E3" s="65"/>
      <c r="F3" s="135" t="s">
        <v>444</v>
      </c>
      <c r="G3" s="135"/>
      <c r="H3" s="135"/>
      <c r="I3" s="135"/>
      <c r="J3" s="66">
        <v>5</v>
      </c>
      <c r="K3" s="40"/>
      <c r="L3" s="47"/>
      <c r="M3" s="128">
        <f>P5</f>
        <v>45814</v>
      </c>
      <c r="N3" s="129"/>
      <c r="O3" s="129"/>
      <c r="P3" s="129"/>
      <c r="Q3" s="128">
        <f>T5</f>
        <v>45835</v>
      </c>
      <c r="R3" s="129"/>
      <c r="S3" s="129"/>
      <c r="T3" s="129"/>
      <c r="U3" s="128">
        <f>X5</f>
        <v>45863</v>
      </c>
      <c r="V3" s="129"/>
      <c r="W3" s="129"/>
      <c r="X3" s="129"/>
      <c r="Y3" s="128">
        <f>AB5</f>
        <v>45884</v>
      </c>
      <c r="Z3" s="129"/>
      <c r="AA3" s="129"/>
      <c r="AB3" s="129"/>
      <c r="AC3" s="128">
        <f t="shared" ref="AC3" si="24">AF5</f>
        <v>45905</v>
      </c>
      <c r="AD3" s="129"/>
      <c r="AE3" s="129"/>
      <c r="AF3" s="129"/>
      <c r="AG3" s="128">
        <f t="shared" ref="AG3" si="25">AJ5</f>
        <v>45926</v>
      </c>
      <c r="AH3" s="129"/>
      <c r="AI3" s="129"/>
      <c r="AJ3" s="129"/>
      <c r="AK3" s="128">
        <f t="shared" ref="AK3" si="26">AN5</f>
        <v>45954</v>
      </c>
      <c r="AL3" s="129"/>
      <c r="AM3" s="129"/>
      <c r="AN3" s="129"/>
      <c r="AO3" s="128">
        <f t="shared" ref="AO3" si="27">AR5</f>
        <v>45975</v>
      </c>
      <c r="AP3" s="129"/>
      <c r="AQ3" s="129"/>
      <c r="AR3" s="129"/>
      <c r="AS3" s="128">
        <f>AV5</f>
        <v>45996</v>
      </c>
      <c r="AT3" s="129"/>
      <c r="AU3" s="129"/>
      <c r="AV3" s="129"/>
      <c r="AW3" s="128">
        <f>AZ5</f>
        <v>46017</v>
      </c>
      <c r="AX3" s="129"/>
      <c r="AY3" s="129"/>
      <c r="AZ3" s="129"/>
      <c r="BA3" s="128">
        <f t="shared" ref="BA3" si="28">BD5</f>
        <v>46045</v>
      </c>
      <c r="BB3" s="129"/>
      <c r="BC3" s="129"/>
      <c r="BD3" s="129"/>
      <c r="BE3" s="128">
        <f t="shared" ref="BE3" si="29">BH5</f>
        <v>46066</v>
      </c>
      <c r="BF3" s="129"/>
      <c r="BG3" s="129"/>
      <c r="BH3" s="129"/>
      <c r="BI3" s="128">
        <f t="shared" ref="BI3" si="30">BL5</f>
        <v>46087</v>
      </c>
      <c r="BJ3" s="129"/>
      <c r="BK3" s="129"/>
      <c r="BL3" s="130"/>
      <c r="BM3" s="128">
        <f t="shared" ref="BM3" si="31">BP5</f>
        <v>46108</v>
      </c>
      <c r="BN3" s="129"/>
      <c r="BO3" s="129"/>
      <c r="BP3" s="129"/>
      <c r="BQ3" s="128">
        <f t="shared" ref="BQ3" si="32">BT5</f>
        <v>46136</v>
      </c>
      <c r="BR3" s="129"/>
      <c r="BS3" s="129"/>
      <c r="BT3" s="129"/>
      <c r="BU3" s="128">
        <f t="shared" ref="BU3" si="33">BX5</f>
        <v>46157</v>
      </c>
      <c r="BV3" s="129"/>
      <c r="BW3" s="129"/>
      <c r="BX3" s="130"/>
      <c r="BY3" s="128">
        <f t="shared" ref="BY3" si="34">CB5</f>
        <v>46178</v>
      </c>
      <c r="BZ3" s="129"/>
      <c r="CA3" s="129"/>
      <c r="CB3" s="129"/>
      <c r="CC3" s="128">
        <f t="shared" ref="CC3" si="35">CF5</f>
        <v>46199</v>
      </c>
      <c r="CD3" s="129"/>
      <c r="CE3" s="129"/>
      <c r="CF3" s="129"/>
      <c r="CG3" s="128">
        <f t="shared" ref="CG3" si="36">CJ5</f>
        <v>46227</v>
      </c>
      <c r="CH3" s="129"/>
      <c r="CI3" s="129"/>
      <c r="CJ3" s="130"/>
      <c r="CK3" s="128">
        <f t="shared" ref="CK3" si="37">CN5</f>
        <v>46248</v>
      </c>
      <c r="CL3" s="129"/>
      <c r="CM3" s="129"/>
      <c r="CN3" s="129"/>
      <c r="CO3" s="128">
        <f t="shared" ref="CO3" si="38">CR5</f>
        <v>46269</v>
      </c>
      <c r="CP3" s="129"/>
      <c r="CQ3" s="129"/>
      <c r="CR3" s="129"/>
      <c r="CS3" s="67">
        <f t="shared" ref="CS3" si="39">CV5</f>
        <v>46290</v>
      </c>
      <c r="CT3" s="68"/>
      <c r="CU3" s="68"/>
      <c r="CV3" s="68"/>
      <c r="CW3" s="128">
        <f t="shared" ref="CW3" si="40">CZ5</f>
        <v>46318</v>
      </c>
      <c r="CX3" s="129"/>
      <c r="CY3" s="129"/>
      <c r="CZ3" s="129"/>
      <c r="DA3" s="128">
        <f t="shared" ref="DA3" si="41">DD5</f>
        <v>46339</v>
      </c>
      <c r="DB3" s="129"/>
      <c r="DC3" s="129"/>
      <c r="DD3" s="129"/>
      <c r="DE3" s="128">
        <f t="shared" ref="DE3" si="42">DH5</f>
        <v>46360</v>
      </c>
      <c r="DF3" s="129"/>
      <c r="DG3" s="129"/>
      <c r="DH3" s="130"/>
      <c r="DI3" s="128">
        <f t="shared" ref="DI3" si="43">DL5</f>
        <v>46381</v>
      </c>
      <c r="DJ3" s="129"/>
      <c r="DK3" s="129"/>
      <c r="DL3" s="129"/>
    </row>
    <row r="4" spans="1:116" ht="23.4" x14ac:dyDescent="0.3">
      <c r="A4" s="39"/>
      <c r="B4" s="47"/>
      <c r="C4" s="43"/>
      <c r="D4" s="131"/>
      <c r="E4" s="131"/>
      <c r="F4" s="131"/>
      <c r="G4" s="132"/>
      <c r="H4" s="132"/>
      <c r="I4" s="131"/>
      <c r="J4" s="48"/>
      <c r="K4" s="69" t="s">
        <v>445</v>
      </c>
      <c r="L4" s="47"/>
      <c r="M4" s="125" t="str" cm="1">
        <f t="array" ref="M4">NomeSprintDinamico(QUOTIENT(COLUMN()-COLUMN($M$4),4)+1,$D$2)</f>
        <v>R2 S3</v>
      </c>
      <c r="N4" s="126"/>
      <c r="O4" s="126"/>
      <c r="P4" s="127"/>
      <c r="Q4" s="125" t="str" cm="1">
        <f t="array" ref="Q4">NomeSprintDinamico(QUOTIENT(COLUMN()-COLUMN($M$4),4)+1,$D$2)</f>
        <v>R2 S4</v>
      </c>
      <c r="R4" s="126"/>
      <c r="S4" s="126"/>
      <c r="T4" s="127"/>
      <c r="U4" s="125" t="str" cm="1">
        <f t="array" ref="U4">NomeSprintDinamico(QUOTIENT(COLUMN()-COLUMN($M$4),4)+1,$D$2)</f>
        <v>R3 S1</v>
      </c>
      <c r="V4" s="126"/>
      <c r="W4" s="126"/>
      <c r="X4" s="127"/>
      <c r="Y4" s="125" t="str" cm="1">
        <f t="array" ref="Y4">NomeSprintDinamico(QUOTIENT(COLUMN()-COLUMN($M$4),4)+1,$D$2)</f>
        <v>R3 S2</v>
      </c>
      <c r="Z4" s="126"/>
      <c r="AA4" s="126"/>
      <c r="AB4" s="127"/>
      <c r="AC4" s="125" t="str" cm="1">
        <f t="array" ref="AC4">NomeSprintDinamico(QUOTIENT(COLUMN()-COLUMN($M$4),4)+1,$D$2)</f>
        <v>R3 S3</v>
      </c>
      <c r="AD4" s="126"/>
      <c r="AE4" s="126"/>
      <c r="AF4" s="127"/>
      <c r="AG4" s="125" t="str" cm="1">
        <f t="array" ref="AG4">NomeSprintDinamico(QUOTIENT(COLUMN()-COLUMN($M$4),4)+1,$D$2)</f>
        <v>R3 S4</v>
      </c>
      <c r="AH4" s="126"/>
      <c r="AI4" s="126"/>
      <c r="AJ4" s="127"/>
      <c r="AK4" s="125" t="str" cm="1">
        <f t="array" ref="AK4">NomeSprintDinamico(QUOTIENT(COLUMN()-COLUMN($M$4),4)+1,$D$2)</f>
        <v>R4 S1</v>
      </c>
      <c r="AL4" s="126"/>
      <c r="AM4" s="126"/>
      <c r="AN4" s="127"/>
      <c r="AO4" s="125" t="str" cm="1">
        <f t="array" ref="AO4">NomeSprintDinamico(QUOTIENT(COLUMN()-COLUMN($M$4),4)+1,$D$2)</f>
        <v>R4 S2</v>
      </c>
      <c r="AP4" s="126"/>
      <c r="AQ4" s="126"/>
      <c r="AR4" s="127"/>
      <c r="AS4" s="125" t="str" cm="1">
        <f t="array" ref="AS4">NomeSprintDinamico(QUOTIENT(COLUMN()-COLUMN($M$4),4)+1,$D$2)</f>
        <v>R4 S3</v>
      </c>
      <c r="AT4" s="126"/>
      <c r="AU4" s="126"/>
      <c r="AV4" s="127"/>
      <c r="AW4" s="125" t="str" cm="1">
        <f t="array" ref="AW4">NomeSprintDinamico(QUOTIENT(COLUMN()-COLUMN($M$4),4)+1,$D$2)</f>
        <v>R4 S4</v>
      </c>
      <c r="AX4" s="126"/>
      <c r="AY4" s="126"/>
      <c r="AZ4" s="127"/>
      <c r="BA4" s="125" t="str" cm="1">
        <f t="array" ref="BA4">NomeSprintDinamico(QUOTIENT(COLUMN()-COLUMN($M$4),4)+1,$D$2)</f>
        <v>R1 S1</v>
      </c>
      <c r="BB4" s="126"/>
      <c r="BC4" s="126"/>
      <c r="BD4" s="127"/>
      <c r="BE4" s="125" t="str" cm="1">
        <f t="array" ref="BE4">NomeSprintDinamico(QUOTIENT(COLUMN()-COLUMN($M$4),4)+1,$D$2)</f>
        <v>R1 S2</v>
      </c>
      <c r="BF4" s="126"/>
      <c r="BG4" s="126"/>
      <c r="BH4" s="127"/>
      <c r="BI4" s="125" t="str" cm="1">
        <f t="array" ref="BI4">NomeSprintDinamico(QUOTIENT(COLUMN()-COLUMN($M$4),4)+1,$D$2)</f>
        <v>R1 S3</v>
      </c>
      <c r="BJ4" s="126"/>
      <c r="BK4" s="126"/>
      <c r="BL4" s="127"/>
      <c r="BM4" s="125" t="str" cm="1">
        <f t="array" ref="BM4">NomeSprintDinamico(QUOTIENT(COLUMN()-COLUMN($M$4),4)+1,$D$2)</f>
        <v>R1 S4</v>
      </c>
      <c r="BN4" s="126"/>
      <c r="BO4" s="126"/>
      <c r="BP4" s="127"/>
      <c r="BQ4" s="125" t="str" cm="1">
        <f t="array" ref="BQ4">NomeSprintDinamico(QUOTIENT(COLUMN()-COLUMN($M$4),4)+1,$D$2)</f>
        <v>R2 S1</v>
      </c>
      <c r="BR4" s="126"/>
      <c r="BS4" s="126"/>
      <c r="BT4" s="127"/>
      <c r="BU4" s="125" t="str" cm="1">
        <f t="array" ref="BU4">NomeSprintDinamico(QUOTIENT(COLUMN()-COLUMN($M$4),4)+1,$D$2)</f>
        <v>R2 S2</v>
      </c>
      <c r="BV4" s="126"/>
      <c r="BW4" s="126"/>
      <c r="BX4" s="127"/>
      <c r="BY4" s="125" t="str" cm="1">
        <f t="array" ref="BY4">NomeSprintDinamico(QUOTIENT(COLUMN()-COLUMN($M$4),4)+1,$D$2)</f>
        <v>R2 S3</v>
      </c>
      <c r="BZ4" s="126"/>
      <c r="CA4" s="126"/>
      <c r="CB4" s="127"/>
      <c r="CC4" s="125" t="str" cm="1">
        <f t="array" ref="CC4">NomeSprintDinamico(QUOTIENT(COLUMN()-COLUMN($M$4),4)+1,$D$2)</f>
        <v>R2 S4</v>
      </c>
      <c r="CD4" s="126"/>
      <c r="CE4" s="126"/>
      <c r="CF4" s="127"/>
      <c r="CG4" s="125" t="str" cm="1">
        <f t="array" ref="CG4">NomeSprintDinamico(QUOTIENT(COLUMN()-COLUMN($M$4),4)+1,$D$2)</f>
        <v>R3 S1</v>
      </c>
      <c r="CH4" s="126"/>
      <c r="CI4" s="126"/>
      <c r="CJ4" s="127"/>
      <c r="CK4" s="125" t="str" cm="1">
        <f t="array" ref="CK4">NomeSprintDinamico(QUOTIENT(COLUMN()-COLUMN($M$4),4)+1,$D$2)</f>
        <v>R3 S2</v>
      </c>
      <c r="CL4" s="126"/>
      <c r="CM4" s="126"/>
      <c r="CN4" s="127"/>
      <c r="CO4" s="125" t="str" cm="1">
        <f t="array" ref="CO4">NomeSprintDinamico(QUOTIENT(COLUMN()-COLUMN($M$4),4)+1,$D$2)</f>
        <v>R3 S3</v>
      </c>
      <c r="CP4" s="126"/>
      <c r="CQ4" s="126"/>
      <c r="CR4" s="127"/>
      <c r="CS4" s="125" t="str" cm="1">
        <f t="array" ref="CS4">NomeSprintDinamico(QUOTIENT(COLUMN()-COLUMN($M$4),4)+1,$D$2)</f>
        <v>R3 S4</v>
      </c>
      <c r="CT4" s="126"/>
      <c r="CU4" s="126"/>
      <c r="CV4" s="127"/>
      <c r="CW4" s="125" t="str" cm="1">
        <f t="array" ref="CW4">NomeSprintDinamico(QUOTIENT(COLUMN()-COLUMN($M$4),4)+1,$D$2)</f>
        <v>R4 S1</v>
      </c>
      <c r="CX4" s="126"/>
      <c r="CY4" s="126"/>
      <c r="CZ4" s="127"/>
      <c r="DA4" s="125" t="str" cm="1">
        <f t="array" ref="DA4">NomeSprintDinamico(QUOTIENT(COLUMN()-COLUMN($M$4),4)+1,$D$2)</f>
        <v>R4 S2</v>
      </c>
      <c r="DB4" s="126"/>
      <c r="DC4" s="126"/>
      <c r="DD4" s="127"/>
      <c r="DE4" s="125" t="str" cm="1">
        <f t="array" ref="DE4">NomeSprintDinamico(QUOTIENT(COLUMN()-COLUMN($M$4),4)+1,$D$2)</f>
        <v>R4 S3</v>
      </c>
      <c r="DF4" s="126"/>
      <c r="DG4" s="126"/>
      <c r="DH4" s="127"/>
      <c r="DI4" s="125" t="str" cm="1">
        <f t="array" ref="DI4">NomeSprintDinamico(QUOTIENT(COLUMN()-COLUMN($M$4),4)+1,$D$2)</f>
        <v>R4 S4</v>
      </c>
      <c r="DJ4" s="126"/>
      <c r="DK4" s="126"/>
      <c r="DL4" s="127"/>
    </row>
    <row r="5" spans="1:116" ht="19.95" customHeight="1" x14ac:dyDescent="0.3">
      <c r="A5" s="49"/>
      <c r="B5" s="70" t="s">
        <v>424</v>
      </c>
      <c r="C5" s="71" t="s">
        <v>290</v>
      </c>
      <c r="D5" s="72" t="s">
        <v>192</v>
      </c>
      <c r="E5" s="72" t="s">
        <v>425</v>
      </c>
      <c r="F5" s="72" t="s">
        <v>426</v>
      </c>
      <c r="G5" s="73" t="s">
        <v>446</v>
      </c>
      <c r="H5" s="73" t="s">
        <v>447</v>
      </c>
      <c r="I5" s="72" t="s">
        <v>427</v>
      </c>
      <c r="J5" s="72" t="s">
        <v>11</v>
      </c>
      <c r="K5" s="72" t="s">
        <v>428</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429</v>
      </c>
      <c r="D6" s="52" t="s">
        <v>430</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53</v>
      </c>
      <c r="K6" s="79">
        <v>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431</v>
      </c>
      <c r="D7" s="55" t="s">
        <v>432</v>
      </c>
      <c r="E7" s="53">
        <v>45796</v>
      </c>
      <c r="F7" s="53">
        <v>45798</v>
      </c>
      <c r="G7" s="76">
        <f t="shared" si="44"/>
        <v>45796</v>
      </c>
      <c r="H7" s="76">
        <f t="shared" si="44"/>
        <v>45796</v>
      </c>
      <c r="I7" s="77">
        <f t="shared" si="45"/>
        <v>3</v>
      </c>
      <c r="J7" s="78" t="s">
        <v>53</v>
      </c>
      <c r="K7" s="79">
        <v>1</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435</v>
      </c>
      <c r="D8" s="55" t="s">
        <v>432</v>
      </c>
      <c r="E8" s="53">
        <v>45798</v>
      </c>
      <c r="F8" s="53">
        <v>45803</v>
      </c>
      <c r="G8" s="76">
        <f t="shared" si="44"/>
        <v>45796</v>
      </c>
      <c r="H8" s="76">
        <f t="shared" si="44"/>
        <v>45803</v>
      </c>
      <c r="I8" s="77">
        <f t="shared" si="45"/>
        <v>4</v>
      </c>
      <c r="J8" s="78" t="s">
        <v>53</v>
      </c>
      <c r="K8" s="79">
        <v>1</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448</v>
      </c>
      <c r="D9" s="52" t="s">
        <v>430</v>
      </c>
      <c r="E9" s="53">
        <v>45803</v>
      </c>
      <c r="F9" s="53">
        <v>45814</v>
      </c>
      <c r="G9" s="76">
        <f t="shared" si="44"/>
        <v>45803</v>
      </c>
      <c r="H9" s="76">
        <f t="shared" si="44"/>
        <v>45810</v>
      </c>
      <c r="I9" s="77">
        <f t="shared" si="45"/>
        <v>10</v>
      </c>
      <c r="J9" s="78" t="s">
        <v>54</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449</v>
      </c>
      <c r="D10" s="52" t="s">
        <v>430</v>
      </c>
      <c r="E10" s="53">
        <v>45817</v>
      </c>
      <c r="F10" s="53">
        <v>45835</v>
      </c>
      <c r="G10" s="76">
        <f t="shared" si="44"/>
        <v>45817</v>
      </c>
      <c r="H10" s="76">
        <f t="shared" si="44"/>
        <v>45831</v>
      </c>
      <c r="I10" s="77">
        <f t="shared" si="45"/>
        <v>15</v>
      </c>
      <c r="J10" s="78" t="s">
        <v>52</v>
      </c>
      <c r="K10" s="79">
        <v>0.9</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457</v>
      </c>
      <c r="D11" s="81" t="s">
        <v>463</v>
      </c>
      <c r="E11" s="53">
        <v>45804</v>
      </c>
      <c r="F11" s="53">
        <v>45804</v>
      </c>
      <c r="G11" s="76">
        <f t="shared" si="44"/>
        <v>45803</v>
      </c>
      <c r="H11" s="76">
        <f t="shared" si="44"/>
        <v>45803</v>
      </c>
      <c r="I11" s="77">
        <f t="shared" si="45"/>
        <v>1</v>
      </c>
      <c r="J11" s="78" t="s">
        <v>53</v>
      </c>
      <c r="K11" s="79">
        <v>1</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Y2:AB2"/>
    <mergeCell ref="D2:E2"/>
    <mergeCell ref="F2:I2"/>
    <mergeCell ref="M2:P2"/>
    <mergeCell ref="Q2:T2"/>
    <mergeCell ref="U2:X2"/>
    <mergeCell ref="BU2:BX2"/>
    <mergeCell ref="AC2:AF2"/>
    <mergeCell ref="AG2:AJ2"/>
    <mergeCell ref="AK2:AN2"/>
    <mergeCell ref="AO2:AR2"/>
    <mergeCell ref="AS2:AV2"/>
    <mergeCell ref="AW2:AZ2"/>
    <mergeCell ref="BA2:BD2"/>
    <mergeCell ref="BE2:BH2"/>
    <mergeCell ref="BI2:BL2"/>
    <mergeCell ref="BM2:BP2"/>
    <mergeCell ref="BQ2:BT2"/>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Y3:CB3"/>
    <mergeCell ref="AG3:AJ3"/>
    <mergeCell ref="AK3:AN3"/>
    <mergeCell ref="AO3:AR3"/>
    <mergeCell ref="AS3:AV3"/>
    <mergeCell ref="AW3:AZ3"/>
    <mergeCell ref="BA3:BD3"/>
    <mergeCell ref="BE3:BH3"/>
    <mergeCell ref="BI3:BL3"/>
    <mergeCell ref="BM3:BP3"/>
    <mergeCell ref="BQ3:BT3"/>
    <mergeCell ref="BU3:BX3"/>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CG4:CJ4"/>
    <mergeCell ref="AO4:AR4"/>
    <mergeCell ref="AS4:AV4"/>
    <mergeCell ref="AW4:AZ4"/>
    <mergeCell ref="BA4:BD4"/>
    <mergeCell ref="BE4:BH4"/>
    <mergeCell ref="BI4:BL4"/>
    <mergeCell ref="BM4:BP4"/>
    <mergeCell ref="BQ4:BT4"/>
    <mergeCell ref="BU4:BX4"/>
    <mergeCell ref="BY4:CB4"/>
    <mergeCell ref="CC4:CF4"/>
    <mergeCell ref="DI4:DL4"/>
    <mergeCell ref="CK4:CN4"/>
    <mergeCell ref="CO4:CR4"/>
    <mergeCell ref="CS4:CV4"/>
    <mergeCell ref="CW4:CZ4"/>
    <mergeCell ref="DA4:DD4"/>
    <mergeCell ref="DE4:DH4"/>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8" activePane="bottomRight" state="frozen"/>
      <selection pane="topRight" activeCell="G1" sqref="G1"/>
      <selection pane="bottomLeft" activeCell="A7" sqref="A7"/>
      <selection pane="bottomRight" activeCell="F11" sqref="F11"/>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18" t="s">
        <v>391</v>
      </c>
      <c r="B1" s="118"/>
      <c r="C1" s="118"/>
      <c r="D1" s="118"/>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row>
    <row r="2" spans="1:61" ht="14.4" customHeight="1" x14ac:dyDescent="0.3">
      <c r="A2" s="118"/>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row>
    <row r="3" spans="1:61" ht="14.4" customHeight="1" x14ac:dyDescent="0.3">
      <c r="A3" s="119" t="s">
        <v>0</v>
      </c>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19"/>
      <c r="BG3" s="119"/>
      <c r="BH3" s="119"/>
    </row>
    <row r="4" spans="1:61" ht="14.4" customHeight="1" x14ac:dyDescent="0.3">
      <c r="A4" s="119"/>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19"/>
      <c r="BG4" s="119"/>
      <c r="BH4" s="119"/>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392</v>
      </c>
      <c r="B6" s="15" t="s">
        <v>438</v>
      </c>
      <c r="C6" s="6" t="s">
        <v>3</v>
      </c>
      <c r="D6" s="6" t="s">
        <v>411</v>
      </c>
      <c r="E6" s="6" t="s">
        <v>437</v>
      </c>
      <c r="F6" s="15" t="s">
        <v>12</v>
      </c>
      <c r="G6" s="15" t="s">
        <v>369</v>
      </c>
      <c r="H6" s="6" t="s">
        <v>393</v>
      </c>
      <c r="I6" s="6" t="s">
        <v>412</v>
      </c>
    </row>
    <row r="7" spans="1:61" s="16" customFormat="1" ht="49.95" customHeight="1" x14ac:dyDescent="0.3">
      <c r="A7" s="8" t="s">
        <v>367</v>
      </c>
      <c r="B7" s="8" t="s">
        <v>441</v>
      </c>
      <c r="C7" s="8" t="s">
        <v>27</v>
      </c>
      <c r="D7" s="29" t="s">
        <v>488</v>
      </c>
      <c r="E7" s="29"/>
      <c r="F7" s="8" t="s">
        <v>418</v>
      </c>
      <c r="G7" s="8" t="s">
        <v>489</v>
      </c>
      <c r="H7" s="8" t="s">
        <v>468</v>
      </c>
      <c r="I7" s="8" t="s">
        <v>52</v>
      </c>
    </row>
    <row r="8" spans="1:61" s="16" customFormat="1" ht="49.95" customHeight="1" x14ac:dyDescent="0.3">
      <c r="A8" s="8" t="s">
        <v>367</v>
      </c>
      <c r="B8" s="8" t="s">
        <v>459</v>
      </c>
      <c r="C8" s="8" t="s">
        <v>27</v>
      </c>
      <c r="D8" s="29" t="s">
        <v>490</v>
      </c>
      <c r="E8" s="29"/>
      <c r="F8" s="8" t="s">
        <v>491</v>
      </c>
      <c r="G8" s="8" t="s">
        <v>492</v>
      </c>
      <c r="H8" s="29" t="s">
        <v>466</v>
      </c>
      <c r="I8" s="8" t="s">
        <v>51</v>
      </c>
    </row>
    <row r="9" spans="1:61" s="16" customFormat="1" ht="49.95" customHeight="1" x14ac:dyDescent="0.3">
      <c r="A9" s="8" t="s">
        <v>367</v>
      </c>
      <c r="B9" s="8">
        <v>20</v>
      </c>
      <c r="C9" s="8" t="s">
        <v>31</v>
      </c>
      <c r="D9" s="8" t="s">
        <v>493</v>
      </c>
      <c r="E9" s="29"/>
      <c r="F9" s="8" t="s">
        <v>472</v>
      </c>
      <c r="G9" s="8" t="s">
        <v>474</v>
      </c>
      <c r="H9" s="8" t="s">
        <v>473</v>
      </c>
      <c r="I9" s="59" t="s">
        <v>52</v>
      </c>
    </row>
    <row r="10" spans="1:61" s="16" customFormat="1" ht="49.95" customHeight="1" x14ac:dyDescent="0.3">
      <c r="A10" s="8" t="s">
        <v>367</v>
      </c>
      <c r="B10" s="8" t="s">
        <v>481</v>
      </c>
      <c r="C10" s="8" t="s">
        <v>26</v>
      </c>
      <c r="D10" s="8" t="s">
        <v>495</v>
      </c>
      <c r="E10" s="29"/>
      <c r="F10" s="8" t="s">
        <v>496</v>
      </c>
      <c r="G10" s="8" t="s">
        <v>499</v>
      </c>
      <c r="H10" s="8" t="s">
        <v>498</v>
      </c>
      <c r="I10" s="59" t="s">
        <v>52</v>
      </c>
    </row>
    <row r="11" spans="1:61" s="16" customFormat="1" ht="49.95" customHeight="1" x14ac:dyDescent="0.3">
      <c r="A11" s="8" t="s">
        <v>367</v>
      </c>
      <c r="B11" s="8" t="s">
        <v>494</v>
      </c>
      <c r="C11" s="8" t="s">
        <v>29</v>
      </c>
      <c r="D11" s="29" t="s">
        <v>501</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disablePrompts="1"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A45E1-79F4-4463-9F59-5D32790EB895}">
  <dimension ref="A1:L5"/>
  <sheetViews>
    <sheetView workbookViewId="0">
      <selection activeCell="A3" sqref="A3"/>
    </sheetView>
  </sheetViews>
  <sheetFormatPr defaultRowHeight="14.4" outlineLevelRow="1" x14ac:dyDescent="0.3"/>
  <cols>
    <col min="1" max="2" width="25" style="1" customWidth="1"/>
    <col min="3" max="7" width="30.44140625" style="1" customWidth="1"/>
  </cols>
  <sheetData>
    <row r="1" spans="1:12" ht="18" x14ac:dyDescent="0.35">
      <c r="A1" s="137" t="s">
        <v>591</v>
      </c>
      <c r="B1" s="137"/>
      <c r="C1" s="137"/>
      <c r="D1" s="137"/>
      <c r="E1" s="137"/>
      <c r="F1" s="137"/>
      <c r="G1" s="137"/>
      <c r="H1" s="137"/>
      <c r="I1" s="137"/>
      <c r="J1" s="137"/>
      <c r="K1" s="137"/>
      <c r="L1" s="137"/>
    </row>
    <row r="2" spans="1:12" ht="15.6" x14ac:dyDescent="0.3">
      <c r="A2" s="115" t="s">
        <v>421</v>
      </c>
      <c r="B2" s="115" t="s">
        <v>11</v>
      </c>
      <c r="C2" s="115" t="s">
        <v>188</v>
      </c>
      <c r="D2" s="115" t="s">
        <v>592</v>
      </c>
      <c r="E2" s="115" t="s">
        <v>190</v>
      </c>
      <c r="F2" s="115" t="s">
        <v>598</v>
      </c>
      <c r="G2" s="115" t="s">
        <v>599</v>
      </c>
    </row>
    <row r="3" spans="1:12" ht="100.8" outlineLevel="1" x14ac:dyDescent="0.3">
      <c r="A3" s="116">
        <v>45821</v>
      </c>
      <c r="B3" s="117" t="s">
        <v>597</v>
      </c>
      <c r="C3" s="7" t="s">
        <v>595</v>
      </c>
      <c r="D3" s="16" t="s">
        <v>596</v>
      </c>
      <c r="E3" s="16" t="s">
        <v>594</v>
      </c>
      <c r="F3" s="7"/>
      <c r="G3" s="7"/>
    </row>
    <row r="4" spans="1:12" ht="72" outlineLevel="1" x14ac:dyDescent="0.3">
      <c r="A4" s="116">
        <v>45824</v>
      </c>
      <c r="B4" s="117" t="s">
        <v>597</v>
      </c>
      <c r="C4" s="7" t="s">
        <v>601</v>
      </c>
      <c r="D4" s="16" t="s">
        <v>593</v>
      </c>
      <c r="E4" s="16" t="s">
        <v>594</v>
      </c>
      <c r="F4" s="7"/>
      <c r="G4" s="7"/>
    </row>
    <row r="5" spans="1:12" ht="57.6" outlineLevel="1" x14ac:dyDescent="0.3">
      <c r="A5" s="116">
        <v>45825</v>
      </c>
      <c r="B5" s="117" t="s">
        <v>600</v>
      </c>
      <c r="C5" s="7" t="s">
        <v>601</v>
      </c>
      <c r="D5" s="16" t="s">
        <v>603</v>
      </c>
      <c r="E5" s="7" t="s">
        <v>602</v>
      </c>
    </row>
  </sheetData>
  <mergeCells count="1">
    <mergeCell ref="A1:L1"/>
  </mergeCells>
  <dataValidations count="1">
    <dataValidation type="list" allowBlank="1" showInputMessage="1" showErrorMessage="1" sqref="B3:B5" xr:uid="{1B5B2F14-5C69-422C-B7A4-E50D55ADF671}">
      <formula1>"Agendada, Realizada, Cancelada, Reagendada"</formula1>
    </dataValidation>
  </dataValidation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K8" activePane="bottomRight" state="frozen"/>
      <selection pane="topRight" activeCell="G1" sqref="G1"/>
      <selection pane="bottomLeft" activeCell="A7" sqref="A7"/>
      <selection pane="bottomRight" activeCell="D9" sqref="D9"/>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18" t="s">
        <v>389</v>
      </c>
      <c r="B1" s="118"/>
      <c r="C1" s="118"/>
      <c r="D1" s="118"/>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row>
    <row r="2" spans="1:57" ht="14.4" customHeight="1" x14ac:dyDescent="0.3">
      <c r="A2" s="118"/>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row>
    <row r="3" spans="1:57" ht="14.4" customHeight="1" x14ac:dyDescent="0.3">
      <c r="A3" s="119" t="s">
        <v>0</v>
      </c>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row>
    <row r="4" spans="1:57" ht="14.4" customHeight="1" x14ac:dyDescent="0.3">
      <c r="A4" s="119"/>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row>
    <row r="5" spans="1:57" s="3" customFormat="1" ht="22.2" customHeight="1" x14ac:dyDescent="0.3">
      <c r="A5" s="7"/>
      <c r="B5" s="7"/>
      <c r="C5" s="7"/>
      <c r="D5" s="7"/>
      <c r="E5" s="7"/>
      <c r="F5" s="7"/>
      <c r="G5" s="7"/>
      <c r="H5" s="7"/>
      <c r="I5" s="7"/>
      <c r="J5" s="7"/>
      <c r="K5" s="7"/>
      <c r="L5" s="7"/>
      <c r="N5" s="121" t="s">
        <v>343</v>
      </c>
      <c r="O5" s="121"/>
      <c r="P5" s="121"/>
      <c r="Q5" s="121"/>
      <c r="R5" s="139" t="s">
        <v>74</v>
      </c>
      <c r="S5" s="139"/>
      <c r="T5" s="139"/>
      <c r="U5" s="139"/>
      <c r="V5" s="139"/>
      <c r="W5" s="139"/>
      <c r="X5" s="139"/>
      <c r="Y5" s="138" t="s">
        <v>127</v>
      </c>
      <c r="Z5" s="138"/>
      <c r="AA5" s="142" t="s">
        <v>16</v>
      </c>
      <c r="AB5" s="142"/>
      <c r="AC5" s="142"/>
      <c r="AD5" s="142"/>
      <c r="AE5" s="142"/>
      <c r="AF5" s="22" t="s">
        <v>129</v>
      </c>
      <c r="AG5" s="141" t="s">
        <v>17</v>
      </c>
      <c r="AH5" s="141"/>
      <c r="AI5" s="141"/>
      <c r="AJ5" s="37" t="s">
        <v>355</v>
      </c>
      <c r="AK5" s="140" t="s">
        <v>107</v>
      </c>
      <c r="AL5" s="140"/>
      <c r="AM5" s="140"/>
      <c r="AN5" s="140"/>
      <c r="AO5" s="140" t="s">
        <v>113</v>
      </c>
      <c r="AP5" s="140"/>
      <c r="AQ5" s="140"/>
      <c r="AR5" s="140"/>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342</v>
      </c>
      <c r="O6" s="6" t="s">
        <v>345</v>
      </c>
      <c r="P6" s="15" t="s">
        <v>344</v>
      </c>
      <c r="Q6" s="15" t="s">
        <v>349</v>
      </c>
      <c r="R6" s="6" t="s">
        <v>70</v>
      </c>
      <c r="S6" s="6" t="s">
        <v>72</v>
      </c>
      <c r="T6" s="6" t="s">
        <v>71</v>
      </c>
      <c r="U6" s="6" t="s">
        <v>73</v>
      </c>
      <c r="V6" s="15" t="s">
        <v>141</v>
      </c>
      <c r="W6" s="15" t="s">
        <v>121</v>
      </c>
      <c r="X6" s="15" t="s">
        <v>122</v>
      </c>
      <c r="Y6" s="6" t="s">
        <v>15</v>
      </c>
      <c r="Z6" s="6" t="s">
        <v>126</v>
      </c>
      <c r="AA6" s="15" t="s">
        <v>12</v>
      </c>
      <c r="AB6" s="15" t="s">
        <v>369</v>
      </c>
      <c r="AC6" s="15" t="s">
        <v>373</v>
      </c>
      <c r="AD6" s="6" t="s">
        <v>13</v>
      </c>
      <c r="AE6" s="6" t="s">
        <v>14</v>
      </c>
      <c r="AF6" s="6" t="s">
        <v>129</v>
      </c>
      <c r="AG6" s="15" t="s">
        <v>18</v>
      </c>
      <c r="AH6" s="6" t="s">
        <v>274</v>
      </c>
      <c r="AI6" s="6" t="s">
        <v>20</v>
      </c>
      <c r="AJ6" s="6" t="s">
        <v>355</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346</v>
      </c>
      <c r="O7" s="8" t="s">
        <v>347</v>
      </c>
      <c r="P7" s="8" t="s">
        <v>346</v>
      </c>
      <c r="Q7" s="8"/>
      <c r="R7" s="8" t="s">
        <v>610</v>
      </c>
      <c r="S7" s="8" t="s">
        <v>118</v>
      </c>
      <c r="T7" s="8" t="s">
        <v>118</v>
      </c>
      <c r="U7" s="8" t="s">
        <v>119</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2 sprints</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t="s">
        <v>611</v>
      </c>
      <c r="Z7" s="8" t="s">
        <v>128</v>
      </c>
      <c r="AA7" s="8" t="s">
        <v>612</v>
      </c>
      <c r="AB7" s="8" t="s">
        <v>613</v>
      </c>
      <c r="AC7" s="8"/>
      <c r="AD7" s="8"/>
      <c r="AE7" s="8"/>
      <c r="AF7" s="21" t="s">
        <v>614</v>
      </c>
      <c r="AG7" s="8"/>
      <c r="AH7" s="8"/>
      <c r="AI7" s="23"/>
      <c r="AJ7" s="23"/>
      <c r="AK7" s="8"/>
      <c r="AL7" s="8"/>
      <c r="AM7" s="8" t="s">
        <v>285</v>
      </c>
      <c r="AN7" s="8" t="s">
        <v>285</v>
      </c>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346</v>
      </c>
      <c r="O8" s="8" t="s">
        <v>347</v>
      </c>
      <c r="P8" s="8" t="s">
        <v>346</v>
      </c>
      <c r="Q8" s="8"/>
      <c r="R8" s="8" t="s">
        <v>610</v>
      </c>
      <c r="S8" s="8" t="s">
        <v>118</v>
      </c>
      <c r="T8" s="8" t="s">
        <v>118</v>
      </c>
      <c r="U8" s="8" t="s">
        <v>119</v>
      </c>
      <c r="V8" s="8" t="str">
        <f t="shared" si="1"/>
        <v>2 sprints</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t="s">
        <v>611</v>
      </c>
      <c r="Z8" s="8" t="s">
        <v>128</v>
      </c>
      <c r="AA8" s="8" t="s">
        <v>612</v>
      </c>
      <c r="AB8" s="8" t="s">
        <v>613</v>
      </c>
      <c r="AC8" s="8"/>
      <c r="AD8" s="8"/>
      <c r="AE8" s="8"/>
      <c r="AF8" s="21" t="s">
        <v>614</v>
      </c>
      <c r="AG8" s="8"/>
      <c r="AH8" s="8"/>
      <c r="AI8" s="23"/>
      <c r="AJ8" s="23"/>
      <c r="AK8" s="8"/>
      <c r="AL8" s="8"/>
      <c r="AM8" s="8" t="s">
        <v>285</v>
      </c>
      <c r="AN8" s="8" t="s">
        <v>285</v>
      </c>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348</v>
      </c>
      <c r="O9" s="8" t="s">
        <v>348</v>
      </c>
      <c r="P9" s="8" t="s">
        <v>348</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348</v>
      </c>
      <c r="O10" s="8" t="s">
        <v>348</v>
      </c>
      <c r="P10" s="8" t="s">
        <v>346</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348</v>
      </c>
      <c r="O11" s="8" t="s">
        <v>348</v>
      </c>
      <c r="P11" s="8" t="s">
        <v>348</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348</v>
      </c>
      <c r="O12" s="8" t="s">
        <v>348</v>
      </c>
      <c r="P12" s="8" t="s">
        <v>348</v>
      </c>
      <c r="Q12" s="8"/>
      <c r="R12" s="8" t="s">
        <v>120</v>
      </c>
      <c r="S12" s="8" t="s">
        <v>140</v>
      </c>
      <c r="T12" s="8" t="s">
        <v>120</v>
      </c>
      <c r="U12" s="8" t="s">
        <v>367</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497</v>
      </c>
      <c r="Z12" s="8" t="s">
        <v>271</v>
      </c>
      <c r="AA12" s="8" t="s">
        <v>496</v>
      </c>
      <c r="AB12" s="8" t="s">
        <v>499</v>
      </c>
      <c r="AC12" s="8"/>
      <c r="AD12" s="8"/>
      <c r="AE12" s="8"/>
      <c r="AF12" s="8" t="s">
        <v>498</v>
      </c>
      <c r="AG12" s="8"/>
      <c r="AH12" s="8"/>
      <c r="AI12" s="23"/>
      <c r="AJ12" s="23"/>
      <c r="AK12" s="8"/>
      <c r="AL12" s="8"/>
      <c r="AM12" s="8"/>
      <c r="AN12" s="8"/>
      <c r="AO12" s="8"/>
      <c r="AP12" s="8" t="s">
        <v>292</v>
      </c>
      <c r="AQ12" s="8" t="s">
        <v>298</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54</v>
      </c>
      <c r="N13" s="8" t="s">
        <v>348</v>
      </c>
      <c r="O13" s="8" t="s">
        <v>348</v>
      </c>
      <c r="P13" s="8" t="s">
        <v>348</v>
      </c>
      <c r="Q13" s="8"/>
      <c r="R13" s="8" t="s">
        <v>120</v>
      </c>
      <c r="S13" s="8" t="s">
        <v>140</v>
      </c>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497</v>
      </c>
      <c r="Z13" s="8" t="s">
        <v>271</v>
      </c>
      <c r="AA13" s="8" t="s">
        <v>496</v>
      </c>
      <c r="AB13" s="8" t="s">
        <v>499</v>
      </c>
      <c r="AC13" s="8"/>
      <c r="AD13" s="8"/>
      <c r="AE13" s="8"/>
      <c r="AF13" s="8" t="s">
        <v>498</v>
      </c>
      <c r="AG13" s="8" t="s">
        <v>500</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53</v>
      </c>
      <c r="N14" s="8" t="s">
        <v>348</v>
      </c>
      <c r="O14" s="8" t="s">
        <v>348</v>
      </c>
      <c r="P14" s="8" t="s">
        <v>348</v>
      </c>
      <c r="Q14" s="8"/>
      <c r="R14" s="8" t="s">
        <v>120</v>
      </c>
      <c r="S14" s="8" t="s">
        <v>120</v>
      </c>
      <c r="T14" s="8" t="s">
        <v>120</v>
      </c>
      <c r="U14" s="8" t="s">
        <v>140</v>
      </c>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2 sprints</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2 sprints</v>
      </c>
      <c r="Y14" s="8"/>
      <c r="Z14" s="8" t="s">
        <v>271</v>
      </c>
      <c r="AA14" s="8"/>
      <c r="AB14" s="8"/>
      <c r="AC14" s="8"/>
      <c r="AD14" s="8"/>
      <c r="AE14" s="8"/>
      <c r="AF14" s="8"/>
      <c r="AG14" s="8"/>
      <c r="AH14" s="8"/>
      <c r="AI14" s="23"/>
      <c r="AJ14" s="23"/>
      <c r="AK14" s="8"/>
      <c r="AL14" s="8"/>
      <c r="AM14" s="8"/>
      <c r="AN14" s="8"/>
      <c r="AO14" s="8" t="s">
        <v>304</v>
      </c>
      <c r="AP14" s="8" t="s">
        <v>298</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53</v>
      </c>
      <c r="N15" s="8" t="s">
        <v>348</v>
      </c>
      <c r="O15" s="8" t="s">
        <v>348</v>
      </c>
      <c r="P15" s="8" t="s">
        <v>348</v>
      </c>
      <c r="Q15" s="8"/>
      <c r="R15" s="8" t="s">
        <v>120</v>
      </c>
      <c r="S15" s="8" t="s">
        <v>140</v>
      </c>
      <c r="T15" s="8" t="s">
        <v>120</v>
      </c>
      <c r="U15" s="8" t="s">
        <v>140</v>
      </c>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2 sprints</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1 sprint</v>
      </c>
      <c r="Y15" s="8"/>
      <c r="Z15" s="8" t="s">
        <v>271</v>
      </c>
      <c r="AA15" s="8"/>
      <c r="AB15" s="8"/>
      <c r="AC15" s="8"/>
      <c r="AD15" s="8"/>
      <c r="AE15" s="8"/>
      <c r="AF15" s="8"/>
      <c r="AG15" s="8"/>
      <c r="AH15" s="8"/>
      <c r="AI15" s="23"/>
      <c r="AJ15" s="23"/>
      <c r="AK15" s="8"/>
      <c r="AL15" s="8"/>
      <c r="AM15" s="8"/>
      <c r="AN15" s="8"/>
      <c r="AO15" s="8" t="s">
        <v>298</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346</v>
      </c>
      <c r="O16" s="8" t="s">
        <v>346</v>
      </c>
      <c r="P16" s="8" t="s">
        <v>346</v>
      </c>
      <c r="Q16" s="8"/>
      <c r="R16" s="8" t="s">
        <v>118</v>
      </c>
      <c r="S16" s="8" t="s">
        <v>118</v>
      </c>
      <c r="T16" s="8" t="s">
        <v>119</v>
      </c>
      <c r="U16" s="8"/>
      <c r="V16" s="8" t="str">
        <f t="shared" si="5"/>
        <v>2 sprints</v>
      </c>
      <c r="W16" s="8" t="str">
        <f t="shared" si="6"/>
        <v/>
      </c>
      <c r="X16" s="8" t="str">
        <f t="shared" si="7"/>
        <v/>
      </c>
      <c r="Y16" s="8" t="s">
        <v>297</v>
      </c>
      <c r="Z16" s="8" t="s">
        <v>460</v>
      </c>
      <c r="AA16" s="8" t="s">
        <v>464</v>
      </c>
      <c r="AB16" s="8" t="s">
        <v>465</v>
      </c>
      <c r="AC16" s="29"/>
      <c r="AD16" s="8"/>
      <c r="AE16" s="101">
        <f>'Roadmap - Visão Timeline'!$F$9+60</f>
        <v>45874</v>
      </c>
      <c r="AF16" s="29" t="s">
        <v>466</v>
      </c>
      <c r="AG16" s="8"/>
      <c r="AH16" s="23"/>
      <c r="AI16" s="23"/>
      <c r="AJ16" s="23"/>
      <c r="AK16" s="8"/>
      <c r="AL16" s="8"/>
      <c r="AM16" s="8" t="s">
        <v>298</v>
      </c>
      <c r="AN16" s="8" t="s">
        <v>298</v>
      </c>
      <c r="AO16" s="8" t="s">
        <v>298</v>
      </c>
      <c r="AP16" s="8" t="s">
        <v>298</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54</v>
      </c>
      <c r="N17" s="8" t="s">
        <v>346</v>
      </c>
      <c r="O17" s="8" t="s">
        <v>346</v>
      </c>
      <c r="P17" s="8" t="s">
        <v>346</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297</v>
      </c>
      <c r="Z17" s="8" t="s">
        <v>460</v>
      </c>
      <c r="AA17" s="8" t="s">
        <v>464</v>
      </c>
      <c r="AB17" s="8" t="s">
        <v>465</v>
      </c>
      <c r="AC17" s="29"/>
      <c r="AD17" s="8"/>
      <c r="AE17" s="101">
        <f>'Roadmap - Visão Timeline'!$F$9+60</f>
        <v>45874</v>
      </c>
      <c r="AF17" s="29" t="s">
        <v>466</v>
      </c>
      <c r="AG17" s="8"/>
      <c r="AH17" s="23"/>
      <c r="AI17" s="23"/>
      <c r="AJ17" s="23"/>
      <c r="AK17" s="8"/>
      <c r="AL17" s="8"/>
      <c r="AM17" s="8" t="s">
        <v>298</v>
      </c>
      <c r="AN17" s="8" t="s">
        <v>298</v>
      </c>
      <c r="AO17" s="8" t="s">
        <v>298</v>
      </c>
      <c r="AP17" s="8" t="s">
        <v>298</v>
      </c>
      <c r="AQ17" s="8"/>
      <c r="AR17" s="8"/>
    </row>
    <row r="18" spans="1:44" ht="70.05" customHeight="1" x14ac:dyDescent="0.3">
      <c r="A18" s="8">
        <f>ROW()</f>
        <v>18</v>
      </c>
      <c r="B18" s="8" t="s">
        <v>21</v>
      </c>
      <c r="C18" s="8" t="s">
        <v>25</v>
      </c>
      <c r="D18" s="8" t="s">
        <v>28</v>
      </c>
      <c r="E18" s="8" t="s">
        <v>359</v>
      </c>
      <c r="F18" s="8" t="s">
        <v>341</v>
      </c>
      <c r="G18" s="8" t="s">
        <v>34</v>
      </c>
      <c r="H18" s="8" t="s">
        <v>37</v>
      </c>
      <c r="I18" s="8" t="s">
        <v>38</v>
      </c>
      <c r="J18" s="8" t="s">
        <v>43</v>
      </c>
      <c r="K18" s="8" t="s">
        <v>45</v>
      </c>
      <c r="L18" s="8">
        <f t="shared" si="4"/>
        <v>1</v>
      </c>
      <c r="M18" s="8" t="s">
        <v>53</v>
      </c>
      <c r="N18" s="8" t="s">
        <v>347</v>
      </c>
      <c r="O18" s="8" t="s">
        <v>347</v>
      </c>
      <c r="P18" s="8" t="s">
        <v>347</v>
      </c>
      <c r="Q18" s="8" t="s">
        <v>350</v>
      </c>
      <c r="R18" s="8" t="s">
        <v>119</v>
      </c>
      <c r="S18" s="8" t="s">
        <v>120</v>
      </c>
      <c r="T18" s="8" t="s">
        <v>120</v>
      </c>
      <c r="U18" s="8" t="s">
        <v>367</v>
      </c>
      <c r="V18" s="8" t="str">
        <f t="shared" si="5"/>
        <v>2 sprints</v>
      </c>
      <c r="W18" s="8" t="str">
        <f t="shared" si="8"/>
        <v>4 sprints</v>
      </c>
      <c r="X18" s="8" t="str">
        <f t="shared" si="9"/>
        <v>3 sprints</v>
      </c>
      <c r="Y18" s="8" t="s">
        <v>357</v>
      </c>
      <c r="Z18" s="8" t="s">
        <v>358</v>
      </c>
      <c r="AA18" s="8"/>
      <c r="AB18" s="8"/>
      <c r="AC18" s="8"/>
      <c r="AD18" s="8"/>
      <c r="AE18" s="8"/>
      <c r="AF18" s="8"/>
      <c r="AG18" s="8"/>
      <c r="AH18" s="23"/>
      <c r="AI18" s="23"/>
      <c r="AJ18" s="23"/>
      <c r="AK18" s="8"/>
      <c r="AL18" s="8"/>
      <c r="AM18" s="8"/>
      <c r="AN18" s="8" t="s">
        <v>292</v>
      </c>
      <c r="AO18" s="8" t="s">
        <v>295</v>
      </c>
      <c r="AP18" s="8" t="s">
        <v>295</v>
      </c>
      <c r="AQ18" s="8" t="s">
        <v>303</v>
      </c>
      <c r="AR18" s="8"/>
    </row>
    <row r="19" spans="1:44" ht="70.05" customHeight="1" x14ac:dyDescent="0.3">
      <c r="A19" s="8">
        <f>ROW()</f>
        <v>19</v>
      </c>
      <c r="B19" s="8" t="s">
        <v>21</v>
      </c>
      <c r="C19" s="8" t="s">
        <v>25</v>
      </c>
      <c r="D19" s="8" t="s">
        <v>28</v>
      </c>
      <c r="E19" s="8" t="s">
        <v>359</v>
      </c>
      <c r="F19" s="8" t="s">
        <v>341</v>
      </c>
      <c r="G19" s="8" t="s">
        <v>34</v>
      </c>
      <c r="H19" s="8" t="s">
        <v>37</v>
      </c>
      <c r="I19" s="8" t="s">
        <v>39</v>
      </c>
      <c r="J19" s="8" t="s">
        <v>43</v>
      </c>
      <c r="K19" s="8" t="s">
        <v>45</v>
      </c>
      <c r="L19" s="8">
        <f t="shared" si="4"/>
        <v>1</v>
      </c>
      <c r="M19" s="8" t="s">
        <v>53</v>
      </c>
      <c r="N19" s="8" t="s">
        <v>347</v>
      </c>
      <c r="O19" s="8" t="s">
        <v>347</v>
      </c>
      <c r="P19" s="8" t="s">
        <v>347</v>
      </c>
      <c r="Q19" s="8"/>
      <c r="R19" s="8" t="s">
        <v>119</v>
      </c>
      <c r="S19" s="8" t="s">
        <v>368</v>
      </c>
      <c r="T19" s="8" t="s">
        <v>120</v>
      </c>
      <c r="U19" s="8" t="s">
        <v>505</v>
      </c>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6 sprints</v>
      </c>
      <c r="X19" s="8" t="str">
        <f t="shared" si="9"/>
        <v>2 sprints</v>
      </c>
      <c r="Y19" s="8" t="s">
        <v>357</v>
      </c>
      <c r="Z19" s="8" t="s">
        <v>358</v>
      </c>
      <c r="AA19" s="8"/>
      <c r="AB19" s="8" t="s">
        <v>370</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360</v>
      </c>
      <c r="F20" s="8" t="s">
        <v>361</v>
      </c>
      <c r="G20" s="8" t="s">
        <v>34</v>
      </c>
      <c r="H20" s="8" t="s">
        <v>36</v>
      </c>
      <c r="I20" s="8" t="s">
        <v>39</v>
      </c>
      <c r="J20" s="8" t="s">
        <v>43</v>
      </c>
      <c r="K20" s="8" t="s">
        <v>45</v>
      </c>
      <c r="L20" s="8">
        <f t="shared" si="4"/>
        <v>1</v>
      </c>
      <c r="M20" s="8" t="s">
        <v>52</v>
      </c>
      <c r="N20" s="8" t="s">
        <v>346</v>
      </c>
      <c r="O20" s="8" t="s">
        <v>346</v>
      </c>
      <c r="P20" s="8" t="s">
        <v>346</v>
      </c>
      <c r="Q20" s="8"/>
      <c r="R20" s="8" t="s">
        <v>366</v>
      </c>
      <c r="S20" s="8" t="s">
        <v>118</v>
      </c>
      <c r="T20" s="8" t="s">
        <v>368</v>
      </c>
      <c r="U20" s="8"/>
      <c r="V20" s="8" t="str">
        <f t="shared" si="10"/>
        <v>8 sprints</v>
      </c>
      <c r="W20" s="8" t="str">
        <f t="shared" si="8"/>
        <v/>
      </c>
      <c r="X20" s="8" t="str">
        <f t="shared" si="9"/>
        <v/>
      </c>
      <c r="Y20" s="8" t="s">
        <v>471</v>
      </c>
      <c r="Z20" s="8" t="s">
        <v>387</v>
      </c>
      <c r="AA20" s="8" t="s">
        <v>472</v>
      </c>
      <c r="AB20" s="8" t="s">
        <v>474</v>
      </c>
      <c r="AC20" s="8" t="s">
        <v>347</v>
      </c>
      <c r="AD20" s="24">
        <v>45838</v>
      </c>
      <c r="AE20" s="8"/>
      <c r="AF20" s="8" t="s">
        <v>473</v>
      </c>
      <c r="AG20" s="8" t="s">
        <v>475</v>
      </c>
      <c r="AH20" s="23" t="s">
        <v>58</v>
      </c>
      <c r="AI20" s="23"/>
      <c r="AJ20" s="23"/>
      <c r="AK20" s="8" t="s">
        <v>302</v>
      </c>
      <c r="AL20" s="8" t="s">
        <v>302</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346</v>
      </c>
      <c r="O21" s="8" t="s">
        <v>346</v>
      </c>
      <c r="P21" s="8" t="s">
        <v>346</v>
      </c>
      <c r="Q21" s="8"/>
      <c r="R21" s="8" t="s">
        <v>118</v>
      </c>
      <c r="S21" s="8" t="s">
        <v>118</v>
      </c>
      <c r="T21" s="8" t="s">
        <v>140</v>
      </c>
      <c r="U21" s="8" t="s">
        <v>140</v>
      </c>
      <c r="V21" s="8" t="str">
        <f t="shared" si="10"/>
        <v>4 sprints</v>
      </c>
      <c r="W21" s="8" t="str">
        <f t="shared" si="8"/>
        <v>4 sprints</v>
      </c>
      <c r="X21" s="8" t="str">
        <f t="shared" si="9"/>
        <v>4 sprints</v>
      </c>
      <c r="Y21" s="8"/>
      <c r="Z21" s="8"/>
      <c r="AA21" s="8"/>
      <c r="AB21" s="8" t="s">
        <v>371</v>
      </c>
      <c r="AC21" s="8" t="s">
        <v>347</v>
      </c>
      <c r="AD21" s="8"/>
      <c r="AE21" s="8"/>
      <c r="AF21" s="8"/>
      <c r="AG21" s="8"/>
      <c r="AH21" s="23"/>
      <c r="AI21" s="23"/>
      <c r="AJ21" s="23"/>
      <c r="AK21" s="8"/>
      <c r="AL21" s="8"/>
      <c r="AM21" s="8" t="s">
        <v>298</v>
      </c>
      <c r="AN21" s="8" t="s">
        <v>298</v>
      </c>
      <c r="AO21" s="8" t="s">
        <v>298</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346</v>
      </c>
      <c r="O22" s="8" t="s">
        <v>346</v>
      </c>
      <c r="P22" s="8" t="s">
        <v>346</v>
      </c>
      <c r="Q22" s="8"/>
      <c r="R22" s="8" t="s">
        <v>140</v>
      </c>
      <c r="S22" s="8" t="s">
        <v>140</v>
      </c>
      <c r="T22" s="8" t="s">
        <v>372</v>
      </c>
      <c r="U22" s="8"/>
      <c r="V22" s="8" t="str">
        <f t="shared" si="10"/>
        <v>5 sprints</v>
      </c>
      <c r="W22" s="8" t="str">
        <f t="shared" si="8"/>
        <v/>
      </c>
      <c r="X22" s="8" t="str">
        <f t="shared" si="9"/>
        <v/>
      </c>
      <c r="Y22" s="8"/>
      <c r="Z22" s="8" t="s">
        <v>385</v>
      </c>
      <c r="AA22" s="8"/>
      <c r="AB22" s="8" t="s">
        <v>371</v>
      </c>
      <c r="AC22" s="8" t="s">
        <v>347</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381</v>
      </c>
      <c r="F23" s="8" t="s">
        <v>381</v>
      </c>
      <c r="G23" s="8" t="s">
        <v>35</v>
      </c>
      <c r="H23" s="8" t="s">
        <v>37</v>
      </c>
      <c r="I23" s="8" t="s">
        <v>38</v>
      </c>
      <c r="J23" s="8" t="s">
        <v>44</v>
      </c>
      <c r="K23" s="8" t="s">
        <v>46</v>
      </c>
      <c r="L23" s="8">
        <f>IF(K23="Ruim",1,IF(K23="Médio",2,IF(K23="Bom",3,IF(K23="Excelente",4,""))))</f>
        <v>2</v>
      </c>
      <c r="M23" s="8" t="s">
        <v>54</v>
      </c>
      <c r="N23" s="8" t="s">
        <v>346</v>
      </c>
      <c r="O23" s="8" t="s">
        <v>346</v>
      </c>
      <c r="P23" s="8" t="s">
        <v>346</v>
      </c>
      <c r="Q23" s="8"/>
      <c r="R23" s="8" t="s">
        <v>118</v>
      </c>
      <c r="S23" s="8" t="s">
        <v>118</v>
      </c>
      <c r="T23" s="8"/>
      <c r="U23" s="8"/>
      <c r="V23" s="8" t="str">
        <f t="shared" si="10"/>
        <v/>
      </c>
      <c r="W23" s="8" t="str">
        <f t="shared" si="8"/>
        <v/>
      </c>
      <c r="X23" s="8" t="str">
        <f t="shared" si="9"/>
        <v/>
      </c>
      <c r="Y23" s="8" t="s">
        <v>384</v>
      </c>
      <c r="Z23" s="8" t="s">
        <v>387</v>
      </c>
      <c r="AA23" s="8"/>
      <c r="AB23" s="8" t="s">
        <v>371</v>
      </c>
      <c r="AC23" s="8" t="s">
        <v>347</v>
      </c>
      <c r="AD23" s="8"/>
      <c r="AE23" s="8"/>
      <c r="AF23" s="8"/>
      <c r="AG23" s="8"/>
      <c r="AH23" s="23"/>
      <c r="AI23" s="23"/>
      <c r="AJ23" s="23"/>
      <c r="AK23" s="8"/>
      <c r="AL23" s="8"/>
      <c r="AM23" s="8" t="s">
        <v>298</v>
      </c>
      <c r="AN23" s="8" t="s">
        <v>298</v>
      </c>
      <c r="AO23" s="8" t="s">
        <v>298</v>
      </c>
      <c r="AP23" s="8" t="s">
        <v>388</v>
      </c>
      <c r="AQ23" s="8"/>
      <c r="AR23" s="8"/>
    </row>
    <row r="24" spans="1:44" ht="70.05" customHeight="1" x14ac:dyDescent="0.3">
      <c r="A24" s="8">
        <f>ROW()</f>
        <v>24</v>
      </c>
      <c r="B24" s="8" t="s">
        <v>21</v>
      </c>
      <c r="C24" s="8" t="s">
        <v>24</v>
      </c>
      <c r="D24" s="8" t="s">
        <v>30</v>
      </c>
      <c r="E24" s="8" t="s">
        <v>365</v>
      </c>
      <c r="F24" s="8" t="s">
        <v>362</v>
      </c>
      <c r="G24" s="8" t="s">
        <v>35</v>
      </c>
      <c r="H24" s="8" t="s">
        <v>37</v>
      </c>
      <c r="I24" s="8" t="s">
        <v>38</v>
      </c>
      <c r="J24" s="8" t="s">
        <v>43</v>
      </c>
      <c r="K24" s="8" t="s">
        <v>47</v>
      </c>
      <c r="L24" s="8">
        <f t="shared" si="4"/>
        <v>3</v>
      </c>
      <c r="M24" s="8" t="s">
        <v>51</v>
      </c>
      <c r="N24" s="8" t="s">
        <v>346</v>
      </c>
      <c r="O24" s="8" t="s">
        <v>346</v>
      </c>
      <c r="P24" s="8" t="s">
        <v>346</v>
      </c>
      <c r="Q24" s="8"/>
      <c r="R24" s="8" t="s">
        <v>120</v>
      </c>
      <c r="S24" s="8" t="s">
        <v>120</v>
      </c>
      <c r="T24" s="8"/>
      <c r="U24" s="8"/>
      <c r="V24" s="8" t="str">
        <f t="shared" si="10"/>
        <v/>
      </c>
      <c r="W24" s="8" t="str">
        <f t="shared" si="8"/>
        <v/>
      </c>
      <c r="X24" s="8" t="str">
        <f t="shared" si="9"/>
        <v/>
      </c>
      <c r="Y24" s="8"/>
      <c r="Z24" s="8" t="s">
        <v>363</v>
      </c>
      <c r="AA24" s="8"/>
      <c r="AB24" s="8"/>
      <c r="AC24" s="8"/>
      <c r="AD24" s="8"/>
      <c r="AE24" s="8"/>
      <c r="AF24" s="8"/>
      <c r="AG24" s="8"/>
      <c r="AH24" s="23"/>
      <c r="AI24" s="23"/>
      <c r="AJ24" s="23" t="s">
        <v>364</v>
      </c>
      <c r="AK24" s="8"/>
      <c r="AL24" s="8"/>
      <c r="AM24" s="8"/>
      <c r="AN24" s="8"/>
      <c r="AO24" s="8" t="s">
        <v>301</v>
      </c>
      <c r="AP24" s="8" t="s">
        <v>292</v>
      </c>
      <c r="AQ24" s="8"/>
      <c r="AR24" s="8"/>
    </row>
    <row r="25" spans="1:44" ht="70.05" customHeight="1" x14ac:dyDescent="0.3">
      <c r="A25" s="8">
        <f>ROW()</f>
        <v>25</v>
      </c>
      <c r="B25" s="8" t="s">
        <v>21</v>
      </c>
      <c r="C25" s="8" t="s">
        <v>25</v>
      </c>
      <c r="D25" s="8" t="s">
        <v>29</v>
      </c>
      <c r="E25" s="8" t="s">
        <v>394</v>
      </c>
      <c r="F25" s="8" t="s">
        <v>395</v>
      </c>
      <c r="G25" s="8" t="s">
        <v>35</v>
      </c>
      <c r="H25" s="8" t="s">
        <v>37</v>
      </c>
      <c r="I25" s="8" t="s">
        <v>38</v>
      </c>
      <c r="J25" s="8" t="s">
        <v>43</v>
      </c>
      <c r="K25" s="8" t="s">
        <v>46</v>
      </c>
      <c r="L25" s="8">
        <f t="shared" si="4"/>
        <v>2</v>
      </c>
      <c r="M25" s="8" t="s">
        <v>53</v>
      </c>
      <c r="N25" s="8" t="s">
        <v>346</v>
      </c>
      <c r="O25" s="8" t="s">
        <v>346</v>
      </c>
      <c r="P25" s="8" t="s">
        <v>346</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396</v>
      </c>
      <c r="AA25" s="8"/>
      <c r="AB25" s="8" t="s">
        <v>397</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394</v>
      </c>
      <c r="F26" s="8" t="s">
        <v>395</v>
      </c>
      <c r="G26" s="8" t="s">
        <v>35</v>
      </c>
      <c r="H26" s="8" t="s">
        <v>37</v>
      </c>
      <c r="I26" s="8" t="s">
        <v>39</v>
      </c>
      <c r="J26" s="8" t="s">
        <v>43</v>
      </c>
      <c r="K26" s="8" t="s">
        <v>45</v>
      </c>
      <c r="L26" s="8">
        <f t="shared" si="4"/>
        <v>1</v>
      </c>
      <c r="M26" s="8" t="s">
        <v>55</v>
      </c>
      <c r="N26" s="8" t="s">
        <v>346</v>
      </c>
      <c r="O26" s="8" t="s">
        <v>346</v>
      </c>
      <c r="P26" s="8" t="s">
        <v>346</v>
      </c>
      <c r="Q26" s="8"/>
      <c r="R26" s="8" t="s">
        <v>120</v>
      </c>
      <c r="S26" s="8" t="s">
        <v>120</v>
      </c>
      <c r="T26" s="8" t="s">
        <v>140</v>
      </c>
      <c r="U26" s="8" t="s">
        <v>140</v>
      </c>
      <c r="V26" s="8" t="str">
        <f t="shared" si="11"/>
        <v>2 sprints</v>
      </c>
      <c r="W26" s="8" t="str">
        <f t="shared" si="12"/>
        <v>2 sprints</v>
      </c>
      <c r="X26" s="8" t="str">
        <f t="shared" si="13"/>
        <v>2 sprints</v>
      </c>
      <c r="Y26" s="8"/>
      <c r="Z26" s="8" t="s">
        <v>396</v>
      </c>
      <c r="AA26" s="8"/>
      <c r="AB26" s="8" t="s">
        <v>397</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404</v>
      </c>
      <c r="F27" s="8" t="s">
        <v>405</v>
      </c>
      <c r="G27" s="8" t="s">
        <v>35</v>
      </c>
      <c r="H27" s="8" t="s">
        <v>37</v>
      </c>
      <c r="I27" s="8" t="s">
        <v>38</v>
      </c>
      <c r="J27" s="8" t="s">
        <v>43</v>
      </c>
      <c r="K27" s="8" t="s">
        <v>45</v>
      </c>
      <c r="L27" s="8">
        <f t="shared" ref="L27" si="14">IF(K27="Ruim",1,IF(K27="Médio",2,IF(K27="Bom",3,IF(K27="Excelente",4,""))))</f>
        <v>1</v>
      </c>
      <c r="M27" s="8" t="s">
        <v>53</v>
      </c>
      <c r="N27" s="8" t="s">
        <v>346</v>
      </c>
      <c r="O27" s="8" t="s">
        <v>346</v>
      </c>
      <c r="P27" s="8" t="s">
        <v>346</v>
      </c>
      <c r="Q27" s="8"/>
      <c r="R27" s="8" t="s">
        <v>119</v>
      </c>
      <c r="S27" s="8" t="s">
        <v>119</v>
      </c>
      <c r="T27" s="8" t="s">
        <v>140</v>
      </c>
      <c r="U27" s="8"/>
      <c r="V27" s="8" t="str">
        <f t="shared" si="11"/>
        <v>3 sprints</v>
      </c>
      <c r="W27" s="8" t="str">
        <f t="shared" si="12"/>
        <v/>
      </c>
      <c r="X27" s="8" t="str">
        <f t="shared" si="13"/>
        <v/>
      </c>
      <c r="Y27" s="8" t="s">
        <v>406</v>
      </c>
      <c r="Z27" s="8" t="s">
        <v>407</v>
      </c>
      <c r="AA27" s="8" t="s">
        <v>408</v>
      </c>
      <c r="AB27" s="8" t="s">
        <v>409</v>
      </c>
      <c r="AC27" s="8"/>
      <c r="AD27" s="8"/>
      <c r="AE27" s="8"/>
      <c r="AF27" s="8"/>
      <c r="AG27" s="8" t="s">
        <v>410</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404</v>
      </c>
      <c r="F28" s="8" t="s">
        <v>440</v>
      </c>
      <c r="G28" s="8" t="s">
        <v>35</v>
      </c>
      <c r="H28" s="8" t="s">
        <v>37</v>
      </c>
      <c r="I28" s="8" t="s">
        <v>39</v>
      </c>
      <c r="J28" s="8" t="s">
        <v>43</v>
      </c>
      <c r="K28" s="8" t="s">
        <v>45</v>
      </c>
      <c r="L28" s="8">
        <f t="shared" si="4"/>
        <v>1</v>
      </c>
      <c r="M28" s="8" t="s">
        <v>52</v>
      </c>
      <c r="N28" s="8" t="s">
        <v>346</v>
      </c>
      <c r="O28" s="8" t="s">
        <v>346</v>
      </c>
      <c r="P28" s="8" t="s">
        <v>346</v>
      </c>
      <c r="Q28" s="8"/>
      <c r="R28" s="8" t="s">
        <v>120</v>
      </c>
      <c r="S28" s="8" t="s">
        <v>120</v>
      </c>
      <c r="T28" s="8" t="s">
        <v>140</v>
      </c>
      <c r="U28" s="8"/>
      <c r="V28" s="8" t="str">
        <f t="shared" si="11"/>
        <v>2 sprints</v>
      </c>
      <c r="W28" s="8" t="str">
        <f t="shared" si="12"/>
        <v/>
      </c>
      <c r="X28" s="8" t="str">
        <f t="shared" si="13"/>
        <v/>
      </c>
      <c r="Y28" s="8" t="s">
        <v>406</v>
      </c>
      <c r="Z28" s="8" t="s">
        <v>407</v>
      </c>
      <c r="AA28" s="8" t="s">
        <v>408</v>
      </c>
      <c r="AB28" s="8" t="s">
        <v>409</v>
      </c>
      <c r="AC28" s="8"/>
      <c r="AD28" s="8"/>
      <c r="AE28" s="8"/>
      <c r="AF28" s="8"/>
      <c r="AG28" s="8" t="s">
        <v>410</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413</v>
      </c>
      <c r="G29" s="8" t="s">
        <v>40</v>
      </c>
      <c r="H29" s="8" t="s">
        <v>36</v>
      </c>
      <c r="I29" s="8" t="s">
        <v>38</v>
      </c>
      <c r="J29" s="8" t="s">
        <v>43</v>
      </c>
      <c r="K29" s="8" t="s">
        <v>48</v>
      </c>
      <c r="L29" s="8">
        <f t="shared" ref="L29" si="15">IF(K29="Ruim",1,IF(K29="Médio",2,IF(K29="Bom",3,IF(K29="Excelente",4,""))))</f>
        <v>4</v>
      </c>
      <c r="M29" s="8" t="s">
        <v>53</v>
      </c>
      <c r="N29" s="8" t="s">
        <v>348</v>
      </c>
      <c r="O29" s="8" t="s">
        <v>348</v>
      </c>
      <c r="P29" s="8" t="s">
        <v>348</v>
      </c>
      <c r="Q29" s="8"/>
      <c r="R29" s="8" t="s">
        <v>140</v>
      </c>
      <c r="S29" s="8" t="s">
        <v>140</v>
      </c>
      <c r="T29" s="8" t="s">
        <v>140</v>
      </c>
      <c r="U29" s="8" t="s">
        <v>367</v>
      </c>
      <c r="V29" s="8" t="str">
        <f t="shared" si="11"/>
        <v>1 sprint</v>
      </c>
      <c r="W29" s="8" t="str">
        <f t="shared" si="12"/>
        <v>2 sprints</v>
      </c>
      <c r="X29" s="8" t="str">
        <f t="shared" si="13"/>
        <v>2 sprints</v>
      </c>
      <c r="Y29" s="8" t="s">
        <v>416</v>
      </c>
      <c r="Z29" s="8" t="s">
        <v>417</v>
      </c>
      <c r="AA29" s="8" t="s">
        <v>418</v>
      </c>
      <c r="AB29" s="8" t="s">
        <v>467</v>
      </c>
      <c r="AC29" s="8"/>
      <c r="AD29" s="24">
        <v>45803</v>
      </c>
      <c r="AE29" s="8"/>
      <c r="AF29" s="8" t="s">
        <v>468</v>
      </c>
      <c r="AG29" s="8" t="s">
        <v>469</v>
      </c>
      <c r="AH29" s="8" t="s">
        <v>58</v>
      </c>
      <c r="AI29" s="23"/>
      <c r="AJ29" s="23"/>
      <c r="AK29" s="8"/>
      <c r="AL29" s="8"/>
      <c r="AM29" s="8"/>
      <c r="AN29" s="8"/>
      <c r="AO29" s="8"/>
      <c r="AP29" s="8" t="s">
        <v>298</v>
      </c>
      <c r="AQ29" s="8"/>
      <c r="AR29" s="8"/>
    </row>
    <row r="30" spans="1:44" ht="70.05" customHeight="1" x14ac:dyDescent="0.3">
      <c r="A30" s="8">
        <f>ROW()</f>
        <v>30</v>
      </c>
      <c r="B30" s="8" t="s">
        <v>21</v>
      </c>
      <c r="C30" s="8" t="s">
        <v>25</v>
      </c>
      <c r="D30" s="8" t="s">
        <v>27</v>
      </c>
      <c r="E30" s="8" t="s">
        <v>293</v>
      </c>
      <c r="F30" s="8" t="s">
        <v>413</v>
      </c>
      <c r="G30" s="8" t="s">
        <v>40</v>
      </c>
      <c r="H30" s="8" t="s">
        <v>36</v>
      </c>
      <c r="I30" s="8" t="s">
        <v>39</v>
      </c>
      <c r="J30" s="8" t="s">
        <v>43</v>
      </c>
      <c r="K30" s="8" t="s">
        <v>48</v>
      </c>
      <c r="L30" s="8">
        <f t="shared" ref="L30:L31" si="16">IF(K30="Ruim",1,IF(K30="Médio",2,IF(K30="Bom",3,IF(K30="Excelente",4,""))))</f>
        <v>4</v>
      </c>
      <c r="M30" s="8" t="s">
        <v>52</v>
      </c>
      <c r="N30" s="8" t="s">
        <v>348</v>
      </c>
      <c r="O30" s="8" t="s">
        <v>348</v>
      </c>
      <c r="P30" s="8" t="s">
        <v>348</v>
      </c>
      <c r="Q30" s="8"/>
      <c r="R30" s="8" t="s">
        <v>140</v>
      </c>
      <c r="S30" s="8" t="s">
        <v>367</v>
      </c>
      <c r="T30" s="8" t="s">
        <v>367</v>
      </c>
      <c r="U30" s="8"/>
      <c r="V30" s="8" t="str">
        <f t="shared" si="11"/>
        <v>2 sprints</v>
      </c>
      <c r="W30" s="8" t="str">
        <f t="shared" si="12"/>
        <v/>
      </c>
      <c r="X30" s="8" t="str">
        <f t="shared" si="13"/>
        <v/>
      </c>
      <c r="Y30" s="8" t="s">
        <v>416</v>
      </c>
      <c r="Z30" s="8" t="s">
        <v>417</v>
      </c>
      <c r="AA30" s="8" t="s">
        <v>418</v>
      </c>
      <c r="AB30" s="8" t="s">
        <v>467</v>
      </c>
      <c r="AC30" s="8"/>
      <c r="AD30" s="24">
        <v>45803</v>
      </c>
      <c r="AE30" s="8"/>
      <c r="AF30" s="8" t="s">
        <v>468</v>
      </c>
      <c r="AG30" s="8" t="s">
        <v>470</v>
      </c>
      <c r="AH30" s="23" t="s">
        <v>58</v>
      </c>
      <c r="AI30" s="23"/>
      <c r="AJ30" s="23"/>
      <c r="AK30" s="8"/>
      <c r="AL30" s="8"/>
      <c r="AM30" s="8"/>
      <c r="AN30" s="8"/>
      <c r="AO30" s="8"/>
      <c r="AP30" s="8" t="s">
        <v>298</v>
      </c>
      <c r="AQ30" s="8" t="s">
        <v>302</v>
      </c>
      <c r="AR30" s="8"/>
    </row>
    <row r="31" spans="1:44" ht="70.05" customHeight="1" x14ac:dyDescent="0.3">
      <c r="A31" s="8">
        <f>ROW()</f>
        <v>31</v>
      </c>
      <c r="B31" s="8" t="s">
        <v>21</v>
      </c>
      <c r="C31" s="8" t="s">
        <v>25</v>
      </c>
      <c r="D31" s="8" t="s">
        <v>29</v>
      </c>
      <c r="E31" s="8" t="s">
        <v>404</v>
      </c>
      <c r="F31" s="8" t="s">
        <v>452</v>
      </c>
      <c r="G31" s="8" t="s">
        <v>34</v>
      </c>
      <c r="H31" s="8" t="s">
        <v>37</v>
      </c>
      <c r="I31" s="8" t="s">
        <v>38</v>
      </c>
      <c r="J31" s="8" t="s">
        <v>43</v>
      </c>
      <c r="K31" s="8" t="s">
        <v>47</v>
      </c>
      <c r="L31" s="8">
        <f t="shared" si="16"/>
        <v>3</v>
      </c>
      <c r="M31" s="8" t="s">
        <v>53</v>
      </c>
      <c r="N31" s="8" t="s">
        <v>347</v>
      </c>
      <c r="O31" s="8" t="s">
        <v>347</v>
      </c>
      <c r="P31" s="8" t="s">
        <v>347</v>
      </c>
      <c r="Q31" s="8" t="s">
        <v>503</v>
      </c>
      <c r="R31" s="8" t="s">
        <v>367</v>
      </c>
      <c r="S31" s="8"/>
      <c r="T31" s="8" t="s">
        <v>367</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453</v>
      </c>
      <c r="Z31" s="8" t="s">
        <v>407</v>
      </c>
      <c r="AA31" s="8" t="s">
        <v>455</v>
      </c>
      <c r="AB31" s="8" t="s">
        <v>454</v>
      </c>
      <c r="AC31" s="8"/>
      <c r="AD31" s="8"/>
      <c r="AE31" s="8" t="s">
        <v>456</v>
      </c>
      <c r="AF31" s="8"/>
      <c r="AG31" s="8" t="s">
        <v>461</v>
      </c>
      <c r="AH31" s="23" t="s">
        <v>46</v>
      </c>
      <c r="AI31" s="23"/>
      <c r="AJ31" s="23"/>
      <c r="AK31" s="8"/>
      <c r="AL31" s="8"/>
      <c r="AM31" s="8"/>
      <c r="AN31" s="8"/>
      <c r="AO31" s="8"/>
      <c r="AP31" s="8" t="s">
        <v>292</v>
      </c>
      <c r="AQ31" s="8" t="s">
        <v>298</v>
      </c>
      <c r="AR31" s="8"/>
    </row>
    <row r="32" spans="1:44" ht="70.05" customHeight="1" x14ac:dyDescent="0.3">
      <c r="A32" s="8">
        <f>ROW()</f>
        <v>32</v>
      </c>
      <c r="B32" s="8" t="s">
        <v>21</v>
      </c>
      <c r="C32" s="8" t="s">
        <v>25</v>
      </c>
      <c r="D32" s="8" t="s">
        <v>29</v>
      </c>
      <c r="E32" s="8" t="s">
        <v>404</v>
      </c>
      <c r="F32" s="8" t="s">
        <v>452</v>
      </c>
      <c r="G32" s="8" t="s">
        <v>34</v>
      </c>
      <c r="H32" s="8" t="s">
        <v>37</v>
      </c>
      <c r="I32" s="8" t="s">
        <v>39</v>
      </c>
      <c r="J32" s="8" t="s">
        <v>43</v>
      </c>
      <c r="K32" s="25" t="s">
        <v>47</v>
      </c>
      <c r="L32" s="25">
        <f t="shared" ref="L32:L34" si="17">IF(K32="Ruim",1,IF(K32="Médio",2,IF(K32="Bom",3,IF(K32="Excelente",4,""))))</f>
        <v>3</v>
      </c>
      <c r="M32" s="8" t="s">
        <v>52</v>
      </c>
      <c r="N32" s="8"/>
      <c r="O32" s="8"/>
      <c r="P32" s="8"/>
      <c r="Q32" s="8"/>
      <c r="R32" s="8" t="s">
        <v>367</v>
      </c>
      <c r="S32" s="8"/>
      <c r="T32" s="8" t="s">
        <v>368</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453</v>
      </c>
      <c r="Z32" s="8" t="s">
        <v>407</v>
      </c>
      <c r="AA32" s="8" t="s">
        <v>455</v>
      </c>
      <c r="AB32" s="8" t="s">
        <v>454</v>
      </c>
      <c r="AC32" s="8"/>
      <c r="AD32" s="8"/>
      <c r="AE32" s="8" t="s">
        <v>456</v>
      </c>
      <c r="AF32" s="8"/>
      <c r="AG32" s="8" t="s">
        <v>462</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439</v>
      </c>
      <c r="E33" s="8" t="s">
        <v>439</v>
      </c>
      <c r="F33" s="8" t="s">
        <v>517</v>
      </c>
      <c r="G33" s="8" t="s">
        <v>42</v>
      </c>
      <c r="H33" s="8" t="s">
        <v>36</v>
      </c>
      <c r="I33" s="8" t="s">
        <v>39</v>
      </c>
      <c r="J33" s="8" t="s">
        <v>43</v>
      </c>
      <c r="K33" s="25" t="s">
        <v>47</v>
      </c>
      <c r="L33" s="25">
        <f t="shared" ref="L33" si="18">IF(K33="Ruim",1,IF(K33="Médio",2,IF(K33="Bom",3,IF(K33="Excelente",4,""))))</f>
        <v>3</v>
      </c>
      <c r="M33" s="8" t="s">
        <v>52</v>
      </c>
      <c r="N33" s="106" t="s">
        <v>348</v>
      </c>
      <c r="O33" s="106" t="s">
        <v>348</v>
      </c>
      <c r="P33" s="106" t="s">
        <v>348</v>
      </c>
      <c r="Q33" s="106"/>
      <c r="R33" s="8" t="s">
        <v>367</v>
      </c>
      <c r="S33" s="8" t="s">
        <v>367</v>
      </c>
      <c r="T33" s="8" t="s">
        <v>367</v>
      </c>
      <c r="U33" s="8"/>
      <c r="V33" s="8"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8"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8"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511</v>
      </c>
      <c r="Z33" s="8" t="s">
        <v>507</v>
      </c>
      <c r="AA33" s="8" t="s">
        <v>512</v>
      </c>
      <c r="AB33" s="8" t="s">
        <v>513</v>
      </c>
      <c r="AC33" s="8"/>
      <c r="AD33" s="8"/>
      <c r="AE33" s="8"/>
      <c r="AF33" s="8"/>
      <c r="AG33" s="8" t="s">
        <v>515</v>
      </c>
      <c r="AH33" s="23" t="s">
        <v>57</v>
      </c>
      <c r="AI33" s="23"/>
      <c r="AJ33" s="23"/>
      <c r="AK33" s="8"/>
      <c r="AL33" s="8"/>
      <c r="AM33" s="8"/>
      <c r="AN33" s="8"/>
      <c r="AO33" s="8"/>
      <c r="AP33" s="8"/>
      <c r="AQ33" s="8" t="s">
        <v>285</v>
      </c>
      <c r="AR33" s="8"/>
    </row>
    <row r="34" spans="1:44" ht="70.05" customHeight="1" x14ac:dyDescent="0.3">
      <c r="A34" s="8">
        <f>ROW()</f>
        <v>34</v>
      </c>
      <c r="B34" s="8" t="s">
        <v>21</v>
      </c>
      <c r="C34" s="8" t="s">
        <v>23</v>
      </c>
      <c r="D34" s="8" t="s">
        <v>439</v>
      </c>
      <c r="E34" s="8" t="s">
        <v>439</v>
      </c>
      <c r="F34" s="8" t="s">
        <v>504</v>
      </c>
      <c r="G34" s="8" t="s">
        <v>42</v>
      </c>
      <c r="H34" s="8" t="s">
        <v>36</v>
      </c>
      <c r="I34" s="8" t="s">
        <v>39</v>
      </c>
      <c r="J34" s="8" t="s">
        <v>43</v>
      </c>
      <c r="K34" s="25" t="s">
        <v>47</v>
      </c>
      <c r="L34" s="25">
        <f t="shared" si="17"/>
        <v>3</v>
      </c>
      <c r="M34" s="8" t="s">
        <v>52</v>
      </c>
      <c r="N34" s="8" t="s">
        <v>348</v>
      </c>
      <c r="O34" s="8" t="s">
        <v>348</v>
      </c>
      <c r="P34" s="8" t="s">
        <v>348</v>
      </c>
      <c r="Q34" s="8"/>
      <c r="R34" s="8" t="s">
        <v>367</v>
      </c>
      <c r="S34" s="8" t="s">
        <v>367</v>
      </c>
      <c r="T34" s="8" t="s">
        <v>505</v>
      </c>
      <c r="U34" s="8"/>
      <c r="V34" s="8"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8"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8"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506</v>
      </c>
      <c r="Z34" s="8" t="s">
        <v>507</v>
      </c>
      <c r="AA34" s="8" t="s">
        <v>508</v>
      </c>
      <c r="AB34" s="8" t="s">
        <v>514</v>
      </c>
      <c r="AC34" s="8"/>
      <c r="AD34" s="8"/>
      <c r="AE34" s="8"/>
      <c r="AF34" s="8" t="s">
        <v>509</v>
      </c>
      <c r="AG34" s="8" t="s">
        <v>510</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18:AC1048576 AC9:AC15"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R18:T1048576 U17:U1048576 R7:R19 U13:U15</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37"/>
  <sheetViews>
    <sheetView showGridLines="0" workbookViewId="0">
      <selection activeCell="A34" sqref="A34"/>
    </sheetView>
  </sheetViews>
  <sheetFormatPr defaultRowHeight="14.4" x14ac:dyDescent="0.3"/>
  <cols>
    <col min="1" max="1" width="55.88671875" bestFit="1" customWidth="1"/>
    <col min="2" max="2" width="18.5546875" bestFit="1" customWidth="1"/>
    <col min="3" max="3" width="12.21875" bestFit="1" customWidth="1"/>
    <col min="4" max="4" width="10"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4" t="s">
        <v>482</v>
      </c>
      <c r="B2" s="124"/>
      <c r="C2" s="124"/>
      <c r="D2" s="124"/>
      <c r="E2" s="124"/>
    </row>
    <row r="3" spans="1:5" x14ac:dyDescent="0.3">
      <c r="A3" s="31" t="s">
        <v>10</v>
      </c>
      <c r="B3" t="s">
        <v>483</v>
      </c>
    </row>
    <row r="4" spans="1:5" x14ac:dyDescent="0.3">
      <c r="A4" s="31" t="s">
        <v>2</v>
      </c>
      <c r="B4" t="s">
        <v>483</v>
      </c>
    </row>
    <row r="5" spans="1:5" x14ac:dyDescent="0.3">
      <c r="A5" s="31" t="s">
        <v>1</v>
      </c>
      <c r="B5" t="s">
        <v>483</v>
      </c>
    </row>
    <row r="6" spans="1:5" x14ac:dyDescent="0.3">
      <c r="A6" s="31" t="s">
        <v>8</v>
      </c>
      <c r="B6" t="s">
        <v>483</v>
      </c>
    </row>
    <row r="7" spans="1:5" x14ac:dyDescent="0.3">
      <c r="A7" s="31" t="s">
        <v>342</v>
      </c>
      <c r="B7" t="s">
        <v>483</v>
      </c>
    </row>
    <row r="8" spans="1:5" ht="15.6" x14ac:dyDescent="0.3">
      <c r="A8" s="31" t="s">
        <v>345</v>
      </c>
      <c r="B8" t="s">
        <v>483</v>
      </c>
      <c r="C8" s="102"/>
      <c r="D8" s="102"/>
      <c r="E8" s="102"/>
    </row>
    <row r="9" spans="1:5" x14ac:dyDescent="0.3">
      <c r="A9" s="31" t="s">
        <v>344</v>
      </c>
      <c r="B9" t="s">
        <v>483</v>
      </c>
    </row>
    <row r="10" spans="1:5" x14ac:dyDescent="0.3">
      <c r="A10" s="31" t="s">
        <v>373</v>
      </c>
      <c r="B10" t="s">
        <v>483</v>
      </c>
    </row>
    <row r="11" spans="1:5" x14ac:dyDescent="0.3">
      <c r="A11" s="31" t="s">
        <v>14</v>
      </c>
      <c r="B11" t="s">
        <v>483</v>
      </c>
    </row>
    <row r="13" spans="1:5" x14ac:dyDescent="0.3">
      <c r="A13" s="31" t="s">
        <v>312</v>
      </c>
      <c r="B13" s="31" t="s">
        <v>308</v>
      </c>
    </row>
    <row r="14" spans="1:5" x14ac:dyDescent="0.3">
      <c r="A14" s="31" t="s">
        <v>310</v>
      </c>
      <c r="B14" t="s">
        <v>52</v>
      </c>
      <c r="C14" t="s">
        <v>51</v>
      </c>
      <c r="D14" t="s">
        <v>309</v>
      </c>
    </row>
    <row r="15" spans="1:5" x14ac:dyDescent="0.3">
      <c r="A15" s="32" t="s">
        <v>27</v>
      </c>
      <c r="B15">
        <v>1</v>
      </c>
      <c r="C15">
        <v>1</v>
      </c>
      <c r="D15">
        <v>2</v>
      </c>
    </row>
    <row r="16" spans="1:5" x14ac:dyDescent="0.3">
      <c r="A16" s="33" t="s">
        <v>293</v>
      </c>
      <c r="B16">
        <v>1</v>
      </c>
      <c r="C16">
        <v>1</v>
      </c>
      <c r="D16">
        <v>2</v>
      </c>
    </row>
    <row r="17" spans="1:4" x14ac:dyDescent="0.3">
      <c r="A17" s="34" t="s">
        <v>294</v>
      </c>
      <c r="C17">
        <v>1</v>
      </c>
      <c r="D17">
        <v>1</v>
      </c>
    </row>
    <row r="18" spans="1:4" x14ac:dyDescent="0.3">
      <c r="A18" s="34" t="s">
        <v>413</v>
      </c>
      <c r="B18">
        <v>1</v>
      </c>
      <c r="D18">
        <v>1</v>
      </c>
    </row>
    <row r="19" spans="1:4" x14ac:dyDescent="0.3">
      <c r="A19" s="32" t="s">
        <v>31</v>
      </c>
      <c r="B19">
        <v>1</v>
      </c>
      <c r="D19">
        <v>1</v>
      </c>
    </row>
    <row r="20" spans="1:4" x14ac:dyDescent="0.3">
      <c r="A20" s="33" t="s">
        <v>360</v>
      </c>
      <c r="B20">
        <v>1</v>
      </c>
      <c r="D20">
        <v>1</v>
      </c>
    </row>
    <row r="21" spans="1:4" x14ac:dyDescent="0.3">
      <c r="A21" s="34" t="s">
        <v>361</v>
      </c>
      <c r="B21">
        <v>1</v>
      </c>
      <c r="D21">
        <v>1</v>
      </c>
    </row>
    <row r="22" spans="1:4" x14ac:dyDescent="0.3">
      <c r="A22" s="32" t="s">
        <v>32</v>
      </c>
      <c r="B22">
        <v>1</v>
      </c>
      <c r="D22">
        <v>1</v>
      </c>
    </row>
    <row r="23" spans="1:4" x14ac:dyDescent="0.3">
      <c r="A23" s="33" t="s">
        <v>32</v>
      </c>
      <c r="B23">
        <v>1</v>
      </c>
      <c r="D23">
        <v>1</v>
      </c>
    </row>
    <row r="24" spans="1:4" x14ac:dyDescent="0.3">
      <c r="A24" s="34" t="s">
        <v>32</v>
      </c>
      <c r="B24">
        <v>1</v>
      </c>
      <c r="D24">
        <v>1</v>
      </c>
    </row>
    <row r="25" spans="1:4" x14ac:dyDescent="0.3">
      <c r="A25" s="32" t="s">
        <v>30</v>
      </c>
      <c r="B25">
        <v>1</v>
      </c>
      <c r="C25">
        <v>1</v>
      </c>
      <c r="D25">
        <v>2</v>
      </c>
    </row>
    <row r="26" spans="1:4" x14ac:dyDescent="0.3">
      <c r="A26" s="33" t="s">
        <v>365</v>
      </c>
      <c r="C26">
        <v>1</v>
      </c>
      <c r="D26">
        <v>1</v>
      </c>
    </row>
    <row r="27" spans="1:4" x14ac:dyDescent="0.3">
      <c r="A27" s="34" t="s">
        <v>362</v>
      </c>
      <c r="C27">
        <v>1</v>
      </c>
      <c r="D27">
        <v>1</v>
      </c>
    </row>
    <row r="28" spans="1:4" x14ac:dyDescent="0.3">
      <c r="A28" s="33" t="s">
        <v>404</v>
      </c>
      <c r="B28">
        <v>1</v>
      </c>
      <c r="D28">
        <v>1</v>
      </c>
    </row>
    <row r="29" spans="1:4" x14ac:dyDescent="0.3">
      <c r="A29" s="34" t="s">
        <v>440</v>
      </c>
      <c r="B29">
        <v>1</v>
      </c>
      <c r="D29">
        <v>1</v>
      </c>
    </row>
    <row r="30" spans="1:4" x14ac:dyDescent="0.3">
      <c r="A30" s="32" t="s">
        <v>29</v>
      </c>
      <c r="B30">
        <v>1</v>
      </c>
      <c r="D30">
        <v>1</v>
      </c>
    </row>
    <row r="31" spans="1:4" x14ac:dyDescent="0.3">
      <c r="A31" s="33" t="s">
        <v>404</v>
      </c>
      <c r="B31">
        <v>1</v>
      </c>
      <c r="D31">
        <v>1</v>
      </c>
    </row>
    <row r="32" spans="1:4" x14ac:dyDescent="0.3">
      <c r="A32" s="34" t="s">
        <v>452</v>
      </c>
      <c r="B32">
        <v>1</v>
      </c>
      <c r="D32">
        <v>1</v>
      </c>
    </row>
    <row r="33" spans="1:4" x14ac:dyDescent="0.3">
      <c r="A33" s="32" t="s">
        <v>439</v>
      </c>
      <c r="B33">
        <v>2</v>
      </c>
      <c r="D33">
        <v>2</v>
      </c>
    </row>
    <row r="34" spans="1:4" x14ac:dyDescent="0.3">
      <c r="A34" s="33" t="s">
        <v>439</v>
      </c>
      <c r="B34">
        <v>2</v>
      </c>
      <c r="D34">
        <v>2</v>
      </c>
    </row>
    <row r="35" spans="1:4" x14ac:dyDescent="0.3">
      <c r="A35" s="34" t="s">
        <v>504</v>
      </c>
      <c r="B35">
        <v>1</v>
      </c>
      <c r="D35">
        <v>1</v>
      </c>
    </row>
    <row r="36" spans="1:4" x14ac:dyDescent="0.3">
      <c r="A36" s="34" t="s">
        <v>517</v>
      </c>
      <c r="B36">
        <v>1</v>
      </c>
      <c r="D36">
        <v>1</v>
      </c>
    </row>
    <row r="37" spans="1:4" x14ac:dyDescent="0.3">
      <c r="A37" s="32" t="s">
        <v>309</v>
      </c>
      <c r="B37">
        <v>7</v>
      </c>
      <c r="C37">
        <v>2</v>
      </c>
      <c r="D37">
        <v>9</v>
      </c>
    </row>
  </sheetData>
  <mergeCells count="1">
    <mergeCell ref="A2:E2"/>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X19" activePane="bottomRight" state="frozen"/>
      <selection pane="topRight" activeCell="G1" sqref="G1"/>
      <selection pane="bottomLeft" activeCell="A7" sqref="A7"/>
      <selection pane="bottomRight" activeCell="Z21" sqref="Z21"/>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18" t="s">
        <v>390</v>
      </c>
      <c r="B1" s="118"/>
      <c r="C1" s="118"/>
      <c r="D1" s="118"/>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row>
    <row r="2" spans="1:59" ht="14.4" customHeight="1" x14ac:dyDescent="0.3">
      <c r="A2" s="118"/>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row>
    <row r="3" spans="1:59" ht="14.4" customHeight="1" x14ac:dyDescent="0.3">
      <c r="A3" s="119" t="s">
        <v>0</v>
      </c>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19"/>
    </row>
    <row r="4" spans="1:59" ht="14.4" customHeight="1" x14ac:dyDescent="0.3">
      <c r="A4" s="119"/>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19"/>
    </row>
    <row r="5" spans="1:59" s="3" customFormat="1" ht="22.2" customHeight="1" x14ac:dyDescent="0.3">
      <c r="A5" s="7"/>
      <c r="B5" s="7"/>
      <c r="C5" s="7"/>
      <c r="D5" s="7"/>
      <c r="E5" s="7"/>
      <c r="F5" s="7"/>
      <c r="G5" s="7"/>
      <c r="H5" s="7"/>
      <c r="I5" s="7"/>
      <c r="J5" s="7"/>
      <c r="K5" s="7"/>
      <c r="L5" s="7"/>
      <c r="M5" s="7"/>
      <c r="O5" s="121" t="s">
        <v>192</v>
      </c>
      <c r="P5" s="121"/>
      <c r="Q5" s="121"/>
      <c r="R5" s="121"/>
      <c r="S5" s="121"/>
      <c r="T5" s="121"/>
      <c r="U5" s="121"/>
      <c r="V5" s="35"/>
      <c r="W5" s="139" t="s">
        <v>74</v>
      </c>
      <c r="X5" s="139"/>
      <c r="Y5" s="139"/>
      <c r="Z5" s="139"/>
      <c r="AA5" s="139"/>
      <c r="AB5" s="139"/>
      <c r="AC5" s="139"/>
      <c r="AD5" s="138" t="s">
        <v>127</v>
      </c>
      <c r="AE5" s="138"/>
      <c r="AF5" s="2" t="s">
        <v>16</v>
      </c>
      <c r="AG5" s="2"/>
      <c r="AH5" s="22" t="s">
        <v>129</v>
      </c>
      <c r="AI5" s="141" t="s">
        <v>17</v>
      </c>
      <c r="AJ5" s="141"/>
      <c r="AK5" s="141"/>
      <c r="AL5" s="37" t="s">
        <v>355</v>
      </c>
      <c r="AM5" s="140" t="s">
        <v>107</v>
      </c>
      <c r="AN5" s="140"/>
      <c r="AO5" s="140"/>
      <c r="AP5" s="140"/>
      <c r="AQ5" s="140" t="s">
        <v>113</v>
      </c>
      <c r="AR5" s="140"/>
      <c r="AS5" s="140"/>
      <c r="AT5" s="140"/>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318</v>
      </c>
      <c r="P6" s="6" t="s">
        <v>319</v>
      </c>
      <c r="Q6" s="6" t="s">
        <v>320</v>
      </c>
      <c r="R6" s="6" t="s">
        <v>450</v>
      </c>
      <c r="S6" s="15" t="s">
        <v>451</v>
      </c>
      <c r="T6" s="6" t="s">
        <v>339</v>
      </c>
      <c r="U6" s="6" t="s">
        <v>338</v>
      </c>
      <c r="V6" s="6" t="s">
        <v>375</v>
      </c>
      <c r="W6" s="6" t="s">
        <v>70</v>
      </c>
      <c r="X6" s="6" t="s">
        <v>72</v>
      </c>
      <c r="Y6" s="6" t="s">
        <v>71</v>
      </c>
      <c r="Z6" s="6" t="s">
        <v>73</v>
      </c>
      <c r="AA6" s="15" t="s">
        <v>141</v>
      </c>
      <c r="AB6" s="15" t="s">
        <v>121</v>
      </c>
      <c r="AC6" s="15" t="s">
        <v>122</v>
      </c>
      <c r="AD6" s="6" t="s">
        <v>15</v>
      </c>
      <c r="AE6" s="6" t="s">
        <v>126</v>
      </c>
      <c r="AF6" s="15" t="s">
        <v>12</v>
      </c>
      <c r="AG6" s="15" t="s">
        <v>369</v>
      </c>
      <c r="AH6" s="6" t="s">
        <v>129</v>
      </c>
      <c r="AI6" s="15" t="s">
        <v>18</v>
      </c>
      <c r="AJ6" s="6" t="s">
        <v>19</v>
      </c>
      <c r="AK6" s="6" t="s">
        <v>20</v>
      </c>
      <c r="AL6" s="6" t="s">
        <v>355</v>
      </c>
      <c r="AM6" s="15" t="s">
        <v>275</v>
      </c>
      <c r="AN6" s="15" t="s">
        <v>276</v>
      </c>
      <c r="AO6" s="15" t="s">
        <v>277</v>
      </c>
      <c r="AP6" s="15" t="s">
        <v>278</v>
      </c>
      <c r="AQ6" s="15" t="s">
        <v>279</v>
      </c>
      <c r="AR6" s="15" t="s">
        <v>280</v>
      </c>
      <c r="AS6" s="15" t="s">
        <v>281</v>
      </c>
      <c r="AT6" s="15" t="s">
        <v>282</v>
      </c>
    </row>
    <row r="7" spans="1:59" s="16" customFormat="1" ht="70.05"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326</v>
      </c>
      <c r="P7" s="8" t="s">
        <v>326</v>
      </c>
      <c r="Q7" s="8" t="s">
        <v>325</v>
      </c>
      <c r="R7" s="8"/>
      <c r="S7" s="8"/>
      <c r="T7" s="8" t="s">
        <v>336</v>
      </c>
      <c r="U7" s="8"/>
      <c r="V7" s="8"/>
      <c r="W7" s="8" t="s">
        <v>610</v>
      </c>
      <c r="X7" s="8" t="s">
        <v>118</v>
      </c>
      <c r="Y7" s="8" t="s">
        <v>118</v>
      </c>
      <c r="Z7" s="8" t="s">
        <v>119</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2 sprints</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t="s">
        <v>611</v>
      </c>
      <c r="AE7" s="8" t="s">
        <v>128</v>
      </c>
      <c r="AF7" s="8" t="s">
        <v>612</v>
      </c>
      <c r="AG7" s="8" t="s">
        <v>613</v>
      </c>
      <c r="AH7" s="21" t="s">
        <v>614</v>
      </c>
      <c r="AI7" s="8"/>
      <c r="AJ7" s="8"/>
      <c r="AK7" s="23"/>
      <c r="AL7" s="23"/>
      <c r="AM7" s="29"/>
      <c r="AN7" s="29"/>
      <c r="AO7" s="29" t="s">
        <v>302</v>
      </c>
      <c r="AP7" s="29" t="s">
        <v>302</v>
      </c>
      <c r="AQ7" s="29"/>
      <c r="AR7" s="29"/>
      <c r="AS7" s="29"/>
      <c r="AT7" s="29"/>
    </row>
    <row r="8" spans="1:59" s="16" customFormat="1" ht="70.05"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326</v>
      </c>
      <c r="P8" s="8" t="s">
        <v>326</v>
      </c>
      <c r="Q8" s="8" t="s">
        <v>325</v>
      </c>
      <c r="R8" s="8"/>
      <c r="S8" s="8"/>
      <c r="T8" s="8" t="s">
        <v>336</v>
      </c>
      <c r="U8" s="8"/>
      <c r="V8" s="8"/>
      <c r="W8" s="8" t="s">
        <v>610</v>
      </c>
      <c r="X8" s="8" t="s">
        <v>118</v>
      </c>
      <c r="Y8" s="8" t="s">
        <v>118</v>
      </c>
      <c r="Z8" s="8" t="s">
        <v>119</v>
      </c>
      <c r="AA8" s="8" t="str">
        <f t="shared" si="1"/>
        <v>2 sprints</v>
      </c>
      <c r="AB8" s="8" t="str">
        <f t="shared" si="2"/>
        <v>3 sprints</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2 sprints</v>
      </c>
      <c r="AD8" s="8" t="s">
        <v>611</v>
      </c>
      <c r="AE8" s="8" t="s">
        <v>128</v>
      </c>
      <c r="AF8" s="8" t="s">
        <v>612</v>
      </c>
      <c r="AG8" s="8" t="s">
        <v>613</v>
      </c>
      <c r="AH8" s="21" t="s">
        <v>614</v>
      </c>
      <c r="AI8" s="8"/>
      <c r="AJ8" s="8"/>
      <c r="AK8" s="23"/>
      <c r="AL8" s="23"/>
      <c r="AM8" s="29"/>
      <c r="AN8" s="29"/>
      <c r="AO8" s="29" t="s">
        <v>302</v>
      </c>
      <c r="AP8" s="29" t="s">
        <v>302</v>
      </c>
      <c r="AQ8" s="29"/>
      <c r="AR8" s="29"/>
      <c r="AS8" s="29"/>
      <c r="AT8" s="29"/>
    </row>
    <row r="9" spans="1:59" s="16" customFormat="1" ht="70.05"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324</v>
      </c>
      <c r="P9" s="8" t="s">
        <v>324</v>
      </c>
      <c r="Q9" s="8" t="s">
        <v>323</v>
      </c>
      <c r="R9" s="8" t="s">
        <v>325</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324</v>
      </c>
      <c r="P10" s="8" t="s">
        <v>324</v>
      </c>
      <c r="Q10" s="8" t="s">
        <v>323</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326</v>
      </c>
      <c r="P11" s="8" t="s">
        <v>326</v>
      </c>
      <c r="Q11" s="8" t="s">
        <v>325</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337</v>
      </c>
      <c r="P12" s="8" t="s">
        <v>337</v>
      </c>
      <c r="Q12" s="8"/>
      <c r="R12" s="8"/>
      <c r="S12" s="8"/>
      <c r="T12" s="8" t="s">
        <v>336</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337</v>
      </c>
      <c r="P13" s="8" t="s">
        <v>337</v>
      </c>
      <c r="Q13" s="8"/>
      <c r="R13" s="8"/>
      <c r="S13" s="8"/>
      <c r="T13" s="8" t="s">
        <v>336</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326</v>
      </c>
      <c r="P14" s="8" t="s">
        <v>326</v>
      </c>
      <c r="Q14" s="8"/>
      <c r="R14" s="8"/>
      <c r="S14" s="8"/>
      <c r="T14" s="8" t="s">
        <v>336</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337</v>
      </c>
      <c r="P15" s="8" t="s">
        <v>337</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299</v>
      </c>
      <c r="H16" s="8" t="s">
        <v>34</v>
      </c>
      <c r="I16" s="8" t="s">
        <v>36</v>
      </c>
      <c r="J16" s="8" t="s">
        <v>38</v>
      </c>
      <c r="K16" s="8" t="s">
        <v>43</v>
      </c>
      <c r="L16" s="8" t="s">
        <v>46</v>
      </c>
      <c r="M16" s="8">
        <f t="shared" si="4"/>
        <v>2</v>
      </c>
      <c r="N16" s="8" t="s">
        <v>53</v>
      </c>
      <c r="O16" s="8" t="s">
        <v>336</v>
      </c>
      <c r="P16" s="8"/>
      <c r="Q16" s="8"/>
      <c r="R16" s="8"/>
      <c r="S16" s="8"/>
      <c r="T16" s="8" t="s">
        <v>336</v>
      </c>
      <c r="U16" s="8"/>
      <c r="V16" s="8"/>
      <c r="W16" s="8" t="s">
        <v>120</v>
      </c>
      <c r="X16" s="8" t="s">
        <v>120</v>
      </c>
      <c r="Y16" s="8" t="s">
        <v>120</v>
      </c>
      <c r="Z16" s="8" t="s">
        <v>367</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303</v>
      </c>
      <c r="AS16" s="29"/>
      <c r="AT16" s="29"/>
    </row>
    <row r="17" spans="1:46" ht="70.05"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403</v>
      </c>
      <c r="H17" s="8" t="s">
        <v>34</v>
      </c>
      <c r="I17" s="8" t="s">
        <v>36</v>
      </c>
      <c r="J17" s="8" t="s">
        <v>39</v>
      </c>
      <c r="K17" s="8" t="s">
        <v>43</v>
      </c>
      <c r="L17" s="8" t="s">
        <v>46</v>
      </c>
      <c r="M17" s="8">
        <f>IF(L17="Ruim",1,IF(L17="Médio",2,IF(L17="Bom",3,IF(L17="Excelente",4,""))))</f>
        <v>2</v>
      </c>
      <c r="N17" s="8" t="s">
        <v>53</v>
      </c>
      <c r="O17" s="8" t="s">
        <v>325</v>
      </c>
      <c r="P17" s="8" t="s">
        <v>325</v>
      </c>
      <c r="Q17" s="8" t="s">
        <v>326</v>
      </c>
      <c r="R17" s="8"/>
      <c r="S17" s="8"/>
      <c r="T17" s="8" t="s">
        <v>336</v>
      </c>
      <c r="U17" s="8" t="s">
        <v>322</v>
      </c>
      <c r="V17" s="8" t="s">
        <v>323</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t="s">
        <v>615</v>
      </c>
      <c r="AE17" s="8" t="s">
        <v>402</v>
      </c>
      <c r="AF17" s="8" t="s">
        <v>616</v>
      </c>
      <c r="AG17" s="8" t="s">
        <v>617</v>
      </c>
      <c r="AH17" s="21" t="s">
        <v>618</v>
      </c>
      <c r="AI17" s="8"/>
      <c r="AJ17" s="23"/>
      <c r="AK17" s="23"/>
      <c r="AL17" s="23" t="s">
        <v>619</v>
      </c>
      <c r="AM17" s="29"/>
      <c r="AN17" s="29"/>
      <c r="AO17" s="29"/>
      <c r="AP17" s="29"/>
      <c r="AQ17" s="29" t="s">
        <v>302</v>
      </c>
      <c r="AR17" s="8" t="s">
        <v>291</v>
      </c>
      <c r="AS17" s="29"/>
      <c r="AT17" s="29"/>
    </row>
    <row r="18" spans="1:46" ht="70.05"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300</v>
      </c>
      <c r="H18" s="8" t="s">
        <v>34</v>
      </c>
      <c r="I18" s="8" t="s">
        <v>36</v>
      </c>
      <c r="J18" s="8" t="s">
        <v>39</v>
      </c>
      <c r="K18" s="8" t="s">
        <v>43</v>
      </c>
      <c r="L18" s="8" t="s">
        <v>46</v>
      </c>
      <c r="M18" s="8">
        <f t="shared" si="4"/>
        <v>2</v>
      </c>
      <c r="N18" s="8" t="s">
        <v>54</v>
      </c>
      <c r="O18" s="8" t="s">
        <v>326</v>
      </c>
      <c r="P18" s="8" t="s">
        <v>326</v>
      </c>
      <c r="Q18" s="8"/>
      <c r="R18" s="8"/>
      <c r="S18" s="8"/>
      <c r="T18" s="8" t="s">
        <v>336</v>
      </c>
      <c r="U18" s="8"/>
      <c r="V18" s="8"/>
      <c r="W18" s="8" t="s">
        <v>120</v>
      </c>
      <c r="X18" s="8" t="s">
        <v>140</v>
      </c>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302</v>
      </c>
      <c r="AR18" s="29" t="s">
        <v>302</v>
      </c>
      <c r="AS18" s="29"/>
      <c r="AT18" s="29"/>
    </row>
    <row r="19" spans="1:46" ht="70.05"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305</v>
      </c>
      <c r="H19" s="8" t="s">
        <v>35</v>
      </c>
      <c r="I19" s="8" t="s">
        <v>37</v>
      </c>
      <c r="J19" s="8" t="s">
        <v>38</v>
      </c>
      <c r="K19" s="8" t="s">
        <v>43</v>
      </c>
      <c r="L19" s="8" t="s">
        <v>45</v>
      </c>
      <c r="M19" s="8">
        <f t="shared" si="4"/>
        <v>1</v>
      </c>
      <c r="N19" s="8" t="s">
        <v>51</v>
      </c>
      <c r="O19" s="8" t="s">
        <v>327</v>
      </c>
      <c r="P19" s="8" t="s">
        <v>327</v>
      </c>
      <c r="Q19" s="8" t="s">
        <v>324</v>
      </c>
      <c r="R19" s="8" t="s">
        <v>325</v>
      </c>
      <c r="S19" s="8"/>
      <c r="T19" s="8"/>
      <c r="U19" s="8" t="s">
        <v>322</v>
      </c>
      <c r="V19" s="8" t="s">
        <v>323</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297</v>
      </c>
      <c r="AF19" s="8"/>
      <c r="AG19" s="8"/>
      <c r="AH19" s="8"/>
      <c r="AI19" s="8"/>
      <c r="AJ19" s="8"/>
      <c r="AK19" s="23"/>
      <c r="AL19" s="23"/>
      <c r="AM19" s="29"/>
      <c r="AN19" s="29"/>
      <c r="AO19" s="8" t="s">
        <v>298</v>
      </c>
      <c r="AP19" s="8" t="s">
        <v>298</v>
      </c>
      <c r="AQ19" s="8" t="s">
        <v>298</v>
      </c>
      <c r="AR19" s="8" t="s">
        <v>298</v>
      </c>
      <c r="AS19" s="29"/>
      <c r="AT19" s="29"/>
    </row>
    <row r="20" spans="1:46" ht="70.05"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306</v>
      </c>
      <c r="H20" s="8" t="s">
        <v>35</v>
      </c>
      <c r="I20" s="8" t="s">
        <v>37</v>
      </c>
      <c r="J20" s="8" t="s">
        <v>39</v>
      </c>
      <c r="K20" s="8" t="s">
        <v>43</v>
      </c>
      <c r="L20" s="8" t="s">
        <v>45</v>
      </c>
      <c r="M20" s="8">
        <f t="shared" si="4"/>
        <v>1</v>
      </c>
      <c r="N20" s="8" t="s">
        <v>54</v>
      </c>
      <c r="O20" s="8" t="s">
        <v>327</v>
      </c>
      <c r="P20" s="8" t="s">
        <v>327</v>
      </c>
      <c r="Q20" s="8" t="s">
        <v>324</v>
      </c>
      <c r="R20" s="8" t="s">
        <v>325</v>
      </c>
      <c r="S20" s="8"/>
      <c r="T20" s="8"/>
      <c r="U20" s="8" t="s">
        <v>322</v>
      </c>
      <c r="V20" s="8" t="s">
        <v>323</v>
      </c>
      <c r="W20" s="8" t="s">
        <v>118</v>
      </c>
      <c r="X20" s="8" t="s">
        <v>118</v>
      </c>
      <c r="Y20" s="8" t="s">
        <v>119</v>
      </c>
      <c r="Z20" s="8"/>
      <c r="AA20" s="8" t="str">
        <f t="shared" si="11"/>
        <v>2 sprints</v>
      </c>
      <c r="AB20" s="8" t="str">
        <f t="shared" si="12"/>
        <v/>
      </c>
      <c r="AC20" s="8" t="str">
        <f t="shared" si="13"/>
        <v/>
      </c>
      <c r="AD20" s="8"/>
      <c r="AE20" s="8" t="s">
        <v>297</v>
      </c>
      <c r="AF20" s="8"/>
      <c r="AG20" s="8"/>
      <c r="AH20" s="8"/>
      <c r="AI20" s="8"/>
      <c r="AJ20" s="8"/>
      <c r="AK20" s="23"/>
      <c r="AL20" s="23"/>
      <c r="AM20" s="29"/>
      <c r="AN20" s="29"/>
      <c r="AO20" s="8" t="s">
        <v>298</v>
      </c>
      <c r="AP20" s="8" t="s">
        <v>298</v>
      </c>
      <c r="AQ20" s="8" t="s">
        <v>298</v>
      </c>
      <c r="AR20" s="8" t="s">
        <v>298</v>
      </c>
      <c r="AS20" s="29"/>
      <c r="AT20" s="29"/>
    </row>
    <row r="21" spans="1:46" ht="70.05"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307</v>
      </c>
      <c r="H21" s="8" t="s">
        <v>40</v>
      </c>
      <c r="I21" s="8" t="s">
        <v>36</v>
      </c>
      <c r="J21" s="8" t="s">
        <v>38</v>
      </c>
      <c r="K21" s="8" t="s">
        <v>43</v>
      </c>
      <c r="L21" s="8" t="s">
        <v>45</v>
      </c>
      <c r="M21" s="8">
        <f t="shared" si="4"/>
        <v>1</v>
      </c>
      <c r="N21" s="8" t="s">
        <v>53</v>
      </c>
      <c r="O21" s="8" t="s">
        <v>327</v>
      </c>
      <c r="P21" s="8" t="s">
        <v>327</v>
      </c>
      <c r="Q21" s="8" t="s">
        <v>331</v>
      </c>
      <c r="R21" s="8"/>
      <c r="S21" s="8"/>
      <c r="T21" s="8"/>
      <c r="U21" s="8" t="s">
        <v>322</v>
      </c>
      <c r="V21" s="8" t="s">
        <v>323</v>
      </c>
      <c r="W21" s="8" t="s">
        <v>119</v>
      </c>
      <c r="X21" s="8" t="s">
        <v>119</v>
      </c>
      <c r="Y21" s="8" t="s">
        <v>120</v>
      </c>
      <c r="Z21" s="8" t="s">
        <v>368</v>
      </c>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5 sprints</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5 sprints</v>
      </c>
      <c r="AD21" s="8"/>
      <c r="AE21" s="8"/>
      <c r="AF21" s="8"/>
      <c r="AG21" s="8"/>
      <c r="AH21" s="8"/>
      <c r="AI21" s="8"/>
      <c r="AJ21" s="8"/>
      <c r="AK21" s="23"/>
      <c r="AL21" s="23"/>
      <c r="AM21" s="29"/>
      <c r="AN21" s="29"/>
      <c r="AO21" s="29"/>
      <c r="AP21" s="29" t="s">
        <v>301</v>
      </c>
      <c r="AQ21" s="29" t="s">
        <v>301</v>
      </c>
      <c r="AR21" s="29" t="s">
        <v>301</v>
      </c>
      <c r="AS21" s="29"/>
      <c r="AT21" s="29"/>
    </row>
    <row r="22" spans="1:46" ht="70.05"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313</v>
      </c>
      <c r="H22" s="8" t="s">
        <v>42</v>
      </c>
      <c r="I22" s="8" t="s">
        <v>36</v>
      </c>
      <c r="J22" s="8" t="s">
        <v>38</v>
      </c>
      <c r="K22" s="8" t="s">
        <v>43</v>
      </c>
      <c r="L22" s="8" t="s">
        <v>46</v>
      </c>
      <c r="M22" s="8">
        <f t="shared" si="4"/>
        <v>2</v>
      </c>
      <c r="N22" s="8" t="s">
        <v>53</v>
      </c>
      <c r="O22" s="8" t="s">
        <v>327</v>
      </c>
      <c r="P22" s="8" t="s">
        <v>327</v>
      </c>
      <c r="Q22" s="8" t="s">
        <v>331</v>
      </c>
      <c r="R22" s="8"/>
      <c r="S22" s="8"/>
      <c r="T22" s="8"/>
      <c r="U22" s="8" t="s">
        <v>322</v>
      </c>
      <c r="V22" s="8" t="s">
        <v>323</v>
      </c>
      <c r="W22" s="8" t="s">
        <v>140</v>
      </c>
      <c r="X22" s="8" t="s">
        <v>140</v>
      </c>
      <c r="Y22" s="8" t="s">
        <v>140</v>
      </c>
      <c r="Z22" s="8" t="s">
        <v>368</v>
      </c>
      <c r="AA22" s="8" t="str">
        <f t="shared" si="14"/>
        <v>1 sprint</v>
      </c>
      <c r="AB22" s="8" t="str">
        <f t="shared" si="15"/>
        <v>3 sprints</v>
      </c>
      <c r="AC22" s="8" t="str">
        <f t="shared" si="16"/>
        <v>3 sprints</v>
      </c>
      <c r="AD22" s="8"/>
      <c r="AE22" s="8"/>
      <c r="AF22" s="8"/>
      <c r="AG22" s="8"/>
      <c r="AH22" s="8"/>
      <c r="AI22" s="8"/>
      <c r="AJ22" s="8"/>
      <c r="AK22" s="23"/>
      <c r="AL22" s="23"/>
      <c r="AM22" s="29"/>
      <c r="AN22" s="29"/>
      <c r="AO22" s="29"/>
      <c r="AP22" s="29"/>
      <c r="AQ22" s="29"/>
      <c r="AR22" s="29" t="s">
        <v>292</v>
      </c>
      <c r="AS22" s="29"/>
      <c r="AT22" s="29"/>
    </row>
    <row r="23" spans="1:46" ht="70.05"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314</v>
      </c>
      <c r="H23" s="8" t="s">
        <v>40</v>
      </c>
      <c r="I23" s="8" t="s">
        <v>36</v>
      </c>
      <c r="J23" s="8" t="s">
        <v>39</v>
      </c>
      <c r="K23" s="8" t="s">
        <v>43</v>
      </c>
      <c r="L23" s="8" t="s">
        <v>45</v>
      </c>
      <c r="M23" s="8">
        <f t="shared" si="4"/>
        <v>1</v>
      </c>
      <c r="N23" s="8" t="s">
        <v>52</v>
      </c>
      <c r="O23" s="8" t="s">
        <v>327</v>
      </c>
      <c r="P23" s="8" t="s">
        <v>327</v>
      </c>
      <c r="Q23" s="8" t="s">
        <v>331</v>
      </c>
      <c r="R23" s="8"/>
      <c r="S23" s="8"/>
      <c r="T23" s="8"/>
      <c r="U23" s="8" t="s">
        <v>322</v>
      </c>
      <c r="V23" s="8" t="s">
        <v>323</v>
      </c>
      <c r="W23" s="8" t="s">
        <v>120</v>
      </c>
      <c r="X23" s="8" t="s">
        <v>120</v>
      </c>
      <c r="Y23" s="8" t="s">
        <v>140</v>
      </c>
      <c r="Z23" s="8"/>
      <c r="AA23" s="8" t="str">
        <f t="shared" si="14"/>
        <v>2 sprints</v>
      </c>
      <c r="AB23" s="8" t="str">
        <f t="shared" si="15"/>
        <v/>
      </c>
      <c r="AC23" s="8" t="str">
        <f t="shared" si="16"/>
        <v/>
      </c>
      <c r="AD23" s="8" t="s">
        <v>315</v>
      </c>
      <c r="AE23" s="8"/>
      <c r="AF23" s="8"/>
      <c r="AG23" s="8"/>
      <c r="AH23" s="8"/>
      <c r="AI23" s="8" t="s">
        <v>316</v>
      </c>
      <c r="AJ23" s="8" t="s">
        <v>58</v>
      </c>
      <c r="AK23" s="23">
        <v>0.5</v>
      </c>
      <c r="AL23" s="23"/>
      <c r="AM23" s="29"/>
      <c r="AN23" s="29"/>
      <c r="AO23" s="29"/>
      <c r="AP23" s="29"/>
      <c r="AQ23" s="29" t="s">
        <v>292</v>
      </c>
      <c r="AR23" s="29" t="s">
        <v>302</v>
      </c>
      <c r="AS23" s="29"/>
      <c r="AT23" s="29"/>
    </row>
    <row r="24" spans="1:46" ht="70.05"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317</v>
      </c>
      <c r="H24" s="8" t="s">
        <v>40</v>
      </c>
      <c r="I24" s="8" t="s">
        <v>36</v>
      </c>
      <c r="J24" s="8" t="s">
        <v>39</v>
      </c>
      <c r="K24" s="8" t="s">
        <v>43</v>
      </c>
      <c r="L24" s="8" t="s">
        <v>46</v>
      </c>
      <c r="M24" s="8">
        <f t="shared" si="4"/>
        <v>2</v>
      </c>
      <c r="N24" s="8" t="s">
        <v>52</v>
      </c>
      <c r="O24" s="8" t="s">
        <v>327</v>
      </c>
      <c r="P24" s="8" t="s">
        <v>327</v>
      </c>
      <c r="Q24" s="8" t="s">
        <v>331</v>
      </c>
      <c r="R24" s="8"/>
      <c r="S24" s="8"/>
      <c r="T24" s="8"/>
      <c r="U24" s="8" t="s">
        <v>322</v>
      </c>
      <c r="V24" s="8" t="s">
        <v>323</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298</v>
      </c>
      <c r="AS24" s="29"/>
      <c r="AT24" s="29"/>
    </row>
    <row r="25" spans="1:46" ht="70.05"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356</v>
      </c>
      <c r="H25" s="8" t="s">
        <v>34</v>
      </c>
      <c r="I25" s="8" t="s">
        <v>37</v>
      </c>
      <c r="J25" s="8" t="s">
        <v>38</v>
      </c>
      <c r="K25" s="8" t="s">
        <v>43</v>
      </c>
      <c r="L25" s="8" t="s">
        <v>45</v>
      </c>
      <c r="M25" s="8">
        <f t="shared" si="4"/>
        <v>1</v>
      </c>
      <c r="N25" s="8" t="s">
        <v>51</v>
      </c>
      <c r="O25" s="8" t="s">
        <v>327</v>
      </c>
      <c r="P25" s="8" t="s">
        <v>327</v>
      </c>
      <c r="Q25" s="8" t="s">
        <v>330</v>
      </c>
      <c r="R25" s="8"/>
      <c r="S25" s="8"/>
      <c r="T25" s="8" t="s">
        <v>336</v>
      </c>
      <c r="U25" s="8"/>
      <c r="V25" s="8"/>
      <c r="W25" s="8" t="s">
        <v>119</v>
      </c>
      <c r="X25" s="8" t="s">
        <v>120</v>
      </c>
      <c r="Y25" s="8" t="s">
        <v>120</v>
      </c>
      <c r="Z25" s="8"/>
      <c r="AA25" s="8" t="str">
        <f t="shared" si="14"/>
        <v>2 sprints</v>
      </c>
      <c r="AB25" s="8" t="str">
        <f t="shared" si="15"/>
        <v/>
      </c>
      <c r="AC25" s="8" t="str">
        <f t="shared" si="16"/>
        <v/>
      </c>
      <c r="AD25" s="8" t="s">
        <v>357</v>
      </c>
      <c r="AE25" s="8" t="s">
        <v>358</v>
      </c>
      <c r="AF25" s="8"/>
      <c r="AG25" s="8"/>
      <c r="AH25" s="8"/>
      <c r="AI25" s="8"/>
      <c r="AJ25" s="23"/>
      <c r="AK25" s="23"/>
      <c r="AL25" s="23"/>
      <c r="AM25" s="29"/>
      <c r="AN25" s="29"/>
      <c r="AO25" s="29"/>
      <c r="AP25" s="8" t="s">
        <v>292</v>
      </c>
      <c r="AQ25" s="8" t="s">
        <v>295</v>
      </c>
      <c r="AR25" s="8" t="s">
        <v>295</v>
      </c>
      <c r="AS25" s="29"/>
      <c r="AT25" s="29"/>
    </row>
    <row r="26" spans="1:46" ht="70.05"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340</v>
      </c>
      <c r="H26" s="8" t="s">
        <v>34</v>
      </c>
      <c r="I26" s="8" t="s">
        <v>37</v>
      </c>
      <c r="J26" s="8" t="s">
        <v>39</v>
      </c>
      <c r="K26" s="8" t="s">
        <v>43</v>
      </c>
      <c r="L26" s="8" t="s">
        <v>45</v>
      </c>
      <c r="M26" s="8">
        <f t="shared" si="4"/>
        <v>1</v>
      </c>
      <c r="N26" s="8" t="s">
        <v>50</v>
      </c>
      <c r="O26" s="8" t="s">
        <v>327</v>
      </c>
      <c r="P26" s="8" t="s">
        <v>327</v>
      </c>
      <c r="Q26" s="8" t="s">
        <v>330</v>
      </c>
      <c r="R26" s="8"/>
      <c r="S26" s="8"/>
      <c r="T26" s="8" t="s">
        <v>336</v>
      </c>
      <c r="U26" s="8" t="s">
        <v>322</v>
      </c>
      <c r="V26" s="8"/>
      <c r="W26" s="8" t="s">
        <v>119</v>
      </c>
      <c r="X26" s="8"/>
      <c r="Y26" s="8" t="s">
        <v>120</v>
      </c>
      <c r="Z26" s="8"/>
      <c r="AA26" s="8" t="str">
        <f t="shared" si="14"/>
        <v>2 sprints</v>
      </c>
      <c r="AB26" s="8" t="str">
        <f t="shared" si="15"/>
        <v/>
      </c>
      <c r="AC26" s="8" t="str">
        <f t="shared" si="16"/>
        <v/>
      </c>
      <c r="AD26" s="8" t="s">
        <v>357</v>
      </c>
      <c r="AE26" s="8" t="s">
        <v>358</v>
      </c>
      <c r="AF26" s="8"/>
      <c r="AG26" s="8"/>
      <c r="AH26" s="8"/>
      <c r="AI26" s="8"/>
      <c r="AJ26" s="23"/>
      <c r="AK26" s="23"/>
      <c r="AL26" s="23"/>
      <c r="AM26" s="29"/>
      <c r="AN26" s="29"/>
      <c r="AO26" s="29"/>
      <c r="AP26" s="8" t="s">
        <v>292</v>
      </c>
      <c r="AQ26" s="8" t="s">
        <v>295</v>
      </c>
      <c r="AR26" s="8" t="s">
        <v>295</v>
      </c>
      <c r="AS26" s="29"/>
      <c r="AT26" s="29"/>
    </row>
    <row r="27" spans="1:46" ht="70.05"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386</v>
      </c>
      <c r="H27" s="8" t="s">
        <v>42</v>
      </c>
      <c r="I27" s="8" t="s">
        <v>36</v>
      </c>
      <c r="J27" s="8" t="s">
        <v>39</v>
      </c>
      <c r="K27" s="8" t="s">
        <v>44</v>
      </c>
      <c r="L27" s="8" t="s">
        <v>45</v>
      </c>
      <c r="M27" s="8">
        <f t="shared" si="4"/>
        <v>1</v>
      </c>
      <c r="N27" s="8" t="s">
        <v>52</v>
      </c>
      <c r="O27" s="8" t="s">
        <v>325</v>
      </c>
      <c r="P27" s="8" t="s">
        <v>325</v>
      </c>
      <c r="Q27" s="8" t="s">
        <v>333</v>
      </c>
      <c r="R27" s="8" t="s">
        <v>326</v>
      </c>
      <c r="S27" s="8"/>
      <c r="T27" s="8"/>
      <c r="U27" s="8"/>
      <c r="V27" s="8"/>
      <c r="W27" s="8" t="s">
        <v>366</v>
      </c>
      <c r="X27" s="8" t="s">
        <v>118</v>
      </c>
      <c r="Y27" s="8" t="s">
        <v>119</v>
      </c>
      <c r="Z27" s="8"/>
      <c r="AA27" s="8" t="str">
        <f t="shared" si="14"/>
        <v>4 sprints</v>
      </c>
      <c r="AB27" s="8" t="str">
        <f t="shared" si="15"/>
        <v/>
      </c>
      <c r="AC27" s="8" t="str">
        <f t="shared" si="16"/>
        <v/>
      </c>
      <c r="AD27" s="8" t="s">
        <v>476</v>
      </c>
      <c r="AE27" s="8"/>
      <c r="AF27" s="8"/>
      <c r="AG27" s="8" t="s">
        <v>478</v>
      </c>
      <c r="AH27" s="8" t="s">
        <v>479</v>
      </c>
      <c r="AI27" s="8" t="s">
        <v>480</v>
      </c>
      <c r="AJ27" s="23" t="s">
        <v>58</v>
      </c>
      <c r="AK27" s="23"/>
      <c r="AL27" s="23"/>
      <c r="AM27" s="29" t="s">
        <v>302</v>
      </c>
      <c r="AN27" s="29" t="s">
        <v>302</v>
      </c>
      <c r="AO27" s="29" t="s">
        <v>285</v>
      </c>
      <c r="AP27" s="29" t="s">
        <v>285</v>
      </c>
      <c r="AQ27" s="29" t="s">
        <v>285</v>
      </c>
      <c r="AR27" s="29" t="s">
        <v>285</v>
      </c>
      <c r="AS27" s="29" t="s">
        <v>285</v>
      </c>
      <c r="AT27" s="29"/>
    </row>
    <row r="28" spans="1:46" ht="70.05"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374</v>
      </c>
      <c r="H28" s="8" t="s">
        <v>42</v>
      </c>
      <c r="I28" s="8" t="s">
        <v>36</v>
      </c>
      <c r="J28" s="8" t="s">
        <v>39</v>
      </c>
      <c r="K28" s="8" t="s">
        <v>44</v>
      </c>
      <c r="L28" s="8" t="s">
        <v>47</v>
      </c>
      <c r="M28" s="8">
        <f t="shared" si="4"/>
        <v>3</v>
      </c>
      <c r="N28" s="8" t="s">
        <v>52</v>
      </c>
      <c r="O28" s="8" t="s">
        <v>326</v>
      </c>
      <c r="P28" s="8" t="s">
        <v>326</v>
      </c>
      <c r="Q28" s="8" t="s">
        <v>333</v>
      </c>
      <c r="R28" s="8" t="s">
        <v>325</v>
      </c>
      <c r="S28" s="8"/>
      <c r="T28" s="8"/>
      <c r="U28" s="8" t="s">
        <v>322</v>
      </c>
      <c r="V28" s="8" t="s">
        <v>323</v>
      </c>
      <c r="W28" s="8" t="s">
        <v>367</v>
      </c>
      <c r="X28" s="8" t="s">
        <v>140</v>
      </c>
      <c r="Y28" s="8" t="s">
        <v>368</v>
      </c>
      <c r="Z28" s="8"/>
      <c r="AA28" s="8" t="str">
        <f t="shared" si="14"/>
        <v>2 sprints</v>
      </c>
      <c r="AB28" s="8" t="str">
        <f t="shared" si="15"/>
        <v/>
      </c>
      <c r="AC28" s="8" t="str">
        <f t="shared" si="16"/>
        <v/>
      </c>
      <c r="AD28" s="8" t="s">
        <v>477</v>
      </c>
      <c r="AE28" s="8" t="s">
        <v>387</v>
      </c>
      <c r="AF28" s="8" t="s">
        <v>472</v>
      </c>
      <c r="AG28" s="8" t="s">
        <v>474</v>
      </c>
      <c r="AH28" s="8" t="s">
        <v>473</v>
      </c>
      <c r="AI28" s="8" t="s">
        <v>475</v>
      </c>
      <c r="AJ28" s="23" t="s">
        <v>58</v>
      </c>
      <c r="AK28" s="23"/>
      <c r="AL28" s="23"/>
      <c r="AM28" s="29"/>
      <c r="AN28" s="29"/>
      <c r="AO28" s="29"/>
      <c r="AP28" s="29"/>
      <c r="AQ28" s="29"/>
      <c r="AR28" s="29" t="s">
        <v>285</v>
      </c>
      <c r="AS28" s="29" t="s">
        <v>285</v>
      </c>
      <c r="AT28" s="29"/>
    </row>
    <row r="29" spans="1:46" ht="70.05"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399</v>
      </c>
      <c r="H29" s="8" t="s">
        <v>35</v>
      </c>
      <c r="I29" s="8" t="s">
        <v>36</v>
      </c>
      <c r="J29" s="8" t="s">
        <v>38</v>
      </c>
      <c r="K29" s="8" t="s">
        <v>43</v>
      </c>
      <c r="L29" s="8" t="s">
        <v>47</v>
      </c>
      <c r="M29" s="8">
        <f t="shared" ref="M29:M34" si="17">IF(L29="Ruim",1,IF(L29="Médio",2,IF(L29="Bom",3,IF(L29="Excelente",4,""))))</f>
        <v>3</v>
      </c>
      <c r="N29" s="8" t="s">
        <v>53</v>
      </c>
      <c r="O29" s="8" t="s">
        <v>324</v>
      </c>
      <c r="P29" s="8" t="s">
        <v>324</v>
      </c>
      <c r="Q29" s="8" t="s">
        <v>325</v>
      </c>
      <c r="R29" s="8" t="s">
        <v>326</v>
      </c>
      <c r="S29" s="8"/>
      <c r="T29" s="8"/>
      <c r="U29" s="8" t="s">
        <v>322</v>
      </c>
      <c r="V29" s="8" t="s">
        <v>323</v>
      </c>
      <c r="W29" s="8" t="s">
        <v>118</v>
      </c>
      <c r="X29" s="8" t="s">
        <v>118</v>
      </c>
      <c r="Y29" s="8" t="s">
        <v>140</v>
      </c>
      <c r="Z29" s="8" t="s">
        <v>140</v>
      </c>
      <c r="AA29" s="8" t="str">
        <f t="shared" si="14"/>
        <v>4 sprints</v>
      </c>
      <c r="AB29" s="8" t="str">
        <f t="shared" si="15"/>
        <v>4 sprints</v>
      </c>
      <c r="AC29" s="8" t="str">
        <f t="shared" si="16"/>
        <v>4 sprints</v>
      </c>
      <c r="AD29" s="8"/>
      <c r="AE29" s="8"/>
      <c r="AF29" s="8"/>
      <c r="AG29" s="8" t="s">
        <v>371</v>
      </c>
      <c r="AH29" s="8"/>
      <c r="AI29" s="8"/>
      <c r="AJ29" s="23"/>
      <c r="AK29" s="23"/>
      <c r="AL29" s="23"/>
      <c r="AM29" s="29"/>
      <c r="AN29" s="29"/>
      <c r="AO29" s="8" t="s">
        <v>298</v>
      </c>
      <c r="AP29" s="8" t="s">
        <v>298</v>
      </c>
      <c r="AQ29" s="8" t="s">
        <v>298</v>
      </c>
      <c r="AR29" s="29"/>
      <c r="AS29" s="29"/>
      <c r="AT29" s="29"/>
    </row>
    <row r="30" spans="1:46" ht="70.05"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398</v>
      </c>
      <c r="H30" s="8" t="s">
        <v>35</v>
      </c>
      <c r="I30" s="8" t="s">
        <v>37</v>
      </c>
      <c r="J30" s="8" t="s">
        <v>39</v>
      </c>
      <c r="K30" s="8" t="s">
        <v>43</v>
      </c>
      <c r="L30" s="8" t="s">
        <v>47</v>
      </c>
      <c r="M30" s="8">
        <f t="shared" si="17"/>
        <v>3</v>
      </c>
      <c r="N30" s="8" t="s">
        <v>52</v>
      </c>
      <c r="O30" s="8" t="s">
        <v>324</v>
      </c>
      <c r="P30" s="8" t="s">
        <v>324</v>
      </c>
      <c r="Q30" s="8" t="s">
        <v>325</v>
      </c>
      <c r="R30" s="8" t="s">
        <v>326</v>
      </c>
      <c r="S30" s="8"/>
      <c r="T30" s="8"/>
      <c r="U30" s="8" t="s">
        <v>322</v>
      </c>
      <c r="V30" s="8" t="s">
        <v>323</v>
      </c>
      <c r="W30" s="8" t="s">
        <v>140</v>
      </c>
      <c r="X30" s="8" t="s">
        <v>140</v>
      </c>
      <c r="Y30" s="8" t="s">
        <v>372</v>
      </c>
      <c r="Z30" s="8"/>
      <c r="AA30" s="8" t="str">
        <f t="shared" si="14"/>
        <v>5 sprints</v>
      </c>
      <c r="AB30" s="8" t="str">
        <f t="shared" si="15"/>
        <v/>
      </c>
      <c r="AC30" s="8" t="str">
        <f t="shared" si="16"/>
        <v/>
      </c>
      <c r="AD30" s="8"/>
      <c r="AE30" s="8"/>
      <c r="AF30" s="8"/>
      <c r="AG30" s="8" t="s">
        <v>371</v>
      </c>
      <c r="AH30" s="8"/>
      <c r="AI30" s="8"/>
      <c r="AJ30" s="23"/>
      <c r="AK30" s="23"/>
      <c r="AL30" s="23"/>
      <c r="AM30" s="29"/>
      <c r="AN30" s="29"/>
      <c r="AO30" s="29"/>
      <c r="AP30" s="29"/>
      <c r="AQ30" s="29"/>
      <c r="AR30" s="29" t="s">
        <v>285</v>
      </c>
      <c r="AS30" s="29" t="s">
        <v>388</v>
      </c>
      <c r="AT30" s="29"/>
    </row>
    <row r="31" spans="1:46" ht="70.05"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400</v>
      </c>
      <c r="H31" s="8" t="s">
        <v>35</v>
      </c>
      <c r="I31" s="8" t="s">
        <v>37</v>
      </c>
      <c r="J31" s="8" t="s">
        <v>38</v>
      </c>
      <c r="K31" s="8" t="s">
        <v>43</v>
      </c>
      <c r="L31" s="8" t="s">
        <v>46</v>
      </c>
      <c r="M31" s="8">
        <f t="shared" si="17"/>
        <v>2</v>
      </c>
      <c r="N31" s="8" t="s">
        <v>51</v>
      </c>
      <c r="O31" s="8" t="s">
        <v>325</v>
      </c>
      <c r="P31" s="8" t="s">
        <v>325</v>
      </c>
      <c r="Q31" s="8" t="s">
        <v>326</v>
      </c>
      <c r="R31" s="8"/>
      <c r="S31" s="8"/>
      <c r="T31" s="8"/>
      <c r="U31" s="8" t="s">
        <v>322</v>
      </c>
      <c r="V31" s="8"/>
      <c r="W31" s="8" t="s">
        <v>118</v>
      </c>
      <c r="X31" s="8" t="s">
        <v>118</v>
      </c>
      <c r="Y31" s="8" t="s">
        <v>367</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385</v>
      </c>
      <c r="AF31" s="8"/>
      <c r="AG31" s="8" t="s">
        <v>371</v>
      </c>
      <c r="AH31" s="8"/>
      <c r="AI31" s="8" t="s">
        <v>401</v>
      </c>
      <c r="AJ31" s="23" t="s">
        <v>58</v>
      </c>
      <c r="AK31" s="23"/>
      <c r="AL31" s="23"/>
      <c r="AM31" s="29"/>
      <c r="AN31" s="29"/>
      <c r="AO31" s="29" t="s">
        <v>292</v>
      </c>
      <c r="AP31" s="29" t="s">
        <v>304</v>
      </c>
      <c r="AQ31" s="29" t="s">
        <v>304</v>
      </c>
      <c r="AR31" s="29" t="s">
        <v>295</v>
      </c>
      <c r="AS31" s="29"/>
      <c r="AT31" s="29"/>
    </row>
    <row r="32" spans="1:46" ht="70.05"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400</v>
      </c>
      <c r="H32" s="8" t="s">
        <v>35</v>
      </c>
      <c r="I32" s="8" t="s">
        <v>37</v>
      </c>
      <c r="J32" s="8" t="s">
        <v>39</v>
      </c>
      <c r="K32" s="8" t="s">
        <v>43</v>
      </c>
      <c r="L32" s="8" t="s">
        <v>46</v>
      </c>
      <c r="M32" s="8">
        <f t="shared" si="17"/>
        <v>2</v>
      </c>
      <c r="N32" s="8" t="s">
        <v>50</v>
      </c>
      <c r="O32" s="8" t="s">
        <v>325</v>
      </c>
      <c r="P32" s="8" t="s">
        <v>325</v>
      </c>
      <c r="Q32" s="8" t="s">
        <v>326</v>
      </c>
      <c r="R32" s="8"/>
      <c r="S32" s="8"/>
      <c r="T32" s="8"/>
      <c r="U32" s="8" t="s">
        <v>322</v>
      </c>
      <c r="V32" s="8"/>
      <c r="W32" s="8" t="s">
        <v>140</v>
      </c>
      <c r="X32" s="8"/>
      <c r="Y32" s="8" t="s">
        <v>367</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385</v>
      </c>
      <c r="AF32" s="8"/>
      <c r="AG32" s="8" t="s">
        <v>371</v>
      </c>
      <c r="AH32" s="8"/>
      <c r="AI32" s="8" t="s">
        <v>401</v>
      </c>
      <c r="AJ32" s="23" t="s">
        <v>58</v>
      </c>
      <c r="AK32" s="23"/>
      <c r="AL32" s="23"/>
      <c r="AM32" s="29"/>
      <c r="AN32" s="29"/>
      <c r="AO32" s="29"/>
      <c r="AP32" s="29"/>
      <c r="AQ32" s="29"/>
      <c r="AR32" s="29" t="s">
        <v>302</v>
      </c>
      <c r="AS32" s="29"/>
      <c r="AT32" s="29"/>
    </row>
    <row r="33" spans="1:46" ht="70.05"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382</v>
      </c>
      <c r="H33" s="8" t="s">
        <v>35</v>
      </c>
      <c r="I33" s="8" t="s">
        <v>36</v>
      </c>
      <c r="J33" s="8" t="s">
        <v>38</v>
      </c>
      <c r="K33" s="8" t="s">
        <v>44</v>
      </c>
      <c r="L33" s="8" t="s">
        <v>48</v>
      </c>
      <c r="M33" s="8">
        <f t="shared" si="17"/>
        <v>4</v>
      </c>
      <c r="N33" s="8" t="s">
        <v>53</v>
      </c>
      <c r="O33" s="8" t="s">
        <v>324</v>
      </c>
      <c r="P33" s="8" t="s">
        <v>324</v>
      </c>
      <c r="Q33" s="8" t="s">
        <v>325</v>
      </c>
      <c r="R33" s="8" t="s">
        <v>326</v>
      </c>
      <c r="S33" s="8"/>
      <c r="T33" s="8"/>
      <c r="U33" s="8" t="s">
        <v>322</v>
      </c>
      <c r="V33" s="8" t="s">
        <v>323</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298</v>
      </c>
      <c r="AP33" s="8" t="s">
        <v>298</v>
      </c>
      <c r="AQ33" s="8" t="s">
        <v>298</v>
      </c>
      <c r="AR33" s="29"/>
      <c r="AS33" s="29"/>
      <c r="AT33" s="29"/>
    </row>
    <row r="34" spans="1:46" ht="70.05"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383</v>
      </c>
      <c r="H34" s="8" t="s">
        <v>35</v>
      </c>
      <c r="I34" s="8" t="s">
        <v>37</v>
      </c>
      <c r="J34" s="8" t="s">
        <v>39</v>
      </c>
      <c r="K34" s="8" t="s">
        <v>44</v>
      </c>
      <c r="L34" s="8" t="s">
        <v>46</v>
      </c>
      <c r="M34" s="8">
        <f t="shared" si="17"/>
        <v>2</v>
      </c>
      <c r="N34" s="8" t="s">
        <v>54</v>
      </c>
      <c r="O34" s="8" t="s">
        <v>325</v>
      </c>
      <c r="P34" s="8" t="s">
        <v>325</v>
      </c>
      <c r="Q34" s="8" t="s">
        <v>326</v>
      </c>
      <c r="R34" s="8"/>
      <c r="S34" s="8"/>
      <c r="T34" s="8"/>
      <c r="U34" s="8" t="s">
        <v>322</v>
      </c>
      <c r="V34" s="8" t="s">
        <v>323</v>
      </c>
      <c r="W34" s="8" t="s">
        <v>140</v>
      </c>
      <c r="X34" s="8" t="s">
        <v>140</v>
      </c>
      <c r="Y34" s="8"/>
      <c r="Z34" s="8"/>
      <c r="AA34" s="8" t="str">
        <f t="shared" si="14"/>
        <v/>
      </c>
      <c r="AB34" s="8" t="str">
        <f t="shared" si="15"/>
        <v/>
      </c>
      <c r="AC34" s="8" t="str">
        <f t="shared" si="16"/>
        <v/>
      </c>
      <c r="AD34" s="8"/>
      <c r="AE34" s="8" t="s">
        <v>387</v>
      </c>
      <c r="AF34" s="8"/>
      <c r="AG34" s="8"/>
      <c r="AH34" s="8"/>
      <c r="AI34" s="8"/>
      <c r="AJ34" s="23"/>
      <c r="AK34" s="23"/>
      <c r="AL34" s="23"/>
      <c r="AM34" s="29"/>
      <c r="AN34" s="29"/>
      <c r="AO34" s="29"/>
      <c r="AP34" s="29"/>
      <c r="AQ34" s="29"/>
      <c r="AR34" s="29" t="s">
        <v>388</v>
      </c>
      <c r="AS34" s="29"/>
      <c r="AT34" s="29"/>
    </row>
    <row r="35" spans="1:46" ht="70.05"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376</v>
      </c>
      <c r="H35" s="8" t="s">
        <v>35</v>
      </c>
      <c r="I35" s="8" t="s">
        <v>37</v>
      </c>
      <c r="J35" s="8" t="s">
        <v>39</v>
      </c>
      <c r="K35" s="8" t="s">
        <v>44</v>
      </c>
      <c r="L35" s="8" t="s">
        <v>47</v>
      </c>
      <c r="M35" s="8">
        <f t="shared" si="4"/>
        <v>3</v>
      </c>
      <c r="N35" s="8" t="s">
        <v>52</v>
      </c>
      <c r="O35" s="8" t="s">
        <v>332</v>
      </c>
      <c r="P35" s="8" t="s">
        <v>334</v>
      </c>
      <c r="Q35" s="8" t="s">
        <v>332</v>
      </c>
      <c r="R35" s="8"/>
      <c r="S35" s="8"/>
      <c r="T35" s="8"/>
      <c r="U35" s="8"/>
      <c r="V35" s="8" t="s">
        <v>323</v>
      </c>
      <c r="W35" s="8" t="s">
        <v>120</v>
      </c>
      <c r="X35" s="8" t="s">
        <v>120</v>
      </c>
      <c r="Y35" s="8"/>
      <c r="Z35" s="8"/>
      <c r="AA35" s="8" t="str">
        <f t="shared" si="14"/>
        <v/>
      </c>
      <c r="AB35" s="8" t="str">
        <f t="shared" si="15"/>
        <v/>
      </c>
      <c r="AC35" s="8" t="str">
        <f t="shared" si="16"/>
        <v/>
      </c>
      <c r="AD35" s="8" t="s">
        <v>379</v>
      </c>
      <c r="AE35" s="8" t="s">
        <v>378</v>
      </c>
      <c r="AF35" s="8"/>
      <c r="AG35" s="8"/>
      <c r="AH35" s="8"/>
      <c r="AI35" s="8"/>
      <c r="AJ35" s="23"/>
      <c r="AK35" s="23"/>
      <c r="AL35" s="23"/>
      <c r="AM35" s="29"/>
      <c r="AN35" s="29"/>
      <c r="AO35" s="29"/>
      <c r="AP35" s="29"/>
      <c r="AQ35" s="29" t="s">
        <v>301</v>
      </c>
      <c r="AR35" s="29" t="s">
        <v>292</v>
      </c>
      <c r="AS35" s="29"/>
      <c r="AT35" s="29"/>
    </row>
    <row r="36" spans="1:46" ht="70.05"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377</v>
      </c>
      <c r="H36" s="8" t="s">
        <v>35</v>
      </c>
      <c r="I36" s="8" t="s">
        <v>37</v>
      </c>
      <c r="J36" s="8" t="s">
        <v>38</v>
      </c>
      <c r="K36" s="8" t="s">
        <v>44</v>
      </c>
      <c r="L36" s="8" t="s">
        <v>47</v>
      </c>
      <c r="M36" s="8">
        <f t="shared" si="4"/>
        <v>3</v>
      </c>
      <c r="N36" s="8" t="s">
        <v>51</v>
      </c>
      <c r="O36" s="8" t="s">
        <v>332</v>
      </c>
      <c r="P36" s="8" t="s">
        <v>334</v>
      </c>
      <c r="Q36" s="8" t="s">
        <v>332</v>
      </c>
      <c r="R36" s="8"/>
      <c r="S36" s="8"/>
      <c r="T36" s="8"/>
      <c r="U36" s="8"/>
      <c r="V36" s="8" t="s">
        <v>323</v>
      </c>
      <c r="W36" s="8" t="s">
        <v>120</v>
      </c>
      <c r="X36" s="8" t="s">
        <v>120</v>
      </c>
      <c r="Y36" s="8"/>
      <c r="Z36" s="8"/>
      <c r="AA36" s="8" t="str">
        <f t="shared" si="14"/>
        <v/>
      </c>
      <c r="AB36" s="8" t="str">
        <f t="shared" si="15"/>
        <v/>
      </c>
      <c r="AC36" s="8" t="str">
        <f t="shared" si="16"/>
        <v/>
      </c>
      <c r="AD36" s="8" t="s">
        <v>379</v>
      </c>
      <c r="AE36" s="8" t="s">
        <v>378</v>
      </c>
      <c r="AF36" s="8"/>
      <c r="AG36" s="8"/>
      <c r="AH36" s="8"/>
      <c r="AI36" s="8" t="s">
        <v>380</v>
      </c>
      <c r="AJ36" s="23"/>
      <c r="AK36" s="23"/>
      <c r="AL36" s="23"/>
      <c r="AM36" s="29"/>
      <c r="AN36" s="29"/>
      <c r="AO36" s="29"/>
      <c r="AP36" s="29"/>
      <c r="AQ36" s="29" t="s">
        <v>301</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414</v>
      </c>
      <c r="H37" s="8" t="s">
        <v>40</v>
      </c>
      <c r="I37" s="8" t="s">
        <v>36</v>
      </c>
      <c r="J37" s="8" t="s">
        <v>38</v>
      </c>
      <c r="K37" s="8" t="s">
        <v>44</v>
      </c>
      <c r="L37" s="8" t="s">
        <v>48</v>
      </c>
      <c r="M37" s="8">
        <f t="shared" si="4"/>
        <v>4</v>
      </c>
      <c r="N37" s="8" t="s">
        <v>51</v>
      </c>
      <c r="O37" s="8" t="s">
        <v>327</v>
      </c>
      <c r="P37" s="8" t="s">
        <v>327</v>
      </c>
      <c r="Q37" s="8" t="s">
        <v>331</v>
      </c>
      <c r="R37" s="8"/>
      <c r="S37" s="8"/>
      <c r="T37" s="8"/>
      <c r="U37" s="8" t="s">
        <v>322</v>
      </c>
      <c r="V37" s="8" t="s">
        <v>323</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417</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415</v>
      </c>
      <c r="H38" s="8" t="s">
        <v>40</v>
      </c>
      <c r="I38" s="8" t="s">
        <v>36</v>
      </c>
      <c r="J38" s="8" t="s">
        <v>39</v>
      </c>
      <c r="K38" s="8" t="s">
        <v>44</v>
      </c>
      <c r="L38" s="8" t="s">
        <v>48</v>
      </c>
      <c r="M38" s="8">
        <f>IF(L38="Ruim",1,IF(L38="Médio",2,IF(L38="Bom",3,IF(L38="Excelente",4,""))))</f>
        <v>4</v>
      </c>
      <c r="N38" s="8" t="s">
        <v>50</v>
      </c>
      <c r="O38" s="8" t="s">
        <v>324</v>
      </c>
      <c r="P38" s="8" t="s">
        <v>327</v>
      </c>
      <c r="Q38" s="8" t="s">
        <v>331</v>
      </c>
      <c r="R38" s="8"/>
      <c r="S38" s="8"/>
      <c r="T38" s="8"/>
      <c r="U38" s="8" t="s">
        <v>322</v>
      </c>
      <c r="V38" s="8" t="s">
        <v>323</v>
      </c>
      <c r="W38" s="8" t="s">
        <v>140</v>
      </c>
      <c r="X38" s="8" t="s">
        <v>367</v>
      </c>
      <c r="Y38" s="8" t="s">
        <v>140</v>
      </c>
      <c r="Z38" s="8"/>
      <c r="AA38" s="8" t="str">
        <f t="shared" si="18"/>
        <v>1 sprint</v>
      </c>
      <c r="AB38" s="8" t="str">
        <f t="shared" si="19"/>
        <v/>
      </c>
      <c r="AC38" s="8" t="str">
        <f t="shared" si="20"/>
        <v/>
      </c>
      <c r="AD38" s="8" t="s">
        <v>416</v>
      </c>
      <c r="AE38" s="8" t="s">
        <v>417</v>
      </c>
      <c r="AF38" s="8" t="s">
        <v>418</v>
      </c>
      <c r="AG38" s="8" t="s">
        <v>467</v>
      </c>
      <c r="AH38" s="8" t="s">
        <v>468</v>
      </c>
      <c r="AI38" s="8" t="s">
        <v>419</v>
      </c>
      <c r="AJ38" s="23" t="s">
        <v>57</v>
      </c>
      <c r="AK38" s="23"/>
      <c r="AL38" s="23"/>
      <c r="AM38" s="29"/>
      <c r="AN38" s="29"/>
      <c r="AO38" s="29"/>
      <c r="AP38" s="29"/>
      <c r="AQ38" s="29"/>
      <c r="AR38" s="29"/>
      <c r="AS38" s="29" t="s">
        <v>302</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433</v>
      </c>
      <c r="H39" s="8" t="s">
        <v>40</v>
      </c>
      <c r="I39" s="8" t="s">
        <v>36</v>
      </c>
      <c r="J39" s="8" t="s">
        <v>39</v>
      </c>
      <c r="K39" s="8" t="s">
        <v>43</v>
      </c>
      <c r="L39" s="8"/>
      <c r="M39" s="8" t="str">
        <f t="shared" ref="M39:M40" si="21">IF(L39="Ruim",1,IF(L39="Médio",2,IF(L39="Bom",3,IF(L39="Excelente",4,""))))</f>
        <v/>
      </c>
      <c r="N39" s="8" t="s">
        <v>50</v>
      </c>
      <c r="O39" s="8" t="s">
        <v>324</v>
      </c>
      <c r="P39" s="8" t="s">
        <v>324</v>
      </c>
      <c r="Q39" s="8" t="s">
        <v>327</v>
      </c>
      <c r="R39" s="8"/>
      <c r="S39" s="8"/>
      <c r="T39" s="8"/>
      <c r="U39" s="8" t="s">
        <v>322</v>
      </c>
      <c r="V39" s="8" t="s">
        <v>323</v>
      </c>
      <c r="W39" s="8" t="s">
        <v>367</v>
      </c>
      <c r="X39" s="8"/>
      <c r="Y39" s="8"/>
      <c r="Z39" s="8"/>
      <c r="AA39" s="8" t="str">
        <f t="shared" si="18"/>
        <v/>
      </c>
      <c r="AB39" s="8" t="str">
        <f t="shared" si="19"/>
        <v/>
      </c>
      <c r="AC39" s="8" t="str">
        <f t="shared" si="20"/>
        <v/>
      </c>
      <c r="AD39" s="8" t="s">
        <v>434</v>
      </c>
      <c r="AE39" s="8" t="s">
        <v>436</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440</v>
      </c>
      <c r="H40" s="8" t="s">
        <v>35</v>
      </c>
      <c r="I40" s="8" t="s">
        <v>37</v>
      </c>
      <c r="J40" s="8" t="s">
        <v>38</v>
      </c>
      <c r="K40" s="8" t="s">
        <v>43</v>
      </c>
      <c r="L40" s="8" t="s">
        <v>45</v>
      </c>
      <c r="M40" s="8">
        <f t="shared" si="21"/>
        <v>1</v>
      </c>
      <c r="N40" s="8" t="s">
        <v>53</v>
      </c>
      <c r="O40" s="8" t="s">
        <v>332</v>
      </c>
      <c r="P40" s="8" t="s">
        <v>332</v>
      </c>
      <c r="Q40" s="8" t="s">
        <v>326</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457</v>
      </c>
      <c r="H41" s="8" t="s">
        <v>34</v>
      </c>
      <c r="I41" s="8" t="s">
        <v>37</v>
      </c>
      <c r="J41" s="8" t="s">
        <v>38</v>
      </c>
      <c r="K41" s="8" t="s">
        <v>43</v>
      </c>
      <c r="L41" s="8"/>
      <c r="M41" s="8" t="str">
        <f>IF(L41="Ruim",1,IF(L41="Médio",2,IF(L41="Bom",3,IF(L41="Excelente",4,""))))</f>
        <v/>
      </c>
      <c r="N41" s="8" t="s">
        <v>50</v>
      </c>
      <c r="O41" s="8" t="s">
        <v>331</v>
      </c>
      <c r="P41" s="8"/>
      <c r="Q41" s="8"/>
      <c r="R41" s="8"/>
      <c r="S41" s="8"/>
      <c r="T41" s="8" t="s">
        <v>336</v>
      </c>
      <c r="U41" s="8" t="s">
        <v>322</v>
      </c>
      <c r="V41" s="8" t="s">
        <v>323</v>
      </c>
      <c r="W41" s="8" t="s">
        <v>367</v>
      </c>
      <c r="X41" s="8"/>
      <c r="Y41" s="8" t="s">
        <v>367</v>
      </c>
      <c r="Z41" s="8"/>
      <c r="AA41" s="8" t="str">
        <f t="shared" si="18"/>
        <v>1 sprint</v>
      </c>
      <c r="AB41" s="8" t="str">
        <f t="shared" si="19"/>
        <v/>
      </c>
      <c r="AC41" s="8" t="str">
        <f t="shared" si="20"/>
        <v/>
      </c>
      <c r="AD41" s="8" t="s">
        <v>453</v>
      </c>
      <c r="AE41" s="8" t="s">
        <v>407</v>
      </c>
      <c r="AF41" s="8" t="s">
        <v>455</v>
      </c>
      <c r="AG41" s="8" t="s">
        <v>454</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458</v>
      </c>
      <c r="H42" s="8" t="s">
        <v>34</v>
      </c>
      <c r="I42" s="8" t="s">
        <v>37</v>
      </c>
      <c r="J42" s="8" t="s">
        <v>39</v>
      </c>
      <c r="K42" s="8" t="s">
        <v>43</v>
      </c>
      <c r="L42" s="8"/>
      <c r="M42" s="8" t="str">
        <f>IF(L42="Ruim",1,IF(L42="Médio",2,IF(L42="Bom",3,IF(L42="Excelente",4,""))))</f>
        <v/>
      </c>
      <c r="N42" s="8" t="s">
        <v>50</v>
      </c>
      <c r="O42" s="8" t="s">
        <v>326</v>
      </c>
      <c r="P42" s="8" t="s">
        <v>326</v>
      </c>
      <c r="Q42" s="8" t="s">
        <v>329</v>
      </c>
      <c r="R42" s="8" t="s">
        <v>331</v>
      </c>
      <c r="S42" s="8" t="s">
        <v>330</v>
      </c>
      <c r="T42" s="8" t="s">
        <v>336</v>
      </c>
      <c r="U42" s="8" t="s">
        <v>322</v>
      </c>
      <c r="V42" s="8" t="s">
        <v>323</v>
      </c>
      <c r="W42" s="8" t="s">
        <v>367</v>
      </c>
      <c r="X42" s="8"/>
      <c r="Y42" s="8" t="s">
        <v>368</v>
      </c>
      <c r="Z42" s="8"/>
      <c r="AA42" s="8" t="str">
        <f t="shared" si="18"/>
        <v>2 sprints</v>
      </c>
      <c r="AB42" s="8" t="str">
        <f t="shared" si="19"/>
        <v/>
      </c>
      <c r="AC42" s="8" t="str">
        <f t="shared" si="20"/>
        <v/>
      </c>
      <c r="AD42" s="8" t="s">
        <v>453</v>
      </c>
      <c r="AE42" s="8" t="s">
        <v>407</v>
      </c>
      <c r="AF42" s="8" t="s">
        <v>455</v>
      </c>
      <c r="AG42" s="8" t="s">
        <v>454</v>
      </c>
      <c r="AH42" s="8"/>
      <c r="AI42" s="8"/>
      <c r="AJ42" s="23"/>
      <c r="AK42" s="23"/>
      <c r="AL42" s="23"/>
      <c r="AM42" s="29"/>
      <c r="AN42" s="29"/>
      <c r="AO42" s="29"/>
      <c r="AP42" s="29"/>
      <c r="AQ42" s="29"/>
      <c r="AR42" s="29"/>
      <c r="AS42" s="29"/>
      <c r="AT42" s="29"/>
    </row>
    <row r="43" spans="1:46" ht="70.05" customHeight="1" x14ac:dyDescent="0.3">
      <c r="A43" s="8">
        <f>ROW()</f>
        <v>43</v>
      </c>
      <c r="B43" s="8">
        <v>33</v>
      </c>
      <c r="C43" s="8" t="str">
        <f>VLOOKUP(tbRoadMapTatico[[#This Row],[ID Estratégico]],'Roadmap Estratégico'!A:BE,4,0)</f>
        <v>Quicksight</v>
      </c>
      <c r="D43" s="8" t="str">
        <f>VLOOKUP(tbRoadMapTatico[[#This Row],[ID Estratégico]],'Roadmap Estratégico'!A:BE,5,0)</f>
        <v>Quicksight</v>
      </c>
      <c r="E43" s="8" t="s">
        <v>21</v>
      </c>
      <c r="F43" s="8" t="s">
        <v>23</v>
      </c>
      <c r="G43" s="8" t="s">
        <v>518</v>
      </c>
      <c r="H43" s="8" t="s">
        <v>42</v>
      </c>
      <c r="I43" s="8" t="s">
        <v>36</v>
      </c>
      <c r="J43" s="8" t="s">
        <v>39</v>
      </c>
      <c r="K43" s="8" t="s">
        <v>43</v>
      </c>
      <c r="L43" s="25" t="s">
        <v>47</v>
      </c>
      <c r="M43" s="25">
        <f t="shared" ref="M43" si="22">IF(L43="Ruim",1,IF(L43="Médio",2,IF(L43="Bom",3,IF(L43="Excelente",4,""))))</f>
        <v>3</v>
      </c>
      <c r="N43" s="8" t="s">
        <v>52</v>
      </c>
      <c r="O43" s="8" t="s">
        <v>330</v>
      </c>
      <c r="P43" s="8" t="s">
        <v>330</v>
      </c>
      <c r="Q43" s="8" t="s">
        <v>328</v>
      </c>
      <c r="R43" s="8"/>
      <c r="S43" s="8"/>
      <c r="T43" s="8"/>
      <c r="U43" s="8" t="s">
        <v>322</v>
      </c>
      <c r="V43" s="8" t="s">
        <v>323</v>
      </c>
      <c r="W43" s="8" t="s">
        <v>367</v>
      </c>
      <c r="X43" s="8" t="s">
        <v>367</v>
      </c>
      <c r="Y43" s="8" t="s">
        <v>367</v>
      </c>
      <c r="Z43" s="8"/>
      <c r="AA43" s="8"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8"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8"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511</v>
      </c>
      <c r="AE43" s="8" t="s">
        <v>507</v>
      </c>
      <c r="AF43" s="8" t="s">
        <v>512</v>
      </c>
      <c r="AG43" s="8" t="s">
        <v>513</v>
      </c>
      <c r="AH43" s="8"/>
      <c r="AI43" s="8" t="s">
        <v>515</v>
      </c>
      <c r="AJ43" s="23" t="s">
        <v>57</v>
      </c>
      <c r="AK43" s="23"/>
      <c r="AL43" s="23"/>
      <c r="AM43" s="29"/>
      <c r="AN43" s="29"/>
      <c r="AO43" s="29"/>
      <c r="AP43" s="29"/>
      <c r="AQ43" s="29"/>
      <c r="AR43" s="29"/>
      <c r="AS43" s="29" t="s">
        <v>302</v>
      </c>
      <c r="AT43" s="29"/>
    </row>
    <row r="44" spans="1:46" ht="70.05" customHeight="1" x14ac:dyDescent="0.3">
      <c r="A44" s="8">
        <f>ROW()</f>
        <v>44</v>
      </c>
      <c r="B44" s="8">
        <v>34</v>
      </c>
      <c r="C44" s="8" t="str">
        <f>VLOOKUP(tbRoadMapTatico[[#This Row],[ID Estratégico]],'Roadmap Estratégico'!A:BE,4,0)</f>
        <v>Quicksight</v>
      </c>
      <c r="D44" s="8" t="str">
        <f>VLOOKUP(tbRoadMapTatico[[#This Row],[ID Estratégico]],'Roadmap Estratégico'!A:BE,5,0)</f>
        <v>Quicksight</v>
      </c>
      <c r="E44" s="8" t="s">
        <v>21</v>
      </c>
      <c r="F44" s="8" t="s">
        <v>23</v>
      </c>
      <c r="G44" s="8" t="s">
        <v>519</v>
      </c>
      <c r="H44" s="8" t="s">
        <v>42</v>
      </c>
      <c r="I44" s="8" t="s">
        <v>36</v>
      </c>
      <c r="J44" s="8" t="s">
        <v>39</v>
      </c>
      <c r="K44" s="8" t="s">
        <v>43</v>
      </c>
      <c r="L44" s="25" t="s">
        <v>47</v>
      </c>
      <c r="M44" s="25">
        <f>IF(L44="Ruim",1,IF(L44="Médio",2,IF(L44="Bom",3,IF(L44="Excelente",4,""))))</f>
        <v>3</v>
      </c>
      <c r="N44" s="8" t="s">
        <v>52</v>
      </c>
      <c r="O44" s="8" t="s">
        <v>330</v>
      </c>
      <c r="P44" s="8" t="s">
        <v>330</v>
      </c>
      <c r="Q44" s="8" t="s">
        <v>328</v>
      </c>
      <c r="R44" s="8"/>
      <c r="S44" s="8"/>
      <c r="T44" s="8"/>
      <c r="U44" s="8" t="s">
        <v>322</v>
      </c>
      <c r="V44" s="8" t="s">
        <v>323</v>
      </c>
      <c r="W44" s="8" t="s">
        <v>367</v>
      </c>
      <c r="X44" s="8" t="s">
        <v>367</v>
      </c>
      <c r="Y44" s="8" t="s">
        <v>505</v>
      </c>
      <c r="Z44" s="8"/>
      <c r="AA44" s="8"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8"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8"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506</v>
      </c>
      <c r="AE44" s="8" t="s">
        <v>507</v>
      </c>
      <c r="AF44" s="8" t="s">
        <v>508</v>
      </c>
      <c r="AG44" s="8" t="s">
        <v>514</v>
      </c>
      <c r="AH44" s="8" t="s">
        <v>509</v>
      </c>
      <c r="AI44" s="8" t="s">
        <v>510</v>
      </c>
      <c r="AJ44" s="23" t="s">
        <v>57</v>
      </c>
      <c r="AK44" s="23"/>
      <c r="AL44" s="23"/>
      <c r="AM44" s="29"/>
      <c r="AN44" s="29"/>
      <c r="AO44" s="29"/>
      <c r="AP44" s="29"/>
      <c r="AQ44" s="29"/>
      <c r="AR44" s="29"/>
      <c r="AS44" s="29" t="s">
        <v>302</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0"/>
  <sheetViews>
    <sheetView workbookViewId="0">
      <selection activeCell="A10" sqref="A10"/>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4" t="s">
        <v>482</v>
      </c>
      <c r="B2" s="124"/>
      <c r="C2" s="124"/>
      <c r="D2" s="124"/>
      <c r="E2" s="124"/>
    </row>
    <row r="3" spans="1:5" ht="15.6" x14ac:dyDescent="0.3">
      <c r="A3" s="31" t="s">
        <v>10</v>
      </c>
      <c r="B3" t="s">
        <v>483</v>
      </c>
      <c r="C3" s="103"/>
      <c r="D3" s="103"/>
      <c r="E3" s="103"/>
    </row>
    <row r="4" spans="1:5" ht="15.6" customHeight="1" x14ac:dyDescent="0.3">
      <c r="A4" s="31" t="s">
        <v>2</v>
      </c>
      <c r="B4" t="s">
        <v>483</v>
      </c>
      <c r="C4" s="102"/>
      <c r="D4" s="102"/>
      <c r="E4" s="102"/>
    </row>
    <row r="5" spans="1:5" ht="15.6" customHeight="1" x14ac:dyDescent="0.3">
      <c r="A5" s="31" t="s">
        <v>1</v>
      </c>
      <c r="B5" t="s">
        <v>483</v>
      </c>
      <c r="C5" s="102"/>
      <c r="D5" s="102"/>
      <c r="E5" s="102"/>
    </row>
    <row r="6" spans="1:5" ht="15.6" customHeight="1" x14ac:dyDescent="0.3">
      <c r="A6" s="31" t="s">
        <v>8</v>
      </c>
      <c r="B6" t="s">
        <v>483</v>
      </c>
      <c r="C6" s="102"/>
      <c r="D6" s="102"/>
      <c r="E6" s="102"/>
    </row>
    <row r="7" spans="1:5" ht="15.6" customHeight="1" x14ac:dyDescent="0.3">
      <c r="A7" s="31" t="s">
        <v>318</v>
      </c>
      <c r="B7" t="s">
        <v>483</v>
      </c>
      <c r="C7" s="102"/>
      <c r="D7" s="102"/>
      <c r="E7" s="102"/>
    </row>
    <row r="8" spans="1:5" ht="15.6" customHeight="1" x14ac:dyDescent="0.3">
      <c r="A8" s="31" t="s">
        <v>319</v>
      </c>
      <c r="B8" t="s">
        <v>483</v>
      </c>
      <c r="C8" s="102"/>
      <c r="D8" s="102"/>
      <c r="E8" s="102"/>
    </row>
    <row r="9" spans="1:5" ht="15.6" customHeight="1" x14ac:dyDescent="0.3">
      <c r="A9" s="31" t="s">
        <v>320</v>
      </c>
      <c r="B9" t="s">
        <v>483</v>
      </c>
      <c r="C9" s="102"/>
      <c r="D9" s="102"/>
      <c r="E9" s="102"/>
    </row>
    <row r="10" spans="1:5" x14ac:dyDescent="0.3">
      <c r="A10" s="31" t="s">
        <v>450</v>
      </c>
      <c r="B10" t="s">
        <v>483</v>
      </c>
    </row>
    <row r="11" spans="1:5" x14ac:dyDescent="0.3">
      <c r="A11" s="31" t="s">
        <v>451</v>
      </c>
      <c r="B11" t="s">
        <v>483</v>
      </c>
    </row>
    <row r="12" spans="1:5" x14ac:dyDescent="0.3">
      <c r="A12" s="31" t="s">
        <v>339</v>
      </c>
      <c r="B12" t="s">
        <v>483</v>
      </c>
    </row>
    <row r="13" spans="1:5" x14ac:dyDescent="0.3">
      <c r="A13" s="31" t="s">
        <v>338</v>
      </c>
      <c r="B13" t="s">
        <v>483</v>
      </c>
    </row>
    <row r="14" spans="1:5" x14ac:dyDescent="0.3">
      <c r="A14" s="31" t="s">
        <v>375</v>
      </c>
      <c r="B14" t="s">
        <v>483</v>
      </c>
    </row>
    <row r="16" spans="1:5" x14ac:dyDescent="0.3">
      <c r="A16" s="31" t="s">
        <v>311</v>
      </c>
      <c r="B16" s="31" t="s">
        <v>308</v>
      </c>
    </row>
    <row r="17" spans="1:5" x14ac:dyDescent="0.3">
      <c r="A17" s="31" t="s">
        <v>310</v>
      </c>
      <c r="B17" t="s">
        <v>51</v>
      </c>
      <c r="C17" t="s">
        <v>50</v>
      </c>
      <c r="D17" t="s">
        <v>52</v>
      </c>
      <c r="E17" t="s">
        <v>309</v>
      </c>
    </row>
    <row r="18" spans="1:5" x14ac:dyDescent="0.3">
      <c r="A18" s="32" t="s">
        <v>28</v>
      </c>
      <c r="B18">
        <v>1</v>
      </c>
      <c r="C18">
        <v>1</v>
      </c>
      <c r="E18">
        <v>2</v>
      </c>
    </row>
    <row r="19" spans="1:5" x14ac:dyDescent="0.3">
      <c r="A19" s="33" t="s">
        <v>359</v>
      </c>
      <c r="B19">
        <v>1</v>
      </c>
      <c r="C19">
        <v>1</v>
      </c>
      <c r="E19">
        <v>2</v>
      </c>
    </row>
    <row r="20" spans="1:5" x14ac:dyDescent="0.3">
      <c r="A20" s="34" t="s">
        <v>356</v>
      </c>
      <c r="B20">
        <v>1</v>
      </c>
      <c r="E20">
        <v>1</v>
      </c>
    </row>
    <row r="21" spans="1:5" x14ac:dyDescent="0.3">
      <c r="A21" s="34" t="s">
        <v>340</v>
      </c>
      <c r="C21">
        <v>1</v>
      </c>
      <c r="E21">
        <v>1</v>
      </c>
    </row>
    <row r="22" spans="1:5" x14ac:dyDescent="0.3">
      <c r="A22" s="32" t="s">
        <v>27</v>
      </c>
      <c r="B22">
        <v>2</v>
      </c>
      <c r="C22">
        <v>2</v>
      </c>
      <c r="D22">
        <v>2</v>
      </c>
      <c r="E22">
        <v>6</v>
      </c>
    </row>
    <row r="23" spans="1:5" x14ac:dyDescent="0.3">
      <c r="A23" s="33" t="s">
        <v>293</v>
      </c>
      <c r="B23">
        <v>2</v>
      </c>
      <c r="C23">
        <v>2</v>
      </c>
      <c r="D23">
        <v>2</v>
      </c>
      <c r="E23">
        <v>6</v>
      </c>
    </row>
    <row r="24" spans="1:5" x14ac:dyDescent="0.3">
      <c r="A24" s="34" t="s">
        <v>305</v>
      </c>
      <c r="B24">
        <v>1</v>
      </c>
      <c r="E24">
        <v>1</v>
      </c>
    </row>
    <row r="25" spans="1:5" x14ac:dyDescent="0.3">
      <c r="A25" s="34" t="s">
        <v>314</v>
      </c>
      <c r="D25">
        <v>1</v>
      </c>
      <c r="E25">
        <v>1</v>
      </c>
    </row>
    <row r="26" spans="1:5" x14ac:dyDescent="0.3">
      <c r="A26" s="34" t="s">
        <v>317</v>
      </c>
      <c r="D26">
        <v>1</v>
      </c>
      <c r="E26">
        <v>1</v>
      </c>
    </row>
    <row r="27" spans="1:5" x14ac:dyDescent="0.3">
      <c r="A27" s="34" t="s">
        <v>414</v>
      </c>
      <c r="B27">
        <v>1</v>
      </c>
      <c r="E27">
        <v>1</v>
      </c>
    </row>
    <row r="28" spans="1:5" x14ac:dyDescent="0.3">
      <c r="A28" s="34" t="s">
        <v>415</v>
      </c>
      <c r="C28">
        <v>1</v>
      </c>
      <c r="E28">
        <v>1</v>
      </c>
    </row>
    <row r="29" spans="1:5" x14ac:dyDescent="0.3">
      <c r="A29" s="34" t="s">
        <v>433</v>
      </c>
      <c r="C29">
        <v>1</v>
      </c>
      <c r="E29">
        <v>1</v>
      </c>
    </row>
    <row r="30" spans="1:5" x14ac:dyDescent="0.3">
      <c r="A30" s="32" t="s">
        <v>32</v>
      </c>
      <c r="B30">
        <v>1</v>
      </c>
      <c r="C30">
        <v>1</v>
      </c>
      <c r="D30">
        <v>1</v>
      </c>
      <c r="E30">
        <v>3</v>
      </c>
    </row>
    <row r="31" spans="1:5" x14ac:dyDescent="0.3">
      <c r="A31" s="33" t="s">
        <v>32</v>
      </c>
      <c r="B31">
        <v>1</v>
      </c>
      <c r="C31">
        <v>1</v>
      </c>
      <c r="D31">
        <v>1</v>
      </c>
      <c r="E31">
        <v>3</v>
      </c>
    </row>
    <row r="32" spans="1:5" x14ac:dyDescent="0.3">
      <c r="A32" s="34" t="s">
        <v>398</v>
      </c>
      <c r="D32">
        <v>1</v>
      </c>
      <c r="E32">
        <v>1</v>
      </c>
    </row>
    <row r="33" spans="1:5" x14ac:dyDescent="0.3">
      <c r="A33" s="34" t="s">
        <v>400</v>
      </c>
      <c r="B33">
        <v>1</v>
      </c>
      <c r="C33">
        <v>1</v>
      </c>
      <c r="E33">
        <v>2</v>
      </c>
    </row>
    <row r="34" spans="1:5" x14ac:dyDescent="0.3">
      <c r="A34" s="32" t="s">
        <v>31</v>
      </c>
      <c r="D34">
        <v>2</v>
      </c>
      <c r="E34">
        <v>2</v>
      </c>
    </row>
    <row r="35" spans="1:5" x14ac:dyDescent="0.3">
      <c r="A35" s="33" t="s">
        <v>360</v>
      </c>
      <c r="D35">
        <v>2</v>
      </c>
      <c r="E35">
        <v>2</v>
      </c>
    </row>
    <row r="36" spans="1:5" x14ac:dyDescent="0.3">
      <c r="A36" s="34" t="s">
        <v>386</v>
      </c>
      <c r="D36">
        <v>1</v>
      </c>
      <c r="E36">
        <v>1</v>
      </c>
    </row>
    <row r="37" spans="1:5" x14ac:dyDescent="0.3">
      <c r="A37" s="34" t="s">
        <v>374</v>
      </c>
      <c r="D37">
        <v>1</v>
      </c>
      <c r="E37">
        <v>1</v>
      </c>
    </row>
    <row r="38" spans="1:5" x14ac:dyDescent="0.3">
      <c r="A38" s="32" t="s">
        <v>29</v>
      </c>
      <c r="C38">
        <v>2</v>
      </c>
      <c r="E38">
        <v>2</v>
      </c>
    </row>
    <row r="39" spans="1:5" x14ac:dyDescent="0.3">
      <c r="A39" s="33" t="s">
        <v>404</v>
      </c>
      <c r="C39">
        <v>2</v>
      </c>
      <c r="E39">
        <v>2</v>
      </c>
    </row>
    <row r="40" spans="1:5" x14ac:dyDescent="0.3">
      <c r="A40" s="34" t="s">
        <v>457</v>
      </c>
      <c r="C40">
        <v>1</v>
      </c>
      <c r="E40">
        <v>1</v>
      </c>
    </row>
    <row r="41" spans="1:5" x14ac:dyDescent="0.3">
      <c r="A41" s="34" t="s">
        <v>458</v>
      </c>
      <c r="C41">
        <v>1</v>
      </c>
      <c r="E41">
        <v>1</v>
      </c>
    </row>
    <row r="42" spans="1:5" x14ac:dyDescent="0.3">
      <c r="A42" s="32" t="s">
        <v>30</v>
      </c>
      <c r="B42">
        <v>1</v>
      </c>
      <c r="D42">
        <v>1</v>
      </c>
      <c r="E42">
        <v>2</v>
      </c>
    </row>
    <row r="43" spans="1:5" x14ac:dyDescent="0.3">
      <c r="A43" s="33" t="s">
        <v>365</v>
      </c>
      <c r="B43">
        <v>1</v>
      </c>
      <c r="D43">
        <v>1</v>
      </c>
      <c r="E43">
        <v>2</v>
      </c>
    </row>
    <row r="44" spans="1:5" x14ac:dyDescent="0.3">
      <c r="A44" s="34" t="s">
        <v>376</v>
      </c>
      <c r="D44">
        <v>1</v>
      </c>
      <c r="E44">
        <v>1</v>
      </c>
    </row>
    <row r="45" spans="1:5" x14ac:dyDescent="0.3">
      <c r="A45" s="34" t="s">
        <v>377</v>
      </c>
      <c r="B45">
        <v>1</v>
      </c>
      <c r="E45">
        <v>1</v>
      </c>
    </row>
    <row r="46" spans="1:5" x14ac:dyDescent="0.3">
      <c r="A46" s="32" t="s">
        <v>439</v>
      </c>
      <c r="D46">
        <v>2</v>
      </c>
      <c r="E46">
        <v>2</v>
      </c>
    </row>
    <row r="47" spans="1:5" x14ac:dyDescent="0.3">
      <c r="A47" s="33" t="s">
        <v>439</v>
      </c>
      <c r="D47">
        <v>2</v>
      </c>
      <c r="E47">
        <v>2</v>
      </c>
    </row>
    <row r="48" spans="1:5" x14ac:dyDescent="0.3">
      <c r="A48" s="34" t="s">
        <v>518</v>
      </c>
      <c r="D48">
        <v>1</v>
      </c>
      <c r="E48">
        <v>1</v>
      </c>
    </row>
    <row r="49" spans="1:5" x14ac:dyDescent="0.3">
      <c r="A49" s="34" t="s">
        <v>519</v>
      </c>
      <c r="D49">
        <v>1</v>
      </c>
      <c r="E49">
        <v>1</v>
      </c>
    </row>
    <row r="50" spans="1:5" x14ac:dyDescent="0.3">
      <c r="A50" s="32" t="s">
        <v>309</v>
      </c>
      <c r="B50">
        <v>5</v>
      </c>
      <c r="C50">
        <v>6</v>
      </c>
      <c r="D50">
        <v>8</v>
      </c>
      <c r="E50">
        <v>19</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F8DEF-D249-4E66-9855-FACD4AB77CAD}">
  <dimension ref="A1:H46"/>
  <sheetViews>
    <sheetView workbookViewId="0">
      <selection activeCell="G3" sqref="G3"/>
    </sheetView>
  </sheetViews>
  <sheetFormatPr defaultRowHeight="14.4" x14ac:dyDescent="0.3"/>
  <cols>
    <col min="1" max="1" width="111.88671875" style="1" bestFit="1" customWidth="1"/>
    <col min="2" max="2" width="24.33203125" style="1" bestFit="1" customWidth="1"/>
    <col min="3" max="3" width="10" style="1" bestFit="1" customWidth="1"/>
    <col min="4" max="4" width="13.33203125" style="1" bestFit="1" customWidth="1"/>
    <col min="5" max="5" width="20.33203125" style="1" bestFit="1" customWidth="1"/>
    <col min="6" max="6" width="17.88671875" style="1" bestFit="1" customWidth="1"/>
    <col min="7" max="7" width="29.33203125" style="1" bestFit="1" customWidth="1"/>
    <col min="8" max="8" width="8.88671875" style="1"/>
  </cols>
  <sheetData>
    <row r="1" spans="1:7" ht="15.6" x14ac:dyDescent="0.3">
      <c r="A1" s="143" t="s">
        <v>609</v>
      </c>
      <c r="B1" s="143"/>
      <c r="D1" s="143" t="s">
        <v>608</v>
      </c>
      <c r="E1" s="143"/>
      <c r="F1" s="143"/>
      <c r="G1" s="143"/>
    </row>
    <row r="2" spans="1:7" x14ac:dyDescent="0.3">
      <c r="A2" s="31" t="s">
        <v>310</v>
      </c>
      <c r="B2" t="s">
        <v>605</v>
      </c>
      <c r="C2"/>
      <c r="D2" s="14" t="s">
        <v>392</v>
      </c>
      <c r="E2" s="14" t="s">
        <v>606</v>
      </c>
      <c r="F2" s="14" t="s">
        <v>604</v>
      </c>
      <c r="G2" s="14" t="s">
        <v>607</v>
      </c>
    </row>
    <row r="3" spans="1:7" x14ac:dyDescent="0.3">
      <c r="A3" s="32" t="s">
        <v>120</v>
      </c>
      <c r="B3">
        <v>4</v>
      </c>
      <c r="C3"/>
      <c r="D3" s="1" t="s">
        <v>120</v>
      </c>
      <c r="E3" s="1">
        <v>9</v>
      </c>
      <c r="F3" s="1">
        <f>COUNTIF('Roadmap Tático'!Z:Z,'Indicadores por Sprint'!D3)</f>
        <v>4</v>
      </c>
      <c r="G3" s="9">
        <f>F3/E3</f>
        <v>0.44444444444444442</v>
      </c>
    </row>
    <row r="4" spans="1:7" x14ac:dyDescent="0.3">
      <c r="A4" s="33" t="s">
        <v>147</v>
      </c>
      <c r="B4">
        <v>1</v>
      </c>
      <c r="C4"/>
    </row>
    <row r="5" spans="1:7" x14ac:dyDescent="0.3">
      <c r="A5" s="33" t="s">
        <v>148</v>
      </c>
      <c r="B5">
        <v>1</v>
      </c>
      <c r="C5"/>
    </row>
    <row r="6" spans="1:7" x14ac:dyDescent="0.3">
      <c r="A6" s="33" t="s">
        <v>149</v>
      </c>
      <c r="B6">
        <v>1</v>
      </c>
      <c r="C6"/>
    </row>
    <row r="7" spans="1:7" x14ac:dyDescent="0.3">
      <c r="A7" s="33" t="s">
        <v>154</v>
      </c>
      <c r="B7">
        <v>1</v>
      </c>
      <c r="C7"/>
    </row>
    <row r="8" spans="1:7" x14ac:dyDescent="0.3">
      <c r="A8" s="32" t="s">
        <v>140</v>
      </c>
      <c r="B8">
        <v>6</v>
      </c>
      <c r="C8"/>
    </row>
    <row r="9" spans="1:7" x14ac:dyDescent="0.3">
      <c r="A9" s="33" t="s">
        <v>161</v>
      </c>
      <c r="B9">
        <v>1</v>
      </c>
      <c r="C9"/>
    </row>
    <row r="10" spans="1:7" x14ac:dyDescent="0.3">
      <c r="A10" s="33" t="s">
        <v>403</v>
      </c>
      <c r="B10">
        <v>1</v>
      </c>
      <c r="C10"/>
    </row>
    <row r="11" spans="1:7" x14ac:dyDescent="0.3">
      <c r="A11" s="33" t="s">
        <v>382</v>
      </c>
      <c r="B11">
        <v>1</v>
      </c>
      <c r="C11"/>
    </row>
    <row r="12" spans="1:7" x14ac:dyDescent="0.3">
      <c r="A12" s="33" t="s">
        <v>163</v>
      </c>
      <c r="B12">
        <v>1</v>
      </c>
      <c r="C12"/>
    </row>
    <row r="13" spans="1:7" x14ac:dyDescent="0.3">
      <c r="A13" s="33" t="s">
        <v>399</v>
      </c>
      <c r="B13">
        <v>1</v>
      </c>
      <c r="C13"/>
    </row>
    <row r="14" spans="1:7" x14ac:dyDescent="0.3">
      <c r="A14" s="33" t="s">
        <v>157</v>
      </c>
      <c r="B14">
        <v>1</v>
      </c>
      <c r="C14"/>
    </row>
    <row r="15" spans="1:7" x14ac:dyDescent="0.3">
      <c r="A15" s="32" t="s">
        <v>516</v>
      </c>
      <c r="B15"/>
      <c r="C15"/>
    </row>
    <row r="16" spans="1:7" x14ac:dyDescent="0.3">
      <c r="A16" s="33" t="s">
        <v>314</v>
      </c>
      <c r="B16"/>
      <c r="C16"/>
    </row>
    <row r="17" spans="1:3" x14ac:dyDescent="0.3">
      <c r="A17" s="33" t="s">
        <v>317</v>
      </c>
      <c r="B17"/>
      <c r="C17"/>
    </row>
    <row r="18" spans="1:3" x14ac:dyDescent="0.3">
      <c r="A18" s="33" t="s">
        <v>306</v>
      </c>
      <c r="B18"/>
      <c r="C18"/>
    </row>
    <row r="19" spans="1:3" x14ac:dyDescent="0.3">
      <c r="A19" s="33" t="s">
        <v>305</v>
      </c>
      <c r="B19"/>
      <c r="C19"/>
    </row>
    <row r="20" spans="1:3" x14ac:dyDescent="0.3">
      <c r="A20" s="33" t="s">
        <v>340</v>
      </c>
      <c r="B20"/>
      <c r="C20"/>
    </row>
    <row r="21" spans="1:3" x14ac:dyDescent="0.3">
      <c r="A21" s="33" t="s">
        <v>300</v>
      </c>
      <c r="B21"/>
      <c r="C21"/>
    </row>
    <row r="22" spans="1:3" x14ac:dyDescent="0.3">
      <c r="A22" s="33" t="s">
        <v>356</v>
      </c>
      <c r="B22"/>
      <c r="C22"/>
    </row>
    <row r="23" spans="1:3" x14ac:dyDescent="0.3">
      <c r="A23" s="33" t="s">
        <v>415</v>
      </c>
      <c r="B23"/>
      <c r="C23"/>
    </row>
    <row r="24" spans="1:3" x14ac:dyDescent="0.3">
      <c r="A24" s="33" t="s">
        <v>383</v>
      </c>
      <c r="B24"/>
      <c r="C24"/>
    </row>
    <row r="25" spans="1:3" x14ac:dyDescent="0.3">
      <c r="A25" s="33" t="s">
        <v>414</v>
      </c>
      <c r="B25"/>
      <c r="C25"/>
    </row>
    <row r="26" spans="1:3" x14ac:dyDescent="0.3">
      <c r="A26" s="33" t="s">
        <v>398</v>
      </c>
      <c r="B26"/>
      <c r="C26"/>
    </row>
    <row r="27" spans="1:3" x14ac:dyDescent="0.3">
      <c r="A27" s="33" t="s">
        <v>400</v>
      </c>
      <c r="B27"/>
      <c r="C27"/>
    </row>
    <row r="28" spans="1:3" x14ac:dyDescent="0.3">
      <c r="A28" s="33" t="s">
        <v>386</v>
      </c>
      <c r="B28"/>
      <c r="C28"/>
    </row>
    <row r="29" spans="1:3" x14ac:dyDescent="0.3">
      <c r="A29" s="33" t="s">
        <v>440</v>
      </c>
      <c r="B29"/>
      <c r="C29"/>
    </row>
    <row r="30" spans="1:3" x14ac:dyDescent="0.3">
      <c r="A30" s="33" t="s">
        <v>377</v>
      </c>
      <c r="B30"/>
      <c r="C30"/>
    </row>
    <row r="31" spans="1:3" x14ac:dyDescent="0.3">
      <c r="A31" s="33" t="s">
        <v>376</v>
      </c>
      <c r="B31"/>
      <c r="C31"/>
    </row>
    <row r="32" spans="1:3" x14ac:dyDescent="0.3">
      <c r="A32" s="33" t="s">
        <v>433</v>
      </c>
      <c r="B32"/>
      <c r="C32"/>
    </row>
    <row r="33" spans="1:3" x14ac:dyDescent="0.3">
      <c r="A33" s="33" t="s">
        <v>458</v>
      </c>
      <c r="B33"/>
      <c r="C33"/>
    </row>
    <row r="34" spans="1:3" x14ac:dyDescent="0.3">
      <c r="A34" s="33" t="s">
        <v>457</v>
      </c>
      <c r="B34"/>
      <c r="C34"/>
    </row>
    <row r="35" spans="1:3" x14ac:dyDescent="0.3">
      <c r="A35" s="33" t="s">
        <v>374</v>
      </c>
      <c r="B35"/>
      <c r="C35"/>
    </row>
    <row r="36" spans="1:3" x14ac:dyDescent="0.3">
      <c r="A36" s="33" t="s">
        <v>518</v>
      </c>
      <c r="B36"/>
      <c r="C36"/>
    </row>
    <row r="37" spans="1:3" x14ac:dyDescent="0.3">
      <c r="A37" s="33" t="s">
        <v>519</v>
      </c>
      <c r="B37"/>
      <c r="C37"/>
    </row>
    <row r="38" spans="1:3" x14ac:dyDescent="0.3">
      <c r="A38" s="32" t="s">
        <v>119</v>
      </c>
      <c r="B38">
        <v>2</v>
      </c>
      <c r="C38"/>
    </row>
    <row r="39" spans="1:3" x14ac:dyDescent="0.3">
      <c r="A39" s="33" t="s">
        <v>146</v>
      </c>
      <c r="B39">
        <v>1</v>
      </c>
      <c r="C39"/>
    </row>
    <row r="40" spans="1:3" x14ac:dyDescent="0.3">
      <c r="A40" s="33" t="s">
        <v>145</v>
      </c>
      <c r="B40">
        <v>1</v>
      </c>
    </row>
    <row r="41" spans="1:3" x14ac:dyDescent="0.3">
      <c r="A41" s="32" t="s">
        <v>367</v>
      </c>
      <c r="B41">
        <v>1</v>
      </c>
    </row>
    <row r="42" spans="1:3" x14ac:dyDescent="0.3">
      <c r="A42" s="33" t="s">
        <v>299</v>
      </c>
      <c r="B42">
        <v>1</v>
      </c>
    </row>
    <row r="43" spans="1:3" x14ac:dyDescent="0.3">
      <c r="A43" s="32" t="s">
        <v>368</v>
      </c>
      <c r="B43">
        <v>2</v>
      </c>
    </row>
    <row r="44" spans="1:3" x14ac:dyDescent="0.3">
      <c r="A44" s="33" t="s">
        <v>307</v>
      </c>
      <c r="B44">
        <v>1</v>
      </c>
    </row>
    <row r="45" spans="1:3" x14ac:dyDescent="0.3">
      <c r="A45" s="33" t="s">
        <v>313</v>
      </c>
      <c r="B45">
        <v>1</v>
      </c>
    </row>
    <row r="46" spans="1:3" x14ac:dyDescent="0.3">
      <c r="A46" s="32" t="s">
        <v>309</v>
      </c>
      <c r="B46">
        <v>15</v>
      </c>
    </row>
  </sheetData>
  <mergeCells count="2">
    <mergeCell ref="A1:B1"/>
    <mergeCell ref="D1:G1"/>
  </mergeCells>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tabSelected="1" workbookViewId="0"/>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21" t="s">
        <v>283</v>
      </c>
      <c r="U1" s="121"/>
      <c r="V1" s="121"/>
      <c r="X1" s="6" t="s">
        <v>321</v>
      </c>
      <c r="Z1" s="144" t="s">
        <v>420</v>
      </c>
      <c r="AA1" s="144"/>
      <c r="AC1" s="145" t="s">
        <v>568</v>
      </c>
      <c r="AD1" s="145"/>
    </row>
    <row r="2" spans="1:30"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322</v>
      </c>
      <c r="Z2" s="1" t="s">
        <v>421</v>
      </c>
      <c r="AA2" s="1" t="s">
        <v>422</v>
      </c>
      <c r="AC2" s="15" t="s">
        <v>572</v>
      </c>
      <c r="AD2" s="15" t="s">
        <v>574</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323</v>
      </c>
      <c r="Z3" s="38">
        <v>45907</v>
      </c>
      <c r="AA3" s="1" t="str">
        <f>CHOOSE(WEEKDAY(Z3,2),"Segunda","Terça","Quarta","Quinta","Sexta","Sábado","Domingo")</f>
        <v>Domingo</v>
      </c>
      <c r="AC3" s="16" t="s">
        <v>575</v>
      </c>
      <c r="AD3" s="16">
        <v>0.5</v>
      </c>
    </row>
    <row r="4" spans="1:30"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324</v>
      </c>
      <c r="Z4" s="38">
        <v>45942</v>
      </c>
      <c r="AA4" s="1" t="str">
        <f>CHOOSE(WEEKDAY(Z4,2),"Segunda","Terça","Quarta","Quinta","Sexta","Sábado","Domingo")</f>
        <v>Domingo</v>
      </c>
      <c r="AC4" s="16" t="s">
        <v>576</v>
      </c>
      <c r="AD4" s="16">
        <v>1</v>
      </c>
    </row>
    <row r="5" spans="1:30" x14ac:dyDescent="0.3">
      <c r="C5" s="1" t="s">
        <v>29</v>
      </c>
      <c r="F5" s="1" t="s">
        <v>35</v>
      </c>
      <c r="J5" s="1" t="s">
        <v>48</v>
      </c>
      <c r="K5" s="1" t="s">
        <v>53</v>
      </c>
      <c r="Q5" s="1" t="s">
        <v>58</v>
      </c>
      <c r="T5" s="15" t="s">
        <v>38</v>
      </c>
      <c r="U5" s="16" t="s">
        <v>201</v>
      </c>
      <c r="V5" s="1" t="str">
        <f t="shared" si="0"/>
        <v>Discovery - Wireframes &amp; Fluxos</v>
      </c>
      <c r="X5" s="7" t="s">
        <v>325</v>
      </c>
      <c r="Z5" s="38">
        <v>45963</v>
      </c>
      <c r="AA5" s="1" t="str">
        <f>CHOOSE(WEEKDAY(Z5,2),"Segunda","Terça","Quarta","Quinta","Sexta","Sábado","Domingo")</f>
        <v>Domingo</v>
      </c>
      <c r="AC5" s="16" t="s">
        <v>573</v>
      </c>
      <c r="AD5" s="16">
        <v>2</v>
      </c>
    </row>
    <row r="6" spans="1:30" x14ac:dyDescent="0.3">
      <c r="C6" s="1" t="s">
        <v>30</v>
      </c>
      <c r="F6" s="1" t="s">
        <v>42</v>
      </c>
      <c r="K6" s="1" t="s">
        <v>54</v>
      </c>
      <c r="Q6" s="1" t="s">
        <v>59</v>
      </c>
      <c r="T6" s="15" t="s">
        <v>38</v>
      </c>
      <c r="U6" s="16" t="s">
        <v>205</v>
      </c>
      <c r="V6" s="1" t="str">
        <f t="shared" si="0"/>
        <v>Discovery - Protótipos &amp; Testes</v>
      </c>
      <c r="X6" s="7" t="s">
        <v>326</v>
      </c>
      <c r="Z6" s="38">
        <v>45976</v>
      </c>
      <c r="AA6" s="1" t="str">
        <f>CHOOSE(WEEKDAY(Z6,2),"Segunda","Terça","Quarta","Quinta","Sexta","Sábado","Domingo")</f>
        <v>Sábado</v>
      </c>
      <c r="AC6" s="16" t="s">
        <v>577</v>
      </c>
      <c r="AD6" s="16">
        <v>4</v>
      </c>
    </row>
    <row r="7" spans="1:30" x14ac:dyDescent="0.3">
      <c r="C7" s="1" t="s">
        <v>31</v>
      </c>
      <c r="K7" s="1" t="s">
        <v>55</v>
      </c>
      <c r="T7" s="15" t="s">
        <v>38</v>
      </c>
      <c r="U7" s="16" t="s">
        <v>209</v>
      </c>
      <c r="V7" s="1" t="str">
        <f t="shared" si="0"/>
        <v>Discovery - Validação Técnica</v>
      </c>
      <c r="X7" s="7" t="s">
        <v>327</v>
      </c>
      <c r="AC7" s="16" t="s">
        <v>579</v>
      </c>
      <c r="AD7" s="16">
        <v>6</v>
      </c>
    </row>
    <row r="8" spans="1:30" ht="28.8" x14ac:dyDescent="0.3">
      <c r="C8" s="1" t="s">
        <v>32</v>
      </c>
      <c r="T8" s="15" t="s">
        <v>38</v>
      </c>
      <c r="U8" s="16" t="s">
        <v>213</v>
      </c>
      <c r="V8" s="1" t="str">
        <f t="shared" si="0"/>
        <v>Discovery - Aprovação &amp; Priorização</v>
      </c>
      <c r="X8" s="7" t="s">
        <v>329</v>
      </c>
      <c r="AC8" s="16" t="s">
        <v>580</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7" t="s">
        <v>439</v>
      </c>
      <c r="T11" s="15" t="s">
        <v>39</v>
      </c>
      <c r="U11" s="16" t="s">
        <v>217</v>
      </c>
      <c r="V11" s="1" t="str">
        <f t="shared" si="0"/>
        <v>Delivery - Backlog de Desenvolvimento</v>
      </c>
      <c r="X11" s="7" t="s">
        <v>336</v>
      </c>
    </row>
    <row r="12" spans="1:30" ht="28.8" x14ac:dyDescent="0.3">
      <c r="C12" s="7" t="s">
        <v>620</v>
      </c>
      <c r="T12" s="15" t="s">
        <v>39</v>
      </c>
      <c r="U12" s="16" t="s">
        <v>221</v>
      </c>
      <c r="V12" s="1" t="str">
        <f t="shared" si="0"/>
        <v>Delivery - Desenvolvimento em Andamento</v>
      </c>
      <c r="X12" s="7" t="s">
        <v>337</v>
      </c>
    </row>
    <row r="13" spans="1:30" x14ac:dyDescent="0.3">
      <c r="T13" s="15" t="s">
        <v>39</v>
      </c>
      <c r="U13" s="16" t="s">
        <v>225</v>
      </c>
      <c r="V13" s="1" t="str">
        <f t="shared" si="0"/>
        <v>Delivery - Homologação &amp; Ajustes</v>
      </c>
      <c r="X13" s="7" t="s">
        <v>333</v>
      </c>
    </row>
    <row r="14" spans="1:30" x14ac:dyDescent="0.3">
      <c r="T14" s="15" t="s">
        <v>39</v>
      </c>
      <c r="U14" s="16" t="s">
        <v>229</v>
      </c>
      <c r="V14" s="1" t="str">
        <f t="shared" si="0"/>
        <v>Delivery - Pronto para Deploy</v>
      </c>
      <c r="X14" s="7" t="s">
        <v>334</v>
      </c>
    </row>
    <row r="15" spans="1:30" ht="28.8" x14ac:dyDescent="0.3">
      <c r="T15" s="15" t="s">
        <v>39</v>
      </c>
      <c r="U15" s="16" t="s">
        <v>233</v>
      </c>
      <c r="V15" s="1" t="str">
        <f t="shared" si="0"/>
        <v>Delivery - Deploy &amp; Monitoramento</v>
      </c>
      <c r="X15" s="7" t="s">
        <v>335</v>
      </c>
    </row>
    <row r="16" spans="1:30" x14ac:dyDescent="0.3">
      <c r="T16" s="15" t="s">
        <v>39</v>
      </c>
      <c r="U16" s="16" t="s">
        <v>290</v>
      </c>
      <c r="V16" s="1" t="str">
        <f>_xlfn.CONCAT(T16, " - ",U16)</f>
        <v>Delivery - Entrega</v>
      </c>
    </row>
    <row r="17" spans="20:22" x14ac:dyDescent="0.3">
      <c r="T17" s="15" t="s">
        <v>39</v>
      </c>
      <c r="U17" s="16" t="s">
        <v>54</v>
      </c>
      <c r="V17" s="1" t="str">
        <f>_xlfn.CONCAT(T17, " - ",U17)</f>
        <v>Delivery - Com impedimentos</v>
      </c>
    </row>
    <row r="18" spans="20:22"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workbookViewId="0">
      <selection activeCell="E9" sqref="E9"/>
    </sheetView>
  </sheetViews>
  <sheetFormatPr defaultRowHeight="14.4" x14ac:dyDescent="0.3"/>
  <cols>
    <col min="1" max="1" width="10.21875" style="1" customWidth="1"/>
    <col min="2" max="5" width="41.33203125" style="1" customWidth="1"/>
  </cols>
  <sheetData>
    <row r="1" spans="1:5" ht="18" x14ac:dyDescent="0.35">
      <c r="A1" s="146" t="s">
        <v>104</v>
      </c>
      <c r="B1" s="146"/>
      <c r="C1" s="146"/>
      <c r="D1" s="146"/>
      <c r="E1" s="146"/>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20"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19</vt:i4>
      </vt:variant>
    </vt:vector>
  </HeadingPairs>
  <TitlesOfParts>
    <vt:vector size="19" baseType="lpstr">
      <vt:lpstr>Menu</vt:lpstr>
      <vt:lpstr>Priorização</vt:lpstr>
      <vt:lpstr>Priorização - Impacto</vt:lpstr>
      <vt:lpstr>Priorização - Esforço</vt:lpstr>
      <vt:lpstr>Roadmap - Visão Timeline</vt:lpstr>
      <vt:lpstr>Sprint Goals</vt:lpstr>
      <vt:lpstr>Agendas Roadmap</vt:lpstr>
      <vt:lpstr>Roadmap Estratégico</vt:lpstr>
      <vt:lpstr>Analytics Roadmap Estratégico</vt:lpstr>
      <vt:lpstr>Roadmap Tático</vt:lpstr>
      <vt:lpstr>Analytics Roadmap Tático</vt:lpstr>
      <vt:lpstr>Indicadores por Sprint</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2025-07-07T01:17:45Z</dcterms:modified>
</cp:coreProperties>
</file>