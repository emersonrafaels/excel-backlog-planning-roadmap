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tables/table4.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tables/table5.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pivotTables/pivotTable1.xml" ContentType="application/vnd.openxmlformats-officedocument.spreadsheetml.pivotTable+xml"/>
  <Override PartName="/xl/drawings/drawing4.xml" ContentType="application/vnd.openxmlformats-officedocument.drawing+xml"/>
  <Override PartName="/xl/tables/table6.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pivotTables/pivotTable2.xml" ContentType="application/vnd.openxmlformats-officedocument.spreadsheetml.pivot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EstaPastaDeTrabalho"/>
  <mc:AlternateContent xmlns:mc="http://schemas.openxmlformats.org/markup-compatibility/2006">
    <mc:Choice Requires="x15">
      <x15ac:absPath xmlns:x15ac="http://schemas.microsoft.com/office/spreadsheetml/2010/11/ac" url="https://d.docs.live.net/7e66243f108409f2/Área de Trabalho/Itaú/CICF/Product Manager/excel-backlog-planning-roadmap/"/>
    </mc:Choice>
  </mc:AlternateContent>
  <xr:revisionPtr revIDLastSave="2637" documentId="8_{9E45816D-0961-4B1C-B41D-9F083A802A59}" xr6:coauthVersionLast="47" xr6:coauthVersionMax="47" xr10:uidLastSave="{036FBF2D-4C64-438E-B2A6-016A8598B60D}"/>
  <bookViews>
    <workbookView xWindow="28680" yWindow="-120" windowWidth="24240" windowHeight="13020" activeTab="4" xr2:uid="{00000000-000D-0000-FFFF-FFFF00000000}"/>
  </bookViews>
  <sheets>
    <sheet name="Menu" sheetId="18" r:id="rId1"/>
    <sheet name="Priorização" sheetId="14" r:id="rId2"/>
    <sheet name="Priorização - Impacto" sheetId="19" r:id="rId3"/>
    <sheet name="Priorização - Esforço" sheetId="22" r:id="rId4"/>
    <sheet name="Alocação" sheetId="23" r:id="rId5"/>
    <sheet name="Roadmap - Visão Timeline" sheetId="17" r:id="rId6"/>
    <sheet name="Sprint Goals" sheetId="15" r:id="rId7"/>
    <sheet name="Roadmap Estratégico" sheetId="1" r:id="rId8"/>
    <sheet name="Analytics Roadmap Estratégico" sheetId="13" r:id="rId9"/>
    <sheet name="Roadmap Tático" sheetId="6" r:id="rId10"/>
    <sheet name="Analytics Roadmap Tático" sheetId="12" r:id="rId11"/>
    <sheet name="Auxiliares" sheetId="2" r:id="rId12"/>
    <sheet name="Instruções" sheetId="3" r:id="rId13"/>
    <sheet name="Instruções - Sinaleiro" sheetId="4" r:id="rId14"/>
    <sheet name="Instruções - Tipos de Roadmap" sheetId="7" r:id="rId15"/>
    <sheet name="Story Points" sheetId="10" r:id="rId16"/>
    <sheet name="Etapas Dual Track Agile" sheetId="9" r:id="rId17"/>
    <sheet name="Calendário Comunidade 2025" sheetId="5" r:id="rId18"/>
  </sheets>
  <functionGroups builtInGroupCount="19"/>
  <definedNames>
    <definedName name="_xleta.COLUMN" hidden="1" xlm="1">#NAME?</definedName>
    <definedName name="_xleta.LEFT" hidden="1" xlm="1">#NAME?</definedName>
    <definedName name="_xleta.N" hidden="1" xlm="1">#NAME?</definedName>
    <definedName name="_xleta.RIGHT" hidden="1" xlm="1">#NAME?</definedName>
    <definedName name="_xleta.VLOOKUP" hidden="1" xlm="1">#NAME?</definedName>
    <definedName name="_xlpm.fim" hidden="1" xlm="1">#NAME?</definedName>
    <definedName name="_xlpm.ini" hidden="1" xlm="1">#NAME?</definedName>
    <definedName name="_xlpm.rFim" hidden="1" xlm="1">#NAME?</definedName>
    <definedName name="_xlpm.rIni" hidden="1" xlm="1">#NAME?</definedName>
    <definedName name="_xlpm.sFim" hidden="1" xlm="1">#NAME?</definedName>
    <definedName name="_xlpm.sIni" hidden="1" xlm="1">#NAME?</definedName>
    <definedName name="_xlpm.total" hidden="1" xlm="1">#NAME?</definedName>
    <definedName name="Lista_Classificação_da_Torre">INDIRECT("tbClassificacaoTorre[Classificação da Torre]")</definedName>
    <definedName name="Lista_Criticidade">INDIRECT("tbCriticidade[Criticidade]")</definedName>
    <definedName name="Lista_Discovery_Delivery">INDIRECT("tbDiscovery_Delivery[Discovery/Delivery]")</definedName>
    <definedName name="Lista_EscolhaRenuncia">INDIRECT("tbEscolhaRenuncia[Escolha ou Renúncia]")</definedName>
    <definedName name="Lista_Frente_Prioritária">INDIRECT("tbFrentePrioritaria[Frente Prioritária]")</definedName>
    <definedName name="Lista_Impacto" localSheetId="9">INDIRECT("tbImpacto[Impacto]")</definedName>
    <definedName name="Lista_Orquestrado_Envolvido">INDIRECT("tbOrquestrado_Envolvido[Orquestrado/Envolvido]")</definedName>
    <definedName name="Lista_Produtos">INDIRECT("tbProdutos[Produto]")</definedName>
    <definedName name="Lista_Sinaleiro">INDIRECT("tbSinaleiro[Sinaleiro]")</definedName>
    <definedName name="Lista_Status">INDIRECT("tbStatus[Status]")</definedName>
    <definedName name="listaDualTrack">INDIRECT("tbDualTrack[Esteira + Etapa]")</definedName>
    <definedName name="ListaEffort">INDIRECT("tblEffort[Nível de Esforço de cada colaborador]")</definedName>
    <definedName name="ListaEquipe">INDIRECT("tbEquipe[Equipe]")</definedName>
  </definedNames>
  <calcPr calcId="191029"/>
  <pivotCaches>
    <pivotCache cacheId="0" r:id="rId19"/>
    <pivotCache cacheId="1" r:id="rId2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3" i="14" l="1"/>
  <c r="T4" i="14"/>
  <c r="T5" i="14"/>
  <c r="T6" i="14"/>
  <c r="T7" i="14"/>
  <c r="F15" i="22" l="1"/>
  <c r="F14" i="22"/>
  <c r="F13" i="22"/>
  <c r="F12" i="22"/>
  <c r="F11" i="22"/>
  <c r="F2" i="22"/>
  <c r="F3" i="22"/>
  <c r="F4" i="22"/>
  <c r="F5" i="22"/>
  <c r="F6" i="22"/>
  <c r="F7" i="22"/>
  <c r="F8" i="22"/>
  <c r="F9" i="22"/>
  <c r="F10" i="22"/>
  <c r="C24" i="19"/>
  <c r="C22" i="19"/>
  <c r="M44" i="6"/>
  <c r="M43" i="6"/>
  <c r="A44" i="6"/>
  <c r="C44" i="6"/>
  <c r="D44" i="6"/>
  <c r="AA44" i="6"/>
  <c r="AB44" i="6"/>
  <c r="AC44" i="6"/>
  <c r="A33" i="1"/>
  <c r="A43" i="6"/>
  <c r="C43" i="6"/>
  <c r="D43" i="6"/>
  <c r="AA43" i="6"/>
  <c r="AB43" i="6"/>
  <c r="AC43" i="6"/>
  <c r="X33" i="1"/>
  <c r="W33" i="1"/>
  <c r="V33" i="1"/>
  <c r="L33" i="1"/>
  <c r="L34" i="1"/>
  <c r="A34" i="1"/>
  <c r="V34" i="1"/>
  <c r="W34" i="1"/>
  <c r="X34" i="1"/>
  <c r="X32" i="1"/>
  <c r="W32" i="1"/>
  <c r="V32" i="1"/>
  <c r="L32" i="1"/>
  <c r="A32" i="1"/>
  <c r="L31" i="1"/>
  <c r="AE17" i="1"/>
  <c r="AE16" i="1"/>
  <c r="A42" i="6"/>
  <c r="M42" i="6"/>
  <c r="AA42" i="6"/>
  <c r="AB42" i="6"/>
  <c r="AC42" i="6"/>
  <c r="A41" i="6"/>
  <c r="M41" i="6"/>
  <c r="AA41" i="6"/>
  <c r="AB41" i="6"/>
  <c r="AC41" i="6"/>
  <c r="A31" i="1"/>
  <c r="V31" i="1"/>
  <c r="W31" i="1"/>
  <c r="X31" i="1"/>
  <c r="M39" i="6"/>
  <c r="M40" i="6"/>
  <c r="I305" i="17"/>
  <c r="H305" i="17"/>
  <c r="G305" i="17"/>
  <c r="I304" i="17"/>
  <c r="H304" i="17"/>
  <c r="G304" i="17"/>
  <c r="I303" i="17"/>
  <c r="H303" i="17"/>
  <c r="G303" i="17"/>
  <c r="I302" i="17"/>
  <c r="H302" i="17"/>
  <c r="G302" i="17"/>
  <c r="I301" i="17"/>
  <c r="H301" i="17"/>
  <c r="G301" i="17"/>
  <c r="I300" i="17"/>
  <c r="H300" i="17"/>
  <c r="G300" i="17"/>
  <c r="I299" i="17"/>
  <c r="H299" i="17"/>
  <c r="G299" i="17"/>
  <c r="I298" i="17"/>
  <c r="H298" i="17"/>
  <c r="G298" i="17"/>
  <c r="I297" i="17"/>
  <c r="H297" i="17"/>
  <c r="G297" i="17"/>
  <c r="I296" i="17"/>
  <c r="H296" i="17"/>
  <c r="G296" i="17"/>
  <c r="I295" i="17"/>
  <c r="H295" i="17"/>
  <c r="G295" i="17"/>
  <c r="I294" i="17"/>
  <c r="H294" i="17"/>
  <c r="G294" i="17"/>
  <c r="I293" i="17"/>
  <c r="H293" i="17"/>
  <c r="G293" i="17"/>
  <c r="I292" i="17"/>
  <c r="H292" i="17"/>
  <c r="G292" i="17"/>
  <c r="I291" i="17"/>
  <c r="H291" i="17"/>
  <c r="G291" i="17"/>
  <c r="I290" i="17"/>
  <c r="H290" i="17"/>
  <c r="G290" i="17"/>
  <c r="I289" i="17"/>
  <c r="H289" i="17"/>
  <c r="G289" i="17"/>
  <c r="I288" i="17"/>
  <c r="H288" i="17"/>
  <c r="G288" i="17"/>
  <c r="I287" i="17"/>
  <c r="H287" i="17"/>
  <c r="G287" i="17"/>
  <c r="I286" i="17"/>
  <c r="H286" i="17"/>
  <c r="G286" i="17"/>
  <c r="I285" i="17"/>
  <c r="H285" i="17"/>
  <c r="G285" i="17"/>
  <c r="I284" i="17"/>
  <c r="H284" i="17"/>
  <c r="G284" i="17"/>
  <c r="I283" i="17"/>
  <c r="H283" i="17"/>
  <c r="G283" i="17"/>
  <c r="I282" i="17"/>
  <c r="H282" i="17"/>
  <c r="G282" i="17"/>
  <c r="I281" i="17"/>
  <c r="H281" i="17"/>
  <c r="G281" i="17"/>
  <c r="I280" i="17"/>
  <c r="H280" i="17"/>
  <c r="G280" i="17"/>
  <c r="I279" i="17"/>
  <c r="H279" i="17"/>
  <c r="G279" i="17"/>
  <c r="I278" i="17"/>
  <c r="H278" i="17"/>
  <c r="G278" i="17"/>
  <c r="I277" i="17"/>
  <c r="H277" i="17"/>
  <c r="G277" i="17"/>
  <c r="I276" i="17"/>
  <c r="H276" i="17"/>
  <c r="G276" i="17"/>
  <c r="I275" i="17"/>
  <c r="H275" i="17"/>
  <c r="G275" i="17"/>
  <c r="I274" i="17"/>
  <c r="H274" i="17"/>
  <c r="G274" i="17"/>
  <c r="I273" i="17"/>
  <c r="H273" i="17"/>
  <c r="G273" i="17"/>
  <c r="I272" i="17"/>
  <c r="H272" i="17"/>
  <c r="G272" i="17"/>
  <c r="I271" i="17"/>
  <c r="H271" i="17"/>
  <c r="G271" i="17"/>
  <c r="I270" i="17"/>
  <c r="H270" i="17"/>
  <c r="G270" i="17"/>
  <c r="I269" i="17"/>
  <c r="H269" i="17"/>
  <c r="G269" i="17"/>
  <c r="I268" i="17"/>
  <c r="H268" i="17"/>
  <c r="G268" i="17"/>
  <c r="I267" i="17"/>
  <c r="H267" i="17"/>
  <c r="G267" i="17"/>
  <c r="I266" i="17"/>
  <c r="H266" i="17"/>
  <c r="G266" i="17"/>
  <c r="I265" i="17"/>
  <c r="H265" i="17"/>
  <c r="G265" i="17"/>
  <c r="I264" i="17"/>
  <c r="H264" i="17"/>
  <c r="G264" i="17"/>
  <c r="I263" i="17"/>
  <c r="H263" i="17"/>
  <c r="G263" i="17"/>
  <c r="I262" i="17"/>
  <c r="H262" i="17"/>
  <c r="G262" i="17"/>
  <c r="I261" i="17"/>
  <c r="H261" i="17"/>
  <c r="G261" i="17"/>
  <c r="I260" i="17"/>
  <c r="H260" i="17"/>
  <c r="G260" i="17"/>
  <c r="I259" i="17"/>
  <c r="H259" i="17"/>
  <c r="G259" i="17"/>
  <c r="I258" i="17"/>
  <c r="H258" i="17"/>
  <c r="G258" i="17"/>
  <c r="I257" i="17"/>
  <c r="H257" i="17"/>
  <c r="G257" i="17"/>
  <c r="I256" i="17"/>
  <c r="H256" i="17"/>
  <c r="G256" i="17"/>
  <c r="I255" i="17"/>
  <c r="H255" i="17"/>
  <c r="G255" i="17"/>
  <c r="I254" i="17"/>
  <c r="H254" i="17"/>
  <c r="G254" i="17"/>
  <c r="I253" i="17"/>
  <c r="H253" i="17"/>
  <c r="G253" i="17"/>
  <c r="I252" i="17"/>
  <c r="H252" i="17"/>
  <c r="G252" i="17"/>
  <c r="I251" i="17"/>
  <c r="H251" i="17"/>
  <c r="G251" i="17"/>
  <c r="I250" i="17"/>
  <c r="H250" i="17"/>
  <c r="G250" i="17"/>
  <c r="I249" i="17"/>
  <c r="H249" i="17"/>
  <c r="G249" i="17"/>
  <c r="I248" i="17"/>
  <c r="H248" i="17"/>
  <c r="G248" i="17"/>
  <c r="I247" i="17"/>
  <c r="H247" i="17"/>
  <c r="G247" i="17"/>
  <c r="I246" i="17"/>
  <c r="H246" i="17"/>
  <c r="G246" i="17"/>
  <c r="I245" i="17"/>
  <c r="H245" i="17"/>
  <c r="G245" i="17"/>
  <c r="I244" i="17"/>
  <c r="H244" i="17"/>
  <c r="G244" i="17"/>
  <c r="I243" i="17"/>
  <c r="H243" i="17"/>
  <c r="G243" i="17"/>
  <c r="I242" i="17"/>
  <c r="H242" i="17"/>
  <c r="G242" i="17"/>
  <c r="I241" i="17"/>
  <c r="H241" i="17"/>
  <c r="G241" i="17"/>
  <c r="I240" i="17"/>
  <c r="H240" i="17"/>
  <c r="G240" i="17"/>
  <c r="I239" i="17"/>
  <c r="H239" i="17"/>
  <c r="G239" i="17"/>
  <c r="I238" i="17"/>
  <c r="H238" i="17"/>
  <c r="G238" i="17"/>
  <c r="I237" i="17"/>
  <c r="H237" i="17"/>
  <c r="G237" i="17"/>
  <c r="I236" i="17"/>
  <c r="H236" i="17"/>
  <c r="G236" i="17"/>
  <c r="I235" i="17"/>
  <c r="H235" i="17"/>
  <c r="G235" i="17"/>
  <c r="I234" i="17"/>
  <c r="H234" i="17"/>
  <c r="G234" i="17"/>
  <c r="I233" i="17"/>
  <c r="H233" i="17"/>
  <c r="G233" i="17"/>
  <c r="I232" i="17"/>
  <c r="H232" i="17"/>
  <c r="G232" i="17"/>
  <c r="I231" i="17"/>
  <c r="H231" i="17"/>
  <c r="G231" i="17"/>
  <c r="I230" i="17"/>
  <c r="H230" i="17"/>
  <c r="G230" i="17"/>
  <c r="I229" i="17"/>
  <c r="H229" i="17"/>
  <c r="G229" i="17"/>
  <c r="I228" i="17"/>
  <c r="H228" i="17"/>
  <c r="G228" i="17"/>
  <c r="I227" i="17"/>
  <c r="H227" i="17"/>
  <c r="G227" i="17"/>
  <c r="I226" i="17"/>
  <c r="H226" i="17"/>
  <c r="G226" i="17"/>
  <c r="I225" i="17"/>
  <c r="H225" i="17"/>
  <c r="G225" i="17"/>
  <c r="I224" i="17"/>
  <c r="H224" i="17"/>
  <c r="G224" i="17"/>
  <c r="I223" i="17"/>
  <c r="H223" i="17"/>
  <c r="G223" i="17"/>
  <c r="I222" i="17"/>
  <c r="H222" i="17"/>
  <c r="G222" i="17"/>
  <c r="I221" i="17"/>
  <c r="H221" i="17"/>
  <c r="G221" i="17"/>
  <c r="I220" i="17"/>
  <c r="H220" i="17"/>
  <c r="G220" i="17"/>
  <c r="I219" i="17"/>
  <c r="H219" i="17"/>
  <c r="G219" i="17"/>
  <c r="I218" i="17"/>
  <c r="H218" i="17"/>
  <c r="G218" i="17"/>
  <c r="I217" i="17"/>
  <c r="H217" i="17"/>
  <c r="G217" i="17"/>
  <c r="I216" i="17"/>
  <c r="H216" i="17"/>
  <c r="G216" i="17"/>
  <c r="I215" i="17"/>
  <c r="H215" i="17"/>
  <c r="G215" i="17"/>
  <c r="I214" i="17"/>
  <c r="H214" i="17"/>
  <c r="G214" i="17"/>
  <c r="I213" i="17"/>
  <c r="H213" i="17"/>
  <c r="G213" i="17"/>
  <c r="I212" i="17"/>
  <c r="H212" i="17"/>
  <c r="G212" i="17"/>
  <c r="I211" i="17"/>
  <c r="H211" i="17"/>
  <c r="G211" i="17"/>
  <c r="I210" i="17"/>
  <c r="H210" i="17"/>
  <c r="G210" i="17"/>
  <c r="I209" i="17"/>
  <c r="H209" i="17"/>
  <c r="G209" i="17"/>
  <c r="I208" i="17"/>
  <c r="H208" i="17"/>
  <c r="G208" i="17"/>
  <c r="I207" i="17"/>
  <c r="H207" i="17"/>
  <c r="G207" i="17"/>
  <c r="I206" i="17"/>
  <c r="H206" i="17"/>
  <c r="G206" i="17"/>
  <c r="I205" i="17"/>
  <c r="H205" i="17"/>
  <c r="G205" i="17"/>
  <c r="I204" i="17"/>
  <c r="H204" i="17"/>
  <c r="G204" i="17"/>
  <c r="I203" i="17"/>
  <c r="H203" i="17"/>
  <c r="G203" i="17"/>
  <c r="I202" i="17"/>
  <c r="H202" i="17"/>
  <c r="G202" i="17"/>
  <c r="I201" i="17"/>
  <c r="H201" i="17"/>
  <c r="G201" i="17"/>
  <c r="I200" i="17"/>
  <c r="H200" i="17"/>
  <c r="G200" i="17"/>
  <c r="I199" i="17"/>
  <c r="H199" i="17"/>
  <c r="G199" i="17"/>
  <c r="I198" i="17"/>
  <c r="H198" i="17"/>
  <c r="G198" i="17"/>
  <c r="I197" i="17"/>
  <c r="H197" i="17"/>
  <c r="G197" i="17"/>
  <c r="I196" i="17"/>
  <c r="H196" i="17"/>
  <c r="G196" i="17"/>
  <c r="I195" i="17"/>
  <c r="H195" i="17"/>
  <c r="G195" i="17"/>
  <c r="I194" i="17"/>
  <c r="H194" i="17"/>
  <c r="G194" i="17"/>
  <c r="I193" i="17"/>
  <c r="H193" i="17"/>
  <c r="G193" i="17"/>
  <c r="I192" i="17"/>
  <c r="H192" i="17"/>
  <c r="G192" i="17"/>
  <c r="I191" i="17"/>
  <c r="H191" i="17"/>
  <c r="G191" i="17"/>
  <c r="I190" i="17"/>
  <c r="H190" i="17"/>
  <c r="G190" i="17"/>
  <c r="I189" i="17"/>
  <c r="H189" i="17"/>
  <c r="G189" i="17"/>
  <c r="I188" i="17"/>
  <c r="H188" i="17"/>
  <c r="G188" i="17"/>
  <c r="I187" i="17"/>
  <c r="H187" i="17"/>
  <c r="G187" i="17"/>
  <c r="I186" i="17"/>
  <c r="H186" i="17"/>
  <c r="G186" i="17"/>
  <c r="I185" i="17"/>
  <c r="H185" i="17"/>
  <c r="G185" i="17"/>
  <c r="I184" i="17"/>
  <c r="H184" i="17"/>
  <c r="G184" i="17"/>
  <c r="I183" i="17"/>
  <c r="H183" i="17"/>
  <c r="G183" i="17"/>
  <c r="I182" i="17"/>
  <c r="H182" i="17"/>
  <c r="G182" i="17"/>
  <c r="I181" i="17"/>
  <c r="H181" i="17"/>
  <c r="G181" i="17"/>
  <c r="I180" i="17"/>
  <c r="H180" i="17"/>
  <c r="G180" i="17"/>
  <c r="I179" i="17"/>
  <c r="H179" i="17"/>
  <c r="G179" i="17"/>
  <c r="I178" i="17"/>
  <c r="H178" i="17"/>
  <c r="G178" i="17"/>
  <c r="I177" i="17"/>
  <c r="H177" i="17"/>
  <c r="G177" i="17"/>
  <c r="I176" i="17"/>
  <c r="H176" i="17"/>
  <c r="G176" i="17"/>
  <c r="I175" i="17"/>
  <c r="H175" i="17"/>
  <c r="G175" i="17"/>
  <c r="I174" i="17"/>
  <c r="H174" i="17"/>
  <c r="G174" i="17"/>
  <c r="I173" i="17"/>
  <c r="H173" i="17"/>
  <c r="G173" i="17"/>
  <c r="I172" i="17"/>
  <c r="H172" i="17"/>
  <c r="G172" i="17"/>
  <c r="I171" i="17"/>
  <c r="H171" i="17"/>
  <c r="G171" i="17"/>
  <c r="I170" i="17"/>
  <c r="H170" i="17"/>
  <c r="G170" i="17"/>
  <c r="I169" i="17"/>
  <c r="H169" i="17"/>
  <c r="G169" i="17"/>
  <c r="I168" i="17"/>
  <c r="H168" i="17"/>
  <c r="G168" i="17"/>
  <c r="I167" i="17"/>
  <c r="H167" i="17"/>
  <c r="G167" i="17"/>
  <c r="I166" i="17"/>
  <c r="H166" i="17"/>
  <c r="G166" i="17"/>
  <c r="I165" i="17"/>
  <c r="H165" i="17"/>
  <c r="G165" i="17"/>
  <c r="I164" i="17"/>
  <c r="H164" i="17"/>
  <c r="G164" i="17"/>
  <c r="I163" i="17"/>
  <c r="H163" i="17"/>
  <c r="G163" i="17"/>
  <c r="I162" i="17"/>
  <c r="H162" i="17"/>
  <c r="G162" i="17"/>
  <c r="I161" i="17"/>
  <c r="H161" i="17"/>
  <c r="G161" i="17"/>
  <c r="I160" i="17"/>
  <c r="H160" i="17"/>
  <c r="G160" i="17"/>
  <c r="I159" i="17"/>
  <c r="H159" i="17"/>
  <c r="G159" i="17"/>
  <c r="I158" i="17"/>
  <c r="H158" i="17"/>
  <c r="G158" i="17"/>
  <c r="I157" i="17"/>
  <c r="H157" i="17"/>
  <c r="G157" i="17"/>
  <c r="I156" i="17"/>
  <c r="H156" i="17"/>
  <c r="G156" i="17"/>
  <c r="I155" i="17"/>
  <c r="H155" i="17"/>
  <c r="G155" i="17"/>
  <c r="I154" i="17"/>
  <c r="H154" i="17"/>
  <c r="G154" i="17"/>
  <c r="I153" i="17"/>
  <c r="H153" i="17"/>
  <c r="G153" i="17"/>
  <c r="I152" i="17"/>
  <c r="H152" i="17"/>
  <c r="G152" i="17"/>
  <c r="I151" i="17"/>
  <c r="H151" i="17"/>
  <c r="G151" i="17"/>
  <c r="I150" i="17"/>
  <c r="H150" i="17"/>
  <c r="G150" i="17"/>
  <c r="I149" i="17"/>
  <c r="H149" i="17"/>
  <c r="G149" i="17"/>
  <c r="I148" i="17"/>
  <c r="H148" i="17"/>
  <c r="G148" i="17"/>
  <c r="I147" i="17"/>
  <c r="H147" i="17"/>
  <c r="G147" i="17"/>
  <c r="I146" i="17"/>
  <c r="H146" i="17"/>
  <c r="G146" i="17"/>
  <c r="I145" i="17"/>
  <c r="H145" i="17"/>
  <c r="G145" i="17"/>
  <c r="I144" i="17"/>
  <c r="H144" i="17"/>
  <c r="G144" i="17"/>
  <c r="I143" i="17"/>
  <c r="H143" i="17"/>
  <c r="G143" i="17"/>
  <c r="I142" i="17"/>
  <c r="H142" i="17"/>
  <c r="G142" i="17"/>
  <c r="I141" i="17"/>
  <c r="H141" i="17"/>
  <c r="G141" i="17"/>
  <c r="I140" i="17"/>
  <c r="H140" i="17"/>
  <c r="G140" i="17"/>
  <c r="I139" i="17"/>
  <c r="H139" i="17"/>
  <c r="G139" i="17"/>
  <c r="I138" i="17"/>
  <c r="H138" i="17"/>
  <c r="G138" i="17"/>
  <c r="I137" i="17"/>
  <c r="H137" i="17"/>
  <c r="G137" i="17"/>
  <c r="I136" i="17"/>
  <c r="H136" i="17"/>
  <c r="G136" i="17"/>
  <c r="I135" i="17"/>
  <c r="H135" i="17"/>
  <c r="G135" i="17"/>
  <c r="I134" i="17"/>
  <c r="H134" i="17"/>
  <c r="G134" i="17"/>
  <c r="I133" i="17"/>
  <c r="H133" i="17"/>
  <c r="G133" i="17"/>
  <c r="I132" i="17"/>
  <c r="H132" i="17"/>
  <c r="G132" i="17"/>
  <c r="I131" i="17"/>
  <c r="H131" i="17"/>
  <c r="G131" i="17"/>
  <c r="I130" i="17"/>
  <c r="H130" i="17"/>
  <c r="G130" i="17"/>
  <c r="I129" i="17"/>
  <c r="H129" i="17"/>
  <c r="G129" i="17"/>
  <c r="I128" i="17"/>
  <c r="H128" i="17"/>
  <c r="G128" i="17"/>
  <c r="I127" i="17"/>
  <c r="H127" i="17"/>
  <c r="G127" i="17"/>
  <c r="I126" i="17"/>
  <c r="H126" i="17"/>
  <c r="G126" i="17"/>
  <c r="I125" i="17"/>
  <c r="H125" i="17"/>
  <c r="G125" i="17"/>
  <c r="I124" i="17"/>
  <c r="H124" i="17"/>
  <c r="G124" i="17"/>
  <c r="I123" i="17"/>
  <c r="H123" i="17"/>
  <c r="G123" i="17"/>
  <c r="I122" i="17"/>
  <c r="H122" i="17"/>
  <c r="G122" i="17"/>
  <c r="I121" i="17"/>
  <c r="H121" i="17"/>
  <c r="G121" i="17"/>
  <c r="I120" i="17"/>
  <c r="H120" i="17"/>
  <c r="G120" i="17"/>
  <c r="I119" i="17"/>
  <c r="H119" i="17"/>
  <c r="G119" i="17"/>
  <c r="I118" i="17"/>
  <c r="H118" i="17"/>
  <c r="G118" i="17"/>
  <c r="I117" i="17"/>
  <c r="H117" i="17"/>
  <c r="G117" i="17"/>
  <c r="I116" i="17"/>
  <c r="H116" i="17"/>
  <c r="G116" i="17"/>
  <c r="I115" i="17"/>
  <c r="H115" i="17"/>
  <c r="G115" i="17"/>
  <c r="I114" i="17"/>
  <c r="H114" i="17"/>
  <c r="G114" i="17"/>
  <c r="I113" i="17"/>
  <c r="H113" i="17"/>
  <c r="G113" i="17"/>
  <c r="I112" i="17"/>
  <c r="H112" i="17"/>
  <c r="G112" i="17"/>
  <c r="I111" i="17"/>
  <c r="H111" i="17"/>
  <c r="G111" i="17"/>
  <c r="I110" i="17"/>
  <c r="H110" i="17"/>
  <c r="G110" i="17"/>
  <c r="I109" i="17"/>
  <c r="H109" i="17"/>
  <c r="G109" i="17"/>
  <c r="I108" i="17"/>
  <c r="H108" i="17"/>
  <c r="G108" i="17"/>
  <c r="I107" i="17"/>
  <c r="H107" i="17"/>
  <c r="G107" i="17"/>
  <c r="I106" i="17"/>
  <c r="H106" i="17"/>
  <c r="G106" i="17"/>
  <c r="I105" i="17"/>
  <c r="H105" i="17"/>
  <c r="G105" i="17"/>
  <c r="I104" i="17"/>
  <c r="H104" i="17"/>
  <c r="G104" i="17"/>
  <c r="I103" i="17"/>
  <c r="H103" i="17"/>
  <c r="G103" i="17"/>
  <c r="I102" i="17"/>
  <c r="H102" i="17"/>
  <c r="G102" i="17"/>
  <c r="I101" i="17"/>
  <c r="H101" i="17"/>
  <c r="G101" i="17"/>
  <c r="I100" i="17"/>
  <c r="H100" i="17"/>
  <c r="G100" i="17"/>
  <c r="I99" i="17"/>
  <c r="H99" i="17"/>
  <c r="G99" i="17"/>
  <c r="I98" i="17"/>
  <c r="H98" i="17"/>
  <c r="G98" i="17"/>
  <c r="I97" i="17"/>
  <c r="H97" i="17"/>
  <c r="G97" i="17"/>
  <c r="I96" i="17"/>
  <c r="H96" i="17"/>
  <c r="G96" i="17"/>
  <c r="I95" i="17"/>
  <c r="H95" i="17"/>
  <c r="G95" i="17"/>
  <c r="I94" i="17"/>
  <c r="H94" i="17"/>
  <c r="G94" i="17"/>
  <c r="I93" i="17"/>
  <c r="H93" i="17"/>
  <c r="G93" i="17"/>
  <c r="I92" i="17"/>
  <c r="H92" i="17"/>
  <c r="G92" i="17"/>
  <c r="I91" i="17"/>
  <c r="H91" i="17"/>
  <c r="G91" i="17"/>
  <c r="I90" i="17"/>
  <c r="H90" i="17"/>
  <c r="G90" i="17"/>
  <c r="I89" i="17"/>
  <c r="H89" i="17"/>
  <c r="G89" i="17"/>
  <c r="I88" i="17"/>
  <c r="H88" i="17"/>
  <c r="G88" i="17"/>
  <c r="I87" i="17"/>
  <c r="H87" i="17"/>
  <c r="G87" i="17"/>
  <c r="I86" i="17"/>
  <c r="H86" i="17"/>
  <c r="G86" i="17"/>
  <c r="I85" i="17"/>
  <c r="H85" i="17"/>
  <c r="G85" i="17"/>
  <c r="I84" i="17"/>
  <c r="H84" i="17"/>
  <c r="G84" i="17"/>
  <c r="I83" i="17"/>
  <c r="H83" i="17"/>
  <c r="G83" i="17"/>
  <c r="I82" i="17"/>
  <c r="H82" i="17"/>
  <c r="G82" i="17"/>
  <c r="I81" i="17"/>
  <c r="H81" i="17"/>
  <c r="G81" i="17"/>
  <c r="I80" i="17"/>
  <c r="H80" i="17"/>
  <c r="G80" i="17"/>
  <c r="I79" i="17"/>
  <c r="H79" i="17"/>
  <c r="G79" i="17"/>
  <c r="I78" i="17"/>
  <c r="H78" i="17"/>
  <c r="G78" i="17"/>
  <c r="I77" i="17"/>
  <c r="H77" i="17"/>
  <c r="G77" i="17"/>
  <c r="I76" i="17"/>
  <c r="H76" i="17"/>
  <c r="G76" i="17"/>
  <c r="I75" i="17"/>
  <c r="H75" i="17"/>
  <c r="G75" i="17"/>
  <c r="I74" i="17"/>
  <c r="H74" i="17"/>
  <c r="G74" i="17"/>
  <c r="I73" i="17"/>
  <c r="H73" i="17"/>
  <c r="G73" i="17"/>
  <c r="I72" i="17"/>
  <c r="H72" i="17"/>
  <c r="G72" i="17"/>
  <c r="I71" i="17"/>
  <c r="H71" i="17"/>
  <c r="G71" i="17"/>
  <c r="I70" i="17"/>
  <c r="H70" i="17"/>
  <c r="G70" i="17"/>
  <c r="I69" i="17"/>
  <c r="H69" i="17"/>
  <c r="G69" i="17"/>
  <c r="I68" i="17"/>
  <c r="H68" i="17"/>
  <c r="G68" i="17"/>
  <c r="I67" i="17"/>
  <c r="H67" i="17"/>
  <c r="G67" i="17"/>
  <c r="I66" i="17"/>
  <c r="H66" i="17"/>
  <c r="G66" i="17"/>
  <c r="I65" i="17"/>
  <c r="H65" i="17"/>
  <c r="G65" i="17"/>
  <c r="I64" i="17"/>
  <c r="H64" i="17"/>
  <c r="G64" i="17"/>
  <c r="I63" i="17"/>
  <c r="H63" i="17"/>
  <c r="G63" i="17"/>
  <c r="I62" i="17"/>
  <c r="H62" i="17"/>
  <c r="G62" i="17"/>
  <c r="I61" i="17"/>
  <c r="H61" i="17"/>
  <c r="G61" i="17"/>
  <c r="I60" i="17"/>
  <c r="H60" i="17"/>
  <c r="G60" i="17"/>
  <c r="I59" i="17"/>
  <c r="H59" i="17"/>
  <c r="G59" i="17"/>
  <c r="I58" i="17"/>
  <c r="H58" i="17"/>
  <c r="G58" i="17"/>
  <c r="I57" i="17"/>
  <c r="H57" i="17"/>
  <c r="G57" i="17"/>
  <c r="I56" i="17"/>
  <c r="H56" i="17"/>
  <c r="G56" i="17"/>
  <c r="I55" i="17"/>
  <c r="H55" i="17"/>
  <c r="G55" i="17"/>
  <c r="I54" i="17"/>
  <c r="H54" i="17"/>
  <c r="G54" i="17"/>
  <c r="I53" i="17"/>
  <c r="H53" i="17"/>
  <c r="G53" i="17"/>
  <c r="I52" i="17"/>
  <c r="H52" i="17"/>
  <c r="G52" i="17"/>
  <c r="I51" i="17"/>
  <c r="H51" i="17"/>
  <c r="G51" i="17"/>
  <c r="I50" i="17"/>
  <c r="H50" i="17"/>
  <c r="G50" i="17"/>
  <c r="I49" i="17"/>
  <c r="H49" i="17"/>
  <c r="G49" i="17"/>
  <c r="I48" i="17"/>
  <c r="H48" i="17"/>
  <c r="G48" i="17"/>
  <c r="I47" i="17"/>
  <c r="H47" i="17"/>
  <c r="G47" i="17"/>
  <c r="I46" i="17"/>
  <c r="H46" i="17"/>
  <c r="G46" i="17"/>
  <c r="I45" i="17"/>
  <c r="H45" i="17"/>
  <c r="G45" i="17"/>
  <c r="I44" i="17"/>
  <c r="H44" i="17"/>
  <c r="G44" i="17"/>
  <c r="I43" i="17"/>
  <c r="H43" i="17"/>
  <c r="G43" i="17"/>
  <c r="I42" i="17"/>
  <c r="H42" i="17"/>
  <c r="G42" i="17"/>
  <c r="I41" i="17"/>
  <c r="H41" i="17"/>
  <c r="G41" i="17"/>
  <c r="I40" i="17"/>
  <c r="H40" i="17"/>
  <c r="G40" i="17"/>
  <c r="I39" i="17"/>
  <c r="H39" i="17"/>
  <c r="G39" i="17"/>
  <c r="I38" i="17"/>
  <c r="H38" i="17"/>
  <c r="G38" i="17"/>
  <c r="I37" i="17"/>
  <c r="H37" i="17"/>
  <c r="G37" i="17"/>
  <c r="I36" i="17"/>
  <c r="H36" i="17"/>
  <c r="G36" i="17"/>
  <c r="I35" i="17"/>
  <c r="H35" i="17"/>
  <c r="G35" i="17"/>
  <c r="I34" i="17"/>
  <c r="H34" i="17"/>
  <c r="G34" i="17"/>
  <c r="I33" i="17"/>
  <c r="H33" i="17"/>
  <c r="G33" i="17"/>
  <c r="I32" i="17"/>
  <c r="H32" i="17"/>
  <c r="G32" i="17"/>
  <c r="I31" i="17"/>
  <c r="H31" i="17"/>
  <c r="G31" i="17"/>
  <c r="I30" i="17"/>
  <c r="H30" i="17"/>
  <c r="G30" i="17"/>
  <c r="I29" i="17"/>
  <c r="H29" i="17"/>
  <c r="G29" i="17"/>
  <c r="I28" i="17"/>
  <c r="H28" i="17"/>
  <c r="G28" i="17"/>
  <c r="I27" i="17"/>
  <c r="H27" i="17"/>
  <c r="G27" i="17"/>
  <c r="I26" i="17"/>
  <c r="H26" i="17"/>
  <c r="G26" i="17"/>
  <c r="I25" i="17"/>
  <c r="H25" i="17"/>
  <c r="G25" i="17"/>
  <c r="I24" i="17"/>
  <c r="H24" i="17"/>
  <c r="G24" i="17"/>
  <c r="I23" i="17"/>
  <c r="H23" i="17"/>
  <c r="G23" i="17"/>
  <c r="I22" i="17"/>
  <c r="H22" i="17"/>
  <c r="G22" i="17"/>
  <c r="I21" i="17"/>
  <c r="H21" i="17"/>
  <c r="G21" i="17"/>
  <c r="I20" i="17"/>
  <c r="H20" i="17"/>
  <c r="G20" i="17"/>
  <c r="I19" i="17"/>
  <c r="H19" i="17"/>
  <c r="G19" i="17"/>
  <c r="I18" i="17"/>
  <c r="H18" i="17"/>
  <c r="G18" i="17"/>
  <c r="I17" i="17"/>
  <c r="H17" i="17"/>
  <c r="G17" i="17"/>
  <c r="I16" i="17"/>
  <c r="H16" i="17"/>
  <c r="G16" i="17"/>
  <c r="I15" i="17"/>
  <c r="H15" i="17"/>
  <c r="G15" i="17"/>
  <c r="I14" i="17"/>
  <c r="H14" i="17"/>
  <c r="G14" i="17"/>
  <c r="I13" i="17"/>
  <c r="H13" i="17"/>
  <c r="G13" i="17"/>
  <c r="I12" i="17"/>
  <c r="H12" i="17"/>
  <c r="G12" i="17"/>
  <c r="I11" i="17"/>
  <c r="H11" i="17"/>
  <c r="G11" i="17"/>
  <c r="I10" i="17"/>
  <c r="H10" i="17"/>
  <c r="G10" i="17"/>
  <c r="I9" i="17"/>
  <c r="H9" i="17"/>
  <c r="G9" i="17"/>
  <c r="I8" i="17"/>
  <c r="H8" i="17"/>
  <c r="G8" i="17"/>
  <c r="I7" i="17"/>
  <c r="H7" i="17"/>
  <c r="G7" i="17"/>
  <c r="I6" i="17"/>
  <c r="H6" i="17"/>
  <c r="G6" i="17"/>
  <c r="BG5" i="17" a="1"/>
  <c r="BQ4" i="17" a="1"/>
  <c r="BA4" i="17" a="1"/>
  <c r="AC5" i="17" a="1"/>
  <c r="AQ5" i="17" a="1"/>
  <c r="CJ5" i="17" a="1"/>
  <c r="AI5" i="17" a="1"/>
  <c r="R5" i="17" a="1"/>
  <c r="M4" i="17" a="1"/>
  <c r="CN5" i="17" a="1"/>
  <c r="CC4" i="17" a="1"/>
  <c r="CK5" i="17" a="1"/>
  <c r="CF5" i="17" a="1"/>
  <c r="CW4" i="17" a="1"/>
  <c r="DF5" i="17" a="1"/>
  <c r="AB5" i="17" a="1"/>
  <c r="BV5" i="17" a="1"/>
  <c r="CP5" i="17" a="1"/>
  <c r="AW4" i="17" a="1"/>
  <c r="BI5" i="17" a="1"/>
  <c r="BT5" i="17" a="1"/>
  <c r="DG5" i="17" a="1"/>
  <c r="AL5" i="17" a="1"/>
  <c r="DD5" i="17" a="1"/>
  <c r="CX5" i="17" a="1"/>
  <c r="BE4" i="17" a="1"/>
  <c r="AS5" i="17" a="1"/>
  <c r="V5" i="17" a="1"/>
  <c r="BD5" i="17" a="1"/>
  <c r="BU4" i="17" a="1"/>
  <c r="Z5" i="17" a="1"/>
  <c r="CB5" i="17" a="1"/>
  <c r="AV5" i="17" a="1"/>
  <c r="AH5" i="17" a="1"/>
  <c r="CO5" i="17" a="1"/>
  <c r="CS4" i="17" a="1"/>
  <c r="AZ5" i="17" a="1"/>
  <c r="T5" i="17" a="1"/>
  <c r="BF5" i="17" a="1"/>
  <c r="DB5" i="17" a="1"/>
  <c r="BJ5" i="17" a="1"/>
  <c r="AW5" i="17" a="1"/>
  <c r="CA5" i="17" a="1"/>
  <c r="CE5" i="17" a="1"/>
  <c r="P5" i="17" a="1"/>
  <c r="CC5" i="17" a="1"/>
  <c r="BB5" i="17" a="1"/>
  <c r="CY5" i="17" a="1"/>
  <c r="X5" i="17" a="1"/>
  <c r="CQ5" i="17" a="1"/>
  <c r="DE4" i="17" a="1"/>
  <c r="O5" i="17" a="1"/>
  <c r="BM5" i="17" a="1"/>
  <c r="AK5" i="17" a="1"/>
  <c r="W5" i="17" a="1"/>
  <c r="M5" i="17" a="1"/>
  <c r="DI4" i="17" a="1"/>
  <c r="N5" i="17" a="1"/>
  <c r="CW5" i="17" a="1"/>
  <c r="AP5" i="17" a="1"/>
  <c r="BI4" i="17" a="1"/>
  <c r="AE5" i="17" a="1"/>
  <c r="BN5" i="17" a="1"/>
  <c r="BE5" i="17" a="1"/>
  <c r="Y4" i="17" a="1"/>
  <c r="BU5" i="17" a="1"/>
  <c r="BQ5" i="17" a="1"/>
  <c r="BK5" i="17" a="1"/>
  <c r="AK4" i="17" a="1"/>
  <c r="CZ5" i="17" a="1"/>
  <c r="Q4" i="17" a="1"/>
  <c r="DC5" i="17" a="1"/>
  <c r="BA5" i="17" a="1"/>
  <c r="CG5" i="17" a="1"/>
  <c r="AO5" i="17" a="1"/>
  <c r="BR5" i="17" a="1"/>
  <c r="CR5" i="17" a="1"/>
  <c r="Q5" i="17" a="1"/>
  <c r="AG5" i="17" a="1"/>
  <c r="DA5" i="17" a="1"/>
  <c r="AS4" i="17" a="1"/>
  <c r="DE5" i="17" a="1"/>
  <c r="BY5" i="17" a="1"/>
  <c r="AR5" i="17" a="1"/>
  <c r="CU5" i="17" a="1"/>
  <c r="BP5" i="17" a="1"/>
  <c r="BZ5" i="17" a="1"/>
  <c r="CG4" i="17" a="1"/>
  <c r="AN5" i="17" a="1"/>
  <c r="AY5" i="17" a="1"/>
  <c r="CM5" i="17" a="1"/>
  <c r="DJ5" i="17" a="1"/>
  <c r="AF5" i="17" a="1"/>
  <c r="U5" i="17" a="1"/>
  <c r="AJ5" i="17" a="1"/>
  <c r="CK4" i="17" a="1"/>
  <c r="BX5" i="17" a="1"/>
  <c r="BH5" i="17" a="1"/>
  <c r="DK5" i="17" a="1"/>
  <c r="CH5" i="17" a="1"/>
  <c r="CT5" i="17" a="1"/>
  <c r="BS5" i="17" a="1"/>
  <c r="CO4" i="17" a="1"/>
  <c r="BC5" i="17" a="1"/>
  <c r="BO5" i="17" a="1"/>
  <c r="AG4" i="17" a="1"/>
  <c r="CL5" i="17" a="1"/>
  <c r="AO4" i="17" a="1"/>
  <c r="AC4" i="17" a="1"/>
  <c r="BM4" i="17" a="1"/>
  <c r="CD5" i="17" a="1"/>
  <c r="AA5" i="17" a="1"/>
  <c r="DA4" i="17" a="1"/>
  <c r="DI5" i="17" a="1"/>
  <c r="DH5" i="17" a="1"/>
  <c r="Y5" i="17" a="1"/>
  <c r="CS5" i="17" a="1"/>
  <c r="CV5" i="17" a="1"/>
  <c r="AU5" i="17" a="1"/>
  <c r="BY4" i="17" a="1"/>
  <c r="CI5" i="17" a="1"/>
  <c r="U4" i="17" a="1"/>
  <c r="BW5" i="17" a="1"/>
  <c r="DL5" i="17" a="1"/>
  <c r="BL5" i="17" a="1"/>
  <c r="AD5" i="17" a="1"/>
  <c r="AX5" i="17" a="1"/>
  <c r="S5" i="17" a="1"/>
  <c r="AM5" i="17" a="1"/>
  <c r="AT5" i="17" a="1"/>
  <c r="CS4" i="17" l="1"/>
  <c r="AL5" i="17"/>
  <c r="CO5" i="17"/>
  <c r="CW4" i="17"/>
  <c r="AM5" i="17"/>
  <c r="BS5" i="17"/>
  <c r="CV5" i="17"/>
  <c r="Q4" i="17"/>
  <c r="AN5" i="17"/>
  <c r="BT5" i="17"/>
  <c r="CW5" i="17"/>
  <c r="U4" i="17"/>
  <c r="R5" i="17"/>
  <c r="AO5" i="17"/>
  <c r="CX5" i="17"/>
  <c r="BA4" i="17"/>
  <c r="S5" i="17"/>
  <c r="AP5" i="17"/>
  <c r="BU5" i="17"/>
  <c r="CY5" i="17"/>
  <c r="BE4" i="17"/>
  <c r="CD5" i="17"/>
  <c r="DE5" i="17"/>
  <c r="BI4" i="17"/>
  <c r="AW5" i="17"/>
  <c r="CE5" i="17"/>
  <c r="DF5" i="17"/>
  <c r="AA5" i="17"/>
  <c r="AX5" i="17"/>
  <c r="DG5" i="17"/>
  <c r="BM4" i="17"/>
  <c r="AY5" i="17"/>
  <c r="DH5" i="17"/>
  <c r="BH5" i="17"/>
  <c r="Q5" i="17"/>
  <c r="T5" i="17"/>
  <c r="AB5" i="17"/>
  <c r="Y3" i="17" s="1"/>
  <c r="Y2" i="17" s="1"/>
  <c r="CF5" i="17"/>
  <c r="CC3" i="17" s="1"/>
  <c r="CC2" i="17" s="1"/>
  <c r="AC5" i="17"/>
  <c r="CO4" i="17"/>
  <c r="AD5" i="17"/>
  <c r="BI5" i="17"/>
  <c r="CM5" i="17"/>
  <c r="AE5" i="17"/>
  <c r="BJ5" i="17"/>
  <c r="CN5" i="17"/>
  <c r="AZ5" i="17"/>
  <c r="BV5" i="17"/>
  <c r="CZ5" i="17"/>
  <c r="Y4" i="17"/>
  <c r="DA4" i="17"/>
  <c r="AF5" i="17"/>
  <c r="AC3" i="17" s="1"/>
  <c r="AC2" i="17" s="1"/>
  <c r="BL5" i="17"/>
  <c r="BI3" i="17" s="1"/>
  <c r="BI2" i="17" s="1"/>
  <c r="CQ5" i="17"/>
  <c r="BU4" i="17"/>
  <c r="V5" i="17"/>
  <c r="AQ5" i="17"/>
  <c r="BX5" i="17"/>
  <c r="CR5" i="17"/>
  <c r="DK5" i="17"/>
  <c r="DI4" i="17"/>
  <c r="AH5" i="17"/>
  <c r="BC5" i="17"/>
  <c r="BY5" i="17"/>
  <c r="DL5" i="17"/>
  <c r="DI3" i="17" s="1"/>
  <c r="DI2" i="17" s="1"/>
  <c r="AK4" i="17"/>
  <c r="X5" i="17"/>
  <c r="BD5" i="17"/>
  <c r="CS5" i="17"/>
  <c r="BP5" i="17"/>
  <c r="BK5" i="17"/>
  <c r="CP5" i="17"/>
  <c r="DI5" i="17"/>
  <c r="BQ4" i="17"/>
  <c r="U5" i="17"/>
  <c r="BA5" i="17"/>
  <c r="BW5" i="17"/>
  <c r="DJ5" i="17"/>
  <c r="AC4" i="17"/>
  <c r="DE4" i="17"/>
  <c r="AG5" i="17"/>
  <c r="BB5" i="17"/>
  <c r="CH5" i="17"/>
  <c r="DA5" i="17"/>
  <c r="AG4" i="17"/>
  <c r="W5" i="17"/>
  <c r="AR5" i="17"/>
  <c r="AO3" i="17" s="1"/>
  <c r="AO2" i="17" s="1"/>
  <c r="BN5" i="17"/>
  <c r="CI5" i="17"/>
  <c r="DB5" i="17"/>
  <c r="M5" i="17"/>
  <c r="AI5" i="17"/>
  <c r="BO5" i="17"/>
  <c r="BZ5" i="17"/>
  <c r="DC5" i="17"/>
  <c r="BQ5" i="17"/>
  <c r="CB5" i="17"/>
  <c r="DD5" i="17"/>
  <c r="DA3" i="17" s="1"/>
  <c r="DA2" i="17" s="1"/>
  <c r="CG5" i="17"/>
  <c r="BM5" i="17"/>
  <c r="BY4" i="17"/>
  <c r="CC4" i="17"/>
  <c r="AS5" i="17"/>
  <c r="CJ5" i="17"/>
  <c r="AO4" i="17"/>
  <c r="CG4" i="17"/>
  <c r="N5" i="17"/>
  <c r="Y5" i="17"/>
  <c r="AJ5" i="17"/>
  <c r="AT5" i="17"/>
  <c r="BE5" i="17"/>
  <c r="CA5" i="17"/>
  <c r="CK5" i="17"/>
  <c r="CT5" i="17"/>
  <c r="AS4" i="17"/>
  <c r="O5" i="17"/>
  <c r="Z5" i="17"/>
  <c r="AU5" i="17"/>
  <c r="BF5" i="17"/>
  <c r="AW4" i="17"/>
  <c r="CK4" i="17"/>
  <c r="P5" i="17"/>
  <c r="M3" i="17" s="1"/>
  <c r="M2" i="17" s="1"/>
  <c r="AK5" i="17"/>
  <c r="AV5" i="17"/>
  <c r="AS3" i="17" s="1"/>
  <c r="AS2" i="17" s="1"/>
  <c r="BG5" i="17"/>
  <c r="BR5" i="17"/>
  <c r="CC5" i="17"/>
  <c r="CL5" i="17"/>
  <c r="CU5" i="17"/>
  <c r="M4" i="17"/>
  <c r="AG3" i="17"/>
  <c r="AG2" i="17" s="1"/>
  <c r="BY3" i="17"/>
  <c r="BY2" i="17" s="1"/>
  <c r="M15" i="17" l="1"/>
  <c r="M20" i="17"/>
  <c r="M26" i="17"/>
  <c r="M38" i="17"/>
  <c r="M47" i="17"/>
  <c r="M69" i="17"/>
  <c r="M82" i="17"/>
  <c r="N82" i="17" s="1"/>
  <c r="M101" i="17"/>
  <c r="N101" i="17" s="1"/>
  <c r="O101" i="17" s="1"/>
  <c r="P101" i="17" s="1"/>
  <c r="M105" i="17"/>
  <c r="N105" i="17" s="1"/>
  <c r="M118" i="17"/>
  <c r="N118" i="17" s="1"/>
  <c r="M158" i="17"/>
  <c r="N158" i="17" s="1"/>
  <c r="M170" i="17"/>
  <c r="N170" i="17" s="1"/>
  <c r="M183" i="17"/>
  <c r="M197" i="17"/>
  <c r="M209" i="17"/>
  <c r="M233" i="17"/>
  <c r="N233" i="17" s="1"/>
  <c r="M246" i="17"/>
  <c r="M282" i="17"/>
  <c r="N282" i="17" s="1"/>
  <c r="O282" i="17" s="1"/>
  <c r="M289" i="17"/>
  <c r="N289" i="17" s="1"/>
  <c r="M52" i="17"/>
  <c r="N52" i="17" s="1"/>
  <c r="O52" i="17" s="1"/>
  <c r="M71" i="17"/>
  <c r="N71" i="17" s="1"/>
  <c r="M84" i="17"/>
  <c r="M102" i="17"/>
  <c r="N102" i="17" s="1"/>
  <c r="M120" i="17"/>
  <c r="N120" i="17" s="1"/>
  <c r="M139" i="17"/>
  <c r="M171" i="17"/>
  <c r="M193" i="17"/>
  <c r="M204" i="17"/>
  <c r="M224" i="17"/>
  <c r="M12" i="17"/>
  <c r="N12" i="17" s="1"/>
  <c r="M23" i="17"/>
  <c r="M72" i="17"/>
  <c r="M21" i="17"/>
  <c r="N21" i="17" s="1"/>
  <c r="O21" i="17" s="1"/>
  <c r="M27" i="17"/>
  <c r="M39" i="17"/>
  <c r="N39" i="17" s="1"/>
  <c r="M43" i="17"/>
  <c r="N43" i="17" s="1"/>
  <c r="M57" i="17"/>
  <c r="M64" i="17"/>
  <c r="M70" i="17"/>
  <c r="M94" i="17"/>
  <c r="N94" i="17" s="1"/>
  <c r="M125" i="17"/>
  <c r="M137" i="17"/>
  <c r="M148" i="17"/>
  <c r="N148" i="17" s="1"/>
  <c r="M153" i="17"/>
  <c r="N153" i="17" s="1"/>
  <c r="M164" i="17"/>
  <c r="N164" i="17" s="1"/>
  <c r="M176" i="17"/>
  <c r="M184" i="17"/>
  <c r="N184" i="17" s="1"/>
  <c r="M191" i="17"/>
  <c r="N191" i="17" s="1"/>
  <c r="M203" i="17"/>
  <c r="M210" i="17"/>
  <c r="M216" i="17"/>
  <c r="M239" i="17"/>
  <c r="N239" i="17" s="1"/>
  <c r="M257" i="17"/>
  <c r="M263" i="17"/>
  <c r="M283" i="17"/>
  <c r="N283" i="17" s="1"/>
  <c r="M305" i="17"/>
  <c r="N305" i="17" s="1"/>
  <c r="O305" i="17" s="1"/>
  <c r="M28" i="17"/>
  <c r="N28" i="17" s="1"/>
  <c r="O28" i="17" s="1"/>
  <c r="M44" i="17"/>
  <c r="N44" i="17" s="1"/>
  <c r="M58" i="17"/>
  <c r="M131" i="17"/>
  <c r="N131" i="17" s="1"/>
  <c r="M165" i="17"/>
  <c r="N165" i="17" s="1"/>
  <c r="M185" i="17"/>
  <c r="N185" i="17" s="1"/>
  <c r="M248" i="17"/>
  <c r="M258" i="17"/>
  <c r="M290" i="17"/>
  <c r="M17" i="17"/>
  <c r="N17" i="17" s="1"/>
  <c r="M11" i="17"/>
  <c r="M22" i="17"/>
  <c r="N22" i="17" s="1"/>
  <c r="M48" i="17"/>
  <c r="N48" i="17" s="1"/>
  <c r="M65" i="17"/>
  <c r="N65" i="17" s="1"/>
  <c r="O65" i="17" s="1"/>
  <c r="M78" i="17"/>
  <c r="M83" i="17"/>
  <c r="N83" i="17" s="1"/>
  <c r="M89" i="17"/>
  <c r="M95" i="17"/>
  <c r="M106" i="17"/>
  <c r="M112" i="17"/>
  <c r="M119" i="17"/>
  <c r="M126" i="17"/>
  <c r="N126" i="17" s="1"/>
  <c r="M138" i="17"/>
  <c r="N138" i="17" s="1"/>
  <c r="M154" i="17"/>
  <c r="N154" i="17" s="1"/>
  <c r="O154" i="17" s="1"/>
  <c r="M159" i="17"/>
  <c r="N159" i="17" s="1"/>
  <c r="M192" i="17"/>
  <c r="N192" i="17" s="1"/>
  <c r="M217" i="17"/>
  <c r="N217" i="17" s="1"/>
  <c r="M223" i="17"/>
  <c r="N223" i="17" s="1"/>
  <c r="O223" i="17" s="1"/>
  <c r="M229" i="17"/>
  <c r="M234" i="17"/>
  <c r="M240" i="17"/>
  <c r="M247" i="17"/>
  <c r="M269" i="17"/>
  <c r="M276" i="17"/>
  <c r="M284" i="17"/>
  <c r="N284" i="17" s="1"/>
  <c r="M16" i="17"/>
  <c r="N16" i="17" s="1"/>
  <c r="M66" i="17"/>
  <c r="N66" i="17" s="1"/>
  <c r="M127" i="17"/>
  <c r="M144" i="17"/>
  <c r="M177" i="17"/>
  <c r="N177" i="17" s="1"/>
  <c r="M198" i="17"/>
  <c r="M218" i="17"/>
  <c r="M252" i="17"/>
  <c r="M277" i="17"/>
  <c r="N277" i="17" s="1"/>
  <c r="M296" i="17"/>
  <c r="M96" i="17"/>
  <c r="N96" i="17" s="1"/>
  <c r="M79" i="17"/>
  <c r="N79" i="17" s="1"/>
  <c r="M115" i="17"/>
  <c r="N115" i="17" s="1"/>
  <c r="O115" i="17" s="1"/>
  <c r="M178" i="17"/>
  <c r="M199" i="17"/>
  <c r="M207" i="17"/>
  <c r="M219" i="17"/>
  <c r="M253" i="17"/>
  <c r="M270" i="17"/>
  <c r="N270" i="17" s="1"/>
  <c r="M281" i="17"/>
  <c r="M291" i="17"/>
  <c r="M297" i="17"/>
  <c r="N297" i="17" s="1"/>
  <c r="M7" i="17"/>
  <c r="M81" i="17"/>
  <c r="M108" i="17"/>
  <c r="N108" i="17" s="1"/>
  <c r="M136" i="17"/>
  <c r="M179" i="17"/>
  <c r="M200" i="17"/>
  <c r="N200" i="17" s="1"/>
  <c r="O200" i="17" s="1"/>
  <c r="M254" i="17"/>
  <c r="N254" i="17" s="1"/>
  <c r="M272" i="17"/>
  <c r="M14" i="17"/>
  <c r="N14" i="17" s="1"/>
  <c r="M32" i="17"/>
  <c r="M50" i="17"/>
  <c r="N50" i="17" s="1"/>
  <c r="M68" i="17"/>
  <c r="M109" i="17"/>
  <c r="M146" i="17"/>
  <c r="N146" i="17" s="1"/>
  <c r="M180" i="17"/>
  <c r="N180" i="17" s="1"/>
  <c r="M228" i="17"/>
  <c r="N228" i="17" s="1"/>
  <c r="M245" i="17"/>
  <c r="N245" i="17" s="1"/>
  <c r="M262" i="17"/>
  <c r="N262" i="17" s="1"/>
  <c r="O262" i="17" s="1"/>
  <c r="M24" i="17"/>
  <c r="M129" i="17"/>
  <c r="M201" i="17"/>
  <c r="M8" i="17"/>
  <c r="M110" i="17"/>
  <c r="M122" i="17"/>
  <c r="M194" i="17"/>
  <c r="N194" i="17" s="1"/>
  <c r="M273" i="17"/>
  <c r="N273" i="17" s="1"/>
  <c r="M301" i="17"/>
  <c r="N301" i="17" s="1"/>
  <c r="M25" i="17"/>
  <c r="N25" i="17" s="1"/>
  <c r="O25" i="17" s="1"/>
  <c r="M45" i="17"/>
  <c r="N45" i="17" s="1"/>
  <c r="M141" i="17"/>
  <c r="N141" i="17" s="1"/>
  <c r="M172" i="17"/>
  <c r="N172" i="17" s="1"/>
  <c r="M181" i="17"/>
  <c r="M212" i="17"/>
  <c r="M264" i="17"/>
  <c r="M85" i="17"/>
  <c r="M222" i="17"/>
  <c r="M265" i="17"/>
  <c r="N265" i="17" s="1"/>
  <c r="M35" i="17"/>
  <c r="M53" i="17"/>
  <c r="N53" i="17" s="1"/>
  <c r="M93" i="17"/>
  <c r="N93" i="17" s="1"/>
  <c r="M132" i="17"/>
  <c r="M166" i="17"/>
  <c r="N166" i="17" s="1"/>
  <c r="M214" i="17"/>
  <c r="N214" i="17" s="1"/>
  <c r="M18" i="17"/>
  <c r="M142" i="17"/>
  <c r="M186" i="17"/>
  <c r="M225" i="17"/>
  <c r="M260" i="17"/>
  <c r="M174" i="17"/>
  <c r="N174" i="17" s="1"/>
  <c r="M226" i="17"/>
  <c r="N226" i="17" s="1"/>
  <c r="M40" i="17"/>
  <c r="M67" i="17"/>
  <c r="M87" i="17"/>
  <c r="M114" i="17"/>
  <c r="N114" i="17" s="1"/>
  <c r="M150" i="17"/>
  <c r="N150" i="17" s="1"/>
  <c r="O150" i="17" s="1"/>
  <c r="M188" i="17"/>
  <c r="M243" i="17"/>
  <c r="M280" i="17"/>
  <c r="M13" i="17"/>
  <c r="M30" i="17"/>
  <c r="N30" i="17" s="1"/>
  <c r="M49" i="17"/>
  <c r="M55" i="17"/>
  <c r="M80" i="17"/>
  <c r="M88" i="17"/>
  <c r="M99" i="17"/>
  <c r="N99" i="17" s="1"/>
  <c r="M107" i="17"/>
  <c r="N107" i="17" s="1"/>
  <c r="M128" i="17"/>
  <c r="M135" i="17"/>
  <c r="M151" i="17"/>
  <c r="M160" i="17"/>
  <c r="M169" i="17"/>
  <c r="M189" i="17"/>
  <c r="M208" i="17"/>
  <c r="M227" i="17"/>
  <c r="N227" i="17" s="1"/>
  <c r="O227" i="17" s="1"/>
  <c r="M235" i="17"/>
  <c r="N235" i="17" s="1"/>
  <c r="M244" i="17"/>
  <c r="N244" i="17" s="1"/>
  <c r="M271" i="17"/>
  <c r="N271" i="17" s="1"/>
  <c r="M292" i="17"/>
  <c r="N292" i="17" s="1"/>
  <c r="M298" i="17"/>
  <c r="N298" i="17" s="1"/>
  <c r="M116" i="17"/>
  <c r="M145" i="17"/>
  <c r="M261" i="17"/>
  <c r="M299" i="17"/>
  <c r="M41" i="17"/>
  <c r="M59" i="17"/>
  <c r="M100" i="17"/>
  <c r="N100" i="17" s="1"/>
  <c r="M117" i="17"/>
  <c r="N117" i="17" s="1"/>
  <c r="M152" i="17"/>
  <c r="N152" i="17" s="1"/>
  <c r="M190" i="17"/>
  <c r="M220" i="17"/>
  <c r="N220" i="17" s="1"/>
  <c r="M236" i="17"/>
  <c r="M293" i="17"/>
  <c r="M33" i="17"/>
  <c r="N33" i="17" s="1"/>
  <c r="O33" i="17" s="1"/>
  <c r="M42" i="17"/>
  <c r="M121" i="17"/>
  <c r="M211" i="17"/>
  <c r="M237" i="17"/>
  <c r="M255" i="17"/>
  <c r="M300" i="17"/>
  <c r="N300" i="17" s="1"/>
  <c r="M60" i="17"/>
  <c r="M103" i="17"/>
  <c r="N103" i="17" s="1"/>
  <c r="M140" i="17"/>
  <c r="N140" i="17" s="1"/>
  <c r="M221" i="17"/>
  <c r="N221" i="17" s="1"/>
  <c r="M249" i="17"/>
  <c r="M51" i="17"/>
  <c r="M91" i="17"/>
  <c r="N91" i="17" s="1"/>
  <c r="M162" i="17"/>
  <c r="M274" i="17"/>
  <c r="M294" i="17"/>
  <c r="N294" i="17" s="1"/>
  <c r="O294" i="17" s="1"/>
  <c r="M34" i="17"/>
  <c r="N34" i="17" s="1"/>
  <c r="M73" i="17"/>
  <c r="N73" i="17" s="1"/>
  <c r="M111" i="17"/>
  <c r="N111" i="17" s="1"/>
  <c r="M147" i="17"/>
  <c r="N147" i="17" s="1"/>
  <c r="M182" i="17"/>
  <c r="M275" i="17"/>
  <c r="N275" i="17" s="1"/>
  <c r="M9" i="17"/>
  <c r="M62" i="17"/>
  <c r="M86" i="17"/>
  <c r="M149" i="17"/>
  <c r="M259" i="17"/>
  <c r="M286" i="17"/>
  <c r="M29" i="17"/>
  <c r="N29" i="17" s="1"/>
  <c r="M36" i="17"/>
  <c r="N36" i="17" s="1"/>
  <c r="M54" i="17"/>
  <c r="N54" i="17" s="1"/>
  <c r="M97" i="17"/>
  <c r="M173" i="17"/>
  <c r="N173" i="17" s="1"/>
  <c r="M302" i="17"/>
  <c r="N302" i="17" s="1"/>
  <c r="M76" i="17"/>
  <c r="M113" i="17"/>
  <c r="M187" i="17"/>
  <c r="N187" i="17" s="1"/>
  <c r="M215" i="17"/>
  <c r="M98" i="17"/>
  <c r="M124" i="17"/>
  <c r="M143" i="17"/>
  <c r="N143" i="17" s="1"/>
  <c r="M175" i="17"/>
  <c r="N175" i="17" s="1"/>
  <c r="M268" i="17"/>
  <c r="N268" i="17" s="1"/>
  <c r="M288" i="17"/>
  <c r="N288" i="17" s="1"/>
  <c r="M31" i="17"/>
  <c r="M56" i="17"/>
  <c r="N56" i="17" s="1"/>
  <c r="M161" i="17"/>
  <c r="M90" i="17"/>
  <c r="M230" i="17"/>
  <c r="M92" i="17"/>
  <c r="M130" i="17"/>
  <c r="M163" i="17"/>
  <c r="N163" i="17" s="1"/>
  <c r="O163" i="17" s="1"/>
  <c r="M202" i="17"/>
  <c r="N202" i="17" s="1"/>
  <c r="M238" i="17"/>
  <c r="N238" i="17" s="1"/>
  <c r="M285" i="17"/>
  <c r="M74" i="17"/>
  <c r="N74" i="17" s="1"/>
  <c r="M155" i="17"/>
  <c r="N155" i="17" s="1"/>
  <c r="M195" i="17"/>
  <c r="N195" i="17" s="1"/>
  <c r="M232" i="17"/>
  <c r="M278" i="17"/>
  <c r="M63" i="17"/>
  <c r="M123" i="17"/>
  <c r="M167" i="17"/>
  <c r="M250" i="17"/>
  <c r="M287" i="17"/>
  <c r="M10" i="17"/>
  <c r="N10" i="17" s="1"/>
  <c r="M46" i="17"/>
  <c r="M157" i="17"/>
  <c r="N157" i="17" s="1"/>
  <c r="M205" i="17"/>
  <c r="N205" i="17" s="1"/>
  <c r="M242" i="17"/>
  <c r="N242" i="17" s="1"/>
  <c r="M279" i="17"/>
  <c r="N279" i="17" s="1"/>
  <c r="M303" i="17"/>
  <c r="M19" i="17"/>
  <c r="N19" i="17" s="1"/>
  <c r="M77" i="17"/>
  <c r="M231" i="17"/>
  <c r="M61" i="17"/>
  <c r="N61" i="17" s="1"/>
  <c r="M213" i="17"/>
  <c r="N213" i="17" s="1"/>
  <c r="M256" i="17"/>
  <c r="N256" i="17" s="1"/>
  <c r="O256" i="17" s="1"/>
  <c r="M295" i="17"/>
  <c r="N295" i="17" s="1"/>
  <c r="M104" i="17"/>
  <c r="M241" i="17"/>
  <c r="N241" i="17" s="1"/>
  <c r="M266" i="17"/>
  <c r="N266" i="17" s="1"/>
  <c r="M75" i="17"/>
  <c r="M133" i="17"/>
  <c r="M156" i="17"/>
  <c r="N156" i="17" s="1"/>
  <c r="O156" i="17" s="1"/>
  <c r="M37" i="17"/>
  <c r="M134" i="17"/>
  <c r="M168" i="17"/>
  <c r="N168" i="17" s="1"/>
  <c r="M196" i="17"/>
  <c r="N196" i="17" s="1"/>
  <c r="M267" i="17"/>
  <c r="N267" i="17" s="1"/>
  <c r="M6" i="17"/>
  <c r="M206" i="17"/>
  <c r="N206" i="17" s="1"/>
  <c r="M251" i="17"/>
  <c r="N251" i="17" s="1"/>
  <c r="M304" i="17"/>
  <c r="N304" i="17" s="1"/>
  <c r="N237" i="17"/>
  <c r="N255" i="17"/>
  <c r="N250" i="17"/>
  <c r="O250" i="17" s="1"/>
  <c r="N287" i="17"/>
  <c r="O174" i="17"/>
  <c r="BQ3" i="17"/>
  <c r="BQ2" i="17" s="1"/>
  <c r="Q3" i="17"/>
  <c r="Q2" i="17" s="1"/>
  <c r="BE3" i="17"/>
  <c r="BE2" i="17" s="1"/>
  <c r="U3" i="17"/>
  <c r="U2" i="17" s="1"/>
  <c r="CS3" i="17"/>
  <c r="CS2" i="17" s="1"/>
  <c r="CG3" i="17"/>
  <c r="CG2" i="17" s="1"/>
  <c r="BA3" i="17"/>
  <c r="BA2" i="17" s="1"/>
  <c r="BM3" i="17"/>
  <c r="BM2" i="17" s="1"/>
  <c r="AW3" i="17"/>
  <c r="AW2" i="17" s="1"/>
  <c r="CK3" i="17"/>
  <c r="CK2" i="17" s="1"/>
  <c r="CO3" i="17"/>
  <c r="CO2" i="17" s="1"/>
  <c r="BU3" i="17"/>
  <c r="BU2" i="17" s="1"/>
  <c r="DE3" i="17"/>
  <c r="DE2" i="17" s="1"/>
  <c r="AK3" i="17"/>
  <c r="AK2" i="17" s="1"/>
  <c r="CW3" i="17"/>
  <c r="CW2" i="17" s="1"/>
  <c r="O265" i="17" l="1"/>
  <c r="P265" i="17" s="1"/>
  <c r="O36" i="17"/>
  <c r="O191" i="17"/>
  <c r="O117" i="17"/>
  <c r="P117" i="17" s="1"/>
  <c r="P36" i="17"/>
  <c r="Q36" i="17" s="1"/>
  <c r="R36" i="17" s="1"/>
  <c r="O73" i="17"/>
  <c r="O271" i="17"/>
  <c r="P271" i="17" s="1"/>
  <c r="Q271" i="17" s="1"/>
  <c r="O155" i="17"/>
  <c r="P155" i="17" s="1"/>
  <c r="O283" i="17"/>
  <c r="P283" i="17" s="1"/>
  <c r="Q283" i="17" s="1"/>
  <c r="O107" i="17"/>
  <c r="P107" i="17" s="1"/>
  <c r="O266" i="17"/>
  <c r="P266" i="17" s="1"/>
  <c r="O205" i="17"/>
  <c r="P205" i="17" s="1"/>
  <c r="Q205" i="17" s="1"/>
  <c r="O287" i="17"/>
  <c r="O284" i="17"/>
  <c r="P284" i="17" s="1"/>
  <c r="Q284" i="17" s="1"/>
  <c r="O100" i="17"/>
  <c r="P100" i="17" s="1"/>
  <c r="N78" i="17"/>
  <c r="O78" i="17" s="1"/>
  <c r="O241" i="17"/>
  <c r="O300" i="17"/>
  <c r="O202" i="17"/>
  <c r="P202" i="17" s="1"/>
  <c r="O255" i="17"/>
  <c r="P255" i="17" s="1"/>
  <c r="Q255" i="17" s="1"/>
  <c r="R255" i="17" s="1"/>
  <c r="O138" i="17"/>
  <c r="P138" i="17" s="1"/>
  <c r="O17" i="17"/>
  <c r="P17" i="17" s="1"/>
  <c r="O273" i="17"/>
  <c r="O131" i="17"/>
  <c r="P131" i="17" s="1"/>
  <c r="O242" i="17"/>
  <c r="P242" i="17" s="1"/>
  <c r="O228" i="17"/>
  <c r="P228" i="17" s="1"/>
  <c r="Q228" i="17" s="1"/>
  <c r="O61" i="17"/>
  <c r="N23" i="17"/>
  <c r="O23" i="17" s="1"/>
  <c r="P23" i="17" s="1"/>
  <c r="N208" i="17"/>
  <c r="O208" i="17" s="1"/>
  <c r="P208" i="17" s="1"/>
  <c r="Q208" i="17" s="1"/>
  <c r="N285" i="17"/>
  <c r="O285" i="17" s="1"/>
  <c r="O251" i="17"/>
  <c r="P251" i="17" s="1"/>
  <c r="N72" i="17"/>
  <c r="O146" i="17"/>
  <c r="P146" i="17" s="1"/>
  <c r="N81" i="17"/>
  <c r="O288" i="17"/>
  <c r="O140" i="17"/>
  <c r="P140" i="17" s="1"/>
  <c r="O180" i="17"/>
  <c r="P180" i="17" s="1"/>
  <c r="Q180" i="17" s="1"/>
  <c r="R180" i="17" s="1"/>
  <c r="O120" i="17"/>
  <c r="P120" i="17" s="1"/>
  <c r="P21" i="17"/>
  <c r="N128" i="17"/>
  <c r="O128" i="17" s="1"/>
  <c r="N207" i="17"/>
  <c r="O207" i="17" s="1"/>
  <c r="P207" i="17" s="1"/>
  <c r="O166" i="17"/>
  <c r="P166" i="17" s="1"/>
  <c r="N144" i="17"/>
  <c r="O144" i="17" s="1"/>
  <c r="N24" i="17"/>
  <c r="O24" i="17" s="1"/>
  <c r="P300" i="17"/>
  <c r="O83" i="17"/>
  <c r="P83" i="17" s="1"/>
  <c r="Q83" i="17" s="1"/>
  <c r="O74" i="17"/>
  <c r="P74" i="17" s="1"/>
  <c r="O12" i="17"/>
  <c r="O206" i="17"/>
  <c r="O172" i="17"/>
  <c r="N219" i="17"/>
  <c r="O298" i="17"/>
  <c r="P298" i="17" s="1"/>
  <c r="Q298" i="17" s="1"/>
  <c r="R298" i="17" s="1"/>
  <c r="O173" i="17"/>
  <c r="P173" i="17" s="1"/>
  <c r="O177" i="17"/>
  <c r="P177" i="17" s="1"/>
  <c r="Q177" i="17" s="1"/>
  <c r="O114" i="17"/>
  <c r="N11" i="17"/>
  <c r="O11" i="17" s="1"/>
  <c r="P11" i="17" s="1"/>
  <c r="O217" i="17"/>
  <c r="P217" i="17" s="1"/>
  <c r="Q217" i="17" s="1"/>
  <c r="R217" i="17" s="1"/>
  <c r="O108" i="17"/>
  <c r="P108" i="17" s="1"/>
  <c r="O213" i="17"/>
  <c r="P213" i="17" s="1"/>
  <c r="O16" i="17"/>
  <c r="P16" i="17" s="1"/>
  <c r="O185" i="17"/>
  <c r="N231" i="17"/>
  <c r="N167" i="17"/>
  <c r="O167" i="17" s="1"/>
  <c r="N259" i="17"/>
  <c r="O259" i="17"/>
  <c r="N41" i="17"/>
  <c r="O41" i="17" s="1"/>
  <c r="P41" i="17" s="1"/>
  <c r="Q41" i="17" s="1"/>
  <c r="N222" i="17"/>
  <c r="N122" i="17"/>
  <c r="N269" i="17"/>
  <c r="N290" i="17"/>
  <c r="O290" i="17" s="1"/>
  <c r="P290" i="17" s="1"/>
  <c r="N257" i="17"/>
  <c r="O257" i="17" s="1"/>
  <c r="N224" i="17"/>
  <c r="N47" i="17"/>
  <c r="O30" i="17"/>
  <c r="P30" i="17" s="1"/>
  <c r="N37" i="17"/>
  <c r="O37" i="17" s="1"/>
  <c r="P37" i="17" s="1"/>
  <c r="N123" i="17"/>
  <c r="N162" i="17"/>
  <c r="O162" i="17" s="1"/>
  <c r="N299" i="17"/>
  <c r="O299" i="17" s="1"/>
  <c r="N110" i="17"/>
  <c r="O110" i="17" s="1"/>
  <c r="N291" i="17"/>
  <c r="O291" i="17" s="1"/>
  <c r="N247" i="17"/>
  <c r="O247" i="17" s="1"/>
  <c r="N258" i="17"/>
  <c r="O258" i="17" s="1"/>
  <c r="N38" i="17"/>
  <c r="N63" i="17"/>
  <c r="O63" i="17" s="1"/>
  <c r="N42" i="17"/>
  <c r="O42" i="17" s="1"/>
  <c r="N280" i="17"/>
  <c r="O280" i="17" s="1"/>
  <c r="P280" i="17" s="1"/>
  <c r="N186" i="17"/>
  <c r="O186" i="17" s="1"/>
  <c r="N32" i="17"/>
  <c r="N281" i="17"/>
  <c r="N106" i="17"/>
  <c r="O106" i="17"/>
  <c r="P106" i="17"/>
  <c r="N248" i="17"/>
  <c r="N209" i="17"/>
  <c r="O209" i="17"/>
  <c r="O295" i="17"/>
  <c r="N133" i="17"/>
  <c r="O133" i="17" s="1"/>
  <c r="N90" i="17"/>
  <c r="O90" i="17" s="1"/>
  <c r="P90" i="17" s="1"/>
  <c r="Q90" i="17" s="1"/>
  <c r="N62" i="17"/>
  <c r="O62" i="17" s="1"/>
  <c r="P33" i="17"/>
  <c r="Q33" i="17"/>
  <c r="R33" i="17" s="1"/>
  <c r="N151" i="17"/>
  <c r="O151" i="17" s="1"/>
  <c r="N95" i="17"/>
  <c r="N64" i="17"/>
  <c r="O64" i="17" s="1"/>
  <c r="N197" i="17"/>
  <c r="O197" i="17" s="1"/>
  <c r="O275" i="17"/>
  <c r="P275" i="17" s="1"/>
  <c r="N75" i="17"/>
  <c r="N232" i="17"/>
  <c r="N76" i="17"/>
  <c r="O76" i="17" s="1"/>
  <c r="N116" i="17"/>
  <c r="O116" i="17" s="1"/>
  <c r="P116" i="17" s="1"/>
  <c r="Q116" i="17" s="1"/>
  <c r="N135" i="17"/>
  <c r="O135" i="17"/>
  <c r="P135" i="17" s="1"/>
  <c r="Q135" i="17" s="1"/>
  <c r="N181" i="17"/>
  <c r="O181" i="17"/>
  <c r="N272" i="17"/>
  <c r="O272" i="17" s="1"/>
  <c r="N198" i="17"/>
  <c r="O198" i="17" s="1"/>
  <c r="P198" i="17" s="1"/>
  <c r="Q198" i="17" s="1"/>
  <c r="N57" i="17"/>
  <c r="N183" i="17"/>
  <c r="O183" i="17" s="1"/>
  <c r="N15" i="17"/>
  <c r="O268" i="17"/>
  <c r="P63" i="17"/>
  <c r="N215" i="17"/>
  <c r="N218" i="17"/>
  <c r="O218" i="17" s="1"/>
  <c r="N296" i="17"/>
  <c r="O39" i="17"/>
  <c r="P295" i="17"/>
  <c r="Q295" i="17" s="1"/>
  <c r="O165" i="17"/>
  <c r="P165" i="17" s="1"/>
  <c r="Q165" i="17" s="1"/>
  <c r="O297" i="17"/>
  <c r="P227" i="17"/>
  <c r="Q227" i="17" s="1"/>
  <c r="P12" i="17"/>
  <c r="Q12" i="17" s="1"/>
  <c r="O277" i="17"/>
  <c r="O94" i="17"/>
  <c r="O270" i="17"/>
  <c r="O187" i="17"/>
  <c r="P187" i="17" s="1"/>
  <c r="O289" i="17"/>
  <c r="P289" i="17"/>
  <c r="N134" i="17"/>
  <c r="O134" i="17" s="1"/>
  <c r="N98" i="17"/>
  <c r="N274" i="17"/>
  <c r="O274" i="17" s="1"/>
  <c r="N260" i="17"/>
  <c r="O260" i="17" s="1"/>
  <c r="N119" i="17"/>
  <c r="O119" i="17" s="1"/>
  <c r="N125" i="17"/>
  <c r="N68" i="17"/>
  <c r="O68" i="17" s="1"/>
  <c r="N92" i="17"/>
  <c r="O92" i="17" s="1"/>
  <c r="N121" i="17"/>
  <c r="O121" i="17" s="1"/>
  <c r="N225" i="17"/>
  <c r="O225" i="17" s="1"/>
  <c r="O50" i="17"/>
  <c r="P50" i="17" s="1"/>
  <c r="N112" i="17"/>
  <c r="O239" i="17"/>
  <c r="P239" i="17" s="1"/>
  <c r="Q239" i="17" s="1"/>
  <c r="N204" i="17"/>
  <c r="O204" i="17" s="1"/>
  <c r="O19" i="17"/>
  <c r="P19" i="17" s="1"/>
  <c r="Q19" i="17" s="1"/>
  <c r="R19" i="17" s="1"/>
  <c r="N230" i="17"/>
  <c r="O230" i="17" s="1"/>
  <c r="N86" i="17"/>
  <c r="N160" i="17"/>
  <c r="N264" i="17"/>
  <c r="O264" i="17" s="1"/>
  <c r="P264" i="17" s="1"/>
  <c r="N252" i="17"/>
  <c r="O252" i="17"/>
  <c r="N216" i="17"/>
  <c r="O216" i="17" s="1"/>
  <c r="P200" i="17"/>
  <c r="Q200" i="17" s="1"/>
  <c r="N303" i="17"/>
  <c r="O303" i="17"/>
  <c r="N51" i="17"/>
  <c r="N243" i="17"/>
  <c r="N171" i="17"/>
  <c r="O171" i="17"/>
  <c r="N188" i="17"/>
  <c r="O188" i="17" s="1"/>
  <c r="N129" i="17"/>
  <c r="N229" i="17"/>
  <c r="O229" i="17" s="1"/>
  <c r="N203" i="17"/>
  <c r="O279" i="17"/>
  <c r="P279" i="17" s="1"/>
  <c r="N293" i="17"/>
  <c r="N189" i="17"/>
  <c r="P153" i="17"/>
  <c r="Q153" i="17" s="1"/>
  <c r="R153" i="17" s="1"/>
  <c r="N85" i="17"/>
  <c r="O85" i="17" s="1"/>
  <c r="P85" i="17" s="1"/>
  <c r="N130" i="17"/>
  <c r="O130" i="17" s="1"/>
  <c r="P130" i="17" s="1"/>
  <c r="N211" i="17"/>
  <c r="O211" i="17" s="1"/>
  <c r="O195" i="17"/>
  <c r="N246" i="17"/>
  <c r="N77" i="17"/>
  <c r="N149" i="17"/>
  <c r="O149" i="17" s="1"/>
  <c r="N169" i="17"/>
  <c r="N261" i="17"/>
  <c r="O261" i="17" s="1"/>
  <c r="N8" i="17"/>
  <c r="N240" i="17"/>
  <c r="O240" i="17" s="1"/>
  <c r="N70" i="17"/>
  <c r="N26" i="17"/>
  <c r="O26" i="17"/>
  <c r="N13" i="17"/>
  <c r="N278" i="17"/>
  <c r="N113" i="17"/>
  <c r="N145" i="17"/>
  <c r="O145" i="17" s="1"/>
  <c r="N212" i="17"/>
  <c r="O212" i="17" s="1"/>
  <c r="O14" i="17"/>
  <c r="N210" i="17"/>
  <c r="N20" i="17"/>
  <c r="O20" i="17" s="1"/>
  <c r="N161" i="17"/>
  <c r="N249" i="17"/>
  <c r="O249" i="17" s="1"/>
  <c r="N18" i="17"/>
  <c r="N253" i="17"/>
  <c r="O253" i="17" s="1"/>
  <c r="N89" i="17"/>
  <c r="O89" i="17"/>
  <c r="P89" i="17"/>
  <c r="N139" i="17"/>
  <c r="O139" i="17" s="1"/>
  <c r="N142" i="17"/>
  <c r="P206" i="17"/>
  <c r="O91" i="17"/>
  <c r="P91" i="17" s="1"/>
  <c r="N193" i="17"/>
  <c r="N201" i="17"/>
  <c r="N234" i="17"/>
  <c r="O234" i="17" s="1"/>
  <c r="N9" i="17"/>
  <c r="O9" i="17" s="1"/>
  <c r="O96" i="17"/>
  <c r="P96" i="17" s="1"/>
  <c r="O233" i="17"/>
  <c r="P233" i="17" s="1"/>
  <c r="O43" i="17"/>
  <c r="P262" i="17"/>
  <c r="O159" i="17"/>
  <c r="P159" i="17" s="1"/>
  <c r="Q159" i="17" s="1"/>
  <c r="O99" i="17"/>
  <c r="P99" i="17" s="1"/>
  <c r="N179" i="17"/>
  <c r="N199" i="17"/>
  <c r="N127" i="17"/>
  <c r="O192" i="17"/>
  <c r="P192" i="17" s="1"/>
  <c r="O44" i="17"/>
  <c r="P44" i="17" s="1"/>
  <c r="N27" i="17"/>
  <c r="O27" i="17" s="1"/>
  <c r="O118" i="17"/>
  <c r="P118" i="17" s="1"/>
  <c r="Q118" i="17" s="1"/>
  <c r="R118" i="17" s="1"/>
  <c r="P287" i="17"/>
  <c r="N132" i="17"/>
  <c r="N6" i="17"/>
  <c r="N46" i="17"/>
  <c r="O46" i="17" s="1"/>
  <c r="O111" i="17"/>
  <c r="N60" i="17"/>
  <c r="O60" i="17" s="1"/>
  <c r="O244" i="17"/>
  <c r="P244" i="17" s="1"/>
  <c r="N88" i="17"/>
  <c r="O88" i="17" s="1"/>
  <c r="N67" i="17"/>
  <c r="O93" i="17"/>
  <c r="P25" i="17"/>
  <c r="Q25" i="17" s="1"/>
  <c r="N136" i="17"/>
  <c r="O136" i="17"/>
  <c r="N178" i="17"/>
  <c r="P28" i="17"/>
  <c r="Q28" i="17" s="1"/>
  <c r="O164" i="17"/>
  <c r="P164" i="17"/>
  <c r="O71" i="17"/>
  <c r="P71" i="17" s="1"/>
  <c r="O105" i="17"/>
  <c r="P105" i="17" s="1"/>
  <c r="O54" i="17"/>
  <c r="O48" i="17"/>
  <c r="P48" i="17" s="1"/>
  <c r="O126" i="17"/>
  <c r="N97" i="17"/>
  <c r="O97" i="17" s="1"/>
  <c r="P97" i="17" s="1"/>
  <c r="O238" i="17"/>
  <c r="O301" i="17"/>
  <c r="O45" i="17"/>
  <c r="P45" i="17" s="1"/>
  <c r="O66" i="17"/>
  <c r="P66" i="17" s="1"/>
  <c r="P52" i="17"/>
  <c r="Q52" i="17" s="1"/>
  <c r="O158" i="17"/>
  <c r="O153" i="17"/>
  <c r="N190" i="17"/>
  <c r="O143" i="17"/>
  <c r="P143" i="17" s="1"/>
  <c r="O29" i="17"/>
  <c r="P29" i="17" s="1"/>
  <c r="O226" i="17"/>
  <c r="O82" i="17"/>
  <c r="P82" i="17" s="1"/>
  <c r="O152" i="17"/>
  <c r="P152" i="17" s="1"/>
  <c r="O34" i="17"/>
  <c r="P34" i="17" s="1"/>
  <c r="Q34" i="17" s="1"/>
  <c r="O147" i="17"/>
  <c r="P147" i="17" s="1"/>
  <c r="P223" i="17"/>
  <c r="N104" i="17"/>
  <c r="O157" i="17"/>
  <c r="P157" i="17" s="1"/>
  <c r="Q157" i="17" s="1"/>
  <c r="R157" i="17" s="1"/>
  <c r="O103" i="17"/>
  <c r="P103" i="17" s="1"/>
  <c r="N84" i="17"/>
  <c r="O245" i="17"/>
  <c r="P245" i="17" s="1"/>
  <c r="N87" i="17"/>
  <c r="N176" i="17"/>
  <c r="O168" i="17"/>
  <c r="P250" i="17"/>
  <c r="Q250" i="17" s="1"/>
  <c r="R250" i="17" s="1"/>
  <c r="P163" i="17"/>
  <c r="Q163" i="17" s="1"/>
  <c r="N124" i="17"/>
  <c r="N286" i="17"/>
  <c r="N59" i="17"/>
  <c r="N49" i="17"/>
  <c r="O194" i="17"/>
  <c r="P194" i="17" s="1"/>
  <c r="Q194" i="17" s="1"/>
  <c r="N109" i="17"/>
  <c r="O109" i="17" s="1"/>
  <c r="N7" i="17"/>
  <c r="N276" i="17"/>
  <c r="O276" i="17" s="1"/>
  <c r="N263" i="17"/>
  <c r="N137" i="17"/>
  <c r="O137" i="17" s="1"/>
  <c r="N69" i="17"/>
  <c r="O69" i="17" s="1"/>
  <c r="O175" i="17"/>
  <c r="P175" i="17" s="1"/>
  <c r="O237" i="17"/>
  <c r="O304" i="17"/>
  <c r="O56" i="17"/>
  <c r="O221" i="17"/>
  <c r="N236" i="17"/>
  <c r="P150" i="17"/>
  <c r="O214" i="17"/>
  <c r="O302" i="17"/>
  <c r="P302" i="17" s="1"/>
  <c r="O79" i="17"/>
  <c r="P154" i="17"/>
  <c r="N31" i="17"/>
  <c r="O31" i="17" s="1"/>
  <c r="N182" i="17"/>
  <c r="O292" i="17"/>
  <c r="N58" i="17"/>
  <c r="O184" i="17"/>
  <c r="P184" i="17" s="1"/>
  <c r="O102" i="17"/>
  <c r="O141" i="17"/>
  <c r="P141" i="17" s="1"/>
  <c r="Q141" i="17" s="1"/>
  <c r="O170" i="17"/>
  <c r="O254" i="17"/>
  <c r="P254" i="17" s="1"/>
  <c r="O22" i="17"/>
  <c r="P305" i="17"/>
  <c r="Q305" i="17" s="1"/>
  <c r="Q101" i="17"/>
  <c r="P256" i="17"/>
  <c r="Q256" i="17" s="1"/>
  <c r="O235" i="17"/>
  <c r="N80" i="17"/>
  <c r="P115" i="17"/>
  <c r="Q115" i="17" s="1"/>
  <c r="R115" i="17" s="1"/>
  <c r="O267" i="17"/>
  <c r="P267" i="17" s="1"/>
  <c r="Q267" i="17" s="1"/>
  <c r="O53" i="17"/>
  <c r="P53" i="17" s="1"/>
  <c r="N40" i="17"/>
  <c r="O196" i="17"/>
  <c r="N55" i="17"/>
  <c r="N35" i="17"/>
  <c r="O35" i="17" s="1"/>
  <c r="O220" i="17"/>
  <c r="P220" i="17" s="1"/>
  <c r="O148" i="17"/>
  <c r="O10" i="17"/>
  <c r="P10" i="17" s="1"/>
  <c r="P191" i="17"/>
  <c r="P282" i="17"/>
  <c r="Q282" i="17" s="1"/>
  <c r="P94" i="17"/>
  <c r="Q94" i="17" s="1"/>
  <c r="P294" i="17"/>
  <c r="P156" i="17"/>
  <c r="Q156" i="17" s="1"/>
  <c r="P270" i="17"/>
  <c r="R163" i="17"/>
  <c r="P114" i="17"/>
  <c r="P73" i="17"/>
  <c r="P65" i="17"/>
  <c r="Q65" i="17" s="1"/>
  <c r="Q117" i="17"/>
  <c r="P174" i="17"/>
  <c r="Q265" i="17"/>
  <c r="P61" i="17"/>
  <c r="Q266" i="17" l="1"/>
  <c r="P303" i="17"/>
  <c r="R256" i="17"/>
  <c r="S256" i="17" s="1"/>
  <c r="S36" i="17"/>
  <c r="T36" i="17" s="1"/>
  <c r="Q107" i="17"/>
  <c r="R107" i="17" s="1"/>
  <c r="P20" i="17"/>
  <c r="Q17" i="17"/>
  <c r="Q244" i="17"/>
  <c r="R244" i="17" s="1"/>
  <c r="P188" i="17"/>
  <c r="P285" i="17"/>
  <c r="Q285" i="17"/>
  <c r="Q74" i="17"/>
  <c r="R74" i="17" s="1"/>
  <c r="S74" i="17" s="1"/>
  <c r="Q44" i="17"/>
  <c r="R284" i="17"/>
  <c r="O81" i="17"/>
  <c r="P81" i="17" s="1"/>
  <c r="P209" i="17"/>
  <c r="Q209" i="17" s="1"/>
  <c r="Q287" i="17"/>
  <c r="R287" i="17" s="1"/>
  <c r="Q202" i="17"/>
  <c r="O190" i="17"/>
  <c r="P190" i="17" s="1"/>
  <c r="Q190" i="17" s="1"/>
  <c r="R190" i="17" s="1"/>
  <c r="S190" i="17" s="1"/>
  <c r="T190" i="17" s="1"/>
  <c r="O222" i="17"/>
  <c r="P222" i="17" s="1"/>
  <c r="P78" i="17"/>
  <c r="Q78" i="17" s="1"/>
  <c r="Q242" i="17"/>
  <c r="R228" i="17"/>
  <c r="S228" i="17" s="1"/>
  <c r="T228" i="17" s="1"/>
  <c r="P26" i="17"/>
  <c r="Q26" i="17" s="1"/>
  <c r="R26" i="17" s="1"/>
  <c r="P241" i="17"/>
  <c r="Q241" i="17" s="1"/>
  <c r="Q166" i="17"/>
  <c r="Q146" i="17"/>
  <c r="P299" i="17"/>
  <c r="Q299" i="17" s="1"/>
  <c r="P252" i="17"/>
  <c r="Q252" i="17" s="1"/>
  <c r="R252" i="17" s="1"/>
  <c r="P288" i="17"/>
  <c r="Q100" i="17"/>
  <c r="R100" i="17" s="1"/>
  <c r="S100" i="17" s="1"/>
  <c r="O72" i="17"/>
  <c r="Q20" i="17"/>
  <c r="R20" i="17" s="1"/>
  <c r="P273" i="17"/>
  <c r="Q273" i="17" s="1"/>
  <c r="R273" i="17" s="1"/>
  <c r="Q251" i="17"/>
  <c r="R251" i="17" s="1"/>
  <c r="P225" i="17"/>
  <c r="Q225" i="17" s="1"/>
  <c r="R225" i="17" s="1"/>
  <c r="S225" i="17" s="1"/>
  <c r="R25" i="17"/>
  <c r="R159" i="17"/>
  <c r="S159" i="17" s="1"/>
  <c r="Q11" i="17"/>
  <c r="R11" i="17" s="1"/>
  <c r="Q206" i="17"/>
  <c r="O59" i="17"/>
  <c r="P59" i="17" s="1"/>
  <c r="P62" i="17"/>
  <c r="Q62" i="17" s="1"/>
  <c r="R62" i="17" s="1"/>
  <c r="S62" i="17" s="1"/>
  <c r="P162" i="17"/>
  <c r="Q162" i="17" s="1"/>
  <c r="P24" i="17"/>
  <c r="Q220" i="17"/>
  <c r="Q303" i="17"/>
  <c r="R303" i="17" s="1"/>
  <c r="P92" i="17"/>
  <c r="Q92" i="17" s="1"/>
  <c r="R92" i="17" s="1"/>
  <c r="O15" i="17"/>
  <c r="P15" i="17" s="1"/>
  <c r="Q15" i="17" s="1"/>
  <c r="O281" i="17"/>
  <c r="P281" i="17" s="1"/>
  <c r="P247" i="17"/>
  <c r="Q247" i="17" s="1"/>
  <c r="R247" i="17" s="1"/>
  <c r="Q140" i="17"/>
  <c r="R140" i="17" s="1"/>
  <c r="S140" i="17" s="1"/>
  <c r="Q213" i="17"/>
  <c r="R213" i="17" s="1"/>
  <c r="S213" i="17" s="1"/>
  <c r="Q23" i="17"/>
  <c r="P64" i="17"/>
  <c r="Q64" i="17" s="1"/>
  <c r="O219" i="17"/>
  <c r="P219" i="17" s="1"/>
  <c r="P137" i="17"/>
  <c r="Q137" i="17" s="1"/>
  <c r="P148" i="17"/>
  <c r="Q148" i="17" s="1"/>
  <c r="P238" i="17"/>
  <c r="Q238" i="17" s="1"/>
  <c r="Q48" i="17"/>
  <c r="R48" i="17" s="1"/>
  <c r="P291" i="17"/>
  <c r="Q291" i="17" s="1"/>
  <c r="P185" i="17"/>
  <c r="P172" i="17"/>
  <c r="Q147" i="17"/>
  <c r="R147" i="17" s="1"/>
  <c r="O243" i="17"/>
  <c r="Q21" i="17"/>
  <c r="R21" i="17" s="1"/>
  <c r="Q16" i="17"/>
  <c r="R16" i="17" s="1"/>
  <c r="P31" i="17"/>
  <c r="Q300" i="17"/>
  <c r="P212" i="17"/>
  <c r="Q212" i="17" s="1"/>
  <c r="P9" i="17"/>
  <c r="Q9" i="17" s="1"/>
  <c r="Q173" i="17"/>
  <c r="R173" i="17" s="1"/>
  <c r="O13" i="17"/>
  <c r="P13" i="17" s="1"/>
  <c r="Q82" i="17"/>
  <c r="R12" i="17"/>
  <c r="S12" i="17" s="1"/>
  <c r="T12" i="17" s="1"/>
  <c r="Q175" i="17"/>
  <c r="R175" i="17" s="1"/>
  <c r="S175" i="17" s="1"/>
  <c r="T175" i="17" s="1"/>
  <c r="P144" i="17"/>
  <c r="Q262" i="17"/>
  <c r="P260" i="17"/>
  <c r="Q260" i="17" s="1"/>
  <c r="P76" i="17"/>
  <c r="Q76" i="17" s="1"/>
  <c r="R300" i="17"/>
  <c r="O70" i="17"/>
  <c r="P70" i="17" s="1"/>
  <c r="R82" i="17"/>
  <c r="S82" i="17" s="1"/>
  <c r="O77" i="17"/>
  <c r="P77" i="17" s="1"/>
  <c r="P43" i="17"/>
  <c r="P128" i="17"/>
  <c r="Q99" i="17"/>
  <c r="R99" i="17" s="1"/>
  <c r="Q154" i="17"/>
  <c r="P171" i="17"/>
  <c r="Q171" i="17" s="1"/>
  <c r="P126" i="17"/>
  <c r="R126" i="17" s="1"/>
  <c r="Q126" i="17"/>
  <c r="O193" i="17"/>
  <c r="P193" i="17" s="1"/>
  <c r="P240" i="17"/>
  <c r="P39" i="17"/>
  <c r="Q39" i="17" s="1"/>
  <c r="O32" i="17"/>
  <c r="O127" i="17"/>
  <c r="P127" i="17" s="1"/>
  <c r="P195" i="17"/>
  <c r="T19" i="17"/>
  <c r="Q85" i="17"/>
  <c r="P196" i="17"/>
  <c r="Q196" i="17" s="1"/>
  <c r="P261" i="17"/>
  <c r="Q261" i="17" s="1"/>
  <c r="R261" i="17" s="1"/>
  <c r="P257" i="17"/>
  <c r="Q257" i="17" s="1"/>
  <c r="R200" i="17"/>
  <c r="S200" i="17" s="1"/>
  <c r="T200" i="17" s="1"/>
  <c r="P133" i="17"/>
  <c r="Q133" i="17" s="1"/>
  <c r="P218" i="17"/>
  <c r="Q218" i="17" s="1"/>
  <c r="R218" i="17" s="1"/>
  <c r="Q207" i="17"/>
  <c r="P253" i="17"/>
  <c r="Q253" i="17" s="1"/>
  <c r="P110" i="17"/>
  <c r="P230" i="17"/>
  <c r="Q230" i="17" s="1"/>
  <c r="Q91" i="17"/>
  <c r="R91" i="17" s="1"/>
  <c r="S284" i="17"/>
  <c r="P170" i="17"/>
  <c r="Q29" i="17"/>
  <c r="R29" i="17" s="1"/>
  <c r="Q66" i="17"/>
  <c r="R66" i="17" s="1"/>
  <c r="P54" i="17"/>
  <c r="Q54" i="17" s="1"/>
  <c r="O18" i="17"/>
  <c r="P18" i="17" s="1"/>
  <c r="P234" i="17"/>
  <c r="Q234" i="17" s="1"/>
  <c r="O169" i="17"/>
  <c r="P169" i="17" s="1"/>
  <c r="P181" i="17"/>
  <c r="P167" i="17"/>
  <c r="O75" i="17"/>
  <c r="P235" i="17"/>
  <c r="P111" i="17"/>
  <c r="O161" i="17"/>
  <c r="O246" i="17"/>
  <c r="P183" i="17"/>
  <c r="S33" i="17"/>
  <c r="R116" i="17"/>
  <c r="O6" i="17"/>
  <c r="P6" i="17" s="1"/>
  <c r="O113" i="17"/>
  <c r="P113" i="17"/>
  <c r="Q113" i="17" s="1"/>
  <c r="O189" i="17"/>
  <c r="P189" i="17" s="1"/>
  <c r="O87" i="17"/>
  <c r="P87" i="17" s="1"/>
  <c r="O293" i="17"/>
  <c r="P293" i="17" s="1"/>
  <c r="Q293" i="17" s="1"/>
  <c r="R293" i="17" s="1"/>
  <c r="Q289" i="17"/>
  <c r="S157" i="17"/>
  <c r="T157" i="17" s="1"/>
  <c r="Q10" i="17"/>
  <c r="P216" i="17"/>
  <c r="P119" i="17"/>
  <c r="P42" i="17"/>
  <c r="O215" i="17"/>
  <c r="P215" i="17" s="1"/>
  <c r="R194" i="17"/>
  <c r="S194" i="17" s="1"/>
  <c r="P226" i="17"/>
  <c r="R141" i="17"/>
  <c r="S141" i="17" s="1"/>
  <c r="O236" i="17"/>
  <c r="O104" i="17"/>
  <c r="Q105" i="17"/>
  <c r="R105" i="17" s="1"/>
  <c r="S105" i="17" s="1"/>
  <c r="O178" i="17"/>
  <c r="P178" i="17"/>
  <c r="Q130" i="17"/>
  <c r="R130" i="17" s="1"/>
  <c r="P274" i="17"/>
  <c r="R135" i="17"/>
  <c r="S135" i="17" s="1"/>
  <c r="Q63" i="17"/>
  <c r="R63" i="17"/>
  <c r="O269" i="17"/>
  <c r="P269" i="17" s="1"/>
  <c r="P56" i="17"/>
  <c r="Q223" i="17"/>
  <c r="R223" i="17" s="1"/>
  <c r="O142" i="17"/>
  <c r="O98" i="17"/>
  <c r="P98" i="17" s="1"/>
  <c r="P304" i="17"/>
  <c r="Q304" i="17"/>
  <c r="R17" i="17"/>
  <c r="S17" i="17" s="1"/>
  <c r="T17" i="17" s="1"/>
  <c r="Q164" i="17"/>
  <c r="R164" i="17" s="1"/>
  <c r="O201" i="17"/>
  <c r="O86" i="17"/>
  <c r="P86" i="17" s="1"/>
  <c r="Q86" i="17" s="1"/>
  <c r="O38" i="17"/>
  <c r="Q192" i="17"/>
  <c r="P139" i="17"/>
  <c r="O112" i="17"/>
  <c r="P112" i="17" s="1"/>
  <c r="P134" i="17"/>
  <c r="Q134" i="17" s="1"/>
  <c r="Q143" i="17"/>
  <c r="R143" i="17" s="1"/>
  <c r="P79" i="17"/>
  <c r="Q79" i="17"/>
  <c r="R79" i="17" s="1"/>
  <c r="P186" i="17"/>
  <c r="Q186" i="17" s="1"/>
  <c r="P68" i="17"/>
  <c r="R305" i="17"/>
  <c r="S305" i="17" s="1"/>
  <c r="T305" i="17" s="1"/>
  <c r="U305" i="17" s="1"/>
  <c r="V305" i="17" s="1"/>
  <c r="P93" i="17"/>
  <c r="P229" i="17"/>
  <c r="O248" i="17"/>
  <c r="O40" i="17"/>
  <c r="P40" i="17" s="1"/>
  <c r="O286" i="17"/>
  <c r="O67" i="17"/>
  <c r="O278" i="17"/>
  <c r="P278" i="17" s="1"/>
  <c r="Q278" i="17" s="1"/>
  <c r="P292" i="17"/>
  <c r="P158" i="17"/>
  <c r="P121" i="17"/>
  <c r="O80" i="17"/>
  <c r="P221" i="17"/>
  <c r="Q221" i="17" s="1"/>
  <c r="O263" i="17"/>
  <c r="O176" i="17"/>
  <c r="Q71" i="17"/>
  <c r="R71" i="17" s="1"/>
  <c r="P60" i="17"/>
  <c r="Q60" i="17" s="1"/>
  <c r="P14" i="17"/>
  <c r="P149" i="17"/>
  <c r="Q149" i="17" s="1"/>
  <c r="R149" i="17" s="1"/>
  <c r="O160" i="17"/>
  <c r="P160" i="17" s="1"/>
  <c r="Q160" i="17" s="1"/>
  <c r="P151" i="17"/>
  <c r="Q151" i="17" s="1"/>
  <c r="R151" i="17" s="1"/>
  <c r="O122" i="17"/>
  <c r="P122" i="17" s="1"/>
  <c r="O231" i="17"/>
  <c r="O49" i="17"/>
  <c r="Q233" i="17"/>
  <c r="O129" i="17"/>
  <c r="Q106" i="17"/>
  <c r="O47" i="17"/>
  <c r="P237" i="17"/>
  <c r="Q237" i="17"/>
  <c r="O199" i="17"/>
  <c r="P199" i="17" s="1"/>
  <c r="O57" i="17"/>
  <c r="P57" i="17" s="1"/>
  <c r="Q302" i="17"/>
  <c r="R302" i="17" s="1"/>
  <c r="O182" i="17"/>
  <c r="P182" i="17"/>
  <c r="Q182" i="17" s="1"/>
  <c r="O8" i="17"/>
  <c r="P204" i="17"/>
  <c r="Q204" i="17" s="1"/>
  <c r="R204" i="17" s="1"/>
  <c r="O224" i="17"/>
  <c r="P224" i="17" s="1"/>
  <c r="O7" i="17"/>
  <c r="O84" i="17"/>
  <c r="Q108" i="17"/>
  <c r="P88" i="17"/>
  <c r="P268" i="17"/>
  <c r="Q268" i="17" s="1"/>
  <c r="O179" i="17"/>
  <c r="P249" i="17"/>
  <c r="Q249" i="17" s="1"/>
  <c r="O210" i="17"/>
  <c r="Q211" i="17"/>
  <c r="O232" i="17"/>
  <c r="O203" i="17"/>
  <c r="P297" i="17"/>
  <c r="Q297" i="17" s="1"/>
  <c r="R297" i="17" s="1"/>
  <c r="R65" i="17"/>
  <c r="R34" i="17"/>
  <c r="S34" i="17" s="1"/>
  <c r="R239" i="17"/>
  <c r="S239" i="17" s="1"/>
  <c r="P69" i="17"/>
  <c r="P277" i="17"/>
  <c r="Q277" i="17" s="1"/>
  <c r="P22" i="17"/>
  <c r="Q22" i="17" s="1"/>
  <c r="P214" i="17"/>
  <c r="Q103" i="17"/>
  <c r="P301" i="17"/>
  <c r="P27" i="17"/>
  <c r="Q89" i="17"/>
  <c r="P211" i="17"/>
  <c r="O125" i="17"/>
  <c r="P125" i="17" s="1"/>
  <c r="P197" i="17"/>
  <c r="O123" i="17"/>
  <c r="P259" i="17"/>
  <c r="R295" i="17"/>
  <c r="P102" i="17"/>
  <c r="Q50" i="17"/>
  <c r="P276" i="17"/>
  <c r="Q276" i="17" s="1"/>
  <c r="O296" i="17"/>
  <c r="Q184" i="17"/>
  <c r="R184" i="17" s="1"/>
  <c r="S184" i="17" s="1"/>
  <c r="P136" i="17"/>
  <c r="Q136" i="17" s="1"/>
  <c r="R28" i="17"/>
  <c r="S28" i="17" s="1"/>
  <c r="T28" i="17" s="1"/>
  <c r="P258" i="17"/>
  <c r="Q258" i="17" s="1"/>
  <c r="R258" i="17" s="1"/>
  <c r="O55" i="17"/>
  <c r="O58" i="17"/>
  <c r="Q31" i="17"/>
  <c r="Q150" i="17"/>
  <c r="R150" i="17" s="1"/>
  <c r="P168" i="17"/>
  <c r="Q152" i="17"/>
  <c r="R152" i="17" s="1"/>
  <c r="P46" i="17"/>
  <c r="Q46" i="17" s="1"/>
  <c r="Q45" i="17"/>
  <c r="R45" i="17" s="1"/>
  <c r="P145" i="17"/>
  <c r="S19" i="17"/>
  <c r="R208" i="17"/>
  <c r="S208" i="17" s="1"/>
  <c r="Q275" i="17"/>
  <c r="O124" i="17"/>
  <c r="P124" i="17" s="1"/>
  <c r="Q124" i="17" s="1"/>
  <c r="P35" i="17"/>
  <c r="Q35" i="17" s="1"/>
  <c r="P49" i="17"/>
  <c r="Q96" i="17"/>
  <c r="O51" i="17"/>
  <c r="R101" i="17"/>
  <c r="S101" i="17" s="1"/>
  <c r="O95" i="17"/>
  <c r="Q254" i="17"/>
  <c r="P109" i="17"/>
  <c r="Q109" i="17" s="1"/>
  <c r="Q97" i="17"/>
  <c r="R97" i="17" s="1"/>
  <c r="S97" i="17" s="1"/>
  <c r="O132" i="17"/>
  <c r="P132" i="17" s="1"/>
  <c r="Q188" i="17"/>
  <c r="P272" i="17"/>
  <c r="S107" i="17"/>
  <c r="T107" i="17"/>
  <c r="U107" i="17" s="1"/>
  <c r="Q187" i="17"/>
  <c r="S115" i="17"/>
  <c r="T115" i="17" s="1"/>
  <c r="U115" i="17" s="1"/>
  <c r="R117" i="17"/>
  <c r="S117" i="17" s="1"/>
  <c r="Q174" i="17"/>
  <c r="S153" i="17"/>
  <c r="R44" i="17"/>
  <c r="S44" i="17" s="1"/>
  <c r="Q53" i="17"/>
  <c r="Q37" i="17"/>
  <c r="Q294" i="17"/>
  <c r="R41" i="17"/>
  <c r="Q61" i="17"/>
  <c r="Q30" i="17"/>
  <c r="R265" i="17"/>
  <c r="Q131" i="17"/>
  <c r="R131" i="17" s="1"/>
  <c r="Q120" i="17"/>
  <c r="R120" i="17" s="1"/>
  <c r="R282" i="17"/>
  <c r="S282" i="17" s="1"/>
  <c r="Q73" i="17"/>
  <c r="R73" i="17" s="1"/>
  <c r="R177" i="17"/>
  <c r="Q138" i="17"/>
  <c r="R227" i="17"/>
  <c r="S227" i="17" s="1"/>
  <c r="Q270" i="17"/>
  <c r="Q114" i="17"/>
  <c r="R283" i="17"/>
  <c r="S255" i="17"/>
  <c r="T255" i="17" s="1"/>
  <c r="Q280" i="17"/>
  <c r="R156" i="17"/>
  <c r="S163" i="17"/>
  <c r="Q279" i="17"/>
  <c r="S180" i="17"/>
  <c r="S217" i="17"/>
  <c r="R83" i="17"/>
  <c r="S250" i="17"/>
  <c r="T250" i="17" s="1"/>
  <c r="Q264" i="17"/>
  <c r="R285" i="17"/>
  <c r="S285" i="17" s="1"/>
  <c r="Q155" i="17"/>
  <c r="S118" i="17"/>
  <c r="R90" i="17"/>
  <c r="R52" i="17"/>
  <c r="S52" i="17" s="1"/>
  <c r="Q290" i="17"/>
  <c r="R165" i="17"/>
  <c r="R267" i="17"/>
  <c r="R205" i="17"/>
  <c r="R266" i="17"/>
  <c r="Q191" i="17"/>
  <c r="T256" i="17"/>
  <c r="U256" i="17" s="1"/>
  <c r="S298" i="17"/>
  <c r="Q245" i="17"/>
  <c r="R94" i="17"/>
  <c r="R202" i="17"/>
  <c r="R271" i="17"/>
  <c r="R198" i="17"/>
  <c r="U36" i="17" l="1"/>
  <c r="R260" i="17"/>
  <c r="Q222" i="17"/>
  <c r="R222" i="17" s="1"/>
  <c r="S222" i="17" s="1"/>
  <c r="Q18" i="17"/>
  <c r="Q122" i="17"/>
  <c r="R122" i="17" s="1"/>
  <c r="S122" i="17" s="1"/>
  <c r="T122" i="17" s="1"/>
  <c r="Q40" i="17"/>
  <c r="R40" i="17" s="1"/>
  <c r="T82" i="17"/>
  <c r="R78" i="17"/>
  <c r="S78" i="17" s="1"/>
  <c r="Q81" i="17"/>
  <c r="R81" i="17" s="1"/>
  <c r="S126" i="17"/>
  <c r="T126" i="17" s="1"/>
  <c r="U126" i="17" s="1"/>
  <c r="Q178" i="17"/>
  <c r="R178" i="17" s="1"/>
  <c r="R206" i="17"/>
  <c r="S206" i="17" s="1"/>
  <c r="R299" i="17"/>
  <c r="S299" i="17" s="1"/>
  <c r="T299" i="17" s="1"/>
  <c r="S300" i="17"/>
  <c r="T300" i="17" s="1"/>
  <c r="P75" i="17"/>
  <c r="Q75" i="17" s="1"/>
  <c r="S21" i="17"/>
  <c r="T21" i="17" s="1"/>
  <c r="U21" i="17" s="1"/>
  <c r="V21" i="17" s="1"/>
  <c r="S25" i="17"/>
  <c r="T25" i="17" s="1"/>
  <c r="R241" i="17"/>
  <c r="S241" i="17" s="1"/>
  <c r="T241" i="17" s="1"/>
  <c r="S48" i="17"/>
  <c r="T48" i="17" s="1"/>
  <c r="T100" i="17"/>
  <c r="U100" i="17" s="1"/>
  <c r="R242" i="17"/>
  <c r="S242" i="17" s="1"/>
  <c r="T242" i="17" s="1"/>
  <c r="U242" i="17" s="1"/>
  <c r="V242" i="17" s="1"/>
  <c r="R103" i="17"/>
  <c r="S103" i="17" s="1"/>
  <c r="T184" i="17"/>
  <c r="U184" i="17" s="1"/>
  <c r="V184" i="17" s="1"/>
  <c r="P32" i="17"/>
  <c r="Q32" i="17" s="1"/>
  <c r="R166" i="17"/>
  <c r="S166" i="17" s="1"/>
  <c r="U228" i="17"/>
  <c r="V228" i="17" s="1"/>
  <c r="R209" i="17"/>
  <c r="S209" i="17" s="1"/>
  <c r="Q49" i="17"/>
  <c r="R49" i="17" s="1"/>
  <c r="S49" i="17" s="1"/>
  <c r="Q288" i="17"/>
  <c r="R288" i="17" s="1"/>
  <c r="S146" i="17"/>
  <c r="S251" i="17"/>
  <c r="T251" i="17" s="1"/>
  <c r="U251" i="17" s="1"/>
  <c r="R211" i="17"/>
  <c r="S211" i="17" s="1"/>
  <c r="T211" i="17" s="1"/>
  <c r="R238" i="17"/>
  <c r="S238" i="17" s="1"/>
  <c r="S297" i="17"/>
  <c r="T297" i="17" s="1"/>
  <c r="R304" i="17"/>
  <c r="S304" i="17" s="1"/>
  <c r="T304" i="17" s="1"/>
  <c r="R146" i="17"/>
  <c r="V36" i="17"/>
  <c r="W36" i="17" s="1"/>
  <c r="X36" i="17" s="1"/>
  <c r="Y36" i="17" s="1"/>
  <c r="T239" i="17"/>
  <c r="U239" i="17" s="1"/>
  <c r="S273" i="17"/>
  <c r="T273" i="17" s="1"/>
  <c r="R162" i="17"/>
  <c r="S162" i="17" s="1"/>
  <c r="T162" i="17" s="1"/>
  <c r="Q119" i="17"/>
  <c r="R119" i="17" s="1"/>
  <c r="S119" i="17" s="1"/>
  <c r="P72" i="17"/>
  <c r="Q13" i="17"/>
  <c r="R13" i="17" s="1"/>
  <c r="Q59" i="17"/>
  <c r="R59" i="17"/>
  <c r="R23" i="17"/>
  <c r="S23" i="17" s="1"/>
  <c r="T23" i="17" s="1"/>
  <c r="R220" i="17"/>
  <c r="Q215" i="17"/>
  <c r="R215" i="17" s="1"/>
  <c r="Q281" i="17"/>
  <c r="R281" i="17" s="1"/>
  <c r="R160" i="17"/>
  <c r="S160" i="17" s="1"/>
  <c r="U12" i="17"/>
  <c r="V12" i="17" s="1"/>
  <c r="R262" i="17"/>
  <c r="S262" i="17" s="1"/>
  <c r="P243" i="17"/>
  <c r="Q243" i="17" s="1"/>
  <c r="T34" i="17"/>
  <c r="U34" i="17" s="1"/>
  <c r="S91" i="17"/>
  <c r="T91" i="17" s="1"/>
  <c r="U19" i="17"/>
  <c r="S11" i="17"/>
  <c r="T11" i="17" s="1"/>
  <c r="U11" i="17" s="1"/>
  <c r="Q70" i="17"/>
  <c r="R70" i="17" s="1"/>
  <c r="R76" i="17"/>
  <c r="S76" i="17" s="1"/>
  <c r="T141" i="17"/>
  <c r="U141" i="17" s="1"/>
  <c r="Q77" i="17"/>
  <c r="R77" i="17" s="1"/>
  <c r="R148" i="17"/>
  <c r="S148" i="17" s="1"/>
  <c r="R35" i="17"/>
  <c r="S35" i="17" s="1"/>
  <c r="T35" i="17" s="1"/>
  <c r="V256" i="17"/>
  <c r="W256" i="17" s="1"/>
  <c r="X256" i="17" s="1"/>
  <c r="R276" i="17"/>
  <c r="S276" i="17" s="1"/>
  <c r="Q128" i="17"/>
  <c r="R128" i="17" s="1"/>
  <c r="S147" i="17"/>
  <c r="T147" i="17" s="1"/>
  <c r="T97" i="17"/>
  <c r="U97" i="17" s="1"/>
  <c r="V97" i="17" s="1"/>
  <c r="Q43" i="17"/>
  <c r="R43" i="17" s="1"/>
  <c r="S43" i="17" s="1"/>
  <c r="R64" i="17"/>
  <c r="S64" i="17" s="1"/>
  <c r="Q185" i="17"/>
  <c r="S45" i="17"/>
  <c r="T45" i="17" s="1"/>
  <c r="U45" i="17" s="1"/>
  <c r="V45" i="17" s="1"/>
  <c r="Q219" i="17"/>
  <c r="R219" i="17" s="1"/>
  <c r="R268" i="17"/>
  <c r="Q235" i="17"/>
  <c r="S223" i="17"/>
  <c r="T223" i="17" s="1"/>
  <c r="Q24" i="17"/>
  <c r="Q144" i="17"/>
  <c r="R144" i="17" s="1"/>
  <c r="S144" i="17" s="1"/>
  <c r="Q110" i="17"/>
  <c r="R110" i="17" s="1"/>
  <c r="Q172" i="17"/>
  <c r="R172" i="17" s="1"/>
  <c r="T159" i="17"/>
  <c r="R270" i="17"/>
  <c r="R89" i="17"/>
  <c r="P80" i="17"/>
  <c r="Q80" i="17"/>
  <c r="R113" i="17"/>
  <c r="S29" i="17"/>
  <c r="R254" i="17"/>
  <c r="P296" i="17"/>
  <c r="Q296" i="17" s="1"/>
  <c r="P47" i="17"/>
  <c r="Q47" i="17" s="1"/>
  <c r="R47" i="17" s="1"/>
  <c r="R106" i="17"/>
  <c r="S106" i="17" s="1"/>
  <c r="T106" i="17" s="1"/>
  <c r="Q216" i="17"/>
  <c r="R216" i="17" s="1"/>
  <c r="R207" i="17"/>
  <c r="P58" i="17"/>
  <c r="Q58" i="17"/>
  <c r="Q6" i="17"/>
  <c r="R289" i="17"/>
  <c r="R85" i="17"/>
  <c r="S85" i="17" s="1"/>
  <c r="Q259" i="17"/>
  <c r="R259" i="17" s="1"/>
  <c r="U190" i="17"/>
  <c r="V190" i="17" s="1"/>
  <c r="W190" i="17" s="1"/>
  <c r="Q272" i="17"/>
  <c r="R272" i="17" s="1"/>
  <c r="R96" i="17"/>
  <c r="S96" i="17" s="1"/>
  <c r="R108" i="17"/>
  <c r="P231" i="17"/>
  <c r="S71" i="17"/>
  <c r="T71" i="17" s="1"/>
  <c r="R278" i="17"/>
  <c r="S116" i="17"/>
  <c r="R46" i="17"/>
  <c r="S46" i="17" s="1"/>
  <c r="S79" i="17"/>
  <c r="T79" i="17" s="1"/>
  <c r="Q87" i="17"/>
  <c r="R87" i="17" s="1"/>
  <c r="R86" i="17"/>
  <c r="S86" i="17" s="1"/>
  <c r="R192" i="17"/>
  <c r="Q132" i="17"/>
  <c r="R132" i="17" s="1"/>
  <c r="U28" i="17"/>
  <c r="V28" i="17" s="1"/>
  <c r="P203" i="17"/>
  <c r="S92" i="17"/>
  <c r="T92" i="17" s="1"/>
  <c r="P176" i="17"/>
  <c r="S143" i="17"/>
  <c r="S63" i="17"/>
  <c r="T63" i="17" s="1"/>
  <c r="R134" i="17"/>
  <c r="S134" i="17"/>
  <c r="U82" i="17"/>
  <c r="S151" i="17"/>
  <c r="T151" i="17" s="1"/>
  <c r="U151" i="17" s="1"/>
  <c r="V141" i="17"/>
  <c r="T29" i="17"/>
  <c r="S130" i="17"/>
  <c r="T130" i="17" s="1"/>
  <c r="P8" i="17"/>
  <c r="S204" i="17"/>
  <c r="T204" i="17" s="1"/>
  <c r="S295" i="17"/>
  <c r="T295" i="17" s="1"/>
  <c r="U295" i="17" s="1"/>
  <c r="P248" i="17"/>
  <c r="Q248" i="17" s="1"/>
  <c r="Q158" i="17"/>
  <c r="R158" i="17"/>
  <c r="S158" i="17" s="1"/>
  <c r="R230" i="17"/>
  <c r="S230" i="17" s="1"/>
  <c r="T230" i="17" s="1"/>
  <c r="R277" i="17"/>
  <c r="S277" i="17" s="1"/>
  <c r="P67" i="17"/>
  <c r="Q67" i="17"/>
  <c r="Q42" i="17"/>
  <c r="Q189" i="17"/>
  <c r="Q98" i="17"/>
  <c r="R98" i="17" s="1"/>
  <c r="S99" i="17"/>
  <c r="T99" i="17" s="1"/>
  <c r="S65" i="17"/>
  <c r="T65" i="17"/>
  <c r="P201" i="17"/>
  <c r="R234" i="17"/>
  <c r="S234" i="17" s="1"/>
  <c r="Q145" i="17"/>
  <c r="Q214" i="17"/>
  <c r="R214" i="17" s="1"/>
  <c r="Q139" i="17"/>
  <c r="R139" i="17" s="1"/>
  <c r="S139" i="17" s="1"/>
  <c r="T139" i="17" s="1"/>
  <c r="U139" i="17" s="1"/>
  <c r="S66" i="17"/>
  <c r="Q127" i="17"/>
  <c r="P104" i="17"/>
  <c r="R22" i="17"/>
  <c r="S22" i="17" s="1"/>
  <c r="U122" i="17"/>
  <c r="S293" i="17"/>
  <c r="T293" i="17" s="1"/>
  <c r="U293" i="17" s="1"/>
  <c r="S120" i="17"/>
  <c r="T120" i="17" s="1"/>
  <c r="P95" i="17"/>
  <c r="R186" i="17"/>
  <c r="S186" i="17" s="1"/>
  <c r="Q125" i="17"/>
  <c r="R125" i="17" s="1"/>
  <c r="T135" i="17"/>
  <c r="U135" i="17" s="1"/>
  <c r="Q199" i="17"/>
  <c r="R39" i="17"/>
  <c r="P38" i="17"/>
  <c r="Q38" i="17" s="1"/>
  <c r="P263" i="17"/>
  <c r="P179" i="17"/>
  <c r="R249" i="17"/>
  <c r="R275" i="17"/>
  <c r="S275" i="17" s="1"/>
  <c r="T275" i="17" s="1"/>
  <c r="Q292" i="17"/>
  <c r="P84" i="17"/>
  <c r="S150" i="17"/>
  <c r="T150" i="17" s="1"/>
  <c r="S152" i="17"/>
  <c r="S260" i="17"/>
  <c r="P123" i="17"/>
  <c r="Q123" i="17" s="1"/>
  <c r="R123" i="17" s="1"/>
  <c r="R237" i="17"/>
  <c r="R221" i="17"/>
  <c r="Q56" i="17"/>
  <c r="Q226" i="17"/>
  <c r="R226" i="17" s="1"/>
  <c r="R124" i="17"/>
  <c r="S124" i="17" s="1"/>
  <c r="T124" i="17" s="1"/>
  <c r="P161" i="17"/>
  <c r="Q161" i="17" s="1"/>
  <c r="Q181" i="17"/>
  <c r="R181" i="17" s="1"/>
  <c r="R109" i="17"/>
  <c r="Q69" i="17"/>
  <c r="R69" i="17" s="1"/>
  <c r="S69" i="17" s="1"/>
  <c r="Q193" i="17"/>
  <c r="Q229" i="17"/>
  <c r="R229" i="17" s="1"/>
  <c r="S229" i="17" s="1"/>
  <c r="Q27" i="17"/>
  <c r="R27" i="17" s="1"/>
  <c r="R10" i="17"/>
  <c r="S10" i="17" s="1"/>
  <c r="T10" i="17" s="1"/>
  <c r="R15" i="17"/>
  <c r="P232" i="17"/>
  <c r="Q232" i="17" s="1"/>
  <c r="Q183" i="17"/>
  <c r="Q195" i="17"/>
  <c r="R195" i="17" s="1"/>
  <c r="P246" i="17"/>
  <c r="R233" i="17"/>
  <c r="S233" i="17" s="1"/>
  <c r="S26" i="17"/>
  <c r="T26" i="17" s="1"/>
  <c r="Q274" i="17"/>
  <c r="R54" i="17"/>
  <c r="R171" i="17"/>
  <c r="S171" i="17" s="1"/>
  <c r="Q93" i="17"/>
  <c r="R93" i="17" s="1"/>
  <c r="S93" i="17" s="1"/>
  <c r="T208" i="17"/>
  <c r="Q102" i="17"/>
  <c r="Q168" i="17"/>
  <c r="Q88" i="17"/>
  <c r="R182" i="17"/>
  <c r="P129" i="17"/>
  <c r="Q129" i="17" s="1"/>
  <c r="Q240" i="17"/>
  <c r="R240" i="17" s="1"/>
  <c r="Q111" i="17"/>
  <c r="T33" i="17"/>
  <c r="U33" i="17" s="1"/>
  <c r="R253" i="17"/>
  <c r="S253" i="17" s="1"/>
  <c r="R154" i="17"/>
  <c r="S154" i="17" s="1"/>
  <c r="Q14" i="17"/>
  <c r="R14" i="17" s="1"/>
  <c r="R50" i="17"/>
  <c r="Q167" i="17"/>
  <c r="R188" i="17"/>
  <c r="S188" i="17" s="1"/>
  <c r="P55" i="17"/>
  <c r="Q57" i="17"/>
  <c r="Q68" i="17"/>
  <c r="R68" i="17" s="1"/>
  <c r="S287" i="17"/>
  <c r="Q169" i="17"/>
  <c r="R169" i="17"/>
  <c r="S169" i="17" s="1"/>
  <c r="T169" i="17" s="1"/>
  <c r="R257" i="17"/>
  <c r="S257" i="17" s="1"/>
  <c r="Q197" i="17"/>
  <c r="R9" i="17"/>
  <c r="S9" i="17" s="1"/>
  <c r="P7" i="17"/>
  <c r="Q7" i="17" s="1"/>
  <c r="R7" i="17" s="1"/>
  <c r="P286" i="17"/>
  <c r="Q112" i="17"/>
  <c r="Q170" i="17"/>
  <c r="R170" i="17" s="1"/>
  <c r="S149" i="17"/>
  <c r="T284" i="17"/>
  <c r="U284" i="17" s="1"/>
  <c r="P236" i="17"/>
  <c r="T101" i="17"/>
  <c r="U101" i="17" s="1"/>
  <c r="V101" i="17" s="1"/>
  <c r="Q301" i="17"/>
  <c r="Q224" i="17"/>
  <c r="R133" i="17"/>
  <c r="R18" i="17"/>
  <c r="S18" i="17" s="1"/>
  <c r="P51" i="17"/>
  <c r="Q51" i="17" s="1"/>
  <c r="R31" i="17"/>
  <c r="P210" i="17"/>
  <c r="R136" i="17"/>
  <c r="S164" i="17"/>
  <c r="Q269" i="17"/>
  <c r="R269" i="17" s="1"/>
  <c r="R196" i="17"/>
  <c r="S196" i="17" s="1"/>
  <c r="R60" i="17"/>
  <c r="Q121" i="17"/>
  <c r="R121" i="17" s="1"/>
  <c r="P142" i="17"/>
  <c r="Q142" i="17" s="1"/>
  <c r="S83" i="17"/>
  <c r="T83" i="17" s="1"/>
  <c r="S252" i="17"/>
  <c r="S173" i="17"/>
  <c r="T173" i="17" s="1"/>
  <c r="R191" i="17"/>
  <c r="S191" i="17" s="1"/>
  <c r="S94" i="17"/>
  <c r="T94" i="17" s="1"/>
  <c r="U94" i="17" s="1"/>
  <c r="V94" i="17" s="1"/>
  <c r="S205" i="17"/>
  <c r="S302" i="17"/>
  <c r="T302" i="17" s="1"/>
  <c r="U250" i="17"/>
  <c r="V250" i="17" s="1"/>
  <c r="U175" i="17"/>
  <c r="V175" i="17" s="1"/>
  <c r="S198" i="17"/>
  <c r="R212" i="17"/>
  <c r="S244" i="17"/>
  <c r="T225" i="17"/>
  <c r="U225" i="17" s="1"/>
  <c r="T298" i="17"/>
  <c r="S266" i="17"/>
  <c r="S16" i="17"/>
  <c r="U157" i="17"/>
  <c r="T180" i="17"/>
  <c r="S202" i="17"/>
  <c r="R245" i="17"/>
  <c r="T222" i="17"/>
  <c r="U222" i="17" s="1"/>
  <c r="S90" i="17"/>
  <c r="T90" i="17" s="1"/>
  <c r="S247" i="17"/>
  <c r="T118" i="17"/>
  <c r="R279" i="17"/>
  <c r="S279" i="17" s="1"/>
  <c r="R137" i="17"/>
  <c r="R290" i="17"/>
  <c r="R155" i="17"/>
  <c r="S258" i="17"/>
  <c r="T258" i="17" s="1"/>
  <c r="U258" i="17" s="1"/>
  <c r="T282" i="17"/>
  <c r="U282" i="17" s="1"/>
  <c r="S303" i="17"/>
  <c r="R291" i="17"/>
  <c r="T52" i="17"/>
  <c r="T285" i="17"/>
  <c r="T217" i="17"/>
  <c r="U200" i="17"/>
  <c r="S267" i="17"/>
  <c r="T267" i="17" s="1"/>
  <c r="S271" i="17"/>
  <c r="R264" i="17"/>
  <c r="S269" i="17"/>
  <c r="S165" i="17"/>
  <c r="T213" i="17"/>
  <c r="T105" i="17"/>
  <c r="T62" i="17"/>
  <c r="T163" i="17"/>
  <c r="R280" i="17"/>
  <c r="R61" i="17"/>
  <c r="S20" i="17"/>
  <c r="U255" i="17"/>
  <c r="W305" i="17"/>
  <c r="X305" i="17" s="1"/>
  <c r="S73" i="17"/>
  <c r="T74" i="17"/>
  <c r="R114" i="17"/>
  <c r="T44" i="17"/>
  <c r="S218" i="17"/>
  <c r="S283" i="17"/>
  <c r="S177" i="17"/>
  <c r="U163" i="17"/>
  <c r="V163" i="17" s="1"/>
  <c r="S131" i="17"/>
  <c r="T131" i="17" s="1"/>
  <c r="S156" i="17"/>
  <c r="S41" i="17"/>
  <c r="R294" i="17"/>
  <c r="S294" i="17" s="1"/>
  <c r="R187" i="17"/>
  <c r="V107" i="17"/>
  <c r="S261" i="17"/>
  <c r="T194" i="17"/>
  <c r="U194" i="17" s="1"/>
  <c r="S265" i="17"/>
  <c r="T265" i="17" s="1"/>
  <c r="U265" i="17" s="1"/>
  <c r="U17" i="17"/>
  <c r="V17" i="17" s="1"/>
  <c r="R30" i="17"/>
  <c r="S30" i="17" s="1"/>
  <c r="T117" i="17"/>
  <c r="U117" i="17" s="1"/>
  <c r="T227" i="17"/>
  <c r="R37" i="17"/>
  <c r="V115" i="17"/>
  <c r="R53" i="17"/>
  <c r="T140" i="17"/>
  <c r="T153" i="17"/>
  <c r="R138" i="17"/>
  <c r="R174" i="17"/>
  <c r="S40" i="17" l="1"/>
  <c r="T40" i="17" s="1"/>
  <c r="S59" i="17"/>
  <c r="V25" i="17"/>
  <c r="W25" i="17" s="1"/>
  <c r="X25" i="17" s="1"/>
  <c r="U25" i="17"/>
  <c r="S13" i="17"/>
  <c r="U13" i="17" s="1"/>
  <c r="S289" i="17"/>
  <c r="T289" i="17" s="1"/>
  <c r="T146" i="17"/>
  <c r="U146" i="17" s="1"/>
  <c r="T288" i="17"/>
  <c r="U288" i="17" s="1"/>
  <c r="T78" i="17"/>
  <c r="U78" i="17" s="1"/>
  <c r="U92" i="17"/>
  <c r="V92" i="17" s="1"/>
  <c r="V239" i="17"/>
  <c r="W239" i="17" s="1"/>
  <c r="T96" i="17"/>
  <c r="U96" i="17" s="1"/>
  <c r="V96" i="17" s="1"/>
  <c r="R75" i="17"/>
  <c r="T206" i="17"/>
  <c r="U206" i="17" s="1"/>
  <c r="S288" i="17"/>
  <c r="S216" i="17"/>
  <c r="R24" i="17"/>
  <c r="S24" i="17" s="1"/>
  <c r="T13" i="17"/>
  <c r="T238" i="17"/>
  <c r="V100" i="17"/>
  <c r="W100" i="17" s="1"/>
  <c r="T287" i="17"/>
  <c r="U287" i="17" s="1"/>
  <c r="U62" i="17"/>
  <c r="U300" i="17"/>
  <c r="V300" i="17" s="1"/>
  <c r="R32" i="17"/>
  <c r="S32" i="17" s="1"/>
  <c r="T209" i="17"/>
  <c r="U209" i="17" s="1"/>
  <c r="R185" i="17"/>
  <c r="S281" i="17"/>
  <c r="S220" i="17"/>
  <c r="T220" i="17" s="1"/>
  <c r="U297" i="17"/>
  <c r="V297" i="17" s="1"/>
  <c r="U26" i="17"/>
  <c r="V26" i="17" s="1"/>
  <c r="W26" i="17" s="1"/>
  <c r="T103" i="17"/>
  <c r="U103" i="17" s="1"/>
  <c r="W141" i="17"/>
  <c r="X141" i="17" s="1"/>
  <c r="T59" i="17"/>
  <c r="U59" i="17" s="1"/>
  <c r="S215" i="17"/>
  <c r="T215" i="17" s="1"/>
  <c r="U215" i="17" s="1"/>
  <c r="V215" i="17" s="1"/>
  <c r="U299" i="17"/>
  <c r="V299" i="17" s="1"/>
  <c r="W299" i="17" s="1"/>
  <c r="T119" i="17"/>
  <c r="U119" i="17" s="1"/>
  <c r="Q72" i="17"/>
  <c r="T166" i="17"/>
  <c r="U166" i="17" s="1"/>
  <c r="V166" i="17" s="1"/>
  <c r="T196" i="17"/>
  <c r="U196" i="17" s="1"/>
  <c r="V196" i="17" s="1"/>
  <c r="S68" i="17"/>
  <c r="T68" i="17" s="1"/>
  <c r="U68" i="17" s="1"/>
  <c r="U48" i="17"/>
  <c r="T253" i="17"/>
  <c r="U253" i="17" s="1"/>
  <c r="S125" i="17"/>
  <c r="T125" i="17" s="1"/>
  <c r="T148" i="17"/>
  <c r="U148" i="17" s="1"/>
  <c r="T144" i="17"/>
  <c r="R243" i="17"/>
  <c r="S268" i="17"/>
  <c r="R58" i="17"/>
  <c r="S58" i="17" s="1"/>
  <c r="R235" i="17"/>
  <c r="R67" i="17"/>
  <c r="S67" i="17" s="1"/>
  <c r="S249" i="17"/>
  <c r="T249" i="17" s="1"/>
  <c r="T277" i="17"/>
  <c r="U277" i="17" s="1"/>
  <c r="S70" i="17"/>
  <c r="S172" i="17"/>
  <c r="T276" i="17"/>
  <c r="U276" i="17" s="1"/>
  <c r="V276" i="17" s="1"/>
  <c r="W276" i="17" s="1"/>
  <c r="U238" i="17"/>
  <c r="V238" i="17" s="1"/>
  <c r="S7" i="17"/>
  <c r="T7" i="17" s="1"/>
  <c r="U7" i="17" s="1"/>
  <c r="T158" i="17"/>
  <c r="U158" i="17" s="1"/>
  <c r="V158" i="17" s="1"/>
  <c r="V284" i="17"/>
  <c r="W284" i="17" s="1"/>
  <c r="S110" i="17"/>
  <c r="T110" i="17" s="1"/>
  <c r="S226" i="17"/>
  <c r="T226" i="17" s="1"/>
  <c r="T134" i="17"/>
  <c r="U134" i="17" s="1"/>
  <c r="V134" i="17" s="1"/>
  <c r="T262" i="17"/>
  <c r="U262" i="17" s="1"/>
  <c r="T76" i="17"/>
  <c r="V19" i="17"/>
  <c r="T22" i="17"/>
  <c r="S214" i="17"/>
  <c r="T214" i="17" s="1"/>
  <c r="U214" i="17" s="1"/>
  <c r="V214" i="17" s="1"/>
  <c r="S272" i="17"/>
  <c r="T272" i="17" s="1"/>
  <c r="S77" i="17"/>
  <c r="T77" i="17" s="1"/>
  <c r="U77" i="17" s="1"/>
  <c r="U147" i="17"/>
  <c r="V147" i="17" s="1"/>
  <c r="W147" i="17" s="1"/>
  <c r="T86" i="17"/>
  <c r="U86" i="17" s="1"/>
  <c r="T281" i="17"/>
  <c r="S128" i="17"/>
  <c r="T128" i="17" s="1"/>
  <c r="U128" i="17" s="1"/>
  <c r="W12" i="17"/>
  <c r="X12" i="17" s="1"/>
  <c r="U23" i="17"/>
  <c r="V23" i="17" s="1"/>
  <c r="W23" i="17" s="1"/>
  <c r="T9" i="17"/>
  <c r="U159" i="17"/>
  <c r="S219" i="17"/>
  <c r="T219" i="17" s="1"/>
  <c r="V34" i="17"/>
  <c r="W34" i="17" s="1"/>
  <c r="U90" i="17"/>
  <c r="V90" i="17" s="1"/>
  <c r="T64" i="17"/>
  <c r="U64" i="17" s="1"/>
  <c r="T152" i="17"/>
  <c r="U152" i="17" s="1"/>
  <c r="V152" i="17" s="1"/>
  <c r="T49" i="17"/>
  <c r="U49" i="17" s="1"/>
  <c r="V49" i="17" s="1"/>
  <c r="S89" i="17"/>
  <c r="T89" i="17" s="1"/>
  <c r="U89" i="17" s="1"/>
  <c r="T233" i="17"/>
  <c r="S27" i="17"/>
  <c r="S170" i="17"/>
  <c r="T234" i="17"/>
  <c r="U99" i="17"/>
  <c r="V99" i="17" s="1"/>
  <c r="T257" i="17"/>
  <c r="U257" i="17" s="1"/>
  <c r="U211" i="17"/>
  <c r="V211" i="17"/>
  <c r="U71" i="17"/>
  <c r="V71" i="17" s="1"/>
  <c r="S47" i="17"/>
  <c r="T46" i="17"/>
  <c r="U46" i="17" s="1"/>
  <c r="Q203" i="17"/>
  <c r="R203" i="17" s="1"/>
  <c r="U150" i="17"/>
  <c r="V150" i="17" s="1"/>
  <c r="W250" i="17"/>
  <c r="X250" i="17" s="1"/>
  <c r="S212" i="17"/>
  <c r="U130" i="17"/>
  <c r="R224" i="17"/>
  <c r="S224" i="17" s="1"/>
  <c r="S15" i="17"/>
  <c r="S178" i="17"/>
  <c r="T178" i="17" s="1"/>
  <c r="V82" i="17"/>
  <c r="W82" i="17" s="1"/>
  <c r="T143" i="17"/>
  <c r="U143" i="17" s="1"/>
  <c r="S113" i="17"/>
  <c r="T113" i="17" s="1"/>
  <c r="S240" i="17"/>
  <c r="T240" i="17" s="1"/>
  <c r="R197" i="17"/>
  <c r="U10" i="17"/>
  <c r="V10" i="17" s="1"/>
  <c r="U304" i="17"/>
  <c r="S108" i="17"/>
  <c r="T261" i="17"/>
  <c r="R111" i="17"/>
  <c r="S111" i="17" s="1"/>
  <c r="T111" i="17" s="1"/>
  <c r="S181" i="17"/>
  <c r="T181" i="17" s="1"/>
  <c r="U181" i="17" s="1"/>
  <c r="V122" i="17"/>
  <c r="U65" i="17"/>
  <c r="V65" i="17" s="1"/>
  <c r="S192" i="17"/>
  <c r="R80" i="17"/>
  <c r="S80" i="17" s="1"/>
  <c r="Q263" i="17"/>
  <c r="R263" i="17" s="1"/>
  <c r="R199" i="17"/>
  <c r="R142" i="17"/>
  <c r="T188" i="17"/>
  <c r="U188" i="17" s="1"/>
  <c r="V188" i="17" s="1"/>
  <c r="U208" i="17"/>
  <c r="V208" i="17" s="1"/>
  <c r="T260" i="17"/>
  <c r="U260" i="17" s="1"/>
  <c r="V260" i="17" s="1"/>
  <c r="R6" i="17"/>
  <c r="S278" i="17"/>
  <c r="T164" i="17"/>
  <c r="U223" i="17"/>
  <c r="V223" i="17"/>
  <c r="S207" i="17"/>
  <c r="Q201" i="17"/>
  <c r="S254" i="17"/>
  <c r="T254" i="17" s="1"/>
  <c r="S121" i="17"/>
  <c r="T121" i="17" s="1"/>
  <c r="Q210" i="17"/>
  <c r="Q286" i="17"/>
  <c r="S109" i="17"/>
  <c r="R168" i="17"/>
  <c r="S136" i="17"/>
  <c r="R38" i="17"/>
  <c r="S38" i="17" s="1"/>
  <c r="T38" i="17" s="1"/>
  <c r="S98" i="17"/>
  <c r="R127" i="17"/>
  <c r="S14" i="17"/>
  <c r="T14" i="17" s="1"/>
  <c r="T186" i="17"/>
  <c r="U186" i="17" s="1"/>
  <c r="V186" i="17" s="1"/>
  <c r="T85" i="17"/>
  <c r="U85" i="17" s="1"/>
  <c r="T171" i="17"/>
  <c r="U171" i="17" s="1"/>
  <c r="V295" i="17"/>
  <c r="W295" i="17" s="1"/>
  <c r="X295" i="17" s="1"/>
  <c r="U63" i="17"/>
  <c r="V63" i="17" s="1"/>
  <c r="S60" i="17"/>
  <c r="T60" i="17" s="1"/>
  <c r="S182" i="17"/>
  <c r="Q55" i="17"/>
  <c r="Q104" i="17"/>
  <c r="S237" i="17"/>
  <c r="T237" i="17" s="1"/>
  <c r="R248" i="17"/>
  <c r="S248" i="17" s="1"/>
  <c r="R183" i="17"/>
  <c r="S183" i="17" s="1"/>
  <c r="T183" i="17" s="1"/>
  <c r="S259" i="17"/>
  <c r="T259" i="17" s="1"/>
  <c r="U259" i="17" s="1"/>
  <c r="R42" i="17"/>
  <c r="V293" i="17"/>
  <c r="W293" i="17" s="1"/>
  <c r="X293" i="17" s="1"/>
  <c r="R51" i="17"/>
  <c r="S51" i="17" s="1"/>
  <c r="S270" i="17"/>
  <c r="T270" i="17" s="1"/>
  <c r="U270" i="17" s="1"/>
  <c r="R57" i="17"/>
  <c r="S57" i="17" s="1"/>
  <c r="R189" i="17"/>
  <c r="R193" i="17"/>
  <c r="S193" i="17" s="1"/>
  <c r="R301" i="17"/>
  <c r="R145" i="17"/>
  <c r="S145" i="17" s="1"/>
  <c r="S54" i="17"/>
  <c r="R102" i="17"/>
  <c r="S102" i="17" s="1"/>
  <c r="R129" i="17"/>
  <c r="S81" i="17"/>
  <c r="S39" i="17"/>
  <c r="T39" i="17" s="1"/>
  <c r="U39" i="17" s="1"/>
  <c r="Q231" i="17"/>
  <c r="R231" i="17" s="1"/>
  <c r="U40" i="17"/>
  <c r="V40" i="17" s="1"/>
  <c r="T154" i="17"/>
  <c r="U154" i="17" s="1"/>
  <c r="V154" i="17" s="1"/>
  <c r="R274" i="17"/>
  <c r="S274" i="17" s="1"/>
  <c r="V135" i="17"/>
  <c r="W135" i="17" s="1"/>
  <c r="X190" i="17"/>
  <c r="Y190" i="17" s="1"/>
  <c r="Z190" i="17" s="1"/>
  <c r="T66" i="17"/>
  <c r="S31" i="17"/>
  <c r="S133" i="17"/>
  <c r="T133" i="17" s="1"/>
  <c r="Q236" i="17"/>
  <c r="R236" i="17" s="1"/>
  <c r="S236" i="17"/>
  <c r="Q246" i="17"/>
  <c r="R246" i="17" s="1"/>
  <c r="V33" i="17"/>
  <c r="T93" i="17"/>
  <c r="U93" i="17" s="1"/>
  <c r="V93" i="17" s="1"/>
  <c r="T229" i="17"/>
  <c r="U229" i="17" s="1"/>
  <c r="V229" i="17" s="1"/>
  <c r="R232" i="17"/>
  <c r="S232" i="17" s="1"/>
  <c r="T149" i="17"/>
  <c r="Q8" i="17"/>
  <c r="R8" i="17" s="1"/>
  <c r="Q84" i="17"/>
  <c r="R84" i="17" s="1"/>
  <c r="S132" i="17"/>
  <c r="T132" i="17" s="1"/>
  <c r="S87" i="17"/>
  <c r="T87" i="17" s="1"/>
  <c r="T216" i="17"/>
  <c r="U216" i="17" s="1"/>
  <c r="R296" i="17"/>
  <c r="R88" i="17"/>
  <c r="S88" i="17" s="1"/>
  <c r="R292" i="17"/>
  <c r="S221" i="17"/>
  <c r="T221" i="17" s="1"/>
  <c r="Q176" i="17"/>
  <c r="R176" i="17" s="1"/>
  <c r="T116" i="17"/>
  <c r="S195" i="17"/>
  <c r="T195" i="17" s="1"/>
  <c r="Q95" i="17"/>
  <c r="R95" i="17"/>
  <c r="W65" i="17"/>
  <c r="X65" i="17" s="1"/>
  <c r="R161" i="17"/>
  <c r="S161" i="17" s="1"/>
  <c r="Q179" i="17"/>
  <c r="T69" i="17"/>
  <c r="U69" i="17" s="1"/>
  <c r="V69" i="17" s="1"/>
  <c r="U29" i="17"/>
  <c r="V29" i="17" s="1"/>
  <c r="U79" i="17"/>
  <c r="R167" i="17"/>
  <c r="S167" i="17" s="1"/>
  <c r="S50" i="17"/>
  <c r="R112" i="17"/>
  <c r="S123" i="17"/>
  <c r="R56" i="17"/>
  <c r="S56" i="17" s="1"/>
  <c r="W115" i="17"/>
  <c r="X115" i="17" s="1"/>
  <c r="V126" i="17"/>
  <c r="W126" i="17" s="1"/>
  <c r="X126" i="17" s="1"/>
  <c r="W97" i="17"/>
  <c r="S174" i="17"/>
  <c r="V194" i="17"/>
  <c r="T218" i="17"/>
  <c r="S37" i="17"/>
  <c r="T37" i="17" s="1"/>
  <c r="W45" i="17"/>
  <c r="X45" i="17" s="1"/>
  <c r="U131" i="17"/>
  <c r="W28" i="17"/>
  <c r="W101" i="17"/>
  <c r="X101" i="17" s="1"/>
  <c r="U91" i="17"/>
  <c r="V91" i="17" s="1"/>
  <c r="W91" i="17" s="1"/>
  <c r="U162" i="17"/>
  <c r="V265" i="17"/>
  <c r="W265" i="17" s="1"/>
  <c r="U35" i="17"/>
  <c r="T156" i="17"/>
  <c r="U153" i="17"/>
  <c r="S53" i="17"/>
  <c r="W228" i="17"/>
  <c r="T177" i="17"/>
  <c r="T165" i="17"/>
  <c r="T43" i="17"/>
  <c r="U43" i="17"/>
  <c r="T41" i="17"/>
  <c r="V255" i="17"/>
  <c r="S138" i="17"/>
  <c r="U140" i="17"/>
  <c r="W107" i="17"/>
  <c r="U169" i="17"/>
  <c r="U227" i="17"/>
  <c r="V227" i="17" s="1"/>
  <c r="Z36" i="17"/>
  <c r="T283" i="17"/>
  <c r="T30" i="17"/>
  <c r="T73" i="17"/>
  <c r="U120" i="17"/>
  <c r="V120" i="17" s="1"/>
  <c r="V117" i="17"/>
  <c r="W117" i="17" s="1"/>
  <c r="U44" i="17"/>
  <c r="U204" i="17"/>
  <c r="T18" i="17"/>
  <c r="T294" i="17"/>
  <c r="V11" i="17"/>
  <c r="W21" i="17"/>
  <c r="X21" i="17" s="1"/>
  <c r="U74" i="17"/>
  <c r="S187" i="17"/>
  <c r="U273" i="17"/>
  <c r="T20" i="17"/>
  <c r="W17" i="17"/>
  <c r="X17" i="17" s="1"/>
  <c r="V251" i="17"/>
  <c r="S114" i="17"/>
  <c r="S264" i="17"/>
  <c r="T264" i="17" s="1"/>
  <c r="U106" i="17"/>
  <c r="V106" i="17" s="1"/>
  <c r="W106" i="17" s="1"/>
  <c r="X106" i="17" s="1"/>
  <c r="Y106" i="17" s="1"/>
  <c r="T205" i="17"/>
  <c r="U205" i="17" s="1"/>
  <c r="T202" i="17"/>
  <c r="T252" i="17"/>
  <c r="U252" i="17" s="1"/>
  <c r="S61" i="17"/>
  <c r="Y256" i="17"/>
  <c r="Z256" i="17" s="1"/>
  <c r="U230" i="17"/>
  <c r="V230" i="17" s="1"/>
  <c r="U217" i="17"/>
  <c r="V217" i="17"/>
  <c r="W217" i="17" s="1"/>
  <c r="U124" i="17"/>
  <c r="U105" i="17"/>
  <c r="V105" i="17" s="1"/>
  <c r="W105" i="17" s="1"/>
  <c r="V288" i="17"/>
  <c r="W242" i="17"/>
  <c r="T269" i="17"/>
  <c r="T191" i="17"/>
  <c r="U191" i="17" s="1"/>
  <c r="V157" i="17"/>
  <c r="W157" i="17" s="1"/>
  <c r="T266" i="17"/>
  <c r="W175" i="17"/>
  <c r="V277" i="17"/>
  <c r="W277" i="17" s="1"/>
  <c r="S280" i="17"/>
  <c r="T244" i="17"/>
  <c r="U213" i="17"/>
  <c r="U267" i="17"/>
  <c r="V267" i="17" s="1"/>
  <c r="U302" i="17"/>
  <c r="U118" i="17"/>
  <c r="U275" i="17"/>
  <c r="U285" i="17"/>
  <c r="V285" i="17" s="1"/>
  <c r="W285" i="17" s="1"/>
  <c r="V258" i="17"/>
  <c r="U83" i="17"/>
  <c r="W163" i="17"/>
  <c r="V200" i="17"/>
  <c r="S291" i="17"/>
  <c r="T291" i="17" s="1"/>
  <c r="S290" i="17"/>
  <c r="W184" i="17"/>
  <c r="X184" i="17" s="1"/>
  <c r="U180" i="17"/>
  <c r="T198" i="17"/>
  <c r="Y305" i="17"/>
  <c r="T303" i="17"/>
  <c r="U303" i="17" s="1"/>
  <c r="V282" i="17"/>
  <c r="T271" i="17"/>
  <c r="U271" i="17" s="1"/>
  <c r="V271" i="17" s="1"/>
  <c r="V225" i="17"/>
  <c r="W225" i="17"/>
  <c r="U52" i="17"/>
  <c r="T279" i="17"/>
  <c r="T160" i="17"/>
  <c r="U160" i="17" s="1"/>
  <c r="V139" i="17"/>
  <c r="S155" i="17"/>
  <c r="W94" i="17"/>
  <c r="S137" i="17"/>
  <c r="U241" i="17"/>
  <c r="T16" i="17"/>
  <c r="U298" i="17"/>
  <c r="S245" i="17"/>
  <c r="Y25" i="17"/>
  <c r="V151" i="17"/>
  <c r="T247" i="17"/>
  <c r="V222" i="17"/>
  <c r="U173" i="17"/>
  <c r="V146" i="17" l="1"/>
  <c r="U9" i="17"/>
  <c r="V9" i="17" s="1"/>
  <c r="W9" i="17" s="1"/>
  <c r="X9" i="17" s="1"/>
  <c r="Y9" i="17" s="1"/>
  <c r="W215" i="17"/>
  <c r="U289" i="17"/>
  <c r="V289" i="17" s="1"/>
  <c r="W289" i="17"/>
  <c r="X289" i="17" s="1"/>
  <c r="Y289" i="17" s="1"/>
  <c r="V287" i="17"/>
  <c r="W287" i="17" s="1"/>
  <c r="X100" i="17"/>
  <c r="Y100" i="17" s="1"/>
  <c r="Z100" i="17" s="1"/>
  <c r="S243" i="17"/>
  <c r="T243" i="17" s="1"/>
  <c r="U243" i="17" s="1"/>
  <c r="S75" i="17"/>
  <c r="T75" i="17" s="1"/>
  <c r="U75" i="17" s="1"/>
  <c r="U254" i="17"/>
  <c r="V254" i="17" s="1"/>
  <c r="W254" i="17" s="1"/>
  <c r="U60" i="17"/>
  <c r="V60" i="17" s="1"/>
  <c r="W60" i="17" s="1"/>
  <c r="W99" i="17"/>
  <c r="X99" i="17" s="1"/>
  <c r="S235" i="17"/>
  <c r="T235" i="17" s="1"/>
  <c r="T24" i="17"/>
  <c r="W300" i="17"/>
  <c r="X300" i="17" s="1"/>
  <c r="V62" i="17"/>
  <c r="W62" i="17" s="1"/>
  <c r="W297" i="17"/>
  <c r="X297" i="17" s="1"/>
  <c r="Y297" i="17" s="1"/>
  <c r="V262" i="17"/>
  <c r="W262" i="17" s="1"/>
  <c r="X34" i="17"/>
  <c r="U226" i="17"/>
  <c r="V226" i="17" s="1"/>
  <c r="V78" i="17"/>
  <c r="W78" i="17" s="1"/>
  <c r="X78" i="17" s="1"/>
  <c r="Y78" i="17" s="1"/>
  <c r="V59" i="17"/>
  <c r="W59" i="17" s="1"/>
  <c r="V77" i="17"/>
  <c r="W77" i="17" s="1"/>
  <c r="U110" i="17"/>
  <c r="V110" i="17" s="1"/>
  <c r="U113" i="17"/>
  <c r="V113" i="17" s="1"/>
  <c r="R72" i="17"/>
  <c r="S72" i="17"/>
  <c r="T56" i="17"/>
  <c r="U56" i="17" s="1"/>
  <c r="V56" i="17" s="1"/>
  <c r="W211" i="17"/>
  <c r="X211" i="17" s="1"/>
  <c r="Y211" i="17" s="1"/>
  <c r="V48" i="17"/>
  <c r="W48" i="17" s="1"/>
  <c r="X48" i="17" s="1"/>
  <c r="S185" i="17"/>
  <c r="T32" i="17"/>
  <c r="U32" i="17" s="1"/>
  <c r="U237" i="17"/>
  <c r="V237" i="17" s="1"/>
  <c r="V103" i="17"/>
  <c r="W103" i="17" s="1"/>
  <c r="X103" i="17" s="1"/>
  <c r="W267" i="17"/>
  <c r="X267" i="17" s="1"/>
  <c r="Y267" i="17" s="1"/>
  <c r="S176" i="17"/>
  <c r="T176" i="17" s="1"/>
  <c r="W166" i="17"/>
  <c r="X166" i="17" s="1"/>
  <c r="Y166" i="17" s="1"/>
  <c r="Z166" i="17" s="1"/>
  <c r="V68" i="17"/>
  <c r="W68" i="17" s="1"/>
  <c r="W120" i="17"/>
  <c r="W223" i="17"/>
  <c r="X223" i="17" s="1"/>
  <c r="Y223" i="17" s="1"/>
  <c r="X147" i="17"/>
  <c r="Y147" i="17" s="1"/>
  <c r="W10" i="17"/>
  <c r="X10" i="17" s="1"/>
  <c r="U220" i="17"/>
  <c r="V220" i="17" s="1"/>
  <c r="W220" i="17" s="1"/>
  <c r="U125" i="17"/>
  <c r="V125" i="17"/>
  <c r="W125" i="17" s="1"/>
  <c r="X125" i="17" s="1"/>
  <c r="V253" i="17"/>
  <c r="W253" i="17" s="1"/>
  <c r="U219" i="17"/>
  <c r="V219" i="17" s="1"/>
  <c r="V128" i="17"/>
  <c r="W128" i="17" s="1"/>
  <c r="T268" i="17"/>
  <c r="U268" i="17"/>
  <c r="W19" i="17"/>
  <c r="X19" i="17" s="1"/>
  <c r="W90" i="17"/>
  <c r="X90" i="17" s="1"/>
  <c r="Y90" i="17" s="1"/>
  <c r="Z90" i="17" s="1"/>
  <c r="AA90" i="17" s="1"/>
  <c r="AB90" i="17" s="1"/>
  <c r="T172" i="17"/>
  <c r="U172" i="17" s="1"/>
  <c r="V159" i="17"/>
  <c r="U144" i="17"/>
  <c r="V144" i="17" s="1"/>
  <c r="U121" i="17"/>
  <c r="V121" i="17" s="1"/>
  <c r="V171" i="17"/>
  <c r="W171" i="17" s="1"/>
  <c r="U195" i="17"/>
  <c r="W40" i="17"/>
  <c r="X40" i="17" s="1"/>
  <c r="X82" i="17"/>
  <c r="Y82" i="17" s="1"/>
  <c r="V46" i="17"/>
  <c r="W46" i="17" s="1"/>
  <c r="U76" i="17"/>
  <c r="V76" i="17" s="1"/>
  <c r="W146" i="17"/>
  <c r="V148" i="17"/>
  <c r="W148" i="17" s="1"/>
  <c r="X148" i="17" s="1"/>
  <c r="Y148" i="17" s="1"/>
  <c r="V64" i="17"/>
  <c r="W64" i="17" s="1"/>
  <c r="X64" i="17" s="1"/>
  <c r="U22" i="17"/>
  <c r="V22" i="17" s="1"/>
  <c r="W22" i="17" s="1"/>
  <c r="X22" i="17" s="1"/>
  <c r="U281" i="17"/>
  <c r="V281" i="17" s="1"/>
  <c r="W281" i="17" s="1"/>
  <c r="Y21" i="17"/>
  <c r="Z21" i="17" s="1"/>
  <c r="S292" i="17"/>
  <c r="T292" i="17" s="1"/>
  <c r="W63" i="17"/>
  <c r="X63" i="17" s="1"/>
  <c r="T70" i="17"/>
  <c r="U70" i="17" s="1"/>
  <c r="T50" i="17"/>
  <c r="U50" i="17" s="1"/>
  <c r="S203" i="17"/>
  <c r="T203" i="17" s="1"/>
  <c r="V86" i="17"/>
  <c r="W86" i="17" s="1"/>
  <c r="X284" i="17"/>
  <c r="Y284" i="17" s="1"/>
  <c r="U249" i="17"/>
  <c r="T58" i="17"/>
  <c r="U58" i="17" s="1"/>
  <c r="U14" i="17"/>
  <c r="V14" i="17" s="1"/>
  <c r="W214" i="17"/>
  <c r="X214" i="17" s="1"/>
  <c r="Y214" i="17" s="1"/>
  <c r="Z214" i="17" s="1"/>
  <c r="AA214" i="17" s="1"/>
  <c r="AB214" i="17" s="1"/>
  <c r="AC214" i="17" s="1"/>
  <c r="X120" i="17"/>
  <c r="V257" i="17"/>
  <c r="W257" i="17" s="1"/>
  <c r="W71" i="17"/>
  <c r="X71" i="17" s="1"/>
  <c r="U111" i="17"/>
  <c r="V111" i="17" s="1"/>
  <c r="W111" i="17" s="1"/>
  <c r="W154" i="17"/>
  <c r="X154" i="17" s="1"/>
  <c r="V259" i="17"/>
  <c r="W259" i="17" s="1"/>
  <c r="X259" i="17" s="1"/>
  <c r="S84" i="17"/>
  <c r="T84" i="17" s="1"/>
  <c r="W188" i="17"/>
  <c r="X188" i="17" s="1"/>
  <c r="U73" i="17"/>
  <c r="V73" i="17" s="1"/>
  <c r="T123" i="17"/>
  <c r="T31" i="17"/>
  <c r="U31" i="17" s="1"/>
  <c r="R201" i="17"/>
  <c r="S201" i="17" s="1"/>
  <c r="S189" i="17"/>
  <c r="T189" i="17" s="1"/>
  <c r="U149" i="17"/>
  <c r="S95" i="17"/>
  <c r="T95" i="17" s="1"/>
  <c r="U95" i="17" s="1"/>
  <c r="U240" i="17"/>
  <c r="V240" i="17" s="1"/>
  <c r="T167" i="17"/>
  <c r="U167" i="17" s="1"/>
  <c r="R55" i="17"/>
  <c r="S55" i="17" s="1"/>
  <c r="T278" i="17"/>
  <c r="T47" i="17"/>
  <c r="X77" i="17"/>
  <c r="Y77" i="17" s="1"/>
  <c r="S296" i="17"/>
  <c r="T296" i="17" s="1"/>
  <c r="S8" i="17"/>
  <c r="U132" i="17"/>
  <c r="V132" i="17" s="1"/>
  <c r="W132" i="17" s="1"/>
  <c r="U261" i="17"/>
  <c r="V261" i="17" s="1"/>
  <c r="W261" i="17" s="1"/>
  <c r="U221" i="17"/>
  <c r="V221" i="17" s="1"/>
  <c r="V7" i="17"/>
  <c r="W7" i="17" s="1"/>
  <c r="W92" i="17"/>
  <c r="X92" i="17" s="1"/>
  <c r="Y92" i="17" s="1"/>
  <c r="T88" i="17"/>
  <c r="U88" i="17" s="1"/>
  <c r="V88" i="17" s="1"/>
  <c r="T161" i="17"/>
  <c r="U161" i="17" s="1"/>
  <c r="U87" i="17"/>
  <c r="V87" i="17" s="1"/>
  <c r="T102" i="17"/>
  <c r="U102" i="17" s="1"/>
  <c r="U66" i="17"/>
  <c r="Y126" i="17"/>
  <c r="Z126" i="17" s="1"/>
  <c r="U116" i="17"/>
  <c r="V304" i="17"/>
  <c r="W304" i="17" s="1"/>
  <c r="T81" i="17"/>
  <c r="U81" i="17" s="1"/>
  <c r="S301" i="17"/>
  <c r="R210" i="17"/>
  <c r="S199" i="17"/>
  <c r="W49" i="17"/>
  <c r="X49" i="17" s="1"/>
  <c r="Y49" i="17" s="1"/>
  <c r="X23" i="17"/>
  <c r="W29" i="17"/>
  <c r="T98" i="17"/>
  <c r="U98" i="17" s="1"/>
  <c r="T170" i="17"/>
  <c r="T232" i="17"/>
  <c r="T54" i="17"/>
  <c r="U54" i="17" s="1"/>
  <c r="V89" i="17"/>
  <c r="W89" i="17" s="1"/>
  <c r="V39" i="17"/>
  <c r="W39" i="17" s="1"/>
  <c r="W122" i="17"/>
  <c r="U164" i="17"/>
  <c r="V164" i="17" s="1"/>
  <c r="U218" i="17"/>
  <c r="V218" i="17" s="1"/>
  <c r="W218" i="17" s="1"/>
  <c r="T51" i="17"/>
  <c r="U51" i="17" s="1"/>
  <c r="W33" i="17"/>
  <c r="T145" i="17"/>
  <c r="X135" i="17"/>
  <c r="T212" i="17"/>
  <c r="U212" i="17" s="1"/>
  <c r="R179" i="17"/>
  <c r="S231" i="17"/>
  <c r="V79" i="17"/>
  <c r="W79" i="17" s="1"/>
  <c r="U178" i="17"/>
  <c r="V130" i="17"/>
  <c r="W130" i="17" s="1"/>
  <c r="S129" i="17"/>
  <c r="U234" i="17"/>
  <c r="W208" i="17"/>
  <c r="T57" i="17"/>
  <c r="V143" i="17"/>
  <c r="W143" i="17" s="1"/>
  <c r="U57" i="17"/>
  <c r="T136" i="17"/>
  <c r="T80" i="17"/>
  <c r="U80" i="17" s="1"/>
  <c r="V80" i="17" s="1"/>
  <c r="S263" i="17"/>
  <c r="T67" i="17"/>
  <c r="U67" i="17" s="1"/>
  <c r="W238" i="17"/>
  <c r="X238" i="17" s="1"/>
  <c r="T193" i="17"/>
  <c r="U193" i="17" s="1"/>
  <c r="V193" i="17" s="1"/>
  <c r="U272" i="17"/>
  <c r="T207" i="17"/>
  <c r="U207" i="17" s="1"/>
  <c r="T15" i="17"/>
  <c r="U15" i="17" s="1"/>
  <c r="U37" i="17"/>
  <c r="S197" i="17"/>
  <c r="T197" i="17" s="1"/>
  <c r="T109" i="17"/>
  <c r="U109" i="17" s="1"/>
  <c r="T192" i="17"/>
  <c r="S142" i="17"/>
  <c r="T142" i="17" s="1"/>
  <c r="U233" i="17"/>
  <c r="S112" i="17"/>
  <c r="T112" i="17" s="1"/>
  <c r="R286" i="17"/>
  <c r="S286" i="17" s="1"/>
  <c r="T224" i="17"/>
  <c r="U224" i="17" s="1"/>
  <c r="X217" i="17"/>
  <c r="Y217" i="17" s="1"/>
  <c r="T182" i="17"/>
  <c r="W260" i="17"/>
  <c r="T27" i="17"/>
  <c r="U27" i="17" s="1"/>
  <c r="X277" i="17"/>
  <c r="Y277" i="17" s="1"/>
  <c r="V216" i="17"/>
  <c r="R104" i="17"/>
  <c r="S104" i="17" s="1"/>
  <c r="T108" i="17"/>
  <c r="U108" i="17" s="1"/>
  <c r="V108" i="17" s="1"/>
  <c r="S168" i="17"/>
  <c r="T248" i="17"/>
  <c r="U133" i="17"/>
  <c r="V133" i="17" s="1"/>
  <c r="T274" i="17"/>
  <c r="U274" i="17" s="1"/>
  <c r="S42" i="17"/>
  <c r="T42" i="17" s="1"/>
  <c r="X299" i="17"/>
  <c r="S6" i="17"/>
  <c r="S246" i="17"/>
  <c r="T246" i="17" s="1"/>
  <c r="S127" i="17"/>
  <c r="T236" i="17"/>
  <c r="X276" i="17"/>
  <c r="Y276" i="17" s="1"/>
  <c r="Z276" i="17" s="1"/>
  <c r="AA276" i="17" s="1"/>
  <c r="X285" i="17"/>
  <c r="Y285" i="17" s="1"/>
  <c r="Z285" i="17" s="1"/>
  <c r="T245" i="17"/>
  <c r="U279" i="17"/>
  <c r="Y295" i="17"/>
  <c r="Z295" i="17"/>
  <c r="AA295" i="17" s="1"/>
  <c r="AB295" i="17" s="1"/>
  <c r="AC295" i="17" s="1"/>
  <c r="AD295" i="17" s="1"/>
  <c r="AE295" i="17" s="1"/>
  <c r="AF295" i="17" s="1"/>
  <c r="AG295" i="17" s="1"/>
  <c r="AH295" i="17" s="1"/>
  <c r="V160" i="17"/>
  <c r="W160" i="17" s="1"/>
  <c r="X160" i="17" s="1"/>
  <c r="W152" i="17"/>
  <c r="X152" i="17" s="1"/>
  <c r="Y152" i="17" s="1"/>
  <c r="Z152" i="17" s="1"/>
  <c r="AA152" i="17" s="1"/>
  <c r="AB152" i="17" s="1"/>
  <c r="AC152" i="17" s="1"/>
  <c r="AD152" i="17" s="1"/>
  <c r="AE152" i="17" s="1"/>
  <c r="AF152" i="17" s="1"/>
  <c r="AG152" i="17" s="1"/>
  <c r="AH152" i="17" s="1"/>
  <c r="AI152" i="17" s="1"/>
  <c r="AJ152" i="17" s="1"/>
  <c r="AK152" i="17" s="1"/>
  <c r="AL152" i="17" s="1"/>
  <c r="AM152" i="17" s="1"/>
  <c r="AN152" i="17" s="1"/>
  <c r="AO152" i="17" s="1"/>
  <c r="AP152" i="17" s="1"/>
  <c r="AQ152" i="17" s="1"/>
  <c r="AR152" i="17" s="1"/>
  <c r="AS152" i="17" s="1"/>
  <c r="AT152" i="17" s="1"/>
  <c r="AU152" i="17" s="1"/>
  <c r="AV152" i="17" s="1"/>
  <c r="AW152" i="17" s="1"/>
  <c r="AX152" i="17" s="1"/>
  <c r="AY152" i="17" s="1"/>
  <c r="AZ152" i="17" s="1"/>
  <c r="BA152" i="17" s="1"/>
  <c r="BB152" i="17" s="1"/>
  <c r="BC152" i="17" s="1"/>
  <c r="BD152" i="17" s="1"/>
  <c r="BE152" i="17" s="1"/>
  <c r="BF152" i="17" s="1"/>
  <c r="BG152" i="17" s="1"/>
  <c r="BH152" i="17" s="1"/>
  <c r="BI152" i="17" s="1"/>
  <c r="BJ152" i="17" s="1"/>
  <c r="BK152" i="17" s="1"/>
  <c r="BL152" i="17" s="1"/>
  <c r="BM152" i="17" s="1"/>
  <c r="BN152" i="17" s="1"/>
  <c r="BO152" i="17" s="1"/>
  <c r="V52" i="17"/>
  <c r="V275" i="17"/>
  <c r="Y141" i="17"/>
  <c r="X239" i="17"/>
  <c r="X225" i="17"/>
  <c r="W282" i="17"/>
  <c r="X282" i="17" s="1"/>
  <c r="Y282" i="17" s="1"/>
  <c r="U198" i="17"/>
  <c r="Y12" i="17"/>
  <c r="V180" i="17"/>
  <c r="W158" i="17"/>
  <c r="X158" i="17" s="1"/>
  <c r="Y65" i="17"/>
  <c r="Z65" i="17" s="1"/>
  <c r="AA65" i="17" s="1"/>
  <c r="AB65" i="17" s="1"/>
  <c r="AC65" i="17" s="1"/>
  <c r="AD65" i="17" s="1"/>
  <c r="AE65" i="17" s="1"/>
  <c r="AF65" i="17" s="1"/>
  <c r="AG65" i="17" s="1"/>
  <c r="AH65" i="17" s="1"/>
  <c r="AI65" i="17" s="1"/>
  <c r="AJ65" i="17" s="1"/>
  <c r="AK65" i="17" s="1"/>
  <c r="AL65" i="17" s="1"/>
  <c r="AM65" i="17" s="1"/>
  <c r="AN65" i="17" s="1"/>
  <c r="AO65" i="17" s="1"/>
  <c r="AP65" i="17" s="1"/>
  <c r="AQ65" i="17" s="1"/>
  <c r="AR65" i="17" s="1"/>
  <c r="AS65" i="17" s="1"/>
  <c r="AT65" i="17" s="1"/>
  <c r="AU65" i="17" s="1"/>
  <c r="AV65" i="17" s="1"/>
  <c r="AW65" i="17" s="1"/>
  <c r="AX65" i="17" s="1"/>
  <c r="AY65" i="17" s="1"/>
  <c r="AZ65" i="17" s="1"/>
  <c r="BA65" i="17" s="1"/>
  <c r="BB65" i="17" s="1"/>
  <c r="BC65" i="17" s="1"/>
  <c r="BD65" i="17" s="1"/>
  <c r="BE65" i="17" s="1"/>
  <c r="BF65" i="17" s="1"/>
  <c r="BG65" i="17" s="1"/>
  <c r="BH65" i="17" s="1"/>
  <c r="BI65" i="17" s="1"/>
  <c r="BJ65" i="17" s="1"/>
  <c r="BK65" i="17" s="1"/>
  <c r="BL65" i="17" s="1"/>
  <c r="BM65" i="17" s="1"/>
  <c r="BN65" i="17" s="1"/>
  <c r="BO65" i="17" s="1"/>
  <c r="BP65" i="17" s="1"/>
  <c r="BQ65" i="17" s="1"/>
  <c r="BR65" i="17" s="1"/>
  <c r="W196" i="17"/>
  <c r="X196" i="17" s="1"/>
  <c r="W69" i="17"/>
  <c r="Z82" i="17"/>
  <c r="U291" i="17"/>
  <c r="Y99" i="17"/>
  <c r="Z99" i="17" s="1"/>
  <c r="AA99" i="17" s="1"/>
  <c r="U247" i="17"/>
  <c r="W151" i="17"/>
  <c r="Y293" i="17"/>
  <c r="Z293" i="17" s="1"/>
  <c r="AA293" i="17" s="1"/>
  <c r="W258" i="17"/>
  <c r="X26" i="17"/>
  <c r="Y26" i="17" s="1"/>
  <c r="Z26" i="17" s="1"/>
  <c r="AA26" i="17" s="1"/>
  <c r="W255" i="17"/>
  <c r="X255" i="17" s="1"/>
  <c r="Y101" i="17"/>
  <c r="Z101" i="17" s="1"/>
  <c r="AA101" i="17" s="1"/>
  <c r="AB101" i="17" s="1"/>
  <c r="AC101" i="17" s="1"/>
  <c r="AD101" i="17" s="1"/>
  <c r="AE101" i="17" s="1"/>
  <c r="W194" i="17"/>
  <c r="Z25" i="17"/>
  <c r="Y184" i="17"/>
  <c r="Z289" i="17"/>
  <c r="U294" i="17"/>
  <c r="V294" i="17" s="1"/>
  <c r="W294" i="17" s="1"/>
  <c r="X294" i="17" s="1"/>
  <c r="Y294" i="17" s="1"/>
  <c r="Z294" i="17" s="1"/>
  <c r="AA294" i="17" s="1"/>
  <c r="V173" i="17"/>
  <c r="W173" i="17" s="1"/>
  <c r="W222" i="17"/>
  <c r="T53" i="17"/>
  <c r="V302" i="17"/>
  <c r="V119" i="17"/>
  <c r="V298" i="17"/>
  <c r="X157" i="17"/>
  <c r="W139" i="17"/>
  <c r="X139" i="17" s="1"/>
  <c r="V303" i="17"/>
  <c r="Y250" i="17"/>
  <c r="V181" i="17"/>
  <c r="Z305" i="17"/>
  <c r="W200" i="17"/>
  <c r="X200" i="17" s="1"/>
  <c r="Y200" i="17" s="1"/>
  <c r="Z200" i="17" s="1"/>
  <c r="V83" i="17"/>
  <c r="U266" i="17"/>
  <c r="X117" i="17"/>
  <c r="T137" i="17"/>
  <c r="X94" i="17"/>
  <c r="T155" i="17"/>
  <c r="U264" i="17"/>
  <c r="U18" i="17"/>
  <c r="X163" i="17"/>
  <c r="V169" i="17"/>
  <c r="U177" i="17"/>
  <c r="W134" i="17"/>
  <c r="X134" i="17" s="1"/>
  <c r="Y134" i="17" s="1"/>
  <c r="Z134" i="17" s="1"/>
  <c r="AA134" i="17" s="1"/>
  <c r="AB134" i="17" s="1"/>
  <c r="AC134" i="17" s="1"/>
  <c r="AD134" i="17" s="1"/>
  <c r="AE134" i="17" s="1"/>
  <c r="AF134" i="17" s="1"/>
  <c r="AG134" i="17" s="1"/>
  <c r="AH134" i="17" s="1"/>
  <c r="AI134" i="17" s="1"/>
  <c r="AJ134" i="17" s="1"/>
  <c r="AK134" i="17" s="1"/>
  <c r="AL134" i="17" s="1"/>
  <c r="AM134" i="17" s="1"/>
  <c r="AN134" i="17" s="1"/>
  <c r="AO134" i="17" s="1"/>
  <c r="AP134" i="17" s="1"/>
  <c r="AQ134" i="17" s="1"/>
  <c r="AR134" i="17" s="1"/>
  <c r="AS134" i="17" s="1"/>
  <c r="AT134" i="17" s="1"/>
  <c r="AU134" i="17" s="1"/>
  <c r="AV134" i="17" s="1"/>
  <c r="AW134" i="17" s="1"/>
  <c r="AX134" i="17" s="1"/>
  <c r="AY134" i="17" s="1"/>
  <c r="AZ134" i="17" s="1"/>
  <c r="BA134" i="17" s="1"/>
  <c r="BB134" i="17" s="1"/>
  <c r="BC134" i="17" s="1"/>
  <c r="BD134" i="17" s="1"/>
  <c r="BE134" i="17" s="1"/>
  <c r="BF134" i="17" s="1"/>
  <c r="BG134" i="17" s="1"/>
  <c r="BH134" i="17" s="1"/>
  <c r="BI134" i="17" s="1"/>
  <c r="AA190" i="17"/>
  <c r="V213" i="17"/>
  <c r="U269" i="17"/>
  <c r="V269" i="17" s="1"/>
  <c r="W269" i="17" s="1"/>
  <c r="W230" i="17"/>
  <c r="T138" i="17"/>
  <c r="U138" i="17" s="1"/>
  <c r="U156" i="17"/>
  <c r="V131" i="17"/>
  <c r="V35" i="17"/>
  <c r="U16" i="17"/>
  <c r="V241" i="17"/>
  <c r="W229" i="17"/>
  <c r="X229" i="17" s="1"/>
  <c r="T290" i="17"/>
  <c r="V124" i="17"/>
  <c r="V74" i="17"/>
  <c r="X265" i="17"/>
  <c r="U283" i="17"/>
  <c r="W227" i="17"/>
  <c r="V85" i="17"/>
  <c r="W85" i="17" s="1"/>
  <c r="U41" i="17"/>
  <c r="W93" i="17"/>
  <c r="AA256" i="17"/>
  <c r="AB256" i="17" s="1"/>
  <c r="AC256" i="17" s="1"/>
  <c r="AD256" i="17" s="1"/>
  <c r="AE256" i="17" s="1"/>
  <c r="V252" i="17"/>
  <c r="U20" i="17"/>
  <c r="V20" i="17" s="1"/>
  <c r="W20" i="17" s="1"/>
  <c r="X20" i="17" s="1"/>
  <c r="W251" i="17"/>
  <c r="W271" i="17"/>
  <c r="X271" i="17" s="1"/>
  <c r="V13" i="17"/>
  <c r="V118" i="17"/>
  <c r="W118" i="17" s="1"/>
  <c r="W288" i="17"/>
  <c r="U202" i="17"/>
  <c r="Y17" i="17"/>
  <c r="W150" i="17"/>
  <c r="W11" i="17"/>
  <c r="X11" i="17" s="1"/>
  <c r="Y11" i="17" s="1"/>
  <c r="Z11" i="17" s="1"/>
  <c r="AA11" i="17" s="1"/>
  <c r="AB11" i="17" s="1"/>
  <c r="V204" i="17"/>
  <c r="V270" i="17"/>
  <c r="U165" i="17"/>
  <c r="V165" i="17" s="1"/>
  <c r="W165" i="17" s="1"/>
  <c r="X28" i="17"/>
  <c r="Y34" i="17"/>
  <c r="T61" i="17"/>
  <c r="Z106" i="17"/>
  <c r="AA106" i="17" s="1"/>
  <c r="V273" i="17"/>
  <c r="W186" i="17"/>
  <c r="X97" i="17"/>
  <c r="X242" i="17"/>
  <c r="U183" i="17"/>
  <c r="T187" i="17"/>
  <c r="U187" i="17" s="1"/>
  <c r="V44" i="17"/>
  <c r="AA36" i="17"/>
  <c r="V140" i="17"/>
  <c r="T280" i="17"/>
  <c r="U280" i="17" s="1"/>
  <c r="V280" i="17" s="1"/>
  <c r="W280" i="17" s="1"/>
  <c r="X280" i="17" s="1"/>
  <c r="Y280" i="17" s="1"/>
  <c r="Z280" i="17" s="1"/>
  <c r="AA280" i="17" s="1"/>
  <c r="AB280" i="17" s="1"/>
  <c r="AC280" i="17" s="1"/>
  <c r="AD280" i="17" s="1"/>
  <c r="AE280" i="17" s="1"/>
  <c r="AF280" i="17" s="1"/>
  <c r="AG280" i="17" s="1"/>
  <c r="X175" i="17"/>
  <c r="V205" i="17"/>
  <c r="U30" i="17"/>
  <c r="X228" i="17"/>
  <c r="V209" i="17"/>
  <c r="X107" i="17"/>
  <c r="V153" i="17"/>
  <c r="T174" i="17"/>
  <c r="Y115" i="17"/>
  <c r="V206" i="17"/>
  <c r="W206" i="17" s="1"/>
  <c r="V43" i="17"/>
  <c r="X91" i="17"/>
  <c r="Y91" i="17" s="1"/>
  <c r="Y45" i="17"/>
  <c r="U244" i="17"/>
  <c r="V191" i="17"/>
  <c r="X105" i="17"/>
  <c r="T114" i="17"/>
  <c r="W96" i="17"/>
  <c r="X215" i="17"/>
  <c r="U38" i="17"/>
  <c r="V162" i="17"/>
  <c r="W237" i="17" l="1"/>
  <c r="X262" i="17"/>
  <c r="V75" i="17"/>
  <c r="X287" i="17"/>
  <c r="X59" i="17"/>
  <c r="Y59" i="17"/>
  <c r="Z59" i="17" s="1"/>
  <c r="AA59" i="17" s="1"/>
  <c r="Y10" i="17"/>
  <c r="X254" i="17"/>
  <c r="Y254" i="17" s="1"/>
  <c r="W75" i="17"/>
  <c r="X75" i="17" s="1"/>
  <c r="W219" i="17"/>
  <c r="Y219" i="17" s="1"/>
  <c r="X219" i="17"/>
  <c r="V243" i="17"/>
  <c r="W243" i="17" s="1"/>
  <c r="X243" i="17" s="1"/>
  <c r="T104" i="17"/>
  <c r="U104" i="17" s="1"/>
  <c r="V104" i="17" s="1"/>
  <c r="AA285" i="17"/>
  <c r="Z297" i="17"/>
  <c r="AA297" i="17" s="1"/>
  <c r="AB297" i="17" s="1"/>
  <c r="AC297" i="17" s="1"/>
  <c r="AD297" i="17" s="1"/>
  <c r="AE297" i="17" s="1"/>
  <c r="AF297" i="17" s="1"/>
  <c r="AG297" i="17" s="1"/>
  <c r="AH297" i="17" s="1"/>
  <c r="AI297" i="17" s="1"/>
  <c r="AJ297" i="17" s="1"/>
  <c r="AK297" i="17" s="1"/>
  <c r="AL297" i="17" s="1"/>
  <c r="AM297" i="17" s="1"/>
  <c r="AN297" i="17" s="1"/>
  <c r="AO297" i="17" s="1"/>
  <c r="AP297" i="17" s="1"/>
  <c r="AQ297" i="17" s="1"/>
  <c r="AR297" i="17" s="1"/>
  <c r="AS297" i="17" s="1"/>
  <c r="AT297" i="17" s="1"/>
  <c r="AU297" i="17" s="1"/>
  <c r="AV297" i="17" s="1"/>
  <c r="AW297" i="17" s="1"/>
  <c r="AX297" i="17" s="1"/>
  <c r="AY297" i="17" s="1"/>
  <c r="AZ297" i="17" s="1"/>
  <c r="BA297" i="17" s="1"/>
  <c r="BB297" i="17" s="1"/>
  <c r="BC297" i="17" s="1"/>
  <c r="BD297" i="17" s="1"/>
  <c r="X68" i="17"/>
  <c r="Y68" i="17" s="1"/>
  <c r="U24" i="17"/>
  <c r="V24" i="17" s="1"/>
  <c r="V70" i="17"/>
  <c r="AF101" i="17"/>
  <c r="AG101" i="17" s="1"/>
  <c r="AH101" i="17" s="1"/>
  <c r="AI101" i="17" s="1"/>
  <c r="AJ101" i="17" s="1"/>
  <c r="AK101" i="17" s="1"/>
  <c r="AL101" i="17" s="1"/>
  <c r="AM101" i="17" s="1"/>
  <c r="U235" i="17"/>
  <c r="V235" i="17" s="1"/>
  <c r="W110" i="17"/>
  <c r="X110" i="17" s="1"/>
  <c r="T72" i="17"/>
  <c r="U72" i="17" s="1"/>
  <c r="V72" i="17" s="1"/>
  <c r="Y125" i="17"/>
  <c r="Z125" i="17" s="1"/>
  <c r="W144" i="17"/>
  <c r="X144" i="17" s="1"/>
  <c r="Y144" i="17" s="1"/>
  <c r="Z144" i="17" s="1"/>
  <c r="Y120" i="17"/>
  <c r="X62" i="17"/>
  <c r="Y62" i="17" s="1"/>
  <c r="Z62" i="17" s="1"/>
  <c r="U203" i="17"/>
  <c r="V203" i="17" s="1"/>
  <c r="T185" i="17"/>
  <c r="U185" i="17" s="1"/>
  <c r="Y40" i="17"/>
  <c r="Z40" i="17" s="1"/>
  <c r="AA40" i="17" s="1"/>
  <c r="AB40" i="17" s="1"/>
  <c r="AC40" i="17" s="1"/>
  <c r="AD40" i="17" s="1"/>
  <c r="AE40" i="17" s="1"/>
  <c r="AF40" i="17" s="1"/>
  <c r="AG40" i="17" s="1"/>
  <c r="AH40" i="17" s="1"/>
  <c r="AI40" i="17" s="1"/>
  <c r="AJ40" i="17" s="1"/>
  <c r="AK40" i="17" s="1"/>
  <c r="AL40" i="17" s="1"/>
  <c r="AM40" i="17" s="1"/>
  <c r="AN40" i="17" s="1"/>
  <c r="AO40" i="17" s="1"/>
  <c r="AP40" i="17" s="1"/>
  <c r="AQ40" i="17" s="1"/>
  <c r="AR40" i="17" s="1"/>
  <c r="AS40" i="17" s="1"/>
  <c r="AT40" i="17" s="1"/>
  <c r="AU40" i="17" s="1"/>
  <c r="AV40" i="17" s="1"/>
  <c r="AW40" i="17" s="1"/>
  <c r="AX40" i="17" s="1"/>
  <c r="AY40" i="17" s="1"/>
  <c r="AZ40" i="17" s="1"/>
  <c r="BA40" i="17" s="1"/>
  <c r="BB40" i="17" s="1"/>
  <c r="BC40" i="17" s="1"/>
  <c r="BD40" i="17" s="1"/>
  <c r="BE40" i="17" s="1"/>
  <c r="BF40" i="17" s="1"/>
  <c r="BG40" i="17" s="1"/>
  <c r="BH40" i="17" s="1"/>
  <c r="BI40" i="17" s="1"/>
  <c r="BJ40" i="17" s="1"/>
  <c r="BK40" i="17" s="1"/>
  <c r="BL40" i="17" s="1"/>
  <c r="BM40" i="17" s="1"/>
  <c r="BN40" i="17" s="1"/>
  <c r="BO40" i="17" s="1"/>
  <c r="BP40" i="17" s="1"/>
  <c r="BQ40" i="17" s="1"/>
  <c r="BR40" i="17" s="1"/>
  <c r="BS40" i="17" s="1"/>
  <c r="BT40" i="17" s="1"/>
  <c r="BU40" i="17" s="1"/>
  <c r="BV40" i="17" s="1"/>
  <c r="BW40" i="17" s="1"/>
  <c r="BX40" i="17" s="1"/>
  <c r="BY40" i="17" s="1"/>
  <c r="BZ40" i="17" s="1"/>
  <c r="CA40" i="17" s="1"/>
  <c r="CB40" i="17" s="1"/>
  <c r="CC40" i="17" s="1"/>
  <c r="CD40" i="17" s="1"/>
  <c r="CE40" i="17" s="1"/>
  <c r="CF40" i="17" s="1"/>
  <c r="CG40" i="17" s="1"/>
  <c r="CH40" i="17" s="1"/>
  <c r="CI40" i="17" s="1"/>
  <c r="CJ40" i="17" s="1"/>
  <c r="CK40" i="17" s="1"/>
  <c r="CL40" i="17" s="1"/>
  <c r="CM40" i="17" s="1"/>
  <c r="CN40" i="17" s="1"/>
  <c r="CO40" i="17" s="1"/>
  <c r="CP40" i="17" s="1"/>
  <c r="CQ40" i="17" s="1"/>
  <c r="CR40" i="17" s="1"/>
  <c r="CS40" i="17" s="1"/>
  <c r="CT40" i="17" s="1"/>
  <c r="CU40" i="17" s="1"/>
  <c r="CV40" i="17" s="1"/>
  <c r="CW40" i="17" s="1"/>
  <c r="CX40" i="17" s="1"/>
  <c r="CY40" i="17" s="1"/>
  <c r="CZ40" i="17" s="1"/>
  <c r="DA40" i="17" s="1"/>
  <c r="DB40" i="17" s="1"/>
  <c r="DC40" i="17" s="1"/>
  <c r="DD40" i="17" s="1"/>
  <c r="DE40" i="17" s="1"/>
  <c r="DF40" i="17" s="1"/>
  <c r="DG40" i="17" s="1"/>
  <c r="DH40" i="17" s="1"/>
  <c r="DI40" i="17" s="1"/>
  <c r="DJ40" i="17" s="1"/>
  <c r="DK40" i="17" s="1"/>
  <c r="DL40" i="17" s="1"/>
  <c r="V268" i="17"/>
  <c r="W268" i="17" s="1"/>
  <c r="X171" i="17"/>
  <c r="Y171" i="17" s="1"/>
  <c r="Z171" i="17" s="1"/>
  <c r="AA171" i="17" s="1"/>
  <c r="AB171" i="17" s="1"/>
  <c r="AC171" i="17" s="1"/>
  <c r="AD171" i="17" s="1"/>
  <c r="AE171" i="17" s="1"/>
  <c r="AF171" i="17" s="1"/>
  <c r="AG171" i="17" s="1"/>
  <c r="AH171" i="17" s="1"/>
  <c r="AI171" i="17" s="1"/>
  <c r="AJ171" i="17" s="1"/>
  <c r="AK171" i="17" s="1"/>
  <c r="AL171" i="17" s="1"/>
  <c r="AM171" i="17" s="1"/>
  <c r="AN171" i="17" s="1"/>
  <c r="AO171" i="17" s="1"/>
  <c r="AP171" i="17" s="1"/>
  <c r="AQ171" i="17" s="1"/>
  <c r="AR171" i="17" s="1"/>
  <c r="AS171" i="17" s="1"/>
  <c r="AT171" i="17" s="1"/>
  <c r="AU171" i="17" s="1"/>
  <c r="AV171" i="17" s="1"/>
  <c r="AW171" i="17" s="1"/>
  <c r="AX171" i="17" s="1"/>
  <c r="AY171" i="17" s="1"/>
  <c r="AZ171" i="17" s="1"/>
  <c r="BA171" i="17" s="1"/>
  <c r="BB171" i="17" s="1"/>
  <c r="BC171" i="17" s="1"/>
  <c r="BD171" i="17" s="1"/>
  <c r="BE171" i="17" s="1"/>
  <c r="BF171" i="17" s="1"/>
  <c r="BG171" i="17" s="1"/>
  <c r="BH171" i="17" s="1"/>
  <c r="BI171" i="17" s="1"/>
  <c r="BJ171" i="17" s="1"/>
  <c r="BK171" i="17" s="1"/>
  <c r="BL171" i="17" s="1"/>
  <c r="BM171" i="17" s="1"/>
  <c r="BN171" i="17" s="1"/>
  <c r="BO171" i="17" s="1"/>
  <c r="BP171" i="17" s="1"/>
  <c r="BQ171" i="17" s="1"/>
  <c r="BR171" i="17" s="1"/>
  <c r="BS171" i="17" s="1"/>
  <c r="BT171" i="17" s="1"/>
  <c r="BU171" i="17" s="1"/>
  <c r="BV171" i="17" s="1"/>
  <c r="BW171" i="17" s="1"/>
  <c r="BX171" i="17" s="1"/>
  <c r="BY171" i="17" s="1"/>
  <c r="BZ171" i="17" s="1"/>
  <c r="CA171" i="17" s="1"/>
  <c r="CB171" i="17" s="1"/>
  <c r="CC171" i="17" s="1"/>
  <c r="CD171" i="17" s="1"/>
  <c r="CE171" i="17" s="1"/>
  <c r="CF171" i="17" s="1"/>
  <c r="CG171" i="17" s="1"/>
  <c r="CH171" i="17" s="1"/>
  <c r="CI171" i="17" s="1"/>
  <c r="CJ171" i="17" s="1"/>
  <c r="CK171" i="17" s="1"/>
  <c r="CL171" i="17" s="1"/>
  <c r="CM171" i="17" s="1"/>
  <c r="CN171" i="17" s="1"/>
  <c r="CO171" i="17" s="1"/>
  <c r="CP171" i="17" s="1"/>
  <c r="CQ171" i="17" s="1"/>
  <c r="CR171" i="17" s="1"/>
  <c r="CS171" i="17" s="1"/>
  <c r="CT171" i="17" s="1"/>
  <c r="CU171" i="17" s="1"/>
  <c r="CV171" i="17" s="1"/>
  <c r="CW171" i="17" s="1"/>
  <c r="CX171" i="17" s="1"/>
  <c r="CY171" i="17" s="1"/>
  <c r="CZ171" i="17" s="1"/>
  <c r="DA171" i="17" s="1"/>
  <c r="DB171" i="17" s="1"/>
  <c r="DC171" i="17" s="1"/>
  <c r="DD171" i="17" s="1"/>
  <c r="DE171" i="17" s="1"/>
  <c r="DF171" i="17" s="1"/>
  <c r="DG171" i="17" s="1"/>
  <c r="DH171" i="17" s="1"/>
  <c r="DI171" i="17" s="1"/>
  <c r="DJ171" i="17" s="1"/>
  <c r="DK171" i="17" s="1"/>
  <c r="DL171" i="17" s="1"/>
  <c r="V195" i="17"/>
  <c r="W195" i="17" s="1"/>
  <c r="Y19" i="17"/>
  <c r="Y63" i="17"/>
  <c r="Z63" i="17" s="1"/>
  <c r="AA63" i="17" s="1"/>
  <c r="AB63" i="17" s="1"/>
  <c r="AC63" i="17" s="1"/>
  <c r="AD63" i="17" s="1"/>
  <c r="AE63" i="17" s="1"/>
  <c r="AF63" i="17" s="1"/>
  <c r="AG63" i="17" s="1"/>
  <c r="AH63" i="17" s="1"/>
  <c r="AI63" i="17" s="1"/>
  <c r="AJ63" i="17" s="1"/>
  <c r="AK63" i="17" s="1"/>
  <c r="AL63" i="17" s="1"/>
  <c r="AM63" i="17" s="1"/>
  <c r="AN63" i="17" s="1"/>
  <c r="AO63" i="17" s="1"/>
  <c r="AP63" i="17" s="1"/>
  <c r="AQ63" i="17" s="1"/>
  <c r="AR63" i="17" s="1"/>
  <c r="AS63" i="17" s="1"/>
  <c r="AT63" i="17" s="1"/>
  <c r="AU63" i="17" s="1"/>
  <c r="AV63" i="17" s="1"/>
  <c r="AW63" i="17" s="1"/>
  <c r="AX63" i="17" s="1"/>
  <c r="AY63" i="17" s="1"/>
  <c r="AZ63" i="17" s="1"/>
  <c r="BA63" i="17" s="1"/>
  <c r="BB63" i="17" s="1"/>
  <c r="BC63" i="17" s="1"/>
  <c r="BD63" i="17" s="1"/>
  <c r="BE63" i="17" s="1"/>
  <c r="BF63" i="17" s="1"/>
  <c r="BG63" i="17" s="1"/>
  <c r="BH63" i="17" s="1"/>
  <c r="BI63" i="17" s="1"/>
  <c r="BJ63" i="17" s="1"/>
  <c r="BK63" i="17" s="1"/>
  <c r="BL63" i="17" s="1"/>
  <c r="BM63" i="17" s="1"/>
  <c r="BN63" i="17" s="1"/>
  <c r="BO63" i="17" s="1"/>
  <c r="BP63" i="17" s="1"/>
  <c r="BQ63" i="17" s="1"/>
  <c r="BR63" i="17" s="1"/>
  <c r="BS63" i="17" s="1"/>
  <c r="BT63" i="17" s="1"/>
  <c r="BU63" i="17" s="1"/>
  <c r="BV63" i="17" s="1"/>
  <c r="BW63" i="17" s="1"/>
  <c r="BX63" i="17" s="1"/>
  <c r="BY63" i="17" s="1"/>
  <c r="BZ63" i="17" s="1"/>
  <c r="CA63" i="17" s="1"/>
  <c r="CB63" i="17" s="1"/>
  <c r="CC63" i="17" s="1"/>
  <c r="CD63" i="17" s="1"/>
  <c r="CE63" i="17" s="1"/>
  <c r="CF63" i="17" s="1"/>
  <c r="CG63" i="17" s="1"/>
  <c r="CH63" i="17" s="1"/>
  <c r="CI63" i="17" s="1"/>
  <c r="CJ63" i="17" s="1"/>
  <c r="CK63" i="17" s="1"/>
  <c r="CL63" i="17" s="1"/>
  <c r="CM63" i="17" s="1"/>
  <c r="CN63" i="17" s="1"/>
  <c r="CO63" i="17" s="1"/>
  <c r="CP63" i="17" s="1"/>
  <c r="CQ63" i="17" s="1"/>
  <c r="CR63" i="17" s="1"/>
  <c r="CS63" i="17" s="1"/>
  <c r="CT63" i="17" s="1"/>
  <c r="CU63" i="17" s="1"/>
  <c r="CV63" i="17" s="1"/>
  <c r="CW63" i="17" s="1"/>
  <c r="CX63" i="17" s="1"/>
  <c r="CY63" i="17" s="1"/>
  <c r="CZ63" i="17" s="1"/>
  <c r="DA63" i="17" s="1"/>
  <c r="DB63" i="17" s="1"/>
  <c r="DC63" i="17" s="1"/>
  <c r="DD63" i="17" s="1"/>
  <c r="DE63" i="17" s="1"/>
  <c r="DF63" i="17" s="1"/>
  <c r="DG63" i="17" s="1"/>
  <c r="DH63" i="17" s="1"/>
  <c r="DI63" i="17" s="1"/>
  <c r="DJ63" i="17" s="1"/>
  <c r="DK63" i="17" s="1"/>
  <c r="DL63" i="17" s="1"/>
  <c r="X281" i="17"/>
  <c r="Y281" i="17" s="1"/>
  <c r="X85" i="17"/>
  <c r="Y85" i="17" s="1"/>
  <c r="W221" i="17"/>
  <c r="X221" i="17" s="1"/>
  <c r="X220" i="17"/>
  <c r="Y220" i="17" s="1"/>
  <c r="Y103" i="17"/>
  <c r="Z103" i="17" s="1"/>
  <c r="Y299" i="17"/>
  <c r="Z299" i="17" s="1"/>
  <c r="AA299" i="17" s="1"/>
  <c r="W113" i="17"/>
  <c r="X113" i="17" s="1"/>
  <c r="Y48" i="17"/>
  <c r="W87" i="17"/>
  <c r="X87" i="17" s="1"/>
  <c r="Y87" i="17" s="1"/>
  <c r="X128" i="17"/>
  <c r="Y128" i="17" s="1"/>
  <c r="Z128" i="17"/>
  <c r="AA128" i="17" s="1"/>
  <c r="AB128" i="17" s="1"/>
  <c r="AC128" i="17" s="1"/>
  <c r="AD128" i="17" s="1"/>
  <c r="AE128" i="17" s="1"/>
  <c r="AF128" i="17" s="1"/>
  <c r="AG128" i="17" s="1"/>
  <c r="AH128" i="17" s="1"/>
  <c r="AI128" i="17" s="1"/>
  <c r="AJ128" i="17" s="1"/>
  <c r="AK128" i="17" s="1"/>
  <c r="AL128" i="17" s="1"/>
  <c r="AM128" i="17" s="1"/>
  <c r="V50" i="17"/>
  <c r="Y71" i="17"/>
  <c r="Z71" i="17" s="1"/>
  <c r="AA71" i="17" s="1"/>
  <c r="AB71" i="17" s="1"/>
  <c r="AC71" i="17" s="1"/>
  <c r="AD71" i="17" s="1"/>
  <c r="AE71" i="17" s="1"/>
  <c r="AF71" i="17" s="1"/>
  <c r="AG71" i="17" s="1"/>
  <c r="Y135" i="17"/>
  <c r="Z284" i="17"/>
  <c r="V149" i="17"/>
  <c r="X251" i="17"/>
  <c r="Y251" i="17" s="1"/>
  <c r="Z251" i="17" s="1"/>
  <c r="AA251" i="17" s="1"/>
  <c r="X146" i="17"/>
  <c r="X46" i="17"/>
  <c r="U296" i="17"/>
  <c r="V296" i="17" s="1"/>
  <c r="W296" i="17" s="1"/>
  <c r="V233" i="17"/>
  <c r="X143" i="17"/>
  <c r="Y143" i="17" s="1"/>
  <c r="W73" i="17"/>
  <c r="X73" i="17" s="1"/>
  <c r="W70" i="17"/>
  <c r="U246" i="17"/>
  <c r="V246" i="17" s="1"/>
  <c r="W246" i="17" s="1"/>
  <c r="X246" i="17" s="1"/>
  <c r="Z135" i="17"/>
  <c r="AA135" i="17" s="1"/>
  <c r="U292" i="17"/>
  <c r="W159" i="17"/>
  <c r="T201" i="17"/>
  <c r="U201" i="17" s="1"/>
  <c r="V167" i="17"/>
  <c r="W167" i="17" s="1"/>
  <c r="X39" i="17"/>
  <c r="Y39" i="17" s="1"/>
  <c r="Z39" i="17" s="1"/>
  <c r="AA39" i="17" s="1"/>
  <c r="AB39" i="17" s="1"/>
  <c r="AC39" i="17" s="1"/>
  <c r="AD39" i="17" s="1"/>
  <c r="AE39" i="17" s="1"/>
  <c r="AF39" i="17" s="1"/>
  <c r="AG39" i="17" s="1"/>
  <c r="AH39" i="17" s="1"/>
  <c r="AI39" i="17" s="1"/>
  <c r="AJ39" i="17" s="1"/>
  <c r="AK39" i="17" s="1"/>
  <c r="AL39" i="17" s="1"/>
  <c r="Y154" i="17"/>
  <c r="Z154" i="17" s="1"/>
  <c r="AA154" i="17" s="1"/>
  <c r="W172" i="17"/>
  <c r="X172" i="17" s="1"/>
  <c r="X253" i="17"/>
  <c r="Y253" i="17" s="1"/>
  <c r="W76" i="17"/>
  <c r="X76" i="17" s="1"/>
  <c r="Y76" i="17" s="1"/>
  <c r="Z76" i="17" s="1"/>
  <c r="AA126" i="17"/>
  <c r="AB126" i="17" s="1"/>
  <c r="Y110" i="17"/>
  <c r="Z110" i="17" s="1"/>
  <c r="AA110" i="17" s="1"/>
  <c r="AB110" i="17" s="1"/>
  <c r="AC110" i="17" s="1"/>
  <c r="AD110" i="17" s="1"/>
  <c r="AE110" i="17" s="1"/>
  <c r="AF110" i="17" s="1"/>
  <c r="AG110" i="17" s="1"/>
  <c r="AH110" i="17" s="1"/>
  <c r="AI110" i="17" s="1"/>
  <c r="AJ110" i="17" s="1"/>
  <c r="AK110" i="17" s="1"/>
  <c r="AL110" i="17" s="1"/>
  <c r="AM110" i="17" s="1"/>
  <c r="AN110" i="17" s="1"/>
  <c r="AO110" i="17" s="1"/>
  <c r="AP110" i="17" s="1"/>
  <c r="AQ110" i="17" s="1"/>
  <c r="AR110" i="17" s="1"/>
  <c r="AS110" i="17" s="1"/>
  <c r="AT110" i="17" s="1"/>
  <c r="AU110" i="17" s="1"/>
  <c r="AV110" i="17" s="1"/>
  <c r="AW110" i="17" s="1"/>
  <c r="AX110" i="17" s="1"/>
  <c r="AY110" i="17" s="1"/>
  <c r="AZ110" i="17" s="1"/>
  <c r="BA110" i="17" s="1"/>
  <c r="BB110" i="17" s="1"/>
  <c r="BC110" i="17" s="1"/>
  <c r="BD110" i="17" s="1"/>
  <c r="BE110" i="17" s="1"/>
  <c r="BF110" i="17" s="1"/>
  <c r="BG110" i="17" s="1"/>
  <c r="BH110" i="17" s="1"/>
  <c r="BI110" i="17" s="1"/>
  <c r="BJ110" i="17" s="1"/>
  <c r="BK110" i="17" s="1"/>
  <c r="BL110" i="17" s="1"/>
  <c r="BM110" i="17" s="1"/>
  <c r="BN110" i="17" s="1"/>
  <c r="BO110" i="17" s="1"/>
  <c r="BP110" i="17" s="1"/>
  <c r="BQ110" i="17" s="1"/>
  <c r="BR110" i="17" s="1"/>
  <c r="BS110" i="17" s="1"/>
  <c r="BT110" i="17" s="1"/>
  <c r="BU110" i="17" s="1"/>
  <c r="BV110" i="17" s="1"/>
  <c r="BW110" i="17" s="1"/>
  <c r="BX110" i="17" s="1"/>
  <c r="BY110" i="17" s="1"/>
  <c r="BZ110" i="17" s="1"/>
  <c r="CA110" i="17" s="1"/>
  <c r="CB110" i="17" s="1"/>
  <c r="CC110" i="17" s="1"/>
  <c r="CD110" i="17" s="1"/>
  <c r="CE110" i="17" s="1"/>
  <c r="CF110" i="17" s="1"/>
  <c r="CG110" i="17" s="1"/>
  <c r="CH110" i="17" s="1"/>
  <c r="CI110" i="17" s="1"/>
  <c r="CJ110" i="17" s="1"/>
  <c r="CK110" i="17" s="1"/>
  <c r="CL110" i="17" s="1"/>
  <c r="CM110" i="17" s="1"/>
  <c r="CN110" i="17" s="1"/>
  <c r="CO110" i="17" s="1"/>
  <c r="CP110" i="17" s="1"/>
  <c r="CQ110" i="17" s="1"/>
  <c r="CR110" i="17" s="1"/>
  <c r="CS110" i="17" s="1"/>
  <c r="CT110" i="17" s="1"/>
  <c r="CU110" i="17" s="1"/>
  <c r="CV110" i="17" s="1"/>
  <c r="CW110" i="17" s="1"/>
  <c r="CX110" i="17" s="1"/>
  <c r="CY110" i="17" s="1"/>
  <c r="CZ110" i="17" s="1"/>
  <c r="DA110" i="17" s="1"/>
  <c r="DB110" i="17" s="1"/>
  <c r="DC110" i="17" s="1"/>
  <c r="DD110" i="17" s="1"/>
  <c r="DE110" i="17" s="1"/>
  <c r="DF110" i="17" s="1"/>
  <c r="DG110" i="17" s="1"/>
  <c r="DH110" i="17" s="1"/>
  <c r="DI110" i="17" s="1"/>
  <c r="DJ110" i="17" s="1"/>
  <c r="DK110" i="17" s="1"/>
  <c r="DL110" i="17" s="1"/>
  <c r="V274" i="17"/>
  <c r="W274" i="17" s="1"/>
  <c r="U182" i="17"/>
  <c r="V172" i="17"/>
  <c r="V249" i="17"/>
  <c r="AC90" i="17"/>
  <c r="AD90" i="17" s="1"/>
  <c r="AE90" i="17" s="1"/>
  <c r="AF90" i="17" s="1"/>
  <c r="AG90" i="17" s="1"/>
  <c r="AH90" i="17" s="1"/>
  <c r="AI90" i="17" s="1"/>
  <c r="AJ90" i="17" s="1"/>
  <c r="AK90" i="17" s="1"/>
  <c r="AL90" i="17" s="1"/>
  <c r="AM90" i="17" s="1"/>
  <c r="AN90" i="17" s="1"/>
  <c r="AO90" i="17" s="1"/>
  <c r="AP90" i="17" s="1"/>
  <c r="BJ134" i="17"/>
  <c r="BK134" i="17" s="1"/>
  <c r="BL134" i="17" s="1"/>
  <c r="BM134" i="17" s="1"/>
  <c r="BN134" i="17" s="1"/>
  <c r="BO134" i="17" s="1"/>
  <c r="BP134" i="17" s="1"/>
  <c r="BQ134" i="17" s="1"/>
  <c r="BR134" i="17" s="1"/>
  <c r="BS134" i="17" s="1"/>
  <c r="BT134" i="17" s="1"/>
  <c r="BU134" i="17" s="1"/>
  <c r="BV134" i="17" s="1"/>
  <c r="BW134" i="17" s="1"/>
  <c r="BX134" i="17" s="1"/>
  <c r="BY134" i="17" s="1"/>
  <c r="BZ134" i="17" s="1"/>
  <c r="CA134" i="17" s="1"/>
  <c r="CB134" i="17" s="1"/>
  <c r="CC134" i="17" s="1"/>
  <c r="CD134" i="17" s="1"/>
  <c r="CE134" i="17" s="1"/>
  <c r="CF134" i="17" s="1"/>
  <c r="CG134" i="17" s="1"/>
  <c r="CH134" i="17" s="1"/>
  <c r="CI134" i="17" s="1"/>
  <c r="CJ134" i="17" s="1"/>
  <c r="CK134" i="17" s="1"/>
  <c r="CL134" i="17" s="1"/>
  <c r="CM134" i="17" s="1"/>
  <c r="CN134" i="17" s="1"/>
  <c r="CO134" i="17" s="1"/>
  <c r="CP134" i="17" s="1"/>
  <c r="CQ134" i="17" s="1"/>
  <c r="CR134" i="17" s="1"/>
  <c r="CS134" i="17" s="1"/>
  <c r="CT134" i="17" s="1"/>
  <c r="CU134" i="17" s="1"/>
  <c r="CV134" i="17" s="1"/>
  <c r="CW134" i="17" s="1"/>
  <c r="CX134" i="17" s="1"/>
  <c r="CY134" i="17" s="1"/>
  <c r="CZ134" i="17" s="1"/>
  <c r="DA134" i="17" s="1"/>
  <c r="DB134" i="17" s="1"/>
  <c r="DC134" i="17" s="1"/>
  <c r="DD134" i="17" s="1"/>
  <c r="DE134" i="17" s="1"/>
  <c r="DF134" i="17" s="1"/>
  <c r="DG134" i="17" s="1"/>
  <c r="DH134" i="17" s="1"/>
  <c r="DI134" i="17" s="1"/>
  <c r="DJ134" i="17" s="1"/>
  <c r="DK134" i="17" s="1"/>
  <c r="DL134" i="17" s="1"/>
  <c r="Z68" i="17"/>
  <c r="AA68" i="17" s="1"/>
  <c r="AA166" i="17"/>
  <c r="AB166" i="17" s="1"/>
  <c r="Z19" i="17"/>
  <c r="AA19" i="17" s="1"/>
  <c r="T286" i="17"/>
  <c r="U286" i="17" s="1"/>
  <c r="Z148" i="17"/>
  <c r="AA148" i="17" s="1"/>
  <c r="W193" i="17"/>
  <c r="X193" i="17" s="1"/>
  <c r="U142" i="17"/>
  <c r="V142" i="17" s="1"/>
  <c r="V51" i="17"/>
  <c r="W51" i="17" s="1"/>
  <c r="W240" i="17"/>
  <c r="X240" i="17" s="1"/>
  <c r="V109" i="17"/>
  <c r="W133" i="17"/>
  <c r="X133" i="17" s="1"/>
  <c r="Y133" i="17" s="1"/>
  <c r="V27" i="17"/>
  <c r="W27" i="17" s="1"/>
  <c r="X27" i="17" s="1"/>
  <c r="Y27" i="17" s="1"/>
  <c r="Z27" i="17" s="1"/>
  <c r="AA27" i="17" s="1"/>
  <c r="V161" i="17"/>
  <c r="U84" i="17"/>
  <c r="V84" i="17" s="1"/>
  <c r="W84" i="17" s="1"/>
  <c r="X257" i="17"/>
  <c r="Y257" i="17" s="1"/>
  <c r="V31" i="17"/>
  <c r="X33" i="17"/>
  <c r="Z211" i="17"/>
  <c r="AA211" i="17" s="1"/>
  <c r="V116" i="17"/>
  <c r="V212" i="17"/>
  <c r="U112" i="17"/>
  <c r="X79" i="17"/>
  <c r="Y79" i="17" s="1"/>
  <c r="V102" i="17"/>
  <c r="T127" i="17"/>
  <c r="X130" i="17"/>
  <c r="X208" i="17"/>
  <c r="U42" i="17"/>
  <c r="V42" i="17" s="1"/>
  <c r="T168" i="17"/>
  <c r="U168" i="17" s="1"/>
  <c r="V168" i="17" s="1"/>
  <c r="X218" i="17"/>
  <c r="Y218" i="17" s="1"/>
  <c r="Z218" i="17" s="1"/>
  <c r="AA218" i="17" s="1"/>
  <c r="AB218" i="17" s="1"/>
  <c r="AC218" i="17" s="1"/>
  <c r="AD218" i="17" s="1"/>
  <c r="AE218" i="17" s="1"/>
  <c r="AF218" i="17" s="1"/>
  <c r="AG218" i="17" s="1"/>
  <c r="AH218" i="17" s="1"/>
  <c r="AI218" i="17" s="1"/>
  <c r="AJ218" i="17" s="1"/>
  <c r="AK218" i="17" s="1"/>
  <c r="AL218" i="17" s="1"/>
  <c r="AM218" i="17" s="1"/>
  <c r="AN218" i="17" s="1"/>
  <c r="AO218" i="17" s="1"/>
  <c r="AP218" i="17" s="1"/>
  <c r="AQ218" i="17" s="1"/>
  <c r="AR218" i="17" s="1"/>
  <c r="AS218" i="17" s="1"/>
  <c r="AT218" i="17" s="1"/>
  <c r="AU218" i="17" s="1"/>
  <c r="AV218" i="17" s="1"/>
  <c r="AW218" i="17" s="1"/>
  <c r="AX218" i="17" s="1"/>
  <c r="AY218" i="17" s="1"/>
  <c r="AZ218" i="17" s="1"/>
  <c r="BA218" i="17" s="1"/>
  <c r="BB218" i="17" s="1"/>
  <c r="BC218" i="17" s="1"/>
  <c r="BD218" i="17" s="1"/>
  <c r="BE218" i="17" s="1"/>
  <c r="BF218" i="17" s="1"/>
  <c r="BG218" i="17" s="1"/>
  <c r="BH218" i="17" s="1"/>
  <c r="BI218" i="17" s="1"/>
  <c r="T129" i="17"/>
  <c r="T263" i="17"/>
  <c r="V95" i="17"/>
  <c r="X206" i="17"/>
  <c r="Y206" i="17" s="1"/>
  <c r="W108" i="17"/>
  <c r="X260" i="17"/>
  <c r="Y260" i="17" s="1"/>
  <c r="X7" i="17"/>
  <c r="Y7" i="17" s="1"/>
  <c r="W88" i="17"/>
  <c r="X88" i="17" s="1"/>
  <c r="V57" i="17"/>
  <c r="Y188" i="17"/>
  <c r="Z188" i="17" s="1"/>
  <c r="W164" i="17"/>
  <c r="X164" i="17" s="1"/>
  <c r="T301" i="17"/>
  <c r="T55" i="17"/>
  <c r="V54" i="17"/>
  <c r="W216" i="17"/>
  <c r="U189" i="17"/>
  <c r="V189" i="17" s="1"/>
  <c r="V58" i="17"/>
  <c r="X60" i="17"/>
  <c r="AC11" i="17"/>
  <c r="AD11" i="17" s="1"/>
  <c r="AE11" i="17" s="1"/>
  <c r="AF11" i="17" s="1"/>
  <c r="AG11" i="17" s="1"/>
  <c r="U248" i="17"/>
  <c r="V248" i="17" s="1"/>
  <c r="T8" i="17"/>
  <c r="U8" i="17" s="1"/>
  <c r="U129" i="17"/>
  <c r="X122" i="17"/>
  <c r="V178" i="17"/>
  <c r="V81" i="17"/>
  <c r="W81" i="17" s="1"/>
  <c r="X29" i="17"/>
  <c r="Z9" i="17"/>
  <c r="AA9" i="17" s="1"/>
  <c r="AB9" i="17" s="1"/>
  <c r="V37" i="17"/>
  <c r="W37" i="17" s="1"/>
  <c r="Y238" i="17"/>
  <c r="T231" i="17"/>
  <c r="X111" i="17"/>
  <c r="S210" i="17"/>
  <c r="U47" i="17"/>
  <c r="V47" i="17" s="1"/>
  <c r="U192" i="17"/>
  <c r="AF256" i="17"/>
  <c r="AG256" i="17" s="1"/>
  <c r="AH256" i="17" s="1"/>
  <c r="AI256" i="17" s="1"/>
  <c r="AJ256" i="17" s="1"/>
  <c r="AK256" i="17" s="1"/>
  <c r="AL256" i="17" s="1"/>
  <c r="AM256" i="17" s="1"/>
  <c r="AN256" i="17" s="1"/>
  <c r="AO256" i="17" s="1"/>
  <c r="AP256" i="17" s="1"/>
  <c r="AQ256" i="17" s="1"/>
  <c r="AR256" i="17" s="1"/>
  <c r="AS256" i="17" s="1"/>
  <c r="AT256" i="17" s="1"/>
  <c r="AU256" i="17" s="1"/>
  <c r="AV256" i="17" s="1"/>
  <c r="AW256" i="17" s="1"/>
  <c r="AX256" i="17" s="1"/>
  <c r="AY256" i="17" s="1"/>
  <c r="AZ256" i="17" s="1"/>
  <c r="BA256" i="17" s="1"/>
  <c r="BB256" i="17" s="1"/>
  <c r="BC256" i="17" s="1"/>
  <c r="BD256" i="17" s="1"/>
  <c r="BE256" i="17" s="1"/>
  <c r="BF256" i="17" s="1"/>
  <c r="BG256" i="17" s="1"/>
  <c r="BH256" i="17" s="1"/>
  <c r="BI256" i="17" s="1"/>
  <c r="BJ256" i="17" s="1"/>
  <c r="BK256" i="17" s="1"/>
  <c r="BL256" i="17" s="1"/>
  <c r="BM256" i="17" s="1"/>
  <c r="BN256" i="17" s="1"/>
  <c r="BO256" i="17" s="1"/>
  <c r="BP256" i="17" s="1"/>
  <c r="BQ256" i="17" s="1"/>
  <c r="BR256" i="17" s="1"/>
  <c r="BS256" i="17" s="1"/>
  <c r="BT256" i="17" s="1"/>
  <c r="BU256" i="17" s="1"/>
  <c r="BV256" i="17" s="1"/>
  <c r="BW256" i="17" s="1"/>
  <c r="BX256" i="17" s="1"/>
  <c r="BY256" i="17" s="1"/>
  <c r="BZ256" i="17" s="1"/>
  <c r="CA256" i="17" s="1"/>
  <c r="CB256" i="17" s="1"/>
  <c r="CC256" i="17" s="1"/>
  <c r="CD256" i="17" s="1"/>
  <c r="CE256" i="17" s="1"/>
  <c r="CF256" i="17" s="1"/>
  <c r="CG256" i="17" s="1"/>
  <c r="CH256" i="17" s="1"/>
  <c r="CI256" i="17" s="1"/>
  <c r="CJ256" i="17" s="1"/>
  <c r="CK256" i="17" s="1"/>
  <c r="CL256" i="17" s="1"/>
  <c r="CM256" i="17" s="1"/>
  <c r="CN256" i="17" s="1"/>
  <c r="CO256" i="17" s="1"/>
  <c r="CP256" i="17" s="1"/>
  <c r="CQ256" i="17" s="1"/>
  <c r="CR256" i="17" s="1"/>
  <c r="CS256" i="17" s="1"/>
  <c r="CT256" i="17" s="1"/>
  <c r="CU256" i="17" s="1"/>
  <c r="CV256" i="17" s="1"/>
  <c r="CW256" i="17" s="1"/>
  <c r="CX256" i="17" s="1"/>
  <c r="CY256" i="17" s="1"/>
  <c r="CZ256" i="17" s="1"/>
  <c r="DA256" i="17" s="1"/>
  <c r="DB256" i="17" s="1"/>
  <c r="DC256" i="17" s="1"/>
  <c r="DD256" i="17" s="1"/>
  <c r="DE256" i="17" s="1"/>
  <c r="DF256" i="17" s="1"/>
  <c r="DG256" i="17" s="1"/>
  <c r="DH256" i="17" s="1"/>
  <c r="DI256" i="17" s="1"/>
  <c r="DJ256" i="17" s="1"/>
  <c r="DK256" i="17" s="1"/>
  <c r="DL256" i="17" s="1"/>
  <c r="T6" i="17"/>
  <c r="U6" i="17" s="1"/>
  <c r="V6" i="17" s="1"/>
  <c r="W6" i="17" s="1"/>
  <c r="U278" i="17"/>
  <c r="V278" i="17" s="1"/>
  <c r="U123" i="17"/>
  <c r="X304" i="17"/>
  <c r="Y304" i="17" s="1"/>
  <c r="U176" i="17"/>
  <c r="V176" i="17" s="1"/>
  <c r="X237" i="17"/>
  <c r="V224" i="17"/>
  <c r="W224" i="17" s="1"/>
  <c r="U197" i="17"/>
  <c r="V197" i="17" s="1"/>
  <c r="W14" i="17"/>
  <c r="X14" i="17" s="1"/>
  <c r="U170" i="17"/>
  <c r="V32" i="17"/>
  <c r="U232" i="17"/>
  <c r="V98" i="17"/>
  <c r="W98" i="17" s="1"/>
  <c r="X98" i="17" s="1"/>
  <c r="U145" i="17"/>
  <c r="V67" i="17"/>
  <c r="W67" i="17" s="1"/>
  <c r="Z78" i="17"/>
  <c r="V207" i="17"/>
  <c r="W56" i="17"/>
  <c r="X56" i="17" s="1"/>
  <c r="Y22" i="17"/>
  <c r="Z22" i="17" s="1"/>
  <c r="U236" i="17"/>
  <c r="V236" i="17"/>
  <c r="Y23" i="17"/>
  <c r="Z23" i="17" s="1"/>
  <c r="AA23" i="17" s="1"/>
  <c r="U136" i="17"/>
  <c r="X89" i="17"/>
  <c r="Y89" i="17" s="1"/>
  <c r="Z89" i="17" s="1"/>
  <c r="T199" i="17"/>
  <c r="U199" i="17" s="1"/>
  <c r="V66" i="17"/>
  <c r="AB106" i="17"/>
  <c r="AC106" i="17" s="1"/>
  <c r="AD106" i="17" s="1"/>
  <c r="AE106" i="17" s="1"/>
  <c r="AF106" i="17" s="1"/>
  <c r="AG106" i="17" s="1"/>
  <c r="AH106" i="17" s="1"/>
  <c r="AI106" i="17" s="1"/>
  <c r="AJ106" i="17" s="1"/>
  <c r="AK106" i="17" s="1"/>
  <c r="AL106" i="17" s="1"/>
  <c r="AM106" i="17" s="1"/>
  <c r="AN106" i="17" s="1"/>
  <c r="AO106" i="17" s="1"/>
  <c r="AP106" i="17" s="1"/>
  <c r="AQ106" i="17" s="1"/>
  <c r="AR106" i="17" s="1"/>
  <c r="AS106" i="17" s="1"/>
  <c r="AT106" i="17" s="1"/>
  <c r="AU106" i="17" s="1"/>
  <c r="AV106" i="17" s="1"/>
  <c r="AB285" i="17"/>
  <c r="AC285" i="17" s="1"/>
  <c r="V15" i="17"/>
  <c r="S179" i="17"/>
  <c r="T179" i="17" s="1"/>
  <c r="V234" i="17"/>
  <c r="V272" i="17"/>
  <c r="X118" i="17"/>
  <c r="Y118" i="17" s="1"/>
  <c r="Z118" i="17" s="1"/>
  <c r="AA118" i="17" s="1"/>
  <c r="AB118" i="17" s="1"/>
  <c r="AC118" i="17" s="1"/>
  <c r="AB293" i="17"/>
  <c r="AC293" i="17" s="1"/>
  <c r="AD293" i="17" s="1"/>
  <c r="AE293" i="17" s="1"/>
  <c r="AF293" i="17" s="1"/>
  <c r="AG293" i="17" s="1"/>
  <c r="AH293" i="17" s="1"/>
  <c r="AI293" i="17" s="1"/>
  <c r="AJ293" i="17" s="1"/>
  <c r="AK293" i="17" s="1"/>
  <c r="AL293" i="17" s="1"/>
  <c r="AM293" i="17" s="1"/>
  <c r="AN293" i="17" s="1"/>
  <c r="AO293" i="17" s="1"/>
  <c r="Y64" i="17"/>
  <c r="Z64" i="17" s="1"/>
  <c r="AA64" i="17" s="1"/>
  <c r="AB99" i="17"/>
  <c r="AC99" i="17" s="1"/>
  <c r="AD99" i="17" s="1"/>
  <c r="AE99" i="17" s="1"/>
  <c r="AF99" i="17" s="1"/>
  <c r="AG99" i="17" s="1"/>
  <c r="AH99" i="17" s="1"/>
  <c r="AI99" i="17" s="1"/>
  <c r="AJ99" i="17" s="1"/>
  <c r="AK99" i="17" s="1"/>
  <c r="AL99" i="17" s="1"/>
  <c r="AM99" i="17" s="1"/>
  <c r="AN99" i="17" s="1"/>
  <c r="AO99" i="17" s="1"/>
  <c r="AP99" i="17" s="1"/>
  <c r="AQ99" i="17" s="1"/>
  <c r="AR99" i="17" s="1"/>
  <c r="AS99" i="17" s="1"/>
  <c r="AT99" i="17" s="1"/>
  <c r="AU99" i="17" s="1"/>
  <c r="AV99" i="17" s="1"/>
  <c r="AW99" i="17" s="1"/>
  <c r="AX99" i="17" s="1"/>
  <c r="AY99" i="17" s="1"/>
  <c r="AZ99" i="17" s="1"/>
  <c r="BA99" i="17" s="1"/>
  <c r="Y271" i="17"/>
  <c r="Z271" i="17" s="1"/>
  <c r="AA271" i="17" s="1"/>
  <c r="AB271" i="17" s="1"/>
  <c r="AC271" i="17" s="1"/>
  <c r="AD271" i="17" s="1"/>
  <c r="AE271" i="17" s="1"/>
  <c r="AF271" i="17" s="1"/>
  <c r="AG271" i="17" s="1"/>
  <c r="AH271" i="17" s="1"/>
  <c r="AI271" i="17" s="1"/>
  <c r="AJ271" i="17" s="1"/>
  <c r="AK271" i="17" s="1"/>
  <c r="AL271" i="17" s="1"/>
  <c r="AM271" i="17" s="1"/>
  <c r="AN271" i="17" s="1"/>
  <c r="AO271" i="17" s="1"/>
  <c r="AP271" i="17" s="1"/>
  <c r="AQ271" i="17" s="1"/>
  <c r="AR271" i="17" s="1"/>
  <c r="AS271" i="17" s="1"/>
  <c r="AT271" i="17" s="1"/>
  <c r="AU271" i="17" s="1"/>
  <c r="AB26" i="17"/>
  <c r="AC26" i="17" s="1"/>
  <c r="AD26" i="17" s="1"/>
  <c r="AE26" i="17" s="1"/>
  <c r="AF26" i="17" s="1"/>
  <c r="AG26" i="17" s="1"/>
  <c r="AH26" i="17" s="1"/>
  <c r="AI26" i="17" s="1"/>
  <c r="AJ26" i="17" s="1"/>
  <c r="AK26" i="17" s="1"/>
  <c r="AL26" i="17" s="1"/>
  <c r="AM26" i="17" s="1"/>
  <c r="AN26" i="17" s="1"/>
  <c r="AO26" i="17" s="1"/>
  <c r="AP26" i="17" s="1"/>
  <c r="AQ26" i="17" s="1"/>
  <c r="AR26" i="17" s="1"/>
  <c r="AS26" i="17" s="1"/>
  <c r="AT26" i="17" s="1"/>
  <c r="AU26" i="17" s="1"/>
  <c r="AV26" i="17" s="1"/>
  <c r="AW26" i="17" s="1"/>
  <c r="AX26" i="17" s="1"/>
  <c r="AY26" i="17" s="1"/>
  <c r="AZ26" i="17" s="1"/>
  <c r="BA26" i="17" s="1"/>
  <c r="BB26" i="17" s="1"/>
  <c r="BC26" i="17" s="1"/>
  <c r="BD26" i="17" s="1"/>
  <c r="BE26" i="17" s="1"/>
  <c r="BF26" i="17" s="1"/>
  <c r="BG26" i="17" s="1"/>
  <c r="BH26" i="17" s="1"/>
  <c r="BI26" i="17" s="1"/>
  <c r="BJ26" i="17" s="1"/>
  <c r="BK26" i="17" s="1"/>
  <c r="BL26" i="17" s="1"/>
  <c r="BM26" i="17" s="1"/>
  <c r="BN26" i="17" s="1"/>
  <c r="BO26" i="17" s="1"/>
  <c r="BP26" i="17" s="1"/>
  <c r="BQ26" i="17" s="1"/>
  <c r="BR26" i="17" s="1"/>
  <c r="BS26" i="17" s="1"/>
  <c r="BT26" i="17" s="1"/>
  <c r="BU26" i="17" s="1"/>
  <c r="BV26" i="17" s="1"/>
  <c r="BW26" i="17" s="1"/>
  <c r="BX26" i="17" s="1"/>
  <c r="BY26" i="17" s="1"/>
  <c r="BZ26" i="17" s="1"/>
  <c r="CA26" i="17" s="1"/>
  <c r="CB26" i="17" s="1"/>
  <c r="CC26" i="17" s="1"/>
  <c r="CD26" i="17" s="1"/>
  <c r="CE26" i="17" s="1"/>
  <c r="CF26" i="17" s="1"/>
  <c r="CG26" i="17" s="1"/>
  <c r="CH26" i="17" s="1"/>
  <c r="CI26" i="17" s="1"/>
  <c r="CJ26" i="17" s="1"/>
  <c r="CK26" i="17" s="1"/>
  <c r="CL26" i="17" s="1"/>
  <c r="CM26" i="17" s="1"/>
  <c r="CN26" i="17" s="1"/>
  <c r="CO26" i="17" s="1"/>
  <c r="CP26" i="17" s="1"/>
  <c r="CQ26" i="17" s="1"/>
  <c r="CR26" i="17" s="1"/>
  <c r="CS26" i="17" s="1"/>
  <c r="CT26" i="17" s="1"/>
  <c r="CU26" i="17" s="1"/>
  <c r="CV26" i="17" s="1"/>
  <c r="CW26" i="17" s="1"/>
  <c r="CX26" i="17" s="1"/>
  <c r="CY26" i="17" s="1"/>
  <c r="CZ26" i="17" s="1"/>
  <c r="DA26" i="17" s="1"/>
  <c r="DB26" i="17" s="1"/>
  <c r="DC26" i="17" s="1"/>
  <c r="DD26" i="17" s="1"/>
  <c r="DE26" i="17" s="1"/>
  <c r="DF26" i="17" s="1"/>
  <c r="DG26" i="17" s="1"/>
  <c r="DH26" i="17" s="1"/>
  <c r="DI26" i="17" s="1"/>
  <c r="DJ26" i="17" s="1"/>
  <c r="DK26" i="17" s="1"/>
  <c r="DL26" i="17" s="1"/>
  <c r="X269" i="17"/>
  <c r="Y269" i="17" s="1"/>
  <c r="Z269" i="17" s="1"/>
  <c r="AA269" i="17" s="1"/>
  <c r="AB269" i="17" s="1"/>
  <c r="AC269" i="17" s="1"/>
  <c r="AD269" i="17" s="1"/>
  <c r="AE269" i="17" s="1"/>
  <c r="AF269" i="17" s="1"/>
  <c r="AG269" i="17" s="1"/>
  <c r="AH269" i="17" s="1"/>
  <c r="AI269" i="17" s="1"/>
  <c r="AJ269" i="17" s="1"/>
  <c r="AK269" i="17" s="1"/>
  <c r="AL269" i="17" s="1"/>
  <c r="AM269" i="17" s="1"/>
  <c r="AN269" i="17" s="1"/>
  <c r="AO269" i="17" s="1"/>
  <c r="AP269" i="17" s="1"/>
  <c r="AQ269" i="17" s="1"/>
  <c r="AR269" i="17" s="1"/>
  <c r="AS269" i="17" s="1"/>
  <c r="AT269" i="17" s="1"/>
  <c r="AU269" i="17" s="1"/>
  <c r="AV269" i="17" s="1"/>
  <c r="AW269" i="17" s="1"/>
  <c r="AX269" i="17" s="1"/>
  <c r="AY269" i="17" s="1"/>
  <c r="AZ269" i="17" s="1"/>
  <c r="BA269" i="17" s="1"/>
  <c r="BB269" i="17" s="1"/>
  <c r="BC269" i="17" s="1"/>
  <c r="BD269" i="17" s="1"/>
  <c r="BE269" i="17" s="1"/>
  <c r="BF269" i="17" s="1"/>
  <c r="BG269" i="17" s="1"/>
  <c r="BH269" i="17" s="1"/>
  <c r="BI269" i="17" s="1"/>
  <c r="Y20" i="17"/>
  <c r="AB276" i="17"/>
  <c r="AC276" i="17" s="1"/>
  <c r="AD276" i="17" s="1"/>
  <c r="AE276" i="17" s="1"/>
  <c r="AF276" i="17" s="1"/>
  <c r="AG276" i="17" s="1"/>
  <c r="AH276" i="17" s="1"/>
  <c r="AI276" i="17" s="1"/>
  <c r="AJ276" i="17" s="1"/>
  <c r="AK276" i="17" s="1"/>
  <c r="AL276" i="17" s="1"/>
  <c r="AM276" i="17" s="1"/>
  <c r="AN276" i="17" s="1"/>
  <c r="AO276" i="17" s="1"/>
  <c r="AP276" i="17" s="1"/>
  <c r="AQ276" i="17" s="1"/>
  <c r="AR276" i="17" s="1"/>
  <c r="AS276" i="17" s="1"/>
  <c r="AT276" i="17" s="1"/>
  <c r="AU276" i="17" s="1"/>
  <c r="AV276" i="17" s="1"/>
  <c r="AW276" i="17" s="1"/>
  <c r="AX276" i="17" s="1"/>
  <c r="AY276" i="17" s="1"/>
  <c r="AZ276" i="17" s="1"/>
  <c r="BA276" i="17" s="1"/>
  <c r="BB276" i="17" s="1"/>
  <c r="BC276" i="17" s="1"/>
  <c r="BD276" i="17" s="1"/>
  <c r="BE276" i="17" s="1"/>
  <c r="BF276" i="17" s="1"/>
  <c r="BG276" i="17" s="1"/>
  <c r="BH276" i="17" s="1"/>
  <c r="BI276" i="17" s="1"/>
  <c r="BJ276" i="17" s="1"/>
  <c r="BK276" i="17" s="1"/>
  <c r="BL276" i="17" s="1"/>
  <c r="BM276" i="17" s="1"/>
  <c r="BN276" i="17" s="1"/>
  <c r="BO276" i="17" s="1"/>
  <c r="BP276" i="17" s="1"/>
  <c r="BQ276" i="17" s="1"/>
  <c r="BR276" i="17" s="1"/>
  <c r="BS276" i="17" s="1"/>
  <c r="BT276" i="17" s="1"/>
  <c r="BU276" i="17" s="1"/>
  <c r="BV276" i="17" s="1"/>
  <c r="BW276" i="17" s="1"/>
  <c r="BX276" i="17" s="1"/>
  <c r="BY276" i="17" s="1"/>
  <c r="BZ276" i="17" s="1"/>
  <c r="CA276" i="17" s="1"/>
  <c r="CB276" i="17" s="1"/>
  <c r="CC276" i="17" s="1"/>
  <c r="CD276" i="17" s="1"/>
  <c r="CE276" i="17" s="1"/>
  <c r="CF276" i="17" s="1"/>
  <c r="CG276" i="17" s="1"/>
  <c r="CH276" i="17" s="1"/>
  <c r="CI276" i="17" s="1"/>
  <c r="CJ276" i="17" s="1"/>
  <c r="CK276" i="17" s="1"/>
  <c r="CL276" i="17" s="1"/>
  <c r="CM276" i="17" s="1"/>
  <c r="CN276" i="17" s="1"/>
  <c r="CO276" i="17" s="1"/>
  <c r="CP276" i="17" s="1"/>
  <c r="CQ276" i="17" s="1"/>
  <c r="CR276" i="17" s="1"/>
  <c r="CS276" i="17" s="1"/>
  <c r="CT276" i="17" s="1"/>
  <c r="CU276" i="17" s="1"/>
  <c r="CV276" i="17" s="1"/>
  <c r="CW276" i="17" s="1"/>
  <c r="CX276" i="17" s="1"/>
  <c r="CY276" i="17" s="1"/>
  <c r="CZ276" i="17" s="1"/>
  <c r="DA276" i="17" s="1"/>
  <c r="DB276" i="17" s="1"/>
  <c r="DC276" i="17" s="1"/>
  <c r="DD276" i="17" s="1"/>
  <c r="DE276" i="17" s="1"/>
  <c r="DF276" i="17" s="1"/>
  <c r="DG276" i="17" s="1"/>
  <c r="DH276" i="17" s="1"/>
  <c r="DI276" i="17" s="1"/>
  <c r="DJ276" i="17" s="1"/>
  <c r="DK276" i="17" s="1"/>
  <c r="DL276" i="17" s="1"/>
  <c r="Z282" i="17"/>
  <c r="AA282" i="17" s="1"/>
  <c r="AB282" i="17" s="1"/>
  <c r="W209" i="17"/>
  <c r="X209" i="17" s="1"/>
  <c r="Y209" i="17" s="1"/>
  <c r="Z209" i="17" s="1"/>
  <c r="AA209" i="17" s="1"/>
  <c r="AB209" i="17" s="1"/>
  <c r="AC209" i="17" s="1"/>
  <c r="AD209" i="17" s="1"/>
  <c r="AE209" i="17" s="1"/>
  <c r="AF209" i="17" s="1"/>
  <c r="AG209" i="17" s="1"/>
  <c r="AH209" i="17" s="1"/>
  <c r="AI209" i="17" s="1"/>
  <c r="AJ209" i="17" s="1"/>
  <c r="AK209" i="17" s="1"/>
  <c r="AL209" i="17" s="1"/>
  <c r="AM209" i="17" s="1"/>
  <c r="AN209" i="17" s="1"/>
  <c r="AO209" i="17" s="1"/>
  <c r="AP209" i="17" s="1"/>
  <c r="AQ209" i="17" s="1"/>
  <c r="AR209" i="17" s="1"/>
  <c r="AS209" i="17" s="1"/>
  <c r="AT209" i="17" s="1"/>
  <c r="AU209" i="17" s="1"/>
  <c r="AV209" i="17" s="1"/>
  <c r="AW209" i="17" s="1"/>
  <c r="AX209" i="17" s="1"/>
  <c r="AY209" i="17" s="1"/>
  <c r="AZ209" i="17" s="1"/>
  <c r="BA209" i="17" s="1"/>
  <c r="BB209" i="17" s="1"/>
  <c r="BC209" i="17" s="1"/>
  <c r="BD209" i="17" s="1"/>
  <c r="BE209" i="17" s="1"/>
  <c r="BF209" i="17" s="1"/>
  <c r="BG209" i="17" s="1"/>
  <c r="BH209" i="17" s="1"/>
  <c r="BI209" i="17" s="1"/>
  <c r="BJ209" i="17" s="1"/>
  <c r="BK209" i="17" s="1"/>
  <c r="BL209" i="17" s="1"/>
  <c r="BM209" i="17" s="1"/>
  <c r="BN209" i="17" s="1"/>
  <c r="BO209" i="17" s="1"/>
  <c r="BP209" i="17" s="1"/>
  <c r="BQ209" i="17" s="1"/>
  <c r="BR209" i="17" s="1"/>
  <c r="BS209" i="17" s="1"/>
  <c r="BT209" i="17" s="1"/>
  <c r="BU209" i="17" s="1"/>
  <c r="BV209" i="17" s="1"/>
  <c r="BW209" i="17" s="1"/>
  <c r="BX209" i="17" s="1"/>
  <c r="BY209" i="17" s="1"/>
  <c r="BZ209" i="17" s="1"/>
  <c r="CA209" i="17" s="1"/>
  <c r="CB209" i="17" s="1"/>
  <c r="CC209" i="17" s="1"/>
  <c r="CD209" i="17" s="1"/>
  <c r="CE209" i="17" s="1"/>
  <c r="CF209" i="17" s="1"/>
  <c r="CG209" i="17" s="1"/>
  <c r="CH209" i="17" s="1"/>
  <c r="CI209" i="17" s="1"/>
  <c r="CJ209" i="17" s="1"/>
  <c r="CK209" i="17" s="1"/>
  <c r="CL209" i="17" s="1"/>
  <c r="CM209" i="17" s="1"/>
  <c r="CN209" i="17" s="1"/>
  <c r="CO209" i="17" s="1"/>
  <c r="CP209" i="17" s="1"/>
  <c r="CQ209" i="17" s="1"/>
  <c r="CR209" i="17" s="1"/>
  <c r="CS209" i="17" s="1"/>
  <c r="CT209" i="17" s="1"/>
  <c r="CU209" i="17" s="1"/>
  <c r="CV209" i="17" s="1"/>
  <c r="CW209" i="17" s="1"/>
  <c r="CX209" i="17" s="1"/>
  <c r="CY209" i="17" s="1"/>
  <c r="CZ209" i="17" s="1"/>
  <c r="DA209" i="17" s="1"/>
  <c r="DB209" i="17" s="1"/>
  <c r="DC209" i="17" s="1"/>
  <c r="DD209" i="17" s="1"/>
  <c r="DE209" i="17" s="1"/>
  <c r="DF209" i="17" s="1"/>
  <c r="DG209" i="17" s="1"/>
  <c r="DH209" i="17" s="1"/>
  <c r="DI209" i="17" s="1"/>
  <c r="DJ209" i="17" s="1"/>
  <c r="DK209" i="17" s="1"/>
  <c r="DL209" i="17" s="1"/>
  <c r="X227" i="17"/>
  <c r="Y227" i="17" s="1"/>
  <c r="Z227" i="17" s="1"/>
  <c r="AA227" i="17" s="1"/>
  <c r="AB227" i="17" s="1"/>
  <c r="AC227" i="17" s="1"/>
  <c r="AD227" i="17" s="1"/>
  <c r="AE227" i="17" s="1"/>
  <c r="AF227" i="17" s="1"/>
  <c r="AG227" i="17" s="1"/>
  <c r="AH227" i="17" s="1"/>
  <c r="AI227" i="17" s="1"/>
  <c r="AJ227" i="17" s="1"/>
  <c r="AK227" i="17" s="1"/>
  <c r="AL227" i="17" s="1"/>
  <c r="AM227" i="17" s="1"/>
  <c r="W241" i="17"/>
  <c r="X241" i="17" s="1"/>
  <c r="Z184" i="17"/>
  <c r="AA184" i="17" s="1"/>
  <c r="AB184" i="17" s="1"/>
  <c r="AC184" i="17" s="1"/>
  <c r="AD184" i="17" s="1"/>
  <c r="AE184" i="17" s="1"/>
  <c r="AF184" i="17" s="1"/>
  <c r="AG184" i="17" s="1"/>
  <c r="AH184" i="17" s="1"/>
  <c r="AI184" i="17" s="1"/>
  <c r="AJ184" i="17" s="1"/>
  <c r="AK184" i="17" s="1"/>
  <c r="AL184" i="17" s="1"/>
  <c r="AM184" i="17" s="1"/>
  <c r="AN184" i="17" s="1"/>
  <c r="AA25" i="17"/>
  <c r="AB25" i="17" s="1"/>
  <c r="AC25" i="17" s="1"/>
  <c r="AD25" i="17" s="1"/>
  <c r="AE25" i="17" s="1"/>
  <c r="AF25" i="17" s="1"/>
  <c r="AG25" i="17" s="1"/>
  <c r="AH25" i="17" s="1"/>
  <c r="AI25" i="17" s="1"/>
  <c r="AJ25" i="17" s="1"/>
  <c r="AK25" i="17" s="1"/>
  <c r="AL25" i="17" s="1"/>
  <c r="AM25" i="17" s="1"/>
  <c r="AN25" i="17" s="1"/>
  <c r="AO25" i="17" s="1"/>
  <c r="AP25" i="17" s="1"/>
  <c r="AQ25" i="17" s="1"/>
  <c r="AR25" i="17" s="1"/>
  <c r="AS25" i="17" s="1"/>
  <c r="AT25" i="17" s="1"/>
  <c r="AU25" i="17" s="1"/>
  <c r="Y242" i="17"/>
  <c r="Z242" i="17" s="1"/>
  <c r="AA242" i="17" s="1"/>
  <c r="AB242" i="17" s="1"/>
  <c r="AC242" i="17" s="1"/>
  <c r="AD242" i="17" s="1"/>
  <c r="AE242" i="17" s="1"/>
  <c r="AF242" i="17" s="1"/>
  <c r="AG242" i="17" s="1"/>
  <c r="AH242" i="17" s="1"/>
  <c r="AI242" i="17" s="1"/>
  <c r="AJ242" i="17" s="1"/>
  <c r="AK242" i="17" s="1"/>
  <c r="AL242" i="17" s="1"/>
  <c r="Z92" i="17"/>
  <c r="AA92" i="17" s="1"/>
  <c r="AB92" i="17" s="1"/>
  <c r="Z10" i="17"/>
  <c r="AA10" i="17" s="1"/>
  <c r="AB10" i="17" s="1"/>
  <c r="AC10" i="17" s="1"/>
  <c r="AD10" i="17" s="1"/>
  <c r="AE10" i="17" s="1"/>
  <c r="W226" i="17"/>
  <c r="X226" i="17" s="1"/>
  <c r="Y226" i="17" s="1"/>
  <c r="W119" i="17"/>
  <c r="X119" i="17" s="1"/>
  <c r="Y119" i="17" s="1"/>
  <c r="Z119" i="17" s="1"/>
  <c r="Z141" i="17"/>
  <c r="AA141" i="17" s="1"/>
  <c r="AB141" i="17" s="1"/>
  <c r="AC141" i="17" s="1"/>
  <c r="AD141" i="17" s="1"/>
  <c r="AE141" i="17" s="1"/>
  <c r="AF141" i="17" s="1"/>
  <c r="AG141" i="17" s="1"/>
  <c r="AH141" i="17" s="1"/>
  <c r="AI141" i="17" s="1"/>
  <c r="AJ141" i="17" s="1"/>
  <c r="V279" i="17"/>
  <c r="W279" i="17" s="1"/>
  <c r="W213" i="17"/>
  <c r="X165" i="17"/>
  <c r="Y165" i="17" s="1"/>
  <c r="Z165" i="17" s="1"/>
  <c r="AA165" i="17" s="1"/>
  <c r="AB165" i="17" s="1"/>
  <c r="AC165" i="17" s="1"/>
  <c r="AD165" i="17" s="1"/>
  <c r="AE165" i="17" s="1"/>
  <c r="AF165" i="17" s="1"/>
  <c r="AG165" i="17" s="1"/>
  <c r="AH165" i="17" s="1"/>
  <c r="AI165" i="17" s="1"/>
  <c r="AJ165" i="17" s="1"/>
  <c r="AK165" i="17" s="1"/>
  <c r="AL165" i="17" s="1"/>
  <c r="AM165" i="17" s="1"/>
  <c r="AN165" i="17" s="1"/>
  <c r="AO165" i="17" s="1"/>
  <c r="AP165" i="17" s="1"/>
  <c r="AQ165" i="17" s="1"/>
  <c r="AR165" i="17" s="1"/>
  <c r="AS165" i="17" s="1"/>
  <c r="AT165" i="17" s="1"/>
  <c r="AU165" i="17" s="1"/>
  <c r="AV165" i="17" s="1"/>
  <c r="AW165" i="17" s="1"/>
  <c r="AX165" i="17" s="1"/>
  <c r="AY165" i="17" s="1"/>
  <c r="AZ165" i="17" s="1"/>
  <c r="BA165" i="17" s="1"/>
  <c r="BB165" i="17" s="1"/>
  <c r="BC165" i="17" s="1"/>
  <c r="BD165" i="17" s="1"/>
  <c r="BE165" i="17" s="1"/>
  <c r="BF165" i="17" s="1"/>
  <c r="BG165" i="17" s="1"/>
  <c r="BH165" i="17" s="1"/>
  <c r="BI165" i="17" s="1"/>
  <c r="BJ165" i="17" s="1"/>
  <c r="BK165" i="17" s="1"/>
  <c r="BL165" i="17" s="1"/>
  <c r="BM165" i="17" s="1"/>
  <c r="BN165" i="17" s="1"/>
  <c r="BO165" i="17" s="1"/>
  <c r="BP165" i="17" s="1"/>
  <c r="BQ165" i="17" s="1"/>
  <c r="BR165" i="17" s="1"/>
  <c r="BS165" i="17" s="1"/>
  <c r="BT165" i="17" s="1"/>
  <c r="BU165" i="17" s="1"/>
  <c r="BV165" i="17" s="1"/>
  <c r="BW165" i="17" s="1"/>
  <c r="BX165" i="17" s="1"/>
  <c r="BY165" i="17" s="1"/>
  <c r="BZ165" i="17" s="1"/>
  <c r="CA165" i="17" s="1"/>
  <c r="CB165" i="17" s="1"/>
  <c r="CC165" i="17" s="1"/>
  <c r="CD165" i="17" s="1"/>
  <c r="CE165" i="17" s="1"/>
  <c r="CF165" i="17" s="1"/>
  <c r="CG165" i="17" s="1"/>
  <c r="CH165" i="17" s="1"/>
  <c r="CI165" i="17" s="1"/>
  <c r="CJ165" i="17" s="1"/>
  <c r="CK165" i="17" s="1"/>
  <c r="CL165" i="17" s="1"/>
  <c r="CM165" i="17" s="1"/>
  <c r="CN165" i="17" s="1"/>
  <c r="CO165" i="17" s="1"/>
  <c r="CP165" i="17" s="1"/>
  <c r="CQ165" i="17" s="1"/>
  <c r="CR165" i="17" s="1"/>
  <c r="CS165" i="17" s="1"/>
  <c r="CT165" i="17" s="1"/>
  <c r="CU165" i="17" s="1"/>
  <c r="CV165" i="17" s="1"/>
  <c r="CW165" i="17" s="1"/>
  <c r="CX165" i="17" s="1"/>
  <c r="CY165" i="17" s="1"/>
  <c r="CZ165" i="17" s="1"/>
  <c r="DA165" i="17" s="1"/>
  <c r="DB165" i="17" s="1"/>
  <c r="DC165" i="17" s="1"/>
  <c r="DD165" i="17" s="1"/>
  <c r="DE165" i="17" s="1"/>
  <c r="DF165" i="17" s="1"/>
  <c r="DG165" i="17" s="1"/>
  <c r="DH165" i="17" s="1"/>
  <c r="DI165" i="17" s="1"/>
  <c r="DJ165" i="17" s="1"/>
  <c r="DK165" i="17" s="1"/>
  <c r="DL165" i="17" s="1"/>
  <c r="V38" i="17"/>
  <c r="W74" i="17"/>
  <c r="W169" i="17"/>
  <c r="X169" i="17" s="1"/>
  <c r="Y169" i="17" s="1"/>
  <c r="Z169" i="17" s="1"/>
  <c r="AA169" i="17" s="1"/>
  <c r="AB169" i="17" s="1"/>
  <c r="V18" i="17"/>
  <c r="W18" i="17" s="1"/>
  <c r="X18" i="17" s="1"/>
  <c r="Y18" i="17" s="1"/>
  <c r="Z18" i="17" s="1"/>
  <c r="AA18" i="17" s="1"/>
  <c r="AB18" i="17" s="1"/>
  <c r="AC18" i="17" s="1"/>
  <c r="AD18" i="17" s="1"/>
  <c r="AE18" i="17" s="1"/>
  <c r="AF18" i="17" s="1"/>
  <c r="AG18" i="17" s="1"/>
  <c r="AH18" i="17" s="1"/>
  <c r="AI18" i="17" s="1"/>
  <c r="AJ18" i="17" s="1"/>
  <c r="AK18" i="17" s="1"/>
  <c r="AL18" i="17" s="1"/>
  <c r="AM18" i="17" s="1"/>
  <c r="AN18" i="17" s="1"/>
  <c r="AO18" i="17" s="1"/>
  <c r="AP18" i="17" s="1"/>
  <c r="AQ18" i="17" s="1"/>
  <c r="AR18" i="17" s="1"/>
  <c r="AS18" i="17" s="1"/>
  <c r="AT18" i="17" s="1"/>
  <c r="AU18" i="17" s="1"/>
  <c r="AV18" i="17" s="1"/>
  <c r="AW18" i="17" s="1"/>
  <c r="AX18" i="17" s="1"/>
  <c r="AY18" i="17" s="1"/>
  <c r="AZ18" i="17" s="1"/>
  <c r="BA18" i="17" s="1"/>
  <c r="BB18" i="17" s="1"/>
  <c r="BC18" i="17" s="1"/>
  <c r="BD18" i="17" s="1"/>
  <c r="BE18" i="17" s="1"/>
  <c r="BF18" i="17" s="1"/>
  <c r="BG18" i="17" s="1"/>
  <c r="BH18" i="17" s="1"/>
  <c r="BI18" i="17" s="1"/>
  <c r="BJ18" i="17" s="1"/>
  <c r="BK18" i="17" s="1"/>
  <c r="BL18" i="17" s="1"/>
  <c r="BM18" i="17" s="1"/>
  <c r="BN18" i="17" s="1"/>
  <c r="BO18" i="17" s="1"/>
  <c r="BP18" i="17" s="1"/>
  <c r="BQ18" i="17" s="1"/>
  <c r="BR18" i="17" s="1"/>
  <c r="BS18" i="17" s="1"/>
  <c r="BT18" i="17" s="1"/>
  <c r="BU18" i="17" s="1"/>
  <c r="BV18" i="17" s="1"/>
  <c r="BW18" i="17" s="1"/>
  <c r="BX18" i="17" s="1"/>
  <c r="BY18" i="17" s="1"/>
  <c r="BZ18" i="17" s="1"/>
  <c r="CA18" i="17" s="1"/>
  <c r="CB18" i="17" s="1"/>
  <c r="CC18" i="17" s="1"/>
  <c r="CD18" i="17" s="1"/>
  <c r="CE18" i="17" s="1"/>
  <c r="CF18" i="17" s="1"/>
  <c r="CG18" i="17" s="1"/>
  <c r="CH18" i="17" s="1"/>
  <c r="CI18" i="17" s="1"/>
  <c r="CJ18" i="17" s="1"/>
  <c r="CK18" i="17" s="1"/>
  <c r="CL18" i="17" s="1"/>
  <c r="CM18" i="17" s="1"/>
  <c r="CN18" i="17" s="1"/>
  <c r="CO18" i="17" s="1"/>
  <c r="CP18" i="17" s="1"/>
  <c r="CQ18" i="17" s="1"/>
  <c r="CR18" i="17" s="1"/>
  <c r="CS18" i="17" s="1"/>
  <c r="CT18" i="17" s="1"/>
  <c r="CU18" i="17" s="1"/>
  <c r="CV18" i="17" s="1"/>
  <c r="CW18" i="17" s="1"/>
  <c r="CX18" i="17" s="1"/>
  <c r="CY18" i="17" s="1"/>
  <c r="CZ18" i="17" s="1"/>
  <c r="DA18" i="17" s="1"/>
  <c r="DB18" i="17" s="1"/>
  <c r="DC18" i="17" s="1"/>
  <c r="DD18" i="17" s="1"/>
  <c r="DE18" i="17" s="1"/>
  <c r="DF18" i="17" s="1"/>
  <c r="DG18" i="17" s="1"/>
  <c r="DH18" i="17" s="1"/>
  <c r="DI18" i="17" s="1"/>
  <c r="DJ18" i="17" s="1"/>
  <c r="DK18" i="17" s="1"/>
  <c r="DL18" i="17" s="1"/>
  <c r="U53" i="17"/>
  <c r="V53" i="17" s="1"/>
  <c r="W53" i="17" s="1"/>
  <c r="X53" i="17" s="1"/>
  <c r="Y53" i="17" s="1"/>
  <c r="Z53" i="17" s="1"/>
  <c r="AA53" i="17" s="1"/>
  <c r="AB53" i="17" s="1"/>
  <c r="AC53" i="17" s="1"/>
  <c r="AD53" i="17" s="1"/>
  <c r="AE53" i="17" s="1"/>
  <c r="AF53" i="17" s="1"/>
  <c r="AG53" i="17" s="1"/>
  <c r="Y255" i="17"/>
  <c r="Y160" i="17"/>
  <c r="W275" i="17"/>
  <c r="AB190" i="17"/>
  <c r="AC190" i="17" s="1"/>
  <c r="AD190" i="17" s="1"/>
  <c r="AE190" i="17" s="1"/>
  <c r="AF190" i="17" s="1"/>
  <c r="AG190" i="17" s="1"/>
  <c r="AH190" i="17" s="1"/>
  <c r="AI190" i="17" s="1"/>
  <c r="AJ190" i="17" s="1"/>
  <c r="AK190" i="17" s="1"/>
  <c r="AL190" i="17" s="1"/>
  <c r="AM190" i="17" s="1"/>
  <c r="AN190" i="17" s="1"/>
  <c r="V183" i="17"/>
  <c r="W205" i="17"/>
  <c r="Z277" i="17"/>
  <c r="Z34" i="17"/>
  <c r="W204" i="17"/>
  <c r="X204" i="17" s="1"/>
  <c r="Y204" i="17" s="1"/>
  <c r="Z204" i="17" s="1"/>
  <c r="AA204" i="17" s="1"/>
  <c r="AB204" i="17" s="1"/>
  <c r="AC204" i="17" s="1"/>
  <c r="AD204" i="17" s="1"/>
  <c r="AE204" i="17" s="1"/>
  <c r="AF204" i="17" s="1"/>
  <c r="AG204" i="17" s="1"/>
  <c r="AH204" i="17" s="1"/>
  <c r="AI204" i="17" s="1"/>
  <c r="AJ204" i="17" s="1"/>
  <c r="AK204" i="17" s="1"/>
  <c r="AL204" i="17" s="1"/>
  <c r="AM204" i="17" s="1"/>
  <c r="AN204" i="17" s="1"/>
  <c r="AO204" i="17" s="1"/>
  <c r="AP204" i="17" s="1"/>
  <c r="AQ204" i="17" s="1"/>
  <c r="AR204" i="17" s="1"/>
  <c r="AS204" i="17" s="1"/>
  <c r="AT204" i="17" s="1"/>
  <c r="AU204" i="17" s="1"/>
  <c r="AV204" i="17" s="1"/>
  <c r="AW204" i="17" s="1"/>
  <c r="AX204" i="17" s="1"/>
  <c r="AY204" i="17" s="1"/>
  <c r="AZ204" i="17" s="1"/>
  <c r="BA204" i="17" s="1"/>
  <c r="BB204" i="17" s="1"/>
  <c r="BC204" i="17" s="1"/>
  <c r="BD204" i="17" s="1"/>
  <c r="BE204" i="17" s="1"/>
  <c r="BF204" i="17" s="1"/>
  <c r="BG204" i="17" s="1"/>
  <c r="BH204" i="17" s="1"/>
  <c r="BI204" i="17" s="1"/>
  <c r="BJ204" i="17" s="1"/>
  <c r="BK204" i="17" s="1"/>
  <c r="BL204" i="17" s="1"/>
  <c r="BM204" i="17" s="1"/>
  <c r="BN204" i="17" s="1"/>
  <c r="BO204" i="17" s="1"/>
  <c r="BP204" i="17" s="1"/>
  <c r="BQ204" i="17" s="1"/>
  <c r="BR204" i="17" s="1"/>
  <c r="BS204" i="17" s="1"/>
  <c r="BT204" i="17" s="1"/>
  <c r="BU204" i="17" s="1"/>
  <c r="BV204" i="17" s="1"/>
  <c r="BW204" i="17" s="1"/>
  <c r="BX204" i="17" s="1"/>
  <c r="BY204" i="17" s="1"/>
  <c r="BZ204" i="17" s="1"/>
  <c r="CA204" i="17" s="1"/>
  <c r="CB204" i="17" s="1"/>
  <c r="CC204" i="17" s="1"/>
  <c r="CD204" i="17" s="1"/>
  <c r="CE204" i="17" s="1"/>
  <c r="CF204" i="17" s="1"/>
  <c r="CG204" i="17" s="1"/>
  <c r="CH204" i="17" s="1"/>
  <c r="CI204" i="17" s="1"/>
  <c r="CJ204" i="17" s="1"/>
  <c r="CK204" i="17" s="1"/>
  <c r="CL204" i="17" s="1"/>
  <c r="CM204" i="17" s="1"/>
  <c r="CN204" i="17" s="1"/>
  <c r="CO204" i="17" s="1"/>
  <c r="CP204" i="17" s="1"/>
  <c r="CQ204" i="17" s="1"/>
  <c r="CR204" i="17" s="1"/>
  <c r="CS204" i="17" s="1"/>
  <c r="CT204" i="17" s="1"/>
  <c r="CU204" i="17" s="1"/>
  <c r="CV204" i="17" s="1"/>
  <c r="CW204" i="17" s="1"/>
  <c r="CX204" i="17" s="1"/>
  <c r="CY204" i="17" s="1"/>
  <c r="CZ204" i="17" s="1"/>
  <c r="DA204" i="17" s="1"/>
  <c r="DB204" i="17" s="1"/>
  <c r="DC204" i="17" s="1"/>
  <c r="DD204" i="17" s="1"/>
  <c r="DE204" i="17" s="1"/>
  <c r="DF204" i="17" s="1"/>
  <c r="DG204" i="17" s="1"/>
  <c r="DH204" i="17" s="1"/>
  <c r="DI204" i="17" s="1"/>
  <c r="DJ204" i="17" s="1"/>
  <c r="DK204" i="17" s="1"/>
  <c r="DL204" i="17" s="1"/>
  <c r="W124" i="17"/>
  <c r="X124" i="17" s="1"/>
  <c r="Y124" i="17" s="1"/>
  <c r="Z124" i="17" s="1"/>
  <c r="AA124" i="17" s="1"/>
  <c r="AB124" i="17" s="1"/>
  <c r="AC124" i="17" s="1"/>
  <c r="AD124" i="17" s="1"/>
  <c r="AE124" i="17" s="1"/>
  <c r="AF124" i="17" s="1"/>
  <c r="AG124" i="17" s="1"/>
  <c r="Y262" i="17"/>
  <c r="Z262" i="17" s="1"/>
  <c r="V264" i="17"/>
  <c r="W264" i="17" s="1"/>
  <c r="X264" i="17" s="1"/>
  <c r="Y264" i="17" s="1"/>
  <c r="Z264" i="17" s="1"/>
  <c r="AA264" i="17" s="1"/>
  <c r="AB264" i="17" s="1"/>
  <c r="AC264" i="17" s="1"/>
  <c r="AD264" i="17" s="1"/>
  <c r="AE264" i="17" s="1"/>
  <c r="AF264" i="17" s="1"/>
  <c r="AG264" i="17" s="1"/>
  <c r="AH264" i="17" s="1"/>
  <c r="AI264" i="17" s="1"/>
  <c r="AJ264" i="17" s="1"/>
  <c r="AK264" i="17" s="1"/>
  <c r="AL264" i="17" s="1"/>
  <c r="AM264" i="17" s="1"/>
  <c r="AN264" i="17" s="1"/>
  <c r="AO264" i="17" s="1"/>
  <c r="AP264" i="17" s="1"/>
  <c r="AQ264" i="17" s="1"/>
  <c r="AR264" i="17" s="1"/>
  <c r="AS264" i="17" s="1"/>
  <c r="AT264" i="17" s="1"/>
  <c r="AU264" i="17" s="1"/>
  <c r="AV264" i="17" s="1"/>
  <c r="AW264" i="17" s="1"/>
  <c r="AX264" i="17" s="1"/>
  <c r="AY264" i="17" s="1"/>
  <c r="AZ264" i="17" s="1"/>
  <c r="BA264" i="17" s="1"/>
  <c r="BB264" i="17" s="1"/>
  <c r="BC264" i="17" s="1"/>
  <c r="BD264" i="17" s="1"/>
  <c r="BE264" i="17" s="1"/>
  <c r="BF264" i="17" s="1"/>
  <c r="BG264" i="17" s="1"/>
  <c r="BH264" i="17" s="1"/>
  <c r="BI264" i="17" s="1"/>
  <c r="BJ264" i="17" s="1"/>
  <c r="BK264" i="17" s="1"/>
  <c r="BL264" i="17" s="1"/>
  <c r="BM264" i="17" s="1"/>
  <c r="BN264" i="17" s="1"/>
  <c r="BO264" i="17" s="1"/>
  <c r="BP264" i="17" s="1"/>
  <c r="BQ264" i="17" s="1"/>
  <c r="BR264" i="17" s="1"/>
  <c r="BS264" i="17" s="1"/>
  <c r="BT264" i="17" s="1"/>
  <c r="BU264" i="17" s="1"/>
  <c r="BV264" i="17" s="1"/>
  <c r="BW264" i="17" s="1"/>
  <c r="BX264" i="17" s="1"/>
  <c r="BY264" i="17" s="1"/>
  <c r="BZ264" i="17" s="1"/>
  <c r="CA264" i="17" s="1"/>
  <c r="CB264" i="17" s="1"/>
  <c r="CC264" i="17" s="1"/>
  <c r="CD264" i="17" s="1"/>
  <c r="CE264" i="17" s="1"/>
  <c r="CF264" i="17" s="1"/>
  <c r="CG264" i="17" s="1"/>
  <c r="CH264" i="17" s="1"/>
  <c r="CI264" i="17" s="1"/>
  <c r="CJ264" i="17" s="1"/>
  <c r="CK264" i="17" s="1"/>
  <c r="CL264" i="17" s="1"/>
  <c r="CM264" i="17" s="1"/>
  <c r="CN264" i="17" s="1"/>
  <c r="CO264" i="17" s="1"/>
  <c r="CP264" i="17" s="1"/>
  <c r="CQ264" i="17" s="1"/>
  <c r="W83" i="17"/>
  <c r="AA200" i="17"/>
  <c r="AB200" i="17" s="1"/>
  <c r="AC200" i="17" s="1"/>
  <c r="AD200" i="17" s="1"/>
  <c r="AE200" i="17" s="1"/>
  <c r="AF200" i="17" s="1"/>
  <c r="AG200" i="17" s="1"/>
  <c r="AH200" i="17" s="1"/>
  <c r="Y139" i="17"/>
  <c r="W302" i="17"/>
  <c r="X302" i="17" s="1"/>
  <c r="Y302" i="17" s="1"/>
  <c r="Z302" i="17" s="1"/>
  <c r="AA302" i="17" s="1"/>
  <c r="AB302" i="17" s="1"/>
  <c r="AC302" i="17" s="1"/>
  <c r="AD302" i="17" s="1"/>
  <c r="AE302" i="17" s="1"/>
  <c r="AF302" i="17" s="1"/>
  <c r="AG302" i="17" s="1"/>
  <c r="AH302" i="17" s="1"/>
  <c r="AI302" i="17" s="1"/>
  <c r="AJ302" i="17" s="1"/>
  <c r="AK302" i="17" s="1"/>
  <c r="AL302" i="17" s="1"/>
  <c r="AM302" i="17" s="1"/>
  <c r="AN302" i="17" s="1"/>
  <c r="AO302" i="17" s="1"/>
  <c r="AP302" i="17" s="1"/>
  <c r="AQ302" i="17" s="1"/>
  <c r="AR302" i="17" s="1"/>
  <c r="AS302" i="17" s="1"/>
  <c r="AT302" i="17" s="1"/>
  <c r="AU302" i="17" s="1"/>
  <c r="AV302" i="17" s="1"/>
  <c r="AW302" i="17" s="1"/>
  <c r="AX302" i="17" s="1"/>
  <c r="AY302" i="17" s="1"/>
  <c r="AZ302" i="17" s="1"/>
  <c r="BA302" i="17" s="1"/>
  <c r="BB302" i="17" s="1"/>
  <c r="BC302" i="17" s="1"/>
  <c r="BD302" i="17" s="1"/>
  <c r="BE302" i="17" s="1"/>
  <c r="BF302" i="17" s="1"/>
  <c r="BG302" i="17" s="1"/>
  <c r="BH302" i="17" s="1"/>
  <c r="BI302" i="17" s="1"/>
  <c r="BJ302" i="17" s="1"/>
  <c r="BK302" i="17" s="1"/>
  <c r="BL302" i="17" s="1"/>
  <c r="BM302" i="17" s="1"/>
  <c r="BN302" i="17" s="1"/>
  <c r="BO302" i="17" s="1"/>
  <c r="BP302" i="17" s="1"/>
  <c r="BQ302" i="17" s="1"/>
  <c r="BR302" i="17" s="1"/>
  <c r="BS302" i="17" s="1"/>
  <c r="BT302" i="17" s="1"/>
  <c r="BU302" i="17" s="1"/>
  <c r="BV302" i="17" s="1"/>
  <c r="BW302" i="17" s="1"/>
  <c r="BX302" i="17" s="1"/>
  <c r="BY302" i="17" s="1"/>
  <c r="BZ302" i="17" s="1"/>
  <c r="CA302" i="17" s="1"/>
  <c r="CB302" i="17" s="1"/>
  <c r="CC302" i="17" s="1"/>
  <c r="CD302" i="17" s="1"/>
  <c r="CE302" i="17" s="1"/>
  <c r="CF302" i="17" s="1"/>
  <c r="CG302" i="17" s="1"/>
  <c r="CH302" i="17" s="1"/>
  <c r="CI302" i="17" s="1"/>
  <c r="CJ302" i="17" s="1"/>
  <c r="CK302" i="17" s="1"/>
  <c r="CL302" i="17" s="1"/>
  <c r="CM302" i="17" s="1"/>
  <c r="CN302" i="17" s="1"/>
  <c r="CO302" i="17" s="1"/>
  <c r="CP302" i="17" s="1"/>
  <c r="CQ302" i="17" s="1"/>
  <c r="CR302" i="17" s="1"/>
  <c r="CS302" i="17" s="1"/>
  <c r="CT302" i="17" s="1"/>
  <c r="CU302" i="17" s="1"/>
  <c r="CV302" i="17" s="1"/>
  <c r="CW302" i="17" s="1"/>
  <c r="CX302" i="17" s="1"/>
  <c r="CY302" i="17" s="1"/>
  <c r="CZ302" i="17" s="1"/>
  <c r="DA302" i="17" s="1"/>
  <c r="DB302" i="17" s="1"/>
  <c r="DC302" i="17" s="1"/>
  <c r="DD302" i="17" s="1"/>
  <c r="DE302" i="17" s="1"/>
  <c r="DF302" i="17" s="1"/>
  <c r="DG302" i="17" s="1"/>
  <c r="DH302" i="17" s="1"/>
  <c r="DI302" i="17" s="1"/>
  <c r="DJ302" i="17" s="1"/>
  <c r="DK302" i="17" s="1"/>
  <c r="DL302" i="17" s="1"/>
  <c r="Z91" i="17"/>
  <c r="AB294" i="17"/>
  <c r="AC294" i="17" s="1"/>
  <c r="AD294" i="17" s="1"/>
  <c r="AE294" i="17" s="1"/>
  <c r="AF294" i="17" s="1"/>
  <c r="AG294" i="17" s="1"/>
  <c r="AH294" i="17" s="1"/>
  <c r="AI294" i="17" s="1"/>
  <c r="AJ294" i="17" s="1"/>
  <c r="AK294" i="17" s="1"/>
  <c r="AL294" i="17" s="1"/>
  <c r="AM294" i="17" s="1"/>
  <c r="AN294" i="17" s="1"/>
  <c r="AO294" i="17" s="1"/>
  <c r="AP294" i="17" s="1"/>
  <c r="AQ294" i="17" s="1"/>
  <c r="AR294" i="17" s="1"/>
  <c r="AS294" i="17" s="1"/>
  <c r="AT294" i="17" s="1"/>
  <c r="AU294" i="17" s="1"/>
  <c r="AV294" i="17" s="1"/>
  <c r="AW294" i="17" s="1"/>
  <c r="AX294" i="17" s="1"/>
  <c r="AY294" i="17" s="1"/>
  <c r="AZ294" i="17" s="1"/>
  <c r="BA294" i="17" s="1"/>
  <c r="BB294" i="17" s="1"/>
  <c r="BC294" i="17" s="1"/>
  <c r="BD294" i="17" s="1"/>
  <c r="BE294" i="17" s="1"/>
  <c r="BF294" i="17" s="1"/>
  <c r="BG294" i="17" s="1"/>
  <c r="BH294" i="17" s="1"/>
  <c r="BI294" i="17" s="1"/>
  <c r="BJ294" i="17" s="1"/>
  <c r="BK294" i="17" s="1"/>
  <c r="BL294" i="17" s="1"/>
  <c r="BM294" i="17" s="1"/>
  <c r="BN294" i="17" s="1"/>
  <c r="BO294" i="17" s="1"/>
  <c r="BP294" i="17" s="1"/>
  <c r="BQ294" i="17" s="1"/>
  <c r="BR294" i="17" s="1"/>
  <c r="BS294" i="17" s="1"/>
  <c r="BT294" i="17" s="1"/>
  <c r="BU294" i="17" s="1"/>
  <c r="BV294" i="17" s="1"/>
  <c r="BW294" i="17" s="1"/>
  <c r="BX294" i="17" s="1"/>
  <c r="BY294" i="17" s="1"/>
  <c r="BZ294" i="17" s="1"/>
  <c r="CA294" i="17" s="1"/>
  <c r="CB294" i="17" s="1"/>
  <c r="CC294" i="17" s="1"/>
  <c r="CD294" i="17" s="1"/>
  <c r="CE294" i="17" s="1"/>
  <c r="CF294" i="17" s="1"/>
  <c r="CG294" i="17" s="1"/>
  <c r="CH294" i="17" s="1"/>
  <c r="CI294" i="17" s="1"/>
  <c r="CJ294" i="17" s="1"/>
  <c r="CK294" i="17" s="1"/>
  <c r="CL294" i="17" s="1"/>
  <c r="CM294" i="17" s="1"/>
  <c r="CN294" i="17" s="1"/>
  <c r="CO294" i="17" s="1"/>
  <c r="CP294" i="17" s="1"/>
  <c r="CQ294" i="17" s="1"/>
  <c r="CR294" i="17" s="1"/>
  <c r="CS294" i="17" s="1"/>
  <c r="CT294" i="17" s="1"/>
  <c r="CU294" i="17" s="1"/>
  <c r="CV294" i="17" s="1"/>
  <c r="CW294" i="17" s="1"/>
  <c r="CX294" i="17" s="1"/>
  <c r="CY294" i="17" s="1"/>
  <c r="CZ294" i="17" s="1"/>
  <c r="DA294" i="17" s="1"/>
  <c r="DB294" i="17" s="1"/>
  <c r="DC294" i="17" s="1"/>
  <c r="DD294" i="17" s="1"/>
  <c r="DE294" i="17" s="1"/>
  <c r="DF294" i="17" s="1"/>
  <c r="DG294" i="17" s="1"/>
  <c r="DH294" i="17" s="1"/>
  <c r="DI294" i="17" s="1"/>
  <c r="DJ294" i="17" s="1"/>
  <c r="DK294" i="17" s="1"/>
  <c r="DL294" i="17" s="1"/>
  <c r="X194" i="17"/>
  <c r="Z217" i="17"/>
  <c r="AA217" i="17" s="1"/>
  <c r="AB217" i="17" s="1"/>
  <c r="AC217" i="17" s="1"/>
  <c r="AD217" i="17" s="1"/>
  <c r="AE217" i="17" s="1"/>
  <c r="AF217" i="17" s="1"/>
  <c r="AG217" i="17" s="1"/>
  <c r="AH217" i="17" s="1"/>
  <c r="AI217" i="17" s="1"/>
  <c r="AJ217" i="17" s="1"/>
  <c r="AK217" i="17" s="1"/>
  <c r="AL217" i="17" s="1"/>
  <c r="AM217" i="17" s="1"/>
  <c r="AN217" i="17" s="1"/>
  <c r="AO217" i="17" s="1"/>
  <c r="AP217" i="17" s="1"/>
  <c r="AQ217" i="17" s="1"/>
  <c r="AR217" i="17" s="1"/>
  <c r="AS217" i="17" s="1"/>
  <c r="AT217" i="17" s="1"/>
  <c r="AU217" i="17" s="1"/>
  <c r="AV217" i="17" s="1"/>
  <c r="AW217" i="17" s="1"/>
  <c r="AX217" i="17" s="1"/>
  <c r="AY217" i="17" s="1"/>
  <c r="AZ217" i="17" s="1"/>
  <c r="BA217" i="17" s="1"/>
  <c r="BB217" i="17" s="1"/>
  <c r="BC217" i="17" s="1"/>
  <c r="BD217" i="17" s="1"/>
  <c r="V247" i="17"/>
  <c r="AA82" i="17"/>
  <c r="Y196" i="17"/>
  <c r="BE297" i="17"/>
  <c r="BF297" i="17" s="1"/>
  <c r="BG297" i="17" s="1"/>
  <c r="BH297" i="17" s="1"/>
  <c r="BI297" i="17" s="1"/>
  <c r="BJ297" i="17" s="1"/>
  <c r="BK297" i="17" s="1"/>
  <c r="BL297" i="17" s="1"/>
  <c r="BM297" i="17" s="1"/>
  <c r="BN297" i="17" s="1"/>
  <c r="BO297" i="17" s="1"/>
  <c r="BP297" i="17" s="1"/>
  <c r="BQ297" i="17" s="1"/>
  <c r="BR297" i="17" s="1"/>
  <c r="BS297" i="17" s="1"/>
  <c r="BT297" i="17" s="1"/>
  <c r="BU297" i="17" s="1"/>
  <c r="BV297" i="17" s="1"/>
  <c r="BW297" i="17" s="1"/>
  <c r="BX297" i="17" s="1"/>
  <c r="BY297" i="17" s="1"/>
  <c r="BZ297" i="17" s="1"/>
  <c r="CA297" i="17" s="1"/>
  <c r="CB297" i="17" s="1"/>
  <c r="CC297" i="17" s="1"/>
  <c r="CD297" i="17" s="1"/>
  <c r="CE297" i="17" s="1"/>
  <c r="CF297" i="17" s="1"/>
  <c r="CG297" i="17" s="1"/>
  <c r="CH297" i="17" s="1"/>
  <c r="CI297" i="17" s="1"/>
  <c r="CJ297" i="17" s="1"/>
  <c r="CK297" i="17" s="1"/>
  <c r="CL297" i="17" s="1"/>
  <c r="CM297" i="17" s="1"/>
  <c r="CN297" i="17" s="1"/>
  <c r="CO297" i="17" s="1"/>
  <c r="CP297" i="17" s="1"/>
  <c r="CQ297" i="17" s="1"/>
  <c r="CR297" i="17" s="1"/>
  <c r="CS297" i="17" s="1"/>
  <c r="CT297" i="17" s="1"/>
  <c r="CU297" i="17" s="1"/>
  <c r="CV297" i="17" s="1"/>
  <c r="CW297" i="17" s="1"/>
  <c r="CX297" i="17" s="1"/>
  <c r="CY297" i="17" s="1"/>
  <c r="CZ297" i="17" s="1"/>
  <c r="DA297" i="17" s="1"/>
  <c r="DB297" i="17" s="1"/>
  <c r="DC297" i="17" s="1"/>
  <c r="DD297" i="17" s="1"/>
  <c r="DE297" i="17" s="1"/>
  <c r="DF297" i="17" s="1"/>
  <c r="DG297" i="17" s="1"/>
  <c r="DH297" i="17" s="1"/>
  <c r="DI297" i="17" s="1"/>
  <c r="DJ297" i="17" s="1"/>
  <c r="DK297" i="17" s="1"/>
  <c r="DL297" i="17" s="1"/>
  <c r="X86" i="17"/>
  <c r="Y225" i="17"/>
  <c r="U174" i="17"/>
  <c r="V174" i="17" s="1"/>
  <c r="W174" i="17" s="1"/>
  <c r="X174" i="17" s="1"/>
  <c r="Y174" i="17" s="1"/>
  <c r="W35" i="17"/>
  <c r="Y107" i="17"/>
  <c r="X288" i="17"/>
  <c r="AB36" i="17"/>
  <c r="Y97" i="17"/>
  <c r="W252" i="17"/>
  <c r="Z147" i="17"/>
  <c r="AA147" i="17" s="1"/>
  <c r="AB147" i="17" s="1"/>
  <c r="AC147" i="17" s="1"/>
  <c r="AD147" i="17" s="1"/>
  <c r="AE147" i="17" s="1"/>
  <c r="AF147" i="17" s="1"/>
  <c r="AG147" i="17" s="1"/>
  <c r="AH147" i="17" s="1"/>
  <c r="AI147" i="17" s="1"/>
  <c r="AJ147" i="17" s="1"/>
  <c r="AK147" i="17" s="1"/>
  <c r="AL147" i="17" s="1"/>
  <c r="AM147" i="17" s="1"/>
  <c r="AN147" i="17" s="1"/>
  <c r="AO147" i="17" s="1"/>
  <c r="AP147" i="17" s="1"/>
  <c r="AQ147" i="17" s="1"/>
  <c r="AR147" i="17" s="1"/>
  <c r="AS147" i="17" s="1"/>
  <c r="AT147" i="17" s="1"/>
  <c r="AU147" i="17" s="1"/>
  <c r="AV147" i="17" s="1"/>
  <c r="AW147" i="17" s="1"/>
  <c r="AX147" i="17" s="1"/>
  <c r="AY147" i="17" s="1"/>
  <c r="AZ147" i="17" s="1"/>
  <c r="BA147" i="17" s="1"/>
  <c r="BB147" i="17" s="1"/>
  <c r="BC147" i="17" s="1"/>
  <c r="BD147" i="17" s="1"/>
  <c r="BE147" i="17" s="1"/>
  <c r="BF147" i="17" s="1"/>
  <c r="BG147" i="17" s="1"/>
  <c r="BH147" i="17" s="1"/>
  <c r="BI147" i="17" s="1"/>
  <c r="BJ147" i="17" s="1"/>
  <c r="BK147" i="17" s="1"/>
  <c r="Z77" i="17"/>
  <c r="BS65" i="17"/>
  <c r="BT65" i="17" s="1"/>
  <c r="BU65" i="17" s="1"/>
  <c r="BV65" i="17" s="1"/>
  <c r="BW65" i="17" s="1"/>
  <c r="BX65" i="17" s="1"/>
  <c r="BY65" i="17" s="1"/>
  <c r="BZ65" i="17" s="1"/>
  <c r="CA65" i="17" s="1"/>
  <c r="CB65" i="17" s="1"/>
  <c r="CC65" i="17" s="1"/>
  <c r="CD65" i="17" s="1"/>
  <c r="CE65" i="17" s="1"/>
  <c r="CF65" i="17" s="1"/>
  <c r="CG65" i="17" s="1"/>
  <c r="CH65" i="17" s="1"/>
  <c r="CI65" i="17" s="1"/>
  <c r="CJ65" i="17" s="1"/>
  <c r="CK65" i="17" s="1"/>
  <c r="CL65" i="17" s="1"/>
  <c r="CM65" i="17" s="1"/>
  <c r="CN65" i="17" s="1"/>
  <c r="CO65" i="17" s="1"/>
  <c r="CP65" i="17" s="1"/>
  <c r="CQ65" i="17" s="1"/>
  <c r="CR65" i="17" s="1"/>
  <c r="CS65" i="17" s="1"/>
  <c r="CT65" i="17" s="1"/>
  <c r="CU65" i="17" s="1"/>
  <c r="CV65" i="17" s="1"/>
  <c r="CW65" i="17" s="1"/>
  <c r="CX65" i="17" s="1"/>
  <c r="CY65" i="17" s="1"/>
  <c r="CZ65" i="17" s="1"/>
  <c r="DA65" i="17" s="1"/>
  <c r="DB65" i="17" s="1"/>
  <c r="DC65" i="17" s="1"/>
  <c r="DD65" i="17" s="1"/>
  <c r="DE65" i="17" s="1"/>
  <c r="DF65" i="17" s="1"/>
  <c r="DG65" i="17" s="1"/>
  <c r="DH65" i="17" s="1"/>
  <c r="DI65" i="17" s="1"/>
  <c r="DJ65" i="17" s="1"/>
  <c r="DK65" i="17" s="1"/>
  <c r="DL65" i="17" s="1"/>
  <c r="X69" i="17"/>
  <c r="Y259" i="17"/>
  <c r="W153" i="17"/>
  <c r="X153" i="17" s="1"/>
  <c r="Y153" i="17" s="1"/>
  <c r="Z153" i="17" s="1"/>
  <c r="AA153" i="17" s="1"/>
  <c r="AB153" i="17" s="1"/>
  <c r="AH280" i="17"/>
  <c r="AI280" i="17" s="1"/>
  <c r="AJ280" i="17" s="1"/>
  <c r="AK280" i="17" s="1"/>
  <c r="AL280" i="17" s="1"/>
  <c r="AM280" i="17" s="1"/>
  <c r="AN280" i="17" s="1"/>
  <c r="AO280" i="17" s="1"/>
  <c r="AP280" i="17" s="1"/>
  <c r="AQ280" i="17" s="1"/>
  <c r="W43" i="17"/>
  <c r="W44" i="17"/>
  <c r="Z17" i="17"/>
  <c r="Y105" i="17"/>
  <c r="Z115" i="17"/>
  <c r="V187" i="17"/>
  <c r="W187" i="17" s="1"/>
  <c r="X187" i="17"/>
  <c r="Y187" i="17" s="1"/>
  <c r="Z187" i="17" s="1"/>
  <c r="AA187" i="17" s="1"/>
  <c r="AB187" i="17" s="1"/>
  <c r="AC187" i="17" s="1"/>
  <c r="AD187" i="17" s="1"/>
  <c r="AE187" i="17" s="1"/>
  <c r="W273" i="17"/>
  <c r="U61" i="17"/>
  <c r="V41" i="17"/>
  <c r="U290" i="17"/>
  <c r="V16" i="17"/>
  <c r="X230" i="17"/>
  <c r="Y300" i="17"/>
  <c r="V283" i="17"/>
  <c r="V266" i="17"/>
  <c r="Z267" i="17"/>
  <c r="AA267" i="17" s="1"/>
  <c r="AB267" i="17" s="1"/>
  <c r="AC267" i="17" s="1"/>
  <c r="AD267" i="17" s="1"/>
  <c r="AE267" i="17" s="1"/>
  <c r="AF267" i="17" s="1"/>
  <c r="AG267" i="17" s="1"/>
  <c r="AH267" i="17" s="1"/>
  <c r="AI267" i="17" s="1"/>
  <c r="AJ267" i="17" s="1"/>
  <c r="AK267" i="17" s="1"/>
  <c r="AL267" i="17" s="1"/>
  <c r="AM267" i="17" s="1"/>
  <c r="AN267" i="17" s="1"/>
  <c r="AO267" i="17" s="1"/>
  <c r="AP267" i="17" s="1"/>
  <c r="AQ267" i="17" s="1"/>
  <c r="AR267" i="17" s="1"/>
  <c r="AS267" i="17" s="1"/>
  <c r="AT267" i="17" s="1"/>
  <c r="AU267" i="17" s="1"/>
  <c r="AV267" i="17" s="1"/>
  <c r="AW267" i="17" s="1"/>
  <c r="AX267" i="17" s="1"/>
  <c r="AY267" i="17" s="1"/>
  <c r="AZ267" i="17" s="1"/>
  <c r="BA267" i="17" s="1"/>
  <c r="BB267" i="17" s="1"/>
  <c r="BC267" i="17" s="1"/>
  <c r="BD267" i="17" s="1"/>
  <c r="BE267" i="17" s="1"/>
  <c r="BF267" i="17" s="1"/>
  <c r="BG267" i="17" s="1"/>
  <c r="BH267" i="17" s="1"/>
  <c r="BI267" i="17" s="1"/>
  <c r="BJ267" i="17" s="1"/>
  <c r="BK267" i="17" s="1"/>
  <c r="BL267" i="17" s="1"/>
  <c r="BM267" i="17" s="1"/>
  <c r="BN267" i="17" s="1"/>
  <c r="BO267" i="17" s="1"/>
  <c r="BP267" i="17" s="1"/>
  <c r="BQ267" i="17" s="1"/>
  <c r="BR267" i="17" s="1"/>
  <c r="BS267" i="17" s="1"/>
  <c r="BT267" i="17" s="1"/>
  <c r="BU267" i="17" s="1"/>
  <c r="BV267" i="17" s="1"/>
  <c r="BW267" i="17" s="1"/>
  <c r="BX267" i="17" s="1"/>
  <c r="BY267" i="17" s="1"/>
  <c r="BZ267" i="17" s="1"/>
  <c r="CA267" i="17" s="1"/>
  <c r="CB267" i="17" s="1"/>
  <c r="CC267" i="17" s="1"/>
  <c r="CD267" i="17" s="1"/>
  <c r="CE267" i="17" s="1"/>
  <c r="CF267" i="17" s="1"/>
  <c r="CG267" i="17" s="1"/>
  <c r="CH267" i="17" s="1"/>
  <c r="CI267" i="17" s="1"/>
  <c r="CJ267" i="17" s="1"/>
  <c r="CK267" i="17" s="1"/>
  <c r="CL267" i="17" s="1"/>
  <c r="CM267" i="17" s="1"/>
  <c r="CN267" i="17" s="1"/>
  <c r="CO267" i="17" s="1"/>
  <c r="CP267" i="17" s="1"/>
  <c r="CQ267" i="17" s="1"/>
  <c r="CR267" i="17" s="1"/>
  <c r="CS267" i="17" s="1"/>
  <c r="CT267" i="17" s="1"/>
  <c r="CU267" i="17" s="1"/>
  <c r="CV267" i="17" s="1"/>
  <c r="CW267" i="17" s="1"/>
  <c r="CX267" i="17" s="1"/>
  <c r="CY267" i="17" s="1"/>
  <c r="CZ267" i="17" s="1"/>
  <c r="DA267" i="17" s="1"/>
  <c r="DB267" i="17" s="1"/>
  <c r="DC267" i="17" s="1"/>
  <c r="DD267" i="17" s="1"/>
  <c r="DE267" i="17" s="1"/>
  <c r="DF267" i="17" s="1"/>
  <c r="DG267" i="17" s="1"/>
  <c r="DH267" i="17" s="1"/>
  <c r="DI267" i="17" s="1"/>
  <c r="DJ267" i="17" s="1"/>
  <c r="DK267" i="17" s="1"/>
  <c r="DL267" i="17" s="1"/>
  <c r="AA289" i="17"/>
  <c r="X151" i="17"/>
  <c r="Y158" i="17"/>
  <c r="W303" i="17"/>
  <c r="X258" i="17"/>
  <c r="Z49" i="17"/>
  <c r="AD118" i="17"/>
  <c r="AE118" i="17" s="1"/>
  <c r="AF118" i="17" s="1"/>
  <c r="AG118" i="17" s="1"/>
  <c r="AH118" i="17" s="1"/>
  <c r="AI118" i="17" s="1"/>
  <c r="X93" i="17"/>
  <c r="Y93" i="17" s="1"/>
  <c r="Z93" i="17" s="1"/>
  <c r="AA93" i="17" s="1"/>
  <c r="AB93" i="17" s="1"/>
  <c r="AC93" i="17" s="1"/>
  <c r="AD93" i="17" s="1"/>
  <c r="AE93" i="17" s="1"/>
  <c r="AF93" i="17" s="1"/>
  <c r="AG93" i="17" s="1"/>
  <c r="AH93" i="17" s="1"/>
  <c r="AI93" i="17" s="1"/>
  <c r="AJ93" i="17" s="1"/>
  <c r="AK93" i="17" s="1"/>
  <c r="AL93" i="17" s="1"/>
  <c r="AM93" i="17" s="1"/>
  <c r="AN93" i="17" s="1"/>
  <c r="AO93" i="17" s="1"/>
  <c r="AP93" i="17" s="1"/>
  <c r="AQ93" i="17" s="1"/>
  <c r="AR93" i="17" s="1"/>
  <c r="Y163" i="17"/>
  <c r="U137" i="17"/>
  <c r="X222" i="17"/>
  <c r="AA21" i="17"/>
  <c r="AB21" i="17" s="1"/>
  <c r="AC21" i="17" s="1"/>
  <c r="AD21" i="17" s="1"/>
  <c r="AE21" i="17" s="1"/>
  <c r="AF21" i="17" s="1"/>
  <c r="AG21" i="17" s="1"/>
  <c r="AH21" i="17" s="1"/>
  <c r="AI21" i="17" s="1"/>
  <c r="AJ21" i="17" s="1"/>
  <c r="AK21" i="17" s="1"/>
  <c r="AL21" i="17" s="1"/>
  <c r="AM21" i="17" s="1"/>
  <c r="AN21" i="17" s="1"/>
  <c r="AO21" i="17" s="1"/>
  <c r="AP21" i="17" s="1"/>
  <c r="AQ21" i="17" s="1"/>
  <c r="Y239" i="17"/>
  <c r="W80" i="17"/>
  <c r="U155" i="17"/>
  <c r="V155" i="17" s="1"/>
  <c r="W155" i="17" s="1"/>
  <c r="X155" i="17" s="1"/>
  <c r="Y155" i="17" s="1"/>
  <c r="Z155" i="17" s="1"/>
  <c r="AA155" i="17" s="1"/>
  <c r="AB155" i="17" s="1"/>
  <c r="AC155" i="17" s="1"/>
  <c r="AD155" i="17" s="1"/>
  <c r="AE155" i="17" s="1"/>
  <c r="AF155" i="17" s="1"/>
  <c r="AG155" i="17" s="1"/>
  <c r="AH155" i="17" s="1"/>
  <c r="AI155" i="17" s="1"/>
  <c r="AJ155" i="17" s="1"/>
  <c r="AK155" i="17" s="1"/>
  <c r="AL155" i="17" s="1"/>
  <c r="AM155" i="17" s="1"/>
  <c r="AN155" i="17" s="1"/>
  <c r="AO155" i="17" s="1"/>
  <c r="AP155" i="17" s="1"/>
  <c r="AQ155" i="17" s="1"/>
  <c r="AR155" i="17" s="1"/>
  <c r="AS155" i="17" s="1"/>
  <c r="AT155" i="17" s="1"/>
  <c r="AU155" i="17" s="1"/>
  <c r="AV155" i="17" s="1"/>
  <c r="AW155" i="17" s="1"/>
  <c r="AX155" i="17" s="1"/>
  <c r="AY155" i="17" s="1"/>
  <c r="AZ155" i="17" s="1"/>
  <c r="BA155" i="17" s="1"/>
  <c r="BB155" i="17" s="1"/>
  <c r="BC155" i="17" s="1"/>
  <c r="BD155" i="17" s="1"/>
  <c r="BE155" i="17" s="1"/>
  <c r="BF155" i="17" s="1"/>
  <c r="BG155" i="17" s="1"/>
  <c r="BH155" i="17" s="1"/>
  <c r="BI155" i="17" s="1"/>
  <c r="BJ155" i="17" s="1"/>
  <c r="BK155" i="17" s="1"/>
  <c r="BL155" i="17" s="1"/>
  <c r="BM155" i="17" s="1"/>
  <c r="BN155" i="17" s="1"/>
  <c r="BO155" i="17" s="1"/>
  <c r="BP155" i="17" s="1"/>
  <c r="BQ155" i="17" s="1"/>
  <c r="BR155" i="17" s="1"/>
  <c r="BS155" i="17" s="1"/>
  <c r="BT155" i="17" s="1"/>
  <c r="BU155" i="17" s="1"/>
  <c r="BV155" i="17" s="1"/>
  <c r="BW155" i="17" s="1"/>
  <c r="BX155" i="17" s="1"/>
  <c r="BY155" i="17" s="1"/>
  <c r="BZ155" i="17" s="1"/>
  <c r="CA155" i="17" s="1"/>
  <c r="CB155" i="17" s="1"/>
  <c r="CC155" i="17" s="1"/>
  <c r="CD155" i="17" s="1"/>
  <c r="CE155" i="17" s="1"/>
  <c r="CF155" i="17" s="1"/>
  <c r="CG155" i="17" s="1"/>
  <c r="CH155" i="17" s="1"/>
  <c r="CI155" i="17" s="1"/>
  <c r="CJ155" i="17" s="1"/>
  <c r="CK155" i="17" s="1"/>
  <c r="CL155" i="17" s="1"/>
  <c r="CM155" i="17" s="1"/>
  <c r="CN155" i="17" s="1"/>
  <c r="CO155" i="17" s="1"/>
  <c r="CP155" i="17" s="1"/>
  <c r="CQ155" i="17" s="1"/>
  <c r="CR155" i="17" s="1"/>
  <c r="CS155" i="17" s="1"/>
  <c r="CT155" i="17" s="1"/>
  <c r="CU155" i="17" s="1"/>
  <c r="CV155" i="17" s="1"/>
  <c r="CW155" i="17" s="1"/>
  <c r="CX155" i="17" s="1"/>
  <c r="CY155" i="17" s="1"/>
  <c r="CZ155" i="17" s="1"/>
  <c r="DA155" i="17" s="1"/>
  <c r="DB155" i="17" s="1"/>
  <c r="DC155" i="17" s="1"/>
  <c r="DD155" i="17" s="1"/>
  <c r="DE155" i="17" s="1"/>
  <c r="DF155" i="17" s="1"/>
  <c r="DG155" i="17" s="1"/>
  <c r="DH155" i="17" s="1"/>
  <c r="DI155" i="17" s="1"/>
  <c r="DJ155" i="17" s="1"/>
  <c r="DK155" i="17" s="1"/>
  <c r="DL155" i="17" s="1"/>
  <c r="AA305" i="17"/>
  <c r="AB305" i="17" s="1"/>
  <c r="AC305" i="17" s="1"/>
  <c r="AD305" i="17" s="1"/>
  <c r="AE305" i="17" s="1"/>
  <c r="AF305" i="17" s="1"/>
  <c r="AG305" i="17" s="1"/>
  <c r="AH305" i="17" s="1"/>
  <c r="AI305" i="17" s="1"/>
  <c r="AJ305" i="17" s="1"/>
  <c r="AK305" i="17" s="1"/>
  <c r="AL305" i="17" s="1"/>
  <c r="AM305" i="17" s="1"/>
  <c r="AN305" i="17" s="1"/>
  <c r="AO305" i="17" s="1"/>
  <c r="AP305" i="17" s="1"/>
  <c r="AQ305" i="17" s="1"/>
  <c r="AR305" i="17" s="1"/>
  <c r="AS305" i="17" s="1"/>
  <c r="AT305" i="17" s="1"/>
  <c r="AU305" i="17" s="1"/>
  <c r="AV305" i="17" s="1"/>
  <c r="AW305" i="17" s="1"/>
  <c r="AX305" i="17" s="1"/>
  <c r="AY305" i="17" s="1"/>
  <c r="AZ305" i="17" s="1"/>
  <c r="BA305" i="17" s="1"/>
  <c r="BB305" i="17" s="1"/>
  <c r="BC305" i="17" s="1"/>
  <c r="BD305" i="17" s="1"/>
  <c r="BE305" i="17" s="1"/>
  <c r="BF305" i="17" s="1"/>
  <c r="BG305" i="17" s="1"/>
  <c r="BH305" i="17" s="1"/>
  <c r="BI305" i="17" s="1"/>
  <c r="BJ305" i="17" s="1"/>
  <c r="BK305" i="17" s="1"/>
  <c r="BL305" i="17" s="1"/>
  <c r="BM305" i="17" s="1"/>
  <c r="BN305" i="17" s="1"/>
  <c r="BO305" i="17" s="1"/>
  <c r="BP305" i="17" s="1"/>
  <c r="BQ305" i="17" s="1"/>
  <c r="BR305" i="17" s="1"/>
  <c r="BS305" i="17" s="1"/>
  <c r="BT305" i="17" s="1"/>
  <c r="BU305" i="17" s="1"/>
  <c r="BV305" i="17" s="1"/>
  <c r="BW305" i="17" s="1"/>
  <c r="BX305" i="17" s="1"/>
  <c r="BY305" i="17" s="1"/>
  <c r="BZ305" i="17" s="1"/>
  <c r="CA305" i="17" s="1"/>
  <c r="CB305" i="17" s="1"/>
  <c r="CC305" i="17" s="1"/>
  <c r="CD305" i="17" s="1"/>
  <c r="CE305" i="17" s="1"/>
  <c r="CF305" i="17" s="1"/>
  <c r="CG305" i="17" s="1"/>
  <c r="CH305" i="17" s="1"/>
  <c r="CI305" i="17" s="1"/>
  <c r="CJ305" i="17" s="1"/>
  <c r="CK305" i="17" s="1"/>
  <c r="CL305" i="17" s="1"/>
  <c r="CM305" i="17" s="1"/>
  <c r="CN305" i="17" s="1"/>
  <c r="CO305" i="17" s="1"/>
  <c r="CP305" i="17" s="1"/>
  <c r="CQ305" i="17" s="1"/>
  <c r="CR305" i="17" s="1"/>
  <c r="CS305" i="17" s="1"/>
  <c r="CT305" i="17" s="1"/>
  <c r="CU305" i="17" s="1"/>
  <c r="CV305" i="17" s="1"/>
  <c r="CW305" i="17" s="1"/>
  <c r="CX305" i="17" s="1"/>
  <c r="CY305" i="17" s="1"/>
  <c r="CZ305" i="17" s="1"/>
  <c r="DA305" i="17" s="1"/>
  <c r="DB305" i="17" s="1"/>
  <c r="DC305" i="17" s="1"/>
  <c r="DD305" i="17" s="1"/>
  <c r="DE305" i="17" s="1"/>
  <c r="DF305" i="17" s="1"/>
  <c r="DG305" i="17" s="1"/>
  <c r="DH305" i="17" s="1"/>
  <c r="DI305" i="17" s="1"/>
  <c r="DJ305" i="17" s="1"/>
  <c r="X261" i="17"/>
  <c r="Z120" i="17"/>
  <c r="W13" i="17"/>
  <c r="X13" i="17" s="1"/>
  <c r="Y13" i="17" s="1"/>
  <c r="Z13" i="17" s="1"/>
  <c r="AA13" i="17" s="1"/>
  <c r="AB13" i="17" s="1"/>
  <c r="AC13" i="17" s="1"/>
  <c r="AD13" i="17" s="1"/>
  <c r="AE13" i="17" s="1"/>
  <c r="AF13" i="17" s="1"/>
  <c r="AG13" i="17" s="1"/>
  <c r="AH13" i="17" s="1"/>
  <c r="AI13" i="17" s="1"/>
  <c r="W121" i="17"/>
  <c r="X121" i="17" s="1"/>
  <c r="Y121" i="17" s="1"/>
  <c r="Z121" i="17" s="1"/>
  <c r="AA121" i="17" s="1"/>
  <c r="AB121" i="17" s="1"/>
  <c r="AC121" i="17" s="1"/>
  <c r="AD121" i="17" s="1"/>
  <c r="AE121" i="17" s="1"/>
  <c r="AF121" i="17" s="1"/>
  <c r="AG121" i="17" s="1"/>
  <c r="AH121" i="17" s="1"/>
  <c r="AI121" i="17" s="1"/>
  <c r="AJ121" i="17" s="1"/>
  <c r="AK121" i="17" s="1"/>
  <c r="AL121" i="17" s="1"/>
  <c r="AM121" i="17" s="1"/>
  <c r="AN121" i="17" s="1"/>
  <c r="AO121" i="17" s="1"/>
  <c r="AP121" i="17" s="1"/>
  <c r="AQ121" i="17" s="1"/>
  <c r="AR121" i="17" s="1"/>
  <c r="AS121" i="17" s="1"/>
  <c r="AT121" i="17" s="1"/>
  <c r="AU121" i="17" s="1"/>
  <c r="AV121" i="17" s="1"/>
  <c r="AW121" i="17" s="1"/>
  <c r="AX121" i="17" s="1"/>
  <c r="AY121" i="17" s="1"/>
  <c r="AZ121" i="17" s="1"/>
  <c r="BA121" i="17" s="1"/>
  <c r="BB121" i="17" s="1"/>
  <c r="BC121" i="17" s="1"/>
  <c r="BD121" i="17" s="1"/>
  <c r="BE121" i="17" s="1"/>
  <c r="BF121" i="17" s="1"/>
  <c r="BG121" i="17" s="1"/>
  <c r="BH121" i="17" s="1"/>
  <c r="BI121" i="17" s="1"/>
  <c r="BJ121" i="17" s="1"/>
  <c r="BK121" i="17" s="1"/>
  <c r="BL121" i="17" s="1"/>
  <c r="BM121" i="17" s="1"/>
  <c r="BN121" i="17" s="1"/>
  <c r="BO121" i="17" s="1"/>
  <c r="BP121" i="17" s="1"/>
  <c r="BQ121" i="17" s="1"/>
  <c r="BR121" i="17" s="1"/>
  <c r="BS121" i="17" s="1"/>
  <c r="BT121" i="17" s="1"/>
  <c r="BU121" i="17" s="1"/>
  <c r="BV121" i="17" s="1"/>
  <c r="BW121" i="17" s="1"/>
  <c r="BX121" i="17" s="1"/>
  <c r="Y287" i="17"/>
  <c r="V156" i="17"/>
  <c r="W156" i="17" s="1"/>
  <c r="X156" i="17" s="1"/>
  <c r="Y156" i="17" s="1"/>
  <c r="Z156" i="17" s="1"/>
  <c r="AA156" i="17" s="1"/>
  <c r="AB156" i="17" s="1"/>
  <c r="AC156" i="17" s="1"/>
  <c r="AD156" i="17" s="1"/>
  <c r="AE156" i="17" s="1"/>
  <c r="AF156" i="17" s="1"/>
  <c r="AG156" i="17" s="1"/>
  <c r="AH156" i="17" s="1"/>
  <c r="AI156" i="17" s="1"/>
  <c r="AJ156" i="17" s="1"/>
  <c r="AK156" i="17" s="1"/>
  <c r="AL156" i="17" s="1"/>
  <c r="AM156" i="17" s="1"/>
  <c r="AN156" i="17" s="1"/>
  <c r="AO156" i="17" s="1"/>
  <c r="AP156" i="17" s="1"/>
  <c r="V202" i="17"/>
  <c r="Y94" i="17"/>
  <c r="Z94" i="17" s="1"/>
  <c r="AA94" i="17" s="1"/>
  <c r="AB94" i="17" s="1"/>
  <c r="AC94" i="17" s="1"/>
  <c r="AD94" i="17" s="1"/>
  <c r="AE94" i="17" s="1"/>
  <c r="AF94" i="17" s="1"/>
  <c r="AG94" i="17" s="1"/>
  <c r="AH94" i="17" s="1"/>
  <c r="AI94" i="17" s="1"/>
  <c r="AJ94" i="17" s="1"/>
  <c r="AK94" i="17" s="1"/>
  <c r="AL94" i="17" s="1"/>
  <c r="AM94" i="17" s="1"/>
  <c r="AN94" i="17" s="1"/>
  <c r="AO94" i="17" s="1"/>
  <c r="AP94" i="17" s="1"/>
  <c r="AQ94" i="17" s="1"/>
  <c r="AR94" i="17" s="1"/>
  <c r="AS94" i="17" s="1"/>
  <c r="AT94" i="17" s="1"/>
  <c r="AU94" i="17" s="1"/>
  <c r="AV94" i="17" s="1"/>
  <c r="AW94" i="17" s="1"/>
  <c r="AX94" i="17" s="1"/>
  <c r="AY94" i="17" s="1"/>
  <c r="AZ94" i="17" s="1"/>
  <c r="BA94" i="17" s="1"/>
  <c r="BB94" i="17" s="1"/>
  <c r="BC94" i="17" s="1"/>
  <c r="BD94" i="17" s="1"/>
  <c r="BE94" i="17" s="1"/>
  <c r="BF94" i="17" s="1"/>
  <c r="BG94" i="17" s="1"/>
  <c r="BH94" i="17" s="1"/>
  <c r="BI94" i="17" s="1"/>
  <c r="BJ94" i="17" s="1"/>
  <c r="BK94" i="17" s="1"/>
  <c r="BL94" i="17" s="1"/>
  <c r="BM94" i="17" s="1"/>
  <c r="BN94" i="17" s="1"/>
  <c r="BO94" i="17" s="1"/>
  <c r="BP94" i="17" s="1"/>
  <c r="BQ94" i="17" s="1"/>
  <c r="BR94" i="17" s="1"/>
  <c r="BS94" i="17" s="1"/>
  <c r="BT94" i="17" s="1"/>
  <c r="BU94" i="17" s="1"/>
  <c r="BV94" i="17" s="1"/>
  <c r="BW94" i="17" s="1"/>
  <c r="BX94" i="17" s="1"/>
  <c r="BY94" i="17" s="1"/>
  <c r="BZ94" i="17" s="1"/>
  <c r="CA94" i="17" s="1"/>
  <c r="CB94" i="17" s="1"/>
  <c r="CC94" i="17" s="1"/>
  <c r="CD94" i="17" s="1"/>
  <c r="CE94" i="17" s="1"/>
  <c r="CF94" i="17" s="1"/>
  <c r="CG94" i="17" s="1"/>
  <c r="CH94" i="17" s="1"/>
  <c r="CI94" i="17" s="1"/>
  <c r="CJ94" i="17" s="1"/>
  <c r="CK94" i="17" s="1"/>
  <c r="CL94" i="17" s="1"/>
  <c r="CM94" i="17" s="1"/>
  <c r="CN94" i="17" s="1"/>
  <c r="CO94" i="17" s="1"/>
  <c r="CP94" i="17" s="1"/>
  <c r="CQ94" i="17" s="1"/>
  <c r="CR94" i="17" s="1"/>
  <c r="CS94" i="17" s="1"/>
  <c r="CT94" i="17" s="1"/>
  <c r="CU94" i="17" s="1"/>
  <c r="CV94" i="17" s="1"/>
  <c r="CW94" i="17" s="1"/>
  <c r="CX94" i="17" s="1"/>
  <c r="CY94" i="17" s="1"/>
  <c r="CZ94" i="17" s="1"/>
  <c r="DA94" i="17" s="1"/>
  <c r="DB94" i="17" s="1"/>
  <c r="DC94" i="17" s="1"/>
  <c r="DD94" i="17" s="1"/>
  <c r="DE94" i="17" s="1"/>
  <c r="DF94" i="17" s="1"/>
  <c r="DG94" i="17" s="1"/>
  <c r="DH94" i="17" s="1"/>
  <c r="DI94" i="17" s="1"/>
  <c r="DJ94" i="17" s="1"/>
  <c r="DK94" i="17" s="1"/>
  <c r="DL94" i="17" s="1"/>
  <c r="Z223" i="17"/>
  <c r="Y157" i="17"/>
  <c r="Y28" i="17"/>
  <c r="Z12" i="17"/>
  <c r="V198" i="17"/>
  <c r="AI295" i="17"/>
  <c r="AJ295" i="17" s="1"/>
  <c r="AK295" i="17" s="1"/>
  <c r="AL295" i="17" s="1"/>
  <c r="AM295" i="17" s="1"/>
  <c r="AN295" i="17" s="1"/>
  <c r="AO295" i="17" s="1"/>
  <c r="AP295" i="17" s="1"/>
  <c r="AQ295" i="17" s="1"/>
  <c r="AR295" i="17" s="1"/>
  <c r="AS295" i="17" s="1"/>
  <c r="AT295" i="17" s="1"/>
  <c r="AU295" i="17" s="1"/>
  <c r="AV295" i="17" s="1"/>
  <c r="AW295" i="17" s="1"/>
  <c r="AX295" i="17" s="1"/>
  <c r="AY295" i="17" s="1"/>
  <c r="AZ295" i="17" s="1"/>
  <c r="BA295" i="17" s="1"/>
  <c r="BB295" i="17" s="1"/>
  <c r="BC295" i="17" s="1"/>
  <c r="BD295" i="17" s="1"/>
  <c r="BE295" i="17" s="1"/>
  <c r="BF295" i="17" s="1"/>
  <c r="BG295" i="17" s="1"/>
  <c r="BH295" i="17" s="1"/>
  <c r="BI295" i="17" s="1"/>
  <c r="BJ295" i="17" s="1"/>
  <c r="BK295" i="17" s="1"/>
  <c r="BL295" i="17" s="1"/>
  <c r="BM295" i="17" s="1"/>
  <c r="BN295" i="17" s="1"/>
  <c r="BO295" i="17" s="1"/>
  <c r="BP295" i="17" s="1"/>
  <c r="BQ295" i="17" s="1"/>
  <c r="BR295" i="17" s="1"/>
  <c r="BS295" i="17" s="1"/>
  <c r="BT295" i="17" s="1"/>
  <c r="BU295" i="17" s="1"/>
  <c r="BV295" i="17" s="1"/>
  <c r="BW295" i="17" s="1"/>
  <c r="BX295" i="17" s="1"/>
  <c r="BY295" i="17" s="1"/>
  <c r="BZ295" i="17" s="1"/>
  <c r="CA295" i="17" s="1"/>
  <c r="CB295" i="17" s="1"/>
  <c r="CC295" i="17" s="1"/>
  <c r="CD295" i="17" s="1"/>
  <c r="CE295" i="17" s="1"/>
  <c r="CF295" i="17" s="1"/>
  <c r="CG295" i="17" s="1"/>
  <c r="CH295" i="17" s="1"/>
  <c r="CI295" i="17" s="1"/>
  <c r="CJ295" i="17" s="1"/>
  <c r="CK295" i="17" s="1"/>
  <c r="CL295" i="17" s="1"/>
  <c r="CM295" i="17" s="1"/>
  <c r="CN295" i="17" s="1"/>
  <c r="CO295" i="17" s="1"/>
  <c r="CP295" i="17" s="1"/>
  <c r="CQ295" i="17" s="1"/>
  <c r="CR295" i="17" s="1"/>
  <c r="CS295" i="17" s="1"/>
  <c r="CT295" i="17" s="1"/>
  <c r="CU295" i="17" s="1"/>
  <c r="CV295" i="17" s="1"/>
  <c r="CW295" i="17" s="1"/>
  <c r="CX295" i="17" s="1"/>
  <c r="CY295" i="17" s="1"/>
  <c r="CZ295" i="17" s="1"/>
  <c r="DA295" i="17" s="1"/>
  <c r="DB295" i="17" s="1"/>
  <c r="DC295" i="17" s="1"/>
  <c r="DD295" i="17" s="1"/>
  <c r="DE295" i="17" s="1"/>
  <c r="DF295" i="17" s="1"/>
  <c r="DG295" i="17" s="1"/>
  <c r="DH295" i="17" s="1"/>
  <c r="DI295" i="17" s="1"/>
  <c r="DJ295" i="17" s="1"/>
  <c r="DK295" i="17" s="1"/>
  <c r="DL295" i="17" s="1"/>
  <c r="Z250" i="17"/>
  <c r="Y215" i="17"/>
  <c r="Y228" i="17"/>
  <c r="Z228" i="17" s="1"/>
  <c r="X96" i="17"/>
  <c r="Y229" i="17"/>
  <c r="Z229" i="17" s="1"/>
  <c r="W181" i="17"/>
  <c r="AD214" i="17"/>
  <c r="AE214" i="17" s="1"/>
  <c r="AF214" i="17" s="1"/>
  <c r="AG214" i="17" s="1"/>
  <c r="AH214" i="17" s="1"/>
  <c r="AI214" i="17" s="1"/>
  <c r="AJ214" i="17" s="1"/>
  <c r="AK214" i="17" s="1"/>
  <c r="AL214" i="17" s="1"/>
  <c r="AM214" i="17" s="1"/>
  <c r="AN214" i="17" s="1"/>
  <c r="AO214" i="17" s="1"/>
  <c r="AP214" i="17" s="1"/>
  <c r="AQ214" i="17" s="1"/>
  <c r="AR214" i="17" s="1"/>
  <c r="AS214" i="17" s="1"/>
  <c r="AT214" i="17" s="1"/>
  <c r="W180" i="17"/>
  <c r="BP152" i="17"/>
  <c r="BQ152" i="17" s="1"/>
  <c r="BR152" i="17" s="1"/>
  <c r="BS152" i="17" s="1"/>
  <c r="BT152" i="17" s="1"/>
  <c r="BU152" i="17" s="1"/>
  <c r="BV152" i="17" s="1"/>
  <c r="BW152" i="17" s="1"/>
  <c r="BX152" i="17" s="1"/>
  <c r="BY152" i="17" s="1"/>
  <c r="BZ152" i="17" s="1"/>
  <c r="CA152" i="17" s="1"/>
  <c r="CB152" i="17" s="1"/>
  <c r="CC152" i="17" s="1"/>
  <c r="CD152" i="17" s="1"/>
  <c r="CE152" i="17" s="1"/>
  <c r="CF152" i="17" s="1"/>
  <c r="CG152" i="17" s="1"/>
  <c r="CH152" i="17" s="1"/>
  <c r="CI152" i="17" s="1"/>
  <c r="CJ152" i="17" s="1"/>
  <c r="CK152" i="17" s="1"/>
  <c r="CL152" i="17" s="1"/>
  <c r="CM152" i="17" s="1"/>
  <c r="CN152" i="17" s="1"/>
  <c r="CO152" i="17" s="1"/>
  <c r="CP152" i="17" s="1"/>
  <c r="CQ152" i="17" s="1"/>
  <c r="CR152" i="17" s="1"/>
  <c r="CS152" i="17" s="1"/>
  <c r="CT152" i="17" s="1"/>
  <c r="CU152" i="17" s="1"/>
  <c r="CV152" i="17" s="1"/>
  <c r="CW152" i="17" s="1"/>
  <c r="CX152" i="17" s="1"/>
  <c r="CY152" i="17" s="1"/>
  <c r="CZ152" i="17" s="1"/>
  <c r="DA152" i="17" s="1"/>
  <c r="DB152" i="17" s="1"/>
  <c r="DC152" i="17" s="1"/>
  <c r="DD152" i="17" s="1"/>
  <c r="DE152" i="17" s="1"/>
  <c r="DF152" i="17" s="1"/>
  <c r="DG152" i="17" s="1"/>
  <c r="DH152" i="17" s="1"/>
  <c r="DI152" i="17" s="1"/>
  <c r="DJ152" i="17" s="1"/>
  <c r="DK152" i="17" s="1"/>
  <c r="DL152" i="17" s="1"/>
  <c r="V244" i="17"/>
  <c r="W244" i="17" s="1"/>
  <c r="V30" i="17"/>
  <c r="W140" i="17"/>
  <c r="X186" i="17"/>
  <c r="Y265" i="17"/>
  <c r="Y117" i="17"/>
  <c r="V291" i="17"/>
  <c r="X173" i="17"/>
  <c r="W52" i="17"/>
  <c r="U245" i="17"/>
  <c r="W191" i="17"/>
  <c r="W162" i="17"/>
  <c r="Z45" i="17"/>
  <c r="Y175" i="17"/>
  <c r="W270" i="17"/>
  <c r="X270" i="17" s="1"/>
  <c r="Y270" i="17" s="1"/>
  <c r="Z270" i="17" s="1"/>
  <c r="AA270" i="17" s="1"/>
  <c r="AB270" i="17" s="1"/>
  <c r="AA100" i="17"/>
  <c r="X150" i="17"/>
  <c r="Y150" i="17" s="1"/>
  <c r="Z150" i="17" s="1"/>
  <c r="AA150" i="17" s="1"/>
  <c r="AB150" i="17" s="1"/>
  <c r="AC150" i="17" s="1"/>
  <c r="AD150" i="17" s="1"/>
  <c r="AE150" i="17" s="1"/>
  <c r="AF150" i="17" s="1"/>
  <c r="AG150" i="17" s="1"/>
  <c r="AH150" i="17" s="1"/>
  <c r="AI150" i="17" s="1"/>
  <c r="AJ150" i="17" s="1"/>
  <c r="AK150" i="17" s="1"/>
  <c r="AL150" i="17" s="1"/>
  <c r="AM150" i="17" s="1"/>
  <c r="AN150" i="17" s="1"/>
  <c r="AO150" i="17" s="1"/>
  <c r="AP150" i="17" s="1"/>
  <c r="AQ150" i="17" s="1"/>
  <c r="AR150" i="17" s="1"/>
  <c r="AS150" i="17" s="1"/>
  <c r="AT150" i="17" s="1"/>
  <c r="AU150" i="17" s="1"/>
  <c r="AV150" i="17" s="1"/>
  <c r="AW150" i="17" s="1"/>
  <c r="AX150" i="17" s="1"/>
  <c r="AY150" i="17" s="1"/>
  <c r="AZ150" i="17" s="1"/>
  <c r="BA150" i="17" s="1"/>
  <c r="BB150" i="17" s="1"/>
  <c r="BC150" i="17" s="1"/>
  <c r="BD150" i="17" s="1"/>
  <c r="BE150" i="17" s="1"/>
  <c r="BF150" i="17" s="1"/>
  <c r="BG150" i="17" s="1"/>
  <c r="BH150" i="17" s="1"/>
  <c r="BI150" i="17" s="1"/>
  <c r="BJ150" i="17" s="1"/>
  <c r="BK150" i="17" s="1"/>
  <c r="BL150" i="17" s="1"/>
  <c r="BM150" i="17" s="1"/>
  <c r="BN150" i="17" s="1"/>
  <c r="BO150" i="17" s="1"/>
  <c r="BP150" i="17" s="1"/>
  <c r="BQ150" i="17" s="1"/>
  <c r="BR150" i="17" s="1"/>
  <c r="BS150" i="17" s="1"/>
  <c r="BT150" i="17" s="1"/>
  <c r="BU150" i="17" s="1"/>
  <c r="BV150" i="17" s="1"/>
  <c r="BW150" i="17" s="1"/>
  <c r="BX150" i="17" s="1"/>
  <c r="BY150" i="17" s="1"/>
  <c r="BZ150" i="17" s="1"/>
  <c r="CA150" i="17" s="1"/>
  <c r="CB150" i="17" s="1"/>
  <c r="CC150" i="17" s="1"/>
  <c r="CD150" i="17" s="1"/>
  <c r="CE150" i="17" s="1"/>
  <c r="CF150" i="17" s="1"/>
  <c r="CG150" i="17" s="1"/>
  <c r="CH150" i="17" s="1"/>
  <c r="CI150" i="17" s="1"/>
  <c r="CJ150" i="17" s="1"/>
  <c r="CK150" i="17" s="1"/>
  <c r="CL150" i="17" s="1"/>
  <c r="CM150" i="17" s="1"/>
  <c r="CN150" i="17" s="1"/>
  <c r="CO150" i="17" s="1"/>
  <c r="CP150" i="17" s="1"/>
  <c r="CQ150" i="17" s="1"/>
  <c r="CR150" i="17" s="1"/>
  <c r="CS150" i="17" s="1"/>
  <c r="CT150" i="17" s="1"/>
  <c r="CU150" i="17" s="1"/>
  <c r="CV150" i="17" s="1"/>
  <c r="CW150" i="17" s="1"/>
  <c r="U114" i="17"/>
  <c r="V114" i="17" s="1"/>
  <c r="W114" i="17" s="1"/>
  <c r="X114" i="17" s="1"/>
  <c r="Y114" i="17" s="1"/>
  <c r="Z114" i="17" s="1"/>
  <c r="AA114" i="17" s="1"/>
  <c r="AB114" i="17" s="1"/>
  <c r="AC114" i="17" s="1"/>
  <c r="AD114" i="17" s="1"/>
  <c r="AE114" i="17" s="1"/>
  <c r="AF114" i="17" s="1"/>
  <c r="AG114" i="17" s="1"/>
  <c r="AH114" i="17" s="1"/>
  <c r="AI114" i="17" s="1"/>
  <c r="AJ114" i="17" s="1"/>
  <c r="AK114" i="17" s="1"/>
  <c r="AL114" i="17" s="1"/>
  <c r="AM114" i="17" s="1"/>
  <c r="AN114" i="17" s="1"/>
  <c r="AO114" i="17" s="1"/>
  <c r="AP114" i="17" s="1"/>
  <c r="AQ114" i="17" s="1"/>
  <c r="AR114" i="17" s="1"/>
  <c r="AS114" i="17" s="1"/>
  <c r="W131" i="17"/>
  <c r="V138" i="17"/>
  <c r="W138" i="17" s="1"/>
  <c r="V177" i="17"/>
  <c r="X132" i="17"/>
  <c r="W298" i="17"/>
  <c r="AB59" i="17" l="1"/>
  <c r="AC59" i="17" s="1"/>
  <c r="AD59" i="17" s="1"/>
  <c r="AE59" i="17" s="1"/>
  <c r="AF59" i="17" s="1"/>
  <c r="AG59" i="17" s="1"/>
  <c r="AH59" i="17" s="1"/>
  <c r="AI59" i="17" s="1"/>
  <c r="AJ59" i="17" s="1"/>
  <c r="AK59" i="17" s="1"/>
  <c r="AL59" i="17" s="1"/>
  <c r="AM59" i="17" s="1"/>
  <c r="AN59" i="17" s="1"/>
  <c r="AO59" i="17" s="1"/>
  <c r="AP59" i="17" s="1"/>
  <c r="AQ59" i="17" s="1"/>
  <c r="AR59" i="17" s="1"/>
  <c r="AS59" i="17" s="1"/>
  <c r="AT59" i="17" s="1"/>
  <c r="AU59" i="17" s="1"/>
  <c r="AV59" i="17" s="1"/>
  <c r="AW59" i="17" s="1"/>
  <c r="AX59" i="17" s="1"/>
  <c r="AY59" i="17" s="1"/>
  <c r="AZ59" i="17" s="1"/>
  <c r="BA59" i="17" s="1"/>
  <c r="BB59" i="17" s="1"/>
  <c r="BC59" i="17" s="1"/>
  <c r="BD59" i="17" s="1"/>
  <c r="BE59" i="17" s="1"/>
  <c r="BF59" i="17" s="1"/>
  <c r="BG59" i="17" s="1"/>
  <c r="BH59" i="17" s="1"/>
  <c r="BI59" i="17" s="1"/>
  <c r="W168" i="17"/>
  <c r="X168" i="17" s="1"/>
  <c r="Y113" i="17"/>
  <c r="Z113" i="17" s="1"/>
  <c r="AA22" i="17"/>
  <c r="AB22" i="17" s="1"/>
  <c r="AC22" i="17" s="1"/>
  <c r="AD22" i="17" s="1"/>
  <c r="AE22" i="17" s="1"/>
  <c r="AF22" i="17" s="1"/>
  <c r="AG22" i="17" s="1"/>
  <c r="Y75" i="17"/>
  <c r="Z75" i="17" s="1"/>
  <c r="AA75" i="17" s="1"/>
  <c r="AB75" i="17" s="1"/>
  <c r="AC75" i="17" s="1"/>
  <c r="AD75" i="17" s="1"/>
  <c r="AE75" i="17" s="1"/>
  <c r="AF75" i="17" s="1"/>
  <c r="AG75" i="17" s="1"/>
  <c r="AH75" i="17" s="1"/>
  <c r="AI75" i="17" s="1"/>
  <c r="AJ75" i="17" s="1"/>
  <c r="AK75" i="17" s="1"/>
  <c r="AL75" i="17" s="1"/>
  <c r="AM75" i="17" s="1"/>
  <c r="AN75" i="17" s="1"/>
  <c r="AO75" i="17" s="1"/>
  <c r="AP75" i="17" s="1"/>
  <c r="Z254" i="17"/>
  <c r="AA254" i="17" s="1"/>
  <c r="AO184" i="17"/>
  <c r="AP184" i="17" s="1"/>
  <c r="AQ184" i="17" s="1"/>
  <c r="AR184" i="17" s="1"/>
  <c r="AS184" i="17" s="1"/>
  <c r="AT184" i="17" s="1"/>
  <c r="AU184" i="17" s="1"/>
  <c r="X195" i="17"/>
  <c r="Y195" i="17" s="1"/>
  <c r="BY121" i="17"/>
  <c r="BZ121" i="17" s="1"/>
  <c r="CA121" i="17" s="1"/>
  <c r="CB121" i="17" s="1"/>
  <c r="CC121" i="17" s="1"/>
  <c r="CD121" i="17" s="1"/>
  <c r="CE121" i="17" s="1"/>
  <c r="CF121" i="17" s="1"/>
  <c r="CG121" i="17" s="1"/>
  <c r="CH121" i="17" s="1"/>
  <c r="CI121" i="17" s="1"/>
  <c r="CJ121" i="17" s="1"/>
  <c r="CK121" i="17" s="1"/>
  <c r="CL121" i="17" s="1"/>
  <c r="CM121" i="17" s="1"/>
  <c r="CN121" i="17" s="1"/>
  <c r="CO121" i="17" s="1"/>
  <c r="CP121" i="17" s="1"/>
  <c r="CQ121" i="17" s="1"/>
  <c r="CR121" i="17" s="1"/>
  <c r="CS121" i="17" s="1"/>
  <c r="CT121" i="17" s="1"/>
  <c r="CU121" i="17" s="1"/>
  <c r="CV121" i="17" s="1"/>
  <c r="CW121" i="17" s="1"/>
  <c r="CX121" i="17" s="1"/>
  <c r="CY121" i="17" s="1"/>
  <c r="CZ121" i="17" s="1"/>
  <c r="DA121" i="17" s="1"/>
  <c r="DB121" i="17" s="1"/>
  <c r="DC121" i="17" s="1"/>
  <c r="DD121" i="17" s="1"/>
  <c r="DE121" i="17" s="1"/>
  <c r="DF121" i="17" s="1"/>
  <c r="DG121" i="17" s="1"/>
  <c r="DH121" i="17" s="1"/>
  <c r="DI121" i="17" s="1"/>
  <c r="DJ121" i="17" s="1"/>
  <c r="DK121" i="17" s="1"/>
  <c r="DL121" i="17" s="1"/>
  <c r="Y243" i="17"/>
  <c r="Z243" i="17" s="1"/>
  <c r="AN128" i="17"/>
  <c r="AB254" i="17"/>
  <c r="AC254" i="17" s="1"/>
  <c r="AD254" i="17" s="1"/>
  <c r="AE254" i="17" s="1"/>
  <c r="AF254" i="17" s="1"/>
  <c r="Z281" i="17"/>
  <c r="AA281" i="17" s="1"/>
  <c r="AB281" i="17" s="1"/>
  <c r="AC281" i="17" s="1"/>
  <c r="CX150" i="17"/>
  <c r="CY150" i="17" s="1"/>
  <c r="CZ150" i="17" s="1"/>
  <c r="DA150" i="17" s="1"/>
  <c r="DB150" i="17" s="1"/>
  <c r="DC150" i="17" s="1"/>
  <c r="DD150" i="17" s="1"/>
  <c r="DE150" i="17" s="1"/>
  <c r="DF150" i="17" s="1"/>
  <c r="DG150" i="17" s="1"/>
  <c r="DH150" i="17" s="1"/>
  <c r="DI150" i="17" s="1"/>
  <c r="DJ150" i="17" s="1"/>
  <c r="DK150" i="17" s="1"/>
  <c r="DL150" i="17" s="1"/>
  <c r="AQ90" i="17"/>
  <c r="AR90" i="17" s="1"/>
  <c r="AS90" i="17" s="1"/>
  <c r="AT90" i="17" s="1"/>
  <c r="AU90" i="17" s="1"/>
  <c r="AV90" i="17" s="1"/>
  <c r="AW90" i="17" s="1"/>
  <c r="AX90" i="17" s="1"/>
  <c r="AY90" i="17" s="1"/>
  <c r="AZ90" i="17" s="1"/>
  <c r="BA90" i="17" s="1"/>
  <c r="BB90" i="17" s="1"/>
  <c r="BC90" i="17" s="1"/>
  <c r="BD90" i="17" s="1"/>
  <c r="BE90" i="17" s="1"/>
  <c r="BF90" i="17" s="1"/>
  <c r="BG90" i="17" s="1"/>
  <c r="BH90" i="17" s="1"/>
  <c r="BI90" i="17" s="1"/>
  <c r="BJ90" i="17" s="1"/>
  <c r="BK90" i="17" s="1"/>
  <c r="BL90" i="17" s="1"/>
  <c r="BM90" i="17" s="1"/>
  <c r="BN90" i="17" s="1"/>
  <c r="BO90" i="17" s="1"/>
  <c r="BP90" i="17" s="1"/>
  <c r="BQ90" i="17" s="1"/>
  <c r="BR90" i="17" s="1"/>
  <c r="BS90" i="17" s="1"/>
  <c r="BT90" i="17" s="1"/>
  <c r="BU90" i="17" s="1"/>
  <c r="BV90" i="17" s="1"/>
  <c r="BW90" i="17" s="1"/>
  <c r="BX90" i="17" s="1"/>
  <c r="BY90" i="17" s="1"/>
  <c r="BZ90" i="17" s="1"/>
  <c r="CA90" i="17" s="1"/>
  <c r="CB90" i="17" s="1"/>
  <c r="CC90" i="17" s="1"/>
  <c r="CD90" i="17" s="1"/>
  <c r="CE90" i="17" s="1"/>
  <c r="CF90" i="17" s="1"/>
  <c r="CG90" i="17" s="1"/>
  <c r="CH90" i="17" s="1"/>
  <c r="CI90" i="17" s="1"/>
  <c r="CJ90" i="17" s="1"/>
  <c r="CK90" i="17" s="1"/>
  <c r="CL90" i="17" s="1"/>
  <c r="CM90" i="17" s="1"/>
  <c r="CN90" i="17" s="1"/>
  <c r="CO90" i="17" s="1"/>
  <c r="CP90" i="17" s="1"/>
  <c r="CQ90" i="17" s="1"/>
  <c r="CR90" i="17" s="1"/>
  <c r="CS90" i="17" s="1"/>
  <c r="CT90" i="17" s="1"/>
  <c r="CU90" i="17" s="1"/>
  <c r="CV90" i="17" s="1"/>
  <c r="CW90" i="17" s="1"/>
  <c r="CX90" i="17" s="1"/>
  <c r="CY90" i="17" s="1"/>
  <c r="CZ90" i="17" s="1"/>
  <c r="DA90" i="17" s="1"/>
  <c r="DB90" i="17" s="1"/>
  <c r="DC90" i="17" s="1"/>
  <c r="DD90" i="17" s="1"/>
  <c r="DE90" i="17" s="1"/>
  <c r="DF90" i="17" s="1"/>
  <c r="DG90" i="17" s="1"/>
  <c r="DH90" i="17" s="1"/>
  <c r="DI90" i="17" s="1"/>
  <c r="DJ90" i="17" s="1"/>
  <c r="DK90" i="17" s="1"/>
  <c r="DL90" i="17" s="1"/>
  <c r="Y221" i="17"/>
  <c r="AN101" i="17"/>
  <c r="AO101" i="17" s="1"/>
  <c r="AP101" i="17" s="1"/>
  <c r="AQ101" i="17" s="1"/>
  <c r="AR101" i="17" s="1"/>
  <c r="AS101" i="17" s="1"/>
  <c r="AT101" i="17" s="1"/>
  <c r="AU101" i="17" s="1"/>
  <c r="AV101" i="17" s="1"/>
  <c r="AW101" i="17" s="1"/>
  <c r="AX101" i="17" s="1"/>
  <c r="AY101" i="17" s="1"/>
  <c r="AZ101" i="17" s="1"/>
  <c r="BA101" i="17" s="1"/>
  <c r="BB101" i="17" s="1"/>
  <c r="BC101" i="17" s="1"/>
  <c r="BD101" i="17" s="1"/>
  <c r="BE101" i="17" s="1"/>
  <c r="BF101" i="17" s="1"/>
  <c r="BG101" i="17" s="1"/>
  <c r="BH101" i="17" s="1"/>
  <c r="BI101" i="17" s="1"/>
  <c r="BJ101" i="17" s="1"/>
  <c r="BK101" i="17" s="1"/>
  <c r="BL101" i="17" s="1"/>
  <c r="BM101" i="17" s="1"/>
  <c r="BN101" i="17" s="1"/>
  <c r="BO101" i="17" s="1"/>
  <c r="BP101" i="17" s="1"/>
  <c r="BQ101" i="17" s="1"/>
  <c r="BR101" i="17" s="1"/>
  <c r="BS101" i="17" s="1"/>
  <c r="BT101" i="17" s="1"/>
  <c r="BU101" i="17" s="1"/>
  <c r="BV101" i="17" s="1"/>
  <c r="BW101" i="17" s="1"/>
  <c r="BX101" i="17" s="1"/>
  <c r="BY101" i="17" s="1"/>
  <c r="BZ101" i="17" s="1"/>
  <c r="CA101" i="17" s="1"/>
  <c r="CB101" i="17" s="1"/>
  <c r="CC101" i="17" s="1"/>
  <c r="CD101" i="17" s="1"/>
  <c r="CE101" i="17" s="1"/>
  <c r="CF101" i="17" s="1"/>
  <c r="CG101" i="17" s="1"/>
  <c r="CH101" i="17" s="1"/>
  <c r="CI101" i="17" s="1"/>
  <c r="CJ101" i="17" s="1"/>
  <c r="CK101" i="17" s="1"/>
  <c r="CL101" i="17" s="1"/>
  <c r="CM101" i="17" s="1"/>
  <c r="CN101" i="17" s="1"/>
  <c r="CO101" i="17" s="1"/>
  <c r="CP101" i="17" s="1"/>
  <c r="CQ101" i="17" s="1"/>
  <c r="CR101" i="17" s="1"/>
  <c r="CS101" i="17" s="1"/>
  <c r="CT101" i="17" s="1"/>
  <c r="CU101" i="17" s="1"/>
  <c r="CV101" i="17" s="1"/>
  <c r="CW101" i="17" s="1"/>
  <c r="CX101" i="17" s="1"/>
  <c r="CY101" i="17" s="1"/>
  <c r="CZ101" i="17" s="1"/>
  <c r="DA101" i="17" s="1"/>
  <c r="DB101" i="17" s="1"/>
  <c r="DC101" i="17" s="1"/>
  <c r="DD101" i="17" s="1"/>
  <c r="DE101" i="17" s="1"/>
  <c r="DF101" i="17" s="1"/>
  <c r="DG101" i="17" s="1"/>
  <c r="DH101" i="17" s="1"/>
  <c r="DI101" i="17" s="1"/>
  <c r="DJ101" i="17" s="1"/>
  <c r="DK101" i="17" s="1"/>
  <c r="DL101" i="17" s="1"/>
  <c r="BL147" i="17"/>
  <c r="BM147" i="17" s="1"/>
  <c r="BN147" i="17" s="1"/>
  <c r="BO147" i="17" s="1"/>
  <c r="BP147" i="17" s="1"/>
  <c r="BQ147" i="17" s="1"/>
  <c r="BR147" i="17" s="1"/>
  <c r="BS147" i="17" s="1"/>
  <c r="BT147" i="17" s="1"/>
  <c r="BU147" i="17" s="1"/>
  <c r="BV147" i="17" s="1"/>
  <c r="BW147" i="17" s="1"/>
  <c r="BX147" i="17" s="1"/>
  <c r="BY147" i="17" s="1"/>
  <c r="BZ147" i="17" s="1"/>
  <c r="CA147" i="17" s="1"/>
  <c r="CB147" i="17" s="1"/>
  <c r="CC147" i="17" s="1"/>
  <c r="CD147" i="17" s="1"/>
  <c r="CE147" i="17" s="1"/>
  <c r="CF147" i="17" s="1"/>
  <c r="CG147" i="17" s="1"/>
  <c r="CH147" i="17" s="1"/>
  <c r="CI147" i="17" s="1"/>
  <c r="CJ147" i="17" s="1"/>
  <c r="CK147" i="17" s="1"/>
  <c r="CL147" i="17" s="1"/>
  <c r="CM147" i="17" s="1"/>
  <c r="CN147" i="17" s="1"/>
  <c r="CO147" i="17" s="1"/>
  <c r="CP147" i="17" s="1"/>
  <c r="CQ147" i="17" s="1"/>
  <c r="CR147" i="17" s="1"/>
  <c r="CS147" i="17" s="1"/>
  <c r="CT147" i="17" s="1"/>
  <c r="CU147" i="17" s="1"/>
  <c r="CV147" i="17" s="1"/>
  <c r="CW147" i="17" s="1"/>
  <c r="CX147" i="17" s="1"/>
  <c r="CY147" i="17" s="1"/>
  <c r="CZ147" i="17" s="1"/>
  <c r="DA147" i="17" s="1"/>
  <c r="DB147" i="17" s="1"/>
  <c r="DC147" i="17" s="1"/>
  <c r="DD147" i="17" s="1"/>
  <c r="DE147" i="17" s="1"/>
  <c r="DF147" i="17" s="1"/>
  <c r="DG147" i="17" s="1"/>
  <c r="DH147" i="17" s="1"/>
  <c r="DI147" i="17" s="1"/>
  <c r="DJ147" i="17" s="1"/>
  <c r="DK147" i="17" s="1"/>
  <c r="DL147" i="17" s="1"/>
  <c r="X37" i="17"/>
  <c r="Y37" i="17" s="1"/>
  <c r="Z37" i="17" s="1"/>
  <c r="AA37" i="17" s="1"/>
  <c r="AB37" i="17" s="1"/>
  <c r="AC37" i="17" s="1"/>
  <c r="AD37" i="17" s="1"/>
  <c r="AE37" i="17" s="1"/>
  <c r="AF37" i="17" s="1"/>
  <c r="AG37" i="17" s="1"/>
  <c r="AH37" i="17" s="1"/>
  <c r="AI37" i="17" s="1"/>
  <c r="AJ37" i="17" s="1"/>
  <c r="AK37" i="17" s="1"/>
  <c r="AL37" i="17" s="1"/>
  <c r="AM37" i="17" s="1"/>
  <c r="AN37" i="17" s="1"/>
  <c r="AO37" i="17" s="1"/>
  <c r="AP37" i="17" s="1"/>
  <c r="AQ37" i="17" s="1"/>
  <c r="AR37" i="17" s="1"/>
  <c r="AS37" i="17" s="1"/>
  <c r="AT37" i="17" s="1"/>
  <c r="AU37" i="17" s="1"/>
  <c r="AV37" i="17" s="1"/>
  <c r="AW37" i="17" s="1"/>
  <c r="AX37" i="17" s="1"/>
  <c r="AY37" i="17" s="1"/>
  <c r="AZ37" i="17" s="1"/>
  <c r="BA37" i="17" s="1"/>
  <c r="BB37" i="17" s="1"/>
  <c r="BC37" i="17" s="1"/>
  <c r="BD37" i="17" s="1"/>
  <c r="BE37" i="17" s="1"/>
  <c r="BF37" i="17" s="1"/>
  <c r="BG37" i="17" s="1"/>
  <c r="BH37" i="17" s="1"/>
  <c r="BI37" i="17" s="1"/>
  <c r="BJ37" i="17" s="1"/>
  <c r="BK37" i="17" s="1"/>
  <c r="BL37" i="17" s="1"/>
  <c r="BM37" i="17" s="1"/>
  <c r="BN37" i="17" s="1"/>
  <c r="BO37" i="17" s="1"/>
  <c r="BP37" i="17" s="1"/>
  <c r="BQ37" i="17" s="1"/>
  <c r="BR37" i="17" s="1"/>
  <c r="BS37" i="17" s="1"/>
  <c r="BT37" i="17" s="1"/>
  <c r="BU37" i="17" s="1"/>
  <c r="BV37" i="17" s="1"/>
  <c r="BW37" i="17" s="1"/>
  <c r="BX37" i="17" s="1"/>
  <c r="BY37" i="17" s="1"/>
  <c r="BZ37" i="17" s="1"/>
  <c r="CA37" i="17" s="1"/>
  <c r="CB37" i="17" s="1"/>
  <c r="CC37" i="17" s="1"/>
  <c r="CD37" i="17" s="1"/>
  <c r="CE37" i="17" s="1"/>
  <c r="CF37" i="17" s="1"/>
  <c r="CG37" i="17" s="1"/>
  <c r="CH37" i="17" s="1"/>
  <c r="CI37" i="17" s="1"/>
  <c r="CJ37" i="17" s="1"/>
  <c r="CK37" i="17" s="1"/>
  <c r="CL37" i="17" s="1"/>
  <c r="CM37" i="17" s="1"/>
  <c r="CN37" i="17" s="1"/>
  <c r="CO37" i="17" s="1"/>
  <c r="CP37" i="17" s="1"/>
  <c r="CQ37" i="17" s="1"/>
  <c r="CR37" i="17" s="1"/>
  <c r="CS37" i="17" s="1"/>
  <c r="CT37" i="17" s="1"/>
  <c r="CU37" i="17" s="1"/>
  <c r="CV37" i="17" s="1"/>
  <c r="CW37" i="17" s="1"/>
  <c r="CX37" i="17" s="1"/>
  <c r="CY37" i="17" s="1"/>
  <c r="CZ37" i="17" s="1"/>
  <c r="DA37" i="17" s="1"/>
  <c r="DB37" i="17" s="1"/>
  <c r="DC37" i="17" s="1"/>
  <c r="DD37" i="17" s="1"/>
  <c r="DE37" i="17" s="1"/>
  <c r="DF37" i="17" s="1"/>
  <c r="DG37" i="17" s="1"/>
  <c r="DH37" i="17" s="1"/>
  <c r="DI37" i="17" s="1"/>
  <c r="DJ37" i="17" s="1"/>
  <c r="DK37" i="17" s="1"/>
  <c r="DL37" i="17" s="1"/>
  <c r="V292" i="17"/>
  <c r="W292" i="17" s="1"/>
  <c r="AA262" i="17"/>
  <c r="AB262" i="17" s="1"/>
  <c r="AC262" i="17" s="1"/>
  <c r="AD262" i="17" s="1"/>
  <c r="AE262" i="17" s="1"/>
  <c r="AF262" i="17" s="1"/>
  <c r="AG262" i="17" s="1"/>
  <c r="AH262" i="17" s="1"/>
  <c r="AI262" i="17" s="1"/>
  <c r="AJ262" i="17" s="1"/>
  <c r="W235" i="17"/>
  <c r="X235" i="17" s="1"/>
  <c r="W24" i="17"/>
  <c r="X24" i="17" s="1"/>
  <c r="Y208" i="17"/>
  <c r="AB19" i="17"/>
  <c r="AC19" i="17" s="1"/>
  <c r="AB251" i="17"/>
  <c r="AC251" i="17" s="1"/>
  <c r="AD251" i="17" s="1"/>
  <c r="AE251" i="17" s="1"/>
  <c r="AF251" i="17" s="1"/>
  <c r="AG251" i="17" s="1"/>
  <c r="AH251" i="17" s="1"/>
  <c r="AB64" i="17"/>
  <c r="AC64" i="17" s="1"/>
  <c r="AD64" i="17" s="1"/>
  <c r="AE64" i="17" s="1"/>
  <c r="AF64" i="17" s="1"/>
  <c r="AG64" i="17" s="1"/>
  <c r="AH64" i="17" s="1"/>
  <c r="AI64" i="17" s="1"/>
  <c r="AJ64" i="17" s="1"/>
  <c r="AK64" i="17" s="1"/>
  <c r="AL64" i="17" s="1"/>
  <c r="AM64" i="17" s="1"/>
  <c r="AN64" i="17" s="1"/>
  <c r="AO64" i="17" s="1"/>
  <c r="AP64" i="17" s="1"/>
  <c r="AQ64" i="17" s="1"/>
  <c r="AR64" i="17" s="1"/>
  <c r="AS64" i="17" s="1"/>
  <c r="AT64" i="17" s="1"/>
  <c r="AU64" i="17" s="1"/>
  <c r="AV64" i="17" s="1"/>
  <c r="AW64" i="17" s="1"/>
  <c r="AX64" i="17" s="1"/>
  <c r="AY64" i="17" s="1"/>
  <c r="AZ64" i="17" s="1"/>
  <c r="BA64" i="17" s="1"/>
  <c r="BB64" i="17" s="1"/>
  <c r="BC64" i="17" s="1"/>
  <c r="BD64" i="17" s="1"/>
  <c r="BE64" i="17" s="1"/>
  <c r="BF64" i="17" s="1"/>
  <c r="BG64" i="17" s="1"/>
  <c r="BH64" i="17" s="1"/>
  <c r="BI64" i="17" s="1"/>
  <c r="BJ64" i="17" s="1"/>
  <c r="BK64" i="17" s="1"/>
  <c r="BL64" i="17" s="1"/>
  <c r="BM64" i="17" s="1"/>
  <c r="BN64" i="17" s="1"/>
  <c r="BO64" i="17" s="1"/>
  <c r="BP64" i="17" s="1"/>
  <c r="BQ64" i="17" s="1"/>
  <c r="BR64" i="17" s="1"/>
  <c r="BS64" i="17" s="1"/>
  <c r="BT64" i="17" s="1"/>
  <c r="BU64" i="17" s="1"/>
  <c r="BV64" i="17" s="1"/>
  <c r="BW64" i="17" s="1"/>
  <c r="BX64" i="17" s="1"/>
  <c r="BY64" i="17" s="1"/>
  <c r="BZ64" i="17" s="1"/>
  <c r="CA64" i="17" s="1"/>
  <c r="CB64" i="17" s="1"/>
  <c r="CC64" i="17" s="1"/>
  <c r="CD64" i="17" s="1"/>
  <c r="CE64" i="17" s="1"/>
  <c r="CF64" i="17" s="1"/>
  <c r="CG64" i="17" s="1"/>
  <c r="CH64" i="17" s="1"/>
  <c r="CI64" i="17" s="1"/>
  <c r="CJ64" i="17" s="1"/>
  <c r="CK64" i="17" s="1"/>
  <c r="CL64" i="17" s="1"/>
  <c r="CM64" i="17" s="1"/>
  <c r="CN64" i="17" s="1"/>
  <c r="CO64" i="17" s="1"/>
  <c r="CP64" i="17" s="1"/>
  <c r="CQ64" i="17" s="1"/>
  <c r="CR64" i="17" s="1"/>
  <c r="CS64" i="17" s="1"/>
  <c r="CT64" i="17" s="1"/>
  <c r="CU64" i="17" s="1"/>
  <c r="CV64" i="17" s="1"/>
  <c r="CW64" i="17" s="1"/>
  <c r="CX64" i="17" s="1"/>
  <c r="CY64" i="17" s="1"/>
  <c r="CZ64" i="17" s="1"/>
  <c r="DA64" i="17" s="1"/>
  <c r="DB64" i="17" s="1"/>
  <c r="DC64" i="17" s="1"/>
  <c r="DD64" i="17" s="1"/>
  <c r="DE64" i="17" s="1"/>
  <c r="DF64" i="17" s="1"/>
  <c r="DG64" i="17" s="1"/>
  <c r="DH64" i="17" s="1"/>
  <c r="DI64" i="17" s="1"/>
  <c r="DJ64" i="17" s="1"/>
  <c r="DK64" i="17" s="1"/>
  <c r="DL64" i="17" s="1"/>
  <c r="AP293" i="17"/>
  <c r="AQ293" i="17" s="1"/>
  <c r="AR293" i="17" s="1"/>
  <c r="AS293" i="17" s="1"/>
  <c r="AT293" i="17" s="1"/>
  <c r="AU293" i="17" s="1"/>
  <c r="AV293" i="17" s="1"/>
  <c r="AW293" i="17" s="1"/>
  <c r="AX293" i="17" s="1"/>
  <c r="AY293" i="17" s="1"/>
  <c r="AZ293" i="17" s="1"/>
  <c r="BA293" i="17" s="1"/>
  <c r="BB293" i="17" s="1"/>
  <c r="BC293" i="17" s="1"/>
  <c r="BD293" i="17" s="1"/>
  <c r="BE293" i="17" s="1"/>
  <c r="BF293" i="17" s="1"/>
  <c r="BG293" i="17" s="1"/>
  <c r="BH293" i="17" s="1"/>
  <c r="BI293" i="17" s="1"/>
  <c r="BJ293" i="17" s="1"/>
  <c r="BK293" i="17" s="1"/>
  <c r="BL293" i="17" s="1"/>
  <c r="BM293" i="17" s="1"/>
  <c r="BN293" i="17" s="1"/>
  <c r="BO293" i="17" s="1"/>
  <c r="BP293" i="17" s="1"/>
  <c r="BQ293" i="17" s="1"/>
  <c r="BR293" i="17" s="1"/>
  <c r="BS293" i="17" s="1"/>
  <c r="BT293" i="17" s="1"/>
  <c r="BU293" i="17" s="1"/>
  <c r="BV293" i="17" s="1"/>
  <c r="BW293" i="17" s="1"/>
  <c r="BX293" i="17" s="1"/>
  <c r="BY293" i="17" s="1"/>
  <c r="BZ293" i="17" s="1"/>
  <c r="CA293" i="17" s="1"/>
  <c r="CB293" i="17" s="1"/>
  <c r="CC293" i="17" s="1"/>
  <c r="CD293" i="17" s="1"/>
  <c r="CE293" i="17" s="1"/>
  <c r="CF293" i="17" s="1"/>
  <c r="CG293" i="17" s="1"/>
  <c r="CH293" i="17" s="1"/>
  <c r="CI293" i="17" s="1"/>
  <c r="CJ293" i="17" s="1"/>
  <c r="CK293" i="17" s="1"/>
  <c r="CL293" i="17" s="1"/>
  <c r="CM293" i="17" s="1"/>
  <c r="CN293" i="17" s="1"/>
  <c r="CO293" i="17" s="1"/>
  <c r="CP293" i="17" s="1"/>
  <c r="CQ293" i="17" s="1"/>
  <c r="CR293" i="17" s="1"/>
  <c r="CS293" i="17" s="1"/>
  <c r="CT293" i="17" s="1"/>
  <c r="CU293" i="17" s="1"/>
  <c r="CV293" i="17" s="1"/>
  <c r="CW293" i="17" s="1"/>
  <c r="CX293" i="17" s="1"/>
  <c r="CY293" i="17" s="1"/>
  <c r="CZ293" i="17" s="1"/>
  <c r="DA293" i="17" s="1"/>
  <c r="DB293" i="17" s="1"/>
  <c r="DC293" i="17" s="1"/>
  <c r="DD293" i="17" s="1"/>
  <c r="DE293" i="17" s="1"/>
  <c r="DF293" i="17" s="1"/>
  <c r="DG293" i="17" s="1"/>
  <c r="DH293" i="17" s="1"/>
  <c r="DI293" i="17" s="1"/>
  <c r="DJ293" i="17" s="1"/>
  <c r="DK293" i="17" s="1"/>
  <c r="DL293" i="17" s="1"/>
  <c r="V201" i="17"/>
  <c r="W201" i="17" s="1"/>
  <c r="AQ75" i="17"/>
  <c r="AR75" i="17" s="1"/>
  <c r="AS75" i="17" s="1"/>
  <c r="AT75" i="17" s="1"/>
  <c r="AU75" i="17" s="1"/>
  <c r="AV75" i="17" s="1"/>
  <c r="AW75" i="17" s="1"/>
  <c r="AX75" i="17" s="1"/>
  <c r="AY75" i="17" s="1"/>
  <c r="AZ75" i="17" s="1"/>
  <c r="BA75" i="17" s="1"/>
  <c r="BB75" i="17" s="1"/>
  <c r="BC75" i="17" s="1"/>
  <c r="BD75" i="17" s="1"/>
  <c r="BE75" i="17" s="1"/>
  <c r="BF75" i="17" s="1"/>
  <c r="BG75" i="17" s="1"/>
  <c r="BH75" i="17" s="1"/>
  <c r="BI75" i="17" s="1"/>
  <c r="BJ75" i="17" s="1"/>
  <c r="BK75" i="17" s="1"/>
  <c r="BL75" i="17" s="1"/>
  <c r="BM75" i="17" s="1"/>
  <c r="BN75" i="17" s="1"/>
  <c r="BO75" i="17" s="1"/>
  <c r="BP75" i="17" s="1"/>
  <c r="BQ75" i="17" s="1"/>
  <c r="BR75" i="17" s="1"/>
  <c r="BS75" i="17" s="1"/>
  <c r="BT75" i="17" s="1"/>
  <c r="BU75" i="17" s="1"/>
  <c r="BV75" i="17" s="1"/>
  <c r="AW106" i="17"/>
  <c r="AX106" i="17" s="1"/>
  <c r="AY106" i="17" s="1"/>
  <c r="AZ106" i="17" s="1"/>
  <c r="BA106" i="17" s="1"/>
  <c r="BB106" i="17" s="1"/>
  <c r="BC106" i="17" s="1"/>
  <c r="BD106" i="17" s="1"/>
  <c r="BE106" i="17" s="1"/>
  <c r="BF106" i="17" s="1"/>
  <c r="BG106" i="17" s="1"/>
  <c r="BH106" i="17" s="1"/>
  <c r="BI106" i="17" s="1"/>
  <c r="BJ106" i="17" s="1"/>
  <c r="BK106" i="17" s="1"/>
  <c r="BL106" i="17" s="1"/>
  <c r="BM106" i="17" s="1"/>
  <c r="BN106" i="17" s="1"/>
  <c r="BO106" i="17" s="1"/>
  <c r="BP106" i="17" s="1"/>
  <c r="BQ106" i="17" s="1"/>
  <c r="BR106" i="17" s="1"/>
  <c r="BS106" i="17" s="1"/>
  <c r="BT106" i="17" s="1"/>
  <c r="BU106" i="17" s="1"/>
  <c r="BV106" i="17" s="1"/>
  <c r="BW106" i="17" s="1"/>
  <c r="BX106" i="17" s="1"/>
  <c r="BY106" i="17" s="1"/>
  <c r="BZ106" i="17" s="1"/>
  <c r="CA106" i="17" s="1"/>
  <c r="CB106" i="17" s="1"/>
  <c r="CC106" i="17" s="1"/>
  <c r="CD106" i="17" s="1"/>
  <c r="CE106" i="17" s="1"/>
  <c r="CF106" i="17" s="1"/>
  <c r="CG106" i="17" s="1"/>
  <c r="CH106" i="17" s="1"/>
  <c r="CI106" i="17" s="1"/>
  <c r="CJ106" i="17" s="1"/>
  <c r="CK106" i="17" s="1"/>
  <c r="CL106" i="17" s="1"/>
  <c r="CM106" i="17" s="1"/>
  <c r="CN106" i="17" s="1"/>
  <c r="CO106" i="17" s="1"/>
  <c r="CP106" i="17" s="1"/>
  <c r="CQ106" i="17" s="1"/>
  <c r="CR106" i="17" s="1"/>
  <c r="CS106" i="17" s="1"/>
  <c r="CT106" i="17" s="1"/>
  <c r="CU106" i="17" s="1"/>
  <c r="CV106" i="17" s="1"/>
  <c r="CW106" i="17" s="1"/>
  <c r="CX106" i="17" s="1"/>
  <c r="CY106" i="17" s="1"/>
  <c r="CZ106" i="17" s="1"/>
  <c r="DA106" i="17" s="1"/>
  <c r="DB106" i="17" s="1"/>
  <c r="DC106" i="17" s="1"/>
  <c r="DD106" i="17" s="1"/>
  <c r="DE106" i="17" s="1"/>
  <c r="DF106" i="17" s="1"/>
  <c r="DG106" i="17" s="1"/>
  <c r="DH106" i="17" s="1"/>
  <c r="DI106" i="17" s="1"/>
  <c r="DJ106" i="17" s="1"/>
  <c r="DK106" i="17" s="1"/>
  <c r="DL106" i="17" s="1"/>
  <c r="Z253" i="17"/>
  <c r="AA253" i="17" s="1"/>
  <c r="X216" i="17"/>
  <c r="Y216" i="17" s="1"/>
  <c r="Z216" i="17" s="1"/>
  <c r="V185" i="17"/>
  <c r="Z221" i="17"/>
  <c r="AA221" i="17" s="1"/>
  <c r="AB221" i="17" s="1"/>
  <c r="AC221" i="17" s="1"/>
  <c r="AD221" i="17" s="1"/>
  <c r="AE221" i="17" s="1"/>
  <c r="AF221" i="17" s="1"/>
  <c r="AG221" i="17" s="1"/>
  <c r="AH221" i="17" s="1"/>
  <c r="AI221" i="17" s="1"/>
  <c r="AJ221" i="17" s="1"/>
  <c r="AK221" i="17" s="1"/>
  <c r="AL221" i="17" s="1"/>
  <c r="AM221" i="17" s="1"/>
  <c r="AN221" i="17" s="1"/>
  <c r="AO221" i="17" s="1"/>
  <c r="AP221" i="17" s="1"/>
  <c r="AQ221" i="17" s="1"/>
  <c r="AR221" i="17" s="1"/>
  <c r="AS221" i="17" s="1"/>
  <c r="AT221" i="17" s="1"/>
  <c r="AU221" i="17" s="1"/>
  <c r="AV221" i="17" s="1"/>
  <c r="AW221" i="17" s="1"/>
  <c r="AX221" i="17" s="1"/>
  <c r="AY221" i="17" s="1"/>
  <c r="AZ221" i="17" s="1"/>
  <c r="BA221" i="17" s="1"/>
  <c r="BB221" i="17" s="1"/>
  <c r="BC221" i="17" s="1"/>
  <c r="BD221" i="17" s="1"/>
  <c r="BE221" i="17" s="1"/>
  <c r="BF221" i="17" s="1"/>
  <c r="BG221" i="17" s="1"/>
  <c r="BH221" i="17" s="1"/>
  <c r="BI221" i="17" s="1"/>
  <c r="BJ221" i="17" s="1"/>
  <c r="BK221" i="17" s="1"/>
  <c r="BL221" i="17" s="1"/>
  <c r="BM221" i="17" s="1"/>
  <c r="BN221" i="17" s="1"/>
  <c r="BO221" i="17" s="1"/>
  <c r="BP221" i="17" s="1"/>
  <c r="BQ221" i="17" s="1"/>
  <c r="BR221" i="17" s="1"/>
  <c r="BS221" i="17" s="1"/>
  <c r="BT221" i="17" s="1"/>
  <c r="BU221" i="17" s="1"/>
  <c r="BV221" i="17" s="1"/>
  <c r="BW221" i="17" s="1"/>
  <c r="BX221" i="17" s="1"/>
  <c r="BY221" i="17" s="1"/>
  <c r="BZ221" i="17" s="1"/>
  <c r="CA221" i="17" s="1"/>
  <c r="CB221" i="17" s="1"/>
  <c r="CC221" i="17" s="1"/>
  <c r="CD221" i="17" s="1"/>
  <c r="CE221" i="17" s="1"/>
  <c r="CF221" i="17" s="1"/>
  <c r="CG221" i="17" s="1"/>
  <c r="CH221" i="17" s="1"/>
  <c r="CI221" i="17" s="1"/>
  <c r="CJ221" i="17" s="1"/>
  <c r="CK221" i="17" s="1"/>
  <c r="CL221" i="17" s="1"/>
  <c r="CM221" i="17" s="1"/>
  <c r="CN221" i="17" s="1"/>
  <c r="CO221" i="17" s="1"/>
  <c r="CP221" i="17" s="1"/>
  <c r="CQ221" i="17" s="1"/>
  <c r="CR221" i="17" s="1"/>
  <c r="CS221" i="17" s="1"/>
  <c r="CT221" i="17" s="1"/>
  <c r="CU221" i="17" s="1"/>
  <c r="CV221" i="17" s="1"/>
  <c r="CW221" i="17" s="1"/>
  <c r="CX221" i="17" s="1"/>
  <c r="CY221" i="17" s="1"/>
  <c r="CZ221" i="17" s="1"/>
  <c r="DA221" i="17" s="1"/>
  <c r="DB221" i="17" s="1"/>
  <c r="DC221" i="17" s="1"/>
  <c r="DD221" i="17" s="1"/>
  <c r="DE221" i="17" s="1"/>
  <c r="DF221" i="17" s="1"/>
  <c r="DG221" i="17" s="1"/>
  <c r="DH221" i="17" s="1"/>
  <c r="DI221" i="17" s="1"/>
  <c r="DJ221" i="17" s="1"/>
  <c r="DK221" i="17" s="1"/>
  <c r="DL221" i="17" s="1"/>
  <c r="AB299" i="17"/>
  <c r="AC299" i="17" s="1"/>
  <c r="AO190" i="17"/>
  <c r="AP190" i="17" s="1"/>
  <c r="AQ190" i="17" s="1"/>
  <c r="AR190" i="17" s="1"/>
  <c r="AS190" i="17" s="1"/>
  <c r="AT190" i="17" s="1"/>
  <c r="AU190" i="17" s="1"/>
  <c r="AV190" i="17" s="1"/>
  <c r="AW190" i="17" s="1"/>
  <c r="AX190" i="17" s="1"/>
  <c r="AY190" i="17" s="1"/>
  <c r="AZ190" i="17" s="1"/>
  <c r="BA190" i="17" s="1"/>
  <c r="BB190" i="17" s="1"/>
  <c r="BC190" i="17" s="1"/>
  <c r="BD190" i="17" s="1"/>
  <c r="BE190" i="17" s="1"/>
  <c r="BF190" i="17" s="1"/>
  <c r="BG190" i="17" s="1"/>
  <c r="BH190" i="17" s="1"/>
  <c r="BI190" i="17" s="1"/>
  <c r="BJ190" i="17" s="1"/>
  <c r="BK190" i="17" s="1"/>
  <c r="BL190" i="17" s="1"/>
  <c r="BM190" i="17" s="1"/>
  <c r="BN190" i="17" s="1"/>
  <c r="BO190" i="17" s="1"/>
  <c r="BP190" i="17" s="1"/>
  <c r="BQ190" i="17" s="1"/>
  <c r="BR190" i="17" s="1"/>
  <c r="BS190" i="17" s="1"/>
  <c r="BT190" i="17" s="1"/>
  <c r="BU190" i="17" s="1"/>
  <c r="BV190" i="17" s="1"/>
  <c r="BW190" i="17" s="1"/>
  <c r="BX190" i="17" s="1"/>
  <c r="BY190" i="17" s="1"/>
  <c r="BZ190" i="17" s="1"/>
  <c r="CA190" i="17" s="1"/>
  <c r="CB190" i="17" s="1"/>
  <c r="CC190" i="17" s="1"/>
  <c r="CD190" i="17" s="1"/>
  <c r="CE190" i="17" s="1"/>
  <c r="CF190" i="17" s="1"/>
  <c r="CG190" i="17" s="1"/>
  <c r="CH190" i="17" s="1"/>
  <c r="CI190" i="17" s="1"/>
  <c r="CJ190" i="17" s="1"/>
  <c r="CK190" i="17" s="1"/>
  <c r="CL190" i="17" s="1"/>
  <c r="CM190" i="17" s="1"/>
  <c r="CN190" i="17" s="1"/>
  <c r="CO190" i="17" s="1"/>
  <c r="CP190" i="17" s="1"/>
  <c r="CQ190" i="17" s="1"/>
  <c r="CR190" i="17" s="1"/>
  <c r="CS190" i="17" s="1"/>
  <c r="CT190" i="17" s="1"/>
  <c r="CU190" i="17" s="1"/>
  <c r="CV190" i="17" s="1"/>
  <c r="CW190" i="17" s="1"/>
  <c r="CX190" i="17" s="1"/>
  <c r="CY190" i="17" s="1"/>
  <c r="CZ190" i="17" s="1"/>
  <c r="DA190" i="17" s="1"/>
  <c r="DB190" i="17" s="1"/>
  <c r="DC190" i="17" s="1"/>
  <c r="DD190" i="17" s="1"/>
  <c r="DE190" i="17" s="1"/>
  <c r="DF190" i="17" s="1"/>
  <c r="DG190" i="17" s="1"/>
  <c r="DH190" i="17" s="1"/>
  <c r="DI190" i="17" s="1"/>
  <c r="DJ190" i="17" s="1"/>
  <c r="DK190" i="17" s="1"/>
  <c r="DL190" i="17" s="1"/>
  <c r="AH11" i="17"/>
  <c r="AI11" i="17" s="1"/>
  <c r="AJ11" i="17" s="1"/>
  <c r="AK11" i="17" s="1"/>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Q11" i="17" s="1"/>
  <c r="BR11" i="17" s="1"/>
  <c r="BS11" i="17" s="1"/>
  <c r="BT11" i="17" s="1"/>
  <c r="BU11" i="17" s="1"/>
  <c r="BV11" i="17" s="1"/>
  <c r="BW11" i="17" s="1"/>
  <c r="BX11" i="17" s="1"/>
  <c r="BY11" i="17" s="1"/>
  <c r="BZ11" i="17" s="1"/>
  <c r="CA11" i="17" s="1"/>
  <c r="CB11" i="17" s="1"/>
  <c r="CC11" i="17" s="1"/>
  <c r="CD11" i="17" s="1"/>
  <c r="CE11" i="17" s="1"/>
  <c r="CF11" i="17" s="1"/>
  <c r="CG11" i="17" s="1"/>
  <c r="CH11" i="17" s="1"/>
  <c r="CI11" i="17" s="1"/>
  <c r="CJ11" i="17" s="1"/>
  <c r="CK11" i="17" s="1"/>
  <c r="CL11" i="17" s="1"/>
  <c r="CM11" i="17" s="1"/>
  <c r="CN11" i="17" s="1"/>
  <c r="CO11" i="17" s="1"/>
  <c r="CP11" i="17" s="1"/>
  <c r="CQ11" i="17" s="1"/>
  <c r="CR11" i="17" s="1"/>
  <c r="CS11" i="17" s="1"/>
  <c r="CT11" i="17" s="1"/>
  <c r="CU11" i="17" s="1"/>
  <c r="CV11" i="17" s="1"/>
  <c r="CW11" i="17" s="1"/>
  <c r="CX11" i="17" s="1"/>
  <c r="CY11" i="17" s="1"/>
  <c r="CZ11" i="17" s="1"/>
  <c r="DA11" i="17" s="1"/>
  <c r="DB11" i="17" s="1"/>
  <c r="DC11" i="17" s="1"/>
  <c r="DD11" i="17" s="1"/>
  <c r="DE11" i="17" s="1"/>
  <c r="DF11" i="17" s="1"/>
  <c r="DG11" i="17" s="1"/>
  <c r="DH11" i="17" s="1"/>
  <c r="DI11" i="17" s="1"/>
  <c r="DJ11" i="17" s="1"/>
  <c r="DK11" i="17" s="1"/>
  <c r="DL11" i="17" s="1"/>
  <c r="W203" i="17"/>
  <c r="X203" i="17" s="1"/>
  <c r="BE217" i="17"/>
  <c r="BF217" i="17" s="1"/>
  <c r="BG217" i="17" s="1"/>
  <c r="BH217" i="17" s="1"/>
  <c r="BI217" i="17" s="1"/>
  <c r="BJ217" i="17" s="1"/>
  <c r="BK217" i="17" s="1"/>
  <c r="BL217" i="17" s="1"/>
  <c r="BM217" i="17" s="1"/>
  <c r="BN217" i="17" s="1"/>
  <c r="BO217" i="17" s="1"/>
  <c r="BP217" i="17" s="1"/>
  <c r="BQ217" i="17" s="1"/>
  <c r="BR217" i="17" s="1"/>
  <c r="BS217" i="17" s="1"/>
  <c r="BT217" i="17" s="1"/>
  <c r="BU217" i="17" s="1"/>
  <c r="BV217" i="17" s="1"/>
  <c r="BW217" i="17" s="1"/>
  <c r="BX217" i="17" s="1"/>
  <c r="BY217" i="17" s="1"/>
  <c r="BZ217" i="17" s="1"/>
  <c r="CA217" i="17" s="1"/>
  <c r="CB217" i="17" s="1"/>
  <c r="CC217" i="17" s="1"/>
  <c r="CD217" i="17" s="1"/>
  <c r="CE217" i="17" s="1"/>
  <c r="CF217" i="17" s="1"/>
  <c r="CG217" i="17" s="1"/>
  <c r="CH217" i="17" s="1"/>
  <c r="CI217" i="17" s="1"/>
  <c r="CJ217" i="17" s="1"/>
  <c r="CK217" i="17" s="1"/>
  <c r="CL217" i="17" s="1"/>
  <c r="CM217" i="17" s="1"/>
  <c r="CN217" i="17" s="1"/>
  <c r="CO217" i="17" s="1"/>
  <c r="CP217" i="17" s="1"/>
  <c r="CQ217" i="17" s="1"/>
  <c r="CR217" i="17" s="1"/>
  <c r="CS217" i="17" s="1"/>
  <c r="CT217" i="17" s="1"/>
  <c r="CU217" i="17" s="1"/>
  <c r="CV217" i="17" s="1"/>
  <c r="CW217" i="17" s="1"/>
  <c r="CX217" i="17" s="1"/>
  <c r="CY217" i="17" s="1"/>
  <c r="CZ217" i="17" s="1"/>
  <c r="DA217" i="17" s="1"/>
  <c r="DB217" i="17" s="1"/>
  <c r="DC217" i="17" s="1"/>
  <c r="DD217" i="17" s="1"/>
  <c r="DE217" i="17" s="1"/>
  <c r="DF217" i="17" s="1"/>
  <c r="DG217" i="17" s="1"/>
  <c r="DH217" i="17" s="1"/>
  <c r="DI217" i="17" s="1"/>
  <c r="DJ217" i="17" s="1"/>
  <c r="DK217" i="17" s="1"/>
  <c r="DL217" i="17" s="1"/>
  <c r="V286" i="17"/>
  <c r="W286" i="17" s="1"/>
  <c r="Z85" i="17"/>
  <c r="AA85" i="17" s="1"/>
  <c r="AB85" i="17" s="1"/>
  <c r="AC85" i="17" s="1"/>
  <c r="V199" i="17"/>
  <c r="W199" i="17" s="1"/>
  <c r="X268" i="17"/>
  <c r="Y268" i="17" s="1"/>
  <c r="Z268" i="17" s="1"/>
  <c r="AA268" i="17" s="1"/>
  <c r="AB268" i="17" s="1"/>
  <c r="AC268" i="17" s="1"/>
  <c r="AD268" i="17" s="1"/>
  <c r="AE268" i="17" s="1"/>
  <c r="AF268" i="17" s="1"/>
  <c r="AG268" i="17" s="1"/>
  <c r="AH268" i="17" s="1"/>
  <c r="AI268" i="17" s="1"/>
  <c r="AJ268" i="17" s="1"/>
  <c r="AK268" i="17" s="1"/>
  <c r="AL268" i="17" s="1"/>
  <c r="AM268" i="17" s="1"/>
  <c r="AN268" i="17" s="1"/>
  <c r="AD281" i="17"/>
  <c r="AE281" i="17" s="1"/>
  <c r="AF281" i="17" s="1"/>
  <c r="AG281" i="17" s="1"/>
  <c r="AH281" i="17" s="1"/>
  <c r="AI281" i="17" s="1"/>
  <c r="AJ281" i="17" s="1"/>
  <c r="AK281" i="17" s="1"/>
  <c r="AL281" i="17" s="1"/>
  <c r="AM281" i="17" s="1"/>
  <c r="AN281" i="17" s="1"/>
  <c r="AO281" i="17" s="1"/>
  <c r="AP281" i="17" s="1"/>
  <c r="AQ281" i="17" s="1"/>
  <c r="AR281" i="17" s="1"/>
  <c r="AS281" i="17" s="1"/>
  <c r="AT281" i="17" s="1"/>
  <c r="AU281" i="17" s="1"/>
  <c r="AV281" i="17" s="1"/>
  <c r="AM39" i="17"/>
  <c r="AN39" i="17" s="1"/>
  <c r="AO39" i="17" s="1"/>
  <c r="AP39" i="17" s="1"/>
  <c r="AQ39" i="17" s="1"/>
  <c r="AR39" i="17" s="1"/>
  <c r="AS39" i="17" s="1"/>
  <c r="AT39" i="17" s="1"/>
  <c r="AU39" i="17" s="1"/>
  <c r="AV39" i="17" s="1"/>
  <c r="AW39" i="17" s="1"/>
  <c r="AX39" i="17" s="1"/>
  <c r="AY39" i="17" s="1"/>
  <c r="AZ39" i="17" s="1"/>
  <c r="BA39" i="17" s="1"/>
  <c r="BB39" i="17" s="1"/>
  <c r="BC39" i="17" s="1"/>
  <c r="BD39" i="17" s="1"/>
  <c r="BE39" i="17" s="1"/>
  <c r="BF39" i="17" s="1"/>
  <c r="BG39" i="17" s="1"/>
  <c r="BH39" i="17" s="1"/>
  <c r="BI39" i="17" s="1"/>
  <c r="BJ39" i="17" s="1"/>
  <c r="BK39" i="17" s="1"/>
  <c r="BL39" i="17" s="1"/>
  <c r="BM39" i="17" s="1"/>
  <c r="BN39" i="17" s="1"/>
  <c r="BO39" i="17" s="1"/>
  <c r="BP39" i="17" s="1"/>
  <c r="BQ39" i="17" s="1"/>
  <c r="BR39" i="17" s="1"/>
  <c r="BS39" i="17" s="1"/>
  <c r="BT39" i="17" s="1"/>
  <c r="BU39" i="17" s="1"/>
  <c r="BV39" i="17" s="1"/>
  <c r="BW39" i="17" s="1"/>
  <c r="BX39" i="17" s="1"/>
  <c r="BY39" i="17" s="1"/>
  <c r="BZ39" i="17" s="1"/>
  <c r="CA39" i="17" s="1"/>
  <c r="CB39" i="17" s="1"/>
  <c r="CC39" i="17" s="1"/>
  <c r="CD39" i="17" s="1"/>
  <c r="CE39" i="17" s="1"/>
  <c r="CF39" i="17" s="1"/>
  <c r="CG39" i="17" s="1"/>
  <c r="CH39" i="17" s="1"/>
  <c r="CI39" i="17" s="1"/>
  <c r="CJ39" i="17" s="1"/>
  <c r="CK39" i="17" s="1"/>
  <c r="CL39" i="17" s="1"/>
  <c r="CM39" i="17" s="1"/>
  <c r="CN39" i="17" s="1"/>
  <c r="CO39" i="17" s="1"/>
  <c r="CP39" i="17" s="1"/>
  <c r="CQ39" i="17" s="1"/>
  <c r="CR39" i="17" s="1"/>
  <c r="CS39" i="17" s="1"/>
  <c r="CT39" i="17" s="1"/>
  <c r="CU39" i="17" s="1"/>
  <c r="CV39" i="17" s="1"/>
  <c r="CW39" i="17" s="1"/>
  <c r="CX39" i="17" s="1"/>
  <c r="CY39" i="17" s="1"/>
  <c r="CZ39" i="17" s="1"/>
  <c r="DA39" i="17" s="1"/>
  <c r="DB39" i="17" s="1"/>
  <c r="DC39" i="17" s="1"/>
  <c r="DD39" i="17" s="1"/>
  <c r="DE39" i="17" s="1"/>
  <c r="DF39" i="17" s="1"/>
  <c r="DG39" i="17" s="1"/>
  <c r="DH39" i="17" s="1"/>
  <c r="DI39" i="17" s="1"/>
  <c r="DJ39" i="17" s="1"/>
  <c r="DK39" i="17" s="1"/>
  <c r="DL39" i="17" s="1"/>
  <c r="Z48" i="17"/>
  <c r="Y46" i="17"/>
  <c r="X159" i="17"/>
  <c r="Y159" i="17" s="1"/>
  <c r="AV25" i="17"/>
  <c r="AW25" i="17" s="1"/>
  <c r="AX25" i="17" s="1"/>
  <c r="AY25" i="17" s="1"/>
  <c r="AZ25" i="17" s="1"/>
  <c r="BA25" i="17" s="1"/>
  <c r="BB25" i="17" s="1"/>
  <c r="BC25" i="17" s="1"/>
  <c r="BD25" i="17" s="1"/>
  <c r="BE25" i="17" s="1"/>
  <c r="BF25" i="17" s="1"/>
  <c r="BG25" i="17" s="1"/>
  <c r="BH25" i="17" s="1"/>
  <c r="BI25" i="17" s="1"/>
  <c r="BJ25" i="17" s="1"/>
  <c r="BK25" i="17" s="1"/>
  <c r="BL25" i="17" s="1"/>
  <c r="BM25" i="17" s="1"/>
  <c r="BN25" i="17" s="1"/>
  <c r="BO25" i="17" s="1"/>
  <c r="BP25" i="17" s="1"/>
  <c r="BQ25" i="17" s="1"/>
  <c r="BR25" i="17" s="1"/>
  <c r="AC153" i="17"/>
  <c r="AD153" i="17" s="1"/>
  <c r="AE153" i="17" s="1"/>
  <c r="AF153" i="17" s="1"/>
  <c r="AG153" i="17" s="1"/>
  <c r="X296" i="17"/>
  <c r="Y296" i="17" s="1"/>
  <c r="Z296" i="17" s="1"/>
  <c r="AA296" i="17" s="1"/>
  <c r="Y172" i="17"/>
  <c r="Z172" i="17" s="1"/>
  <c r="X167" i="17"/>
  <c r="W72" i="17"/>
  <c r="Y193" i="17"/>
  <c r="Z193" i="17" s="1"/>
  <c r="AA193" i="17" s="1"/>
  <c r="AB193" i="17" s="1"/>
  <c r="AC193" i="17" s="1"/>
  <c r="AD193" i="17" s="1"/>
  <c r="W249" i="17"/>
  <c r="X249" i="17" s="1"/>
  <c r="T210" i="17"/>
  <c r="U210" i="17" s="1"/>
  <c r="V210" i="17" s="1"/>
  <c r="X70" i="17"/>
  <c r="Y70" i="17" s="1"/>
  <c r="AA284" i="17"/>
  <c r="AB284" i="17" s="1"/>
  <c r="AC284" i="17" s="1"/>
  <c r="AD284" i="17" s="1"/>
  <c r="AE284" i="17" s="1"/>
  <c r="AF284" i="17" s="1"/>
  <c r="AG284" i="17" s="1"/>
  <c r="AH284" i="17" s="1"/>
  <c r="AI284" i="17" s="1"/>
  <c r="AJ284" i="17" s="1"/>
  <c r="AK284" i="17" s="1"/>
  <c r="AL284" i="17" s="1"/>
  <c r="AM284" i="17" s="1"/>
  <c r="AN284" i="17" s="1"/>
  <c r="AO284" i="17" s="1"/>
  <c r="AP284" i="17" s="1"/>
  <c r="AQ284" i="17" s="1"/>
  <c r="AR284" i="17" s="1"/>
  <c r="AS284" i="17" s="1"/>
  <c r="AT284" i="17" s="1"/>
  <c r="AU284" i="17" s="1"/>
  <c r="AV284" i="17" s="1"/>
  <c r="AW284" i="17" s="1"/>
  <c r="AX284" i="17" s="1"/>
  <c r="AY284" i="17" s="1"/>
  <c r="AZ284" i="17" s="1"/>
  <c r="BA284" i="17" s="1"/>
  <c r="BB284" i="17" s="1"/>
  <c r="BC284" i="17" s="1"/>
  <c r="BD284" i="17" s="1"/>
  <c r="BE284" i="17" s="1"/>
  <c r="BF284" i="17" s="1"/>
  <c r="BG284" i="17" s="1"/>
  <c r="BH284" i="17" s="1"/>
  <c r="BI284" i="17" s="1"/>
  <c r="BJ284" i="17" s="1"/>
  <c r="BK284" i="17" s="1"/>
  <c r="BL284" i="17" s="1"/>
  <c r="BM284" i="17" s="1"/>
  <c r="BN284" i="17" s="1"/>
  <c r="BO284" i="17" s="1"/>
  <c r="BP284" i="17" s="1"/>
  <c r="BQ284" i="17" s="1"/>
  <c r="BR284" i="17" s="1"/>
  <c r="BS284" i="17" s="1"/>
  <c r="BT284" i="17" s="1"/>
  <c r="BU284" i="17" s="1"/>
  <c r="BV284" i="17" s="1"/>
  <c r="BW284" i="17" s="1"/>
  <c r="BX284" i="17" s="1"/>
  <c r="BY284" i="17" s="1"/>
  <c r="BZ284" i="17" s="1"/>
  <c r="CA284" i="17" s="1"/>
  <c r="CB284" i="17" s="1"/>
  <c r="CC284" i="17" s="1"/>
  <c r="CD284" i="17" s="1"/>
  <c r="CE284" i="17" s="1"/>
  <c r="CF284" i="17" s="1"/>
  <c r="CG284" i="17" s="1"/>
  <c r="CH284" i="17" s="1"/>
  <c r="CI284" i="17" s="1"/>
  <c r="CJ284" i="17" s="1"/>
  <c r="CK284" i="17" s="1"/>
  <c r="CL284" i="17" s="1"/>
  <c r="CM284" i="17" s="1"/>
  <c r="CN284" i="17" s="1"/>
  <c r="CO284" i="17" s="1"/>
  <c r="CP284" i="17" s="1"/>
  <c r="CQ284" i="17" s="1"/>
  <c r="CR284" i="17" s="1"/>
  <c r="CS284" i="17" s="1"/>
  <c r="CT284" i="17" s="1"/>
  <c r="CU284" i="17" s="1"/>
  <c r="CV284" i="17" s="1"/>
  <c r="CW284" i="17" s="1"/>
  <c r="CX284" i="17" s="1"/>
  <c r="CY284" i="17" s="1"/>
  <c r="CZ284" i="17" s="1"/>
  <c r="DA284" i="17" s="1"/>
  <c r="DB284" i="17" s="1"/>
  <c r="DC284" i="17" s="1"/>
  <c r="DD284" i="17" s="1"/>
  <c r="DE284" i="17" s="1"/>
  <c r="DF284" i="17" s="1"/>
  <c r="DG284" i="17" s="1"/>
  <c r="DH284" i="17" s="1"/>
  <c r="DI284" i="17" s="1"/>
  <c r="DJ284" i="17" s="1"/>
  <c r="DK284" i="17" s="1"/>
  <c r="DL284" i="17" s="1"/>
  <c r="BJ59" i="17"/>
  <c r="BK59" i="17" s="1"/>
  <c r="BL59" i="17" s="1"/>
  <c r="BM59" i="17" s="1"/>
  <c r="BN59" i="17" s="1"/>
  <c r="BO59" i="17" s="1"/>
  <c r="BP59" i="17" s="1"/>
  <c r="BQ59" i="17" s="1"/>
  <c r="BR59" i="17" s="1"/>
  <c r="BS59" i="17" s="1"/>
  <c r="BT59" i="17" s="1"/>
  <c r="BU59" i="17" s="1"/>
  <c r="BV59" i="17" s="1"/>
  <c r="BW59" i="17" s="1"/>
  <c r="BX59" i="17" s="1"/>
  <c r="BY59" i="17" s="1"/>
  <c r="BZ59" i="17" s="1"/>
  <c r="CA59" i="17" s="1"/>
  <c r="CB59" i="17" s="1"/>
  <c r="CC59" i="17" s="1"/>
  <c r="CD59" i="17" s="1"/>
  <c r="CE59" i="17" s="1"/>
  <c r="CF59" i="17" s="1"/>
  <c r="CG59" i="17" s="1"/>
  <c r="CH59" i="17" s="1"/>
  <c r="CI59" i="17" s="1"/>
  <c r="CJ59" i="17" s="1"/>
  <c r="CK59" i="17" s="1"/>
  <c r="CL59" i="17" s="1"/>
  <c r="CM59" i="17" s="1"/>
  <c r="CN59" i="17" s="1"/>
  <c r="CO59" i="17" s="1"/>
  <c r="CP59" i="17" s="1"/>
  <c r="CQ59" i="17" s="1"/>
  <c r="CR59" i="17" s="1"/>
  <c r="CS59" i="17" s="1"/>
  <c r="CT59" i="17" s="1"/>
  <c r="CU59" i="17" s="1"/>
  <c r="CV59" i="17" s="1"/>
  <c r="CW59" i="17" s="1"/>
  <c r="CX59" i="17" s="1"/>
  <c r="CY59" i="17" s="1"/>
  <c r="CZ59" i="17" s="1"/>
  <c r="DA59" i="17" s="1"/>
  <c r="DB59" i="17" s="1"/>
  <c r="DC59" i="17" s="1"/>
  <c r="DD59" i="17" s="1"/>
  <c r="DE59" i="17" s="1"/>
  <c r="DF59" i="17" s="1"/>
  <c r="DG59" i="17" s="1"/>
  <c r="DH59" i="17" s="1"/>
  <c r="DI59" i="17" s="1"/>
  <c r="DJ59" i="17" s="1"/>
  <c r="DK59" i="17" s="1"/>
  <c r="DL59" i="17" s="1"/>
  <c r="AR21" i="17"/>
  <c r="AS21" i="17" s="1"/>
  <c r="AT21" i="17" s="1"/>
  <c r="AU21" i="17" s="1"/>
  <c r="AV21" i="17" s="1"/>
  <c r="AW21" i="17" s="1"/>
  <c r="AX21" i="17" s="1"/>
  <c r="AF10" i="17"/>
  <c r="AG10" i="17" s="1"/>
  <c r="AH10" i="17" s="1"/>
  <c r="Y164" i="17"/>
  <c r="Z164" i="17" s="1"/>
  <c r="W50" i="17"/>
  <c r="X50" i="17" s="1"/>
  <c r="Y50" i="17" s="1"/>
  <c r="X274" i="17"/>
  <c r="Y274" i="17" s="1"/>
  <c r="Z274" i="17" s="1"/>
  <c r="AA274" i="17" s="1"/>
  <c r="AB274" i="17" s="1"/>
  <c r="AC274" i="17" s="1"/>
  <c r="AD274" i="17" s="1"/>
  <c r="AE274" i="17" s="1"/>
  <c r="AF274" i="17" s="1"/>
  <c r="AG274" i="17" s="1"/>
  <c r="AH274" i="17" s="1"/>
  <c r="AI274" i="17" s="1"/>
  <c r="AJ274" i="17" s="1"/>
  <c r="AK274" i="17" s="1"/>
  <c r="AL274" i="17" s="1"/>
  <c r="AM274" i="17" s="1"/>
  <c r="AN274" i="17" s="1"/>
  <c r="AO274" i="17" s="1"/>
  <c r="AP274" i="17" s="1"/>
  <c r="AQ274" i="17" s="1"/>
  <c r="AR274" i="17" s="1"/>
  <c r="AS274" i="17" s="1"/>
  <c r="AT274" i="17" s="1"/>
  <c r="AU274" i="17" s="1"/>
  <c r="AV274" i="17" s="1"/>
  <c r="AW274" i="17" s="1"/>
  <c r="AX274" i="17" s="1"/>
  <c r="AY274" i="17" s="1"/>
  <c r="AZ274" i="17" s="1"/>
  <c r="BA274" i="17" s="1"/>
  <c r="BB274" i="17" s="1"/>
  <c r="BC274" i="17" s="1"/>
  <c r="BD274" i="17" s="1"/>
  <c r="BE274" i="17" s="1"/>
  <c r="BF274" i="17" s="1"/>
  <c r="BG274" i="17" s="1"/>
  <c r="BH274" i="17" s="1"/>
  <c r="BI274" i="17" s="1"/>
  <c r="BJ274" i="17" s="1"/>
  <c r="BK274" i="17" s="1"/>
  <c r="BL274" i="17" s="1"/>
  <c r="BM274" i="17" s="1"/>
  <c r="BN274" i="17" s="1"/>
  <c r="BO274" i="17" s="1"/>
  <c r="BP274" i="17" s="1"/>
  <c r="BQ274" i="17" s="1"/>
  <c r="BR274" i="17" s="1"/>
  <c r="BS274" i="17" s="1"/>
  <c r="BT274" i="17" s="1"/>
  <c r="BU274" i="17" s="1"/>
  <c r="BV274" i="17" s="1"/>
  <c r="BW274" i="17" s="1"/>
  <c r="BX274" i="17" s="1"/>
  <c r="BY274" i="17" s="1"/>
  <c r="BZ274" i="17" s="1"/>
  <c r="CA274" i="17" s="1"/>
  <c r="CB274" i="17" s="1"/>
  <c r="CC274" i="17" s="1"/>
  <c r="CD274" i="17" s="1"/>
  <c r="CE274" i="17" s="1"/>
  <c r="CF274" i="17" s="1"/>
  <c r="CG274" i="17" s="1"/>
  <c r="CH274" i="17" s="1"/>
  <c r="CI274" i="17" s="1"/>
  <c r="CJ274" i="17" s="1"/>
  <c r="CK274" i="17" s="1"/>
  <c r="CL274" i="17" s="1"/>
  <c r="CM274" i="17" s="1"/>
  <c r="CN274" i="17" s="1"/>
  <c r="CO274" i="17" s="1"/>
  <c r="CP274" i="17" s="1"/>
  <c r="CQ274" i="17" s="1"/>
  <c r="CR274" i="17" s="1"/>
  <c r="CS274" i="17" s="1"/>
  <c r="CT274" i="17" s="1"/>
  <c r="CU274" i="17" s="1"/>
  <c r="CV274" i="17" s="1"/>
  <c r="CW274" i="17" s="1"/>
  <c r="CX274" i="17" s="1"/>
  <c r="CY274" i="17" s="1"/>
  <c r="CZ274" i="17" s="1"/>
  <c r="DA274" i="17" s="1"/>
  <c r="DB274" i="17" s="1"/>
  <c r="DC274" i="17" s="1"/>
  <c r="DD274" i="17" s="1"/>
  <c r="DE274" i="17" s="1"/>
  <c r="DF274" i="17" s="1"/>
  <c r="DG274" i="17" s="1"/>
  <c r="DH274" i="17" s="1"/>
  <c r="DI274" i="17" s="1"/>
  <c r="DJ274" i="17" s="1"/>
  <c r="DK274" i="17" s="1"/>
  <c r="DL274" i="17" s="1"/>
  <c r="AC282" i="17"/>
  <c r="AD282" i="17" s="1"/>
  <c r="AE282" i="17" s="1"/>
  <c r="AF282" i="17" s="1"/>
  <c r="AG282" i="17" s="1"/>
  <c r="AH282" i="17" s="1"/>
  <c r="AI282" i="17" s="1"/>
  <c r="AJ282" i="17" s="1"/>
  <c r="AK282" i="17" s="1"/>
  <c r="AL282" i="17" s="1"/>
  <c r="AM282" i="17" s="1"/>
  <c r="AN282" i="17" s="1"/>
  <c r="AO282" i="17" s="1"/>
  <c r="AP282" i="17" s="1"/>
  <c r="AQ282" i="17" s="1"/>
  <c r="AR282" i="17" s="1"/>
  <c r="AA78" i="17"/>
  <c r="AB78" i="17" s="1"/>
  <c r="AB211" i="17"/>
  <c r="AC211" i="17" s="1"/>
  <c r="AB148" i="17"/>
  <c r="AC148" i="17" s="1"/>
  <c r="AA89" i="17"/>
  <c r="AB89" i="17" s="1"/>
  <c r="W189" i="17"/>
  <c r="X189" i="17" s="1"/>
  <c r="V182" i="17"/>
  <c r="W182" i="17" s="1"/>
  <c r="AK141" i="17"/>
  <c r="AL141" i="17" s="1"/>
  <c r="AM141" i="17" s="1"/>
  <c r="AN141" i="17" s="1"/>
  <c r="AO141" i="17" s="1"/>
  <c r="AP141" i="17" s="1"/>
  <c r="AQ141" i="17" s="1"/>
  <c r="AR141" i="17" s="1"/>
  <c r="AS141" i="17" s="1"/>
  <c r="AT141" i="17" s="1"/>
  <c r="AU141" i="17" s="1"/>
  <c r="AV141" i="17" s="1"/>
  <c r="AW141" i="17" s="1"/>
  <c r="AX141" i="17" s="1"/>
  <c r="AY141" i="17" s="1"/>
  <c r="AZ141" i="17" s="1"/>
  <c r="BA141" i="17" s="1"/>
  <c r="BB141" i="17" s="1"/>
  <c r="BC141" i="17" s="1"/>
  <c r="BD141" i="17" s="1"/>
  <c r="BE141" i="17" s="1"/>
  <c r="BF141" i="17" s="1"/>
  <c r="BG141" i="17" s="1"/>
  <c r="BH141" i="17" s="1"/>
  <c r="BI141" i="17" s="1"/>
  <c r="BJ141" i="17" s="1"/>
  <c r="BK141" i="17" s="1"/>
  <c r="BL141" i="17" s="1"/>
  <c r="BM141" i="17" s="1"/>
  <c r="BN141" i="17" s="1"/>
  <c r="BO141" i="17" s="1"/>
  <c r="BP141" i="17" s="1"/>
  <c r="BQ141" i="17" s="1"/>
  <c r="BR141" i="17" s="1"/>
  <c r="BS141" i="17" s="1"/>
  <c r="BT141" i="17" s="1"/>
  <c r="BU141" i="17" s="1"/>
  <c r="BV141" i="17" s="1"/>
  <c r="BW141" i="17" s="1"/>
  <c r="BX141" i="17" s="1"/>
  <c r="BY141" i="17" s="1"/>
  <c r="BZ141" i="17" s="1"/>
  <c r="CA141" i="17" s="1"/>
  <c r="CB141" i="17" s="1"/>
  <c r="CC141" i="17" s="1"/>
  <c r="CD141" i="17" s="1"/>
  <c r="CE141" i="17" s="1"/>
  <c r="CF141" i="17" s="1"/>
  <c r="CG141" i="17" s="1"/>
  <c r="CH141" i="17" s="1"/>
  <c r="CI141" i="17" s="1"/>
  <c r="CJ141" i="17" s="1"/>
  <c r="CK141" i="17" s="1"/>
  <c r="CL141" i="17" s="1"/>
  <c r="CM141" i="17" s="1"/>
  <c r="CN141" i="17" s="1"/>
  <c r="CO141" i="17" s="1"/>
  <c r="CP141" i="17" s="1"/>
  <c r="CQ141" i="17" s="1"/>
  <c r="CR141" i="17" s="1"/>
  <c r="CS141" i="17" s="1"/>
  <c r="CT141" i="17" s="1"/>
  <c r="CU141" i="17" s="1"/>
  <c r="CV141" i="17" s="1"/>
  <c r="CW141" i="17" s="1"/>
  <c r="CX141" i="17" s="1"/>
  <c r="CY141" i="17" s="1"/>
  <c r="CZ141" i="17" s="1"/>
  <c r="DA141" i="17" s="1"/>
  <c r="DB141" i="17" s="1"/>
  <c r="DC141" i="17" s="1"/>
  <c r="DD141" i="17" s="1"/>
  <c r="DE141" i="17" s="1"/>
  <c r="DF141" i="17" s="1"/>
  <c r="DG141" i="17" s="1"/>
  <c r="DH141" i="17" s="1"/>
  <c r="DI141" i="17" s="1"/>
  <c r="DJ141" i="17" s="1"/>
  <c r="DK141" i="17" s="1"/>
  <c r="DL141" i="17" s="1"/>
  <c r="AA119" i="17"/>
  <c r="AB119" i="17" s="1"/>
  <c r="AC119" i="17" s="1"/>
  <c r="AD119" i="17" s="1"/>
  <c r="AE119" i="17" s="1"/>
  <c r="AF119" i="17" s="1"/>
  <c r="AG119" i="17" s="1"/>
  <c r="AH119" i="17" s="1"/>
  <c r="AI119" i="17" s="1"/>
  <c r="AJ119" i="17" s="1"/>
  <c r="AK119" i="17" s="1"/>
  <c r="AL119" i="17" s="1"/>
  <c r="AM119" i="17" s="1"/>
  <c r="AN119" i="17" s="1"/>
  <c r="AO119" i="17" s="1"/>
  <c r="AP119" i="17" s="1"/>
  <c r="AQ119" i="17" s="1"/>
  <c r="AR119" i="17" s="1"/>
  <c r="AS119" i="17" s="1"/>
  <c r="AT119" i="17" s="1"/>
  <c r="AU119" i="17" s="1"/>
  <c r="AV119" i="17" s="1"/>
  <c r="AW119" i="17" s="1"/>
  <c r="AX119" i="17" s="1"/>
  <c r="AY119" i="17" s="1"/>
  <c r="AZ119" i="17" s="1"/>
  <c r="BA119" i="17" s="1"/>
  <c r="BB119" i="17" s="1"/>
  <c r="BC119" i="17" s="1"/>
  <c r="BD119" i="17" s="1"/>
  <c r="BE119" i="17" s="1"/>
  <c r="BF119" i="17" s="1"/>
  <c r="BG119" i="17" s="1"/>
  <c r="BH119" i="17" s="1"/>
  <c r="BI119" i="17" s="1"/>
  <c r="BJ119" i="17" s="1"/>
  <c r="BK119" i="17" s="1"/>
  <c r="BL119" i="17" s="1"/>
  <c r="BM119" i="17" s="1"/>
  <c r="BN119" i="17" s="1"/>
  <c r="BO119" i="17" s="1"/>
  <c r="BP119" i="17" s="1"/>
  <c r="BQ119" i="17" s="1"/>
  <c r="BR119" i="17" s="1"/>
  <c r="BS119" i="17" s="1"/>
  <c r="BT119" i="17" s="1"/>
  <c r="BU119" i="17" s="1"/>
  <c r="BV119" i="17" s="1"/>
  <c r="BW119" i="17" s="1"/>
  <c r="BX119" i="17" s="1"/>
  <c r="BY119" i="17" s="1"/>
  <c r="BZ119" i="17" s="1"/>
  <c r="CA119" i="17" s="1"/>
  <c r="CB119" i="17" s="1"/>
  <c r="CC119" i="17" s="1"/>
  <c r="CD119" i="17" s="1"/>
  <c r="CE119" i="17" s="1"/>
  <c r="CF119" i="17" s="1"/>
  <c r="CG119" i="17" s="1"/>
  <c r="CH119" i="17" s="1"/>
  <c r="CI119" i="17" s="1"/>
  <c r="CJ119" i="17" s="1"/>
  <c r="CK119" i="17" s="1"/>
  <c r="CL119" i="17" s="1"/>
  <c r="CM119" i="17" s="1"/>
  <c r="CN119" i="17" s="1"/>
  <c r="CO119" i="17" s="1"/>
  <c r="CP119" i="17" s="1"/>
  <c r="CQ119" i="17" s="1"/>
  <c r="CR119" i="17" s="1"/>
  <c r="CS119" i="17" s="1"/>
  <c r="CT119" i="17" s="1"/>
  <c r="CU119" i="17" s="1"/>
  <c r="CV119" i="17" s="1"/>
  <c r="CW119" i="17" s="1"/>
  <c r="CX119" i="17" s="1"/>
  <c r="CY119" i="17" s="1"/>
  <c r="CZ119" i="17" s="1"/>
  <c r="DA119" i="17" s="1"/>
  <c r="DB119" i="17" s="1"/>
  <c r="DC119" i="17" s="1"/>
  <c r="DD119" i="17" s="1"/>
  <c r="DE119" i="17" s="1"/>
  <c r="DF119" i="17" s="1"/>
  <c r="DG119" i="17" s="1"/>
  <c r="DH119" i="17" s="1"/>
  <c r="DI119" i="17" s="1"/>
  <c r="DJ119" i="17" s="1"/>
  <c r="DK119" i="17" s="1"/>
  <c r="DL119" i="17" s="1"/>
  <c r="X67" i="17"/>
  <c r="Y67" i="17" s="1"/>
  <c r="Z67" i="17" s="1"/>
  <c r="Y146" i="17"/>
  <c r="W149" i="17"/>
  <c r="X149" i="17" s="1"/>
  <c r="Y149" i="17" s="1"/>
  <c r="AH71" i="17"/>
  <c r="AI71" i="17" s="1"/>
  <c r="AJ71" i="17" s="1"/>
  <c r="AK71" i="17" s="1"/>
  <c r="AL71" i="17" s="1"/>
  <c r="AM71" i="17" s="1"/>
  <c r="AN71" i="17" s="1"/>
  <c r="AO71" i="17" s="1"/>
  <c r="AP71" i="17" s="1"/>
  <c r="AQ71" i="17" s="1"/>
  <c r="AR71" i="17" s="1"/>
  <c r="AS71" i="17" s="1"/>
  <c r="AT71" i="17" s="1"/>
  <c r="AU71" i="17" s="1"/>
  <c r="AV71" i="17" s="1"/>
  <c r="AW71" i="17" s="1"/>
  <c r="AX71" i="17" s="1"/>
  <c r="AY71" i="17" s="1"/>
  <c r="AZ71" i="17" s="1"/>
  <c r="BA71" i="17" s="1"/>
  <c r="BB71" i="17" s="1"/>
  <c r="BC71" i="17" s="1"/>
  <c r="BD71" i="17" s="1"/>
  <c r="BE71" i="17" s="1"/>
  <c r="BF71" i="17" s="1"/>
  <c r="BG71" i="17" s="1"/>
  <c r="BH71" i="17" s="1"/>
  <c r="BI71" i="17" s="1"/>
  <c r="BJ71" i="17" s="1"/>
  <c r="BK71" i="17" s="1"/>
  <c r="BL71" i="17" s="1"/>
  <c r="BM71" i="17" s="1"/>
  <c r="BN71" i="17" s="1"/>
  <c r="BO71" i="17" s="1"/>
  <c r="BP71" i="17" s="1"/>
  <c r="BQ71" i="17" s="1"/>
  <c r="BR71" i="17" s="1"/>
  <c r="BS71" i="17" s="1"/>
  <c r="BT71" i="17" s="1"/>
  <c r="BU71" i="17" s="1"/>
  <c r="BV71" i="17" s="1"/>
  <c r="BW71" i="17" s="1"/>
  <c r="BX71" i="17" s="1"/>
  <c r="BY71" i="17" s="1"/>
  <c r="BZ71" i="17" s="1"/>
  <c r="CA71" i="17" s="1"/>
  <c r="CB71" i="17" s="1"/>
  <c r="CC71" i="17" s="1"/>
  <c r="CD71" i="17" s="1"/>
  <c r="CE71" i="17" s="1"/>
  <c r="CF71" i="17" s="1"/>
  <c r="CG71" i="17" s="1"/>
  <c r="CH71" i="17" s="1"/>
  <c r="CI71" i="17" s="1"/>
  <c r="CJ71" i="17" s="1"/>
  <c r="CK71" i="17" s="1"/>
  <c r="CL71" i="17" s="1"/>
  <c r="CM71" i="17" s="1"/>
  <c r="CN71" i="17" s="1"/>
  <c r="CO71" i="17" s="1"/>
  <c r="CP71" i="17" s="1"/>
  <c r="CQ71" i="17" s="1"/>
  <c r="CR71" i="17" s="1"/>
  <c r="CS71" i="17" s="1"/>
  <c r="CT71" i="17" s="1"/>
  <c r="CU71" i="17" s="1"/>
  <c r="CV71" i="17" s="1"/>
  <c r="CW71" i="17" s="1"/>
  <c r="CX71" i="17" s="1"/>
  <c r="CY71" i="17" s="1"/>
  <c r="CZ71" i="17" s="1"/>
  <c r="DA71" i="17" s="1"/>
  <c r="DB71" i="17" s="1"/>
  <c r="DC71" i="17" s="1"/>
  <c r="DD71" i="17" s="1"/>
  <c r="DE71" i="17" s="1"/>
  <c r="DF71" i="17" s="1"/>
  <c r="DG71" i="17" s="1"/>
  <c r="DH71" i="17" s="1"/>
  <c r="DI71" i="17" s="1"/>
  <c r="DJ71" i="17" s="1"/>
  <c r="DK71" i="17" s="1"/>
  <c r="DL71" i="17" s="1"/>
  <c r="AA229" i="17"/>
  <c r="AB229" i="17" s="1"/>
  <c r="AC229" i="17" s="1"/>
  <c r="AD229" i="17" s="1"/>
  <c r="AE229" i="17" s="1"/>
  <c r="AF229" i="17" s="1"/>
  <c r="AG229" i="17" s="1"/>
  <c r="AH229" i="17" s="1"/>
  <c r="AI229" i="17" s="1"/>
  <c r="AA188" i="17"/>
  <c r="AB188" i="17" s="1"/>
  <c r="W233" i="17"/>
  <c r="X233" i="17" s="1"/>
  <c r="W278" i="17"/>
  <c r="X278" i="17" s="1"/>
  <c r="W58" i="17"/>
  <c r="X58" i="17" s="1"/>
  <c r="Y58" i="17" s="1"/>
  <c r="Z58" i="17" s="1"/>
  <c r="AA58" i="17" s="1"/>
  <c r="AB58" i="17" s="1"/>
  <c r="AC58" i="17" s="1"/>
  <c r="AD58" i="17" s="1"/>
  <c r="AE58" i="17" s="1"/>
  <c r="AF58" i="17" s="1"/>
  <c r="AG58" i="17" s="1"/>
  <c r="AH58" i="17" s="1"/>
  <c r="AI58" i="17" s="1"/>
  <c r="AJ58" i="17" s="1"/>
  <c r="AK58" i="17" s="1"/>
  <c r="AL58" i="17" s="1"/>
  <c r="AM58" i="17" s="1"/>
  <c r="AN58" i="17" s="1"/>
  <c r="AO58" i="17" s="1"/>
  <c r="AP58" i="17" s="1"/>
  <c r="AQ58" i="17" s="1"/>
  <c r="AR58" i="17" s="1"/>
  <c r="AS58" i="17" s="1"/>
  <c r="AT58" i="17" s="1"/>
  <c r="AU58" i="17" s="1"/>
  <c r="AV58" i="17" s="1"/>
  <c r="AW58" i="17" s="1"/>
  <c r="AX58" i="17" s="1"/>
  <c r="AY58" i="17" s="1"/>
  <c r="AZ58" i="17" s="1"/>
  <c r="BA58" i="17" s="1"/>
  <c r="BB58" i="17" s="1"/>
  <c r="BC58" i="17" s="1"/>
  <c r="BD58" i="17" s="1"/>
  <c r="BE58" i="17" s="1"/>
  <c r="BF58" i="17" s="1"/>
  <c r="BG58" i="17" s="1"/>
  <c r="BH58" i="17" s="1"/>
  <c r="BI58" i="17" s="1"/>
  <c r="BJ58" i="17" s="1"/>
  <c r="BK58" i="17" s="1"/>
  <c r="BL58" i="17" s="1"/>
  <c r="BM58" i="17" s="1"/>
  <c r="BN58" i="17" s="1"/>
  <c r="BO58" i="17" s="1"/>
  <c r="BP58" i="17" s="1"/>
  <c r="BQ58" i="17" s="1"/>
  <c r="BR58" i="17" s="1"/>
  <c r="BS58" i="17" s="1"/>
  <c r="BT58" i="17" s="1"/>
  <c r="BU58" i="17" s="1"/>
  <c r="BV58" i="17" s="1"/>
  <c r="BW58" i="17" s="1"/>
  <c r="BX58" i="17" s="1"/>
  <c r="BY58" i="17" s="1"/>
  <c r="BZ58" i="17" s="1"/>
  <c r="CA58" i="17" s="1"/>
  <c r="CB58" i="17" s="1"/>
  <c r="CC58" i="17" s="1"/>
  <c r="CD58" i="17" s="1"/>
  <c r="CE58" i="17" s="1"/>
  <c r="CF58" i="17" s="1"/>
  <c r="CG58" i="17" s="1"/>
  <c r="CH58" i="17" s="1"/>
  <c r="CI58" i="17" s="1"/>
  <c r="CJ58" i="17" s="1"/>
  <c r="CK58" i="17" s="1"/>
  <c r="CL58" i="17" s="1"/>
  <c r="CM58" i="17" s="1"/>
  <c r="CN58" i="17" s="1"/>
  <c r="CO58" i="17" s="1"/>
  <c r="CP58" i="17" s="1"/>
  <c r="CQ58" i="17" s="1"/>
  <c r="CR58" i="17" s="1"/>
  <c r="CS58" i="17" s="1"/>
  <c r="CT58" i="17" s="1"/>
  <c r="CU58" i="17" s="1"/>
  <c r="CV58" i="17" s="1"/>
  <c r="CW58" i="17" s="1"/>
  <c r="CX58" i="17" s="1"/>
  <c r="CY58" i="17" s="1"/>
  <c r="CZ58" i="17" s="1"/>
  <c r="DA58" i="17" s="1"/>
  <c r="DB58" i="17" s="1"/>
  <c r="DC58" i="17" s="1"/>
  <c r="DD58" i="17" s="1"/>
  <c r="DE58" i="17" s="1"/>
  <c r="DF58" i="17" s="1"/>
  <c r="DG58" i="17" s="1"/>
  <c r="DH58" i="17" s="1"/>
  <c r="DI58" i="17" s="1"/>
  <c r="DJ58" i="17" s="1"/>
  <c r="DK58" i="17" s="1"/>
  <c r="DL58" i="17" s="1"/>
  <c r="AA76" i="17"/>
  <c r="AB76" i="17" s="1"/>
  <c r="AC76" i="17" s="1"/>
  <c r="AD76" i="17" s="1"/>
  <c r="AE76" i="17" s="1"/>
  <c r="AF76" i="17" s="1"/>
  <c r="AG76" i="17" s="1"/>
  <c r="AH76" i="17" s="1"/>
  <c r="AI76" i="17" s="1"/>
  <c r="AJ76" i="17" s="1"/>
  <c r="AK76" i="17" s="1"/>
  <c r="AL76" i="17" s="1"/>
  <c r="AM76" i="17" s="1"/>
  <c r="AN76" i="17" s="1"/>
  <c r="AO76" i="17" s="1"/>
  <c r="AP76" i="17" s="1"/>
  <c r="AQ76" i="17" s="1"/>
  <c r="AR76" i="17" s="1"/>
  <c r="AS76" i="17" s="1"/>
  <c r="AT76" i="17" s="1"/>
  <c r="AU76" i="17" s="1"/>
  <c r="AV76" i="17" s="1"/>
  <c r="AW76" i="17" s="1"/>
  <c r="AX76" i="17" s="1"/>
  <c r="AY76" i="17" s="1"/>
  <c r="AZ76" i="17" s="1"/>
  <c r="BA76" i="17" s="1"/>
  <c r="BB76" i="17" s="1"/>
  <c r="BC76" i="17" s="1"/>
  <c r="BD76" i="17" s="1"/>
  <c r="BE76" i="17" s="1"/>
  <c r="BF76" i="17" s="1"/>
  <c r="BG76" i="17" s="1"/>
  <c r="BH76" i="17" s="1"/>
  <c r="BI76" i="17" s="1"/>
  <c r="BJ76" i="17" s="1"/>
  <c r="BK76" i="17" s="1"/>
  <c r="BL76" i="17" s="1"/>
  <c r="BM76" i="17" s="1"/>
  <c r="BN76" i="17" s="1"/>
  <c r="BO76" i="17" s="1"/>
  <c r="BP76" i="17" s="1"/>
  <c r="BQ76" i="17" s="1"/>
  <c r="BR76" i="17" s="1"/>
  <c r="BS76" i="17" s="1"/>
  <c r="BT76" i="17" s="1"/>
  <c r="BU76" i="17" s="1"/>
  <c r="BV76" i="17" s="1"/>
  <c r="BW76" i="17" s="1"/>
  <c r="BX76" i="17" s="1"/>
  <c r="BY76" i="17" s="1"/>
  <c r="BZ76" i="17" s="1"/>
  <c r="CA76" i="17" s="1"/>
  <c r="CB76" i="17" s="1"/>
  <c r="CC76" i="17" s="1"/>
  <c r="CD76" i="17" s="1"/>
  <c r="CE76" i="17" s="1"/>
  <c r="CF76" i="17" s="1"/>
  <c r="CG76" i="17" s="1"/>
  <c r="CH76" i="17" s="1"/>
  <c r="CI76" i="17" s="1"/>
  <c r="CJ76" i="17" s="1"/>
  <c r="CK76" i="17" s="1"/>
  <c r="CL76" i="17" s="1"/>
  <c r="CM76" i="17" s="1"/>
  <c r="CN76" i="17" s="1"/>
  <c r="CO76" i="17" s="1"/>
  <c r="CP76" i="17" s="1"/>
  <c r="CQ76" i="17" s="1"/>
  <c r="CR76" i="17" s="1"/>
  <c r="CS76" i="17" s="1"/>
  <c r="CT76" i="17" s="1"/>
  <c r="CU76" i="17" s="1"/>
  <c r="CV76" i="17" s="1"/>
  <c r="CW76" i="17" s="1"/>
  <c r="CX76" i="17" s="1"/>
  <c r="CY76" i="17" s="1"/>
  <c r="CZ76" i="17" s="1"/>
  <c r="DA76" i="17" s="1"/>
  <c r="DB76" i="17" s="1"/>
  <c r="DC76" i="17" s="1"/>
  <c r="DD76" i="17" s="1"/>
  <c r="DE76" i="17" s="1"/>
  <c r="DF76" i="17" s="1"/>
  <c r="DG76" i="17" s="1"/>
  <c r="DH76" i="17" s="1"/>
  <c r="DI76" i="17" s="1"/>
  <c r="DJ76" i="17" s="1"/>
  <c r="DK76" i="17" s="1"/>
  <c r="DL76" i="17" s="1"/>
  <c r="Y240" i="17"/>
  <c r="Z240" i="17" s="1"/>
  <c r="AA240" i="17" s="1"/>
  <c r="AB240" i="17" s="1"/>
  <c r="AC240" i="17" s="1"/>
  <c r="AD240" i="17" s="1"/>
  <c r="AE240" i="17" s="1"/>
  <c r="AF240" i="17" s="1"/>
  <c r="AG240" i="17" s="1"/>
  <c r="AH240" i="17" s="1"/>
  <c r="AI240" i="17" s="1"/>
  <c r="AJ240" i="17" s="1"/>
  <c r="AK240" i="17" s="1"/>
  <c r="AL240" i="17" s="1"/>
  <c r="AM240" i="17" s="1"/>
  <c r="AN240" i="17" s="1"/>
  <c r="AO240" i="17" s="1"/>
  <c r="AP240" i="17" s="1"/>
  <c r="AQ240" i="17" s="1"/>
  <c r="AR240" i="17" s="1"/>
  <c r="AS240" i="17" s="1"/>
  <c r="AT240" i="17" s="1"/>
  <c r="AU240" i="17" s="1"/>
  <c r="AV240" i="17" s="1"/>
  <c r="AW240" i="17" s="1"/>
  <c r="AX240" i="17" s="1"/>
  <c r="AY240" i="17" s="1"/>
  <c r="AZ240" i="17" s="1"/>
  <c r="BA240" i="17" s="1"/>
  <c r="BB240" i="17" s="1"/>
  <c r="BC240" i="17" s="1"/>
  <c r="BD240" i="17" s="1"/>
  <c r="BE240" i="17" s="1"/>
  <c r="BF240" i="17" s="1"/>
  <c r="BG240" i="17" s="1"/>
  <c r="BH240" i="17" s="1"/>
  <c r="BI240" i="17" s="1"/>
  <c r="BJ240" i="17" s="1"/>
  <c r="BK240" i="17" s="1"/>
  <c r="BL240" i="17" s="1"/>
  <c r="BM240" i="17" s="1"/>
  <c r="BN240" i="17" s="1"/>
  <c r="BO240" i="17" s="1"/>
  <c r="BP240" i="17" s="1"/>
  <c r="BQ240" i="17" s="1"/>
  <c r="BR240" i="17" s="1"/>
  <c r="BS240" i="17" s="1"/>
  <c r="BT240" i="17" s="1"/>
  <c r="BU240" i="17" s="1"/>
  <c r="BV240" i="17" s="1"/>
  <c r="BW240" i="17" s="1"/>
  <c r="BX240" i="17" s="1"/>
  <c r="BY240" i="17" s="1"/>
  <c r="BZ240" i="17" s="1"/>
  <c r="CA240" i="17" s="1"/>
  <c r="CB240" i="17" s="1"/>
  <c r="CC240" i="17" s="1"/>
  <c r="CD240" i="17" s="1"/>
  <c r="CE240" i="17" s="1"/>
  <c r="CF240" i="17" s="1"/>
  <c r="CG240" i="17" s="1"/>
  <c r="CH240" i="17" s="1"/>
  <c r="CI240" i="17" s="1"/>
  <c r="CJ240" i="17" s="1"/>
  <c r="CK240" i="17" s="1"/>
  <c r="CL240" i="17" s="1"/>
  <c r="CM240" i="17" s="1"/>
  <c r="CN240" i="17" s="1"/>
  <c r="CO240" i="17" s="1"/>
  <c r="CP240" i="17" s="1"/>
  <c r="CQ240" i="17" s="1"/>
  <c r="CR240" i="17" s="1"/>
  <c r="CS240" i="17" s="1"/>
  <c r="CT240" i="17" s="1"/>
  <c r="CU240" i="17" s="1"/>
  <c r="CV240" i="17" s="1"/>
  <c r="CW240" i="17" s="1"/>
  <c r="CX240" i="17" s="1"/>
  <c r="CY240" i="17" s="1"/>
  <c r="CZ240" i="17" s="1"/>
  <c r="DA240" i="17" s="1"/>
  <c r="DB240" i="17" s="1"/>
  <c r="DC240" i="17" s="1"/>
  <c r="DD240" i="17" s="1"/>
  <c r="DE240" i="17" s="1"/>
  <c r="DF240" i="17" s="1"/>
  <c r="DG240" i="17" s="1"/>
  <c r="DH240" i="17" s="1"/>
  <c r="DI240" i="17" s="1"/>
  <c r="DJ240" i="17" s="1"/>
  <c r="DK240" i="17" s="1"/>
  <c r="DL240" i="17" s="1"/>
  <c r="BB99" i="17"/>
  <c r="BC99" i="17" s="1"/>
  <c r="BD99" i="17" s="1"/>
  <c r="BE99" i="17" s="1"/>
  <c r="BF99" i="17" s="1"/>
  <c r="BG99" i="17" s="1"/>
  <c r="BH99" i="17" s="1"/>
  <c r="BI99" i="17" s="1"/>
  <c r="BJ99" i="17" s="1"/>
  <c r="BK99" i="17" s="1"/>
  <c r="BL99" i="17" s="1"/>
  <c r="BM99" i="17" s="1"/>
  <c r="BN99" i="17" s="1"/>
  <c r="BO99" i="17" s="1"/>
  <c r="BP99" i="17" s="1"/>
  <c r="BQ99" i="17" s="1"/>
  <c r="BR99" i="17" s="1"/>
  <c r="BS99" i="17" s="1"/>
  <c r="BT99" i="17" s="1"/>
  <c r="BU99" i="17" s="1"/>
  <c r="BV99" i="17" s="1"/>
  <c r="BW99" i="17" s="1"/>
  <c r="BX99" i="17" s="1"/>
  <c r="BY99" i="17" s="1"/>
  <c r="BZ99" i="17" s="1"/>
  <c r="CA99" i="17" s="1"/>
  <c r="CB99" i="17" s="1"/>
  <c r="CC99" i="17" s="1"/>
  <c r="CD99" i="17" s="1"/>
  <c r="CE99" i="17" s="1"/>
  <c r="CF99" i="17" s="1"/>
  <c r="CG99" i="17" s="1"/>
  <c r="CH99" i="17" s="1"/>
  <c r="CI99" i="17" s="1"/>
  <c r="CJ99" i="17" s="1"/>
  <c r="CK99" i="17" s="1"/>
  <c r="CL99" i="17" s="1"/>
  <c r="CM99" i="17" s="1"/>
  <c r="CN99" i="17" s="1"/>
  <c r="CO99" i="17" s="1"/>
  <c r="CP99" i="17" s="1"/>
  <c r="CQ99" i="17" s="1"/>
  <c r="CR99" i="17" s="1"/>
  <c r="CS99" i="17" s="1"/>
  <c r="CT99" i="17" s="1"/>
  <c r="CU99" i="17" s="1"/>
  <c r="CV99" i="17" s="1"/>
  <c r="CW99" i="17" s="1"/>
  <c r="CX99" i="17" s="1"/>
  <c r="CY99" i="17" s="1"/>
  <c r="CZ99" i="17" s="1"/>
  <c r="DA99" i="17" s="1"/>
  <c r="DB99" i="17" s="1"/>
  <c r="DC99" i="17" s="1"/>
  <c r="DD99" i="17" s="1"/>
  <c r="DE99" i="17" s="1"/>
  <c r="DF99" i="17" s="1"/>
  <c r="DG99" i="17" s="1"/>
  <c r="DH99" i="17" s="1"/>
  <c r="DI99" i="17" s="1"/>
  <c r="DJ99" i="17" s="1"/>
  <c r="DK99" i="17" s="1"/>
  <c r="DL99" i="17" s="1"/>
  <c r="AB135" i="17"/>
  <c r="Z257" i="17"/>
  <c r="AA257" i="17" s="1"/>
  <c r="AB257" i="17" s="1"/>
  <c r="AC257" i="17" s="1"/>
  <c r="W142" i="17"/>
  <c r="X142" i="17" s="1"/>
  <c r="X191" i="17"/>
  <c r="Z265" i="17"/>
  <c r="AA265" i="17" s="1"/>
  <c r="AB265" i="17" s="1"/>
  <c r="AC265" i="17" s="1"/>
  <c r="AD265" i="17" s="1"/>
  <c r="V145" i="17"/>
  <c r="W145" i="17" s="1"/>
  <c r="Y60" i="17"/>
  <c r="Z60" i="17" s="1"/>
  <c r="AA60" i="17" s="1"/>
  <c r="AB60" i="17" s="1"/>
  <c r="AC60" i="17" s="1"/>
  <c r="AD60" i="17" s="1"/>
  <c r="AE60" i="17" s="1"/>
  <c r="AF60" i="17" s="1"/>
  <c r="AG60" i="17" s="1"/>
  <c r="AH60" i="17" s="1"/>
  <c r="AI60" i="17" s="1"/>
  <c r="AJ60" i="17" s="1"/>
  <c r="AK60" i="17" s="1"/>
  <c r="AL60" i="17" s="1"/>
  <c r="AM60" i="17" s="1"/>
  <c r="AN60" i="17" s="1"/>
  <c r="AO60" i="17" s="1"/>
  <c r="AP60" i="17" s="1"/>
  <c r="AQ60" i="17" s="1"/>
  <c r="AR60" i="17" s="1"/>
  <c r="AS60" i="17" s="1"/>
  <c r="W109" i="17"/>
  <c r="X109" i="17" s="1"/>
  <c r="Y109" i="17" s="1"/>
  <c r="Z109" i="17" s="1"/>
  <c r="AA109" i="17" s="1"/>
  <c r="AB109" i="17" s="1"/>
  <c r="AC109" i="17" s="1"/>
  <c r="AD109" i="17" s="1"/>
  <c r="AE109" i="17" s="1"/>
  <c r="AF109" i="17" s="1"/>
  <c r="AG109" i="17" s="1"/>
  <c r="AH109" i="17" s="1"/>
  <c r="AI109" i="17" s="1"/>
  <c r="AJ109" i="17" s="1"/>
  <c r="AK109" i="17" s="1"/>
  <c r="AL109" i="17" s="1"/>
  <c r="AM109" i="17" s="1"/>
  <c r="AN109" i="17" s="1"/>
  <c r="AO109" i="17" s="1"/>
  <c r="AP109" i="17" s="1"/>
  <c r="AQ109" i="17" s="1"/>
  <c r="AR109" i="17" s="1"/>
  <c r="AS109" i="17" s="1"/>
  <c r="AT109" i="17" s="1"/>
  <c r="AU109" i="17" s="1"/>
  <c r="AV109" i="17" s="1"/>
  <c r="AW109" i="17" s="1"/>
  <c r="AX109" i="17" s="1"/>
  <c r="AY109" i="17" s="1"/>
  <c r="AZ109" i="17" s="1"/>
  <c r="BA109" i="17" s="1"/>
  <c r="BB109" i="17" s="1"/>
  <c r="BC109" i="17" s="1"/>
  <c r="BD109" i="17" s="1"/>
  <c r="BE109" i="17" s="1"/>
  <c r="BF109" i="17" s="1"/>
  <c r="BG109" i="17" s="1"/>
  <c r="BH109" i="17" s="1"/>
  <c r="BI109" i="17" s="1"/>
  <c r="BJ109" i="17" s="1"/>
  <c r="BK109" i="17" s="1"/>
  <c r="BL109" i="17" s="1"/>
  <c r="BM109" i="17" s="1"/>
  <c r="BN109" i="17" s="1"/>
  <c r="BO109" i="17" s="1"/>
  <c r="BP109" i="17" s="1"/>
  <c r="BQ109" i="17" s="1"/>
  <c r="BR109" i="17" s="1"/>
  <c r="BS109" i="17" s="1"/>
  <c r="BT109" i="17" s="1"/>
  <c r="BU109" i="17" s="1"/>
  <c r="BV109" i="17" s="1"/>
  <c r="BW109" i="17" s="1"/>
  <c r="BX109" i="17" s="1"/>
  <c r="BY109" i="17" s="1"/>
  <c r="BZ109" i="17" s="1"/>
  <c r="CA109" i="17" s="1"/>
  <c r="CB109" i="17" s="1"/>
  <c r="CC109" i="17" s="1"/>
  <c r="CD109" i="17" s="1"/>
  <c r="CE109" i="17" s="1"/>
  <c r="CF109" i="17" s="1"/>
  <c r="CG109" i="17" s="1"/>
  <c r="CH109" i="17" s="1"/>
  <c r="CI109" i="17" s="1"/>
  <c r="CJ109" i="17" s="1"/>
  <c r="CK109" i="17" s="1"/>
  <c r="CL109" i="17" s="1"/>
  <c r="CM109" i="17" s="1"/>
  <c r="CN109" i="17" s="1"/>
  <c r="CO109" i="17" s="1"/>
  <c r="CP109" i="17" s="1"/>
  <c r="CQ109" i="17" s="1"/>
  <c r="CR109" i="17" s="1"/>
  <c r="CS109" i="17" s="1"/>
  <c r="CT109" i="17" s="1"/>
  <c r="CU109" i="17" s="1"/>
  <c r="CV109" i="17" s="1"/>
  <c r="CW109" i="17" s="1"/>
  <c r="CX109" i="17" s="1"/>
  <c r="CY109" i="17" s="1"/>
  <c r="CZ109" i="17" s="1"/>
  <c r="DA109" i="17" s="1"/>
  <c r="DB109" i="17" s="1"/>
  <c r="DC109" i="17" s="1"/>
  <c r="DD109" i="17" s="1"/>
  <c r="DE109" i="17" s="1"/>
  <c r="DF109" i="17" s="1"/>
  <c r="DG109" i="17" s="1"/>
  <c r="DH109" i="17" s="1"/>
  <c r="DI109" i="17" s="1"/>
  <c r="DJ109" i="17" s="1"/>
  <c r="DK109" i="17" s="1"/>
  <c r="DL109" i="17" s="1"/>
  <c r="Y237" i="17"/>
  <c r="AC166" i="17"/>
  <c r="AD166" i="17" s="1"/>
  <c r="AE166" i="17" s="1"/>
  <c r="AF166" i="17" s="1"/>
  <c r="AG166" i="17" s="1"/>
  <c r="AH166" i="17" s="1"/>
  <c r="AI166" i="17" s="1"/>
  <c r="AJ166" i="17" s="1"/>
  <c r="AK166" i="17" s="1"/>
  <c r="AL166" i="17" s="1"/>
  <c r="AM166" i="17" s="1"/>
  <c r="AN166" i="17" s="1"/>
  <c r="AO166" i="17" s="1"/>
  <c r="AP166" i="17" s="1"/>
  <c r="AQ166" i="17" s="1"/>
  <c r="AR166" i="17" s="1"/>
  <c r="AB100" i="17"/>
  <c r="W57" i="17"/>
  <c r="X57" i="17" s="1"/>
  <c r="AA250" i="17"/>
  <c r="AB250" i="17" s="1"/>
  <c r="AC250" i="17" s="1"/>
  <c r="AD250" i="17" s="1"/>
  <c r="AE250" i="17" s="1"/>
  <c r="AF250" i="17" s="1"/>
  <c r="AG250" i="17" s="1"/>
  <c r="AH250" i="17" s="1"/>
  <c r="AI250" i="17" s="1"/>
  <c r="AJ250" i="17" s="1"/>
  <c r="AK250" i="17" s="1"/>
  <c r="AL250" i="17" s="1"/>
  <c r="AM250" i="17" s="1"/>
  <c r="AN250" i="17" s="1"/>
  <c r="Z225" i="17"/>
  <c r="AA225" i="17" s="1"/>
  <c r="AB225" i="17" s="1"/>
  <c r="AC225" i="17" s="1"/>
  <c r="AD225" i="17" s="1"/>
  <c r="AE225" i="17" s="1"/>
  <c r="AF225" i="17" s="1"/>
  <c r="AG225" i="17" s="1"/>
  <c r="AH225" i="17" s="1"/>
  <c r="AI225" i="17" s="1"/>
  <c r="AJ225" i="17" s="1"/>
  <c r="AK225" i="17" s="1"/>
  <c r="AL225" i="17" s="1"/>
  <c r="AM225" i="17" s="1"/>
  <c r="AN225" i="17" s="1"/>
  <c r="AO225" i="17" s="1"/>
  <c r="AP225" i="17" s="1"/>
  <c r="AQ225" i="17" s="1"/>
  <c r="AR225" i="17" s="1"/>
  <c r="AS225" i="17" s="1"/>
  <c r="AT225" i="17" s="1"/>
  <c r="AU225" i="17" s="1"/>
  <c r="AV225" i="17" s="1"/>
  <c r="W32" i="17"/>
  <c r="V136" i="17"/>
  <c r="X51" i="17"/>
  <c r="Y51" i="17" s="1"/>
  <c r="Z215" i="17"/>
  <c r="AA215" i="17" s="1"/>
  <c r="AB215" i="17" s="1"/>
  <c r="AC215" i="17" s="1"/>
  <c r="AD215" i="17" s="1"/>
  <c r="AE215" i="17" s="1"/>
  <c r="AA49" i="17"/>
  <c r="AB49" i="17" s="1"/>
  <c r="AJ118" i="17"/>
  <c r="AK118" i="17" s="1"/>
  <c r="AL118" i="17" s="1"/>
  <c r="AM118" i="17" s="1"/>
  <c r="AN118" i="17" s="1"/>
  <c r="AO118" i="17" s="1"/>
  <c r="AP118" i="17" s="1"/>
  <c r="AQ118" i="17" s="1"/>
  <c r="AR118" i="17" s="1"/>
  <c r="AS118" i="17" s="1"/>
  <c r="AT118" i="17" s="1"/>
  <c r="AU118" i="17" s="1"/>
  <c r="AV118" i="17" s="1"/>
  <c r="AW118" i="17" s="1"/>
  <c r="AX118" i="17" s="1"/>
  <c r="AY118" i="17" s="1"/>
  <c r="AZ118" i="17" s="1"/>
  <c r="BA118" i="17" s="1"/>
  <c r="BB118" i="17" s="1"/>
  <c r="BC118" i="17" s="1"/>
  <c r="BD118" i="17" s="1"/>
  <c r="BE118" i="17" s="1"/>
  <c r="BF118" i="17" s="1"/>
  <c r="BG118" i="17" s="1"/>
  <c r="BH118" i="17" s="1"/>
  <c r="BI118" i="17" s="1"/>
  <c r="BJ118" i="17" s="1"/>
  <c r="BK118" i="17" s="1"/>
  <c r="BL118" i="17" s="1"/>
  <c r="BM118" i="17" s="1"/>
  <c r="BN118" i="17" s="1"/>
  <c r="BO118" i="17" s="1"/>
  <c r="BP118" i="17" s="1"/>
  <c r="BQ118" i="17" s="1"/>
  <c r="BR118" i="17" s="1"/>
  <c r="BS118" i="17" s="1"/>
  <c r="BT118" i="17" s="1"/>
  <c r="BU118" i="17" s="1"/>
  <c r="BV118" i="17" s="1"/>
  <c r="BW118" i="17" s="1"/>
  <c r="BX118" i="17" s="1"/>
  <c r="BY118" i="17" s="1"/>
  <c r="BZ118" i="17" s="1"/>
  <c r="CA118" i="17" s="1"/>
  <c r="CB118" i="17" s="1"/>
  <c r="CC118" i="17" s="1"/>
  <c r="CD118" i="17" s="1"/>
  <c r="CE118" i="17" s="1"/>
  <c r="CF118" i="17" s="1"/>
  <c r="CG118" i="17" s="1"/>
  <c r="CH118" i="17" s="1"/>
  <c r="CI118" i="17" s="1"/>
  <c r="CJ118" i="17" s="1"/>
  <c r="CK118" i="17" s="1"/>
  <c r="CL118" i="17" s="1"/>
  <c r="CM118" i="17" s="1"/>
  <c r="CN118" i="17" s="1"/>
  <c r="CO118" i="17" s="1"/>
  <c r="CP118" i="17" s="1"/>
  <c r="CQ118" i="17" s="1"/>
  <c r="CR118" i="17" s="1"/>
  <c r="CS118" i="17" s="1"/>
  <c r="CT118" i="17" s="1"/>
  <c r="CU118" i="17" s="1"/>
  <c r="CV118" i="17" s="1"/>
  <c r="CW118" i="17" s="1"/>
  <c r="CX118" i="17" s="1"/>
  <c r="CY118" i="17" s="1"/>
  <c r="CZ118" i="17" s="1"/>
  <c r="DA118" i="17" s="1"/>
  <c r="DB118" i="17" s="1"/>
  <c r="DC118" i="17" s="1"/>
  <c r="DD118" i="17" s="1"/>
  <c r="DE118" i="17" s="1"/>
  <c r="DF118" i="17" s="1"/>
  <c r="DG118" i="17" s="1"/>
  <c r="DH118" i="17" s="1"/>
  <c r="DI118" i="17" s="1"/>
  <c r="DJ118" i="17" s="1"/>
  <c r="DK118" i="17" s="1"/>
  <c r="DL118" i="17" s="1"/>
  <c r="Z20" i="17"/>
  <c r="AA20" i="17" s="1"/>
  <c r="AB20" i="17" s="1"/>
  <c r="AC20" i="17" s="1"/>
  <c r="AD20" i="17" s="1"/>
  <c r="AE20" i="17" s="1"/>
  <c r="AF20" i="17" s="1"/>
  <c r="AG20" i="17" s="1"/>
  <c r="AH20" i="17" s="1"/>
  <c r="AI20" i="17" s="1"/>
  <c r="AJ20" i="17" s="1"/>
  <c r="AK20" i="17" s="1"/>
  <c r="AL20" i="17" s="1"/>
  <c r="AM20" i="17" s="1"/>
  <c r="AN20" i="17" s="1"/>
  <c r="AO20" i="17" s="1"/>
  <c r="AP20" i="17" s="1"/>
  <c r="AQ20" i="17" s="1"/>
  <c r="AR20" i="17" s="1"/>
  <c r="AS20" i="17" s="1"/>
  <c r="AT20" i="17" s="1"/>
  <c r="AU20" i="17" s="1"/>
  <c r="AV20" i="17" s="1"/>
  <c r="AW20" i="17" s="1"/>
  <c r="AX20" i="17" s="1"/>
  <c r="AY20" i="17" s="1"/>
  <c r="AZ20" i="17" s="1"/>
  <c r="BA20" i="17" s="1"/>
  <c r="BB20" i="17" s="1"/>
  <c r="BC20" i="17" s="1"/>
  <c r="BD20" i="17" s="1"/>
  <c r="BE20" i="17" s="1"/>
  <c r="BF20" i="17" s="1"/>
  <c r="BG20" i="17" s="1"/>
  <c r="BH20" i="17" s="1"/>
  <c r="BI20" i="17" s="1"/>
  <c r="BJ20" i="17" s="1"/>
  <c r="BK20" i="17" s="1"/>
  <c r="BL20" i="17" s="1"/>
  <c r="BM20" i="17" s="1"/>
  <c r="BN20" i="17" s="1"/>
  <c r="BO20" i="17" s="1"/>
  <c r="BP20" i="17" s="1"/>
  <c r="BQ20" i="17" s="1"/>
  <c r="BR20" i="17" s="1"/>
  <c r="BS20" i="17" s="1"/>
  <c r="BT20" i="17" s="1"/>
  <c r="BU20" i="17" s="1"/>
  <c r="BV20" i="17" s="1"/>
  <c r="BW20" i="17" s="1"/>
  <c r="BX20" i="17" s="1"/>
  <c r="BY20" i="17" s="1"/>
  <c r="BZ20" i="17" s="1"/>
  <c r="CA20" i="17" s="1"/>
  <c r="CB20" i="17" s="1"/>
  <c r="CC20" i="17" s="1"/>
  <c r="CD20" i="17" s="1"/>
  <c r="CE20" i="17" s="1"/>
  <c r="CF20" i="17" s="1"/>
  <c r="CG20" i="17" s="1"/>
  <c r="CH20" i="17" s="1"/>
  <c r="CI20" i="17" s="1"/>
  <c r="CJ20" i="17" s="1"/>
  <c r="CK20" i="17" s="1"/>
  <c r="CL20" i="17" s="1"/>
  <c r="CM20" i="17" s="1"/>
  <c r="CN20" i="17" s="1"/>
  <c r="CO20" i="17" s="1"/>
  <c r="CP20" i="17" s="1"/>
  <c r="CQ20" i="17" s="1"/>
  <c r="CR20" i="17" s="1"/>
  <c r="CS20" i="17" s="1"/>
  <c r="CT20" i="17" s="1"/>
  <c r="CU20" i="17" s="1"/>
  <c r="CV20" i="17" s="1"/>
  <c r="CW20" i="17" s="1"/>
  <c r="CX20" i="17" s="1"/>
  <c r="CY20" i="17" s="1"/>
  <c r="CZ20" i="17" s="1"/>
  <c r="DA20" i="17" s="1"/>
  <c r="DB20" i="17" s="1"/>
  <c r="DC20" i="17" s="1"/>
  <c r="DD20" i="17" s="1"/>
  <c r="DE20" i="17" s="1"/>
  <c r="DF20" i="17" s="1"/>
  <c r="DG20" i="17" s="1"/>
  <c r="DH20" i="17" s="1"/>
  <c r="DI20" i="17" s="1"/>
  <c r="DJ20" i="17" s="1"/>
  <c r="DK20" i="17" s="1"/>
  <c r="DL20" i="17" s="1"/>
  <c r="W42" i="17"/>
  <c r="X42" i="17" s="1"/>
  <c r="Y42" i="17" s="1"/>
  <c r="W207" i="17"/>
  <c r="X207" i="17" s="1"/>
  <c r="Y207" i="17" s="1"/>
  <c r="Z79" i="17"/>
  <c r="AA79" i="17" s="1"/>
  <c r="AB79" i="17" s="1"/>
  <c r="AC79" i="17" s="1"/>
  <c r="AD79" i="17" s="1"/>
  <c r="AE79" i="17" s="1"/>
  <c r="AF79" i="17" s="1"/>
  <c r="AG79" i="17" s="1"/>
  <c r="AA228" i="17"/>
  <c r="AB228" i="17" s="1"/>
  <c r="AC228" i="17" s="1"/>
  <c r="AD228" i="17" s="1"/>
  <c r="AE228" i="17" s="1"/>
  <c r="AF228" i="17" s="1"/>
  <c r="AG228" i="17" s="1"/>
  <c r="AH228" i="17" s="1"/>
  <c r="AI228" i="17" s="1"/>
  <c r="AJ228" i="17" s="1"/>
  <c r="AK228" i="17" s="1"/>
  <c r="AL228" i="17" s="1"/>
  <c r="AM228" i="17" s="1"/>
  <c r="AN228" i="17" s="1"/>
  <c r="AO228" i="17" s="1"/>
  <c r="AP228" i="17" s="1"/>
  <c r="AQ228" i="17" s="1"/>
  <c r="AR228" i="17" s="1"/>
  <c r="AS228" i="17" s="1"/>
  <c r="AT228" i="17" s="1"/>
  <c r="AU228" i="17" s="1"/>
  <c r="AV228" i="17" s="1"/>
  <c r="AW228" i="17" s="1"/>
  <c r="AX228" i="17" s="1"/>
  <c r="AY228" i="17" s="1"/>
  <c r="AZ228" i="17" s="1"/>
  <c r="BA228" i="17" s="1"/>
  <c r="BB228" i="17" s="1"/>
  <c r="BC228" i="17" s="1"/>
  <c r="BD228" i="17" s="1"/>
  <c r="BE228" i="17" s="1"/>
  <c r="BF228" i="17" s="1"/>
  <c r="BG228" i="17" s="1"/>
  <c r="BH228" i="17" s="1"/>
  <c r="BI228" i="17" s="1"/>
  <c r="BJ228" i="17" s="1"/>
  <c r="BK228" i="17" s="1"/>
  <c r="BL228" i="17" s="1"/>
  <c r="BM228" i="17" s="1"/>
  <c r="BN228" i="17" s="1"/>
  <c r="BO228" i="17" s="1"/>
  <c r="BP228" i="17" s="1"/>
  <c r="BQ228" i="17" s="1"/>
  <c r="BR228" i="17" s="1"/>
  <c r="BS228" i="17" s="1"/>
  <c r="BT228" i="17" s="1"/>
  <c r="BU228" i="17" s="1"/>
  <c r="BV228" i="17" s="1"/>
  <c r="BW228" i="17" s="1"/>
  <c r="BX228" i="17" s="1"/>
  <c r="BY228" i="17" s="1"/>
  <c r="BZ228" i="17" s="1"/>
  <c r="CA228" i="17" s="1"/>
  <c r="CB228" i="17" s="1"/>
  <c r="CC228" i="17" s="1"/>
  <c r="CD228" i="17" s="1"/>
  <c r="CE228" i="17" s="1"/>
  <c r="CF228" i="17" s="1"/>
  <c r="CG228" i="17" s="1"/>
  <c r="CH228" i="17" s="1"/>
  <c r="CI228" i="17" s="1"/>
  <c r="CJ228" i="17" s="1"/>
  <c r="CK228" i="17" s="1"/>
  <c r="CL228" i="17" s="1"/>
  <c r="CM228" i="17" s="1"/>
  <c r="CN228" i="17" s="1"/>
  <c r="CO228" i="17" s="1"/>
  <c r="CP228" i="17" s="1"/>
  <c r="Y88" i="17"/>
  <c r="Z88" i="17" s="1"/>
  <c r="AA88" i="17" s="1"/>
  <c r="AB88" i="17" s="1"/>
  <c r="AC88" i="17" s="1"/>
  <c r="AD88" i="17" s="1"/>
  <c r="AE88" i="17" s="1"/>
  <c r="AF88" i="17" s="1"/>
  <c r="AG88" i="17" s="1"/>
  <c r="AH88" i="17" s="1"/>
  <c r="AI88" i="17" s="1"/>
  <c r="AJ88" i="17" s="1"/>
  <c r="AK88" i="17" s="1"/>
  <c r="AL88" i="17" s="1"/>
  <c r="AM88" i="17" s="1"/>
  <c r="AN88" i="17" s="1"/>
  <c r="AO88" i="17" s="1"/>
  <c r="AP88" i="17" s="1"/>
  <c r="AQ88" i="17" s="1"/>
  <c r="AR88" i="17" s="1"/>
  <c r="AS88" i="17" s="1"/>
  <c r="AT88" i="17" s="1"/>
  <c r="AU88" i="17" s="1"/>
  <c r="AV88" i="17" s="1"/>
  <c r="AW88" i="17" s="1"/>
  <c r="AX88" i="17" s="1"/>
  <c r="AY88" i="17" s="1"/>
  <c r="AZ88" i="17" s="1"/>
  <c r="BA88" i="17" s="1"/>
  <c r="BB88" i="17" s="1"/>
  <c r="BC88" i="17" s="1"/>
  <c r="BD88" i="17" s="1"/>
  <c r="BE88" i="17" s="1"/>
  <c r="BF88" i="17" s="1"/>
  <c r="BG88" i="17" s="1"/>
  <c r="BH88" i="17" s="1"/>
  <c r="BI88" i="17" s="1"/>
  <c r="BJ88" i="17" s="1"/>
  <c r="BK88" i="17" s="1"/>
  <c r="BL88" i="17" s="1"/>
  <c r="BM88" i="17" s="1"/>
  <c r="BN88" i="17" s="1"/>
  <c r="BO88" i="17" s="1"/>
  <c r="BP88" i="17" s="1"/>
  <c r="BQ88" i="17" s="1"/>
  <c r="BR88" i="17" s="1"/>
  <c r="BS88" i="17" s="1"/>
  <c r="BT88" i="17" s="1"/>
  <c r="BU88" i="17" s="1"/>
  <c r="BV88" i="17" s="1"/>
  <c r="BW88" i="17" s="1"/>
  <c r="BX88" i="17" s="1"/>
  <c r="BY88" i="17" s="1"/>
  <c r="BZ88" i="17" s="1"/>
  <c r="CA88" i="17" s="1"/>
  <c r="CB88" i="17" s="1"/>
  <c r="CC88" i="17" s="1"/>
  <c r="CD88" i="17" s="1"/>
  <c r="CE88" i="17" s="1"/>
  <c r="CF88" i="17" s="1"/>
  <c r="CG88" i="17" s="1"/>
  <c r="CH88" i="17" s="1"/>
  <c r="CI88" i="17" s="1"/>
  <c r="CJ88" i="17" s="1"/>
  <c r="CK88" i="17" s="1"/>
  <c r="CL88" i="17" s="1"/>
  <c r="CM88" i="17" s="1"/>
  <c r="CN88" i="17" s="1"/>
  <c r="CO88" i="17" s="1"/>
  <c r="CP88" i="17" s="1"/>
  <c r="CQ88" i="17" s="1"/>
  <c r="CR88" i="17" s="1"/>
  <c r="CS88" i="17" s="1"/>
  <c r="CT88" i="17" s="1"/>
  <c r="CU88" i="17" s="1"/>
  <c r="CV88" i="17" s="1"/>
  <c r="CW88" i="17" s="1"/>
  <c r="CX88" i="17" s="1"/>
  <c r="CY88" i="17" s="1"/>
  <c r="CZ88" i="17" s="1"/>
  <c r="DA88" i="17" s="1"/>
  <c r="DB88" i="17" s="1"/>
  <c r="DC88" i="17" s="1"/>
  <c r="DD88" i="17" s="1"/>
  <c r="DE88" i="17" s="1"/>
  <c r="DF88" i="17" s="1"/>
  <c r="DG88" i="17" s="1"/>
  <c r="DH88" i="17" s="1"/>
  <c r="DI88" i="17" s="1"/>
  <c r="DJ88" i="17" s="1"/>
  <c r="DK88" i="17" s="1"/>
  <c r="DL88" i="17" s="1"/>
  <c r="V112" i="17"/>
  <c r="W112" i="17" s="1"/>
  <c r="Z238" i="17"/>
  <c r="AA238" i="17" s="1"/>
  <c r="AB238" i="17" s="1"/>
  <c r="AC238" i="17" s="1"/>
  <c r="AD238" i="17" s="1"/>
  <c r="AE238" i="17" s="1"/>
  <c r="AF238" i="17" s="1"/>
  <c r="AG238" i="17" s="1"/>
  <c r="Y98" i="17"/>
  <c r="Y168" i="17"/>
  <c r="Y29" i="17"/>
  <c r="U301" i="17"/>
  <c r="Y111" i="17"/>
  <c r="AR280" i="17"/>
  <c r="AS280" i="17" s="1"/>
  <c r="AT280" i="17" s="1"/>
  <c r="AU280" i="17" s="1"/>
  <c r="AV280" i="17" s="1"/>
  <c r="AW280" i="17" s="1"/>
  <c r="AX280" i="17" s="1"/>
  <c r="AY280" i="17" s="1"/>
  <c r="AZ280" i="17" s="1"/>
  <c r="BA280" i="17" s="1"/>
  <c r="BB280" i="17" s="1"/>
  <c r="BC280" i="17" s="1"/>
  <c r="BD280" i="17" s="1"/>
  <c r="BE280" i="17" s="1"/>
  <c r="BF280" i="17" s="1"/>
  <c r="BG280" i="17" s="1"/>
  <c r="BH280" i="17" s="1"/>
  <c r="BI280" i="17" s="1"/>
  <c r="BJ280" i="17" s="1"/>
  <c r="BK280" i="17" s="1"/>
  <c r="BL280" i="17" s="1"/>
  <c r="BM280" i="17" s="1"/>
  <c r="BN280" i="17" s="1"/>
  <c r="BO280" i="17" s="1"/>
  <c r="BP280" i="17" s="1"/>
  <c r="BQ280" i="17" s="1"/>
  <c r="BR280" i="17" s="1"/>
  <c r="BS280" i="17" s="1"/>
  <c r="BT280" i="17" s="1"/>
  <c r="BU280" i="17" s="1"/>
  <c r="BV280" i="17" s="1"/>
  <c r="BW280" i="17" s="1"/>
  <c r="BX280" i="17" s="1"/>
  <c r="BY280" i="17" s="1"/>
  <c r="BZ280" i="17" s="1"/>
  <c r="CA280" i="17" s="1"/>
  <c r="CB280" i="17" s="1"/>
  <c r="CC280" i="17" s="1"/>
  <c r="CD280" i="17" s="1"/>
  <c r="CE280" i="17" s="1"/>
  <c r="CF280" i="17" s="1"/>
  <c r="CG280" i="17" s="1"/>
  <c r="CH280" i="17" s="1"/>
  <c r="CI280" i="17" s="1"/>
  <c r="CJ280" i="17" s="1"/>
  <c r="CK280" i="17" s="1"/>
  <c r="CL280" i="17" s="1"/>
  <c r="CM280" i="17" s="1"/>
  <c r="CN280" i="17" s="1"/>
  <c r="CO280" i="17" s="1"/>
  <c r="CP280" i="17" s="1"/>
  <c r="CQ280" i="17" s="1"/>
  <c r="CR280" i="17" s="1"/>
  <c r="CS280" i="17" s="1"/>
  <c r="CT280" i="17" s="1"/>
  <c r="CU280" i="17" s="1"/>
  <c r="CV280" i="17" s="1"/>
  <c r="CW280" i="17" s="1"/>
  <c r="CX280" i="17" s="1"/>
  <c r="CY280" i="17" s="1"/>
  <c r="CZ280" i="17" s="1"/>
  <c r="DA280" i="17" s="1"/>
  <c r="DB280" i="17" s="1"/>
  <c r="DC280" i="17" s="1"/>
  <c r="DD280" i="17" s="1"/>
  <c r="DE280" i="17" s="1"/>
  <c r="DF280" i="17" s="1"/>
  <c r="DG280" i="17" s="1"/>
  <c r="DH280" i="17" s="1"/>
  <c r="DI280" i="17" s="1"/>
  <c r="DJ280" i="17" s="1"/>
  <c r="DK280" i="17" s="1"/>
  <c r="DL280" i="17" s="1"/>
  <c r="AI200" i="17"/>
  <c r="AJ200" i="17" s="1"/>
  <c r="AK200" i="17" s="1"/>
  <c r="AL200" i="17" s="1"/>
  <c r="AM200" i="17" s="1"/>
  <c r="AN200" i="17" s="1"/>
  <c r="AO200" i="17" s="1"/>
  <c r="AP200" i="17" s="1"/>
  <c r="AQ200" i="17" s="1"/>
  <c r="AR200" i="17" s="1"/>
  <c r="AS200" i="17" s="1"/>
  <c r="AT200" i="17" s="1"/>
  <c r="AU200" i="17" s="1"/>
  <c r="AV200" i="17" s="1"/>
  <c r="AW200" i="17" s="1"/>
  <c r="AX200" i="17" s="1"/>
  <c r="AY200" i="17" s="1"/>
  <c r="AZ200" i="17" s="1"/>
  <c r="BA200" i="17" s="1"/>
  <c r="BB200" i="17" s="1"/>
  <c r="BC200" i="17" s="1"/>
  <c r="BD200" i="17" s="1"/>
  <c r="BE200" i="17" s="1"/>
  <c r="BF200" i="17" s="1"/>
  <c r="BG200" i="17" s="1"/>
  <c r="BH200" i="17" s="1"/>
  <c r="BI200" i="17" s="1"/>
  <c r="BJ200" i="17" s="1"/>
  <c r="BK200" i="17" s="1"/>
  <c r="BL200" i="17" s="1"/>
  <c r="BM200" i="17" s="1"/>
  <c r="BN200" i="17" s="1"/>
  <c r="BO200" i="17" s="1"/>
  <c r="BP200" i="17" s="1"/>
  <c r="BQ200" i="17" s="1"/>
  <c r="BR200" i="17" s="1"/>
  <c r="BS200" i="17" s="1"/>
  <c r="BT200" i="17" s="1"/>
  <c r="BU200" i="17" s="1"/>
  <c r="BV200" i="17" s="1"/>
  <c r="BW200" i="17" s="1"/>
  <c r="BX200" i="17" s="1"/>
  <c r="BY200" i="17" s="1"/>
  <c r="BZ200" i="17" s="1"/>
  <c r="CA200" i="17" s="1"/>
  <c r="CB200" i="17" s="1"/>
  <c r="CC200" i="17" s="1"/>
  <c r="CD200" i="17" s="1"/>
  <c r="CE200" i="17" s="1"/>
  <c r="CF200" i="17" s="1"/>
  <c r="CG200" i="17" s="1"/>
  <c r="CH200" i="17" s="1"/>
  <c r="CI200" i="17" s="1"/>
  <c r="CJ200" i="17" s="1"/>
  <c r="CK200" i="17" s="1"/>
  <c r="CL200" i="17" s="1"/>
  <c r="CM200" i="17" s="1"/>
  <c r="CN200" i="17" s="1"/>
  <c r="CO200" i="17" s="1"/>
  <c r="CP200" i="17" s="1"/>
  <c r="CQ200" i="17" s="1"/>
  <c r="CR200" i="17" s="1"/>
  <c r="CS200" i="17" s="1"/>
  <c r="CT200" i="17" s="1"/>
  <c r="CU200" i="17" s="1"/>
  <c r="CV200" i="17" s="1"/>
  <c r="CW200" i="17" s="1"/>
  <c r="CX200" i="17" s="1"/>
  <c r="CY200" i="17" s="1"/>
  <c r="CZ200" i="17" s="1"/>
  <c r="DA200" i="17" s="1"/>
  <c r="DB200" i="17" s="1"/>
  <c r="DC200" i="17" s="1"/>
  <c r="DD200" i="17" s="1"/>
  <c r="DE200" i="17" s="1"/>
  <c r="DF200" i="17" s="1"/>
  <c r="DG200" i="17" s="1"/>
  <c r="DH200" i="17" s="1"/>
  <c r="DI200" i="17" s="1"/>
  <c r="DJ200" i="17" s="1"/>
  <c r="DK200" i="17" s="1"/>
  <c r="DL200" i="17" s="1"/>
  <c r="Y14" i="17"/>
  <c r="Z14" i="17" s="1"/>
  <c r="AA14" i="17" s="1"/>
  <c r="Z260" i="17"/>
  <c r="X81" i="17"/>
  <c r="Y81" i="17" s="1"/>
  <c r="X224" i="17"/>
  <c r="W95" i="17"/>
  <c r="W116" i="17"/>
  <c r="Y241" i="17"/>
  <c r="W161" i="17"/>
  <c r="X161" i="17" s="1"/>
  <c r="X108" i="17"/>
  <c r="Y108" i="17" s="1"/>
  <c r="W236" i="17"/>
  <c r="W176" i="17"/>
  <c r="X176" i="17" s="1"/>
  <c r="Y130" i="17"/>
  <c r="AC9" i="17"/>
  <c r="AD9" i="17" s="1"/>
  <c r="U55" i="17"/>
  <c r="V55" i="17" s="1"/>
  <c r="W212" i="17"/>
  <c r="X212" i="17" s="1"/>
  <c r="Y212" i="17" s="1"/>
  <c r="Z212" i="17" s="1"/>
  <c r="AB23" i="17"/>
  <c r="V170" i="17"/>
  <c r="Y33" i="17"/>
  <c r="W15" i="17"/>
  <c r="X15" i="17" s="1"/>
  <c r="W197" i="17"/>
  <c r="Y56" i="17"/>
  <c r="Z56" i="17" s="1"/>
  <c r="W47" i="17"/>
  <c r="X47" i="17" s="1"/>
  <c r="Y47" i="17" s="1"/>
  <c r="BJ218" i="17"/>
  <c r="BK218" i="17" s="1"/>
  <c r="BL218" i="17" s="1"/>
  <c r="BM218" i="17" s="1"/>
  <c r="BN218" i="17" s="1"/>
  <c r="BO218" i="17" s="1"/>
  <c r="BP218" i="17" s="1"/>
  <c r="BQ218" i="17" s="1"/>
  <c r="BR218" i="17" s="1"/>
  <c r="BS218" i="17" s="1"/>
  <c r="BT218" i="17" s="1"/>
  <c r="BU218" i="17" s="1"/>
  <c r="BV218" i="17" s="1"/>
  <c r="BW218" i="17" s="1"/>
  <c r="BX218" i="17" s="1"/>
  <c r="BY218" i="17" s="1"/>
  <c r="BZ218" i="17" s="1"/>
  <c r="CA218" i="17" s="1"/>
  <c r="CB218" i="17" s="1"/>
  <c r="CC218" i="17" s="1"/>
  <c r="CD218" i="17" s="1"/>
  <c r="CE218" i="17" s="1"/>
  <c r="CF218" i="17" s="1"/>
  <c r="CG218" i="17" s="1"/>
  <c r="CH218" i="17" s="1"/>
  <c r="CI218" i="17" s="1"/>
  <c r="CJ218" i="17" s="1"/>
  <c r="CK218" i="17" s="1"/>
  <c r="CL218" i="17" s="1"/>
  <c r="CM218" i="17" s="1"/>
  <c r="CN218" i="17" s="1"/>
  <c r="CO218" i="17" s="1"/>
  <c r="CP218" i="17" s="1"/>
  <c r="CQ218" i="17" s="1"/>
  <c r="CR218" i="17" s="1"/>
  <c r="CS218" i="17" s="1"/>
  <c r="CT218" i="17" s="1"/>
  <c r="CU218" i="17" s="1"/>
  <c r="CV218" i="17" s="1"/>
  <c r="CW218" i="17" s="1"/>
  <c r="CX218" i="17" s="1"/>
  <c r="CY218" i="17" s="1"/>
  <c r="CZ218" i="17" s="1"/>
  <c r="DA218" i="17" s="1"/>
  <c r="DB218" i="17" s="1"/>
  <c r="DC218" i="17" s="1"/>
  <c r="DD218" i="17" s="1"/>
  <c r="DE218" i="17" s="1"/>
  <c r="DF218" i="17" s="1"/>
  <c r="DG218" i="17" s="1"/>
  <c r="DH218" i="17" s="1"/>
  <c r="DI218" i="17" s="1"/>
  <c r="DJ218" i="17" s="1"/>
  <c r="DK218" i="17" s="1"/>
  <c r="DL218" i="17" s="1"/>
  <c r="W178" i="17"/>
  <c r="W104" i="17"/>
  <c r="X104" i="17" s="1"/>
  <c r="W31" i="17"/>
  <c r="U127" i="17"/>
  <c r="AB154" i="17"/>
  <c r="AC154" i="17" s="1"/>
  <c r="AD154" i="17" s="1"/>
  <c r="AE154" i="17" s="1"/>
  <c r="AF154" i="17" s="1"/>
  <c r="AG154" i="17" s="1"/>
  <c r="AH154" i="17" s="1"/>
  <c r="AI154" i="17" s="1"/>
  <c r="AJ154" i="17" s="1"/>
  <c r="AK154" i="17" s="1"/>
  <c r="AL154" i="17" s="1"/>
  <c r="AM154" i="17" s="1"/>
  <c r="Z7" i="17"/>
  <c r="Z174" i="17"/>
  <c r="AA174" i="17" s="1"/>
  <c r="AB174" i="17" s="1"/>
  <c r="AC174" i="17" s="1"/>
  <c r="AU214" i="17"/>
  <c r="AY21" i="17"/>
  <c r="AZ21" i="17" s="1"/>
  <c r="BA21" i="17" s="1"/>
  <c r="BB21" i="17" s="1"/>
  <c r="BC21" i="17" s="1"/>
  <c r="BD21" i="17" s="1"/>
  <c r="BE21" i="17" s="1"/>
  <c r="BF21" i="17" s="1"/>
  <c r="BG21" i="17" s="1"/>
  <c r="BH21" i="17" s="1"/>
  <c r="BI21" i="17" s="1"/>
  <c r="BJ21" i="17" s="1"/>
  <c r="BK21" i="17" s="1"/>
  <c r="BL21" i="17" s="1"/>
  <c r="BM21" i="17" s="1"/>
  <c r="BN21" i="17" s="1"/>
  <c r="BO21" i="17" s="1"/>
  <c r="BP21" i="17" s="1"/>
  <c r="BQ21" i="17" s="1"/>
  <c r="BR21" i="17" s="1"/>
  <c r="BS21" i="17" s="1"/>
  <c r="BT21" i="17" s="1"/>
  <c r="BU21" i="17" s="1"/>
  <c r="BV21" i="17" s="1"/>
  <c r="BW21" i="17" s="1"/>
  <c r="BX21" i="17" s="1"/>
  <c r="BY21" i="17" s="1"/>
  <c r="BZ21" i="17" s="1"/>
  <c r="CA21" i="17" s="1"/>
  <c r="CB21" i="17" s="1"/>
  <c r="CC21" i="17" s="1"/>
  <c r="CD21" i="17" s="1"/>
  <c r="CE21" i="17" s="1"/>
  <c r="CF21" i="17" s="1"/>
  <c r="CG21" i="17" s="1"/>
  <c r="CH21" i="17" s="1"/>
  <c r="CI21" i="17" s="1"/>
  <c r="CJ21" i="17" s="1"/>
  <c r="CK21" i="17" s="1"/>
  <c r="CL21" i="17" s="1"/>
  <c r="CM21" i="17" s="1"/>
  <c r="CN21" i="17" s="1"/>
  <c r="CO21" i="17" s="1"/>
  <c r="CP21" i="17" s="1"/>
  <c r="CQ21" i="17" s="1"/>
  <c r="CR21" i="17" s="1"/>
  <c r="CS21" i="17" s="1"/>
  <c r="CT21" i="17" s="1"/>
  <c r="CU21" i="17" s="1"/>
  <c r="CV21" i="17" s="1"/>
  <c r="CW21" i="17" s="1"/>
  <c r="CX21" i="17" s="1"/>
  <c r="CY21" i="17" s="1"/>
  <c r="CZ21" i="17" s="1"/>
  <c r="DA21" i="17" s="1"/>
  <c r="DB21" i="17" s="1"/>
  <c r="DC21" i="17" s="1"/>
  <c r="DD21" i="17" s="1"/>
  <c r="DE21" i="17" s="1"/>
  <c r="DF21" i="17" s="1"/>
  <c r="DG21" i="17" s="1"/>
  <c r="DH21" i="17" s="1"/>
  <c r="DI21" i="17" s="1"/>
  <c r="DJ21" i="17" s="1"/>
  <c r="DK21" i="17" s="1"/>
  <c r="DL21" i="17" s="1"/>
  <c r="AC92" i="17"/>
  <c r="AD92" i="17" s="1"/>
  <c r="AE92" i="17" s="1"/>
  <c r="AF92" i="17" s="1"/>
  <c r="AG92" i="17" s="1"/>
  <c r="AH92" i="17" s="1"/>
  <c r="AI92" i="17" s="1"/>
  <c r="AJ92" i="17" s="1"/>
  <c r="AK92" i="17" s="1"/>
  <c r="AL92" i="17" s="1"/>
  <c r="AM92" i="17" s="1"/>
  <c r="AN92" i="17" s="1"/>
  <c r="AO92" i="17" s="1"/>
  <c r="AP92" i="17" s="1"/>
  <c r="AQ92" i="17" s="1"/>
  <c r="AR92" i="17" s="1"/>
  <c r="AS92" i="17" s="1"/>
  <c r="AT92" i="17" s="1"/>
  <c r="AU92" i="17" s="1"/>
  <c r="AV92" i="17" s="1"/>
  <c r="AW92" i="17" s="1"/>
  <c r="AX92" i="17" s="1"/>
  <c r="AY92" i="17" s="1"/>
  <c r="AZ92" i="17" s="1"/>
  <c r="BA92" i="17" s="1"/>
  <c r="BB92" i="17" s="1"/>
  <c r="BC92" i="17" s="1"/>
  <c r="BD92" i="17" s="1"/>
  <c r="BE92" i="17" s="1"/>
  <c r="BF92" i="17" s="1"/>
  <c r="BG92" i="17" s="1"/>
  <c r="BH92" i="17" s="1"/>
  <c r="BI92" i="17" s="1"/>
  <c r="BJ92" i="17" s="1"/>
  <c r="BK92" i="17" s="1"/>
  <c r="BL92" i="17" s="1"/>
  <c r="BM92" i="17" s="1"/>
  <c r="BN92" i="17" s="1"/>
  <c r="BO92" i="17" s="1"/>
  <c r="BP92" i="17" s="1"/>
  <c r="BQ92" i="17" s="1"/>
  <c r="BR92" i="17" s="1"/>
  <c r="BS92" i="17" s="1"/>
  <c r="BT92" i="17" s="1"/>
  <c r="BU92" i="17" s="1"/>
  <c r="BV92" i="17" s="1"/>
  <c r="BW92" i="17" s="1"/>
  <c r="BX92" i="17" s="1"/>
  <c r="BY92" i="17" s="1"/>
  <c r="BZ92" i="17" s="1"/>
  <c r="CA92" i="17" s="1"/>
  <c r="CB92" i="17" s="1"/>
  <c r="CC92" i="17" s="1"/>
  <c r="CD92" i="17" s="1"/>
  <c r="CE92" i="17" s="1"/>
  <c r="CF92" i="17" s="1"/>
  <c r="CG92" i="17" s="1"/>
  <c r="CH92" i="17" s="1"/>
  <c r="CI92" i="17" s="1"/>
  <c r="CJ92" i="17" s="1"/>
  <c r="CK92" i="17" s="1"/>
  <c r="CL92" i="17" s="1"/>
  <c r="CM92" i="17" s="1"/>
  <c r="CR264" i="17"/>
  <c r="CS264" i="17" s="1"/>
  <c r="CT264" i="17" s="1"/>
  <c r="CU264" i="17" s="1"/>
  <c r="CV264" i="17" s="1"/>
  <c r="CW264" i="17" s="1"/>
  <c r="CX264" i="17" s="1"/>
  <c r="CY264" i="17" s="1"/>
  <c r="CZ264" i="17" s="1"/>
  <c r="DA264" i="17" s="1"/>
  <c r="DB264" i="17" s="1"/>
  <c r="DC264" i="17" s="1"/>
  <c r="DD264" i="17" s="1"/>
  <c r="DE264" i="17" s="1"/>
  <c r="DF264" i="17" s="1"/>
  <c r="DG264" i="17" s="1"/>
  <c r="DH264" i="17" s="1"/>
  <c r="DI264" i="17" s="1"/>
  <c r="DJ264" i="17" s="1"/>
  <c r="DK264" i="17" s="1"/>
  <c r="DL264" i="17" s="1"/>
  <c r="AC169" i="17"/>
  <c r="AD169" i="17" s="1"/>
  <c r="AE169" i="17" s="1"/>
  <c r="AF169" i="17" s="1"/>
  <c r="AG169" i="17" s="1"/>
  <c r="AH169" i="17" s="1"/>
  <c r="AI169" i="17" s="1"/>
  <c r="AJ169" i="17" s="1"/>
  <c r="AK169" i="17" s="1"/>
  <c r="AL169" i="17" s="1"/>
  <c r="AM169" i="17" s="1"/>
  <c r="AN169" i="17" s="1"/>
  <c r="AO169" i="17" s="1"/>
  <c r="AP169" i="17" s="1"/>
  <c r="AQ169" i="17" s="1"/>
  <c r="AR169" i="17" s="1"/>
  <c r="AS169" i="17" s="1"/>
  <c r="AT169" i="17" s="1"/>
  <c r="AU169" i="17" s="1"/>
  <c r="AV169" i="17" s="1"/>
  <c r="AW169" i="17" s="1"/>
  <c r="AX169" i="17" s="1"/>
  <c r="AY169" i="17" s="1"/>
  <c r="AZ169" i="17" s="1"/>
  <c r="BA169" i="17" s="1"/>
  <c r="BB169" i="17" s="1"/>
  <c r="BC169" i="17" s="1"/>
  <c r="BD169" i="17" s="1"/>
  <c r="BE169" i="17" s="1"/>
  <c r="BF169" i="17" s="1"/>
  <c r="BG169" i="17" s="1"/>
  <c r="BH169" i="17" s="1"/>
  <c r="BI169" i="17" s="1"/>
  <c r="BJ169" i="17" s="1"/>
  <c r="BK169" i="17" s="1"/>
  <c r="BL169" i="17" s="1"/>
  <c r="BM169" i="17" s="1"/>
  <c r="BN169" i="17" s="1"/>
  <c r="AV271" i="17"/>
  <c r="AW271" i="17" s="1"/>
  <c r="AX271" i="17" s="1"/>
  <c r="AY271" i="17" s="1"/>
  <c r="AZ271" i="17" s="1"/>
  <c r="BA271" i="17" s="1"/>
  <c r="BB271" i="17" s="1"/>
  <c r="BC271" i="17" s="1"/>
  <c r="BD271" i="17" s="1"/>
  <c r="BE271" i="17" s="1"/>
  <c r="BF271" i="17" s="1"/>
  <c r="BG271" i="17" s="1"/>
  <c r="BH271" i="17" s="1"/>
  <c r="BI271" i="17" s="1"/>
  <c r="BJ271" i="17" s="1"/>
  <c r="BK271" i="17" s="1"/>
  <c r="BL271" i="17" s="1"/>
  <c r="BM271" i="17" s="1"/>
  <c r="BN271" i="17" s="1"/>
  <c r="BO271" i="17" s="1"/>
  <c r="BP271" i="17" s="1"/>
  <c r="BQ271" i="17" s="1"/>
  <c r="BR271" i="17" s="1"/>
  <c r="BS271" i="17" s="1"/>
  <c r="BT271" i="17" s="1"/>
  <c r="BU271" i="17" s="1"/>
  <c r="BV271" i="17" s="1"/>
  <c r="BW271" i="17" s="1"/>
  <c r="BX271" i="17" s="1"/>
  <c r="BY271" i="17" s="1"/>
  <c r="BZ271" i="17" s="1"/>
  <c r="CA271" i="17" s="1"/>
  <c r="CB271" i="17" s="1"/>
  <c r="CC271" i="17" s="1"/>
  <c r="CD271" i="17" s="1"/>
  <c r="CE271" i="17" s="1"/>
  <c r="CF271" i="17" s="1"/>
  <c r="CG271" i="17" s="1"/>
  <c r="CH271" i="17" s="1"/>
  <c r="CI271" i="17" s="1"/>
  <c r="CJ271" i="17" s="1"/>
  <c r="CK271" i="17" s="1"/>
  <c r="CL271" i="17" s="1"/>
  <c r="CM271" i="17" s="1"/>
  <c r="CN271" i="17" s="1"/>
  <c r="CO271" i="17" s="1"/>
  <c r="CP271" i="17" s="1"/>
  <c r="CQ271" i="17" s="1"/>
  <c r="CR271" i="17" s="1"/>
  <c r="CS271" i="17" s="1"/>
  <c r="CT271" i="17" s="1"/>
  <c r="CU271" i="17" s="1"/>
  <c r="CV271" i="17" s="1"/>
  <c r="CW271" i="17" s="1"/>
  <c r="CX271" i="17" s="1"/>
  <c r="CY271" i="17" s="1"/>
  <c r="CZ271" i="17" s="1"/>
  <c r="DA271" i="17" s="1"/>
  <c r="DB271" i="17" s="1"/>
  <c r="DC271" i="17" s="1"/>
  <c r="DD271" i="17" s="1"/>
  <c r="DE271" i="17" s="1"/>
  <c r="DF271" i="17" s="1"/>
  <c r="DG271" i="17" s="1"/>
  <c r="DH271" i="17" s="1"/>
  <c r="DI271" i="17" s="1"/>
  <c r="DJ271" i="17" s="1"/>
  <c r="DK271" i="17" s="1"/>
  <c r="DL271" i="17" s="1"/>
  <c r="W234" i="17"/>
  <c r="AB27" i="17"/>
  <c r="AC27" i="17" s="1"/>
  <c r="AD27" i="17" s="1"/>
  <c r="AE27" i="17" s="1"/>
  <c r="AF27" i="17" s="1"/>
  <c r="X6" i="17"/>
  <c r="Y6" i="17" s="1"/>
  <c r="Z6" i="17" s="1"/>
  <c r="V8" i="17"/>
  <c r="W8" i="17" s="1"/>
  <c r="V192" i="17"/>
  <c r="W102" i="17"/>
  <c r="V232" i="17"/>
  <c r="U179" i="17"/>
  <c r="W66" i="17"/>
  <c r="X66" i="17" s="1"/>
  <c r="W54" i="17"/>
  <c r="Z143" i="17"/>
  <c r="AA143" i="17" s="1"/>
  <c r="AB143" i="17" s="1"/>
  <c r="AC143" i="17" s="1"/>
  <c r="AD143" i="17" s="1"/>
  <c r="W272" i="17"/>
  <c r="Y246" i="17"/>
  <c r="V129" i="17"/>
  <c r="V123" i="17"/>
  <c r="W123" i="17" s="1"/>
  <c r="U231" i="17"/>
  <c r="Y122" i="17"/>
  <c r="W248" i="17"/>
  <c r="X248" i="17" s="1"/>
  <c r="Y248" i="17" s="1"/>
  <c r="Z248" i="17" s="1"/>
  <c r="AA248" i="17" s="1"/>
  <c r="AB248" i="17" s="1"/>
  <c r="AC248" i="17" s="1"/>
  <c r="AD248" i="17" s="1"/>
  <c r="AE248" i="17" s="1"/>
  <c r="AF248" i="17" s="1"/>
  <c r="AG248" i="17" s="1"/>
  <c r="AH248" i="17" s="1"/>
  <c r="AI248" i="17" s="1"/>
  <c r="AJ248" i="17" s="1"/>
  <c r="AK248" i="17" s="1"/>
  <c r="AL248" i="17" s="1"/>
  <c r="AM248" i="17" s="1"/>
  <c r="AN248" i="17" s="1"/>
  <c r="AO248" i="17" s="1"/>
  <c r="AP248" i="17" s="1"/>
  <c r="AQ248" i="17" s="1"/>
  <c r="U263" i="17"/>
  <c r="AW281" i="17"/>
  <c r="AX281" i="17" s="1"/>
  <c r="AY281" i="17" s="1"/>
  <c r="AZ281" i="17" s="1"/>
  <c r="BA281" i="17" s="1"/>
  <c r="BB281" i="17" s="1"/>
  <c r="BC281" i="17" s="1"/>
  <c r="BD281" i="17" s="1"/>
  <c r="BE281" i="17" s="1"/>
  <c r="BF281" i="17" s="1"/>
  <c r="BG281" i="17" s="1"/>
  <c r="BH281" i="17" s="1"/>
  <c r="BI281" i="17" s="1"/>
  <c r="BJ281" i="17" s="1"/>
  <c r="BK281" i="17" s="1"/>
  <c r="BL281" i="17" s="1"/>
  <c r="BM281" i="17" s="1"/>
  <c r="BN281" i="17" s="1"/>
  <c r="BO281" i="17" s="1"/>
  <c r="BP281" i="17" s="1"/>
  <c r="BQ281" i="17" s="1"/>
  <c r="BR281" i="17" s="1"/>
  <c r="BS281" i="17" s="1"/>
  <c r="BT281" i="17" s="1"/>
  <c r="BU281" i="17" s="1"/>
  <c r="BV281" i="17" s="1"/>
  <c r="BW281" i="17" s="1"/>
  <c r="BX281" i="17" s="1"/>
  <c r="BY281" i="17" s="1"/>
  <c r="BZ281" i="17" s="1"/>
  <c r="CA281" i="17" s="1"/>
  <c r="CB281" i="17" s="1"/>
  <c r="CC281" i="17" s="1"/>
  <c r="CD281" i="17" s="1"/>
  <c r="CE281" i="17" s="1"/>
  <c r="CF281" i="17" s="1"/>
  <c r="CG281" i="17" s="1"/>
  <c r="CH281" i="17" s="1"/>
  <c r="CI281" i="17" s="1"/>
  <c r="CJ281" i="17" s="1"/>
  <c r="CK281" i="17" s="1"/>
  <c r="CL281" i="17" s="1"/>
  <c r="CM281" i="17" s="1"/>
  <c r="CN281" i="17" s="1"/>
  <c r="CO281" i="17" s="1"/>
  <c r="CP281" i="17" s="1"/>
  <c r="CQ281" i="17" s="1"/>
  <c r="CR281" i="17" s="1"/>
  <c r="CS281" i="17" s="1"/>
  <c r="CT281" i="17" s="1"/>
  <c r="CU281" i="17" s="1"/>
  <c r="CV281" i="17" s="1"/>
  <c r="CW281" i="17" s="1"/>
  <c r="CX281" i="17" s="1"/>
  <c r="CY281" i="17" s="1"/>
  <c r="CZ281" i="17" s="1"/>
  <c r="DA281" i="17" s="1"/>
  <c r="DB281" i="17" s="1"/>
  <c r="DC281" i="17" s="1"/>
  <c r="DD281" i="17" s="1"/>
  <c r="DE281" i="17" s="1"/>
  <c r="DF281" i="17" s="1"/>
  <c r="DG281" i="17" s="1"/>
  <c r="DH281" i="17" s="1"/>
  <c r="DI281" i="17" s="1"/>
  <c r="DJ281" i="17" s="1"/>
  <c r="DK281" i="17" s="1"/>
  <c r="DL281" i="17" s="1"/>
  <c r="AH22" i="17"/>
  <c r="AI22" i="17" s="1"/>
  <c r="AJ22" i="17" s="1"/>
  <c r="AK22" i="17" s="1"/>
  <c r="AL22" i="17" s="1"/>
  <c r="AM22" i="17" s="1"/>
  <c r="AN22" i="17" s="1"/>
  <c r="AO22" i="17" s="1"/>
  <c r="AP22" i="17" s="1"/>
  <c r="AQ22" i="17" s="1"/>
  <c r="AR22" i="17" s="1"/>
  <c r="AS22" i="17" s="1"/>
  <c r="AT22" i="17" s="1"/>
  <c r="AU22" i="17" s="1"/>
  <c r="AV22" i="17" s="1"/>
  <c r="AW22" i="17" s="1"/>
  <c r="AX22" i="17" s="1"/>
  <c r="AY22" i="17" s="1"/>
  <c r="AZ22" i="17" s="1"/>
  <c r="BA22" i="17" s="1"/>
  <c r="BB22" i="17" s="1"/>
  <c r="BC22" i="17" s="1"/>
  <c r="BD22" i="17" s="1"/>
  <c r="BE22" i="17" s="1"/>
  <c r="BF22" i="17" s="1"/>
  <c r="BG22" i="17" s="1"/>
  <c r="BH22" i="17" s="1"/>
  <c r="BI22" i="17" s="1"/>
  <c r="BJ22" i="17" s="1"/>
  <c r="BK22" i="17" s="1"/>
  <c r="BL22" i="17" s="1"/>
  <c r="BM22" i="17" s="1"/>
  <c r="BN22" i="17" s="1"/>
  <c r="BO22" i="17" s="1"/>
  <c r="BP22" i="17" s="1"/>
  <c r="BQ22" i="17" s="1"/>
  <c r="BR22" i="17" s="1"/>
  <c r="BS22" i="17" s="1"/>
  <c r="BT22" i="17" s="1"/>
  <c r="BU22" i="17" s="1"/>
  <c r="BV22" i="17" s="1"/>
  <c r="AF187" i="17"/>
  <c r="AG187" i="17" s="1"/>
  <c r="X244" i="17"/>
  <c r="Y244" i="17" s="1"/>
  <c r="Z244" i="17" s="1"/>
  <c r="AA244" i="17" s="1"/>
  <c r="AB244" i="17" s="1"/>
  <c r="AC244" i="17" s="1"/>
  <c r="AD244" i="17" s="1"/>
  <c r="AE244" i="17" s="1"/>
  <c r="AF244" i="17" s="1"/>
  <c r="AG244" i="17" s="1"/>
  <c r="AH244" i="17" s="1"/>
  <c r="AI244" i="17" s="1"/>
  <c r="AJ244" i="17" s="1"/>
  <c r="AK244" i="17" s="1"/>
  <c r="AL244" i="17" s="1"/>
  <c r="AM244" i="17" s="1"/>
  <c r="AN244" i="17" s="1"/>
  <c r="AO244" i="17" s="1"/>
  <c r="AP244" i="17" s="1"/>
  <c r="AQ244" i="17" s="1"/>
  <c r="AR244" i="17" s="1"/>
  <c r="AS244" i="17" s="1"/>
  <c r="AT244" i="17" s="1"/>
  <c r="AU244" i="17" s="1"/>
  <c r="AV244" i="17" s="1"/>
  <c r="AW244" i="17" s="1"/>
  <c r="AX244" i="17" s="1"/>
  <c r="AY244" i="17" s="1"/>
  <c r="AZ244" i="17" s="1"/>
  <c r="BA244" i="17" s="1"/>
  <c r="BB244" i="17" s="1"/>
  <c r="BC244" i="17" s="1"/>
  <c r="BD244" i="17" s="1"/>
  <c r="BE244" i="17" s="1"/>
  <c r="BF244" i="17" s="1"/>
  <c r="BG244" i="17" s="1"/>
  <c r="BH244" i="17" s="1"/>
  <c r="BI244" i="17" s="1"/>
  <c r="BJ244" i="17" s="1"/>
  <c r="BK244" i="17" s="1"/>
  <c r="BL244" i="17" s="1"/>
  <c r="BM244" i="17" s="1"/>
  <c r="BN244" i="17" s="1"/>
  <c r="BO244" i="17" s="1"/>
  <c r="BP244" i="17" s="1"/>
  <c r="BQ244" i="17" s="1"/>
  <c r="BR244" i="17" s="1"/>
  <c r="BS244" i="17" s="1"/>
  <c r="BT244" i="17" s="1"/>
  <c r="BU244" i="17" s="1"/>
  <c r="BV244" i="17" s="1"/>
  <c r="BW244" i="17" s="1"/>
  <c r="BX244" i="17" s="1"/>
  <c r="BY244" i="17" s="1"/>
  <c r="BZ244" i="17" s="1"/>
  <c r="CA244" i="17" s="1"/>
  <c r="CB244" i="17" s="1"/>
  <c r="CC244" i="17" s="1"/>
  <c r="CD244" i="17" s="1"/>
  <c r="CE244" i="17" s="1"/>
  <c r="CF244" i="17" s="1"/>
  <c r="CG244" i="17" s="1"/>
  <c r="CH244" i="17" s="1"/>
  <c r="CI244" i="17" s="1"/>
  <c r="CJ244" i="17" s="1"/>
  <c r="CK244" i="17" s="1"/>
  <c r="CL244" i="17" s="1"/>
  <c r="CM244" i="17" s="1"/>
  <c r="CN244" i="17" s="1"/>
  <c r="CO244" i="17" s="1"/>
  <c r="CP244" i="17" s="1"/>
  <c r="CQ244" i="17" s="1"/>
  <c r="CR244" i="17" s="1"/>
  <c r="CS244" i="17" s="1"/>
  <c r="CT244" i="17" s="1"/>
  <c r="CU244" i="17" s="1"/>
  <c r="CV244" i="17" s="1"/>
  <c r="CW244" i="17" s="1"/>
  <c r="CX244" i="17" s="1"/>
  <c r="CY244" i="17" s="1"/>
  <c r="CZ244" i="17" s="1"/>
  <c r="DA244" i="17" s="1"/>
  <c r="DB244" i="17" s="1"/>
  <c r="DC244" i="17" s="1"/>
  <c r="DD244" i="17" s="1"/>
  <c r="DE244" i="17" s="1"/>
  <c r="DF244" i="17" s="1"/>
  <c r="DG244" i="17" s="1"/>
  <c r="DH244" i="17" s="1"/>
  <c r="DI244" i="17" s="1"/>
  <c r="DJ244" i="17" s="1"/>
  <c r="DK244" i="17" s="1"/>
  <c r="DL244" i="17" s="1"/>
  <c r="AA144" i="17"/>
  <c r="AM242" i="17"/>
  <c r="AN242" i="17" s="1"/>
  <c r="AO242" i="17" s="1"/>
  <c r="AP242" i="17" s="1"/>
  <c r="AQ242" i="17" s="1"/>
  <c r="AR242" i="17" s="1"/>
  <c r="AS242" i="17" s="1"/>
  <c r="AT242" i="17" s="1"/>
  <c r="AU242" i="17" s="1"/>
  <c r="AV242" i="17" s="1"/>
  <c r="AW242" i="17" s="1"/>
  <c r="AX242" i="17" s="1"/>
  <c r="AY242" i="17" s="1"/>
  <c r="AZ242" i="17" s="1"/>
  <c r="BA242" i="17" s="1"/>
  <c r="BB242" i="17" s="1"/>
  <c r="BC242" i="17" s="1"/>
  <c r="BD242" i="17" s="1"/>
  <c r="BE242" i="17" s="1"/>
  <c r="BF242" i="17" s="1"/>
  <c r="BG242" i="17" s="1"/>
  <c r="BH242" i="17" s="1"/>
  <c r="BI242" i="17" s="1"/>
  <c r="BJ242" i="17" s="1"/>
  <c r="BK242" i="17" s="1"/>
  <c r="BL242" i="17" s="1"/>
  <c r="BM242" i="17" s="1"/>
  <c r="BN242" i="17" s="1"/>
  <c r="BO242" i="17" s="1"/>
  <c r="BP242" i="17" s="1"/>
  <c r="BQ242" i="17" s="1"/>
  <c r="BR242" i="17" s="1"/>
  <c r="BS242" i="17" s="1"/>
  <c r="BT242" i="17" s="1"/>
  <c r="BU242" i="17" s="1"/>
  <c r="BV242" i="17" s="1"/>
  <c r="BW242" i="17" s="1"/>
  <c r="BX242" i="17" s="1"/>
  <c r="BY242" i="17" s="1"/>
  <c r="BZ242" i="17" s="1"/>
  <c r="CA242" i="17" s="1"/>
  <c r="CB242" i="17" s="1"/>
  <c r="CC242" i="17" s="1"/>
  <c r="CD242" i="17" s="1"/>
  <c r="CE242" i="17" s="1"/>
  <c r="CF242" i="17" s="1"/>
  <c r="CG242" i="17" s="1"/>
  <c r="CH242" i="17" s="1"/>
  <c r="CI242" i="17" s="1"/>
  <c r="CJ242" i="17" s="1"/>
  <c r="CK242" i="17" s="1"/>
  <c r="CL242" i="17" s="1"/>
  <c r="CM242" i="17" s="1"/>
  <c r="CN242" i="17" s="1"/>
  <c r="CO242" i="17" s="1"/>
  <c r="CP242" i="17" s="1"/>
  <c r="CQ242" i="17" s="1"/>
  <c r="CR242" i="17" s="1"/>
  <c r="CS242" i="17" s="1"/>
  <c r="CT242" i="17" s="1"/>
  <c r="CU242" i="17" s="1"/>
  <c r="CV242" i="17" s="1"/>
  <c r="CW242" i="17" s="1"/>
  <c r="CX242" i="17" s="1"/>
  <c r="CY242" i="17" s="1"/>
  <c r="CZ242" i="17" s="1"/>
  <c r="DA242" i="17" s="1"/>
  <c r="DB242" i="17" s="1"/>
  <c r="DC242" i="17" s="1"/>
  <c r="DD242" i="17" s="1"/>
  <c r="DE242" i="17" s="1"/>
  <c r="DF242" i="17" s="1"/>
  <c r="DG242" i="17" s="1"/>
  <c r="DH242" i="17" s="1"/>
  <c r="DI242" i="17" s="1"/>
  <c r="DJ242" i="17" s="1"/>
  <c r="DK242" i="17" s="1"/>
  <c r="DL242" i="17" s="1"/>
  <c r="X279" i="17"/>
  <c r="Y279" i="17" s="1"/>
  <c r="Z279" i="17" s="1"/>
  <c r="AA279" i="17" s="1"/>
  <c r="AB279" i="17" s="1"/>
  <c r="AC279" i="17" s="1"/>
  <c r="AD279" i="17" s="1"/>
  <c r="AE279" i="17" s="1"/>
  <c r="AF279" i="17" s="1"/>
  <c r="AG279" i="17" s="1"/>
  <c r="AH279" i="17" s="1"/>
  <c r="AI279" i="17" s="1"/>
  <c r="AJ279" i="17" s="1"/>
  <c r="AK279" i="17" s="1"/>
  <c r="AL279" i="17" s="1"/>
  <c r="AM279" i="17" s="1"/>
  <c r="AN279" i="17" s="1"/>
  <c r="AO279" i="17" s="1"/>
  <c r="AP279" i="17" s="1"/>
  <c r="AQ279" i="17" s="1"/>
  <c r="AR279" i="17" s="1"/>
  <c r="AS279" i="17" s="1"/>
  <c r="AT279" i="17" s="1"/>
  <c r="AU279" i="17" s="1"/>
  <c r="AV279" i="17" s="1"/>
  <c r="AW279" i="17" s="1"/>
  <c r="AX279" i="17" s="1"/>
  <c r="AY279" i="17" s="1"/>
  <c r="AZ279" i="17" s="1"/>
  <c r="BA279" i="17" s="1"/>
  <c r="BB279" i="17" s="1"/>
  <c r="BC279" i="17" s="1"/>
  <c r="BD279" i="17" s="1"/>
  <c r="BE279" i="17" s="1"/>
  <c r="BF279" i="17" s="1"/>
  <c r="BG279" i="17" s="1"/>
  <c r="BH279" i="17" s="1"/>
  <c r="BI279" i="17" s="1"/>
  <c r="BJ279" i="17" s="1"/>
  <c r="BK279" i="17" s="1"/>
  <c r="BL279" i="17" s="1"/>
  <c r="BM279" i="17" s="1"/>
  <c r="BN279" i="17" s="1"/>
  <c r="BO279" i="17" s="1"/>
  <c r="BP279" i="17" s="1"/>
  <c r="BQ279" i="17" s="1"/>
  <c r="BR279" i="17" s="1"/>
  <c r="BS279" i="17" s="1"/>
  <c r="BT279" i="17" s="1"/>
  <c r="BU279" i="17" s="1"/>
  <c r="BV279" i="17" s="1"/>
  <c r="BW279" i="17" s="1"/>
  <c r="BX279" i="17" s="1"/>
  <c r="BY279" i="17" s="1"/>
  <c r="BZ279" i="17" s="1"/>
  <c r="CA279" i="17" s="1"/>
  <c r="CB279" i="17" s="1"/>
  <c r="CC279" i="17" s="1"/>
  <c r="CD279" i="17" s="1"/>
  <c r="CE279" i="17" s="1"/>
  <c r="CF279" i="17" s="1"/>
  <c r="CG279" i="17" s="1"/>
  <c r="CH279" i="17" s="1"/>
  <c r="CI279" i="17" s="1"/>
  <c r="CJ279" i="17" s="1"/>
  <c r="CK279" i="17" s="1"/>
  <c r="CL279" i="17" s="1"/>
  <c r="CM279" i="17" s="1"/>
  <c r="CN279" i="17" s="1"/>
  <c r="CO279" i="17" s="1"/>
  <c r="CP279" i="17" s="1"/>
  <c r="CQ279" i="17" s="1"/>
  <c r="CR279" i="17" s="1"/>
  <c r="CS279" i="17" s="1"/>
  <c r="CT279" i="17" s="1"/>
  <c r="CU279" i="17" s="1"/>
  <c r="CV279" i="17" s="1"/>
  <c r="CW279" i="17" s="1"/>
  <c r="CX279" i="17" s="1"/>
  <c r="CY279" i="17" s="1"/>
  <c r="CZ279" i="17" s="1"/>
  <c r="DA279" i="17" s="1"/>
  <c r="DB279" i="17" s="1"/>
  <c r="DC279" i="17" s="1"/>
  <c r="DD279" i="17" s="1"/>
  <c r="DE279" i="17" s="1"/>
  <c r="DF279" i="17" s="1"/>
  <c r="DG279" i="17" s="1"/>
  <c r="DH279" i="17" s="1"/>
  <c r="DI279" i="17" s="1"/>
  <c r="DJ279" i="17" s="1"/>
  <c r="DK279" i="17" s="1"/>
  <c r="DL279" i="17" s="1"/>
  <c r="W177" i="17"/>
  <c r="X177" i="17" s="1"/>
  <c r="Y177" i="17" s="1"/>
  <c r="Z177" i="17" s="1"/>
  <c r="AA177" i="17" s="1"/>
  <c r="AB177" i="17" s="1"/>
  <c r="AC177" i="17" s="1"/>
  <c r="AD177" i="17" s="1"/>
  <c r="AE177" i="17" s="1"/>
  <c r="AF177" i="17" s="1"/>
  <c r="AG177" i="17" s="1"/>
  <c r="AH177" i="17" s="1"/>
  <c r="AI177" i="17" s="1"/>
  <c r="AJ177" i="17" s="1"/>
  <c r="AK177" i="17" s="1"/>
  <c r="AL177" i="17" s="1"/>
  <c r="AM177" i="17" s="1"/>
  <c r="AN177" i="17" s="1"/>
  <c r="AO177" i="17" s="1"/>
  <c r="AP177" i="17" s="1"/>
  <c r="AQ177" i="17" s="1"/>
  <c r="AR177" i="17" s="1"/>
  <c r="AS177" i="17" s="1"/>
  <c r="AT177" i="17" s="1"/>
  <c r="AU177" i="17" s="1"/>
  <c r="AV177" i="17" s="1"/>
  <c r="AW177" i="17" s="1"/>
  <c r="AX177" i="17" s="1"/>
  <c r="AY177" i="17" s="1"/>
  <c r="AZ177" i="17" s="1"/>
  <c r="BA177" i="17" s="1"/>
  <c r="BB177" i="17" s="1"/>
  <c r="BC177" i="17" s="1"/>
  <c r="BD177" i="17" s="1"/>
  <c r="BE177" i="17" s="1"/>
  <c r="BF177" i="17" s="1"/>
  <c r="BG177" i="17" s="1"/>
  <c r="BH177" i="17" s="1"/>
  <c r="BI177" i="17" s="1"/>
  <c r="BJ177" i="17" s="1"/>
  <c r="BK177" i="17" s="1"/>
  <c r="BL177" i="17" s="1"/>
  <c r="BM177" i="17" s="1"/>
  <c r="BN177" i="17" s="1"/>
  <c r="BO177" i="17" s="1"/>
  <c r="BP177" i="17" s="1"/>
  <c r="BQ177" i="17" s="1"/>
  <c r="BR177" i="17" s="1"/>
  <c r="BS177" i="17" s="1"/>
  <c r="BT177" i="17" s="1"/>
  <c r="BU177" i="17" s="1"/>
  <c r="BV177" i="17" s="1"/>
  <c r="BW177" i="17" s="1"/>
  <c r="BX177" i="17" s="1"/>
  <c r="BY177" i="17" s="1"/>
  <c r="BZ177" i="17" s="1"/>
  <c r="CA177" i="17" s="1"/>
  <c r="CB177" i="17" s="1"/>
  <c r="CC177" i="17" s="1"/>
  <c r="CD177" i="17" s="1"/>
  <c r="CE177" i="17" s="1"/>
  <c r="CF177" i="17" s="1"/>
  <c r="CG177" i="17" s="1"/>
  <c r="CH177" i="17" s="1"/>
  <c r="CI177" i="17" s="1"/>
  <c r="CJ177" i="17" s="1"/>
  <c r="CK177" i="17" s="1"/>
  <c r="CL177" i="17" s="1"/>
  <c r="CM177" i="17" s="1"/>
  <c r="CN177" i="17" s="1"/>
  <c r="CO177" i="17" s="1"/>
  <c r="CP177" i="17" s="1"/>
  <c r="CQ177" i="17" s="1"/>
  <c r="CR177" i="17" s="1"/>
  <c r="CS177" i="17" s="1"/>
  <c r="CT177" i="17" s="1"/>
  <c r="CU177" i="17" s="1"/>
  <c r="CV177" i="17" s="1"/>
  <c r="CW177" i="17" s="1"/>
  <c r="CX177" i="17" s="1"/>
  <c r="CY177" i="17" s="1"/>
  <c r="CZ177" i="17" s="1"/>
  <c r="DA177" i="17" s="1"/>
  <c r="DB177" i="17" s="1"/>
  <c r="DC177" i="17" s="1"/>
  <c r="DD177" i="17" s="1"/>
  <c r="DE177" i="17" s="1"/>
  <c r="DF177" i="17" s="1"/>
  <c r="DG177" i="17" s="1"/>
  <c r="DH177" i="17" s="1"/>
  <c r="DI177" i="17" s="1"/>
  <c r="DJ177" i="17" s="1"/>
  <c r="DK177" i="17" s="1"/>
  <c r="DL177" i="17" s="1"/>
  <c r="Z175" i="17"/>
  <c r="AA175" i="17" s="1"/>
  <c r="AB175" i="17" s="1"/>
  <c r="AC175" i="17" s="1"/>
  <c r="AD175" i="17" s="1"/>
  <c r="AE175" i="17" s="1"/>
  <c r="AF175" i="17" s="1"/>
  <c r="AG175" i="17" s="1"/>
  <c r="AH175" i="17" s="1"/>
  <c r="AI175" i="17" s="1"/>
  <c r="AJ175" i="17" s="1"/>
  <c r="AK175" i="17" s="1"/>
  <c r="AL175" i="17" s="1"/>
  <c r="AM175" i="17" s="1"/>
  <c r="AN175" i="17" s="1"/>
  <c r="AO175" i="17" s="1"/>
  <c r="AP175" i="17" s="1"/>
  <c r="AQ175" i="17" s="1"/>
  <c r="AR175" i="17" s="1"/>
  <c r="AS175" i="17" s="1"/>
  <c r="AT175" i="17" s="1"/>
  <c r="AU175" i="17" s="1"/>
  <c r="AV175" i="17" s="1"/>
  <c r="AW175" i="17" s="1"/>
  <c r="AX175" i="17" s="1"/>
  <c r="AY175" i="17" s="1"/>
  <c r="AZ175" i="17" s="1"/>
  <c r="BA175" i="17" s="1"/>
  <c r="BB175" i="17" s="1"/>
  <c r="BC175" i="17" s="1"/>
  <c r="BD175" i="17" s="1"/>
  <c r="BE175" i="17" s="1"/>
  <c r="BF175" i="17" s="1"/>
  <c r="BG175" i="17" s="1"/>
  <c r="BH175" i="17" s="1"/>
  <c r="BI175" i="17" s="1"/>
  <c r="BJ175" i="17" s="1"/>
  <c r="BK175" i="17" s="1"/>
  <c r="BL175" i="17" s="1"/>
  <c r="BM175" i="17" s="1"/>
  <c r="BN175" i="17" s="1"/>
  <c r="BO175" i="17" s="1"/>
  <c r="BP175" i="17" s="1"/>
  <c r="BQ175" i="17" s="1"/>
  <c r="BR175" i="17" s="1"/>
  <c r="BS175" i="17" s="1"/>
  <c r="BT175" i="17" s="1"/>
  <c r="BU175" i="17" s="1"/>
  <c r="BV175" i="17" s="1"/>
  <c r="BW175" i="17" s="1"/>
  <c r="BX175" i="17" s="1"/>
  <c r="BY175" i="17" s="1"/>
  <c r="BZ175" i="17" s="1"/>
  <c r="CA175" i="17" s="1"/>
  <c r="CB175" i="17" s="1"/>
  <c r="CC175" i="17" s="1"/>
  <c r="CD175" i="17" s="1"/>
  <c r="CE175" i="17" s="1"/>
  <c r="CF175" i="17" s="1"/>
  <c r="CG175" i="17" s="1"/>
  <c r="CH175" i="17" s="1"/>
  <c r="CI175" i="17" s="1"/>
  <c r="CJ175" i="17" s="1"/>
  <c r="CK175" i="17" s="1"/>
  <c r="CL175" i="17" s="1"/>
  <c r="CM175" i="17" s="1"/>
  <c r="CN175" i="17" s="1"/>
  <c r="CO175" i="17" s="1"/>
  <c r="CP175" i="17" s="1"/>
  <c r="CQ175" i="17" s="1"/>
  <c r="CR175" i="17" s="1"/>
  <c r="CS175" i="17" s="1"/>
  <c r="CT175" i="17" s="1"/>
  <c r="CU175" i="17" s="1"/>
  <c r="X52" i="17"/>
  <c r="Y52" i="17" s="1"/>
  <c r="Z52" i="17" s="1"/>
  <c r="AA52" i="17" s="1"/>
  <c r="AB52" i="17" s="1"/>
  <c r="AC52" i="17" s="1"/>
  <c r="AD52" i="17" s="1"/>
  <c r="AE52" i="17" s="1"/>
  <c r="AF52" i="17" s="1"/>
  <c r="AG52" i="17" s="1"/>
  <c r="AH52" i="17" s="1"/>
  <c r="AI52" i="17" s="1"/>
  <c r="AJ52" i="17" s="1"/>
  <c r="AK52" i="17" s="1"/>
  <c r="AL52" i="17" s="1"/>
  <c r="AM52" i="17" s="1"/>
  <c r="AN52" i="17" s="1"/>
  <c r="AO52" i="17" s="1"/>
  <c r="AP52" i="17" s="1"/>
  <c r="AQ52" i="17" s="1"/>
  <c r="AR52" i="17" s="1"/>
  <c r="AS52" i="17" s="1"/>
  <c r="AT52" i="17" s="1"/>
  <c r="AU52" i="17" s="1"/>
  <c r="AV52" i="17" s="1"/>
  <c r="AW52" i="17" s="1"/>
  <c r="AX52" i="17" s="1"/>
  <c r="AY52" i="17" s="1"/>
  <c r="AZ52" i="17" s="1"/>
  <c r="BA52" i="17" s="1"/>
  <c r="BB52" i="17" s="1"/>
  <c r="BC52" i="17" s="1"/>
  <c r="BD52" i="17" s="1"/>
  <c r="BE52" i="17" s="1"/>
  <c r="BF52" i="17" s="1"/>
  <c r="BG52" i="17" s="1"/>
  <c r="BH52" i="17" s="1"/>
  <c r="BI52" i="17" s="1"/>
  <c r="BJ52" i="17" s="1"/>
  <c r="BK52" i="17" s="1"/>
  <c r="BL52" i="17" s="1"/>
  <c r="BM52" i="17" s="1"/>
  <c r="BN52" i="17" s="1"/>
  <c r="BO52" i="17" s="1"/>
  <c r="BP52" i="17" s="1"/>
  <c r="BQ52" i="17" s="1"/>
  <c r="BR52" i="17" s="1"/>
  <c r="BS52" i="17" s="1"/>
  <c r="BT52" i="17" s="1"/>
  <c r="BU52" i="17" s="1"/>
  <c r="BV52" i="17" s="1"/>
  <c r="BW52" i="17" s="1"/>
  <c r="BX52" i="17" s="1"/>
  <c r="BY52" i="17" s="1"/>
  <c r="BZ52" i="17" s="1"/>
  <c r="CA52" i="17" s="1"/>
  <c r="CB52" i="17" s="1"/>
  <c r="CC52" i="17" s="1"/>
  <c r="CD52" i="17" s="1"/>
  <c r="CE52" i="17" s="1"/>
  <c r="CF52" i="17" s="1"/>
  <c r="CG52" i="17" s="1"/>
  <c r="CH52" i="17" s="1"/>
  <c r="CI52" i="17" s="1"/>
  <c r="CJ52" i="17" s="1"/>
  <c r="CK52" i="17" s="1"/>
  <c r="CL52" i="17" s="1"/>
  <c r="CM52" i="17" s="1"/>
  <c r="CN52" i="17" s="1"/>
  <c r="CO52" i="17" s="1"/>
  <c r="CP52" i="17" s="1"/>
  <c r="CQ52" i="17" s="1"/>
  <c r="CR52" i="17" s="1"/>
  <c r="CS52" i="17" s="1"/>
  <c r="CT52" i="17" s="1"/>
  <c r="CU52" i="17" s="1"/>
  <c r="CV52" i="17" s="1"/>
  <c r="CW52" i="17" s="1"/>
  <c r="CX52" i="17" s="1"/>
  <c r="CY52" i="17" s="1"/>
  <c r="CZ52" i="17" s="1"/>
  <c r="DA52" i="17" s="1"/>
  <c r="DB52" i="17" s="1"/>
  <c r="DC52" i="17" s="1"/>
  <c r="DD52" i="17" s="1"/>
  <c r="DE52" i="17" s="1"/>
  <c r="DF52" i="17" s="1"/>
  <c r="DG52" i="17" s="1"/>
  <c r="DH52" i="17" s="1"/>
  <c r="DI52" i="17" s="1"/>
  <c r="DJ52" i="17" s="1"/>
  <c r="DK52" i="17" s="1"/>
  <c r="DL52" i="17" s="1"/>
  <c r="AS93" i="17"/>
  <c r="Z97" i="17"/>
  <c r="AA97" i="17" s="1"/>
  <c r="AB97" i="17" s="1"/>
  <c r="AC97" i="17" s="1"/>
  <c r="AD97" i="17" s="1"/>
  <c r="AE97" i="17" s="1"/>
  <c r="AF97" i="17" s="1"/>
  <c r="AG97" i="17" s="1"/>
  <c r="AH97" i="17" s="1"/>
  <c r="AI97" i="17" s="1"/>
  <c r="AJ97" i="17" s="1"/>
  <c r="AK97" i="17" s="1"/>
  <c r="X205" i="17"/>
  <c r="Y205" i="17" s="1"/>
  <c r="Z205" i="17" s="1"/>
  <c r="AA205" i="17" s="1"/>
  <c r="AB205" i="17" s="1"/>
  <c r="AC205" i="17" s="1"/>
  <c r="AD205" i="17" s="1"/>
  <c r="AE205" i="17" s="1"/>
  <c r="AF205" i="17" s="1"/>
  <c r="AG205" i="17" s="1"/>
  <c r="AH205" i="17" s="1"/>
  <c r="AI205" i="17" s="1"/>
  <c r="AJ205" i="17" s="1"/>
  <c r="AK205" i="17" s="1"/>
  <c r="AL205" i="17" s="1"/>
  <c r="AM205" i="17" s="1"/>
  <c r="AN205" i="17" s="1"/>
  <c r="AO205" i="17" s="1"/>
  <c r="AP205" i="17" s="1"/>
  <c r="AQ205" i="17" s="1"/>
  <c r="AR205" i="17" s="1"/>
  <c r="AS205" i="17" s="1"/>
  <c r="AT205" i="17" s="1"/>
  <c r="AU205" i="17" s="1"/>
  <c r="AV205" i="17" s="1"/>
  <c r="AW205" i="17" s="1"/>
  <c r="AX205" i="17" s="1"/>
  <c r="AY205" i="17" s="1"/>
  <c r="AZ205" i="17" s="1"/>
  <c r="BA205" i="17" s="1"/>
  <c r="BB205" i="17" s="1"/>
  <c r="BC205" i="17" s="1"/>
  <c r="BD205" i="17" s="1"/>
  <c r="BE205" i="17" s="1"/>
  <c r="BF205" i="17" s="1"/>
  <c r="BG205" i="17" s="1"/>
  <c r="BH205" i="17" s="1"/>
  <c r="BI205" i="17" s="1"/>
  <c r="BJ205" i="17" s="1"/>
  <c r="BK205" i="17" s="1"/>
  <c r="BL205" i="17" s="1"/>
  <c r="BM205" i="17" s="1"/>
  <c r="BN205" i="17" s="1"/>
  <c r="BO205" i="17" s="1"/>
  <c r="BP205" i="17" s="1"/>
  <c r="BQ205" i="17" s="1"/>
  <c r="BR205" i="17" s="1"/>
  <c r="BS205" i="17" s="1"/>
  <c r="BT205" i="17" s="1"/>
  <c r="BU205" i="17" s="1"/>
  <c r="BV205" i="17" s="1"/>
  <c r="BW205" i="17" s="1"/>
  <c r="BX205" i="17" s="1"/>
  <c r="BY205" i="17" s="1"/>
  <c r="BZ205" i="17" s="1"/>
  <c r="CA205" i="17" s="1"/>
  <c r="CB205" i="17" s="1"/>
  <c r="CC205" i="17" s="1"/>
  <c r="CD205" i="17" s="1"/>
  <c r="CE205" i="17" s="1"/>
  <c r="CF205" i="17" s="1"/>
  <c r="CG205" i="17" s="1"/>
  <c r="CH205" i="17" s="1"/>
  <c r="CI205" i="17" s="1"/>
  <c r="CJ205" i="17" s="1"/>
  <c r="CK205" i="17" s="1"/>
  <c r="CL205" i="17" s="1"/>
  <c r="CM205" i="17" s="1"/>
  <c r="CN205" i="17" s="1"/>
  <c r="CO205" i="17" s="1"/>
  <c r="CP205" i="17" s="1"/>
  <c r="CQ205" i="17" s="1"/>
  <c r="CR205" i="17" s="1"/>
  <c r="CS205" i="17" s="1"/>
  <c r="CT205" i="17" s="1"/>
  <c r="CU205" i="17" s="1"/>
  <c r="CV205" i="17" s="1"/>
  <c r="CW205" i="17" s="1"/>
  <c r="CX205" i="17" s="1"/>
  <c r="CY205" i="17" s="1"/>
  <c r="CZ205" i="17" s="1"/>
  <c r="DA205" i="17" s="1"/>
  <c r="DB205" i="17" s="1"/>
  <c r="DC205" i="17" s="1"/>
  <c r="DD205" i="17" s="1"/>
  <c r="DE205" i="17" s="1"/>
  <c r="DF205" i="17" s="1"/>
  <c r="DG205" i="17" s="1"/>
  <c r="DH205" i="17" s="1"/>
  <c r="DI205" i="17" s="1"/>
  <c r="DJ205" i="17" s="1"/>
  <c r="DK205" i="17" s="1"/>
  <c r="DL205" i="17" s="1"/>
  <c r="Z255" i="17"/>
  <c r="AA255" i="17" s="1"/>
  <c r="AB255" i="17" s="1"/>
  <c r="AC255" i="17" s="1"/>
  <c r="AD255" i="17" s="1"/>
  <c r="AE255" i="17" s="1"/>
  <c r="AF255" i="17" s="1"/>
  <c r="AG255" i="17" s="1"/>
  <c r="AH255" i="17" s="1"/>
  <c r="AI255" i="17" s="1"/>
  <c r="AJ255" i="17" s="1"/>
  <c r="AK255" i="17" s="1"/>
  <c r="AL255" i="17" s="1"/>
  <c r="AM255" i="17" s="1"/>
  <c r="AN255" i="17" s="1"/>
  <c r="AO255" i="17" s="1"/>
  <c r="AP255" i="17" s="1"/>
  <c r="AQ255" i="17" s="1"/>
  <c r="AR255" i="17" s="1"/>
  <c r="AS255" i="17" s="1"/>
  <c r="AT255" i="17" s="1"/>
  <c r="AU255" i="17" s="1"/>
  <c r="AV255" i="17" s="1"/>
  <c r="AW255" i="17" s="1"/>
  <c r="AX255" i="17" s="1"/>
  <c r="AY255" i="17" s="1"/>
  <c r="AZ255" i="17" s="1"/>
  <c r="BA255" i="17" s="1"/>
  <c r="BB255" i="17" s="1"/>
  <c r="BC255" i="17" s="1"/>
  <c r="BD255" i="17" s="1"/>
  <c r="BE255" i="17" s="1"/>
  <c r="BF255" i="17" s="1"/>
  <c r="BG255" i="17" s="1"/>
  <c r="BH255" i="17" s="1"/>
  <c r="BI255" i="17" s="1"/>
  <c r="BJ255" i="17" s="1"/>
  <c r="BK255" i="17" s="1"/>
  <c r="BL255" i="17" s="1"/>
  <c r="BM255" i="17" s="1"/>
  <c r="BN255" i="17" s="1"/>
  <c r="BO255" i="17" s="1"/>
  <c r="BP255" i="17" s="1"/>
  <c r="BQ255" i="17" s="1"/>
  <c r="BR255" i="17" s="1"/>
  <c r="BS255" i="17" s="1"/>
  <c r="BT255" i="17" s="1"/>
  <c r="BU255" i="17" s="1"/>
  <c r="BV255" i="17" s="1"/>
  <c r="BW255" i="17" s="1"/>
  <c r="BX255" i="17" s="1"/>
  <c r="BY255" i="17" s="1"/>
  <c r="BZ255" i="17" s="1"/>
  <c r="CA255" i="17" s="1"/>
  <c r="CB255" i="17" s="1"/>
  <c r="CC255" i="17" s="1"/>
  <c r="CD255" i="17" s="1"/>
  <c r="CE255" i="17" s="1"/>
  <c r="CF255" i="17" s="1"/>
  <c r="CG255" i="17" s="1"/>
  <c r="CH255" i="17" s="1"/>
  <c r="CI255" i="17" s="1"/>
  <c r="CJ255" i="17" s="1"/>
  <c r="CK255" i="17" s="1"/>
  <c r="CL255" i="17" s="1"/>
  <c r="CM255" i="17" s="1"/>
  <c r="CN255" i="17" s="1"/>
  <c r="CO255" i="17" s="1"/>
  <c r="CP255" i="17" s="1"/>
  <c r="CQ255" i="17" s="1"/>
  <c r="CR255" i="17" s="1"/>
  <c r="CS255" i="17" s="1"/>
  <c r="CT255" i="17" s="1"/>
  <c r="CU255" i="17" s="1"/>
  <c r="CV255" i="17" s="1"/>
  <c r="CW255" i="17" s="1"/>
  <c r="CX255" i="17" s="1"/>
  <c r="CY255" i="17" s="1"/>
  <c r="CZ255" i="17" s="1"/>
  <c r="DA255" i="17" s="1"/>
  <c r="DB255" i="17" s="1"/>
  <c r="DC255" i="17" s="1"/>
  <c r="DD255" i="17" s="1"/>
  <c r="DE255" i="17" s="1"/>
  <c r="DF255" i="17" s="1"/>
  <c r="DG255" i="17" s="1"/>
  <c r="DH255" i="17" s="1"/>
  <c r="DI255" i="17" s="1"/>
  <c r="DJ255" i="17" s="1"/>
  <c r="DK255" i="17" s="1"/>
  <c r="DL255" i="17" s="1"/>
  <c r="AC270" i="17"/>
  <c r="AB68" i="17"/>
  <c r="AC68" i="17" s="1"/>
  <c r="AD68" i="17" s="1"/>
  <c r="AE68" i="17" s="1"/>
  <c r="AF68" i="17" s="1"/>
  <c r="AG68" i="17" s="1"/>
  <c r="AH68" i="17" s="1"/>
  <c r="AI68" i="17" s="1"/>
  <c r="AJ68" i="17" s="1"/>
  <c r="AK68" i="17" s="1"/>
  <c r="AL68" i="17" s="1"/>
  <c r="AM68" i="17" s="1"/>
  <c r="AN68" i="17" s="1"/>
  <c r="AO68" i="17" s="1"/>
  <c r="AP68" i="17" s="1"/>
  <c r="AQ68" i="17" s="1"/>
  <c r="AR68" i="17" s="1"/>
  <c r="AS68" i="17" s="1"/>
  <c r="AT68" i="17" s="1"/>
  <c r="AU68" i="17" s="1"/>
  <c r="AV68" i="17" s="1"/>
  <c r="AW68" i="17" s="1"/>
  <c r="AX68" i="17" s="1"/>
  <c r="AY68" i="17" s="1"/>
  <c r="AZ68" i="17" s="1"/>
  <c r="BA68" i="17" s="1"/>
  <c r="BB68" i="17" s="1"/>
  <c r="BC68" i="17" s="1"/>
  <c r="BD68" i="17" s="1"/>
  <c r="BE68" i="17" s="1"/>
  <c r="BF68" i="17" s="1"/>
  <c r="BG68" i="17" s="1"/>
  <c r="BH68" i="17" s="1"/>
  <c r="BI68" i="17" s="1"/>
  <c r="BJ68" i="17" s="1"/>
  <c r="BK68" i="17" s="1"/>
  <c r="BL68" i="17" s="1"/>
  <c r="BM68" i="17" s="1"/>
  <c r="BN68" i="17" s="1"/>
  <c r="BO68" i="17" s="1"/>
  <c r="BP68" i="17" s="1"/>
  <c r="BQ68" i="17" s="1"/>
  <c r="BR68" i="17" s="1"/>
  <c r="BS68" i="17" s="1"/>
  <c r="BT68" i="17" s="1"/>
  <c r="BU68" i="17" s="1"/>
  <c r="BV68" i="17" s="1"/>
  <c r="BW68" i="17" s="1"/>
  <c r="BX68" i="17" s="1"/>
  <c r="BY68" i="17" s="1"/>
  <c r="BZ68" i="17" s="1"/>
  <c r="CA68" i="17" s="1"/>
  <c r="CB68" i="17" s="1"/>
  <c r="CC68" i="17" s="1"/>
  <c r="CD68" i="17" s="1"/>
  <c r="CE68" i="17" s="1"/>
  <c r="CF68" i="17" s="1"/>
  <c r="CG68" i="17" s="1"/>
  <c r="CH68" i="17" s="1"/>
  <c r="CI68" i="17" s="1"/>
  <c r="CJ68" i="17" s="1"/>
  <c r="CK68" i="17" s="1"/>
  <c r="CL68" i="17" s="1"/>
  <c r="CM68" i="17" s="1"/>
  <c r="CN68" i="17" s="1"/>
  <c r="CO68" i="17" s="1"/>
  <c r="CP68" i="17" s="1"/>
  <c r="CQ68" i="17" s="1"/>
  <c r="CR68" i="17" s="1"/>
  <c r="CS68" i="17" s="1"/>
  <c r="CT68" i="17" s="1"/>
  <c r="CU68" i="17" s="1"/>
  <c r="CV68" i="17" s="1"/>
  <c r="CW68" i="17" s="1"/>
  <c r="CX68" i="17" s="1"/>
  <c r="CY68" i="17" s="1"/>
  <c r="CZ68" i="17" s="1"/>
  <c r="DA68" i="17" s="1"/>
  <c r="DB68" i="17" s="1"/>
  <c r="DC68" i="17" s="1"/>
  <c r="DD68" i="17" s="1"/>
  <c r="DE68" i="17" s="1"/>
  <c r="DF68" i="17" s="1"/>
  <c r="DG68" i="17" s="1"/>
  <c r="DH68" i="17" s="1"/>
  <c r="DI68" i="17" s="1"/>
  <c r="DJ68" i="17" s="1"/>
  <c r="DK68" i="17" s="1"/>
  <c r="DL68" i="17" s="1"/>
  <c r="Z158" i="17"/>
  <c r="AA158" i="17" s="1"/>
  <c r="AB158" i="17" s="1"/>
  <c r="AC158" i="17" s="1"/>
  <c r="AD158" i="17" s="1"/>
  <c r="AE158" i="17" s="1"/>
  <c r="AF158" i="17" s="1"/>
  <c r="AG158" i="17" s="1"/>
  <c r="AH158" i="17" s="1"/>
  <c r="AI158" i="17" s="1"/>
  <c r="AJ158" i="17" s="1"/>
  <c r="AK158" i="17" s="1"/>
  <c r="AL158" i="17" s="1"/>
  <c r="AM158" i="17" s="1"/>
  <c r="AN158" i="17" s="1"/>
  <c r="Z219" i="17"/>
  <c r="AA219" i="17" s="1"/>
  <c r="AB219" i="17" s="1"/>
  <c r="AC219" i="17" s="1"/>
  <c r="AD219" i="17" s="1"/>
  <c r="AE219" i="17" s="1"/>
  <c r="AF219" i="17" s="1"/>
  <c r="AG219" i="17" s="1"/>
  <c r="AH219" i="17" s="1"/>
  <c r="AI219" i="17" s="1"/>
  <c r="AJ219" i="17" s="1"/>
  <c r="AK219" i="17" s="1"/>
  <c r="AL219" i="17" s="1"/>
  <c r="AM219" i="17" s="1"/>
  <c r="AN219" i="17" s="1"/>
  <c r="AO219" i="17" s="1"/>
  <c r="AP219" i="17" s="1"/>
  <c r="AQ219" i="17" s="1"/>
  <c r="AR219" i="17" s="1"/>
  <c r="AS219" i="17" s="1"/>
  <c r="AT219" i="17" s="1"/>
  <c r="AU219" i="17" s="1"/>
  <c r="AV219" i="17" s="1"/>
  <c r="AW219" i="17" s="1"/>
  <c r="AX219" i="17" s="1"/>
  <c r="X44" i="17"/>
  <c r="Y44" i="17" s="1"/>
  <c r="Z44" i="17" s="1"/>
  <c r="AA44" i="17" s="1"/>
  <c r="AB44" i="17" s="1"/>
  <c r="AC44" i="17" s="1"/>
  <c r="AD44" i="17" s="1"/>
  <c r="AE44" i="17" s="1"/>
  <c r="AF44" i="17" s="1"/>
  <c r="AG44" i="17" s="1"/>
  <c r="AH44" i="17" s="1"/>
  <c r="AI44" i="17" s="1"/>
  <c r="AJ44" i="17" s="1"/>
  <c r="AK44" i="17" s="1"/>
  <c r="AL44" i="17" s="1"/>
  <c r="AM44" i="17" s="1"/>
  <c r="AN44" i="17" s="1"/>
  <c r="AO44" i="17" s="1"/>
  <c r="AP44" i="17" s="1"/>
  <c r="AQ44" i="17" s="1"/>
  <c r="AR44" i="17" s="1"/>
  <c r="AS44" i="17" s="1"/>
  <c r="AT44" i="17" s="1"/>
  <c r="AU44" i="17" s="1"/>
  <c r="AV44" i="17" s="1"/>
  <c r="AW44" i="17" s="1"/>
  <c r="AX44" i="17" s="1"/>
  <c r="AY44" i="17" s="1"/>
  <c r="AZ44" i="17" s="1"/>
  <c r="BA44" i="17" s="1"/>
  <c r="BB44" i="17" s="1"/>
  <c r="BC44" i="17" s="1"/>
  <c r="BD44" i="17" s="1"/>
  <c r="BE44" i="17" s="1"/>
  <c r="BF44" i="17" s="1"/>
  <c r="BG44" i="17" s="1"/>
  <c r="BH44" i="17" s="1"/>
  <c r="BI44" i="17" s="1"/>
  <c r="BJ44" i="17" s="1"/>
  <c r="BK44" i="17" s="1"/>
  <c r="BL44" i="17" s="1"/>
  <c r="BM44" i="17" s="1"/>
  <c r="BN44" i="17" s="1"/>
  <c r="BO44" i="17" s="1"/>
  <c r="BP44" i="17" s="1"/>
  <c r="BQ44" i="17" s="1"/>
  <c r="BR44" i="17" s="1"/>
  <c r="BS44" i="17" s="1"/>
  <c r="BT44" i="17" s="1"/>
  <c r="BU44" i="17" s="1"/>
  <c r="BV44" i="17" s="1"/>
  <c r="BW44" i="17" s="1"/>
  <c r="BX44" i="17" s="1"/>
  <c r="BY44" i="17" s="1"/>
  <c r="BZ44" i="17" s="1"/>
  <c r="CA44" i="17" s="1"/>
  <c r="CB44" i="17" s="1"/>
  <c r="CC44" i="17" s="1"/>
  <c r="CD44" i="17" s="1"/>
  <c r="CE44" i="17" s="1"/>
  <c r="CF44" i="17" s="1"/>
  <c r="CG44" i="17" s="1"/>
  <c r="CH44" i="17" s="1"/>
  <c r="CI44" i="17" s="1"/>
  <c r="CJ44" i="17" s="1"/>
  <c r="CK44" i="17" s="1"/>
  <c r="CL44" i="17" s="1"/>
  <c r="CM44" i="17" s="1"/>
  <c r="CN44" i="17" s="1"/>
  <c r="CO44" i="17" s="1"/>
  <c r="CP44" i="17" s="1"/>
  <c r="CQ44" i="17" s="1"/>
  <c r="CR44" i="17" s="1"/>
  <c r="CS44" i="17" s="1"/>
  <c r="CT44" i="17" s="1"/>
  <c r="CU44" i="17" s="1"/>
  <c r="CV44" i="17" s="1"/>
  <c r="CW44" i="17" s="1"/>
  <c r="CX44" i="17" s="1"/>
  <c r="CY44" i="17" s="1"/>
  <c r="CZ44" i="17" s="1"/>
  <c r="DA44" i="17" s="1"/>
  <c r="DB44" i="17" s="1"/>
  <c r="DC44" i="17" s="1"/>
  <c r="DD44" i="17" s="1"/>
  <c r="DE44" i="17" s="1"/>
  <c r="DF44" i="17" s="1"/>
  <c r="DG44" i="17" s="1"/>
  <c r="DH44" i="17" s="1"/>
  <c r="DI44" i="17" s="1"/>
  <c r="DJ44" i="17" s="1"/>
  <c r="DK44" i="17" s="1"/>
  <c r="DL44" i="17" s="1"/>
  <c r="Y288" i="17"/>
  <c r="Z288" i="17" s="1"/>
  <c r="AA288" i="17" s="1"/>
  <c r="AB288" i="17" s="1"/>
  <c r="AC288" i="17" s="1"/>
  <c r="AD288" i="17" s="1"/>
  <c r="AE288" i="17" s="1"/>
  <c r="AF288" i="17" s="1"/>
  <c r="AG288" i="17" s="1"/>
  <c r="Y86" i="17"/>
  <c r="Z86" i="17" s="1"/>
  <c r="AA86" i="17" s="1"/>
  <c r="AB86" i="17" s="1"/>
  <c r="AC86" i="17" s="1"/>
  <c r="AD86" i="17" s="1"/>
  <c r="AE86" i="17" s="1"/>
  <c r="AF86" i="17" s="1"/>
  <c r="AG86" i="17" s="1"/>
  <c r="AH86" i="17" s="1"/>
  <c r="AI86" i="17" s="1"/>
  <c r="AJ86" i="17" s="1"/>
  <c r="AK86" i="17" s="1"/>
  <c r="AL86" i="17" s="1"/>
  <c r="AM86" i="17" s="1"/>
  <c r="AN86" i="17" s="1"/>
  <c r="AO86" i="17" s="1"/>
  <c r="AP86" i="17" s="1"/>
  <c r="AQ86" i="17" s="1"/>
  <c r="AR86" i="17" s="1"/>
  <c r="AS86" i="17" s="1"/>
  <c r="AT86" i="17" s="1"/>
  <c r="AU86" i="17" s="1"/>
  <c r="AV86" i="17" s="1"/>
  <c r="AW86" i="17" s="1"/>
  <c r="AX86" i="17" s="1"/>
  <c r="AY86" i="17" s="1"/>
  <c r="AZ86" i="17" s="1"/>
  <c r="BA86" i="17" s="1"/>
  <c r="BB86" i="17" s="1"/>
  <c r="BC86" i="17" s="1"/>
  <c r="BD86" i="17" s="1"/>
  <c r="BE86" i="17" s="1"/>
  <c r="BF86" i="17" s="1"/>
  <c r="BG86" i="17" s="1"/>
  <c r="BH86" i="17" s="1"/>
  <c r="BI86" i="17" s="1"/>
  <c r="BJ86" i="17" s="1"/>
  <c r="BK86" i="17" s="1"/>
  <c r="BL86" i="17" s="1"/>
  <c r="BM86" i="17" s="1"/>
  <c r="BN86" i="17" s="1"/>
  <c r="BO86" i="17" s="1"/>
  <c r="BP86" i="17" s="1"/>
  <c r="BQ86" i="17" s="1"/>
  <c r="BR86" i="17" s="1"/>
  <c r="BS86" i="17" s="1"/>
  <c r="BT86" i="17" s="1"/>
  <c r="BU86" i="17" s="1"/>
  <c r="BV86" i="17" s="1"/>
  <c r="BW86" i="17" s="1"/>
  <c r="BX86" i="17" s="1"/>
  <c r="BY86" i="17" s="1"/>
  <c r="BZ86" i="17" s="1"/>
  <c r="CA86" i="17" s="1"/>
  <c r="CB86" i="17" s="1"/>
  <c r="CC86" i="17" s="1"/>
  <c r="CD86" i="17" s="1"/>
  <c r="CE86" i="17" s="1"/>
  <c r="CF86" i="17" s="1"/>
  <c r="CG86" i="17" s="1"/>
  <c r="CH86" i="17" s="1"/>
  <c r="CI86" i="17" s="1"/>
  <c r="CJ86" i="17" s="1"/>
  <c r="CK86" i="17" s="1"/>
  <c r="CL86" i="17" s="1"/>
  <c r="CM86" i="17" s="1"/>
  <c r="CN86" i="17" s="1"/>
  <c r="CO86" i="17" s="1"/>
  <c r="CP86" i="17" s="1"/>
  <c r="CQ86" i="17" s="1"/>
  <c r="CR86" i="17" s="1"/>
  <c r="CS86" i="17" s="1"/>
  <c r="CT86" i="17" s="1"/>
  <c r="CU86" i="17" s="1"/>
  <c r="CV86" i="17" s="1"/>
  <c r="CW86" i="17" s="1"/>
  <c r="CX86" i="17" s="1"/>
  <c r="CY86" i="17" s="1"/>
  <c r="CZ86" i="17" s="1"/>
  <c r="DA86" i="17" s="1"/>
  <c r="DB86" i="17" s="1"/>
  <c r="DC86" i="17" s="1"/>
  <c r="DD86" i="17" s="1"/>
  <c r="DE86" i="17" s="1"/>
  <c r="DF86" i="17" s="1"/>
  <c r="DG86" i="17" s="1"/>
  <c r="DH86" i="17" s="1"/>
  <c r="DI86" i="17" s="1"/>
  <c r="DJ86" i="17" s="1"/>
  <c r="DK86" i="17" s="1"/>
  <c r="DL86" i="17" s="1"/>
  <c r="AH124" i="17"/>
  <c r="AI124" i="17" s="1"/>
  <c r="AJ124" i="17" s="1"/>
  <c r="AK124" i="17" s="1"/>
  <c r="AL124" i="17" s="1"/>
  <c r="AM124" i="17" s="1"/>
  <c r="AN124" i="17" s="1"/>
  <c r="AO124" i="17" s="1"/>
  <c r="AP124" i="17" s="1"/>
  <c r="AQ124" i="17" s="1"/>
  <c r="AR124" i="17" s="1"/>
  <c r="AS124" i="17" s="1"/>
  <c r="AT124" i="17" s="1"/>
  <c r="AU124" i="17" s="1"/>
  <c r="AV124" i="17" s="1"/>
  <c r="AW124" i="17" s="1"/>
  <c r="AX124" i="17" s="1"/>
  <c r="AY124" i="17" s="1"/>
  <c r="AZ124" i="17" s="1"/>
  <c r="BA124" i="17" s="1"/>
  <c r="BB124" i="17" s="1"/>
  <c r="BC124" i="17" s="1"/>
  <c r="BD124" i="17" s="1"/>
  <c r="BE124" i="17" s="1"/>
  <c r="BF124" i="17" s="1"/>
  <c r="BG124" i="17" s="1"/>
  <c r="BH124" i="17" s="1"/>
  <c r="BI124" i="17" s="1"/>
  <c r="BJ124" i="17" s="1"/>
  <c r="BK124" i="17" s="1"/>
  <c r="BL124" i="17" s="1"/>
  <c r="BM124" i="17" s="1"/>
  <c r="BN124" i="17" s="1"/>
  <c r="BO124" i="17" s="1"/>
  <c r="BP124" i="17" s="1"/>
  <c r="BQ124" i="17" s="1"/>
  <c r="BR124" i="17" s="1"/>
  <c r="BS124" i="17" s="1"/>
  <c r="BT124" i="17" s="1"/>
  <c r="BU124" i="17" s="1"/>
  <c r="BV124" i="17" s="1"/>
  <c r="BW124" i="17" s="1"/>
  <c r="BX124" i="17" s="1"/>
  <c r="BY124" i="17" s="1"/>
  <c r="BZ124" i="17" s="1"/>
  <c r="CA124" i="17" s="1"/>
  <c r="CB124" i="17" s="1"/>
  <c r="CC124" i="17" s="1"/>
  <c r="CD124" i="17" s="1"/>
  <c r="CE124" i="17" s="1"/>
  <c r="CF124" i="17" s="1"/>
  <c r="CG124" i="17" s="1"/>
  <c r="CH124" i="17" s="1"/>
  <c r="CI124" i="17" s="1"/>
  <c r="CJ124" i="17" s="1"/>
  <c r="CK124" i="17" s="1"/>
  <c r="CL124" i="17" s="1"/>
  <c r="CM124" i="17" s="1"/>
  <c r="CN124" i="17" s="1"/>
  <c r="CO124" i="17" s="1"/>
  <c r="CP124" i="17" s="1"/>
  <c r="CQ124" i="17" s="1"/>
  <c r="CR124" i="17" s="1"/>
  <c r="CS124" i="17" s="1"/>
  <c r="CT124" i="17" s="1"/>
  <c r="CU124" i="17" s="1"/>
  <c r="CV124" i="17" s="1"/>
  <c r="CW124" i="17" s="1"/>
  <c r="CX124" i="17" s="1"/>
  <c r="CY124" i="17" s="1"/>
  <c r="CZ124" i="17" s="1"/>
  <c r="DA124" i="17" s="1"/>
  <c r="DB124" i="17" s="1"/>
  <c r="DC124" i="17" s="1"/>
  <c r="DD124" i="17" s="1"/>
  <c r="DE124" i="17" s="1"/>
  <c r="DF124" i="17" s="1"/>
  <c r="DG124" i="17" s="1"/>
  <c r="DH124" i="17" s="1"/>
  <c r="DI124" i="17" s="1"/>
  <c r="DJ124" i="17" s="1"/>
  <c r="DK124" i="17" s="1"/>
  <c r="DL124" i="17" s="1"/>
  <c r="W38" i="17"/>
  <c r="X38" i="17" s="1"/>
  <c r="Y38" i="17" s="1"/>
  <c r="Z38" i="17" s="1"/>
  <c r="AA38" i="17" s="1"/>
  <c r="AB38" i="17" s="1"/>
  <c r="AC38" i="17" s="1"/>
  <c r="AD38" i="17" s="1"/>
  <c r="AE38" i="17" s="1"/>
  <c r="AF38" i="17" s="1"/>
  <c r="AG38" i="17" s="1"/>
  <c r="AH38" i="17" s="1"/>
  <c r="AI38" i="17" s="1"/>
  <c r="AJ38" i="17" s="1"/>
  <c r="AK38" i="17" s="1"/>
  <c r="AL38" i="17" s="1"/>
  <c r="AM38" i="17" s="1"/>
  <c r="AN38" i="17" s="1"/>
  <c r="AO38" i="17" s="1"/>
  <c r="AP38" i="17" s="1"/>
  <c r="AQ38" i="17" s="1"/>
  <c r="AR38" i="17" s="1"/>
  <c r="AS38" i="17" s="1"/>
  <c r="AT38" i="17" s="1"/>
  <c r="Y69" i="17"/>
  <c r="Y73" i="17"/>
  <c r="Z73" i="17" s="1"/>
  <c r="AA73" i="17" s="1"/>
  <c r="AB73" i="17" s="1"/>
  <c r="AC73" i="17" s="1"/>
  <c r="AD73" i="17" s="1"/>
  <c r="AE73" i="17" s="1"/>
  <c r="AF73" i="17" s="1"/>
  <c r="AG73" i="17" s="1"/>
  <c r="AH73" i="17" s="1"/>
  <c r="AI73" i="17" s="1"/>
  <c r="AJ73" i="17" s="1"/>
  <c r="AK73" i="17" s="1"/>
  <c r="AL73" i="17" s="1"/>
  <c r="AM73" i="17" s="1"/>
  <c r="AN73" i="17" s="1"/>
  <c r="AO73" i="17" s="1"/>
  <c r="AP73" i="17" s="1"/>
  <c r="AQ73" i="17" s="1"/>
  <c r="AR73" i="17" s="1"/>
  <c r="AS73" i="17" s="1"/>
  <c r="AT73" i="17" s="1"/>
  <c r="AU73" i="17" s="1"/>
  <c r="AV73" i="17" s="1"/>
  <c r="AW73" i="17" s="1"/>
  <c r="AX73" i="17" s="1"/>
  <c r="AY73" i="17" s="1"/>
  <c r="AZ73" i="17" s="1"/>
  <c r="BA73" i="17" s="1"/>
  <c r="BB73" i="17" s="1"/>
  <c r="BC73" i="17" s="1"/>
  <c r="BD73" i="17" s="1"/>
  <c r="BE73" i="17" s="1"/>
  <c r="BF73" i="17" s="1"/>
  <c r="BG73" i="17" s="1"/>
  <c r="BH73" i="17" s="1"/>
  <c r="BI73" i="17" s="1"/>
  <c r="BJ73" i="17" s="1"/>
  <c r="BK73" i="17" s="1"/>
  <c r="BL73" i="17" s="1"/>
  <c r="BM73" i="17" s="1"/>
  <c r="BN73" i="17" s="1"/>
  <c r="BO73" i="17" s="1"/>
  <c r="BP73" i="17" s="1"/>
  <c r="BQ73" i="17" s="1"/>
  <c r="BR73" i="17" s="1"/>
  <c r="BS73" i="17" s="1"/>
  <c r="BT73" i="17" s="1"/>
  <c r="BU73" i="17" s="1"/>
  <c r="BV73" i="17" s="1"/>
  <c r="BW73" i="17" s="1"/>
  <c r="BX73" i="17" s="1"/>
  <c r="BY73" i="17" s="1"/>
  <c r="BZ73" i="17" s="1"/>
  <c r="CA73" i="17" s="1"/>
  <c r="CB73" i="17" s="1"/>
  <c r="CC73" i="17" s="1"/>
  <c r="CD73" i="17" s="1"/>
  <c r="CE73" i="17" s="1"/>
  <c r="CF73" i="17" s="1"/>
  <c r="CG73" i="17" s="1"/>
  <c r="CH73" i="17" s="1"/>
  <c r="CI73" i="17" s="1"/>
  <c r="CJ73" i="17" s="1"/>
  <c r="CK73" i="17" s="1"/>
  <c r="CL73" i="17" s="1"/>
  <c r="CM73" i="17" s="1"/>
  <c r="CN73" i="17" s="1"/>
  <c r="CO73" i="17" s="1"/>
  <c r="CP73" i="17" s="1"/>
  <c r="CQ73" i="17" s="1"/>
  <c r="CR73" i="17" s="1"/>
  <c r="CS73" i="17" s="1"/>
  <c r="CT73" i="17" s="1"/>
  <c r="CU73" i="17" s="1"/>
  <c r="CV73" i="17" s="1"/>
  <c r="CW73" i="17" s="1"/>
  <c r="CX73" i="17" s="1"/>
  <c r="CY73" i="17" s="1"/>
  <c r="CZ73" i="17" s="1"/>
  <c r="DA73" i="17" s="1"/>
  <c r="DB73" i="17" s="1"/>
  <c r="DC73" i="17" s="1"/>
  <c r="DD73" i="17" s="1"/>
  <c r="DE73" i="17" s="1"/>
  <c r="DF73" i="17" s="1"/>
  <c r="DG73" i="17" s="1"/>
  <c r="DH73" i="17" s="1"/>
  <c r="DI73" i="17" s="1"/>
  <c r="DJ73" i="17" s="1"/>
  <c r="DK73" i="17" s="1"/>
  <c r="DL73" i="17" s="1"/>
  <c r="AD285" i="17"/>
  <c r="AE285" i="17" s="1"/>
  <c r="AF285" i="17" s="1"/>
  <c r="AG285" i="17" s="1"/>
  <c r="AH285" i="17" s="1"/>
  <c r="AI285" i="17" s="1"/>
  <c r="AJ285" i="17" s="1"/>
  <c r="AK285" i="17" s="1"/>
  <c r="AL285" i="17" s="1"/>
  <c r="AM285" i="17" s="1"/>
  <c r="AN285" i="17" s="1"/>
  <c r="AO285" i="17" s="1"/>
  <c r="AP285" i="17" s="1"/>
  <c r="AQ285" i="17" s="1"/>
  <c r="AR285" i="17" s="1"/>
  <c r="AS285" i="17" s="1"/>
  <c r="AT285" i="17" s="1"/>
  <c r="AU285" i="17" s="1"/>
  <c r="AV285" i="17" s="1"/>
  <c r="AW285" i="17" s="1"/>
  <c r="AX285" i="17" s="1"/>
  <c r="AY285" i="17" s="1"/>
  <c r="AZ285" i="17" s="1"/>
  <c r="BA285" i="17" s="1"/>
  <c r="BB285" i="17" s="1"/>
  <c r="BC285" i="17" s="1"/>
  <c r="BD285" i="17" s="1"/>
  <c r="BE285" i="17" s="1"/>
  <c r="BF285" i="17" s="1"/>
  <c r="BG285" i="17" s="1"/>
  <c r="BH285" i="17" s="1"/>
  <c r="BI285" i="17" s="1"/>
  <c r="BJ285" i="17" s="1"/>
  <c r="BK285" i="17" s="1"/>
  <c r="BL285" i="17" s="1"/>
  <c r="BM285" i="17" s="1"/>
  <c r="BN285" i="17" s="1"/>
  <c r="BO285" i="17" s="1"/>
  <c r="BP285" i="17" s="1"/>
  <c r="BQ285" i="17" s="1"/>
  <c r="BR285" i="17" s="1"/>
  <c r="BS285" i="17" s="1"/>
  <c r="BT285" i="17" s="1"/>
  <c r="BU285" i="17" s="1"/>
  <c r="BV285" i="17" s="1"/>
  <c r="BW285" i="17" s="1"/>
  <c r="BX285" i="17" s="1"/>
  <c r="BY285" i="17" s="1"/>
  <c r="BZ285" i="17" s="1"/>
  <c r="CA285" i="17" s="1"/>
  <c r="CB285" i="17" s="1"/>
  <c r="CC285" i="17" s="1"/>
  <c r="CD285" i="17" s="1"/>
  <c r="CE285" i="17" s="1"/>
  <c r="CF285" i="17" s="1"/>
  <c r="CG285" i="17" s="1"/>
  <c r="CH285" i="17" s="1"/>
  <c r="CI285" i="17" s="1"/>
  <c r="CJ285" i="17" s="1"/>
  <c r="CK285" i="17" s="1"/>
  <c r="CL285" i="17" s="1"/>
  <c r="CM285" i="17" s="1"/>
  <c r="CN285" i="17" s="1"/>
  <c r="CO285" i="17" s="1"/>
  <c r="CP285" i="17" s="1"/>
  <c r="CQ285" i="17" s="1"/>
  <c r="CR285" i="17" s="1"/>
  <c r="CS285" i="17" s="1"/>
  <c r="CT285" i="17" s="1"/>
  <c r="CU285" i="17" s="1"/>
  <c r="CV285" i="17" s="1"/>
  <c r="CW285" i="17" s="1"/>
  <c r="CX285" i="17" s="1"/>
  <c r="CY285" i="17" s="1"/>
  <c r="CZ285" i="17" s="1"/>
  <c r="DA285" i="17" s="1"/>
  <c r="DB285" i="17" s="1"/>
  <c r="DC285" i="17" s="1"/>
  <c r="DD285" i="17" s="1"/>
  <c r="DE285" i="17" s="1"/>
  <c r="DF285" i="17" s="1"/>
  <c r="DG285" i="17" s="1"/>
  <c r="DH285" i="17" s="1"/>
  <c r="DI285" i="17" s="1"/>
  <c r="DJ285" i="17" s="1"/>
  <c r="DK285" i="17" s="1"/>
  <c r="DL285" i="17" s="1"/>
  <c r="X80" i="17"/>
  <c r="Y80" i="17" s="1"/>
  <c r="Z80" i="17" s="1"/>
  <c r="AA80" i="17" s="1"/>
  <c r="AB80" i="17" s="1"/>
  <c r="AC80" i="17" s="1"/>
  <c r="AD80" i="17" s="1"/>
  <c r="AE80" i="17" s="1"/>
  <c r="AF80" i="17" s="1"/>
  <c r="AG80" i="17" s="1"/>
  <c r="AH80" i="17" s="1"/>
  <c r="AI80" i="17" s="1"/>
  <c r="AJ80" i="17" s="1"/>
  <c r="AK80" i="17" s="1"/>
  <c r="AL80" i="17" s="1"/>
  <c r="AM80" i="17" s="1"/>
  <c r="AN80" i="17" s="1"/>
  <c r="AO80" i="17" s="1"/>
  <c r="AP80" i="17" s="1"/>
  <c r="AQ80" i="17" s="1"/>
  <c r="AR80" i="17" s="1"/>
  <c r="AS80" i="17" s="1"/>
  <c r="AT80" i="17" s="1"/>
  <c r="AU80" i="17" s="1"/>
  <c r="AV80" i="17" s="1"/>
  <c r="AW80" i="17" s="1"/>
  <c r="AX80" i="17" s="1"/>
  <c r="AY80" i="17" s="1"/>
  <c r="AZ80" i="17" s="1"/>
  <c r="BA80" i="17" s="1"/>
  <c r="BB80" i="17" s="1"/>
  <c r="BC80" i="17" s="1"/>
  <c r="BD80" i="17" s="1"/>
  <c r="BE80" i="17" s="1"/>
  <c r="BF80" i="17" s="1"/>
  <c r="BG80" i="17" s="1"/>
  <c r="BH80" i="17" s="1"/>
  <c r="BI80" i="17" s="1"/>
  <c r="BJ80" i="17" s="1"/>
  <c r="BK80" i="17" s="1"/>
  <c r="BL80" i="17" s="1"/>
  <c r="BM80" i="17" s="1"/>
  <c r="BN80" i="17" s="1"/>
  <c r="BO80" i="17" s="1"/>
  <c r="BP80" i="17" s="1"/>
  <c r="BQ80" i="17" s="1"/>
  <c r="BR80" i="17" s="1"/>
  <c r="BS80" i="17" s="1"/>
  <c r="BT80" i="17" s="1"/>
  <c r="BU80" i="17" s="1"/>
  <c r="BV80" i="17" s="1"/>
  <c r="BW80" i="17" s="1"/>
  <c r="BX80" i="17" s="1"/>
  <c r="BY80" i="17" s="1"/>
  <c r="BZ80" i="17" s="1"/>
  <c r="CA80" i="17" s="1"/>
  <c r="CB80" i="17" s="1"/>
  <c r="CC80" i="17" s="1"/>
  <c r="CD80" i="17" s="1"/>
  <c r="CE80" i="17" s="1"/>
  <c r="CF80" i="17" s="1"/>
  <c r="CG80" i="17" s="1"/>
  <c r="CH80" i="17" s="1"/>
  <c r="CI80" i="17" s="1"/>
  <c r="CJ80" i="17" s="1"/>
  <c r="Z163" i="17"/>
  <c r="AA163" i="17" s="1"/>
  <c r="AB163" i="17" s="1"/>
  <c r="Z107" i="17"/>
  <c r="X275" i="17"/>
  <c r="Y275" i="17" s="1"/>
  <c r="Z275" i="17" s="1"/>
  <c r="AA275" i="17" s="1"/>
  <c r="AB275" i="17" s="1"/>
  <c r="AC275" i="17" s="1"/>
  <c r="AD275" i="17" s="1"/>
  <c r="AE275" i="17" s="1"/>
  <c r="AF275" i="17" s="1"/>
  <c r="AG275" i="17" s="1"/>
  <c r="AH275" i="17" s="1"/>
  <c r="AI275" i="17" s="1"/>
  <c r="AJ275" i="17" s="1"/>
  <c r="AK275" i="17" s="1"/>
  <c r="AL275" i="17" s="1"/>
  <c r="AM275" i="17" s="1"/>
  <c r="AN275" i="17" s="1"/>
  <c r="AO275" i="17" s="1"/>
  <c r="AP275" i="17" s="1"/>
  <c r="AQ275" i="17" s="1"/>
  <c r="AR275" i="17" s="1"/>
  <c r="AS275" i="17" s="1"/>
  <c r="AT275" i="17" s="1"/>
  <c r="AU275" i="17" s="1"/>
  <c r="AV275" i="17" s="1"/>
  <c r="AW275" i="17" s="1"/>
  <c r="AX275" i="17" s="1"/>
  <c r="AY275" i="17" s="1"/>
  <c r="AZ275" i="17" s="1"/>
  <c r="BA275" i="17" s="1"/>
  <c r="BB275" i="17" s="1"/>
  <c r="BC275" i="17" s="1"/>
  <c r="BD275" i="17" s="1"/>
  <c r="BE275" i="17" s="1"/>
  <c r="BF275" i="17" s="1"/>
  <c r="BG275" i="17" s="1"/>
  <c r="BH275" i="17" s="1"/>
  <c r="BI275" i="17" s="1"/>
  <c r="BJ275" i="17" s="1"/>
  <c r="BK275" i="17" s="1"/>
  <c r="BL275" i="17" s="1"/>
  <c r="BM275" i="17" s="1"/>
  <c r="BN275" i="17" s="1"/>
  <c r="BO275" i="17" s="1"/>
  <c r="BP275" i="17" s="1"/>
  <c r="BQ275" i="17" s="1"/>
  <c r="BR275" i="17" s="1"/>
  <c r="BS275" i="17" s="1"/>
  <c r="BT275" i="17" s="1"/>
  <c r="BU275" i="17" s="1"/>
  <c r="BV275" i="17" s="1"/>
  <c r="BW275" i="17" s="1"/>
  <c r="BX275" i="17" s="1"/>
  <c r="BY275" i="17" s="1"/>
  <c r="BZ275" i="17" s="1"/>
  <c r="CA275" i="17" s="1"/>
  <c r="CB275" i="17" s="1"/>
  <c r="CC275" i="17" s="1"/>
  <c r="CD275" i="17" s="1"/>
  <c r="CE275" i="17" s="1"/>
  <c r="CF275" i="17" s="1"/>
  <c r="CG275" i="17" s="1"/>
  <c r="CH275" i="17" s="1"/>
  <c r="CI275" i="17" s="1"/>
  <c r="CJ275" i="17" s="1"/>
  <c r="CK275" i="17" s="1"/>
  <c r="CL275" i="17" s="1"/>
  <c r="CM275" i="17" s="1"/>
  <c r="CN275" i="17" s="1"/>
  <c r="CO275" i="17" s="1"/>
  <c r="CP275" i="17" s="1"/>
  <c r="CQ275" i="17" s="1"/>
  <c r="CR275" i="17" s="1"/>
  <c r="CS275" i="17" s="1"/>
  <c r="CT275" i="17" s="1"/>
  <c r="CU275" i="17" s="1"/>
  <c r="CV275" i="17" s="1"/>
  <c r="CW275" i="17" s="1"/>
  <c r="CX275" i="17" s="1"/>
  <c r="CY275" i="17" s="1"/>
  <c r="CZ275" i="17" s="1"/>
  <c r="DA275" i="17" s="1"/>
  <c r="DB275" i="17" s="1"/>
  <c r="DC275" i="17" s="1"/>
  <c r="DD275" i="17" s="1"/>
  <c r="DE275" i="17" s="1"/>
  <c r="DF275" i="17" s="1"/>
  <c r="DG275" i="17" s="1"/>
  <c r="DH275" i="17" s="1"/>
  <c r="DI275" i="17" s="1"/>
  <c r="DJ275" i="17" s="1"/>
  <c r="DK275" i="17" s="1"/>
  <c r="DL275" i="17" s="1"/>
  <c r="W30" i="17"/>
  <c r="W202" i="17"/>
  <c r="X202" i="17" s="1"/>
  <c r="Y202" i="17" s="1"/>
  <c r="Z202" i="17" s="1"/>
  <c r="AA202" i="17" s="1"/>
  <c r="AB202" i="17" s="1"/>
  <c r="AC202" i="17" s="1"/>
  <c r="AD202" i="17" s="1"/>
  <c r="AE202" i="17" s="1"/>
  <c r="AF202" i="17" s="1"/>
  <c r="AG202" i="17" s="1"/>
  <c r="AH202" i="17" s="1"/>
  <c r="AI202" i="17" s="1"/>
  <c r="AJ202" i="17" s="1"/>
  <c r="AK202" i="17" s="1"/>
  <c r="AL202" i="17" s="1"/>
  <c r="AM202" i="17" s="1"/>
  <c r="AN202" i="17" s="1"/>
  <c r="AO202" i="17" s="1"/>
  <c r="AP202" i="17" s="1"/>
  <c r="AQ202" i="17" s="1"/>
  <c r="AR202" i="17" s="1"/>
  <c r="AS202" i="17" s="1"/>
  <c r="AT202" i="17" s="1"/>
  <c r="AU202" i="17" s="1"/>
  <c r="AV202" i="17" s="1"/>
  <c r="AW202" i="17" s="1"/>
  <c r="AX202" i="17" s="1"/>
  <c r="AY202" i="17" s="1"/>
  <c r="AZ202" i="17" s="1"/>
  <c r="BA202" i="17" s="1"/>
  <c r="BB202" i="17" s="1"/>
  <c r="BC202" i="17" s="1"/>
  <c r="BD202" i="17" s="1"/>
  <c r="BE202" i="17" s="1"/>
  <c r="BF202" i="17" s="1"/>
  <c r="BG202" i="17" s="1"/>
  <c r="BH202" i="17" s="1"/>
  <c r="BI202" i="17" s="1"/>
  <c r="BJ202" i="17" s="1"/>
  <c r="BK202" i="17" s="1"/>
  <c r="BL202" i="17" s="1"/>
  <c r="BM202" i="17" s="1"/>
  <c r="BN202" i="17" s="1"/>
  <c r="BO202" i="17" s="1"/>
  <c r="BP202" i="17" s="1"/>
  <c r="BQ202" i="17" s="1"/>
  <c r="BR202" i="17" s="1"/>
  <c r="BS202" i="17" s="1"/>
  <c r="BT202" i="17" s="1"/>
  <c r="BU202" i="17" s="1"/>
  <c r="BV202" i="17" s="1"/>
  <c r="BW202" i="17" s="1"/>
  <c r="BX202" i="17" s="1"/>
  <c r="BY202" i="17" s="1"/>
  <c r="BZ202" i="17" s="1"/>
  <c r="CA202" i="17" s="1"/>
  <c r="CB202" i="17" s="1"/>
  <c r="CC202" i="17" s="1"/>
  <c r="CD202" i="17" s="1"/>
  <c r="CE202" i="17" s="1"/>
  <c r="CF202" i="17" s="1"/>
  <c r="CG202" i="17" s="1"/>
  <c r="CH202" i="17" s="1"/>
  <c r="CI202" i="17" s="1"/>
  <c r="CJ202" i="17" s="1"/>
  <c r="CK202" i="17" s="1"/>
  <c r="CL202" i="17" s="1"/>
  <c r="CM202" i="17" s="1"/>
  <c r="CN202" i="17" s="1"/>
  <c r="CO202" i="17" s="1"/>
  <c r="CP202" i="17" s="1"/>
  <c r="CQ202" i="17" s="1"/>
  <c r="CR202" i="17" s="1"/>
  <c r="CS202" i="17" s="1"/>
  <c r="CT202" i="17" s="1"/>
  <c r="CU202" i="17" s="1"/>
  <c r="CV202" i="17" s="1"/>
  <c r="CW202" i="17" s="1"/>
  <c r="CX202" i="17" s="1"/>
  <c r="CY202" i="17" s="1"/>
  <c r="CZ202" i="17" s="1"/>
  <c r="DA202" i="17" s="1"/>
  <c r="DB202" i="17" s="1"/>
  <c r="DC202" i="17" s="1"/>
  <c r="DD202" i="17" s="1"/>
  <c r="DE202" i="17" s="1"/>
  <c r="DF202" i="17" s="1"/>
  <c r="DG202" i="17" s="1"/>
  <c r="DH202" i="17" s="1"/>
  <c r="DI202" i="17" s="1"/>
  <c r="DJ202" i="17" s="1"/>
  <c r="DK202" i="17" s="1"/>
  <c r="DL202" i="17" s="1"/>
  <c r="AA120" i="17"/>
  <c r="AB120" i="17" s="1"/>
  <c r="AC120" i="17" s="1"/>
  <c r="AD120" i="17" s="1"/>
  <c r="AE120" i="17" s="1"/>
  <c r="AF120" i="17" s="1"/>
  <c r="AG120" i="17" s="1"/>
  <c r="AH120" i="17" s="1"/>
  <c r="AI120" i="17" s="1"/>
  <c r="AJ120" i="17" s="1"/>
  <c r="AK120" i="17" s="1"/>
  <c r="AL120" i="17" s="1"/>
  <c r="AM120" i="17" s="1"/>
  <c r="AN120" i="17" s="1"/>
  <c r="AO120" i="17" s="1"/>
  <c r="AP120" i="17" s="1"/>
  <c r="AQ120" i="17" s="1"/>
  <c r="AR120" i="17" s="1"/>
  <c r="AS120" i="17" s="1"/>
  <c r="AT120" i="17" s="1"/>
  <c r="AU120" i="17" s="1"/>
  <c r="AV120" i="17" s="1"/>
  <c r="AW120" i="17" s="1"/>
  <c r="AX120" i="17" s="1"/>
  <c r="AY120" i="17" s="1"/>
  <c r="AZ120" i="17" s="1"/>
  <c r="BA120" i="17" s="1"/>
  <c r="BB120" i="17" s="1"/>
  <c r="BC120" i="17" s="1"/>
  <c r="BD120" i="17" s="1"/>
  <c r="BE120" i="17" s="1"/>
  <c r="BF120" i="17" s="1"/>
  <c r="BG120" i="17" s="1"/>
  <c r="BH120" i="17" s="1"/>
  <c r="BI120" i="17" s="1"/>
  <c r="BJ120" i="17" s="1"/>
  <c r="BK120" i="17" s="1"/>
  <c r="BL120" i="17" s="1"/>
  <c r="BM120" i="17" s="1"/>
  <c r="BN120" i="17" s="1"/>
  <c r="BO120" i="17" s="1"/>
  <c r="BP120" i="17" s="1"/>
  <c r="BQ120" i="17" s="1"/>
  <c r="BR120" i="17" s="1"/>
  <c r="BS120" i="17" s="1"/>
  <c r="BT120" i="17" s="1"/>
  <c r="BU120" i="17" s="1"/>
  <c r="BV120" i="17" s="1"/>
  <c r="BW120" i="17" s="1"/>
  <c r="BX120" i="17" s="1"/>
  <c r="BY120" i="17" s="1"/>
  <c r="BZ120" i="17" s="1"/>
  <c r="CA120" i="17" s="1"/>
  <c r="CB120" i="17" s="1"/>
  <c r="CC120" i="17" s="1"/>
  <c r="CD120" i="17" s="1"/>
  <c r="CE120" i="17" s="1"/>
  <c r="CF120" i="17" s="1"/>
  <c r="CG120" i="17" s="1"/>
  <c r="CH120" i="17" s="1"/>
  <c r="CI120" i="17" s="1"/>
  <c r="CJ120" i="17" s="1"/>
  <c r="CK120" i="17" s="1"/>
  <c r="CL120" i="17" s="1"/>
  <c r="CM120" i="17"/>
  <c r="CN120" i="17" s="1"/>
  <c r="CO120" i="17" s="1"/>
  <c r="CP120" i="17" s="1"/>
  <c r="CQ120" i="17" s="1"/>
  <c r="CR120" i="17" s="1"/>
  <c r="CS120" i="17" s="1"/>
  <c r="CT120" i="17" s="1"/>
  <c r="CU120" i="17" s="1"/>
  <c r="CV120" i="17" s="1"/>
  <c r="CW120" i="17" s="1"/>
  <c r="CX120" i="17" s="1"/>
  <c r="CY120" i="17" s="1"/>
  <c r="CZ120" i="17" s="1"/>
  <c r="DA120" i="17" s="1"/>
  <c r="DB120" i="17" s="1"/>
  <c r="DC120" i="17" s="1"/>
  <c r="DD120" i="17" s="1"/>
  <c r="DE120" i="17" s="1"/>
  <c r="DF120" i="17" s="1"/>
  <c r="DG120" i="17" s="1"/>
  <c r="DH120" i="17" s="1"/>
  <c r="DI120" i="17" s="1"/>
  <c r="DJ120" i="17" s="1"/>
  <c r="DK120" i="17" s="1"/>
  <c r="DL120" i="17" s="1"/>
  <c r="AC188" i="17"/>
  <c r="AD188" i="17" s="1"/>
  <c r="AE188" i="17" s="1"/>
  <c r="AF188" i="17" s="1"/>
  <c r="AG188" i="17" s="1"/>
  <c r="AH188" i="17" s="1"/>
  <c r="AI188" i="17" s="1"/>
  <c r="AJ188" i="17" s="1"/>
  <c r="AK188" i="17" s="1"/>
  <c r="AL188" i="17" s="1"/>
  <c r="AM188" i="17" s="1"/>
  <c r="AN188" i="17" s="1"/>
  <c r="AO188" i="17" s="1"/>
  <c r="AP188" i="17" s="1"/>
  <c r="AQ188" i="17" s="1"/>
  <c r="AR188" i="17" s="1"/>
  <c r="AS188" i="17" s="1"/>
  <c r="AT188" i="17" s="1"/>
  <c r="AU188" i="17" s="1"/>
  <c r="AV188" i="17" s="1"/>
  <c r="AW188" i="17" s="1"/>
  <c r="AX188" i="17" s="1"/>
  <c r="AY188" i="17" s="1"/>
  <c r="AZ188" i="17" s="1"/>
  <c r="BA188" i="17" s="1"/>
  <c r="BB188" i="17" s="1"/>
  <c r="BC188" i="17" s="1"/>
  <c r="BD188" i="17" s="1"/>
  <c r="BE188" i="17" s="1"/>
  <c r="BF188" i="17" s="1"/>
  <c r="BG188" i="17" s="1"/>
  <c r="BH188" i="17" s="1"/>
  <c r="BI188" i="17" s="1"/>
  <c r="BJ188" i="17" s="1"/>
  <c r="BK188" i="17" s="1"/>
  <c r="BL188" i="17" s="1"/>
  <c r="BM188" i="17" s="1"/>
  <c r="BN188" i="17" s="1"/>
  <c r="BO188" i="17" s="1"/>
  <c r="BP188" i="17" s="1"/>
  <c r="BQ188" i="17" s="1"/>
  <c r="BR188" i="17" s="1"/>
  <c r="BS188" i="17" s="1"/>
  <c r="BT188" i="17" s="1"/>
  <c r="BU188" i="17" s="1"/>
  <c r="BV188" i="17" s="1"/>
  <c r="BW188" i="17" s="1"/>
  <c r="BX188" i="17" s="1"/>
  <c r="BY188" i="17" s="1"/>
  <c r="BZ188" i="17" s="1"/>
  <c r="CA188" i="17" s="1"/>
  <c r="CB188" i="17" s="1"/>
  <c r="CC188" i="17" s="1"/>
  <c r="CD188" i="17" s="1"/>
  <c r="CE188" i="17" s="1"/>
  <c r="CF188" i="17" s="1"/>
  <c r="CG188" i="17" s="1"/>
  <c r="CH188" i="17" s="1"/>
  <c r="CI188" i="17" s="1"/>
  <c r="CJ188" i="17" s="1"/>
  <c r="CK188" i="17" s="1"/>
  <c r="CL188" i="17" s="1"/>
  <c r="CM188" i="17" s="1"/>
  <c r="CN188" i="17" s="1"/>
  <c r="CO188" i="17" s="1"/>
  <c r="CP188" i="17" s="1"/>
  <c r="CQ188" i="17" s="1"/>
  <c r="CR188" i="17" s="1"/>
  <c r="CS188" i="17" s="1"/>
  <c r="CT188" i="17" s="1"/>
  <c r="CU188" i="17" s="1"/>
  <c r="CV188" i="17" s="1"/>
  <c r="CW188" i="17" s="1"/>
  <c r="CX188" i="17" s="1"/>
  <c r="CY188" i="17" s="1"/>
  <c r="CZ188" i="17" s="1"/>
  <c r="DA188" i="17" s="1"/>
  <c r="DB188" i="17" s="1"/>
  <c r="DC188" i="17" s="1"/>
  <c r="DD188" i="17" s="1"/>
  <c r="DE188" i="17" s="1"/>
  <c r="DF188" i="17" s="1"/>
  <c r="DG188" i="17" s="1"/>
  <c r="DH188" i="17" s="1"/>
  <c r="DI188" i="17" s="1"/>
  <c r="DJ188" i="17" s="1"/>
  <c r="DK188" i="17" s="1"/>
  <c r="DL188" i="17" s="1"/>
  <c r="X84" i="17"/>
  <c r="Y84" i="17" s="1"/>
  <c r="Z84" i="17" s="1"/>
  <c r="AA84" i="17" s="1"/>
  <c r="AB84" i="17" s="1"/>
  <c r="AC84" i="17" s="1"/>
  <c r="AD84" i="17" s="1"/>
  <c r="AE84" i="17" s="1"/>
  <c r="AF84" i="17" s="1"/>
  <c r="AG84" i="17" s="1"/>
  <c r="AH84" i="17" s="1"/>
  <c r="AI84" i="17" s="1"/>
  <c r="AJ84" i="17" s="1"/>
  <c r="AK84" i="17" s="1"/>
  <c r="AL84" i="17" s="1"/>
  <c r="AM84" i="17" s="1"/>
  <c r="AN84" i="17" s="1"/>
  <c r="AO84" i="17" s="1"/>
  <c r="AP84" i="17" s="1"/>
  <c r="AQ84" i="17" s="1"/>
  <c r="AR84" i="17" s="1"/>
  <c r="AS84" i="17" s="1"/>
  <c r="AT84" i="17" s="1"/>
  <c r="AU84" i="17" s="1"/>
  <c r="AV84" i="17" s="1"/>
  <c r="AW84" i="17" s="1"/>
  <c r="AX84" i="17" s="1"/>
  <c r="AY84" i="17" s="1"/>
  <c r="AZ84" i="17" s="1"/>
  <c r="BA84" i="17" s="1"/>
  <c r="BB84" i="17" s="1"/>
  <c r="BC84" i="17" s="1"/>
  <c r="BD84" i="17" s="1"/>
  <c r="BE84" i="17" s="1"/>
  <c r="BF84" i="17" s="1"/>
  <c r="BG84" i="17" s="1"/>
  <c r="BH84" i="17" s="1"/>
  <c r="BI84" i="17" s="1"/>
  <c r="BJ84" i="17" s="1"/>
  <c r="BK84" i="17" s="1"/>
  <c r="BL84" i="17" s="1"/>
  <c r="BM84" i="17" s="1"/>
  <c r="BN84" i="17" s="1"/>
  <c r="BO84" i="17" s="1"/>
  <c r="BP84" i="17" s="1"/>
  <c r="BQ84" i="17" s="1"/>
  <c r="BR84" i="17" s="1"/>
  <c r="BS84" i="17" s="1"/>
  <c r="BT84" i="17" s="1"/>
  <c r="BU84" i="17" s="1"/>
  <c r="BV84" i="17" s="1"/>
  <c r="BW84" i="17" s="1"/>
  <c r="BX84" i="17" s="1"/>
  <c r="BY84" i="17" s="1"/>
  <c r="BZ84" i="17" s="1"/>
  <c r="CA84" i="17" s="1"/>
  <c r="CB84" i="17" s="1"/>
  <c r="CC84" i="17" s="1"/>
  <c r="CD84" i="17" s="1"/>
  <c r="CE84" i="17" s="1"/>
  <c r="CF84" i="17" s="1"/>
  <c r="CG84" i="17" s="1"/>
  <c r="CH84" i="17" s="1"/>
  <c r="CI84" i="17" s="1"/>
  <c r="AC23" i="17"/>
  <c r="AD23" i="17" s="1"/>
  <c r="AE23" i="17" s="1"/>
  <c r="AF23" i="17" s="1"/>
  <c r="AG23" i="17" s="1"/>
  <c r="AH23" i="17" s="1"/>
  <c r="AI23" i="17" s="1"/>
  <c r="AJ23" i="17" s="1"/>
  <c r="AK23" i="17" s="1"/>
  <c r="AL23" i="17" s="1"/>
  <c r="AM23" i="17" s="1"/>
  <c r="AN23" i="17" s="1"/>
  <c r="AO23" i="17" s="1"/>
  <c r="AP23" i="17" s="1"/>
  <c r="AQ23" i="17" s="1"/>
  <c r="AR23" i="17" s="1"/>
  <c r="AS23" i="17" s="1"/>
  <c r="Y96" i="17"/>
  <c r="Z96" i="17" s="1"/>
  <c r="AA96" i="17" s="1"/>
  <c r="AB96" i="17" s="1"/>
  <c r="AC96" i="17" s="1"/>
  <c r="AD96" i="17" s="1"/>
  <c r="AE96" i="17" s="1"/>
  <c r="AF96" i="17" s="1"/>
  <c r="AG96" i="17" s="1"/>
  <c r="AH96" i="17" s="1"/>
  <c r="AI96" i="17" s="1"/>
  <c r="AJ96" i="17" s="1"/>
  <c r="AK96" i="17" s="1"/>
  <c r="X138" i="17"/>
  <c r="Z87" i="17"/>
  <c r="AA87" i="17" s="1"/>
  <c r="AB87" i="17" s="1"/>
  <c r="AC87" i="17" s="1"/>
  <c r="AD87" i="17" s="1"/>
  <c r="AE87" i="17" s="1"/>
  <c r="AF87" i="17" s="1"/>
  <c r="AG87" i="17" s="1"/>
  <c r="AH87" i="17" s="1"/>
  <c r="AI87" i="17" s="1"/>
  <c r="AJ87" i="17" s="1"/>
  <c r="AK87" i="17" s="1"/>
  <c r="AL87" i="17" s="1"/>
  <c r="AM87" i="17" s="1"/>
  <c r="AN87" i="17" s="1"/>
  <c r="AO87" i="17" s="1"/>
  <c r="AP87" i="17" s="1"/>
  <c r="AQ87" i="17" s="1"/>
  <c r="AR87" i="17" s="1"/>
  <c r="AS87" i="17" s="1"/>
  <c r="AT87" i="17" s="1"/>
  <c r="AU87" i="17" s="1"/>
  <c r="AV87" i="17" s="1"/>
  <c r="AW87" i="17" s="1"/>
  <c r="AX87" i="17" s="1"/>
  <c r="AY87" i="17" s="1"/>
  <c r="AZ87" i="17" s="1"/>
  <c r="BA87" i="17" s="1"/>
  <c r="BB87" i="17" s="1"/>
  <c r="BC87" i="17" s="1"/>
  <c r="BD87" i="17" s="1"/>
  <c r="BE87" i="17" s="1"/>
  <c r="BF87" i="17" s="1"/>
  <c r="BG87" i="17" s="1"/>
  <c r="BH87" i="17" s="1"/>
  <c r="BI87" i="17" s="1"/>
  <c r="BJ87" i="17" s="1"/>
  <c r="BK87" i="17" s="1"/>
  <c r="BL87" i="17" s="1"/>
  <c r="BM87" i="17" s="1"/>
  <c r="BN87" i="17" s="1"/>
  <c r="BO87" i="17" s="1"/>
  <c r="BP87" i="17" s="1"/>
  <c r="BQ87" i="17" s="1"/>
  <c r="BR87" i="17" s="1"/>
  <c r="BS87" i="17" s="1"/>
  <c r="BT87" i="17" s="1"/>
  <c r="BU87" i="17" s="1"/>
  <c r="BV87" i="17" s="1"/>
  <c r="BW87" i="17" s="1"/>
  <c r="BX87" i="17" s="1"/>
  <c r="BY87" i="17" s="1"/>
  <c r="BZ87" i="17" s="1"/>
  <c r="CA87" i="17" s="1"/>
  <c r="CB87" i="17" s="1"/>
  <c r="CC87" i="17" s="1"/>
  <c r="CD87" i="17" s="1"/>
  <c r="CE87" i="17" s="1"/>
  <c r="CF87" i="17" s="1"/>
  <c r="CG87" i="17" s="1"/>
  <c r="CH87" i="17" s="1"/>
  <c r="CI87" i="17" s="1"/>
  <c r="CJ87" i="17" s="1"/>
  <c r="CK87" i="17" s="1"/>
  <c r="CL87" i="17" s="1"/>
  <c r="CM87" i="17" s="1"/>
  <c r="CN87" i="17" s="1"/>
  <c r="CO87" i="17" s="1"/>
  <c r="CP87" i="17" s="1"/>
  <c r="CQ87" i="17" s="1"/>
  <c r="CR87" i="17" s="1"/>
  <c r="CS87" i="17" s="1"/>
  <c r="CT87" i="17" s="1"/>
  <c r="CU87" i="17" s="1"/>
  <c r="CV87" i="17" s="1"/>
  <c r="CW87" i="17" s="1"/>
  <c r="CX87" i="17" s="1"/>
  <c r="CY87" i="17" s="1"/>
  <c r="CZ87" i="17" s="1"/>
  <c r="DA87" i="17" s="1"/>
  <c r="DB87" i="17" s="1"/>
  <c r="DC87" i="17" s="1"/>
  <c r="DD87" i="17" s="1"/>
  <c r="DE87" i="17" s="1"/>
  <c r="DF87" i="17" s="1"/>
  <c r="DG87" i="17" s="1"/>
  <c r="DH87" i="17" s="1"/>
  <c r="DI87" i="17" s="1"/>
  <c r="DJ87" i="17" s="1"/>
  <c r="DK87" i="17" s="1"/>
  <c r="DL87" i="17" s="1"/>
  <c r="W266" i="17"/>
  <c r="X266" i="17" s="1"/>
  <c r="Y266" i="17" s="1"/>
  <c r="Z266" i="17" s="1"/>
  <c r="AA266" i="17" s="1"/>
  <c r="AB266" i="17" s="1"/>
  <c r="AC266" i="17" s="1"/>
  <c r="AD266" i="17" s="1"/>
  <c r="AE266" i="17" s="1"/>
  <c r="AF266" i="17"/>
  <c r="AG266" i="17" s="1"/>
  <c r="AH266" i="17" s="1"/>
  <c r="AI266" i="17" s="1"/>
  <c r="AJ266" i="17" s="1"/>
  <c r="AK266" i="17" s="1"/>
  <c r="AL266" i="17" s="1"/>
  <c r="AM266" i="17" s="1"/>
  <c r="AN266" i="17" s="1"/>
  <c r="AO266" i="17" s="1"/>
  <c r="AP266" i="17" s="1"/>
  <c r="AQ266" i="17" s="1"/>
  <c r="AR266" i="17" s="1"/>
  <c r="AS266" i="17" s="1"/>
  <c r="AT266" i="17" s="1"/>
  <c r="AU266" i="17" s="1"/>
  <c r="AV266" i="17" s="1"/>
  <c r="AW266" i="17" s="1"/>
  <c r="AX266" i="17" s="1"/>
  <c r="AY266" i="17" s="1"/>
  <c r="AZ266" i="17" s="1"/>
  <c r="BA266" i="17" s="1"/>
  <c r="BB266" i="17" s="1"/>
  <c r="BC266" i="17" s="1"/>
  <c r="BD266" i="17" s="1"/>
  <c r="BE266" i="17" s="1"/>
  <c r="BF266" i="17" s="1"/>
  <c r="BG266" i="17" s="1"/>
  <c r="BH266" i="17" s="1"/>
  <c r="BI266" i="17" s="1"/>
  <c r="BJ266" i="17" s="1"/>
  <c r="BK266" i="17" s="1"/>
  <c r="BL266" i="17" s="1"/>
  <c r="BM266" i="17" s="1"/>
  <c r="BN266" i="17" s="1"/>
  <c r="BO266" i="17" s="1"/>
  <c r="BP266" i="17" s="1"/>
  <c r="BQ266" i="17" s="1"/>
  <c r="BR266" i="17" s="1"/>
  <c r="BS266" i="17" s="1"/>
  <c r="BT266" i="17" s="1"/>
  <c r="BU266" i="17" s="1"/>
  <c r="BV266" i="17" s="1"/>
  <c r="BW266" i="17" s="1"/>
  <c r="BX266" i="17" s="1"/>
  <c r="BY266" i="17" s="1"/>
  <c r="BZ266" i="17" s="1"/>
  <c r="CA266" i="17" s="1"/>
  <c r="CB266" i="17" s="1"/>
  <c r="CC266" i="17" s="1"/>
  <c r="CD266" i="17" s="1"/>
  <c r="CE266" i="17" s="1"/>
  <c r="CF266" i="17" s="1"/>
  <c r="CG266" i="17" s="1"/>
  <c r="CH266" i="17" s="1"/>
  <c r="CI266" i="17" s="1"/>
  <c r="CJ266" i="17" s="1"/>
  <c r="CK266" i="17" s="1"/>
  <c r="CL266" i="17" s="1"/>
  <c r="CM266" i="17" s="1"/>
  <c r="CN266" i="17" s="1"/>
  <c r="CO266" i="17" s="1"/>
  <c r="CP266" i="17" s="1"/>
  <c r="CQ266" i="17" s="1"/>
  <c r="CR266" i="17" s="1"/>
  <c r="CS266" i="17" s="1"/>
  <c r="CT266" i="17" s="1"/>
  <c r="CU266" i="17" s="1"/>
  <c r="CV266" i="17" s="1"/>
  <c r="CW266" i="17" s="1"/>
  <c r="CX266" i="17" s="1"/>
  <c r="CY266" i="17" s="1"/>
  <c r="CZ266" i="17" s="1"/>
  <c r="DA266" i="17" s="1"/>
  <c r="DB266" i="17" s="1"/>
  <c r="DC266" i="17" s="1"/>
  <c r="DD266" i="17" s="1"/>
  <c r="DE266" i="17" s="1"/>
  <c r="DF266" i="17" s="1"/>
  <c r="DG266" i="17" s="1"/>
  <c r="DH266" i="17" s="1"/>
  <c r="DI266" i="17" s="1"/>
  <c r="DJ266" i="17" s="1"/>
  <c r="DK266" i="17" s="1"/>
  <c r="DL266" i="17" s="1"/>
  <c r="Y194" i="17"/>
  <c r="Z194" i="17" s="1"/>
  <c r="AA194" i="17" s="1"/>
  <c r="AB194" i="17" s="1"/>
  <c r="AC194" i="17" s="1"/>
  <c r="AD194" i="17" s="1"/>
  <c r="AE194" i="17" s="1"/>
  <c r="AF194" i="17" s="1"/>
  <c r="AG194" i="17" s="1"/>
  <c r="AH194" i="17" s="1"/>
  <c r="AI194" i="17" s="1"/>
  <c r="AJ194" i="17" s="1"/>
  <c r="AK194" i="17" s="1"/>
  <c r="AL194" i="17" s="1"/>
  <c r="AM194" i="17" s="1"/>
  <c r="AN194" i="17" s="1"/>
  <c r="AO194" i="17" s="1"/>
  <c r="AP194" i="17" s="1"/>
  <c r="AQ194" i="17" s="1"/>
  <c r="AR194" i="17" s="1"/>
  <c r="AS194" i="17" s="1"/>
  <c r="AT194" i="17" s="1"/>
  <c r="AU194" i="17" s="1"/>
  <c r="AV194" i="17" s="1"/>
  <c r="AW194" i="17" s="1"/>
  <c r="AX194" i="17" s="1"/>
  <c r="AY194" i="17" s="1"/>
  <c r="AZ194" i="17" s="1"/>
  <c r="BA194" i="17" s="1"/>
  <c r="BB194" i="17" s="1"/>
  <c r="BC194" i="17" s="1"/>
  <c r="BD194" i="17" s="1"/>
  <c r="BE194" i="17" s="1"/>
  <c r="BF194" i="17" s="1"/>
  <c r="BG194" i="17" s="1"/>
  <c r="BH194" i="17" s="1"/>
  <c r="BI194" i="17" s="1"/>
  <c r="BJ194" i="17" s="1"/>
  <c r="BK194" i="17" s="1"/>
  <c r="BL194" i="17" s="1"/>
  <c r="BM194" i="17" s="1"/>
  <c r="BN194" i="17" s="1"/>
  <c r="BO194" i="17" s="1"/>
  <c r="BP194" i="17" s="1"/>
  <c r="BQ194" i="17" s="1"/>
  <c r="BR194" i="17" s="1"/>
  <c r="BS194" i="17" s="1"/>
  <c r="BT194" i="17" s="1"/>
  <c r="BU194" i="17" s="1"/>
  <c r="BV194" i="17" s="1"/>
  <c r="BW194" i="17" s="1"/>
  <c r="BX194" i="17" s="1"/>
  <c r="BY194" i="17" s="1"/>
  <c r="BZ194" i="17" s="1"/>
  <c r="CA194" i="17" s="1"/>
  <c r="CB194" i="17" s="1"/>
  <c r="CC194" i="17" s="1"/>
  <c r="CD194" i="17" s="1"/>
  <c r="CE194" i="17" s="1"/>
  <c r="CF194" i="17" s="1"/>
  <c r="CG194" i="17" s="1"/>
  <c r="CH194" i="17" s="1"/>
  <c r="CI194" i="17" s="1"/>
  <c r="CJ194" i="17" s="1"/>
  <c r="CK194" i="17" s="1"/>
  <c r="CL194" i="17" s="1"/>
  <c r="CM194" i="17" s="1"/>
  <c r="CN194" i="17" s="1"/>
  <c r="CO194" i="17" s="1"/>
  <c r="CP194" i="17" s="1"/>
  <c r="CQ194" i="17" s="1"/>
  <c r="CR194" i="17" s="1"/>
  <c r="CS194" i="17" s="1"/>
  <c r="CT194" i="17" s="1"/>
  <c r="CU194" i="17" s="1"/>
  <c r="CV194" i="17" s="1"/>
  <c r="CW194" i="17" s="1"/>
  <c r="CX194" i="17" s="1"/>
  <c r="CY194" i="17" s="1"/>
  <c r="CZ194" i="17" s="1"/>
  <c r="DA194" i="17" s="1"/>
  <c r="DB194" i="17" s="1"/>
  <c r="DC194" i="17" s="1"/>
  <c r="DD194" i="17" s="1"/>
  <c r="DE194" i="17" s="1"/>
  <c r="DF194" i="17" s="1"/>
  <c r="DG194" i="17" s="1"/>
  <c r="DH194" i="17" s="1"/>
  <c r="DI194" i="17" s="1"/>
  <c r="DJ194" i="17" s="1"/>
  <c r="DK194" i="17" s="1"/>
  <c r="DL194" i="17" s="1"/>
  <c r="AA91" i="17"/>
  <c r="Z133" i="17"/>
  <c r="AA133" i="17" s="1"/>
  <c r="AB133" i="17" s="1"/>
  <c r="AC133" i="17" s="1"/>
  <c r="AD133" i="17" s="1"/>
  <c r="AE133" i="17" s="1"/>
  <c r="AF133" i="17" s="1"/>
  <c r="AG133" i="17" s="1"/>
  <c r="AH133" i="17" s="1"/>
  <c r="AI133" i="17" s="1"/>
  <c r="AJ133" i="17" s="1"/>
  <c r="AK133" i="17" s="1"/>
  <c r="AL133" i="17" s="1"/>
  <c r="AM133" i="17" s="1"/>
  <c r="AN133" i="17" s="1"/>
  <c r="AO133" i="17" s="1"/>
  <c r="AP133" i="17" s="1"/>
  <c r="AQ133" i="17" s="1"/>
  <c r="AR133" i="17" s="1"/>
  <c r="AS133" i="17" s="1"/>
  <c r="AT133" i="17" s="1"/>
  <c r="AU133" i="17" s="1"/>
  <c r="AV133" i="17" s="1"/>
  <c r="AW133" i="17" s="1"/>
  <c r="AX133" i="17" s="1"/>
  <c r="AY133" i="17" s="1"/>
  <c r="AZ133" i="17" s="1"/>
  <c r="BA133" i="17" s="1"/>
  <c r="BB133" i="17" s="1"/>
  <c r="BC133" i="17" s="1"/>
  <c r="BD133" i="17" s="1"/>
  <c r="BE133" i="17" s="1"/>
  <c r="BF133" i="17" s="1"/>
  <c r="BG133" i="17" s="1"/>
  <c r="BH133" i="17" s="1"/>
  <c r="BI133" i="17" s="1"/>
  <c r="BJ133" i="17" s="1"/>
  <c r="BK133" i="17" s="1"/>
  <c r="BL133" i="17" s="1"/>
  <c r="BM133" i="17" s="1"/>
  <c r="BN133" i="17" s="1"/>
  <c r="BO133" i="17" s="1"/>
  <c r="BP133" i="17" s="1"/>
  <c r="BQ133" i="17" s="1"/>
  <c r="BR133" i="17" s="1"/>
  <c r="BS133" i="17" s="1"/>
  <c r="BT133" i="17" s="1"/>
  <c r="BU133" i="17" s="1"/>
  <c r="BV133" i="17" s="1"/>
  <c r="BW133" i="17" s="1"/>
  <c r="BX133" i="17" s="1"/>
  <c r="BY133" i="17" s="1"/>
  <c r="BZ133" i="17" s="1"/>
  <c r="CA133" i="17" s="1"/>
  <c r="CB133" i="17" s="1"/>
  <c r="CC133" i="17" s="1"/>
  <c r="CD133" i="17" s="1"/>
  <c r="CE133" i="17" s="1"/>
  <c r="CF133" i="17" s="1"/>
  <c r="CG133" i="17" s="1"/>
  <c r="CH133" i="17" s="1"/>
  <c r="CI133" i="17" s="1"/>
  <c r="CJ133" i="17" s="1"/>
  <c r="CK133" i="17" s="1"/>
  <c r="CL133" i="17" s="1"/>
  <c r="CM133" i="17" s="1"/>
  <c r="CN133" i="17" s="1"/>
  <c r="CO133" i="17" s="1"/>
  <c r="CP133" i="17" s="1"/>
  <c r="CQ133" i="17" s="1"/>
  <c r="CR133" i="17" s="1"/>
  <c r="CS133" i="17" s="1"/>
  <c r="CT133" i="17" s="1"/>
  <c r="CU133" i="17" s="1"/>
  <c r="CV133" i="17" s="1"/>
  <c r="CW133" i="17" s="1"/>
  <c r="CX133" i="17" s="1"/>
  <c r="CY133" i="17" s="1"/>
  <c r="CZ133" i="17" s="1"/>
  <c r="DA133" i="17" s="1"/>
  <c r="DB133" i="17" s="1"/>
  <c r="DC133" i="17" s="1"/>
  <c r="DD133" i="17" s="1"/>
  <c r="DE133" i="17" s="1"/>
  <c r="DF133" i="17" s="1"/>
  <c r="DG133" i="17" s="1"/>
  <c r="DH133" i="17" s="1"/>
  <c r="DI133" i="17" s="1"/>
  <c r="DJ133" i="17" s="1"/>
  <c r="DK133" i="17" s="1"/>
  <c r="DL133" i="17" s="1"/>
  <c r="W183" i="17"/>
  <c r="X183" i="17" s="1"/>
  <c r="Y183" i="17" s="1"/>
  <c r="Z183" i="17" s="1"/>
  <c r="AA183" i="17" s="1"/>
  <c r="AB183" i="17" s="1"/>
  <c r="AC183" i="17" s="1"/>
  <c r="AD183" i="17" s="1"/>
  <c r="AE183" i="17" s="1"/>
  <c r="AF183" i="17" s="1"/>
  <c r="AG183" i="17" s="1"/>
  <c r="AH183" i="17" s="1"/>
  <c r="AI183" i="17" s="1"/>
  <c r="AJ183" i="17" s="1"/>
  <c r="AK183" i="17" s="1"/>
  <c r="AL183" i="17" s="1"/>
  <c r="AM183" i="17" s="1"/>
  <c r="AN183" i="17" s="1"/>
  <c r="AO183" i="17" s="1"/>
  <c r="AP183" i="17" s="1"/>
  <c r="AQ183" i="17" s="1"/>
  <c r="AR183" i="17" s="1"/>
  <c r="AS183" i="17" s="1"/>
  <c r="AT183" i="17" s="1"/>
  <c r="AU183" i="17" s="1"/>
  <c r="AV183" i="17" s="1"/>
  <c r="AW183" i="17" s="1"/>
  <c r="AX183" i="17" s="1"/>
  <c r="AY183" i="17" s="1"/>
  <c r="AZ183" i="17" s="1"/>
  <c r="BA183" i="17" s="1"/>
  <c r="BB183" i="17" s="1"/>
  <c r="BC183" i="17" s="1"/>
  <c r="BD183" i="17" s="1"/>
  <c r="BE183" i="17" s="1"/>
  <c r="BF183" i="17" s="1"/>
  <c r="BG183" i="17" s="1"/>
  <c r="BH183" i="17" s="1"/>
  <c r="BI183" i="17" s="1"/>
  <c r="BJ183" i="17" s="1"/>
  <c r="BK183" i="17" s="1"/>
  <c r="BL183" i="17" s="1"/>
  <c r="BM183" i="17" s="1"/>
  <c r="BN183" i="17" s="1"/>
  <c r="BO183" i="17" s="1"/>
  <c r="BP183" i="17" s="1"/>
  <c r="BQ183" i="17" s="1"/>
  <c r="BR183" i="17" s="1"/>
  <c r="BS183" i="17" s="1"/>
  <c r="BT183" i="17" s="1"/>
  <c r="BU183" i="17" s="1"/>
  <c r="BV183" i="17" s="1"/>
  <c r="BW183" i="17" s="1"/>
  <c r="BX183" i="17" s="1"/>
  <c r="BY183" i="17" s="1"/>
  <c r="BZ183" i="17" s="1"/>
  <c r="CA183" i="17" s="1"/>
  <c r="CB183" i="17" s="1"/>
  <c r="CC183" i="17" s="1"/>
  <c r="CD183" i="17" s="1"/>
  <c r="CE183" i="17" s="1"/>
  <c r="CF183" i="17" s="1"/>
  <c r="CG183" i="17" s="1"/>
  <c r="CH183" i="17" s="1"/>
  <c r="CI183" i="17" s="1"/>
  <c r="CJ183" i="17" s="1"/>
  <c r="CK183" i="17" s="1"/>
  <c r="CL183" i="17" s="1"/>
  <c r="CM183" i="17" s="1"/>
  <c r="CN183" i="17" s="1"/>
  <c r="CO183" i="17" s="1"/>
  <c r="CP183" i="17" s="1"/>
  <c r="CQ183" i="17" s="1"/>
  <c r="CR183" i="17" s="1"/>
  <c r="CS183" i="17" s="1"/>
  <c r="CT183" i="17" s="1"/>
  <c r="CU183" i="17" s="1"/>
  <c r="CV183" i="17" s="1"/>
  <c r="CW183" i="17" s="1"/>
  <c r="CX183" i="17" s="1"/>
  <c r="CY183" i="17" s="1"/>
  <c r="CZ183" i="17" s="1"/>
  <c r="DA183" i="17" s="1"/>
  <c r="DB183" i="17" s="1"/>
  <c r="DC183" i="17" s="1"/>
  <c r="DD183" i="17" s="1"/>
  <c r="DE183" i="17" s="1"/>
  <c r="DF183" i="17" s="1"/>
  <c r="DG183" i="17" s="1"/>
  <c r="DH183" i="17" s="1"/>
  <c r="DI183" i="17" s="1"/>
  <c r="DJ183" i="17" s="1"/>
  <c r="DK183" i="17" s="1"/>
  <c r="DL183" i="17" s="1"/>
  <c r="AH53" i="17"/>
  <c r="AI53" i="17" s="1"/>
  <c r="AJ53" i="17" s="1"/>
  <c r="AK53" i="17" s="1"/>
  <c r="AL53" i="17" s="1"/>
  <c r="AM53" i="17" s="1"/>
  <c r="AN53" i="17" s="1"/>
  <c r="AO53" i="17" s="1"/>
  <c r="AP53" i="17" s="1"/>
  <c r="AQ53" i="17" s="1"/>
  <c r="AR53" i="17" s="1"/>
  <c r="AS53" i="17" s="1"/>
  <c r="AT53" i="17" s="1"/>
  <c r="AU53" i="17" s="1"/>
  <c r="AV53" i="17" s="1"/>
  <c r="AW53" i="17" s="1"/>
  <c r="AX53" i="17" s="1"/>
  <c r="AY53" i="17" s="1"/>
  <c r="AZ53" i="17" s="1"/>
  <c r="AA103" i="17"/>
  <c r="AB103" i="17" s="1"/>
  <c r="AC103" i="17" s="1"/>
  <c r="AD103" i="17" s="1"/>
  <c r="AE103" i="17" s="1"/>
  <c r="AF103" i="17" s="1"/>
  <c r="AG103" i="17" s="1"/>
  <c r="AH103" i="17" s="1"/>
  <c r="AI103" i="17" s="1"/>
  <c r="AJ103" i="17" s="1"/>
  <c r="AK103" i="17" s="1"/>
  <c r="AL103" i="17" s="1"/>
  <c r="AM103" i="17" s="1"/>
  <c r="AN103" i="17" s="1"/>
  <c r="AO103" i="17" s="1"/>
  <c r="AP103" i="17" s="1"/>
  <c r="AQ103" i="17" s="1"/>
  <c r="AR103" i="17" s="1"/>
  <c r="AS103" i="17" s="1"/>
  <c r="AT103" i="17" s="1"/>
  <c r="AU103" i="17" s="1"/>
  <c r="AV103" i="17" s="1"/>
  <c r="AW103" i="17" s="1"/>
  <c r="AX103" i="17" s="1"/>
  <c r="AY103" i="17" s="1"/>
  <c r="AZ103" i="17" s="1"/>
  <c r="BA103" i="17" s="1"/>
  <c r="BB103" i="17" s="1"/>
  <c r="BC103" i="17" s="1"/>
  <c r="BD103" i="17" s="1"/>
  <c r="BE103" i="17" s="1"/>
  <c r="BF103" i="17" s="1"/>
  <c r="BG103" i="17" s="1"/>
  <c r="BH103" i="17" s="1"/>
  <c r="BI103" i="17" s="1"/>
  <c r="BJ103" i="17" s="1"/>
  <c r="BK103" i="17" s="1"/>
  <c r="BL103" i="17" s="1"/>
  <c r="BM103" i="17" s="1"/>
  <c r="BN103" i="17" s="1"/>
  <c r="BO103" i="17" s="1"/>
  <c r="BP103" i="17" s="1"/>
  <c r="BQ103" i="17" s="1"/>
  <c r="BR103" i="17" s="1"/>
  <c r="BS103" i="17" s="1"/>
  <c r="BT103" i="17" s="1"/>
  <c r="BU103" i="17" s="1"/>
  <c r="BV103" i="17" s="1"/>
  <c r="BW103" i="17" s="1"/>
  <c r="BX103" i="17" s="1"/>
  <c r="BY103" i="17" s="1"/>
  <c r="BZ103" i="17" s="1"/>
  <c r="CA103" i="17" s="1"/>
  <c r="CB103" i="17" s="1"/>
  <c r="CC103" i="17" s="1"/>
  <c r="CD103" i="17" s="1"/>
  <c r="CE103" i="17" s="1"/>
  <c r="CF103" i="17" s="1"/>
  <c r="CG103" i="17" s="1"/>
  <c r="CH103" i="17" s="1"/>
  <c r="CI103" i="17" s="1"/>
  <c r="CJ103" i="17" s="1"/>
  <c r="CK103" i="17" s="1"/>
  <c r="CL103" i="17" s="1"/>
  <c r="CM103" i="17" s="1"/>
  <c r="CN103" i="17" s="1"/>
  <c r="CO103" i="17" s="1"/>
  <c r="CP103" i="17" s="1"/>
  <c r="CQ103" i="17" s="1"/>
  <c r="CR103" i="17" s="1"/>
  <c r="CS103" i="17" s="1"/>
  <c r="CT103" i="17" s="1"/>
  <c r="CU103" i="17" s="1"/>
  <c r="CV103" i="17" s="1"/>
  <c r="CW103" i="17" s="1"/>
  <c r="CX103" i="17" s="1"/>
  <c r="CY103" i="17" s="1"/>
  <c r="CZ103" i="17" s="1"/>
  <c r="DA103" i="17" s="1"/>
  <c r="DB103" i="17" s="1"/>
  <c r="DC103" i="17" s="1"/>
  <c r="DD103" i="17" s="1"/>
  <c r="DE103" i="17" s="1"/>
  <c r="DF103" i="17" s="1"/>
  <c r="DG103" i="17" s="1"/>
  <c r="DH103" i="17" s="1"/>
  <c r="DI103" i="17" s="1"/>
  <c r="DJ103" i="17" s="1"/>
  <c r="DK103" i="17" s="1"/>
  <c r="DL103" i="17" s="1"/>
  <c r="X131" i="17"/>
  <c r="Y131" i="17" s="1"/>
  <c r="Z131" i="17" s="1"/>
  <c r="AA131" i="17" s="1"/>
  <c r="AB131" i="17" s="1"/>
  <c r="W198" i="17"/>
  <c r="X198" i="17" s="1"/>
  <c r="Y198" i="17" s="1"/>
  <c r="Y258" i="17"/>
  <c r="Z258" i="17" s="1"/>
  <c r="AA258" i="17" s="1"/>
  <c r="AB258" i="17" s="1"/>
  <c r="AC258" i="17" s="1"/>
  <c r="AD258" i="17" s="1"/>
  <c r="AE258" i="17" s="1"/>
  <c r="AF258" i="17" s="1"/>
  <c r="AG258" i="17" s="1"/>
  <c r="AH258" i="17" s="1"/>
  <c r="AI258" i="17" s="1"/>
  <c r="AJ258" i="17" s="1"/>
  <c r="AK258" i="17" s="1"/>
  <c r="AL258" i="17" s="1"/>
  <c r="AM258" i="17" s="1"/>
  <c r="AN258" i="17" s="1"/>
  <c r="AO258" i="17" s="1"/>
  <c r="AP258" i="17" s="1"/>
  <c r="AQ258" i="17" s="1"/>
  <c r="AR258" i="17" s="1"/>
  <c r="AS258" i="17" s="1"/>
  <c r="AT258" i="17" s="1"/>
  <c r="AU258" i="17" s="1"/>
  <c r="AV258" i="17" s="1"/>
  <c r="AW258" i="17" s="1"/>
  <c r="AX258" i="17" s="1"/>
  <c r="AY258" i="17" s="1"/>
  <c r="AZ258" i="17" s="1"/>
  <c r="BA258" i="17" s="1"/>
  <c r="BB258" i="17" s="1"/>
  <c r="BC258" i="17" s="1"/>
  <c r="BD258" i="17" s="1"/>
  <c r="BE258" i="17" s="1"/>
  <c r="BF258" i="17" s="1"/>
  <c r="BG258" i="17" s="1"/>
  <c r="BH258" i="17" s="1"/>
  <c r="BI258" i="17" s="1"/>
  <c r="BJ258" i="17" s="1"/>
  <c r="BK258" i="17" s="1"/>
  <c r="BL258" i="17" s="1"/>
  <c r="BM258" i="17" s="1"/>
  <c r="BN258" i="17" s="1"/>
  <c r="BO258" i="17" s="1"/>
  <c r="BP258" i="17" s="1"/>
  <c r="BQ258" i="17" s="1"/>
  <c r="BR258" i="17" s="1"/>
  <c r="BS258" i="17" s="1"/>
  <c r="BT258" i="17" s="1"/>
  <c r="BU258" i="17" s="1"/>
  <c r="BV258" i="17" s="1"/>
  <c r="BW258" i="17" s="1"/>
  <c r="BX258" i="17" s="1"/>
  <c r="BY258" i="17" s="1"/>
  <c r="BZ258" i="17" s="1"/>
  <c r="CA258" i="17" s="1"/>
  <c r="CB258" i="17" s="1"/>
  <c r="CC258" i="17" s="1"/>
  <c r="CD258" i="17" s="1"/>
  <c r="CE258" i="17" s="1"/>
  <c r="CF258" i="17" s="1"/>
  <c r="CG258" i="17" s="1"/>
  <c r="CH258" i="17" s="1"/>
  <c r="CI258" i="17" s="1"/>
  <c r="CJ258" i="17" s="1"/>
  <c r="CK258" i="17" s="1"/>
  <c r="CL258" i="17" s="1"/>
  <c r="CM258" i="17" s="1"/>
  <c r="CN258" i="17" s="1"/>
  <c r="CO258" i="17" s="1"/>
  <c r="CP258" i="17" s="1"/>
  <c r="CQ258" i="17" s="1"/>
  <c r="CR258" i="17" s="1"/>
  <c r="CS258" i="17" s="1"/>
  <c r="CT258" i="17" s="1"/>
  <c r="CU258" i="17" s="1"/>
  <c r="CV258" i="17" s="1"/>
  <c r="CW258" i="17" s="1"/>
  <c r="CX258" i="17" s="1"/>
  <c r="CY258" i="17" s="1"/>
  <c r="CZ258" i="17" s="1"/>
  <c r="DA258" i="17" s="1"/>
  <c r="DB258" i="17" s="1"/>
  <c r="DC258" i="17" s="1"/>
  <c r="DD258" i="17" s="1"/>
  <c r="DE258" i="17" s="1"/>
  <c r="DF258" i="17" s="1"/>
  <c r="DG258" i="17" s="1"/>
  <c r="DH258" i="17" s="1"/>
  <c r="DI258" i="17" s="1"/>
  <c r="DJ258" i="17" s="1"/>
  <c r="DK258" i="17" s="1"/>
  <c r="DL258" i="17" s="1"/>
  <c r="BJ269" i="17"/>
  <c r="BK269" i="17" s="1"/>
  <c r="BL269" i="17" s="1"/>
  <c r="BM269" i="17" s="1"/>
  <c r="BN269" i="17" s="1"/>
  <c r="BO269" i="17" s="1"/>
  <c r="BP269" i="17" s="1"/>
  <c r="BQ269" i="17" s="1"/>
  <c r="BR269" i="17" s="1"/>
  <c r="BS269" i="17" s="1"/>
  <c r="BT269" i="17" s="1"/>
  <c r="BU269" i="17" s="1"/>
  <c r="BV269" i="17" s="1"/>
  <c r="BW269" i="17" s="1"/>
  <c r="BX269" i="17" s="1"/>
  <c r="BY269" i="17" s="1"/>
  <c r="BZ269" i="17" s="1"/>
  <c r="CA269" i="17" s="1"/>
  <c r="CB269" i="17" s="1"/>
  <c r="CC269" i="17" s="1"/>
  <c r="CD269" i="17" s="1"/>
  <c r="CE269" i="17" s="1"/>
  <c r="CF269" i="17" s="1"/>
  <c r="CG269" i="17" s="1"/>
  <c r="CH269" i="17" s="1"/>
  <c r="CI269" i="17" s="1"/>
  <c r="CJ269" i="17" s="1"/>
  <c r="CK269" i="17" s="1"/>
  <c r="CL269" i="17" s="1"/>
  <c r="CM269" i="17" s="1"/>
  <c r="CN269" i="17" s="1"/>
  <c r="CO269" i="17" s="1"/>
  <c r="CP269" i="17" s="1"/>
  <c r="CQ269" i="17" s="1"/>
  <c r="CR269" i="17" s="1"/>
  <c r="CS269" i="17" s="1"/>
  <c r="CT269" i="17" s="1"/>
  <c r="CU269" i="17" s="1"/>
  <c r="CV269" i="17" s="1"/>
  <c r="CW269" i="17" s="1"/>
  <c r="CX269" i="17" s="1"/>
  <c r="CY269" i="17" s="1"/>
  <c r="CZ269" i="17" s="1"/>
  <c r="DA269" i="17" s="1"/>
  <c r="DB269" i="17" s="1"/>
  <c r="DC269" i="17" s="1"/>
  <c r="DD269" i="17" s="1"/>
  <c r="DE269" i="17" s="1"/>
  <c r="DF269" i="17" s="1"/>
  <c r="DG269" i="17" s="1"/>
  <c r="DH269" i="17" s="1"/>
  <c r="DI269" i="17" s="1"/>
  <c r="DJ269" i="17" s="1"/>
  <c r="DK269" i="17" s="1"/>
  <c r="DL269" i="17" s="1"/>
  <c r="AN227" i="17"/>
  <c r="AO227" i="17" s="1"/>
  <c r="AP227" i="17" s="1"/>
  <c r="AQ227" i="17" s="1"/>
  <c r="AR227" i="17" s="1"/>
  <c r="AS227" i="17" s="1"/>
  <c r="AT227" i="17" s="1"/>
  <c r="AU227" i="17" s="1"/>
  <c r="AV227" i="17" s="1"/>
  <c r="AW227" i="17" s="1"/>
  <c r="AX227" i="17" s="1"/>
  <c r="AY227" i="17" s="1"/>
  <c r="AZ227" i="17" s="1"/>
  <c r="BA227" i="17" s="1"/>
  <c r="BB227" i="17" s="1"/>
  <c r="BC227" i="17" s="1"/>
  <c r="BD227" i="17" s="1"/>
  <c r="BE227" i="17" s="1"/>
  <c r="BF227" i="17" s="1"/>
  <c r="BG227" i="17" s="1"/>
  <c r="BH227" i="17" s="1"/>
  <c r="BI227" i="17" s="1"/>
  <c r="BJ227" i="17" s="1"/>
  <c r="BK227" i="17" s="1"/>
  <c r="BL227" i="17" s="1"/>
  <c r="BM227" i="17" s="1"/>
  <c r="BN227" i="17" s="1"/>
  <c r="BO227" i="17" s="1"/>
  <c r="BP227" i="17" s="1"/>
  <c r="BQ227" i="17" s="1"/>
  <c r="BR227" i="17" s="1"/>
  <c r="BS227" i="17" s="1"/>
  <c r="BT227" i="17" s="1"/>
  <c r="BU227" i="17" s="1"/>
  <c r="BV227" i="17" s="1"/>
  <c r="BW227" i="17" s="1"/>
  <c r="BX227" i="17" s="1"/>
  <c r="BY227" i="17" s="1"/>
  <c r="BZ227" i="17" s="1"/>
  <c r="CA227" i="17" s="1"/>
  <c r="CB227" i="17" s="1"/>
  <c r="CC227" i="17" s="1"/>
  <c r="CD227" i="17" s="1"/>
  <c r="CE227" i="17" s="1"/>
  <c r="CF227" i="17" s="1"/>
  <c r="CG227" i="17" s="1"/>
  <c r="CH227" i="17" s="1"/>
  <c r="CI227" i="17" s="1"/>
  <c r="CJ227" i="17" s="1"/>
  <c r="CK227" i="17" s="1"/>
  <c r="CL227" i="17" s="1"/>
  <c r="CM227" i="17" s="1"/>
  <c r="CN227" i="17" s="1"/>
  <c r="CO227" i="17" s="1"/>
  <c r="CP227" i="17" s="1"/>
  <c r="CQ227" i="17" s="1"/>
  <c r="CR227" i="17" s="1"/>
  <c r="CS227" i="17" s="1"/>
  <c r="CT227" i="17" s="1"/>
  <c r="CU227" i="17" s="1"/>
  <c r="CV227" i="17" s="1"/>
  <c r="CW227" i="17" s="1"/>
  <c r="CX227" i="17" s="1"/>
  <c r="CY227" i="17" s="1"/>
  <c r="CZ227" i="17" s="1"/>
  <c r="DA227" i="17" s="1"/>
  <c r="DB227" i="17" s="1"/>
  <c r="DC227" i="17" s="1"/>
  <c r="DD227" i="17" s="1"/>
  <c r="DE227" i="17" s="1"/>
  <c r="DF227" i="17" s="1"/>
  <c r="DG227" i="17" s="1"/>
  <c r="DH227" i="17" s="1"/>
  <c r="DI227" i="17" s="1"/>
  <c r="DJ227" i="17" s="1"/>
  <c r="DK227" i="17" s="1"/>
  <c r="DL227" i="17" s="1"/>
  <c r="Z206" i="17"/>
  <c r="AA206" i="17" s="1"/>
  <c r="AB206" i="17" s="1"/>
  <c r="AC206" i="17" s="1"/>
  <c r="AD206" i="17" s="1"/>
  <c r="AE206" i="17" s="1"/>
  <c r="AF206" i="17" s="1"/>
  <c r="AG206" i="17" s="1"/>
  <c r="AH206" i="17" s="1"/>
  <c r="AI206" i="17" s="1"/>
  <c r="AJ206" i="17" s="1"/>
  <c r="AK206" i="17" s="1"/>
  <c r="AL206" i="17" s="1"/>
  <c r="AM206" i="17" s="1"/>
  <c r="AN206" i="17" s="1"/>
  <c r="AO206" i="17" s="1"/>
  <c r="AP206" i="17" s="1"/>
  <c r="AQ206" i="17" s="1"/>
  <c r="AR206" i="17" s="1"/>
  <c r="AS206" i="17" s="1"/>
  <c r="AT206" i="17" s="1"/>
  <c r="AU206" i="17" s="1"/>
  <c r="AV206" i="17" s="1"/>
  <c r="AW206" i="17" s="1"/>
  <c r="AX206" i="17" s="1"/>
  <c r="AY206" i="17" s="1"/>
  <c r="AZ206" i="17" s="1"/>
  <c r="BA206" i="17" s="1"/>
  <c r="BB206" i="17" s="1"/>
  <c r="BC206" i="17" s="1"/>
  <c r="BD206" i="17" s="1"/>
  <c r="BE206" i="17" s="1"/>
  <c r="BF206" i="17" s="1"/>
  <c r="BG206" i="17" s="1"/>
  <c r="BH206" i="17" s="1"/>
  <c r="BI206" i="17" s="1"/>
  <c r="AA17" i="17"/>
  <c r="AB17" i="17" s="1"/>
  <c r="AC17" i="17" s="1"/>
  <c r="V245" i="17"/>
  <c r="Z105" i="17"/>
  <c r="AA105" i="17" s="1"/>
  <c r="AB105" i="17" s="1"/>
  <c r="AC105" i="17" s="1"/>
  <c r="AD105" i="17" s="1"/>
  <c r="AE105" i="17" s="1"/>
  <c r="AF105" i="17" s="1"/>
  <c r="AG105" i="17" s="1"/>
  <c r="AH105" i="17" s="1"/>
  <c r="AI105" i="17" s="1"/>
  <c r="AJ105" i="17" s="1"/>
  <c r="AK105" i="17" s="1"/>
  <c r="AL105" i="17" s="1"/>
  <c r="AM105" i="17" s="1"/>
  <c r="AN105" i="17" s="1"/>
  <c r="AO105" i="17" s="1"/>
  <c r="AP105" i="17" s="1"/>
  <c r="AQ105" i="17" s="1"/>
  <c r="AR105" i="17" s="1"/>
  <c r="AS105" i="17" s="1"/>
  <c r="AT105" i="17" s="1"/>
  <c r="AU105" i="17" s="1"/>
  <c r="AV105" i="17" s="1"/>
  <c r="AW105" i="17" s="1"/>
  <c r="AX105" i="17" s="1"/>
  <c r="AY105" i="17" s="1"/>
  <c r="AZ105" i="17" s="1"/>
  <c r="BA105" i="17" s="1"/>
  <c r="BB105" i="17" s="1"/>
  <c r="BC105" i="17" s="1"/>
  <c r="BD105" i="17" s="1"/>
  <c r="BE105" i="17" s="1"/>
  <c r="BF105" i="17" s="1"/>
  <c r="BG105" i="17" s="1"/>
  <c r="BH105" i="17" s="1"/>
  <c r="BI105" i="17" s="1"/>
  <c r="BJ105" i="17" s="1"/>
  <c r="BK105" i="17" s="1"/>
  <c r="BL105" i="17" s="1"/>
  <c r="BM105" i="17" s="1"/>
  <c r="BN105" i="17" s="1"/>
  <c r="BO105" i="17" s="1"/>
  <c r="BP105" i="17" s="1"/>
  <c r="BQ105" i="17" s="1"/>
  <c r="BR105" i="17" s="1"/>
  <c r="BS105" i="17" s="1"/>
  <c r="BT105" i="17" s="1"/>
  <c r="BU105" i="17" s="1"/>
  <c r="BV105" i="17" s="1"/>
  <c r="BW105" i="17" s="1"/>
  <c r="BX105" i="17" s="1"/>
  <c r="BY105" i="17" s="1"/>
  <c r="BZ105" i="17" s="1"/>
  <c r="CA105" i="17" s="1"/>
  <c r="CB105" i="17" s="1"/>
  <c r="CC105" i="17" s="1"/>
  <c r="CD105" i="17" s="1"/>
  <c r="CE105" i="17" s="1"/>
  <c r="CF105" i="17" s="1"/>
  <c r="CG105" i="17" s="1"/>
  <c r="CH105" i="17" s="1"/>
  <c r="CI105" i="17" s="1"/>
  <c r="CJ105" i="17" s="1"/>
  <c r="CK105" i="17" s="1"/>
  <c r="CL105" i="17" s="1"/>
  <c r="CM105" i="17" s="1"/>
  <c r="CN105" i="17" s="1"/>
  <c r="CO105" i="17" s="1"/>
  <c r="CP105" i="17" s="1"/>
  <c r="CQ105" i="17" s="1"/>
  <c r="CR105" i="17" s="1"/>
  <c r="CS105" i="17" s="1"/>
  <c r="CT105" i="17" s="1"/>
  <c r="CU105" i="17" s="1"/>
  <c r="CV105" i="17" s="1"/>
  <c r="CW105" i="17" s="1"/>
  <c r="CX105" i="17" s="1"/>
  <c r="CY105" i="17" s="1"/>
  <c r="CZ105" i="17" s="1"/>
  <c r="DA105" i="17" s="1"/>
  <c r="DB105" i="17" s="1"/>
  <c r="DC105" i="17" s="1"/>
  <c r="DD105" i="17" s="1"/>
  <c r="DE105" i="17" s="1"/>
  <c r="DF105" i="17" s="1"/>
  <c r="DG105" i="17" s="1"/>
  <c r="DH105" i="17" s="1"/>
  <c r="DI105" i="17" s="1"/>
  <c r="DJ105" i="17" s="1"/>
  <c r="DK105" i="17" s="1"/>
  <c r="DL105" i="17" s="1"/>
  <c r="AA62" i="17"/>
  <c r="AB62" i="17" s="1"/>
  <c r="AC62" i="17" s="1"/>
  <c r="AD62" i="17" s="1"/>
  <c r="AE62" i="17" s="1"/>
  <c r="AF62" i="17" s="1"/>
  <c r="AG62" i="17" s="1"/>
  <c r="AH62" i="17" s="1"/>
  <c r="AI62" i="17" s="1"/>
  <c r="AJ62" i="17" s="1"/>
  <c r="AK62" i="17" s="1"/>
  <c r="AL62" i="17" s="1"/>
  <c r="AM62" i="17" s="1"/>
  <c r="AN62" i="17" s="1"/>
  <c r="AO62" i="17" s="1"/>
  <c r="AP62" i="17" s="1"/>
  <c r="AQ62" i="17" s="1"/>
  <c r="AR62" i="17" s="1"/>
  <c r="AS62" i="17" s="1"/>
  <c r="AT62" i="17" s="1"/>
  <c r="AU62" i="17" s="1"/>
  <c r="AV62" i="17" s="1"/>
  <c r="AW62" i="17" s="1"/>
  <c r="AX62" i="17" s="1"/>
  <c r="AY62" i="17" s="1"/>
  <c r="AZ62" i="17" s="1"/>
  <c r="BA62" i="17" s="1"/>
  <c r="BB62" i="17" s="1"/>
  <c r="BC62" i="17" s="1"/>
  <c r="BD62" i="17" s="1"/>
  <c r="BE62" i="17" s="1"/>
  <c r="BF62" i="17" s="1"/>
  <c r="BG62" i="17" s="1"/>
  <c r="BH62" i="17" s="1"/>
  <c r="BI62" i="17" s="1"/>
  <c r="BJ62" i="17" s="1"/>
  <c r="BK62" i="17" s="1"/>
  <c r="BL62" i="17" s="1"/>
  <c r="BM62" i="17" s="1"/>
  <c r="BN62" i="17" s="1"/>
  <c r="BO62" i="17" s="1"/>
  <c r="BP62" i="17" s="1"/>
  <c r="BQ62" i="17" s="1"/>
  <c r="BR62" i="17" s="1"/>
  <c r="BS62" i="17" s="1"/>
  <c r="BT62" i="17" s="1"/>
  <c r="BU62" i="17" s="1"/>
  <c r="BV62" i="17" s="1"/>
  <c r="BW62" i="17" s="1"/>
  <c r="BX62" i="17" s="1"/>
  <c r="BY62" i="17" s="1"/>
  <c r="BZ62" i="17" s="1"/>
  <c r="CA62" i="17" s="1"/>
  <c r="CB62" i="17" s="1"/>
  <c r="CC62" i="17" s="1"/>
  <c r="CD62" i="17" s="1"/>
  <c r="CE62" i="17" s="1"/>
  <c r="CF62" i="17" s="1"/>
  <c r="CG62" i="17" s="1"/>
  <c r="CH62" i="17" s="1"/>
  <c r="CI62" i="17" s="1"/>
  <c r="CJ62" i="17" s="1"/>
  <c r="CK62" i="17" s="1"/>
  <c r="CL62" i="17" s="1"/>
  <c r="CM62" i="17" s="1"/>
  <c r="CN62" i="17" s="1"/>
  <c r="CO62" i="17" s="1"/>
  <c r="CP62" i="17" s="1"/>
  <c r="CQ62" i="17" s="1"/>
  <c r="CR62" i="17" s="1"/>
  <c r="CS62" i="17" s="1"/>
  <c r="CT62" i="17" s="1"/>
  <c r="CU62" i="17" s="1"/>
  <c r="CV62" i="17" s="1"/>
  <c r="CW62" i="17" s="1"/>
  <c r="CX62" i="17" s="1"/>
  <c r="CY62" i="17" s="1"/>
  <c r="CZ62" i="17" s="1"/>
  <c r="DA62" i="17" s="1"/>
  <c r="DB62" i="17" s="1"/>
  <c r="DC62" i="17" s="1"/>
  <c r="DD62" i="17" s="1"/>
  <c r="DE62" i="17" s="1"/>
  <c r="DF62" i="17" s="1"/>
  <c r="DG62" i="17" s="1"/>
  <c r="DH62" i="17" s="1"/>
  <c r="DI62" i="17" s="1"/>
  <c r="DJ62" i="17" s="1"/>
  <c r="DK62" i="17" s="1"/>
  <c r="DL62" i="17" s="1"/>
  <c r="AA12" i="17"/>
  <c r="AB12" i="17" s="1"/>
  <c r="AC12" i="17" s="1"/>
  <c r="AD12" i="17" s="1"/>
  <c r="AE12" i="17" s="1"/>
  <c r="AF12" i="17" s="1"/>
  <c r="AG12" i="17" s="1"/>
  <c r="Z157" i="17"/>
  <c r="AA157" i="17" s="1"/>
  <c r="AB157" i="17" s="1"/>
  <c r="AC157" i="17" s="1"/>
  <c r="AD157" i="17" s="1"/>
  <c r="AE157" i="17" s="1"/>
  <c r="AF157" i="17" s="1"/>
  <c r="AG157" i="17" s="1"/>
  <c r="AH157" i="17" s="1"/>
  <c r="AI157" i="17" s="1"/>
  <c r="AJ157" i="17" s="1"/>
  <c r="AK157" i="17" s="1"/>
  <c r="AL157" i="17" s="1"/>
  <c r="AM157" i="17" s="1"/>
  <c r="AN157" i="17" s="1"/>
  <c r="AO157" i="17" s="1"/>
  <c r="AP157" i="17" s="1"/>
  <c r="AQ157" i="17" s="1"/>
  <c r="AR157" i="17" s="1"/>
  <c r="AS157" i="17" s="1"/>
  <c r="AT157" i="17" s="1"/>
  <c r="AU157" i="17" s="1"/>
  <c r="AV157" i="17" s="1"/>
  <c r="AW157" i="17" s="1"/>
  <c r="AX157" i="17" s="1"/>
  <c r="AY157" i="17" s="1"/>
  <c r="AZ157" i="17" s="1"/>
  <c r="BA157" i="17" s="1"/>
  <c r="BB157" i="17" s="1"/>
  <c r="BC157" i="17" s="1"/>
  <c r="BD157" i="17" s="1"/>
  <c r="BE157" i="17" s="1"/>
  <c r="BF157" i="17" s="1"/>
  <c r="BG157" i="17" s="1"/>
  <c r="BH157" i="17" s="1"/>
  <c r="BI157" i="17" s="1"/>
  <c r="BJ157" i="17" s="1"/>
  <c r="BK157" i="17" s="1"/>
  <c r="BL157" i="17" s="1"/>
  <c r="BM157" i="17" s="1"/>
  <c r="BN157" i="17" s="1"/>
  <c r="BO157" i="17" s="1"/>
  <c r="BP157" i="17" s="1"/>
  <c r="BQ157" i="17" s="1"/>
  <c r="BR157" i="17" s="1"/>
  <c r="BS157" i="17" s="1"/>
  <c r="BT157" i="17" s="1"/>
  <c r="BU157" i="17" s="1"/>
  <c r="BV157" i="17" s="1"/>
  <c r="BW157" i="17" s="1"/>
  <c r="BX157" i="17" s="1"/>
  <c r="BY157" i="17" s="1"/>
  <c r="BZ157" i="17" s="1"/>
  <c r="CA157" i="17" s="1"/>
  <c r="CB157" i="17" s="1"/>
  <c r="CC157" i="17" s="1"/>
  <c r="CD157" i="17" s="1"/>
  <c r="CE157" i="17" s="1"/>
  <c r="CF157" i="17" s="1"/>
  <c r="CG157" i="17" s="1"/>
  <c r="CH157" i="17" s="1"/>
  <c r="CI157" i="17" s="1"/>
  <c r="CJ157" i="17" s="1"/>
  <c r="CK157" i="17" s="1"/>
  <c r="CL157" i="17" s="1"/>
  <c r="CM157" i="17" s="1"/>
  <c r="CN157" i="17" s="1"/>
  <c r="CO157" i="17" s="1"/>
  <c r="CP157" i="17" s="1"/>
  <c r="CQ157" i="17" s="1"/>
  <c r="CR157" i="17" s="1"/>
  <c r="CS157" i="17" s="1"/>
  <c r="CT157" i="17" s="1"/>
  <c r="CU157" i="17" s="1"/>
  <c r="CV157" i="17" s="1"/>
  <c r="CW157" i="17" s="1"/>
  <c r="CX157" i="17" s="1"/>
  <c r="CY157" i="17" s="1"/>
  <c r="CZ157" i="17" s="1"/>
  <c r="DA157" i="17" s="1"/>
  <c r="DB157" i="17" s="1"/>
  <c r="DC157" i="17" s="1"/>
  <c r="DD157" i="17" s="1"/>
  <c r="DE157" i="17" s="1"/>
  <c r="DF157" i="17" s="1"/>
  <c r="DG157" i="17" s="1"/>
  <c r="DH157" i="17" s="1"/>
  <c r="DI157" i="17" s="1"/>
  <c r="DJ157" i="17" s="1"/>
  <c r="DK157" i="17" s="1"/>
  <c r="DL157" i="17" s="1"/>
  <c r="X181" i="17"/>
  <c r="Y230" i="17"/>
  <c r="Z230" i="17" s="1"/>
  <c r="AA230" i="17" s="1"/>
  <c r="AB230" i="17" s="1"/>
  <c r="AC230" i="17" s="1"/>
  <c r="AD230" i="17" s="1"/>
  <c r="AE230" i="17" s="1"/>
  <c r="AF230" i="17" s="1"/>
  <c r="AG230" i="17" s="1"/>
  <c r="AH230" i="17" s="1"/>
  <c r="AI230" i="17" s="1"/>
  <c r="AJ230" i="17" s="1"/>
  <c r="AK230" i="17" s="1"/>
  <c r="AL230" i="17" s="1"/>
  <c r="AM230" i="17" s="1"/>
  <c r="AN230" i="17" s="1"/>
  <c r="AO230" i="17" s="1"/>
  <c r="AP230" i="17" s="1"/>
  <c r="AQ230" i="17" s="1"/>
  <c r="AR230" i="17" s="1"/>
  <c r="AS230" i="17" s="1"/>
  <c r="AT230" i="17" s="1"/>
  <c r="AU230" i="17" s="1"/>
  <c r="AV230" i="17" s="1"/>
  <c r="AW230" i="17" s="1"/>
  <c r="AX230" i="17" s="1"/>
  <c r="AY230" i="17" s="1"/>
  <c r="AZ230" i="17" s="1"/>
  <c r="BA230" i="17" s="1"/>
  <c r="BB230" i="17" s="1"/>
  <c r="BC230" i="17" s="1"/>
  <c r="BD230" i="17" s="1"/>
  <c r="BE230" i="17" s="1"/>
  <c r="BF230" i="17" s="1"/>
  <c r="BG230" i="17" s="1"/>
  <c r="BH230" i="17" s="1"/>
  <c r="BI230" i="17" s="1"/>
  <c r="BJ230" i="17" s="1"/>
  <c r="BK230" i="17" s="1"/>
  <c r="BL230" i="17" s="1"/>
  <c r="BM230" i="17" s="1"/>
  <c r="BN230" i="17" s="1"/>
  <c r="BO230" i="17" s="1"/>
  <c r="BP230" i="17" s="1"/>
  <c r="BQ230" i="17" s="1"/>
  <c r="BR230" i="17" s="1"/>
  <c r="BS230" i="17" s="1"/>
  <c r="BT230" i="17" s="1"/>
  <c r="BU230" i="17" s="1"/>
  <c r="BV230" i="17" s="1"/>
  <c r="BW230" i="17" s="1"/>
  <c r="BX230" i="17" s="1"/>
  <c r="BY230" i="17" s="1"/>
  <c r="BZ230" i="17" s="1"/>
  <c r="CA230" i="17" s="1"/>
  <c r="CB230" i="17" s="1"/>
  <c r="CC230" i="17" s="1"/>
  <c r="CD230" i="17" s="1"/>
  <c r="CE230" i="17" s="1"/>
  <c r="CF230" i="17" s="1"/>
  <c r="CG230" i="17" s="1"/>
  <c r="CH230" i="17" s="1"/>
  <c r="CI230" i="17" s="1"/>
  <c r="CJ230" i="17" s="1"/>
  <c r="CK230" i="17" s="1"/>
  <c r="CL230" i="17" s="1"/>
  <c r="CM230" i="17" s="1"/>
  <c r="CN230" i="17" s="1"/>
  <c r="CO230" i="17" s="1"/>
  <c r="CP230" i="17" s="1"/>
  <c r="CQ230" i="17" s="1"/>
  <c r="CR230" i="17" s="1"/>
  <c r="CS230" i="17" s="1"/>
  <c r="CT230" i="17" s="1"/>
  <c r="CU230" i="17" s="1"/>
  <c r="CV230" i="17" s="1"/>
  <c r="CW230" i="17" s="1"/>
  <c r="CX230" i="17" s="1"/>
  <c r="CY230" i="17" s="1"/>
  <c r="CZ230" i="17" s="1"/>
  <c r="DA230" i="17" s="1"/>
  <c r="DB230" i="17" s="1"/>
  <c r="DC230" i="17" s="1"/>
  <c r="DD230" i="17" s="1"/>
  <c r="DE230" i="17" s="1"/>
  <c r="DF230" i="17" s="1"/>
  <c r="DG230" i="17" s="1"/>
  <c r="DH230" i="17" s="1"/>
  <c r="DI230" i="17" s="1"/>
  <c r="DJ230" i="17" s="1"/>
  <c r="DK230" i="17" s="1"/>
  <c r="DL230" i="17" s="1"/>
  <c r="V290" i="17"/>
  <c r="W290" i="17" s="1"/>
  <c r="Z259" i="17"/>
  <c r="AA259" i="17" s="1"/>
  <c r="AB259" i="17" s="1"/>
  <c r="AC259" i="17" s="1"/>
  <c r="AD259" i="17" s="1"/>
  <c r="AE259" i="17" s="1"/>
  <c r="AF259" i="17" s="1"/>
  <c r="AG259" i="17" s="1"/>
  <c r="AH259" i="17" s="1"/>
  <c r="AI259" i="17" s="1"/>
  <c r="AJ259" i="17" s="1"/>
  <c r="AK259" i="17" s="1"/>
  <c r="AL259" i="17" s="1"/>
  <c r="AM259" i="17" s="1"/>
  <c r="AN259" i="17" s="1"/>
  <c r="AO259" i="17" s="1"/>
  <c r="AP259" i="17" s="1"/>
  <c r="AQ259" i="17" s="1"/>
  <c r="AR259" i="17" s="1"/>
  <c r="AS259" i="17" s="1"/>
  <c r="AT259" i="17" s="1"/>
  <c r="AU259" i="17" s="1"/>
  <c r="AV259" i="17" s="1"/>
  <c r="AW259" i="17" s="1"/>
  <c r="AX259" i="17" s="1"/>
  <c r="AY259" i="17" s="1"/>
  <c r="AZ259" i="17" s="1"/>
  <c r="BA259" i="17" s="1"/>
  <c r="BB259" i="17" s="1"/>
  <c r="BC259" i="17" s="1"/>
  <c r="BD259" i="17" s="1"/>
  <c r="BE259" i="17" s="1"/>
  <c r="BF259" i="17" s="1"/>
  <c r="BG259" i="17" s="1"/>
  <c r="BH259" i="17" s="1"/>
  <c r="BI259" i="17" s="1"/>
  <c r="BJ259" i="17" s="1"/>
  <c r="BK259" i="17" s="1"/>
  <c r="BL259" i="17" s="1"/>
  <c r="BM259" i="17" s="1"/>
  <c r="BN259" i="17" s="1"/>
  <c r="BO259" i="17" s="1"/>
  <c r="BP259" i="17" s="1"/>
  <c r="BQ259" i="17" s="1"/>
  <c r="BR259" i="17" s="1"/>
  <c r="BS259" i="17" s="1"/>
  <c r="BT259" i="17" s="1"/>
  <c r="BU259" i="17" s="1"/>
  <c r="BV259" i="17" s="1"/>
  <c r="BW259" i="17" s="1"/>
  <c r="BX259" i="17" s="1"/>
  <c r="BY259" i="17" s="1"/>
  <c r="BZ259" i="17" s="1"/>
  <c r="CA259" i="17" s="1"/>
  <c r="CB259" i="17" s="1"/>
  <c r="CC259" i="17" s="1"/>
  <c r="CD259" i="17" s="1"/>
  <c r="CE259" i="17" s="1"/>
  <c r="CF259" i="17" s="1"/>
  <c r="CG259" i="17" s="1"/>
  <c r="CH259" i="17" s="1"/>
  <c r="CI259" i="17" s="1"/>
  <c r="CJ259" i="17" s="1"/>
  <c r="CK259" i="17" s="1"/>
  <c r="CL259" i="17" s="1"/>
  <c r="CM259" i="17" s="1"/>
  <c r="CN259" i="17" s="1"/>
  <c r="CO259" i="17" s="1"/>
  <c r="CP259" i="17" s="1"/>
  <c r="CQ259" i="17" s="1"/>
  <c r="CR259" i="17" s="1"/>
  <c r="CS259" i="17" s="1"/>
  <c r="CT259" i="17" s="1"/>
  <c r="CU259" i="17" s="1"/>
  <c r="CV259" i="17" s="1"/>
  <c r="CW259" i="17" s="1"/>
  <c r="CX259" i="17" s="1"/>
  <c r="CY259" i="17" s="1"/>
  <c r="CZ259" i="17" s="1"/>
  <c r="DA259" i="17" s="1"/>
  <c r="DB259" i="17" s="1"/>
  <c r="DC259" i="17" s="1"/>
  <c r="DD259" i="17" s="1"/>
  <c r="DE259" i="17" s="1"/>
  <c r="DF259" i="17" s="1"/>
  <c r="DG259" i="17" s="1"/>
  <c r="DH259" i="17" s="1"/>
  <c r="DI259" i="17" s="1"/>
  <c r="DJ259" i="17" s="1"/>
  <c r="DK259" i="17" s="1"/>
  <c r="DL259" i="17" s="1"/>
  <c r="AC126" i="17"/>
  <c r="AD126" i="17" s="1"/>
  <c r="AE126" i="17" s="1"/>
  <c r="AF126" i="17" s="1"/>
  <c r="AG126" i="17" s="1"/>
  <c r="AH126" i="17" s="1"/>
  <c r="AI126" i="17" s="1"/>
  <c r="AJ126" i="17" s="1"/>
  <c r="AK126" i="17" s="1"/>
  <c r="AL126" i="17" s="1"/>
  <c r="AM126" i="17" s="1"/>
  <c r="AN126" i="17" s="1"/>
  <c r="AO126" i="17" s="1"/>
  <c r="AP126" i="17" s="1"/>
  <c r="AQ126" i="17" s="1"/>
  <c r="AR126" i="17" s="1"/>
  <c r="AS126" i="17" s="1"/>
  <c r="AT126" i="17" s="1"/>
  <c r="AU126" i="17" s="1"/>
  <c r="AV126" i="17" s="1"/>
  <c r="AW126" i="17" s="1"/>
  <c r="AX126" i="17" s="1"/>
  <c r="AY126" i="17" s="1"/>
  <c r="AZ126" i="17" s="1"/>
  <c r="BA126" i="17" s="1"/>
  <c r="BB126" i="17" s="1"/>
  <c r="BC126" i="17" s="1"/>
  <c r="BD126" i="17" s="1"/>
  <c r="BE126" i="17" s="1"/>
  <c r="BF126" i="17" s="1"/>
  <c r="BG126" i="17" s="1"/>
  <c r="BH126" i="17" s="1"/>
  <c r="BI126" i="17" s="1"/>
  <c r="BJ126" i="17" s="1"/>
  <c r="BK126" i="17" s="1"/>
  <c r="BL126" i="17" s="1"/>
  <c r="BM126" i="17" s="1"/>
  <c r="BN126" i="17" s="1"/>
  <c r="BO126" i="17" s="1"/>
  <c r="BP126" i="17" s="1"/>
  <c r="BQ126" i="17" s="1"/>
  <c r="BR126" i="17" s="1"/>
  <c r="BS126" i="17" s="1"/>
  <c r="BT126" i="17" s="1"/>
  <c r="BU126" i="17" s="1"/>
  <c r="BV126" i="17" s="1"/>
  <c r="BW126" i="17" s="1"/>
  <c r="BX126" i="17" s="1"/>
  <c r="BY126" i="17" s="1"/>
  <c r="BZ126" i="17" s="1"/>
  <c r="CA126" i="17" s="1"/>
  <c r="CB126" i="17" s="1"/>
  <c r="CC126" i="17" s="1"/>
  <c r="CD126" i="17" s="1"/>
  <c r="CE126" i="17" s="1"/>
  <c r="CF126" i="17" s="1"/>
  <c r="CG126" i="17" s="1"/>
  <c r="CH126" i="17" s="1"/>
  <c r="CI126" i="17" s="1"/>
  <c r="CJ126" i="17" s="1"/>
  <c r="CK126" i="17" s="1"/>
  <c r="CL126" i="17" s="1"/>
  <c r="CM126" i="17" s="1"/>
  <c r="CN126" i="17" s="1"/>
  <c r="CO126" i="17" s="1"/>
  <c r="CP126" i="17" s="1"/>
  <c r="CQ126" i="17" s="1"/>
  <c r="CR126" i="17" s="1"/>
  <c r="CS126" i="17" s="1"/>
  <c r="CT126" i="17" s="1"/>
  <c r="X35" i="17"/>
  <c r="AA125" i="17"/>
  <c r="X74" i="17"/>
  <c r="X140" i="17"/>
  <c r="Y140" i="17" s="1"/>
  <c r="Z140" i="17" s="1"/>
  <c r="AA140" i="17" s="1"/>
  <c r="AB140" i="17" s="1"/>
  <c r="AC140" i="17" s="1"/>
  <c r="AD140" i="17" s="1"/>
  <c r="AE140" i="17" s="1"/>
  <c r="AF140" i="17" s="1"/>
  <c r="AG140" i="17" s="1"/>
  <c r="AH140" i="17" s="1"/>
  <c r="AI140" i="17" s="1"/>
  <c r="AJ140" i="17" s="1"/>
  <c r="AK140" i="17" s="1"/>
  <c r="AL140" i="17" s="1"/>
  <c r="AM140" i="17" s="1"/>
  <c r="AN140" i="17" s="1"/>
  <c r="AO140" i="17" s="1"/>
  <c r="AP140" i="17" s="1"/>
  <c r="AQ140" i="17" s="1"/>
  <c r="AR140" i="17" s="1"/>
  <c r="AS140" i="17" s="1"/>
  <c r="AT140" i="17" s="1"/>
  <c r="AU140" i="17" s="1"/>
  <c r="AV140" i="17" s="1"/>
  <c r="AW140" i="17" s="1"/>
  <c r="AX140" i="17" s="1"/>
  <c r="AY140" i="17" s="1"/>
  <c r="AZ140" i="17" s="1"/>
  <c r="BA140" i="17" s="1"/>
  <c r="BB140" i="17" s="1"/>
  <c r="BC140" i="17" s="1"/>
  <c r="BD140" i="17" s="1"/>
  <c r="BE140" i="17" s="1"/>
  <c r="BF140" i="17" s="1"/>
  <c r="BG140" i="17" s="1"/>
  <c r="BH140" i="17" s="1"/>
  <c r="BI140" i="17" s="1"/>
  <c r="BJ140" i="17" s="1"/>
  <c r="BK140" i="17" s="1"/>
  <c r="BL140" i="17" s="1"/>
  <c r="BM140" i="17" s="1"/>
  <c r="BN140" i="17" s="1"/>
  <c r="BO140" i="17" s="1"/>
  <c r="BP140" i="17" s="1"/>
  <c r="BQ140" i="17" s="1"/>
  <c r="BR140" i="17" s="1"/>
  <c r="BS140" i="17" s="1"/>
  <c r="BT140" i="17" s="1"/>
  <c r="BU140" i="17" s="1"/>
  <c r="BV140" i="17" s="1"/>
  <c r="BW140" i="17" s="1"/>
  <c r="BX140" i="17" s="1"/>
  <c r="BY140" i="17" s="1"/>
  <c r="BZ140" i="17" s="1"/>
  <c r="CA140" i="17" s="1"/>
  <c r="CB140" i="17" s="1"/>
  <c r="CC140" i="17" s="1"/>
  <c r="CD140" i="17" s="1"/>
  <c r="CE140" i="17" s="1"/>
  <c r="CF140" i="17" s="1"/>
  <c r="CG140" i="17" s="1"/>
  <c r="CH140" i="17" s="1"/>
  <c r="CI140" i="17" s="1"/>
  <c r="CJ140" i="17" s="1"/>
  <c r="CK140" i="17" s="1"/>
  <c r="CL140" i="17" s="1"/>
  <c r="CM140" i="17" s="1"/>
  <c r="CN140" i="17" s="1"/>
  <c r="CO140" i="17" s="1"/>
  <c r="CP140" i="17" s="1"/>
  <c r="CQ140" i="17" s="1"/>
  <c r="CR140" i="17" s="1"/>
  <c r="CS140" i="17" s="1"/>
  <c r="CT140" i="17" s="1"/>
  <c r="CU140" i="17" s="1"/>
  <c r="CV140" i="17" s="1"/>
  <c r="CW140" i="17" s="1"/>
  <c r="CX140" i="17" s="1"/>
  <c r="CY140" i="17" s="1"/>
  <c r="CZ140" i="17" s="1"/>
  <c r="DA140" i="17" s="1"/>
  <c r="DB140" i="17" s="1"/>
  <c r="DC140" i="17" s="1"/>
  <c r="DD140" i="17" s="1"/>
  <c r="DE140" i="17" s="1"/>
  <c r="DF140" i="17" s="1"/>
  <c r="DG140" i="17" s="1"/>
  <c r="DH140" i="17" s="1"/>
  <c r="DI140" i="17" s="1"/>
  <c r="DJ140" i="17" s="1"/>
  <c r="DK140" i="17" s="1"/>
  <c r="DL140" i="17" s="1"/>
  <c r="X180" i="17"/>
  <c r="Y180" i="17" s="1"/>
  <c r="Z180" i="17" s="1"/>
  <c r="AA180" i="17" s="1"/>
  <c r="AB180" i="17" s="1"/>
  <c r="AC180" i="17" s="1"/>
  <c r="AD180" i="17" s="1"/>
  <c r="AE180" i="17" s="1"/>
  <c r="AA223" i="17"/>
  <c r="Z287" i="17"/>
  <c r="Y186" i="17"/>
  <c r="Z186" i="17" s="1"/>
  <c r="AA186" i="17" s="1"/>
  <c r="AB186" i="17" s="1"/>
  <c r="AC186" i="17" s="1"/>
  <c r="AD186" i="17" s="1"/>
  <c r="AE186" i="17" s="1"/>
  <c r="AF186" i="17" s="1"/>
  <c r="AG186" i="17" s="1"/>
  <c r="AH186" i="17" s="1"/>
  <c r="AI186" i="17" s="1"/>
  <c r="AJ186" i="17" s="1"/>
  <c r="AK186" i="17" s="1"/>
  <c r="AL186" i="17" s="1"/>
  <c r="AM186" i="17" s="1"/>
  <c r="AN186" i="17" s="1"/>
  <c r="AO186" i="17" s="1"/>
  <c r="AP186" i="17" s="1"/>
  <c r="AQ186" i="17" s="1"/>
  <c r="AR186" i="17" s="1"/>
  <c r="AS186" i="17" s="1"/>
  <c r="AT186" i="17" s="1"/>
  <c r="AU186" i="17" s="1"/>
  <c r="AV186" i="17" s="1"/>
  <c r="AW186" i="17" s="1"/>
  <c r="AX186" i="17" s="1"/>
  <c r="AY186" i="17" s="1"/>
  <c r="AZ186" i="17" s="1"/>
  <c r="BA186" i="17" s="1"/>
  <c r="BB186" i="17" s="1"/>
  <c r="BC186" i="17" s="1"/>
  <c r="BD186" i="17" s="1"/>
  <c r="BE186" i="17" s="1"/>
  <c r="BF186" i="17" s="1"/>
  <c r="BG186" i="17" s="1"/>
  <c r="BH186" i="17" s="1"/>
  <c r="BI186" i="17" s="1"/>
  <c r="BJ186" i="17" s="1"/>
  <c r="BK186" i="17" s="1"/>
  <c r="BL186" i="17" s="1"/>
  <c r="BM186" i="17" s="1"/>
  <c r="BN186" i="17" s="1"/>
  <c r="BO186" i="17" s="1"/>
  <c r="BP186" i="17" s="1"/>
  <c r="BQ186" i="17" s="1"/>
  <c r="BR186" i="17" s="1"/>
  <c r="BS186" i="17" s="1"/>
  <c r="BT186" i="17" s="1"/>
  <c r="BU186" i="17" s="1"/>
  <c r="BV186" i="17" s="1"/>
  <c r="BW186" i="17" s="1"/>
  <c r="BX186" i="17" s="1"/>
  <c r="BY186" i="17" s="1"/>
  <c r="BZ186" i="17" s="1"/>
  <c r="CA186" i="17" s="1"/>
  <c r="CB186" i="17" s="1"/>
  <c r="CC186" i="17" s="1"/>
  <c r="CD186" i="17" s="1"/>
  <c r="CE186" i="17" s="1"/>
  <c r="CF186" i="17" s="1"/>
  <c r="CG186" i="17" s="1"/>
  <c r="CH186" i="17" s="1"/>
  <c r="CI186" i="17" s="1"/>
  <c r="CJ186" i="17" s="1"/>
  <c r="CK186" i="17" s="1"/>
  <c r="CL186" i="17" s="1"/>
  <c r="CM186" i="17" s="1"/>
  <c r="CN186" i="17" s="1"/>
  <c r="CO186" i="17" s="1"/>
  <c r="CP186" i="17" s="1"/>
  <c r="CQ186" i="17" s="1"/>
  <c r="CR186" i="17" s="1"/>
  <c r="CS186" i="17" s="1"/>
  <c r="CT186" i="17" s="1"/>
  <c r="CU186" i="17" s="1"/>
  <c r="CV186" i="17" s="1"/>
  <c r="CW186" i="17" s="1"/>
  <c r="CX186" i="17" s="1"/>
  <c r="CY186" i="17" s="1"/>
  <c r="CZ186" i="17" s="1"/>
  <c r="DA186" i="17" s="1"/>
  <c r="DB186" i="17" s="1"/>
  <c r="DC186" i="17" s="1"/>
  <c r="DD186" i="17" s="1"/>
  <c r="DE186" i="17" s="1"/>
  <c r="DF186" i="17" s="1"/>
  <c r="DG186" i="17" s="1"/>
  <c r="DH186" i="17" s="1"/>
  <c r="DI186" i="17" s="1"/>
  <c r="DJ186" i="17" s="1"/>
  <c r="DK186" i="17" s="1"/>
  <c r="DL186" i="17" s="1"/>
  <c r="W16" i="17"/>
  <c r="W41" i="17"/>
  <c r="X41" i="17" s="1"/>
  <c r="Y41" i="17" s="1"/>
  <c r="Z41" i="17" s="1"/>
  <c r="AA41" i="17" s="1"/>
  <c r="AB41" i="17" s="1"/>
  <c r="AC41" i="17" s="1"/>
  <c r="AD41" i="17" s="1"/>
  <c r="AE41" i="17" s="1"/>
  <c r="AF41" i="17" s="1"/>
  <c r="AG41" i="17" s="1"/>
  <c r="AH41" i="17" s="1"/>
  <c r="AI41" i="17" s="1"/>
  <c r="AJ41" i="17" s="1"/>
  <c r="AK41" i="17" s="1"/>
  <c r="AL41" i="17" s="1"/>
  <c r="AM41" i="17" s="1"/>
  <c r="AN41" i="17" s="1"/>
  <c r="AO41" i="17" s="1"/>
  <c r="AP41" i="17" s="1"/>
  <c r="AQ41" i="17" s="1"/>
  <c r="AR41" i="17" s="1"/>
  <c r="AS41" i="17" s="1"/>
  <c r="AT41" i="17" s="1"/>
  <c r="AU41" i="17" s="1"/>
  <c r="AV41" i="17" s="1"/>
  <c r="AW41" i="17" s="1"/>
  <c r="X273" i="17"/>
  <c r="Y273" i="17" s="1"/>
  <c r="X43" i="17"/>
  <c r="Y43" i="17" s="1"/>
  <c r="Z43" i="17" s="1"/>
  <c r="AA43" i="17" s="1"/>
  <c r="AB43" i="17" s="1"/>
  <c r="AC43" i="17" s="1"/>
  <c r="AD43" i="17" s="1"/>
  <c r="AE43" i="17" s="1"/>
  <c r="AF43" i="17" s="1"/>
  <c r="AG43" i="17" s="1"/>
  <c r="AH43" i="17" s="1"/>
  <c r="AI43" i="17" s="1"/>
  <c r="AJ43" i="17" s="1"/>
  <c r="AK43" i="17" s="1"/>
  <c r="AL43" i="17" s="1"/>
  <c r="AM43" i="17" s="1"/>
  <c r="AN43" i="17" s="1"/>
  <c r="AO43" i="17" s="1"/>
  <c r="AP43" i="17" s="1"/>
  <c r="AQ43" i="17" s="1"/>
  <c r="AR43" i="17" s="1"/>
  <c r="AS43" i="17" s="1"/>
  <c r="AT43" i="17" s="1"/>
  <c r="AU43" i="17" s="1"/>
  <c r="AV43" i="17" s="1"/>
  <c r="AW43" i="17" s="1"/>
  <c r="AX43" i="17" s="1"/>
  <c r="AY43" i="17" s="1"/>
  <c r="AZ43" i="17" s="1"/>
  <c r="BA43" i="17" s="1"/>
  <c r="BB43" i="17" s="1"/>
  <c r="BC43" i="17" s="1"/>
  <c r="BD43" i="17" s="1"/>
  <c r="BE43" i="17" s="1"/>
  <c r="BF43" i="17" s="1"/>
  <c r="BG43" i="17" s="1"/>
  <c r="BH43" i="17" s="1"/>
  <c r="BI43" i="17" s="1"/>
  <c r="BJ43" i="17" s="1"/>
  <c r="BK43" i="17" s="1"/>
  <c r="BL43" i="17" s="1"/>
  <c r="BM43" i="17" s="1"/>
  <c r="BN43" i="17" s="1"/>
  <c r="BO43" i="17" s="1"/>
  <c r="BP43" i="17" s="1"/>
  <c r="BQ43" i="17" s="1"/>
  <c r="BR43" i="17" s="1"/>
  <c r="BS43" i="17" s="1"/>
  <c r="BT43" i="17" s="1"/>
  <c r="BU43" i="17" s="1"/>
  <c r="BV43" i="17" s="1"/>
  <c r="BW43" i="17" s="1"/>
  <c r="BX43" i="17" s="1"/>
  <c r="BY43" i="17" s="1"/>
  <c r="BZ43" i="17" s="1"/>
  <c r="CA43" i="17" s="1"/>
  <c r="CB43" i="17" s="1"/>
  <c r="CC43" i="17" s="1"/>
  <c r="CD43" i="17" s="1"/>
  <c r="CE43" i="17" s="1"/>
  <c r="CF43" i="17" s="1"/>
  <c r="CG43" i="17" s="1"/>
  <c r="CH43" i="17" s="1"/>
  <c r="CI43" i="17" s="1"/>
  <c r="CJ43" i="17" s="1"/>
  <c r="CK43" i="17" s="1"/>
  <c r="CL43" i="17" s="1"/>
  <c r="CM43" i="17" s="1"/>
  <c r="CN43" i="17" s="1"/>
  <c r="CO43" i="17" s="1"/>
  <c r="CP43" i="17" s="1"/>
  <c r="CQ43" i="17" s="1"/>
  <c r="CR43" i="17" s="1"/>
  <c r="CS43" i="17" s="1"/>
  <c r="CT43" i="17" s="1"/>
  <c r="CU43" i="17" s="1"/>
  <c r="CV43" i="17" s="1"/>
  <c r="CW43" i="17" s="1"/>
  <c r="CX43" i="17" s="1"/>
  <c r="CY43" i="17" s="1"/>
  <c r="CZ43" i="17" s="1"/>
  <c r="DA43" i="17" s="1"/>
  <c r="DB43" i="17" s="1"/>
  <c r="DC43" i="17" s="1"/>
  <c r="DD43" i="17" s="1"/>
  <c r="DE43" i="17" s="1"/>
  <c r="DF43" i="17" s="1"/>
  <c r="DG43" i="17" s="1"/>
  <c r="DH43" i="17" s="1"/>
  <c r="DI43" i="17" s="1"/>
  <c r="DJ43" i="17" s="1"/>
  <c r="DK43" i="17" s="1"/>
  <c r="DL43" i="17" s="1"/>
  <c r="AA77" i="17"/>
  <c r="AB77" i="17" s="1"/>
  <c r="AC77" i="17" s="1"/>
  <c r="AD77" i="17" s="1"/>
  <c r="AE77" i="17" s="1"/>
  <c r="AF77" i="17" s="1"/>
  <c r="Z196" i="17"/>
  <c r="AA196" i="17" s="1"/>
  <c r="AB196" i="17" s="1"/>
  <c r="AC196" i="17" s="1"/>
  <c r="AD196" i="17" s="1"/>
  <c r="AE196" i="17" s="1"/>
  <c r="AF196" i="17" s="1"/>
  <c r="AG196" i="17" s="1"/>
  <c r="AH196" i="17" s="1"/>
  <c r="AI196" i="17" s="1"/>
  <c r="AJ196" i="17" s="1"/>
  <c r="AK196" i="17" s="1"/>
  <c r="AL196" i="17" s="1"/>
  <c r="AM196" i="17" s="1"/>
  <c r="AN196" i="17" s="1"/>
  <c r="AO196" i="17" s="1"/>
  <c r="AP196" i="17" s="1"/>
  <c r="AQ196" i="17" s="1"/>
  <c r="AR196" i="17" s="1"/>
  <c r="AS196" i="17" s="1"/>
  <c r="AT196" i="17" s="1"/>
  <c r="AU196" i="17" s="1"/>
  <c r="AV196" i="17" s="1"/>
  <c r="AW196" i="17" s="1"/>
  <c r="AX196" i="17" s="1"/>
  <c r="AY196" i="17" s="1"/>
  <c r="AZ196" i="17" s="1"/>
  <c r="BA196" i="17" s="1"/>
  <c r="BB196" i="17" s="1"/>
  <c r="BC196" i="17" s="1"/>
  <c r="BD196" i="17" s="1"/>
  <c r="BE196" i="17" s="1"/>
  <c r="BF196" i="17" s="1"/>
  <c r="BG196" i="17" s="1"/>
  <c r="BH196" i="17" s="1"/>
  <c r="BI196" i="17" s="1"/>
  <c r="BJ196" i="17" s="1"/>
  <c r="BK196" i="17" s="1"/>
  <c r="BL196" i="17" s="1"/>
  <c r="BM196" i="17" s="1"/>
  <c r="BN196" i="17" s="1"/>
  <c r="BO196" i="17" s="1"/>
  <c r="BP196" i="17" s="1"/>
  <c r="BQ196" i="17" s="1"/>
  <c r="BR196" i="17" s="1"/>
  <c r="BS196" i="17" s="1"/>
  <c r="BT196" i="17" s="1"/>
  <c r="BU196" i="17" s="1"/>
  <c r="BV196" i="17" s="1"/>
  <c r="BW196" i="17" s="1"/>
  <c r="BX196" i="17" s="1"/>
  <c r="BY196" i="17" s="1"/>
  <c r="BZ196" i="17" s="1"/>
  <c r="CA196" i="17" s="1"/>
  <c r="CB196" i="17" s="1"/>
  <c r="CC196" i="17" s="1"/>
  <c r="CD196" i="17" s="1"/>
  <c r="CE196" i="17" s="1"/>
  <c r="CF196" i="17" s="1"/>
  <c r="CG196" i="17" s="1"/>
  <c r="CH196" i="17" s="1"/>
  <c r="CI196" i="17" s="1"/>
  <c r="CJ196" i="17" s="1"/>
  <c r="CK196" i="17" s="1"/>
  <c r="CL196" i="17" s="1"/>
  <c r="CM196" i="17" s="1"/>
  <c r="CN196" i="17" s="1"/>
  <c r="CO196" i="17" s="1"/>
  <c r="CP196" i="17" s="1"/>
  <c r="CQ196" i="17" s="1"/>
  <c r="CR196" i="17" s="1"/>
  <c r="CS196" i="17" s="1"/>
  <c r="CT196" i="17" s="1"/>
  <c r="CU196" i="17" s="1"/>
  <c r="CV196" i="17" s="1"/>
  <c r="CW196" i="17" s="1"/>
  <c r="CX196" i="17" s="1"/>
  <c r="CY196" i="17" s="1"/>
  <c r="CZ196" i="17" s="1"/>
  <c r="DA196" i="17" s="1"/>
  <c r="DB196" i="17" s="1"/>
  <c r="DC196" i="17" s="1"/>
  <c r="DD196" i="17" s="1"/>
  <c r="DE196" i="17" s="1"/>
  <c r="DF196" i="17" s="1"/>
  <c r="DG196" i="17" s="1"/>
  <c r="DH196" i="17" s="1"/>
  <c r="DI196" i="17" s="1"/>
  <c r="DJ196" i="17" s="1"/>
  <c r="DK196" i="17" s="1"/>
  <c r="DL196" i="17" s="1"/>
  <c r="Z160" i="17"/>
  <c r="AA160" i="17" s="1"/>
  <c r="AB160" i="17" s="1"/>
  <c r="AC160" i="17" s="1"/>
  <c r="AD160" i="17" s="1"/>
  <c r="AE160" i="17" s="1"/>
  <c r="AF160" i="17" s="1"/>
  <c r="AG160" i="17" s="1"/>
  <c r="AH160" i="17" s="1"/>
  <c r="AI160" i="17" s="1"/>
  <c r="AJ160" i="17" s="1"/>
  <c r="AK160" i="17" s="1"/>
  <c r="AL160" i="17" s="1"/>
  <c r="AM160" i="17" s="1"/>
  <c r="AN160" i="17" s="1"/>
  <c r="AO160" i="17" s="1"/>
  <c r="AP160" i="17" s="1"/>
  <c r="AQ160" i="17" s="1"/>
  <c r="AR160" i="17" s="1"/>
  <c r="AS160" i="17" s="1"/>
  <c r="AT160" i="17" s="1"/>
  <c r="AU160" i="17" s="1"/>
  <c r="AV160" i="17" s="1"/>
  <c r="AW160" i="17" s="1"/>
  <c r="AX160" i="17" s="1"/>
  <c r="AY160" i="17" s="1"/>
  <c r="AZ160" i="17" s="1"/>
  <c r="BA160" i="17" s="1"/>
  <c r="BB160" i="17" s="1"/>
  <c r="BC160" i="17" s="1"/>
  <c r="BD160" i="17" s="1"/>
  <c r="BE160" i="17" s="1"/>
  <c r="BF160" i="17" s="1"/>
  <c r="BG160" i="17" s="1"/>
  <c r="BH160" i="17" s="1"/>
  <c r="BI160" i="17" s="1"/>
  <c r="BJ160" i="17" s="1"/>
  <c r="BK160" i="17" s="1"/>
  <c r="BL160" i="17" s="1"/>
  <c r="BM160" i="17" s="1"/>
  <c r="BN160" i="17" s="1"/>
  <c r="BO160" i="17" s="1"/>
  <c r="AB82" i="17"/>
  <c r="AC82" i="17" s="1"/>
  <c r="AD82" i="17" s="1"/>
  <c r="AE82" i="17" s="1"/>
  <c r="AF82" i="17" s="1"/>
  <c r="AG82" i="17" s="1"/>
  <c r="AH82" i="17" s="1"/>
  <c r="AI82" i="17" s="1"/>
  <c r="AJ82" i="17" s="1"/>
  <c r="AK82" i="17" s="1"/>
  <c r="AL82" i="17" s="1"/>
  <c r="AM82" i="17" s="1"/>
  <c r="AN82" i="17" s="1"/>
  <c r="AO82" i="17" s="1"/>
  <c r="AP82" i="17" s="1"/>
  <c r="AQ82" i="17" s="1"/>
  <c r="AR82" i="17" s="1"/>
  <c r="AS82" i="17" s="1"/>
  <c r="AT82" i="17" s="1"/>
  <c r="AU82" i="17" s="1"/>
  <c r="AV82" i="17" s="1"/>
  <c r="AW82" i="17" s="1"/>
  <c r="AX82" i="17" s="1"/>
  <c r="AY82" i="17" s="1"/>
  <c r="AZ82" i="17" s="1"/>
  <c r="BA82" i="17" s="1"/>
  <c r="BB82" i="17" s="1"/>
  <c r="BC82" i="17" s="1"/>
  <c r="BD82" i="17" s="1"/>
  <c r="BE82" i="17" s="1"/>
  <c r="BF82" i="17" s="1"/>
  <c r="BG82" i="17" s="1"/>
  <c r="BH82" i="17" s="1"/>
  <c r="BI82" i="17" s="1"/>
  <c r="BJ82" i="17" s="1"/>
  <c r="BK82" i="17" s="1"/>
  <c r="BL82" i="17" s="1"/>
  <c r="BM82" i="17" s="1"/>
  <c r="BN82" i="17" s="1"/>
  <c r="BO82" i="17" s="1"/>
  <c r="BP82" i="17" s="1"/>
  <c r="BQ82" i="17" s="1"/>
  <c r="BR82" i="17" s="1"/>
  <c r="BS82" i="17" s="1"/>
  <c r="BT82" i="17" s="1"/>
  <c r="BU82" i="17" s="1"/>
  <c r="BV82" i="17" s="1"/>
  <c r="BW82" i="17" s="1"/>
  <c r="BX82" i="17" s="1"/>
  <c r="BY82" i="17" s="1"/>
  <c r="BZ82" i="17" s="1"/>
  <c r="CA82" i="17" s="1"/>
  <c r="CB82" i="17" s="1"/>
  <c r="CC82" i="17" s="1"/>
  <c r="CD82" i="17" s="1"/>
  <c r="CE82" i="17" s="1"/>
  <c r="CF82" i="17" s="1"/>
  <c r="CG82" i="17" s="1"/>
  <c r="CH82" i="17" s="1"/>
  <c r="CI82" i="17" s="1"/>
  <c r="CJ82" i="17" s="1"/>
  <c r="CK82" i="17" s="1"/>
  <c r="CL82" i="17" s="1"/>
  <c r="CM82" i="17" s="1"/>
  <c r="CN82" i="17" s="1"/>
  <c r="CO82" i="17" s="1"/>
  <c r="CP82" i="17" s="1"/>
  <c r="CQ82" i="17" s="1"/>
  <c r="CR82" i="17" s="1"/>
  <c r="CS82" i="17" s="1"/>
  <c r="CT82" i="17" s="1"/>
  <c r="CU82" i="17" s="1"/>
  <c r="CV82" i="17" s="1"/>
  <c r="CW82" i="17" s="1"/>
  <c r="CX82" i="17" s="1"/>
  <c r="CY82" i="17" s="1"/>
  <c r="CZ82" i="17" s="1"/>
  <c r="DA82" i="17" s="1"/>
  <c r="DB82" i="17" s="1"/>
  <c r="DC82" i="17" s="1"/>
  <c r="DD82" i="17" s="1"/>
  <c r="DE82" i="17" s="1"/>
  <c r="DF82" i="17" s="1"/>
  <c r="DG82" i="17" s="1"/>
  <c r="DH82" i="17" s="1"/>
  <c r="DI82" i="17" s="1"/>
  <c r="DJ82" i="17" s="1"/>
  <c r="DK82" i="17" s="1"/>
  <c r="DL82" i="17" s="1"/>
  <c r="Z117" i="17"/>
  <c r="AA117" i="17" s="1"/>
  <c r="AB117" i="17" s="1"/>
  <c r="AC117" i="17" s="1"/>
  <c r="AD117" i="17" s="1"/>
  <c r="AE117" i="17" s="1"/>
  <c r="AF117" i="17" s="1"/>
  <c r="AG117" i="17" s="1"/>
  <c r="AH117" i="17" s="1"/>
  <c r="AI117" i="17" s="1"/>
  <c r="AJ117" i="17" s="1"/>
  <c r="AK117" i="17" s="1"/>
  <c r="AL117" i="17" s="1"/>
  <c r="AM117" i="17" s="1"/>
  <c r="AN117" i="17" s="1"/>
  <c r="AO117" i="17" s="1"/>
  <c r="AP117" i="17" s="1"/>
  <c r="AQ117" i="17" s="1"/>
  <c r="AR117" i="17" s="1"/>
  <c r="AS117" i="17" s="1"/>
  <c r="AT117" i="17" s="1"/>
  <c r="AU117" i="17" s="1"/>
  <c r="AV117" i="17" s="1"/>
  <c r="AW117" i="17" s="1"/>
  <c r="AX117" i="17" s="1"/>
  <c r="AY117" i="17" s="1"/>
  <c r="AZ117" i="17" s="1"/>
  <c r="BA117" i="17" s="1"/>
  <c r="BB117" i="17" s="1"/>
  <c r="BC117" i="17" s="1"/>
  <c r="BD117" i="17" s="1"/>
  <c r="BE117" i="17" s="1"/>
  <c r="BF117" i="17" s="1"/>
  <c r="BG117" i="17" s="1"/>
  <c r="BH117" i="17" s="1"/>
  <c r="BI117" i="17" s="1"/>
  <c r="BJ117" i="17" s="1"/>
  <c r="BK117" i="17" s="1"/>
  <c r="BL117" i="17" s="1"/>
  <c r="BM117" i="17" s="1"/>
  <c r="BN117" i="17" s="1"/>
  <c r="BO117" i="17" s="1"/>
  <c r="BP117" i="17" s="1"/>
  <c r="BQ117" i="17" s="1"/>
  <c r="BR117" i="17" s="1"/>
  <c r="BS117" i="17" s="1"/>
  <c r="BT117" i="17" s="1"/>
  <c r="BU117" i="17" s="1"/>
  <c r="BV117" i="17" s="1"/>
  <c r="BW117" i="17" s="1"/>
  <c r="BX117" i="17" s="1"/>
  <c r="BY117" i="17" s="1"/>
  <c r="BZ117" i="17" s="1"/>
  <c r="CA117" i="17" s="1"/>
  <c r="CB117" i="17" s="1"/>
  <c r="CC117" i="17" s="1"/>
  <c r="CD117" i="17" s="1"/>
  <c r="CE117" i="17" s="1"/>
  <c r="CF117" i="17" s="1"/>
  <c r="CG117" i="17" s="1"/>
  <c r="CH117" i="17" s="1"/>
  <c r="CI117" i="17" s="1"/>
  <c r="CJ117" i="17" s="1"/>
  <c r="CK117" i="17" s="1"/>
  <c r="CL117" i="17" s="1"/>
  <c r="CM117" i="17" s="1"/>
  <c r="CN117" i="17" s="1"/>
  <c r="CO117" i="17" s="1"/>
  <c r="CP117" i="17" s="1"/>
  <c r="CQ117" i="17" s="1"/>
  <c r="CR117" i="17" s="1"/>
  <c r="CS117" i="17" s="1"/>
  <c r="CT117" i="17" s="1"/>
  <c r="CU117" i="17" s="1"/>
  <c r="CV117" i="17" s="1"/>
  <c r="CW117" i="17" s="1"/>
  <c r="CX117" i="17" s="1"/>
  <c r="CY117" i="17" s="1"/>
  <c r="CZ117" i="17" s="1"/>
  <c r="DA117" i="17" s="1"/>
  <c r="DB117" i="17" s="1"/>
  <c r="DC117" i="17" s="1"/>
  <c r="DD117" i="17" s="1"/>
  <c r="DE117" i="17" s="1"/>
  <c r="DF117" i="17" s="1"/>
  <c r="DG117" i="17" s="1"/>
  <c r="DH117" i="17" s="1"/>
  <c r="DI117" i="17" s="1"/>
  <c r="DJ117" i="17" s="1"/>
  <c r="DK117" i="17" s="1"/>
  <c r="DL117" i="17" s="1"/>
  <c r="Z28" i="17"/>
  <c r="Y132" i="17"/>
  <c r="Z132" i="17" s="1"/>
  <c r="AA132" i="17" s="1"/>
  <c r="AB132" i="17" s="1"/>
  <c r="AC132" i="17" s="1"/>
  <c r="AD132" i="17" s="1"/>
  <c r="AE132" i="17" s="1"/>
  <c r="AF132" i="17" s="1"/>
  <c r="AG132" i="17" s="1"/>
  <c r="AH132" i="17" s="1"/>
  <c r="AI132" i="17" s="1"/>
  <c r="AJ132" i="17" s="1"/>
  <c r="AK132" i="17" s="1"/>
  <c r="AL132" i="17" s="1"/>
  <c r="AM132" i="17" s="1"/>
  <c r="AN132" i="17" s="1"/>
  <c r="AO132" i="17" s="1"/>
  <c r="AP132" i="17" s="1"/>
  <c r="AQ132" i="17" s="1"/>
  <c r="AR132" i="17" s="1"/>
  <c r="AS132" i="17" s="1"/>
  <c r="AT132" i="17" s="1"/>
  <c r="AU132" i="17" s="1"/>
  <c r="AV132" i="17" s="1"/>
  <c r="AW132" i="17" s="1"/>
  <c r="AX132" i="17" s="1"/>
  <c r="AY132" i="17" s="1"/>
  <c r="AZ132" i="17" s="1"/>
  <c r="BA132" i="17" s="1"/>
  <c r="BB132" i="17" s="1"/>
  <c r="BC132" i="17" s="1"/>
  <c r="BD132" i="17" s="1"/>
  <c r="BE132" i="17" s="1"/>
  <c r="BF132" i="17" s="1"/>
  <c r="BG132" i="17" s="1"/>
  <c r="BH132" i="17" s="1"/>
  <c r="BI132" i="17" s="1"/>
  <c r="BJ132" i="17" s="1"/>
  <c r="BK132" i="17" s="1"/>
  <c r="BL132" i="17" s="1"/>
  <c r="BM132" i="17" s="1"/>
  <c r="BN132" i="17" s="1"/>
  <c r="BO132" i="17" s="1"/>
  <c r="BP132" i="17" s="1"/>
  <c r="BQ132" i="17" s="1"/>
  <c r="BR132" i="17" s="1"/>
  <c r="BS132" i="17" s="1"/>
  <c r="BT132" i="17" s="1"/>
  <c r="BU132" i="17" s="1"/>
  <c r="BV132" i="17" s="1"/>
  <c r="BW132" i="17" s="1"/>
  <c r="BX132" i="17" s="1"/>
  <c r="BY132" i="17" s="1"/>
  <c r="BZ132" i="17" s="1"/>
  <c r="CA132" i="17" s="1"/>
  <c r="CB132" i="17" s="1"/>
  <c r="CC132" i="17" s="1"/>
  <c r="CD132" i="17" s="1"/>
  <c r="CE132" i="17" s="1"/>
  <c r="CF132" i="17" s="1"/>
  <c r="CG132" i="17" s="1"/>
  <c r="CH132" i="17" s="1"/>
  <c r="CI132" i="17" s="1"/>
  <c r="CJ132" i="17" s="1"/>
  <c r="CK132" i="17" s="1"/>
  <c r="CL132" i="17" s="1"/>
  <c r="CM132" i="17" s="1"/>
  <c r="CN132" i="17" s="1"/>
  <c r="CO132" i="17" s="1"/>
  <c r="CP132" i="17" s="1"/>
  <c r="CQ132" i="17" s="1"/>
  <c r="CR132" i="17" s="1"/>
  <c r="CS132" i="17" s="1"/>
  <c r="CT132" i="17" s="1"/>
  <c r="CU132" i="17" s="1"/>
  <c r="CV132" i="17" s="1"/>
  <c r="CW132" i="17" s="1"/>
  <c r="CX132" i="17" s="1"/>
  <c r="CY132" i="17" s="1"/>
  <c r="CZ132" i="17" s="1"/>
  <c r="DA132" i="17" s="1"/>
  <c r="DB132" i="17" s="1"/>
  <c r="DC132" i="17" s="1"/>
  <c r="DD132" i="17" s="1"/>
  <c r="DE132" i="17" s="1"/>
  <c r="DF132" i="17" s="1"/>
  <c r="DG132" i="17" s="1"/>
  <c r="DH132" i="17" s="1"/>
  <c r="DI132" i="17" s="1"/>
  <c r="DJ132" i="17" s="1"/>
  <c r="DK132" i="17" s="1"/>
  <c r="DL132" i="17" s="1"/>
  <c r="Z220" i="17"/>
  <c r="AA220" i="17" s="1"/>
  <c r="AB220" i="17" s="1"/>
  <c r="AC220" i="17" s="1"/>
  <c r="AD220" i="17" s="1"/>
  <c r="AE220" i="17" s="1"/>
  <c r="AF220" i="17" s="1"/>
  <c r="AG220" i="17" s="1"/>
  <c r="AH220" i="17" s="1"/>
  <c r="AI220" i="17" s="1"/>
  <c r="AJ220" i="17" s="1"/>
  <c r="AK220" i="17" s="1"/>
  <c r="AL220" i="17" s="1"/>
  <c r="AM220" i="17" s="1"/>
  <c r="AN220" i="17" s="1"/>
  <c r="AO220" i="17" s="1"/>
  <c r="AP220" i="17" s="1"/>
  <c r="AJ13" i="17"/>
  <c r="AK13" i="17" s="1"/>
  <c r="AL13" i="17" s="1"/>
  <c r="AM13" i="17" s="1"/>
  <c r="AN13" i="17" s="1"/>
  <c r="AO13" i="17" s="1"/>
  <c r="AP13" i="17" s="1"/>
  <c r="AQ13" i="17" s="1"/>
  <c r="AR13" i="17" s="1"/>
  <c r="AS13" i="17" s="1"/>
  <c r="AT13" i="17" s="1"/>
  <c r="AU13" i="17" s="1"/>
  <c r="AV13" i="17" s="1"/>
  <c r="AW13" i="17" s="1"/>
  <c r="AX13" i="17" s="1"/>
  <c r="AY13" i="17" s="1"/>
  <c r="AZ13" i="17" s="1"/>
  <c r="BA13" i="17" s="1"/>
  <c r="BB13" i="17" s="1"/>
  <c r="BC13" i="17" s="1"/>
  <c r="BD13" i="17" s="1"/>
  <c r="BE13" i="17" s="1"/>
  <c r="BF13" i="17" s="1"/>
  <c r="BG13" i="17" s="1"/>
  <c r="BH13" i="17" s="1"/>
  <c r="BI13" i="17" s="1"/>
  <c r="BJ13" i="17" s="1"/>
  <c r="BK13" i="17" s="1"/>
  <c r="BL13" i="17" s="1"/>
  <c r="BM13" i="17" s="1"/>
  <c r="BN13" i="17" s="1"/>
  <c r="BO13" i="17" s="1"/>
  <c r="BP13" i="17" s="1"/>
  <c r="BQ13" i="17" s="1"/>
  <c r="BR13" i="17" s="1"/>
  <c r="BS13" i="17" s="1"/>
  <c r="BT13" i="17" s="1"/>
  <c r="BU13" i="17" s="1"/>
  <c r="BV13" i="17" s="1"/>
  <c r="BW13" i="17" s="1"/>
  <c r="BX13" i="17" s="1"/>
  <c r="BY13" i="17" s="1"/>
  <c r="BZ13" i="17" s="1"/>
  <c r="CA13" i="17" s="1"/>
  <c r="CB13" i="17" s="1"/>
  <c r="CC13" i="17" s="1"/>
  <c r="CD13" i="17" s="1"/>
  <c r="CE13" i="17" s="1"/>
  <c r="CF13" i="17" s="1"/>
  <c r="CG13" i="17" s="1"/>
  <c r="CH13" i="17" s="1"/>
  <c r="CI13" i="17" s="1"/>
  <c r="CJ13" i="17" s="1"/>
  <c r="CK13" i="17" s="1"/>
  <c r="CL13" i="17" s="1"/>
  <c r="CM13" i="17" s="1"/>
  <c r="CN13" i="17" s="1"/>
  <c r="CO13" i="17" s="1"/>
  <c r="CP13" i="17" s="1"/>
  <c r="CQ13" i="17" s="1"/>
  <c r="CR13" i="17" s="1"/>
  <c r="CS13" i="17" s="1"/>
  <c r="CT13" i="17" s="1"/>
  <c r="CU13" i="17" s="1"/>
  <c r="CV13" i="17" s="1"/>
  <c r="CW13" i="17" s="1"/>
  <c r="CX13" i="17" s="1"/>
  <c r="CY13" i="17" s="1"/>
  <c r="CZ13" i="17" s="1"/>
  <c r="DA13" i="17" s="1"/>
  <c r="DB13" i="17" s="1"/>
  <c r="DC13" i="17" s="1"/>
  <c r="DD13" i="17" s="1"/>
  <c r="DE13" i="17" s="1"/>
  <c r="DF13" i="17" s="1"/>
  <c r="DG13" i="17" s="1"/>
  <c r="DH13" i="17" s="1"/>
  <c r="DI13" i="17" s="1"/>
  <c r="DJ13" i="17" s="1"/>
  <c r="DK13" i="17" s="1"/>
  <c r="DL13" i="17" s="1"/>
  <c r="X303" i="17"/>
  <c r="Y303" i="17" s="1"/>
  <c r="Z303" i="17" s="1"/>
  <c r="AA303" i="17" s="1"/>
  <c r="AB303" i="17" s="1"/>
  <c r="AC303" i="17" s="1"/>
  <c r="AD303" i="17" s="1"/>
  <c r="AE303" i="17" s="1"/>
  <c r="AF303" i="17" s="1"/>
  <c r="AG303" i="17" s="1"/>
  <c r="AH303" i="17" s="1"/>
  <c r="AI303" i="17" s="1"/>
  <c r="AJ303" i="17" s="1"/>
  <c r="AK303" i="17" s="1"/>
  <c r="AL303" i="17" s="1"/>
  <c r="AM303" i="17" s="1"/>
  <c r="AN303" i="17" s="1"/>
  <c r="AO303" i="17" s="1"/>
  <c r="AP303" i="17" s="1"/>
  <c r="AQ303" i="17" s="1"/>
  <c r="AR303" i="17" s="1"/>
  <c r="AS303" i="17" s="1"/>
  <c r="AT303" i="17" s="1"/>
  <c r="AU303" i="17" s="1"/>
  <c r="AV303" i="17" s="1"/>
  <c r="AW303" i="17" s="1"/>
  <c r="AX303" i="17" s="1"/>
  <c r="AY303" i="17" s="1"/>
  <c r="AZ303" i="17" s="1"/>
  <c r="BA303" i="17" s="1"/>
  <c r="BB303" i="17" s="1"/>
  <c r="BC303" i="17" s="1"/>
  <c r="BD303" i="17" s="1"/>
  <c r="BE303" i="17" s="1"/>
  <c r="BF303" i="17" s="1"/>
  <c r="BG303" i="17" s="1"/>
  <c r="BH303" i="17" s="1"/>
  <c r="BI303" i="17" s="1"/>
  <c r="BJ303" i="17" s="1"/>
  <c r="BK303" i="17" s="1"/>
  <c r="BL303" i="17" s="1"/>
  <c r="BM303" i="17" s="1"/>
  <c r="BN303" i="17" s="1"/>
  <c r="BO303" i="17" s="1"/>
  <c r="BP303" i="17" s="1"/>
  <c r="BQ303" i="17" s="1"/>
  <c r="BR303" i="17" s="1"/>
  <c r="BS303" i="17" s="1"/>
  <c r="BT303" i="17" s="1"/>
  <c r="BU303" i="17" s="1"/>
  <c r="BV303" i="17" s="1"/>
  <c r="BW303" i="17" s="1"/>
  <c r="BX303" i="17" s="1"/>
  <c r="BY303" i="17" s="1"/>
  <c r="BZ303" i="17" s="1"/>
  <c r="CA303" i="17" s="1"/>
  <c r="CB303" i="17" s="1"/>
  <c r="CC303" i="17" s="1"/>
  <c r="CD303" i="17" s="1"/>
  <c r="CE303" i="17" s="1"/>
  <c r="CF303" i="17" s="1"/>
  <c r="CG303" i="17" s="1"/>
  <c r="CH303" i="17" s="1"/>
  <c r="CI303" i="17" s="1"/>
  <c r="CJ303" i="17" s="1"/>
  <c r="CK303" i="17" s="1"/>
  <c r="CL303" i="17" s="1"/>
  <c r="CM303" i="17" s="1"/>
  <c r="CN303" i="17" s="1"/>
  <c r="CO303" i="17" s="1"/>
  <c r="CP303" i="17" s="1"/>
  <c r="CQ303" i="17" s="1"/>
  <c r="CR303" i="17" s="1"/>
  <c r="CS303" i="17" s="1"/>
  <c r="CT303" i="17" s="1"/>
  <c r="CU303" i="17" s="1"/>
  <c r="CV303" i="17" s="1"/>
  <c r="CW303" i="17" s="1"/>
  <c r="CX303" i="17" s="1"/>
  <c r="CY303" i="17" s="1"/>
  <c r="CZ303" i="17" s="1"/>
  <c r="DA303" i="17" s="1"/>
  <c r="DB303" i="17" s="1"/>
  <c r="DC303" i="17" s="1"/>
  <c r="DD303" i="17" s="1"/>
  <c r="DE303" i="17" s="1"/>
  <c r="DF303" i="17" s="1"/>
  <c r="DG303" i="17" s="1"/>
  <c r="DH303" i="17" s="1"/>
  <c r="DI303" i="17" s="1"/>
  <c r="DJ303" i="17" s="1"/>
  <c r="DK303" i="17" s="1"/>
  <c r="DL303" i="17" s="1"/>
  <c r="Y151" i="17"/>
  <c r="Z151" i="17" s="1"/>
  <c r="AA151" i="17" s="1"/>
  <c r="AB151" i="17" s="1"/>
  <c r="AC151" i="17" s="1"/>
  <c r="AD151" i="17" s="1"/>
  <c r="AE151" i="17" s="1"/>
  <c r="AF151" i="17" s="1"/>
  <c r="AG151" i="17" s="1"/>
  <c r="AH151" i="17" s="1"/>
  <c r="AI151" i="17" s="1"/>
  <c r="AJ151" i="17" s="1"/>
  <c r="AK151" i="17" s="1"/>
  <c r="AL151" i="17" s="1"/>
  <c r="AM151" i="17" s="1"/>
  <c r="AN151" i="17" s="1"/>
  <c r="AO151" i="17" s="1"/>
  <c r="AP151" i="17" s="1"/>
  <c r="AQ151" i="17" s="1"/>
  <c r="AR151" i="17" s="1"/>
  <c r="AS151" i="17" s="1"/>
  <c r="Z300" i="17"/>
  <c r="AA300" i="17" s="1"/>
  <c r="AB300" i="17" s="1"/>
  <c r="AC300" i="17" s="1"/>
  <c r="AC36" i="17"/>
  <c r="AD36" i="17" s="1"/>
  <c r="AA34" i="17"/>
  <c r="AB34" i="17" s="1"/>
  <c r="AC34" i="17" s="1"/>
  <c r="AD34" i="17" s="1"/>
  <c r="AE34" i="17" s="1"/>
  <c r="AF34" i="17" s="1"/>
  <c r="AG34" i="17" s="1"/>
  <c r="AH34" i="17" s="1"/>
  <c r="AI34" i="17" s="1"/>
  <c r="AJ34" i="17" s="1"/>
  <c r="AK34" i="17" s="1"/>
  <c r="AL34" i="17" s="1"/>
  <c r="AM34" i="17" s="1"/>
  <c r="AN34" i="17" s="1"/>
  <c r="AO34" i="17" s="1"/>
  <c r="AP34" i="17" s="1"/>
  <c r="AQ34" i="17" s="1"/>
  <c r="AR34" i="17" s="1"/>
  <c r="AS34" i="17" s="1"/>
  <c r="AT34" i="17" s="1"/>
  <c r="AU34" i="17" s="1"/>
  <c r="AV34" i="17" s="1"/>
  <c r="AW34" i="17" s="1"/>
  <c r="AX34" i="17" s="1"/>
  <c r="AY34" i="17" s="1"/>
  <c r="AZ34" i="17" s="1"/>
  <c r="BA34" i="17" s="1"/>
  <c r="BB34" i="17" s="1"/>
  <c r="BC34" i="17" s="1"/>
  <c r="BD34" i="17" s="1"/>
  <c r="BE34" i="17" s="1"/>
  <c r="BF34" i="17" s="1"/>
  <c r="BG34" i="17" s="1"/>
  <c r="BH34" i="17" s="1"/>
  <c r="BI34" i="17" s="1"/>
  <c r="BJ34" i="17" s="1"/>
  <c r="BK34" i="17" s="1"/>
  <c r="BL34" i="17" s="1"/>
  <c r="BM34" i="17" s="1"/>
  <c r="BN34" i="17" s="1"/>
  <c r="BO34" i="17" s="1"/>
  <c r="BP34" i="17" s="1"/>
  <c r="BQ34" i="17" s="1"/>
  <c r="BR34" i="17" s="1"/>
  <c r="BS34" i="17" s="1"/>
  <c r="BT34" i="17" s="1"/>
  <c r="BU34" i="17" s="1"/>
  <c r="BV34" i="17" s="1"/>
  <c r="BW34" i="17" s="1"/>
  <c r="BX34" i="17" s="1"/>
  <c r="BY34" i="17" s="1"/>
  <c r="BZ34" i="17" s="1"/>
  <c r="CA34" i="17" s="1"/>
  <c r="CB34" i="17" s="1"/>
  <c r="CC34" i="17" s="1"/>
  <c r="CD34" i="17" s="1"/>
  <c r="CE34" i="17" s="1"/>
  <c r="CF34" i="17" s="1"/>
  <c r="CG34" i="17" s="1"/>
  <c r="CH34" i="17" s="1"/>
  <c r="CI34" i="17" s="1"/>
  <c r="CJ34" i="17" s="1"/>
  <c r="CK34" i="17" s="1"/>
  <c r="CL34" i="17" s="1"/>
  <c r="CM34" i="17" s="1"/>
  <c r="CN34" i="17" s="1"/>
  <c r="CO34" i="17" s="1"/>
  <c r="CP34" i="17" s="1"/>
  <c r="CQ34" i="17" s="1"/>
  <c r="CR34" i="17" s="1"/>
  <c r="CS34" i="17" s="1"/>
  <c r="CT34" i="17" s="1"/>
  <c r="CU34" i="17" s="1"/>
  <c r="CV34" i="17" s="1"/>
  <c r="CW34" i="17" s="1"/>
  <c r="CX34" i="17" s="1"/>
  <c r="CY34" i="17" s="1"/>
  <c r="CZ34" i="17" s="1"/>
  <c r="DA34" i="17" s="1"/>
  <c r="DB34" i="17" s="1"/>
  <c r="DC34" i="17" s="1"/>
  <c r="DD34" i="17" s="1"/>
  <c r="DE34" i="17" s="1"/>
  <c r="DF34" i="17" s="1"/>
  <c r="DG34" i="17" s="1"/>
  <c r="DH34" i="17" s="1"/>
  <c r="DI34" i="17" s="1"/>
  <c r="DJ34" i="17" s="1"/>
  <c r="DK34" i="17" s="1"/>
  <c r="DL34" i="17" s="1"/>
  <c r="Z304" i="17"/>
  <c r="AA304" i="17" s="1"/>
  <c r="AB304" i="17" s="1"/>
  <c r="AC304" i="17" s="1"/>
  <c r="AD304" i="17" s="1"/>
  <c r="AE304" i="17" s="1"/>
  <c r="AF304" i="17" s="1"/>
  <c r="AG304" i="17" s="1"/>
  <c r="AH304" i="17" s="1"/>
  <c r="AI304" i="17" s="1"/>
  <c r="AJ304" i="17" s="1"/>
  <c r="AK304" i="17" s="1"/>
  <c r="AL304" i="17" s="1"/>
  <c r="AM304" i="17" s="1"/>
  <c r="AN304" i="17" s="1"/>
  <c r="AO304" i="17" s="1"/>
  <c r="AP304" i="17" s="1"/>
  <c r="AQ304" i="17" s="1"/>
  <c r="AR304" i="17" s="1"/>
  <c r="AS304" i="17" s="1"/>
  <c r="AT304" i="17" s="1"/>
  <c r="AU304" i="17" s="1"/>
  <c r="AV304" i="17" s="1"/>
  <c r="AW304" i="17" s="1"/>
  <c r="AX304" i="17" s="1"/>
  <c r="AY304" i="17" s="1"/>
  <c r="AZ304" i="17" s="1"/>
  <c r="BA304" i="17" s="1"/>
  <c r="BB304" i="17" s="1"/>
  <c r="BC304" i="17" s="1"/>
  <c r="BD304" i="17" s="1"/>
  <c r="BE304" i="17" s="1"/>
  <c r="BF304" i="17" s="1"/>
  <c r="BG304" i="17" s="1"/>
  <c r="BH304" i="17" s="1"/>
  <c r="BI304" i="17" s="1"/>
  <c r="BJ304" i="17" s="1"/>
  <c r="BK304" i="17" s="1"/>
  <c r="BL304" i="17" s="1"/>
  <c r="BM304" i="17" s="1"/>
  <c r="BN304" i="17" s="1"/>
  <c r="BO304" i="17" s="1"/>
  <c r="BP304" i="17" s="1"/>
  <c r="BQ304" i="17" s="1"/>
  <c r="BR304" i="17" s="1"/>
  <c r="BS304" i="17" s="1"/>
  <c r="BT304" i="17" s="1"/>
  <c r="BU304" i="17" s="1"/>
  <c r="BV304" i="17" s="1"/>
  <c r="BW304" i="17" s="1"/>
  <c r="BX304" i="17" s="1"/>
  <c r="BY304" i="17" s="1"/>
  <c r="BZ304" i="17" s="1"/>
  <c r="CA304" i="17" s="1"/>
  <c r="CB304" i="17" s="1"/>
  <c r="CC304" i="17" s="1"/>
  <c r="CD304" i="17" s="1"/>
  <c r="CE304" i="17" s="1"/>
  <c r="CF304" i="17" s="1"/>
  <c r="CG304" i="17" s="1"/>
  <c r="CH304" i="17" s="1"/>
  <c r="CI304" i="17" s="1"/>
  <c r="CJ304" i="17" s="1"/>
  <c r="CK304" i="17" s="1"/>
  <c r="CL304" i="17" s="1"/>
  <c r="CM304" i="17" s="1"/>
  <c r="CN304" i="17" s="1"/>
  <c r="CO304" i="17" s="1"/>
  <c r="CP304" i="17" s="1"/>
  <c r="CQ304" i="17" s="1"/>
  <c r="CR304" i="17" s="1"/>
  <c r="CS304" i="17" s="1"/>
  <c r="CT304" i="17" s="1"/>
  <c r="CU304" i="17" s="1"/>
  <c r="CV304" i="17" s="1"/>
  <c r="CW304" i="17" s="1"/>
  <c r="CX304" i="17" s="1"/>
  <c r="CY304" i="17" s="1"/>
  <c r="CZ304" i="17" s="1"/>
  <c r="DA304" i="17" s="1"/>
  <c r="DB304" i="17" s="1"/>
  <c r="DC304" i="17" s="1"/>
  <c r="DD304" i="17" s="1"/>
  <c r="DE304" i="17" s="1"/>
  <c r="DF304" i="17" s="1"/>
  <c r="DG304" i="17" s="1"/>
  <c r="DH304" i="17" s="1"/>
  <c r="DI304" i="17" s="1"/>
  <c r="DJ304" i="17" s="1"/>
  <c r="DK304" i="17" s="1"/>
  <c r="DL304" i="17" s="1"/>
  <c r="W247" i="17"/>
  <c r="X247" i="17" s="1"/>
  <c r="Y247" i="17" s="1"/>
  <c r="Z247" i="17" s="1"/>
  <c r="AA247" i="17" s="1"/>
  <c r="AB247" i="17" s="1"/>
  <c r="AC247" i="17" s="1"/>
  <c r="AD247" i="17" s="1"/>
  <c r="AE247" i="17" s="1"/>
  <c r="AF247" i="17" s="1"/>
  <c r="AG247" i="17" s="1"/>
  <c r="AH247" i="17" s="1"/>
  <c r="AA45" i="17"/>
  <c r="AB45" i="17" s="1"/>
  <c r="AC45" i="17" s="1"/>
  <c r="AD45" i="17" s="1"/>
  <c r="AE45" i="17" s="1"/>
  <c r="AF45" i="17" s="1"/>
  <c r="AG45" i="17" s="1"/>
  <c r="AH45" i="17" s="1"/>
  <c r="AI45" i="17" s="1"/>
  <c r="AJ45" i="17" s="1"/>
  <c r="AK45" i="17" s="1"/>
  <c r="AL45" i="17" s="1"/>
  <c r="AM45" i="17" s="1"/>
  <c r="AN45" i="17" s="1"/>
  <c r="AO45" i="17" s="1"/>
  <c r="AP45" i="17" s="1"/>
  <c r="AQ45" i="17" s="1"/>
  <c r="AR45" i="17" s="1"/>
  <c r="AS45" i="17" s="1"/>
  <c r="AT45" i="17" s="1"/>
  <c r="AU45" i="17" s="1"/>
  <c r="AV45" i="17" s="1"/>
  <c r="AW45" i="17" s="1"/>
  <c r="AX45" i="17" s="1"/>
  <c r="AY45" i="17" s="1"/>
  <c r="AZ45" i="17" s="1"/>
  <c r="BA45" i="17" s="1"/>
  <c r="BB45" i="17" s="1"/>
  <c r="BC45" i="17" s="1"/>
  <c r="BD45" i="17" s="1"/>
  <c r="BE45" i="17" s="1"/>
  <c r="BF45" i="17" s="1"/>
  <c r="BG45" i="17" s="1"/>
  <c r="BH45" i="17" s="1"/>
  <c r="BI45" i="17" s="1"/>
  <c r="BJ45" i="17" s="1"/>
  <c r="BK45" i="17" s="1"/>
  <c r="BL45" i="17" s="1"/>
  <c r="BM45" i="17" s="1"/>
  <c r="BN45" i="17" s="1"/>
  <c r="BO45" i="17" s="1"/>
  <c r="BP45" i="17" s="1"/>
  <c r="BQ45" i="17" s="1"/>
  <c r="BR45" i="17" s="1"/>
  <c r="BS45" i="17" s="1"/>
  <c r="BT45" i="17" s="1"/>
  <c r="BU45" i="17" s="1"/>
  <c r="BV45" i="17" s="1"/>
  <c r="BW45" i="17" s="1"/>
  <c r="BX45" i="17" s="1"/>
  <c r="BY45" i="17" s="1"/>
  <c r="BZ45" i="17" s="1"/>
  <c r="CA45" i="17" s="1"/>
  <c r="CB45" i="17" s="1"/>
  <c r="CC45" i="17" s="1"/>
  <c r="CD45" i="17" s="1"/>
  <c r="CE45" i="17" s="1"/>
  <c r="CF45" i="17" s="1"/>
  <c r="CG45" i="17" s="1"/>
  <c r="CH45" i="17" s="1"/>
  <c r="CI45" i="17" s="1"/>
  <c r="CJ45" i="17" s="1"/>
  <c r="CK45" i="17" s="1"/>
  <c r="CL45" i="17" s="1"/>
  <c r="CM45" i="17" s="1"/>
  <c r="CN45" i="17" s="1"/>
  <c r="CO45" i="17" s="1"/>
  <c r="CP45" i="17" s="1"/>
  <c r="CQ45" i="17" s="1"/>
  <c r="CR45" i="17" s="1"/>
  <c r="CS45" i="17" s="1"/>
  <c r="CT45" i="17" s="1"/>
  <c r="CU45" i="17" s="1"/>
  <c r="CV45" i="17" s="1"/>
  <c r="CW45" i="17" s="1"/>
  <c r="CX45" i="17" s="1"/>
  <c r="CY45" i="17" s="1"/>
  <c r="CZ45" i="17" s="1"/>
  <c r="DA45" i="17" s="1"/>
  <c r="DB45" i="17" s="1"/>
  <c r="DC45" i="17" s="1"/>
  <c r="DD45" i="17" s="1"/>
  <c r="DE45" i="17" s="1"/>
  <c r="DF45" i="17" s="1"/>
  <c r="DG45" i="17" s="1"/>
  <c r="DH45" i="17" s="1"/>
  <c r="DI45" i="17" s="1"/>
  <c r="DJ45" i="17" s="1"/>
  <c r="DK45" i="17" s="1"/>
  <c r="DL45" i="17" s="1"/>
  <c r="X162" i="17"/>
  <c r="AA113" i="17"/>
  <c r="AQ156" i="17"/>
  <c r="AR156" i="17" s="1"/>
  <c r="AS156" i="17" s="1"/>
  <c r="AT156" i="17" s="1"/>
  <c r="AU156" i="17" s="1"/>
  <c r="AV156" i="17" s="1"/>
  <c r="AW156" i="17" s="1"/>
  <c r="AX156" i="17" s="1"/>
  <c r="AY156" i="17" s="1"/>
  <c r="AZ156" i="17" s="1"/>
  <c r="BA156" i="17" s="1"/>
  <c r="BB156" i="17" s="1"/>
  <c r="BC156" i="17" s="1"/>
  <c r="BD156" i="17" s="1"/>
  <c r="BE156" i="17" s="1"/>
  <c r="BF156" i="17" s="1"/>
  <c r="BG156" i="17" s="1"/>
  <c r="BH156" i="17" s="1"/>
  <c r="BI156" i="17" s="1"/>
  <c r="BJ156" i="17" s="1"/>
  <c r="BK156" i="17" s="1"/>
  <c r="BL156" i="17" s="1"/>
  <c r="BM156" i="17" s="1"/>
  <c r="BN156" i="17" s="1"/>
  <c r="BO156" i="17" s="1"/>
  <c r="BP156" i="17" s="1"/>
  <c r="BQ156" i="17" s="1"/>
  <c r="BR156" i="17" s="1"/>
  <c r="BS156" i="17" s="1"/>
  <c r="BT156" i="17" s="1"/>
  <c r="BU156" i="17" s="1"/>
  <c r="BV156" i="17" s="1"/>
  <c r="BW156" i="17" s="1"/>
  <c r="BX156" i="17" s="1"/>
  <c r="BY156" i="17" s="1"/>
  <c r="BZ156" i="17" s="1"/>
  <c r="CA156" i="17" s="1"/>
  <c r="CB156" i="17" s="1"/>
  <c r="CC156" i="17" s="1"/>
  <c r="CD156" i="17" s="1"/>
  <c r="CE156" i="17" s="1"/>
  <c r="CF156" i="17" s="1"/>
  <c r="CG156" i="17" s="1"/>
  <c r="CH156" i="17" s="1"/>
  <c r="CI156" i="17" s="1"/>
  <c r="CJ156" i="17" s="1"/>
  <c r="CK156" i="17" s="1"/>
  <c r="CL156" i="17" s="1"/>
  <c r="CM156" i="17" s="1"/>
  <c r="CN156" i="17" s="1"/>
  <c r="CO156" i="17" s="1"/>
  <c r="CP156" i="17" s="1"/>
  <c r="CQ156" i="17" s="1"/>
  <c r="CR156" i="17" s="1"/>
  <c r="CS156" i="17" s="1"/>
  <c r="CT156" i="17" s="1"/>
  <c r="CU156" i="17" s="1"/>
  <c r="CV156" i="17" s="1"/>
  <c r="CW156" i="17" s="1"/>
  <c r="CX156" i="17" s="1"/>
  <c r="CY156" i="17" s="1"/>
  <c r="CZ156" i="17" s="1"/>
  <c r="DA156" i="17" s="1"/>
  <c r="DB156" i="17" s="1"/>
  <c r="DC156" i="17" s="1"/>
  <c r="DD156" i="17" s="1"/>
  <c r="DE156" i="17" s="1"/>
  <c r="DF156" i="17" s="1"/>
  <c r="DG156" i="17" s="1"/>
  <c r="DH156" i="17" s="1"/>
  <c r="DI156" i="17" s="1"/>
  <c r="DJ156" i="17" s="1"/>
  <c r="DK156" i="17" s="1"/>
  <c r="DL156" i="17" s="1"/>
  <c r="AB289" i="17"/>
  <c r="AC289" i="17" s="1"/>
  <c r="AD289" i="17" s="1"/>
  <c r="AE289" i="17" s="1"/>
  <c r="AF289" i="17" s="1"/>
  <c r="AA115" i="17"/>
  <c r="AB115" i="17" s="1"/>
  <c r="AC115" i="17" s="1"/>
  <c r="AD115" i="17" s="1"/>
  <c r="AE115" i="17" s="1"/>
  <c r="AF115" i="17" s="1"/>
  <c r="AG115" i="17" s="1"/>
  <c r="AH115" i="17" s="1"/>
  <c r="AI115" i="17" s="1"/>
  <c r="AJ115" i="17" s="1"/>
  <c r="AK115" i="17" s="1"/>
  <c r="AL115" i="17" s="1"/>
  <c r="AM115" i="17" s="1"/>
  <c r="AN115" i="17" s="1"/>
  <c r="AO115" i="17" s="1"/>
  <c r="AP115" i="17" s="1"/>
  <c r="AQ115" i="17" s="1"/>
  <c r="AR115" i="17" s="1"/>
  <c r="AS115" i="17" s="1"/>
  <c r="AT115" i="17" s="1"/>
  <c r="AU115" i="17" s="1"/>
  <c r="AV115" i="17" s="1"/>
  <c r="AW115" i="17" s="1"/>
  <c r="AX115" i="17" s="1"/>
  <c r="AY115" i="17" s="1"/>
  <c r="AZ115" i="17" s="1"/>
  <c r="BA115" i="17" s="1"/>
  <c r="BB115" i="17" s="1"/>
  <c r="BC115" i="17" s="1"/>
  <c r="BD115" i="17" s="1"/>
  <c r="BE115" i="17" s="1"/>
  <c r="BF115" i="17" s="1"/>
  <c r="BG115" i="17" s="1"/>
  <c r="BH115" i="17" s="1"/>
  <c r="BI115" i="17" s="1"/>
  <c r="BJ115" i="17" s="1"/>
  <c r="BK115" i="17" s="1"/>
  <c r="BL115" i="17" s="1"/>
  <c r="BM115" i="17" s="1"/>
  <c r="BN115" i="17" s="1"/>
  <c r="BO115" i="17" s="1"/>
  <c r="BP115" i="17" s="1"/>
  <c r="BQ115" i="17" s="1"/>
  <c r="BR115" i="17" s="1"/>
  <c r="BS115" i="17" s="1"/>
  <c r="BT115" i="17" s="1"/>
  <c r="BU115" i="17" s="1"/>
  <c r="BV115" i="17" s="1"/>
  <c r="BW115" i="17" s="1"/>
  <c r="BX115" i="17" s="1"/>
  <c r="BY115" i="17" s="1"/>
  <c r="BZ115" i="17" s="1"/>
  <c r="CA115" i="17" s="1"/>
  <c r="CB115" i="17" s="1"/>
  <c r="CC115" i="17" s="1"/>
  <c r="CD115" i="17" s="1"/>
  <c r="CE115" i="17" s="1"/>
  <c r="CF115" i="17" s="1"/>
  <c r="CG115" i="17" s="1"/>
  <c r="CH115" i="17" s="1"/>
  <c r="CI115" i="17" s="1"/>
  <c r="CJ115" i="17" s="1"/>
  <c r="CK115" i="17" s="1"/>
  <c r="CL115" i="17" s="1"/>
  <c r="CM115" i="17" s="1"/>
  <c r="CN115" i="17" s="1"/>
  <c r="CO115" i="17" s="1"/>
  <c r="CP115" i="17" s="1"/>
  <c r="CQ115" i="17" s="1"/>
  <c r="CR115" i="17" s="1"/>
  <c r="CS115" i="17" s="1"/>
  <c r="CT115" i="17" s="1"/>
  <c r="CU115" i="17" s="1"/>
  <c r="CV115" i="17" s="1"/>
  <c r="CW115" i="17" s="1"/>
  <c r="CX115" i="17" s="1"/>
  <c r="CY115" i="17" s="1"/>
  <c r="CZ115" i="17" s="1"/>
  <c r="DA115" i="17" s="1"/>
  <c r="DB115" i="17" s="1"/>
  <c r="DC115" i="17" s="1"/>
  <c r="DD115" i="17" s="1"/>
  <c r="DE115" i="17" s="1"/>
  <c r="DF115" i="17" s="1"/>
  <c r="DG115" i="17" s="1"/>
  <c r="DH115" i="17" s="1"/>
  <c r="DI115" i="17" s="1"/>
  <c r="DJ115" i="17" s="1"/>
  <c r="DK115" i="17" s="1"/>
  <c r="DL115" i="17" s="1"/>
  <c r="X252" i="17"/>
  <c r="Y252" i="17" s="1"/>
  <c r="Z252" i="17" s="1"/>
  <c r="AA252" i="17" s="1"/>
  <c r="AB252" i="17" s="1"/>
  <c r="AC252" i="17" s="1"/>
  <c r="AD252" i="17" s="1"/>
  <c r="AE252" i="17" s="1"/>
  <c r="AF252" i="17" s="1"/>
  <c r="AG252" i="17" s="1"/>
  <c r="AH252" i="17" s="1"/>
  <c r="AI252" i="17" s="1"/>
  <c r="AJ252" i="17" s="1"/>
  <c r="AK252" i="17" s="1"/>
  <c r="AL252" i="17" s="1"/>
  <c r="AM252" i="17" s="1"/>
  <c r="AN252" i="17" s="1"/>
  <c r="AO252" i="17" s="1"/>
  <c r="AP252" i="17" s="1"/>
  <c r="AQ252" i="17" s="1"/>
  <c r="AR252" i="17" s="1"/>
  <c r="AS252" i="17" s="1"/>
  <c r="AT252" i="17" s="1"/>
  <c r="AU252" i="17" s="1"/>
  <c r="AV252" i="17" s="1"/>
  <c r="AW252" i="17" s="1"/>
  <c r="AX252" i="17" s="1"/>
  <c r="AY252" i="17" s="1"/>
  <c r="AZ252" i="17" s="1"/>
  <c r="BA252" i="17" s="1"/>
  <c r="BB252" i="17" s="1"/>
  <c r="BC252" i="17" s="1"/>
  <c r="BD252" i="17" s="1"/>
  <c r="BE252" i="17" s="1"/>
  <c r="BF252" i="17" s="1"/>
  <c r="BG252" i="17" s="1"/>
  <c r="BH252" i="17" s="1"/>
  <c r="BI252" i="17" s="1"/>
  <c r="BJ252" i="17" s="1"/>
  <c r="BK252" i="17" s="1"/>
  <c r="BL252" i="17" s="1"/>
  <c r="BM252" i="17" s="1"/>
  <c r="BN252" i="17" s="1"/>
  <c r="BO252" i="17" s="1"/>
  <c r="BP252" i="17" s="1"/>
  <c r="BQ252" i="17" s="1"/>
  <c r="BR252" i="17" s="1"/>
  <c r="BS252" i="17" s="1"/>
  <c r="BT252" i="17" s="1"/>
  <c r="BU252" i="17" s="1"/>
  <c r="BV252" i="17" s="1"/>
  <c r="BW252" i="17" s="1"/>
  <c r="BX252" i="17" s="1"/>
  <c r="BY252" i="17" s="1"/>
  <c r="BZ252" i="17" s="1"/>
  <c r="CA252" i="17" s="1"/>
  <c r="CB252" i="17" s="1"/>
  <c r="CC252" i="17" s="1"/>
  <c r="CD252" i="17" s="1"/>
  <c r="CE252" i="17" s="1"/>
  <c r="CF252" i="17" s="1"/>
  <c r="CG252" i="17" s="1"/>
  <c r="CH252" i="17" s="1"/>
  <c r="CI252" i="17" s="1"/>
  <c r="CJ252" i="17" s="1"/>
  <c r="CK252" i="17" s="1"/>
  <c r="CL252" i="17" s="1"/>
  <c r="CM252" i="17" s="1"/>
  <c r="CN252" i="17" s="1"/>
  <c r="CO252" i="17" s="1"/>
  <c r="CP252" i="17" s="1"/>
  <c r="CQ252" i="17" s="1"/>
  <c r="CR252" i="17" s="1"/>
  <c r="CS252" i="17" s="1"/>
  <c r="CT252" i="17" s="1"/>
  <c r="CU252" i="17" s="1"/>
  <c r="CV252" i="17" s="1"/>
  <c r="CW252" i="17" s="1"/>
  <c r="CX252" i="17" s="1"/>
  <c r="CY252" i="17" s="1"/>
  <c r="CZ252" i="17" s="1"/>
  <c r="DA252" i="17" s="1"/>
  <c r="DB252" i="17" s="1"/>
  <c r="DC252" i="17" s="1"/>
  <c r="DD252" i="17" s="1"/>
  <c r="DE252" i="17" s="1"/>
  <c r="DF252" i="17" s="1"/>
  <c r="DG252" i="17" s="1"/>
  <c r="DH252" i="17" s="1"/>
  <c r="DI252" i="17" s="1"/>
  <c r="DJ252" i="17" s="1"/>
  <c r="DK252" i="17" s="1"/>
  <c r="DL252" i="17" s="1"/>
  <c r="X83" i="17"/>
  <c r="Y83" i="17" s="1"/>
  <c r="Z83" i="17" s="1"/>
  <c r="AA83" i="17" s="1"/>
  <c r="AB83" i="17" s="1"/>
  <c r="AC83" i="17" s="1"/>
  <c r="AD83" i="17" s="1"/>
  <c r="AE83" i="17" s="1"/>
  <c r="AF83" i="17" s="1"/>
  <c r="AG83" i="17" s="1"/>
  <c r="AH83" i="17" s="1"/>
  <c r="AI83" i="17" s="1"/>
  <c r="AJ83" i="17" s="1"/>
  <c r="AK83" i="17" s="1"/>
  <c r="AL83" i="17" s="1"/>
  <c r="AM83" i="17" s="1"/>
  <c r="AN83" i="17" s="1"/>
  <c r="AO83" i="17" s="1"/>
  <c r="AP83" i="17" s="1"/>
  <c r="AQ83" i="17" s="1"/>
  <c r="AR83" i="17" s="1"/>
  <c r="AS83" i="17" s="1"/>
  <c r="AT83" i="17" s="1"/>
  <c r="AU83" i="17" s="1"/>
  <c r="AV83" i="17" s="1"/>
  <c r="AW83" i="17" s="1"/>
  <c r="AX83" i="17" s="1"/>
  <c r="AY83" i="17" s="1"/>
  <c r="AZ83" i="17" s="1"/>
  <c r="BA83" i="17" s="1"/>
  <c r="BB83" i="17" s="1"/>
  <c r="BC83" i="17" s="1"/>
  <c r="BD83" i="17" s="1"/>
  <c r="BE83" i="17" s="1"/>
  <c r="BF83" i="17" s="1"/>
  <c r="BG83" i="17" s="1"/>
  <c r="BH83" i="17" s="1"/>
  <c r="BI83" i="17" s="1"/>
  <c r="BJ83" i="17" s="1"/>
  <c r="BK83" i="17" s="1"/>
  <c r="BL83" i="17" s="1"/>
  <c r="BM83" i="17" s="1"/>
  <c r="BN83" i="17" s="1"/>
  <c r="BO83" i="17" s="1"/>
  <c r="BP83" i="17" s="1"/>
  <c r="BQ83" i="17" s="1"/>
  <c r="BR83" i="17" s="1"/>
  <c r="BS83" i="17" s="1"/>
  <c r="BT83" i="17" s="1"/>
  <c r="BU83" i="17" s="1"/>
  <c r="BV83" i="17" s="1"/>
  <c r="BW83" i="17" s="1"/>
  <c r="BX83" i="17" s="1"/>
  <c r="BY83" i="17" s="1"/>
  <c r="BZ83" i="17" s="1"/>
  <c r="CA83" i="17" s="1"/>
  <c r="CB83" i="17" s="1"/>
  <c r="CC83" i="17" s="1"/>
  <c r="CD83" i="17" s="1"/>
  <c r="CE83" i="17" s="1"/>
  <c r="CF83" i="17" s="1"/>
  <c r="CG83" i="17" s="1"/>
  <c r="CH83" i="17" s="1"/>
  <c r="CI83" i="17" s="1"/>
  <c r="CJ83" i="17" s="1"/>
  <c r="CK83" i="17" s="1"/>
  <c r="CL83" i="17" s="1"/>
  <c r="CM83" i="17" s="1"/>
  <c r="CN83" i="17" s="1"/>
  <c r="CO83" i="17" s="1"/>
  <c r="CP83" i="17" s="1"/>
  <c r="CQ83" i="17" s="1"/>
  <c r="CR83" i="17" s="1"/>
  <c r="CS83" i="17" s="1"/>
  <c r="CT83" i="17" s="1"/>
  <c r="CU83" i="17" s="1"/>
  <c r="CV83" i="17" s="1"/>
  <c r="CW83" i="17" s="1"/>
  <c r="CX83" i="17" s="1"/>
  <c r="CY83" i="17" s="1"/>
  <c r="CZ83" i="17" s="1"/>
  <c r="DA83" i="17" s="1"/>
  <c r="DB83" i="17" s="1"/>
  <c r="DC83" i="17" s="1"/>
  <c r="DD83" i="17" s="1"/>
  <c r="DE83" i="17" s="1"/>
  <c r="DF83" i="17" s="1"/>
  <c r="DG83" i="17" s="1"/>
  <c r="DH83" i="17" s="1"/>
  <c r="DI83" i="17" s="1"/>
  <c r="DJ83" i="17" s="1"/>
  <c r="DK83" i="17" s="1"/>
  <c r="DL83" i="17" s="1"/>
  <c r="X213" i="17"/>
  <c r="Y213" i="17" s="1"/>
  <c r="Z213" i="17" s="1"/>
  <c r="AA213" i="17" s="1"/>
  <c r="AB213" i="17" s="1"/>
  <c r="AC213" i="17" s="1"/>
  <c r="AD213" i="17" s="1"/>
  <c r="AE213" i="17" s="1"/>
  <c r="AF213" i="17" s="1"/>
  <c r="AG213" i="17" s="1"/>
  <c r="AH213" i="17" s="1"/>
  <c r="AI213" i="17" s="1"/>
  <c r="AJ213" i="17" s="1"/>
  <c r="AK213" i="17" s="1"/>
  <c r="AL213" i="17" s="1"/>
  <c r="AM213" i="17" s="1"/>
  <c r="AN213" i="17" s="1"/>
  <c r="AO213" i="17" s="1"/>
  <c r="AP213" i="17" s="1"/>
  <c r="AQ213" i="17" s="1"/>
  <c r="AR213" i="17" s="1"/>
  <c r="AS213" i="17" s="1"/>
  <c r="AT213" i="17" s="1"/>
  <c r="AU213" i="17" s="1"/>
  <c r="AV213" i="17" s="1"/>
  <c r="AW213" i="17" s="1"/>
  <c r="AX213" i="17" s="1"/>
  <c r="AY213" i="17" s="1"/>
  <c r="AZ213" i="17" s="1"/>
  <c r="BA213" i="17" s="1"/>
  <c r="BB213" i="17" s="1"/>
  <c r="BC213" i="17" s="1"/>
  <c r="BD213" i="17" s="1"/>
  <c r="BE213" i="17" s="1"/>
  <c r="BF213" i="17" s="1"/>
  <c r="BG213" i="17" s="1"/>
  <c r="BH213" i="17" s="1"/>
  <c r="BI213" i="17" s="1"/>
  <c r="BJ213" i="17" s="1"/>
  <c r="BK213" i="17" s="1"/>
  <c r="BL213" i="17" s="1"/>
  <c r="BM213" i="17" s="1"/>
  <c r="BN213" i="17" s="1"/>
  <c r="BO213" i="17" s="1"/>
  <c r="BP213" i="17" s="1"/>
  <c r="BQ213" i="17" s="1"/>
  <c r="BR213" i="17" s="1"/>
  <c r="BS213" i="17" s="1"/>
  <c r="BT213" i="17" s="1"/>
  <c r="BU213" i="17" s="1"/>
  <c r="BV213" i="17" s="1"/>
  <c r="BW213" i="17" s="1"/>
  <c r="BX213" i="17" s="1"/>
  <c r="BY213" i="17" s="1"/>
  <c r="BZ213" i="17" s="1"/>
  <c r="CA213" i="17" s="1"/>
  <c r="CB213" i="17" s="1"/>
  <c r="CC213" i="17" s="1"/>
  <c r="CD213" i="17" s="1"/>
  <c r="CE213" i="17" s="1"/>
  <c r="CF213" i="17" s="1"/>
  <c r="CG213" i="17" s="1"/>
  <c r="CH213" i="17" s="1"/>
  <c r="CI213" i="17" s="1"/>
  <c r="CJ213" i="17" s="1"/>
  <c r="CK213" i="17" s="1"/>
  <c r="CL213" i="17" s="1"/>
  <c r="CM213" i="17" s="1"/>
  <c r="CN213" i="17" s="1"/>
  <c r="CO213" i="17" s="1"/>
  <c r="CP213" i="17" s="1"/>
  <c r="CQ213" i="17" s="1"/>
  <c r="CR213" i="17" s="1"/>
  <c r="CS213" i="17" s="1"/>
  <c r="CT213" i="17" s="1"/>
  <c r="CU213" i="17" s="1"/>
  <c r="CV213" i="17" s="1"/>
  <c r="CW213" i="17" s="1"/>
  <c r="CX213" i="17" s="1"/>
  <c r="CY213" i="17" s="1"/>
  <c r="CZ213" i="17" s="1"/>
  <c r="DA213" i="17" s="1"/>
  <c r="DB213" i="17" s="1"/>
  <c r="DC213" i="17" s="1"/>
  <c r="DD213" i="17" s="1"/>
  <c r="DE213" i="17" s="1"/>
  <c r="DF213" i="17" s="1"/>
  <c r="DG213" i="17" s="1"/>
  <c r="DH213" i="17" s="1"/>
  <c r="DI213" i="17" s="1"/>
  <c r="DJ213" i="17" s="1"/>
  <c r="DK213" i="17" s="1"/>
  <c r="DL213" i="17" s="1"/>
  <c r="Z226" i="17"/>
  <c r="AA226" i="17" s="1"/>
  <c r="AB226" i="17" s="1"/>
  <c r="AC226" i="17" s="1"/>
  <c r="AD226" i="17" s="1"/>
  <c r="AE226" i="17" s="1"/>
  <c r="AF226" i="17" s="1"/>
  <c r="AG226" i="17" s="1"/>
  <c r="AH226" i="17" s="1"/>
  <c r="AI226" i="17" s="1"/>
  <c r="AJ226" i="17" s="1"/>
  <c r="AK226" i="17" s="1"/>
  <c r="AL226" i="17" s="1"/>
  <c r="AM226" i="17" s="1"/>
  <c r="AN226" i="17" s="1"/>
  <c r="AO226" i="17" s="1"/>
  <c r="AP226" i="17" s="1"/>
  <c r="AQ226" i="17" s="1"/>
  <c r="AR226" i="17" s="1"/>
  <c r="AS226" i="17" s="1"/>
  <c r="AT226" i="17" s="1"/>
  <c r="AU226" i="17" s="1"/>
  <c r="AV226" i="17" s="1"/>
  <c r="AW226" i="17" s="1"/>
  <c r="AX226" i="17" s="1"/>
  <c r="AY226" i="17" s="1"/>
  <c r="AZ226" i="17" s="1"/>
  <c r="BA226" i="17" s="1"/>
  <c r="BB226" i="17" s="1"/>
  <c r="BC226" i="17" s="1"/>
  <c r="BD226" i="17" s="1"/>
  <c r="BE226" i="17" s="1"/>
  <c r="BF226" i="17" s="1"/>
  <c r="BG226" i="17" s="1"/>
  <c r="BH226" i="17" s="1"/>
  <c r="BI226" i="17" s="1"/>
  <c r="BJ226" i="17" s="1"/>
  <c r="BK226" i="17" s="1"/>
  <c r="BL226" i="17" s="1"/>
  <c r="BM226" i="17" s="1"/>
  <c r="BN226" i="17" s="1"/>
  <c r="BO226" i="17" s="1"/>
  <c r="BP226" i="17" s="1"/>
  <c r="BQ226" i="17" s="1"/>
  <c r="BR226" i="17" s="1"/>
  <c r="BS226" i="17" s="1"/>
  <c r="BT226" i="17" s="1"/>
  <c r="BU226" i="17" s="1"/>
  <c r="BV226" i="17" s="1"/>
  <c r="BW226" i="17" s="1"/>
  <c r="BX226" i="17" s="1"/>
  <c r="BY226" i="17" s="1"/>
  <c r="BZ226" i="17" s="1"/>
  <c r="CA226" i="17" s="1"/>
  <c r="CB226" i="17" s="1"/>
  <c r="CC226" i="17" s="1"/>
  <c r="CD226" i="17" s="1"/>
  <c r="CE226" i="17" s="1"/>
  <c r="CF226" i="17" s="1"/>
  <c r="CG226" i="17" s="1"/>
  <c r="CH226" i="17" s="1"/>
  <c r="CI226" i="17" s="1"/>
  <c r="CJ226" i="17" s="1"/>
  <c r="CK226" i="17" s="1"/>
  <c r="CL226" i="17" s="1"/>
  <c r="CM226" i="17" s="1"/>
  <c r="CN226" i="17" s="1"/>
  <c r="CO226" i="17" s="1"/>
  <c r="CP226" i="17" s="1"/>
  <c r="CQ226" i="17" s="1"/>
  <c r="CR226" i="17" s="1"/>
  <c r="CS226" i="17" s="1"/>
  <c r="CT226" i="17" s="1"/>
  <c r="CU226" i="17" s="1"/>
  <c r="CV226" i="17" s="1"/>
  <c r="CW226" i="17" s="1"/>
  <c r="CX226" i="17" s="1"/>
  <c r="CY226" i="17" s="1"/>
  <c r="CZ226" i="17" s="1"/>
  <c r="DA226" i="17" s="1"/>
  <c r="DB226" i="17" s="1"/>
  <c r="DC226" i="17" s="1"/>
  <c r="DD226" i="17" s="1"/>
  <c r="DE226" i="17" s="1"/>
  <c r="DF226" i="17" s="1"/>
  <c r="DG226" i="17" s="1"/>
  <c r="DH226" i="17" s="1"/>
  <c r="DI226" i="17" s="1"/>
  <c r="DJ226" i="17" s="1"/>
  <c r="DK226" i="17" s="1"/>
  <c r="DL226" i="17" s="1"/>
  <c r="DK305" i="17"/>
  <c r="DL305" i="17" s="1"/>
  <c r="X298" i="17"/>
  <c r="Y298" i="17" s="1"/>
  <c r="Z298" i="17" s="1"/>
  <c r="AA298" i="17" s="1"/>
  <c r="AB298" i="17" s="1"/>
  <c r="AC298" i="17" s="1"/>
  <c r="Y222" i="17"/>
  <c r="Z222" i="17" s="1"/>
  <c r="AA222" i="17" s="1"/>
  <c r="AB222" i="17" s="1"/>
  <c r="AC222" i="17" s="1"/>
  <c r="AD222" i="17" s="1"/>
  <c r="AE222" i="17" s="1"/>
  <c r="AF222" i="17" s="1"/>
  <c r="AG222" i="17" s="1"/>
  <c r="AH222" i="17" s="1"/>
  <c r="AI222" i="17" s="1"/>
  <c r="AJ222" i="17" s="1"/>
  <c r="AK222" i="17" s="1"/>
  <c r="AL222" i="17" s="1"/>
  <c r="AM222" i="17" s="1"/>
  <c r="AN222" i="17" s="1"/>
  <c r="AO222" i="17" s="1"/>
  <c r="AP222" i="17" s="1"/>
  <c r="AQ222" i="17" s="1"/>
  <c r="AR222" i="17" s="1"/>
  <c r="AS222" i="17" s="1"/>
  <c r="AT222" i="17" s="1"/>
  <c r="AU222" i="17" s="1"/>
  <c r="AV222" i="17" s="1"/>
  <c r="AW222" i="17" s="1"/>
  <c r="AX222" i="17" s="1"/>
  <c r="AY222" i="17" s="1"/>
  <c r="AZ222" i="17" s="1"/>
  <c r="BA222" i="17" s="1"/>
  <c r="BB222" i="17" s="1"/>
  <c r="BC222" i="17" s="1"/>
  <c r="BD222" i="17" s="1"/>
  <c r="BE222" i="17" s="1"/>
  <c r="BF222" i="17" s="1"/>
  <c r="BG222" i="17" s="1"/>
  <c r="BH222" i="17" s="1"/>
  <c r="BI222" i="17" s="1"/>
  <c r="BJ222" i="17" s="1"/>
  <c r="BK222" i="17" s="1"/>
  <c r="BL222" i="17" s="1"/>
  <c r="BM222" i="17" s="1"/>
  <c r="BN222" i="17" s="1"/>
  <c r="BO222" i="17" s="1"/>
  <c r="BP222" i="17" s="1"/>
  <c r="BQ222" i="17" s="1"/>
  <c r="BR222" i="17" s="1"/>
  <c r="BS222" i="17" s="1"/>
  <c r="BT222" i="17" s="1"/>
  <c r="BU222" i="17" s="1"/>
  <c r="BV222" i="17" s="1"/>
  <c r="BW222" i="17" s="1"/>
  <c r="BX222" i="17" s="1"/>
  <c r="BY222" i="17" s="1"/>
  <c r="BZ222" i="17" s="1"/>
  <c r="CA222" i="17" s="1"/>
  <c r="CB222" i="17" s="1"/>
  <c r="CC222" i="17" s="1"/>
  <c r="CD222" i="17" s="1"/>
  <c r="CE222" i="17" s="1"/>
  <c r="CF222" i="17" s="1"/>
  <c r="CG222" i="17" s="1"/>
  <c r="CH222" i="17" s="1"/>
  <c r="CI222" i="17" s="1"/>
  <c r="CJ222" i="17" s="1"/>
  <c r="CK222" i="17" s="1"/>
  <c r="CL222" i="17" s="1"/>
  <c r="CM222" i="17" s="1"/>
  <c r="CN222" i="17" s="1"/>
  <c r="CO222" i="17" s="1"/>
  <c r="CP222" i="17" s="1"/>
  <c r="CQ222" i="17" s="1"/>
  <c r="CR222" i="17" s="1"/>
  <c r="CS222" i="17" s="1"/>
  <c r="CT222" i="17" s="1"/>
  <c r="CU222" i="17" s="1"/>
  <c r="CV222" i="17" s="1"/>
  <c r="CW222" i="17" s="1"/>
  <c r="CX222" i="17" s="1"/>
  <c r="CY222" i="17" s="1"/>
  <c r="CZ222" i="17" s="1"/>
  <c r="DA222" i="17" s="1"/>
  <c r="DB222" i="17" s="1"/>
  <c r="DC222" i="17" s="1"/>
  <c r="DD222" i="17" s="1"/>
  <c r="DE222" i="17" s="1"/>
  <c r="DF222" i="17" s="1"/>
  <c r="DG222" i="17" s="1"/>
  <c r="DH222" i="17" s="1"/>
  <c r="DI222" i="17" s="1"/>
  <c r="DJ222" i="17" s="1"/>
  <c r="DK222" i="17" s="1"/>
  <c r="DL222" i="17" s="1"/>
  <c r="W291" i="17"/>
  <c r="X291" i="17" s="1"/>
  <c r="AT114" i="17"/>
  <c r="AU114" i="17" s="1"/>
  <c r="AV114" i="17" s="1"/>
  <c r="AW114" i="17" s="1"/>
  <c r="AX114" i="17" s="1"/>
  <c r="AY114" i="17" s="1"/>
  <c r="AZ114" i="17" s="1"/>
  <c r="BA114" i="17" s="1"/>
  <c r="BB114" i="17" s="1"/>
  <c r="BC114" i="17" s="1"/>
  <c r="BD114" i="17" s="1"/>
  <c r="BE114" i="17" s="1"/>
  <c r="BF114" i="17" s="1"/>
  <c r="BG114" i="17" s="1"/>
  <c r="BH114" i="17" s="1"/>
  <c r="BI114" i="17" s="1"/>
  <c r="BJ114" i="17" s="1"/>
  <c r="BK114" i="17" s="1"/>
  <c r="BL114" i="17" s="1"/>
  <c r="BM114" i="17" s="1"/>
  <c r="BN114" i="17" s="1"/>
  <c r="BO114" i="17" s="1"/>
  <c r="BP114" i="17" s="1"/>
  <c r="BQ114" i="17" s="1"/>
  <c r="BR114" i="17" s="1"/>
  <c r="BS114" i="17" s="1"/>
  <c r="BT114" i="17" s="1"/>
  <c r="BU114" i="17" s="1"/>
  <c r="BV114" i="17" s="1"/>
  <c r="BW114" i="17" s="1"/>
  <c r="BX114" i="17" s="1"/>
  <c r="BY114" i="17" s="1"/>
  <c r="BZ114" i="17" s="1"/>
  <c r="CA114" i="17" s="1"/>
  <c r="CB114" i="17" s="1"/>
  <c r="CC114" i="17" s="1"/>
  <c r="CD114" i="17" s="1"/>
  <c r="CE114" i="17" s="1"/>
  <c r="CF114" i="17" s="1"/>
  <c r="CG114" i="17" s="1"/>
  <c r="CH114" i="17" s="1"/>
  <c r="CI114" i="17" s="1"/>
  <c r="CJ114" i="17" s="1"/>
  <c r="CK114" i="17" s="1"/>
  <c r="CL114" i="17" s="1"/>
  <c r="CM114" i="17" s="1"/>
  <c r="CN114" i="17" s="1"/>
  <c r="CO114" i="17" s="1"/>
  <c r="CP114" i="17" s="1"/>
  <c r="CQ114" i="17" s="1"/>
  <c r="CR114" i="17" s="1"/>
  <c r="CS114" i="17" s="1"/>
  <c r="CT114" i="17" s="1"/>
  <c r="CU114" i="17" s="1"/>
  <c r="CV114" i="17" s="1"/>
  <c r="CW114" i="17" s="1"/>
  <c r="CX114" i="17" s="1"/>
  <c r="CY114" i="17" s="1"/>
  <c r="CZ114" i="17" s="1"/>
  <c r="DA114" i="17" s="1"/>
  <c r="DB114" i="17" s="1"/>
  <c r="DC114" i="17" s="1"/>
  <c r="DD114" i="17" s="1"/>
  <c r="DE114" i="17" s="1"/>
  <c r="DF114" i="17" s="1"/>
  <c r="DG114" i="17" s="1"/>
  <c r="DH114" i="17" s="1"/>
  <c r="DI114" i="17" s="1"/>
  <c r="DJ114" i="17" s="1"/>
  <c r="DK114" i="17" s="1"/>
  <c r="DL114" i="17" s="1"/>
  <c r="AA243" i="17"/>
  <c r="Y173" i="17"/>
  <c r="Z173" i="17" s="1"/>
  <c r="AA173" i="17" s="1"/>
  <c r="AB173" i="17" s="1"/>
  <c r="AC173" i="17" s="1"/>
  <c r="AD173" i="17" s="1"/>
  <c r="AE173" i="17" s="1"/>
  <c r="AF173" i="17" s="1"/>
  <c r="AG173" i="17" s="1"/>
  <c r="AH173" i="17" s="1"/>
  <c r="AI173" i="17" s="1"/>
  <c r="AJ173" i="17" s="1"/>
  <c r="AK173" i="17" s="1"/>
  <c r="AL173" i="17" s="1"/>
  <c r="AM173" i="17" s="1"/>
  <c r="AN173" i="17" s="1"/>
  <c r="AO173" i="17" s="1"/>
  <c r="AP173" i="17" s="1"/>
  <c r="AQ173" i="17" s="1"/>
  <c r="AR173" i="17" s="1"/>
  <c r="AS173" i="17" s="1"/>
  <c r="AT173" i="17" s="1"/>
  <c r="AU173" i="17" s="1"/>
  <c r="AV173" i="17" s="1"/>
  <c r="AW173" i="17" s="1"/>
  <c r="AX173" i="17" s="1"/>
  <c r="AY173" i="17" s="1"/>
  <c r="AZ173" i="17" s="1"/>
  <c r="BA173" i="17" s="1"/>
  <c r="BB173" i="17" s="1"/>
  <c r="BC173" i="17" s="1"/>
  <c r="BD173" i="17" s="1"/>
  <c r="BE173" i="17" s="1"/>
  <c r="BF173" i="17" s="1"/>
  <c r="BG173" i="17" s="1"/>
  <c r="BH173" i="17" s="1"/>
  <c r="BI173" i="17" s="1"/>
  <c r="BJ173" i="17" s="1"/>
  <c r="BK173" i="17" s="1"/>
  <c r="BL173" i="17" s="1"/>
  <c r="BM173" i="17" s="1"/>
  <c r="BN173" i="17" s="1"/>
  <c r="BO173" i="17" s="1"/>
  <c r="BP173" i="17" s="1"/>
  <c r="BQ173" i="17" s="1"/>
  <c r="BR173" i="17" s="1"/>
  <c r="BS173" i="17" s="1"/>
  <c r="BT173" i="17" s="1"/>
  <c r="BU173" i="17" s="1"/>
  <c r="BV173" i="17" s="1"/>
  <c r="BW173" i="17" s="1"/>
  <c r="BX173" i="17" s="1"/>
  <c r="BY173" i="17" s="1"/>
  <c r="BZ173" i="17" s="1"/>
  <c r="CA173" i="17" s="1"/>
  <c r="CB173" i="17" s="1"/>
  <c r="CC173" i="17" s="1"/>
  <c r="CD173" i="17" s="1"/>
  <c r="CE173" i="17" s="1"/>
  <c r="CF173" i="17" s="1"/>
  <c r="CG173" i="17" s="1"/>
  <c r="CH173" i="17" s="1"/>
  <c r="CI173" i="17" s="1"/>
  <c r="CJ173" i="17" s="1"/>
  <c r="CK173" i="17" s="1"/>
  <c r="CL173" i="17" s="1"/>
  <c r="CM173" i="17" s="1"/>
  <c r="CN173" i="17" s="1"/>
  <c r="CO173" i="17" s="1"/>
  <c r="CP173" i="17" s="1"/>
  <c r="CQ173" i="17" s="1"/>
  <c r="CR173" i="17" s="1"/>
  <c r="CS173" i="17" s="1"/>
  <c r="CT173" i="17" s="1"/>
  <c r="CU173" i="17" s="1"/>
  <c r="CV173" i="17" s="1"/>
  <c r="CW173" i="17" s="1"/>
  <c r="CX173" i="17" s="1"/>
  <c r="CY173" i="17" s="1"/>
  <c r="CZ173" i="17" s="1"/>
  <c r="DA173" i="17" s="1"/>
  <c r="DB173" i="17" s="1"/>
  <c r="DC173" i="17" s="1"/>
  <c r="DD173" i="17" s="1"/>
  <c r="DE173" i="17" s="1"/>
  <c r="DF173" i="17" s="1"/>
  <c r="DG173" i="17" s="1"/>
  <c r="DH173" i="17" s="1"/>
  <c r="DI173" i="17" s="1"/>
  <c r="DJ173" i="17" s="1"/>
  <c r="DK173" i="17" s="1"/>
  <c r="DL173" i="17" s="1"/>
  <c r="Y261" i="17"/>
  <c r="Z239" i="17"/>
  <c r="AA239" i="17" s="1"/>
  <c r="AB239" i="17" s="1"/>
  <c r="AC239" i="17" s="1"/>
  <c r="AD239" i="17" s="1"/>
  <c r="AE239" i="17" s="1"/>
  <c r="AF239" i="17" s="1"/>
  <c r="AG239" i="17" s="1"/>
  <c r="AH239" i="17" s="1"/>
  <c r="AI239" i="17" s="1"/>
  <c r="AJ239" i="17" s="1"/>
  <c r="AK239" i="17" s="1"/>
  <c r="AL239" i="17" s="1"/>
  <c r="AM239" i="17" s="1"/>
  <c r="AN239" i="17" s="1"/>
  <c r="AO239" i="17" s="1"/>
  <c r="AP239" i="17" s="1"/>
  <c r="AQ239" i="17" s="1"/>
  <c r="AR239" i="17" s="1"/>
  <c r="AS239" i="17" s="1"/>
  <c r="AT239" i="17" s="1"/>
  <c r="AU239" i="17" s="1"/>
  <c r="AV239" i="17" s="1"/>
  <c r="AW239" i="17" s="1"/>
  <c r="AX239" i="17" s="1"/>
  <c r="AY239" i="17" s="1"/>
  <c r="AZ239" i="17" s="1"/>
  <c r="BA239" i="17" s="1"/>
  <c r="BB239" i="17" s="1"/>
  <c r="BC239" i="17" s="1"/>
  <c r="BD239" i="17" s="1"/>
  <c r="BE239" i="17" s="1"/>
  <c r="BF239" i="17" s="1"/>
  <c r="BG239" i="17" s="1"/>
  <c r="BH239" i="17" s="1"/>
  <c r="BI239" i="17" s="1"/>
  <c r="BJ239" i="17" s="1"/>
  <c r="BK239" i="17" s="1"/>
  <c r="BL239" i="17" s="1"/>
  <c r="BM239" i="17" s="1"/>
  <c r="BN239" i="17" s="1"/>
  <c r="BO239" i="17" s="1"/>
  <c r="BP239" i="17" s="1"/>
  <c r="BQ239" i="17" s="1"/>
  <c r="BR239" i="17" s="1"/>
  <c r="BS239" i="17" s="1"/>
  <c r="BT239" i="17" s="1"/>
  <c r="BU239" i="17" s="1"/>
  <c r="BV239" i="17" s="1"/>
  <c r="BW239" i="17" s="1"/>
  <c r="BX239" i="17" s="1"/>
  <c r="BY239" i="17" s="1"/>
  <c r="BZ239" i="17" s="1"/>
  <c r="CA239" i="17" s="1"/>
  <c r="CB239" i="17" s="1"/>
  <c r="CC239" i="17" s="1"/>
  <c r="CD239" i="17" s="1"/>
  <c r="CE239" i="17" s="1"/>
  <c r="CF239" i="17" s="1"/>
  <c r="CG239" i="17" s="1"/>
  <c r="CH239" i="17" s="1"/>
  <c r="CI239" i="17" s="1"/>
  <c r="CJ239" i="17" s="1"/>
  <c r="CK239" i="17" s="1"/>
  <c r="CL239" i="17" s="1"/>
  <c r="CM239" i="17" s="1"/>
  <c r="CN239" i="17" s="1"/>
  <c r="CO239" i="17" s="1"/>
  <c r="CP239" i="17" s="1"/>
  <c r="CQ239" i="17" s="1"/>
  <c r="CR239" i="17" s="1"/>
  <c r="CS239" i="17" s="1"/>
  <c r="CT239" i="17" s="1"/>
  <c r="CU239" i="17" s="1"/>
  <c r="CV239" i="17" s="1"/>
  <c r="CW239" i="17" s="1"/>
  <c r="CX239" i="17" s="1"/>
  <c r="CY239" i="17" s="1"/>
  <c r="CZ239" i="17" s="1"/>
  <c r="DA239" i="17" s="1"/>
  <c r="DB239" i="17" s="1"/>
  <c r="DC239" i="17" s="1"/>
  <c r="DD239" i="17" s="1"/>
  <c r="DE239" i="17" s="1"/>
  <c r="DF239" i="17" s="1"/>
  <c r="DG239" i="17" s="1"/>
  <c r="DH239" i="17" s="1"/>
  <c r="DI239" i="17" s="1"/>
  <c r="DJ239" i="17" s="1"/>
  <c r="DK239" i="17" s="1"/>
  <c r="DL239" i="17" s="1"/>
  <c r="V137" i="17"/>
  <c r="W137" i="17" s="1"/>
  <c r="X137" i="17" s="1"/>
  <c r="Y137" i="17" s="1"/>
  <c r="Z137" i="17" s="1"/>
  <c r="AA137" i="17" s="1"/>
  <c r="AB137" i="17" s="1"/>
  <c r="AC137" i="17" s="1"/>
  <c r="AD137" i="17" s="1"/>
  <c r="AE137" i="17" s="1"/>
  <c r="AF137" i="17" s="1"/>
  <c r="AG137" i="17" s="1"/>
  <c r="AH137" i="17" s="1"/>
  <c r="AI137" i="17" s="1"/>
  <c r="AJ137" i="17" s="1"/>
  <c r="AK137" i="17" s="1"/>
  <c r="AL137" i="17" s="1"/>
  <c r="AM137" i="17" s="1"/>
  <c r="AN137" i="17" s="1"/>
  <c r="AO137" i="17" s="1"/>
  <c r="AP137" i="17" s="1"/>
  <c r="AQ137" i="17" s="1"/>
  <c r="AR137" i="17" s="1"/>
  <c r="AS137" i="17" s="1"/>
  <c r="AT137" i="17" s="1"/>
  <c r="AU137" i="17" s="1"/>
  <c r="AV137" i="17" s="1"/>
  <c r="AW137" i="17" s="1"/>
  <c r="AX137" i="17" s="1"/>
  <c r="AY137" i="17" s="1"/>
  <c r="AZ137" i="17" s="1"/>
  <c r="BA137" i="17" s="1"/>
  <c r="BB137" i="17" s="1"/>
  <c r="BC137" i="17" s="1"/>
  <c r="BD137" i="17" s="1"/>
  <c r="BE137" i="17" s="1"/>
  <c r="BF137" i="17" s="1"/>
  <c r="BG137" i="17" s="1"/>
  <c r="BH137" i="17" s="1"/>
  <c r="BI137" i="17" s="1"/>
  <c r="BJ137" i="17" s="1"/>
  <c r="BK137" i="17" s="1"/>
  <c r="BL137" i="17" s="1"/>
  <c r="BM137" i="17" s="1"/>
  <c r="BN137" i="17" s="1"/>
  <c r="BO137" i="17" s="1"/>
  <c r="BP137" i="17" s="1"/>
  <c r="BQ137" i="17" s="1"/>
  <c r="BR137" i="17" s="1"/>
  <c r="BS137" i="17" s="1"/>
  <c r="BT137" i="17" s="1"/>
  <c r="BU137" i="17" s="1"/>
  <c r="BV137" i="17" s="1"/>
  <c r="BW137" i="17" s="1"/>
  <c r="BX137" i="17" s="1"/>
  <c r="BY137" i="17" s="1"/>
  <c r="BZ137" i="17" s="1"/>
  <c r="CA137" i="17" s="1"/>
  <c r="CB137" i="17" s="1"/>
  <c r="CC137" i="17" s="1"/>
  <c r="CD137" i="17" s="1"/>
  <c r="CE137" i="17" s="1"/>
  <c r="CF137" i="17" s="1"/>
  <c r="CG137" i="17" s="1"/>
  <c r="CH137" i="17" s="1"/>
  <c r="CI137" i="17" s="1"/>
  <c r="CJ137" i="17" s="1"/>
  <c r="CK137" i="17" s="1"/>
  <c r="CL137" i="17" s="1"/>
  <c r="CM137" i="17" s="1"/>
  <c r="CN137" i="17" s="1"/>
  <c r="CO137" i="17" s="1"/>
  <c r="CP137" i="17" s="1"/>
  <c r="CQ137" i="17" s="1"/>
  <c r="CR137" i="17" s="1"/>
  <c r="CS137" i="17" s="1"/>
  <c r="CT137" i="17" s="1"/>
  <c r="CU137" i="17" s="1"/>
  <c r="CV137" i="17" s="1"/>
  <c r="CW137" i="17" s="1"/>
  <c r="CX137" i="17" s="1"/>
  <c r="CY137" i="17" s="1"/>
  <c r="CZ137" i="17" s="1"/>
  <c r="DA137" i="17" s="1"/>
  <c r="DB137" i="17" s="1"/>
  <c r="DC137" i="17" s="1"/>
  <c r="DD137" i="17" s="1"/>
  <c r="DE137" i="17" s="1"/>
  <c r="DF137" i="17" s="1"/>
  <c r="DG137" i="17" s="1"/>
  <c r="DH137" i="17" s="1"/>
  <c r="DI137" i="17" s="1"/>
  <c r="DJ137" i="17" s="1"/>
  <c r="DK137" i="17" s="1"/>
  <c r="DL137" i="17" s="1"/>
  <c r="W283" i="17"/>
  <c r="X283" i="17" s="1"/>
  <c r="Y283" i="17" s="1"/>
  <c r="Z283" i="17" s="1"/>
  <c r="AA283" i="17" s="1"/>
  <c r="AB283" i="17" s="1"/>
  <c r="AC283" i="17" s="1"/>
  <c r="AD283" i="17" s="1"/>
  <c r="AE283" i="17" s="1"/>
  <c r="AF283" i="17" s="1"/>
  <c r="AG283" i="17" s="1"/>
  <c r="AH283" i="17" s="1"/>
  <c r="AI283" i="17" s="1"/>
  <c r="AJ283" i="17" s="1"/>
  <c r="AK283" i="17" s="1"/>
  <c r="AL283" i="17" s="1"/>
  <c r="AM283" i="17" s="1"/>
  <c r="AN283" i="17" s="1"/>
  <c r="AO283" i="17" s="1"/>
  <c r="AP283" i="17" s="1"/>
  <c r="AQ283" i="17" s="1"/>
  <c r="AR283" i="17" s="1"/>
  <c r="AS283" i="17" s="1"/>
  <c r="AT283" i="17" s="1"/>
  <c r="AU283" i="17" s="1"/>
  <c r="AV283" i="17" s="1"/>
  <c r="AW283" i="17" s="1"/>
  <c r="AX283" i="17" s="1"/>
  <c r="AY283" i="17" s="1"/>
  <c r="AZ283" i="17" s="1"/>
  <c r="BA283" i="17" s="1"/>
  <c r="BB283" i="17" s="1"/>
  <c r="BC283" i="17" s="1"/>
  <c r="BD283" i="17" s="1"/>
  <c r="BE283" i="17" s="1"/>
  <c r="BF283" i="17" s="1"/>
  <c r="BG283" i="17" s="1"/>
  <c r="BH283" i="17" s="1"/>
  <c r="BI283" i="17" s="1"/>
  <c r="BJ283" i="17" s="1"/>
  <c r="BK283" i="17" s="1"/>
  <c r="BL283" i="17" s="1"/>
  <c r="BM283" i="17" s="1"/>
  <c r="BN283" i="17" s="1"/>
  <c r="BO283" i="17" s="1"/>
  <c r="BP283" i="17" s="1"/>
  <c r="BQ283" i="17" s="1"/>
  <c r="BR283" i="17" s="1"/>
  <c r="BS283" i="17" s="1"/>
  <c r="BT283" i="17" s="1"/>
  <c r="BU283" i="17" s="1"/>
  <c r="BV283" i="17" s="1"/>
  <c r="BW283" i="17" s="1"/>
  <c r="BX283" i="17" s="1"/>
  <c r="BY283" i="17" s="1"/>
  <c r="BZ283" i="17" s="1"/>
  <c r="CA283" i="17" s="1"/>
  <c r="CB283" i="17" s="1"/>
  <c r="CC283" i="17" s="1"/>
  <c r="CD283" i="17" s="1"/>
  <c r="CE283" i="17" s="1"/>
  <c r="CF283" i="17" s="1"/>
  <c r="CG283" i="17" s="1"/>
  <c r="CH283" i="17" s="1"/>
  <c r="CI283" i="17" s="1"/>
  <c r="CJ283" i="17" s="1"/>
  <c r="CK283" i="17" s="1"/>
  <c r="CL283" i="17" s="1"/>
  <c r="CM283" i="17" s="1"/>
  <c r="CN283" i="17" s="1"/>
  <c r="CO283" i="17" s="1"/>
  <c r="CP283" i="17" s="1"/>
  <c r="CQ283" i="17" s="1"/>
  <c r="CR283" i="17" s="1"/>
  <c r="CS283" i="17" s="1"/>
  <c r="CT283" i="17" s="1"/>
  <c r="CU283" i="17" s="1"/>
  <c r="CV283" i="17" s="1"/>
  <c r="CW283" i="17" s="1"/>
  <c r="CX283" i="17" s="1"/>
  <c r="CY283" i="17" s="1"/>
  <c r="CZ283" i="17" s="1"/>
  <c r="DA283" i="17" s="1"/>
  <c r="DB283" i="17" s="1"/>
  <c r="DC283" i="17" s="1"/>
  <c r="DD283" i="17" s="1"/>
  <c r="DE283" i="17" s="1"/>
  <c r="DF283" i="17" s="1"/>
  <c r="DG283" i="17" s="1"/>
  <c r="DH283" i="17" s="1"/>
  <c r="DI283" i="17" s="1"/>
  <c r="DJ283" i="17" s="1"/>
  <c r="DK283" i="17" s="1"/>
  <c r="DL283" i="17" s="1"/>
  <c r="V61" i="17"/>
  <c r="Z139" i="17"/>
  <c r="AA139" i="17" s="1"/>
  <c r="AB139" i="17" s="1"/>
  <c r="AC139" i="17" s="1"/>
  <c r="AD139" i="17" s="1"/>
  <c r="AE139" i="17" s="1"/>
  <c r="AF139" i="17" s="1"/>
  <c r="AG139" i="17" s="1"/>
  <c r="AH139" i="17" s="1"/>
  <c r="AI139" i="17" s="1"/>
  <c r="AJ139" i="17" s="1"/>
  <c r="AK139" i="17" s="1"/>
  <c r="AL139" i="17" s="1"/>
  <c r="AM139" i="17" s="1"/>
  <c r="AN139" i="17" s="1"/>
  <c r="AO139" i="17" s="1"/>
  <c r="AP139" i="17" s="1"/>
  <c r="AQ139" i="17" s="1"/>
  <c r="AR139" i="17" s="1"/>
  <c r="AS139" i="17" s="1"/>
  <c r="AT139" i="17" s="1"/>
  <c r="AU139" i="17" s="1"/>
  <c r="AV139" i="17" s="1"/>
  <c r="AW139" i="17" s="1"/>
  <c r="AX139" i="17" s="1"/>
  <c r="AY139" i="17" s="1"/>
  <c r="AZ139" i="17" s="1"/>
  <c r="BA139" i="17" s="1"/>
  <c r="BB139" i="17" s="1"/>
  <c r="BC139" i="17" s="1"/>
  <c r="BD139" i="17" s="1"/>
  <c r="BE139" i="17" s="1"/>
  <c r="BF139" i="17" s="1"/>
  <c r="BG139" i="17" s="1"/>
  <c r="BH139" i="17" s="1"/>
  <c r="BI139" i="17" s="1"/>
  <c r="BJ139" i="17" s="1"/>
  <c r="BK139" i="17" s="1"/>
  <c r="BL139" i="17" s="1"/>
  <c r="BM139" i="17" s="1"/>
  <c r="BN139" i="17" s="1"/>
  <c r="BO139" i="17" s="1"/>
  <c r="BP139" i="17" s="1"/>
  <c r="BQ139" i="17" s="1"/>
  <c r="BR139" i="17" s="1"/>
  <c r="BS139" i="17" s="1"/>
  <c r="BT139" i="17" s="1"/>
  <c r="BU139" i="17" s="1"/>
  <c r="BV139" i="17" s="1"/>
  <c r="BW139" i="17" s="1"/>
  <c r="BX139" i="17" s="1"/>
  <c r="BY139" i="17" s="1"/>
  <c r="BZ139" i="17" s="1"/>
  <c r="CA139" i="17" s="1"/>
  <c r="CB139" i="17"/>
  <c r="CC139" i="17" s="1"/>
  <c r="CD139" i="17" s="1"/>
  <c r="CE139" i="17" s="1"/>
  <c r="CF139" i="17" s="1"/>
  <c r="CG139" i="17" s="1"/>
  <c r="CH139" i="17" s="1"/>
  <c r="CI139" i="17" s="1"/>
  <c r="CJ139" i="17" s="1"/>
  <c r="CK139" i="17" s="1"/>
  <c r="CL139" i="17" s="1"/>
  <c r="CM139" i="17" s="1"/>
  <c r="CN139" i="17" s="1"/>
  <c r="CO139" i="17" s="1"/>
  <c r="CP139" i="17" s="1"/>
  <c r="CQ139" i="17" s="1"/>
  <c r="CR139" i="17" s="1"/>
  <c r="CS139" i="17" s="1"/>
  <c r="CT139" i="17" s="1"/>
  <c r="CU139" i="17" s="1"/>
  <c r="CV139" i="17" s="1"/>
  <c r="CW139" i="17" s="1"/>
  <c r="CX139" i="17" s="1"/>
  <c r="CY139" i="17" s="1"/>
  <c r="CZ139" i="17" s="1"/>
  <c r="DA139" i="17" s="1"/>
  <c r="DB139" i="17" s="1"/>
  <c r="DC139" i="17" s="1"/>
  <c r="DD139" i="17" s="1"/>
  <c r="DE139" i="17" s="1"/>
  <c r="DF139" i="17" s="1"/>
  <c r="DG139" i="17" s="1"/>
  <c r="DH139" i="17" s="1"/>
  <c r="DI139" i="17" s="1"/>
  <c r="DJ139" i="17" s="1"/>
  <c r="DK139" i="17" s="1"/>
  <c r="DL139" i="17" s="1"/>
  <c r="AA277" i="17"/>
  <c r="AB277" i="17" s="1"/>
  <c r="AC277" i="17" s="1"/>
  <c r="AD277" i="17" s="1"/>
  <c r="AE277" i="17" s="1"/>
  <c r="AF277" i="17" s="1"/>
  <c r="AG277" i="17" s="1"/>
  <c r="AH277" i="17" s="1"/>
  <c r="AI277" i="17" s="1"/>
  <c r="AJ277" i="17" s="1"/>
  <c r="AK277" i="17" s="1"/>
  <c r="AL277" i="17" s="1"/>
  <c r="AM277" i="17" s="1"/>
  <c r="AN277" i="17" s="1"/>
  <c r="AO277" i="17" s="1"/>
  <c r="AP277" i="17" s="1"/>
  <c r="AQ277" i="17" s="1"/>
  <c r="AR277" i="17" s="1"/>
  <c r="AS277" i="17" s="1"/>
  <c r="AT277" i="17" s="1"/>
  <c r="AU277" i="17" s="1"/>
  <c r="AV277" i="17" s="1"/>
  <c r="AW277" i="17" s="1"/>
  <c r="AX277" i="17" s="1"/>
  <c r="AY277" i="17" s="1"/>
  <c r="AZ277" i="17" s="1"/>
  <c r="BA277" i="17" s="1"/>
  <c r="BB277" i="17" s="1"/>
  <c r="BC277" i="17" s="1"/>
  <c r="BD277" i="17" s="1"/>
  <c r="BE277" i="17" s="1"/>
  <c r="BF277" i="17" s="1"/>
  <c r="BG277" i="17" s="1"/>
  <c r="BH277" i="17" s="1"/>
  <c r="BI277" i="17" s="1"/>
  <c r="BJ277" i="17" s="1"/>
  <c r="BK277" i="17" s="1"/>
  <c r="BL277" i="17" s="1"/>
  <c r="BM277" i="17" s="1"/>
  <c r="BN277" i="17" s="1"/>
  <c r="BO277" i="17" s="1"/>
  <c r="BP277" i="17" s="1"/>
  <c r="BQ277" i="17" s="1"/>
  <c r="BR277" i="17" s="1"/>
  <c r="BS277" i="17" s="1"/>
  <c r="BT277" i="17" s="1"/>
  <c r="BU277" i="17" s="1"/>
  <c r="BV277" i="17" s="1"/>
  <c r="BW277" i="17" s="1"/>
  <c r="BX277" i="17" s="1"/>
  <c r="BY277" i="17" s="1"/>
  <c r="BZ277" i="17" s="1"/>
  <c r="CA277" i="17" s="1"/>
  <c r="CB277" i="17" s="1"/>
  <c r="CC277" i="17" s="1"/>
  <c r="CD277" i="17" s="1"/>
  <c r="CE277" i="17" s="1"/>
  <c r="CF277" i="17" s="1"/>
  <c r="CG277" i="17" s="1"/>
  <c r="CH277" i="17" s="1"/>
  <c r="CI277" i="17" s="1"/>
  <c r="CJ277" i="17" s="1"/>
  <c r="CK277" i="17" s="1"/>
  <c r="CL277" i="17" s="1"/>
  <c r="CM277" i="17" s="1"/>
  <c r="CN277" i="17" s="1"/>
  <c r="CO277" i="17" s="1"/>
  <c r="CP277" i="17" s="1"/>
  <c r="CQ277" i="17" s="1"/>
  <c r="CR277" i="17" s="1"/>
  <c r="CS277" i="17" s="1"/>
  <c r="CT277" i="17" s="1"/>
  <c r="CU277" i="17" s="1"/>
  <c r="CV277" i="17" s="1"/>
  <c r="CW277" i="17" s="1"/>
  <c r="CX277" i="17" s="1"/>
  <c r="CY277" i="17" s="1"/>
  <c r="CZ277" i="17" s="1"/>
  <c r="DA277" i="17" s="1"/>
  <c r="DB277" i="17" s="1"/>
  <c r="DC277" i="17" s="1"/>
  <c r="DD277" i="17" s="1"/>
  <c r="DE277" i="17" s="1"/>
  <c r="DF277" i="17" s="1"/>
  <c r="DG277" i="17" s="1"/>
  <c r="DH277" i="17" s="1"/>
  <c r="DI277" i="17" s="1"/>
  <c r="DJ277" i="17" s="1"/>
  <c r="DK277" i="17" s="1"/>
  <c r="DL277" i="17" s="1"/>
  <c r="AV184" i="17" l="1"/>
  <c r="AW184" i="17" s="1"/>
  <c r="AX184" i="17" s="1"/>
  <c r="AY184" i="17" s="1"/>
  <c r="AZ184" i="17" s="1"/>
  <c r="BA184" i="17" s="1"/>
  <c r="BB184" i="17" s="1"/>
  <c r="BC184" i="17" s="1"/>
  <c r="BD184" i="17" s="1"/>
  <c r="BE184" i="17" s="1"/>
  <c r="BF184" i="17" s="1"/>
  <c r="BG184" i="17" s="1"/>
  <c r="BH184" i="17" s="1"/>
  <c r="BI184" i="17" s="1"/>
  <c r="BJ184" i="17" s="1"/>
  <c r="BK184" i="17" s="1"/>
  <c r="BL184" i="17" s="1"/>
  <c r="BM184" i="17" s="1"/>
  <c r="BN184" i="17" s="1"/>
  <c r="BO184" i="17" s="1"/>
  <c r="BP184" i="17" s="1"/>
  <c r="BQ184" i="17" s="1"/>
  <c r="BR184" i="17" s="1"/>
  <c r="BS184" i="17" s="1"/>
  <c r="BT184" i="17" s="1"/>
  <c r="BU184" i="17" s="1"/>
  <c r="BV184" i="17" s="1"/>
  <c r="BW184" i="17" s="1"/>
  <c r="BX184" i="17" s="1"/>
  <c r="BY184" i="17" s="1"/>
  <c r="BZ184" i="17" s="1"/>
  <c r="CA184" i="17" s="1"/>
  <c r="CB184" i="17" s="1"/>
  <c r="CC184" i="17" s="1"/>
  <c r="CD184" i="17" s="1"/>
  <c r="CE184" i="17" s="1"/>
  <c r="CF184" i="17" s="1"/>
  <c r="CG184" i="17" s="1"/>
  <c r="CH184" i="17" s="1"/>
  <c r="CI184" i="17" s="1"/>
  <c r="CJ184" i="17" s="1"/>
  <c r="CK184" i="17" s="1"/>
  <c r="CL184" i="17" s="1"/>
  <c r="CM184" i="17" s="1"/>
  <c r="CN184" i="17" s="1"/>
  <c r="CO184" i="17" s="1"/>
  <c r="CP184" i="17" s="1"/>
  <c r="CQ184" i="17" s="1"/>
  <c r="CR184" i="17" s="1"/>
  <c r="CS184" i="17" s="1"/>
  <c r="CT184" i="17" s="1"/>
  <c r="CU184" i="17" s="1"/>
  <c r="CV184" i="17" s="1"/>
  <c r="CW184" i="17" s="1"/>
  <c r="CX184" i="17" s="1"/>
  <c r="CY184" i="17" s="1"/>
  <c r="CZ184" i="17" s="1"/>
  <c r="DA184" i="17" s="1"/>
  <c r="DB184" i="17" s="1"/>
  <c r="DC184" i="17" s="1"/>
  <c r="DD184" i="17" s="1"/>
  <c r="DE184" i="17" s="1"/>
  <c r="DF184" i="17" s="1"/>
  <c r="DG184" i="17" s="1"/>
  <c r="DH184" i="17" s="1"/>
  <c r="DI184" i="17" s="1"/>
  <c r="DJ184" i="17" s="1"/>
  <c r="DK184" i="17" s="1"/>
  <c r="DL184" i="17" s="1"/>
  <c r="AG77" i="17"/>
  <c r="Z195" i="17"/>
  <c r="AG254" i="17"/>
  <c r="AH254" i="17" s="1"/>
  <c r="AI254" i="17" s="1"/>
  <c r="X199" i="17"/>
  <c r="Y199" i="17" s="1"/>
  <c r="AA172" i="17"/>
  <c r="AB172" i="17" s="1"/>
  <c r="AC172" i="17" s="1"/>
  <c r="AD172" i="17" s="1"/>
  <c r="AE172" i="17" s="1"/>
  <c r="AF172" i="17" s="1"/>
  <c r="AG172" i="17" s="1"/>
  <c r="AH172" i="17" s="1"/>
  <c r="AI172" i="17" s="1"/>
  <c r="AJ172" i="17" s="1"/>
  <c r="AK172" i="17" s="1"/>
  <c r="AL172" i="17" s="1"/>
  <c r="AM172" i="17" s="1"/>
  <c r="AN172" i="17" s="1"/>
  <c r="AO172" i="17" s="1"/>
  <c r="AP172" i="17" s="1"/>
  <c r="AQ172" i="17" s="1"/>
  <c r="AR172" i="17" s="1"/>
  <c r="AS172" i="17" s="1"/>
  <c r="AT172" i="17" s="1"/>
  <c r="AU172" i="17" s="1"/>
  <c r="AV172" i="17" s="1"/>
  <c r="AW172" i="17" s="1"/>
  <c r="AX172" i="17" s="1"/>
  <c r="AY172" i="17" s="1"/>
  <c r="AZ172" i="17" s="1"/>
  <c r="BA172" i="17" s="1"/>
  <c r="BB172" i="17" s="1"/>
  <c r="BC172" i="17" s="1"/>
  <c r="BD172" i="17" s="1"/>
  <c r="BE172" i="17" s="1"/>
  <c r="BF172" i="17" s="1"/>
  <c r="BG172" i="17" s="1"/>
  <c r="BH172" i="17" s="1"/>
  <c r="BI172" i="17" s="1"/>
  <c r="BJ172" i="17" s="1"/>
  <c r="BK172" i="17" s="1"/>
  <c r="BL172" i="17" s="1"/>
  <c r="BM172" i="17" s="1"/>
  <c r="BN172" i="17" s="1"/>
  <c r="BO172" i="17" s="1"/>
  <c r="BP172" i="17" s="1"/>
  <c r="BQ172" i="17" s="1"/>
  <c r="BR172" i="17" s="1"/>
  <c r="BS172" i="17" s="1"/>
  <c r="BT172" i="17" s="1"/>
  <c r="BU172" i="17" s="1"/>
  <c r="BV172" i="17" s="1"/>
  <c r="BW172" i="17" s="1"/>
  <c r="BX172" i="17" s="1"/>
  <c r="BY172" i="17" s="1"/>
  <c r="BZ172" i="17" s="1"/>
  <c r="CA172" i="17" s="1"/>
  <c r="CB172" i="17" s="1"/>
  <c r="CC172" i="17" s="1"/>
  <c r="CD172" i="17" s="1"/>
  <c r="CE172" i="17" s="1"/>
  <c r="CF172" i="17" s="1"/>
  <c r="CG172" i="17" s="1"/>
  <c r="CH172" i="17" s="1"/>
  <c r="CI172" i="17" s="1"/>
  <c r="CJ172" i="17" s="1"/>
  <c r="CK172" i="17" s="1"/>
  <c r="CL172" i="17" s="1"/>
  <c r="CM172" i="17" s="1"/>
  <c r="CN172" i="17" s="1"/>
  <c r="CO172" i="17" s="1"/>
  <c r="CP172" i="17" s="1"/>
  <c r="CQ172" i="17" s="1"/>
  <c r="CR172" i="17" s="1"/>
  <c r="CS172" i="17" s="1"/>
  <c r="CT172" i="17" s="1"/>
  <c r="CU172" i="17" s="1"/>
  <c r="CV172" i="17" s="1"/>
  <c r="CW172" i="17" s="1"/>
  <c r="CX172" i="17" s="1"/>
  <c r="CY172" i="17" s="1"/>
  <c r="CZ172" i="17" s="1"/>
  <c r="DA172" i="17" s="1"/>
  <c r="DB172" i="17" s="1"/>
  <c r="DC172" i="17" s="1"/>
  <c r="DD172" i="17" s="1"/>
  <c r="DE172" i="17" s="1"/>
  <c r="DF172" i="17" s="1"/>
  <c r="DG172" i="17" s="1"/>
  <c r="DH172" i="17" s="1"/>
  <c r="DI172" i="17" s="1"/>
  <c r="DJ172" i="17" s="1"/>
  <c r="DK172" i="17" s="1"/>
  <c r="DL172" i="17" s="1"/>
  <c r="AA56" i="17"/>
  <c r="BJ206" i="17"/>
  <c r="BK206" i="17" s="1"/>
  <c r="BL206" i="17" s="1"/>
  <c r="BM206" i="17" s="1"/>
  <c r="BN206" i="17" s="1"/>
  <c r="BO206" i="17" s="1"/>
  <c r="BP206" i="17" s="1"/>
  <c r="BQ206" i="17" s="1"/>
  <c r="BR206" i="17" s="1"/>
  <c r="BS206" i="17" s="1"/>
  <c r="BT206" i="17" s="1"/>
  <c r="BU206" i="17" s="1"/>
  <c r="BV206" i="17" s="1"/>
  <c r="BW206" i="17" s="1"/>
  <c r="BX206" i="17" s="1"/>
  <c r="BY206" i="17" s="1"/>
  <c r="BZ206" i="17" s="1"/>
  <c r="Y291" i="17"/>
  <c r="Z291" i="17" s="1"/>
  <c r="AA291" i="17" s="1"/>
  <c r="AB291" i="17" s="1"/>
  <c r="AO128" i="17"/>
  <c r="AP128" i="17" s="1"/>
  <c r="AQ128" i="17" s="1"/>
  <c r="AR128" i="17"/>
  <c r="AS128" i="17" s="1"/>
  <c r="AT128" i="17" s="1"/>
  <c r="AU128" i="17" s="1"/>
  <c r="AV128" i="17" s="1"/>
  <c r="AW128" i="17" s="1"/>
  <c r="AX128" i="17" s="1"/>
  <c r="AY128" i="17" s="1"/>
  <c r="AZ128" i="17" s="1"/>
  <c r="BA128" i="17" s="1"/>
  <c r="BB128" i="17" s="1"/>
  <c r="BC128" i="17" s="1"/>
  <c r="BD128" i="17" s="1"/>
  <c r="BE128" i="17" s="1"/>
  <c r="BF128" i="17" s="1"/>
  <c r="BG128" i="17" s="1"/>
  <c r="BH128" i="17" s="1"/>
  <c r="BI128" i="17" s="1"/>
  <c r="BJ128" i="17" s="1"/>
  <c r="BK128" i="17" s="1"/>
  <c r="BL128" i="17" s="1"/>
  <c r="BM128" i="17" s="1"/>
  <c r="BN128" i="17" s="1"/>
  <c r="BO128" i="17" s="1"/>
  <c r="BP128" i="17" s="1"/>
  <c r="BQ128" i="17" s="1"/>
  <c r="BR128" i="17" s="1"/>
  <c r="BS128" i="17" s="1"/>
  <c r="BT128" i="17" s="1"/>
  <c r="BU128" i="17" s="1"/>
  <c r="BV128" i="17" s="1"/>
  <c r="BW128" i="17" s="1"/>
  <c r="BX128" i="17" s="1"/>
  <c r="BY128" i="17" s="1"/>
  <c r="BZ128" i="17" s="1"/>
  <c r="CA128" i="17" s="1"/>
  <c r="CB128" i="17" s="1"/>
  <c r="CC128" i="17" s="1"/>
  <c r="CD128" i="17" s="1"/>
  <c r="CE128" i="17" s="1"/>
  <c r="CF128" i="17" s="1"/>
  <c r="CG128" i="17" s="1"/>
  <c r="CH128" i="17" s="1"/>
  <c r="CI128" i="17" s="1"/>
  <c r="CJ128" i="17" s="1"/>
  <c r="CK128" i="17" s="1"/>
  <c r="CL128" i="17" s="1"/>
  <c r="CM128" i="17" s="1"/>
  <c r="CN128" i="17" s="1"/>
  <c r="CO128" i="17" s="1"/>
  <c r="CP128" i="17" s="1"/>
  <c r="CQ128" i="17" s="1"/>
  <c r="CR128" i="17" s="1"/>
  <c r="CS128" i="17" s="1"/>
  <c r="CT128" i="17" s="1"/>
  <c r="CU128" i="17" s="1"/>
  <c r="CV128" i="17" s="1"/>
  <c r="CW128" i="17" s="1"/>
  <c r="CX128" i="17" s="1"/>
  <c r="CY128" i="17" s="1"/>
  <c r="CZ128" i="17" s="1"/>
  <c r="DA128" i="17" s="1"/>
  <c r="DB128" i="17" s="1"/>
  <c r="DC128" i="17" s="1"/>
  <c r="DD128" i="17" s="1"/>
  <c r="DE128" i="17" s="1"/>
  <c r="DF128" i="17" s="1"/>
  <c r="DG128" i="17" s="1"/>
  <c r="DH128" i="17" s="1"/>
  <c r="DI128" i="17" s="1"/>
  <c r="DJ128" i="17" s="1"/>
  <c r="DK128" i="17" s="1"/>
  <c r="DL128" i="17" s="1"/>
  <c r="AW225" i="17"/>
  <c r="AX225" i="17" s="1"/>
  <c r="AY225" i="17" s="1"/>
  <c r="AZ225" i="17" s="1"/>
  <c r="BA225" i="17" s="1"/>
  <c r="BB225" i="17" s="1"/>
  <c r="BC225" i="17" s="1"/>
  <c r="BD225" i="17" s="1"/>
  <c r="BE225" i="17" s="1"/>
  <c r="BF225" i="17" s="1"/>
  <c r="BG225" i="17" s="1"/>
  <c r="BH225" i="17" s="1"/>
  <c r="BI225" i="17" s="1"/>
  <c r="BJ225" i="17" s="1"/>
  <c r="BK225" i="17" s="1"/>
  <c r="BL225" i="17" s="1"/>
  <c r="BM225" i="17" s="1"/>
  <c r="BN225" i="17" s="1"/>
  <c r="BO225" i="17" s="1"/>
  <c r="BP225" i="17" s="1"/>
  <c r="BQ225" i="17" s="1"/>
  <c r="BR225" i="17" s="1"/>
  <c r="BS225" i="17" s="1"/>
  <c r="BT225" i="17" s="1"/>
  <c r="BU225" i="17" s="1"/>
  <c r="BV225" i="17" s="1"/>
  <c r="BW225" i="17" s="1"/>
  <c r="BX225" i="17" s="1"/>
  <c r="BY225" i="17" s="1"/>
  <c r="BZ225" i="17" s="1"/>
  <c r="CA225" i="17" s="1"/>
  <c r="CB225" i="17" s="1"/>
  <c r="CC225" i="17" s="1"/>
  <c r="CD225" i="17" s="1"/>
  <c r="CE225" i="17" s="1"/>
  <c r="CF225" i="17" s="1"/>
  <c r="CG225" i="17" s="1"/>
  <c r="CH225" i="17" s="1"/>
  <c r="CI225" i="17" s="1"/>
  <c r="CJ225" i="17" s="1"/>
  <c r="CK225" i="17" s="1"/>
  <c r="CL225" i="17" s="1"/>
  <c r="CM225" i="17" s="1"/>
  <c r="CN225" i="17" s="1"/>
  <c r="CO225" i="17" s="1"/>
  <c r="CP225" i="17" s="1"/>
  <c r="CQ225" i="17" s="1"/>
  <c r="CR225" i="17" s="1"/>
  <c r="CS225" i="17" s="1"/>
  <c r="CT225" i="17" s="1"/>
  <c r="CU225" i="17" s="1"/>
  <c r="CV225" i="17" s="1"/>
  <c r="CW225" i="17" s="1"/>
  <c r="CX225" i="17" s="1"/>
  <c r="CY225" i="17" s="1"/>
  <c r="CZ225" i="17" s="1"/>
  <c r="DA225" i="17" s="1"/>
  <c r="DB225" i="17" s="1"/>
  <c r="DC225" i="17" s="1"/>
  <c r="DD225" i="17" s="1"/>
  <c r="DE225" i="17" s="1"/>
  <c r="DF225" i="17" s="1"/>
  <c r="DG225" i="17" s="1"/>
  <c r="DH225" i="17" s="1"/>
  <c r="DI225" i="17" s="1"/>
  <c r="DJ225" i="17" s="1"/>
  <c r="DK225" i="17" s="1"/>
  <c r="DL225" i="17" s="1"/>
  <c r="AH79" i="17"/>
  <c r="AI79" i="17" s="1"/>
  <c r="AJ79" i="17" s="1"/>
  <c r="AK79" i="17" s="1"/>
  <c r="AL79" i="17" s="1"/>
  <c r="AM79" i="17" s="1"/>
  <c r="AN79" i="17" s="1"/>
  <c r="AO79" i="17" s="1"/>
  <c r="AP79" i="17" s="1"/>
  <c r="AQ79" i="17" s="1"/>
  <c r="AR79" i="17" s="1"/>
  <c r="AS79" i="17" s="1"/>
  <c r="AT79" i="17" s="1"/>
  <c r="AU79" i="17" s="1"/>
  <c r="AV79" i="17" s="1"/>
  <c r="AW79" i="17" s="1"/>
  <c r="AX79" i="17" s="1"/>
  <c r="AY79" i="17" s="1"/>
  <c r="AZ79" i="17" s="1"/>
  <c r="BA79" i="17" s="1"/>
  <c r="BB79" i="17" s="1"/>
  <c r="BC79" i="17" s="1"/>
  <c r="BD79" i="17" s="1"/>
  <c r="BE79" i="17" s="1"/>
  <c r="BF79" i="17" s="1"/>
  <c r="BG79" i="17" s="1"/>
  <c r="BH79" i="17" s="1"/>
  <c r="BI79" i="17" s="1"/>
  <c r="BJ79" i="17" s="1"/>
  <c r="BK79" i="17" s="1"/>
  <c r="BL79" i="17" s="1"/>
  <c r="BM79" i="17" s="1"/>
  <c r="BN79" i="17" s="1"/>
  <c r="BO79" i="17" s="1"/>
  <c r="BP79" i="17" s="1"/>
  <c r="BQ79" i="17" s="1"/>
  <c r="BR79" i="17" s="1"/>
  <c r="BS79" i="17" s="1"/>
  <c r="BT79" i="17" s="1"/>
  <c r="BU79" i="17" s="1"/>
  <c r="BV79" i="17" s="1"/>
  <c r="BW79" i="17" s="1"/>
  <c r="BX79" i="17" s="1"/>
  <c r="BY79" i="17" s="1"/>
  <c r="BZ79" i="17" s="1"/>
  <c r="CA79" i="17" s="1"/>
  <c r="CB79" i="17" s="1"/>
  <c r="CC79" i="17" s="1"/>
  <c r="CD79" i="17" s="1"/>
  <c r="CE79" i="17" s="1"/>
  <c r="CF79" i="17" s="1"/>
  <c r="CG79" i="17" s="1"/>
  <c r="CH79" i="17" s="1"/>
  <c r="CI79" i="17" s="1"/>
  <c r="CJ79" i="17" s="1"/>
  <c r="CK79" i="17" s="1"/>
  <c r="CL79" i="17" s="1"/>
  <c r="CM79" i="17" s="1"/>
  <c r="CN79" i="17" s="1"/>
  <c r="CO79" i="17" s="1"/>
  <c r="CP79" i="17" s="1"/>
  <c r="CQ79" i="17" s="1"/>
  <c r="CR79" i="17" s="1"/>
  <c r="CS79" i="17" s="1"/>
  <c r="CT79" i="17" s="1"/>
  <c r="CU79" i="17" s="1"/>
  <c r="CV79" i="17" s="1"/>
  <c r="CW79" i="17" s="1"/>
  <c r="CX79" i="17" s="1"/>
  <c r="CY79" i="17" s="1"/>
  <c r="CZ79" i="17" s="1"/>
  <c r="DA79" i="17" s="1"/>
  <c r="DB79" i="17" s="1"/>
  <c r="DC79" i="17" s="1"/>
  <c r="DD79" i="17" s="1"/>
  <c r="DE79" i="17" s="1"/>
  <c r="DF79" i="17" s="1"/>
  <c r="DG79" i="17" s="1"/>
  <c r="DH79" i="17" s="1"/>
  <c r="DI79" i="17" s="1"/>
  <c r="DJ79" i="17" s="1"/>
  <c r="DK79" i="17" s="1"/>
  <c r="DL79" i="17" s="1"/>
  <c r="AX41" i="17"/>
  <c r="AY41" i="17" s="1"/>
  <c r="AZ41" i="17" s="1"/>
  <c r="BA41" i="17" s="1"/>
  <c r="BB41" i="17" s="1"/>
  <c r="BC41" i="17" s="1"/>
  <c r="BD41" i="17" s="1"/>
  <c r="BE41" i="17" s="1"/>
  <c r="BF41" i="17" s="1"/>
  <c r="BG41" i="17" s="1"/>
  <c r="BH41" i="17" s="1"/>
  <c r="BI41" i="17" s="1"/>
  <c r="BJ41" i="17" s="1"/>
  <c r="BK41" i="17" s="1"/>
  <c r="BL41" i="17" s="1"/>
  <c r="BM41" i="17" s="1"/>
  <c r="BN41" i="17" s="1"/>
  <c r="BO41" i="17" s="1"/>
  <c r="BP41" i="17" s="1"/>
  <c r="BQ41" i="17" s="1"/>
  <c r="BR41" i="17" s="1"/>
  <c r="BS41" i="17" s="1"/>
  <c r="BT41" i="17" s="1"/>
  <c r="BU41" i="17" s="1"/>
  <c r="BV41" i="17" s="1"/>
  <c r="BW41" i="17" s="1"/>
  <c r="BX41" i="17" s="1"/>
  <c r="BY41" i="17" s="1"/>
  <c r="BZ41" i="17" s="1"/>
  <c r="CA41" i="17" s="1"/>
  <c r="CB41" i="17" s="1"/>
  <c r="CC41" i="17" s="1"/>
  <c r="CD41" i="17" s="1"/>
  <c r="CE41" i="17" s="1"/>
  <c r="CF41" i="17" s="1"/>
  <c r="CG41" i="17" s="1"/>
  <c r="CH41" i="17" s="1"/>
  <c r="CI41" i="17" s="1"/>
  <c r="CJ41" i="17" s="1"/>
  <c r="CK41" i="17" s="1"/>
  <c r="CL41" i="17" s="1"/>
  <c r="CM41" i="17" s="1"/>
  <c r="CN41" i="17" s="1"/>
  <c r="CO41" i="17" s="1"/>
  <c r="CP41" i="17" s="1"/>
  <c r="CQ41" i="17" s="1"/>
  <c r="CR41" i="17" s="1"/>
  <c r="CS41" i="17" s="1"/>
  <c r="CT41" i="17" s="1"/>
  <c r="CU41" i="17" s="1"/>
  <c r="CV41" i="17" s="1"/>
  <c r="CW41" i="17" s="1"/>
  <c r="CX41" i="17" s="1"/>
  <c r="CY41" i="17" s="1"/>
  <c r="CZ41" i="17" s="1"/>
  <c r="DA41" i="17" s="1"/>
  <c r="DB41" i="17" s="1"/>
  <c r="DC41" i="17" s="1"/>
  <c r="DD41" i="17" s="1"/>
  <c r="DE41" i="17" s="1"/>
  <c r="DF41" i="17" s="1"/>
  <c r="DG41" i="17" s="1"/>
  <c r="DH41" i="17" s="1"/>
  <c r="DI41" i="17" s="1"/>
  <c r="DJ41" i="17" s="1"/>
  <c r="DK41" i="17" s="1"/>
  <c r="DL41" i="17" s="1"/>
  <c r="X292" i="17"/>
  <c r="Y292" i="17" s="1"/>
  <c r="Y235" i="17"/>
  <c r="Z235" i="17" s="1"/>
  <c r="Y167" i="17"/>
  <c r="AD300" i="17"/>
  <c r="AE300" i="17" s="1"/>
  <c r="AF300" i="17" s="1"/>
  <c r="AG300" i="17" s="1"/>
  <c r="AH300" i="17" s="1"/>
  <c r="AI300" i="17" s="1"/>
  <c r="AJ300" i="17" s="1"/>
  <c r="AK300" i="17" s="1"/>
  <c r="AL300" i="17" s="1"/>
  <c r="AM300" i="17" s="1"/>
  <c r="AN300" i="17" s="1"/>
  <c r="AO300" i="17" s="1"/>
  <c r="AP300" i="17" s="1"/>
  <c r="AQ300" i="17" s="1"/>
  <c r="AR300" i="17" s="1"/>
  <c r="AS300" i="17" s="1"/>
  <c r="AT300" i="17" s="1"/>
  <c r="AU300" i="17" s="1"/>
  <c r="AV300" i="17" s="1"/>
  <c r="AW300" i="17" s="1"/>
  <c r="AX300" i="17" s="1"/>
  <c r="AY300" i="17" s="1"/>
  <c r="AZ300" i="17" s="1"/>
  <c r="BA300" i="17" s="1"/>
  <c r="BB300" i="17" s="1"/>
  <c r="BC300" i="17" s="1"/>
  <c r="BD300" i="17" s="1"/>
  <c r="BE300" i="17" s="1"/>
  <c r="BF300" i="17" s="1"/>
  <c r="BG300" i="17" s="1"/>
  <c r="BH300" i="17" s="1"/>
  <c r="BI300" i="17" s="1"/>
  <c r="BJ300" i="17" s="1"/>
  <c r="BK300" i="17" s="1"/>
  <c r="BL300" i="17" s="1"/>
  <c r="BM300" i="17" s="1"/>
  <c r="BN300" i="17" s="1"/>
  <c r="BO300" i="17" s="1"/>
  <c r="BP300" i="17" s="1"/>
  <c r="BQ300" i="17" s="1"/>
  <c r="BR300" i="17" s="1"/>
  <c r="BS300" i="17" s="1"/>
  <c r="BT300" i="17" s="1"/>
  <c r="BU300" i="17" s="1"/>
  <c r="BV300" i="17" s="1"/>
  <c r="BW300" i="17" s="1"/>
  <c r="BX300" i="17" s="1"/>
  <c r="BY300" i="17" s="1"/>
  <c r="BZ300" i="17" s="1"/>
  <c r="CA300" i="17" s="1"/>
  <c r="CB300" i="17" s="1"/>
  <c r="CC300" i="17" s="1"/>
  <c r="CD300" i="17" s="1"/>
  <c r="CE300" i="17" s="1"/>
  <c r="CF300" i="17" s="1"/>
  <c r="CG300" i="17" s="1"/>
  <c r="CH300" i="17" s="1"/>
  <c r="CI300" i="17" s="1"/>
  <c r="CJ300" i="17" s="1"/>
  <c r="CK300" i="17" s="1"/>
  <c r="CL300" i="17" s="1"/>
  <c r="CM300" i="17" s="1"/>
  <c r="CN300" i="17" s="1"/>
  <c r="CO300" i="17" s="1"/>
  <c r="CP300" i="17" s="1"/>
  <c r="CQ300" i="17" s="1"/>
  <c r="CR300" i="17" s="1"/>
  <c r="CS300" i="17" s="1"/>
  <c r="CT300" i="17" s="1"/>
  <c r="CU300" i="17" s="1"/>
  <c r="CV300" i="17" s="1"/>
  <c r="CW300" i="17" s="1"/>
  <c r="CX300" i="17" s="1"/>
  <c r="CY300" i="17" s="1"/>
  <c r="CZ300" i="17" s="1"/>
  <c r="DA300" i="17" s="1"/>
  <c r="DB300" i="17" s="1"/>
  <c r="DC300" i="17" s="1"/>
  <c r="DD300" i="17" s="1"/>
  <c r="DE300" i="17" s="1"/>
  <c r="DF300" i="17" s="1"/>
  <c r="DG300" i="17" s="1"/>
  <c r="DH300" i="17" s="1"/>
  <c r="DI300" i="17" s="1"/>
  <c r="DJ300" i="17" s="1"/>
  <c r="DK300" i="17" s="1"/>
  <c r="DL300" i="17" s="1"/>
  <c r="AC131" i="17"/>
  <c r="AD131" i="17" s="1"/>
  <c r="AE131" i="17" s="1"/>
  <c r="AF131" i="17" s="1"/>
  <c r="AD299" i="17"/>
  <c r="AE299" i="17" s="1"/>
  <c r="AF299" i="17" s="1"/>
  <c r="AG299" i="17" s="1"/>
  <c r="AH299" i="17" s="1"/>
  <c r="AI299" i="17" s="1"/>
  <c r="AJ299" i="17" s="1"/>
  <c r="AK299" i="17" s="1"/>
  <c r="AL299" i="17" s="1"/>
  <c r="AM299" i="17" s="1"/>
  <c r="AN299" i="17" s="1"/>
  <c r="AO299" i="17" s="1"/>
  <c r="AP299" i="17" s="1"/>
  <c r="AQ299" i="17" s="1"/>
  <c r="AD211" i="17"/>
  <c r="AD174" i="17"/>
  <c r="AE174" i="17" s="1"/>
  <c r="AF174" i="17" s="1"/>
  <c r="AG174" i="17" s="1"/>
  <c r="AH174" i="17" s="1"/>
  <c r="AI174" i="17" s="1"/>
  <c r="AJ174" i="17" s="1"/>
  <c r="AK174" i="17" s="1"/>
  <c r="Z167" i="17"/>
  <c r="Y24" i="17"/>
  <c r="Z24" i="17" s="1"/>
  <c r="AA24" i="17" s="1"/>
  <c r="AK262" i="17"/>
  <c r="AL262" i="17" s="1"/>
  <c r="AM262" i="17" s="1"/>
  <c r="AN262" i="17" s="1"/>
  <c r="AO262" i="17" s="1"/>
  <c r="AP262" i="17" s="1"/>
  <c r="AQ262" i="17" s="1"/>
  <c r="AR262" i="17" s="1"/>
  <c r="AS262" i="17" s="1"/>
  <c r="AT262" i="17" s="1"/>
  <c r="AU262" i="17" s="1"/>
  <c r="AV262" i="17" s="1"/>
  <c r="AW262" i="17" s="1"/>
  <c r="AX262" i="17" s="1"/>
  <c r="AY262" i="17" s="1"/>
  <c r="AZ262" i="17" s="1"/>
  <c r="BA262" i="17" s="1"/>
  <c r="BB262" i="17" s="1"/>
  <c r="BC262" i="17" s="1"/>
  <c r="BD262" i="17" s="1"/>
  <c r="BE262" i="17" s="1"/>
  <c r="BF262" i="17" s="1"/>
  <c r="BG262" i="17" s="1"/>
  <c r="BH262" i="17" s="1"/>
  <c r="BI262" i="17" s="1"/>
  <c r="BJ262" i="17" s="1"/>
  <c r="BK262" i="17" s="1"/>
  <c r="BL262" i="17" s="1"/>
  <c r="BM262" i="17" s="1"/>
  <c r="BN262" i="17" s="1"/>
  <c r="BO262" i="17" s="1"/>
  <c r="BP262" i="17" s="1"/>
  <c r="BQ262" i="17" s="1"/>
  <c r="BR262" i="17" s="1"/>
  <c r="BS262" i="17" s="1"/>
  <c r="BT262" i="17" s="1"/>
  <c r="BU262" i="17" s="1"/>
  <c r="BV262" i="17" s="1"/>
  <c r="BW262" i="17" s="1"/>
  <c r="BX262" i="17" s="1"/>
  <c r="BY262" i="17" s="1"/>
  <c r="BZ262" i="17" s="1"/>
  <c r="CA262" i="17" s="1"/>
  <c r="CB262" i="17" s="1"/>
  <c r="CC262" i="17" s="1"/>
  <c r="CD262" i="17" s="1"/>
  <c r="CE262" i="17" s="1"/>
  <c r="CF262" i="17" s="1"/>
  <c r="CG262" i="17" s="1"/>
  <c r="CH262" i="17" s="1"/>
  <c r="CI262" i="17" s="1"/>
  <c r="CJ262" i="17" s="1"/>
  <c r="CK262" i="17" s="1"/>
  <c r="CL262" i="17" s="1"/>
  <c r="CM262" i="17" s="1"/>
  <c r="CN262" i="17" s="1"/>
  <c r="CO262" i="17" s="1"/>
  <c r="CP262" i="17" s="1"/>
  <c r="CQ262" i="17" s="1"/>
  <c r="CR262" i="17" s="1"/>
  <c r="CS262" i="17" s="1"/>
  <c r="CT262" i="17" s="1"/>
  <c r="CU262" i="17" s="1"/>
  <c r="CV262" i="17" s="1"/>
  <c r="CW262" i="17" s="1"/>
  <c r="CX262" i="17" s="1"/>
  <c r="CY262" i="17" s="1"/>
  <c r="CZ262" i="17" s="1"/>
  <c r="DA262" i="17" s="1"/>
  <c r="DB262" i="17" s="1"/>
  <c r="DC262" i="17" s="1"/>
  <c r="DD262" i="17" s="1"/>
  <c r="DE262" i="17" s="1"/>
  <c r="DF262" i="17" s="1"/>
  <c r="DG262" i="17" s="1"/>
  <c r="DH262" i="17" s="1"/>
  <c r="DI262" i="17" s="1"/>
  <c r="DJ262" i="17" s="1"/>
  <c r="DK262" i="17" s="1"/>
  <c r="DL262" i="17" s="1"/>
  <c r="AC291" i="17"/>
  <c r="AD291" i="17" s="1"/>
  <c r="AE291" i="17" s="1"/>
  <c r="AF291" i="17" s="1"/>
  <c r="AG291" i="17" s="1"/>
  <c r="AH291" i="17" s="1"/>
  <c r="AI291" i="17" s="1"/>
  <c r="AJ291" i="17" s="1"/>
  <c r="AK291" i="17" s="1"/>
  <c r="AL291" i="17" s="1"/>
  <c r="AM291" i="17" s="1"/>
  <c r="AN291" i="17" s="1"/>
  <c r="AO291" i="17" s="1"/>
  <c r="AP291" i="17" s="1"/>
  <c r="AQ291" i="17" s="1"/>
  <c r="AR291" i="17" s="1"/>
  <c r="AS291" i="17" s="1"/>
  <c r="AT291" i="17" s="1"/>
  <c r="AU291" i="17" s="1"/>
  <c r="AV291" i="17" s="1"/>
  <c r="AW291" i="17" s="1"/>
  <c r="AX291" i="17" s="1"/>
  <c r="AY291" i="17" s="1"/>
  <c r="AZ291" i="17" s="1"/>
  <c r="BA291" i="17" s="1"/>
  <c r="BB291" i="17" s="1"/>
  <c r="BC291" i="17" s="1"/>
  <c r="BD291" i="17" s="1"/>
  <c r="BE291" i="17" s="1"/>
  <c r="BF291" i="17" s="1"/>
  <c r="BG291" i="17" s="1"/>
  <c r="BH291" i="17" s="1"/>
  <c r="BI291" i="17" s="1"/>
  <c r="BJ291" i="17" s="1"/>
  <c r="BK291" i="17" s="1"/>
  <c r="BL291" i="17" s="1"/>
  <c r="BM291" i="17" s="1"/>
  <c r="BN291" i="17" s="1"/>
  <c r="BO291" i="17" s="1"/>
  <c r="BP291" i="17" s="1"/>
  <c r="BQ291" i="17" s="1"/>
  <c r="BR291" i="17" s="1"/>
  <c r="BS291" i="17" s="1"/>
  <c r="BT291" i="17" s="1"/>
  <c r="BU291" i="17" s="1"/>
  <c r="BV291" i="17" s="1"/>
  <c r="BW291" i="17" s="1"/>
  <c r="BX291" i="17" s="1"/>
  <c r="BY291" i="17" s="1"/>
  <c r="BZ291" i="17" s="1"/>
  <c r="CA291" i="17" s="1"/>
  <c r="CB291" i="17" s="1"/>
  <c r="CC291" i="17" s="1"/>
  <c r="CD291" i="17" s="1"/>
  <c r="CE291" i="17" s="1"/>
  <c r="CF291" i="17" s="1"/>
  <c r="CG291" i="17" s="1"/>
  <c r="CH291" i="17" s="1"/>
  <c r="CI291" i="17" s="1"/>
  <c r="CJ291" i="17" s="1"/>
  <c r="CK291" i="17" s="1"/>
  <c r="CL291" i="17" s="1"/>
  <c r="CM291" i="17" s="1"/>
  <c r="CN291" i="17" s="1"/>
  <c r="CO291" i="17" s="1"/>
  <c r="CP291" i="17" s="1"/>
  <c r="CQ291" i="17" s="1"/>
  <c r="CR291" i="17" s="1"/>
  <c r="CS291" i="17" s="1"/>
  <c r="CT291" i="17" s="1"/>
  <c r="CU291" i="17" s="1"/>
  <c r="CV291" i="17" s="1"/>
  <c r="CW291" i="17" s="1"/>
  <c r="CX291" i="17" s="1"/>
  <c r="CY291" i="17" s="1"/>
  <c r="CZ291" i="17" s="1"/>
  <c r="DA291" i="17" s="1"/>
  <c r="DB291" i="17" s="1"/>
  <c r="DC291" i="17" s="1"/>
  <c r="DD291" i="17" s="1"/>
  <c r="DE291" i="17" s="1"/>
  <c r="DF291" i="17" s="1"/>
  <c r="DG291" i="17" s="1"/>
  <c r="DH291" i="17" s="1"/>
  <c r="DI291" i="17" s="1"/>
  <c r="DJ291" i="17" s="1"/>
  <c r="DK291" i="17" s="1"/>
  <c r="DL291" i="17" s="1"/>
  <c r="AD85" i="17"/>
  <c r="AE85" i="17" s="1"/>
  <c r="AF85" i="17" s="1"/>
  <c r="AG85" i="17" s="1"/>
  <c r="AI251" i="17"/>
  <c r="AC135" i="17"/>
  <c r="AD135" i="17" s="1"/>
  <c r="AE135" i="17" s="1"/>
  <c r="CU126" i="17"/>
  <c r="CV126" i="17" s="1"/>
  <c r="CW126" i="17" s="1"/>
  <c r="CX126" i="17" s="1"/>
  <c r="CY126" i="17" s="1"/>
  <c r="CZ126" i="17" s="1"/>
  <c r="DA126" i="17" s="1"/>
  <c r="DB126" i="17" s="1"/>
  <c r="DC126" i="17" s="1"/>
  <c r="DD126" i="17" s="1"/>
  <c r="DE126" i="17" s="1"/>
  <c r="DF126" i="17" s="1"/>
  <c r="DG126" i="17" s="1"/>
  <c r="DH126" i="17" s="1"/>
  <c r="DI126" i="17" s="1"/>
  <c r="DJ126" i="17" s="1"/>
  <c r="DK126" i="17" s="1"/>
  <c r="DL126" i="17" s="1"/>
  <c r="Z159" i="17"/>
  <c r="AA159" i="17" s="1"/>
  <c r="AB159" i="17" s="1"/>
  <c r="AC159" i="17" s="1"/>
  <c r="AD159" i="17" s="1"/>
  <c r="AE159" i="17" s="1"/>
  <c r="AF159" i="17" s="1"/>
  <c r="AG159" i="17" s="1"/>
  <c r="AH159" i="17" s="1"/>
  <c r="AI159" i="17" s="1"/>
  <c r="AJ159" i="17" s="1"/>
  <c r="AK159" i="17" s="1"/>
  <c r="AL159" i="17" s="1"/>
  <c r="AM159" i="17" s="1"/>
  <c r="AN159" i="17" s="1"/>
  <c r="AO159" i="17" s="1"/>
  <c r="AP159" i="17" s="1"/>
  <c r="AQ159" i="17" s="1"/>
  <c r="AR159" i="17" s="1"/>
  <c r="AS159" i="17" s="1"/>
  <c r="AT159" i="17" s="1"/>
  <c r="AU159" i="17" s="1"/>
  <c r="AV159" i="17" s="1"/>
  <c r="X201" i="17"/>
  <c r="Y201" i="17" s="1"/>
  <c r="Y203" i="17"/>
  <c r="Z203" i="17" s="1"/>
  <c r="Y189" i="17"/>
  <c r="Z46" i="17"/>
  <c r="AA46" i="17" s="1"/>
  <c r="AB46" i="17" s="1"/>
  <c r="AC46" i="17" s="1"/>
  <c r="AD46" i="17" s="1"/>
  <c r="AE46" i="17" s="1"/>
  <c r="AF46" i="17" s="1"/>
  <c r="AG46" i="17" s="1"/>
  <c r="AH46" i="17" s="1"/>
  <c r="AI46" i="17" s="1"/>
  <c r="AJ46" i="17" s="1"/>
  <c r="AK46" i="17" s="1"/>
  <c r="AL46" i="17" s="1"/>
  <c r="AM46" i="17" s="1"/>
  <c r="AN46" i="17" s="1"/>
  <c r="AO46" i="17" s="1"/>
  <c r="AP46" i="17" s="1"/>
  <c r="AQ46" i="17" s="1"/>
  <c r="AR46" i="17" s="1"/>
  <c r="AS46" i="17" s="1"/>
  <c r="AT46" i="17" s="1"/>
  <c r="AU46" i="17" s="1"/>
  <c r="AV46" i="17" s="1"/>
  <c r="AW46" i="17" s="1"/>
  <c r="AX46" i="17" s="1"/>
  <c r="AY46" i="17" s="1"/>
  <c r="AZ46" i="17" s="1"/>
  <c r="BA46" i="17" s="1"/>
  <c r="BB46" i="17" s="1"/>
  <c r="BC46" i="17" s="1"/>
  <c r="BD46" i="17" s="1"/>
  <c r="BE46" i="17" s="1"/>
  <c r="BF46" i="17" s="1"/>
  <c r="BG46" i="17" s="1"/>
  <c r="BH46" i="17" s="1"/>
  <c r="BI46" i="17" s="1"/>
  <c r="BJ46" i="17" s="1"/>
  <c r="BK46" i="17" s="1"/>
  <c r="BL46" i="17" s="1"/>
  <c r="BM46" i="17" s="1"/>
  <c r="BN46" i="17" s="1"/>
  <c r="BO46" i="17" s="1"/>
  <c r="BP46" i="17" s="1"/>
  <c r="BQ46" i="17" s="1"/>
  <c r="BR46" i="17" s="1"/>
  <c r="BS46" i="17" s="1"/>
  <c r="BT46" i="17" s="1"/>
  <c r="BU46" i="17" s="1"/>
  <c r="BV46" i="17" s="1"/>
  <c r="BW46" i="17" s="1"/>
  <c r="BX46" i="17" s="1"/>
  <c r="BY46" i="17" s="1"/>
  <c r="BZ46" i="17" s="1"/>
  <c r="CA46" i="17" s="1"/>
  <c r="CB46" i="17" s="1"/>
  <c r="CC46" i="17" s="1"/>
  <c r="CD46" i="17" s="1"/>
  <c r="CE46" i="17" s="1"/>
  <c r="CF46" i="17" s="1"/>
  <c r="CG46" i="17" s="1"/>
  <c r="CH46" i="17" s="1"/>
  <c r="CI46" i="17" s="1"/>
  <c r="CJ46" i="17" s="1"/>
  <c r="CK46" i="17" s="1"/>
  <c r="CL46" i="17" s="1"/>
  <c r="CM46" i="17" s="1"/>
  <c r="CN46" i="17" s="1"/>
  <c r="CO46" i="17" s="1"/>
  <c r="CP46" i="17" s="1"/>
  <c r="CQ46" i="17" s="1"/>
  <c r="CR46" i="17" s="1"/>
  <c r="CS46" i="17" s="1"/>
  <c r="CT46" i="17" s="1"/>
  <c r="CU46" i="17" s="1"/>
  <c r="CV46" i="17" s="1"/>
  <c r="CW46" i="17" s="1"/>
  <c r="CX46" i="17" s="1"/>
  <c r="CY46" i="17" s="1"/>
  <c r="CZ46" i="17" s="1"/>
  <c r="DA46" i="17" s="1"/>
  <c r="DB46" i="17" s="1"/>
  <c r="DC46" i="17" s="1"/>
  <c r="DD46" i="17" s="1"/>
  <c r="DE46" i="17" s="1"/>
  <c r="DF46" i="17" s="1"/>
  <c r="DG46" i="17" s="1"/>
  <c r="DH46" i="17" s="1"/>
  <c r="DI46" i="17" s="1"/>
  <c r="DJ46" i="17" s="1"/>
  <c r="DK46" i="17" s="1"/>
  <c r="DL46" i="17" s="1"/>
  <c r="BS25" i="17"/>
  <c r="BT25" i="17" s="1"/>
  <c r="BU25" i="17" s="1"/>
  <c r="BV25" i="17" s="1"/>
  <c r="BW25" i="17" s="1"/>
  <c r="BX25" i="17" s="1"/>
  <c r="BY25" i="17" s="1"/>
  <c r="BZ25" i="17" s="1"/>
  <c r="CA25" i="17" s="1"/>
  <c r="CB25" i="17" s="1"/>
  <c r="CC25" i="17" s="1"/>
  <c r="CD25" i="17" s="1"/>
  <c r="CE25" i="17" s="1"/>
  <c r="CF25" i="17" s="1"/>
  <c r="CG25" i="17" s="1"/>
  <c r="CH25" i="17" s="1"/>
  <c r="CI25" i="17" s="1"/>
  <c r="CJ25" i="17" s="1"/>
  <c r="CK25" i="17" s="1"/>
  <c r="CL25" i="17" s="1"/>
  <c r="CM25" i="17" s="1"/>
  <c r="CN25" i="17" s="1"/>
  <c r="CO25" i="17" s="1"/>
  <c r="CP25" i="17" s="1"/>
  <c r="CQ25" i="17" s="1"/>
  <c r="CR25" i="17" s="1"/>
  <c r="CS25" i="17" s="1"/>
  <c r="CT25" i="17" s="1"/>
  <c r="CU25" i="17" s="1"/>
  <c r="CV25" i="17" s="1"/>
  <c r="CW25" i="17" s="1"/>
  <c r="CX25" i="17" s="1"/>
  <c r="CY25" i="17" s="1"/>
  <c r="CZ25" i="17" s="1"/>
  <c r="DA25" i="17" s="1"/>
  <c r="DB25" i="17" s="1"/>
  <c r="DC25" i="17" s="1"/>
  <c r="DD25" i="17" s="1"/>
  <c r="DE25" i="17" s="1"/>
  <c r="DF25" i="17" s="1"/>
  <c r="DG25" i="17" s="1"/>
  <c r="DH25" i="17" s="1"/>
  <c r="DI25" i="17" s="1"/>
  <c r="DJ25" i="17" s="1"/>
  <c r="DK25" i="17" s="1"/>
  <c r="DL25" i="17" s="1"/>
  <c r="AF215" i="17"/>
  <c r="AG215" i="17" s="1"/>
  <c r="X72" i="17"/>
  <c r="Y72" i="17" s="1"/>
  <c r="Z72" i="17" s="1"/>
  <c r="AA72" i="17" s="1"/>
  <c r="AB72" i="17" s="1"/>
  <c r="AC72" i="17" s="1"/>
  <c r="AD72" i="17" s="1"/>
  <c r="BW75" i="17"/>
  <c r="BX75" i="17" s="1"/>
  <c r="BY75" i="17" s="1"/>
  <c r="BZ75" i="17" s="1"/>
  <c r="CA75" i="17" s="1"/>
  <c r="CB75" i="17" s="1"/>
  <c r="CC75" i="17" s="1"/>
  <c r="CD75" i="17" s="1"/>
  <c r="CE75" i="17" s="1"/>
  <c r="CF75" i="17" s="1"/>
  <c r="CG75" i="17" s="1"/>
  <c r="CH75" i="17" s="1"/>
  <c r="CI75" i="17" s="1"/>
  <c r="CJ75" i="17" s="1"/>
  <c r="CK75" i="17" s="1"/>
  <c r="CL75" i="17" s="1"/>
  <c r="CM75" i="17" s="1"/>
  <c r="CN75" i="17" s="1"/>
  <c r="CO75" i="17" s="1"/>
  <c r="CP75" i="17" s="1"/>
  <c r="CQ75" i="17" s="1"/>
  <c r="CR75" i="17" s="1"/>
  <c r="CS75" i="17" s="1"/>
  <c r="CT75" i="17" s="1"/>
  <c r="CU75" i="17" s="1"/>
  <c r="CV75" i="17" s="1"/>
  <c r="CW75" i="17" s="1"/>
  <c r="CX75" i="17" s="1"/>
  <c r="CY75" i="17" s="1"/>
  <c r="CZ75" i="17" s="1"/>
  <c r="DA75" i="17" s="1"/>
  <c r="DB75" i="17" s="1"/>
  <c r="DC75" i="17" s="1"/>
  <c r="DD75" i="17" s="1"/>
  <c r="DE75" i="17" s="1"/>
  <c r="DF75" i="17" s="1"/>
  <c r="DG75" i="17" s="1"/>
  <c r="DH75" i="17" s="1"/>
  <c r="DI75" i="17" s="1"/>
  <c r="DJ75" i="17" s="1"/>
  <c r="DK75" i="17" s="1"/>
  <c r="DL75" i="17" s="1"/>
  <c r="CN92" i="17"/>
  <c r="CO92" i="17" s="1"/>
  <c r="CP92" i="17" s="1"/>
  <c r="CQ92" i="17" s="1"/>
  <c r="CR92" i="17" s="1"/>
  <c r="CS92" i="17" s="1"/>
  <c r="CT92" i="17" s="1"/>
  <c r="CU92" i="17" s="1"/>
  <c r="CV92" i="17" s="1"/>
  <c r="CW92" i="17" s="1"/>
  <c r="CX92" i="17" s="1"/>
  <c r="CY92" i="17" s="1"/>
  <c r="CZ92" i="17" s="1"/>
  <c r="DA92" i="17" s="1"/>
  <c r="DB92" i="17" s="1"/>
  <c r="DC92" i="17" s="1"/>
  <c r="DD92" i="17" s="1"/>
  <c r="DE92" i="17" s="1"/>
  <c r="DF92" i="17" s="1"/>
  <c r="DG92" i="17" s="1"/>
  <c r="DH92" i="17" s="1"/>
  <c r="DI92" i="17" s="1"/>
  <c r="DJ92" i="17" s="1"/>
  <c r="DK92" i="17" s="1"/>
  <c r="DL92" i="17" s="1"/>
  <c r="AJ229" i="17"/>
  <c r="AK229" i="17" s="1"/>
  <c r="AL229" i="17" s="1"/>
  <c r="AM229" i="17" s="1"/>
  <c r="AN229" i="17" s="1"/>
  <c r="AO229" i="17" s="1"/>
  <c r="AP229" i="17" s="1"/>
  <c r="AQ229" i="17" s="1"/>
  <c r="AR229" i="17" s="1"/>
  <c r="AS229" i="17" s="1"/>
  <c r="AT229" i="17" s="1"/>
  <c r="AU229" i="17" s="1"/>
  <c r="AV229" i="17" s="1"/>
  <c r="AW229" i="17" s="1"/>
  <c r="AX229" i="17" s="1"/>
  <c r="AY229" i="17" s="1"/>
  <c r="AZ229" i="17" s="1"/>
  <c r="BA229" i="17" s="1"/>
  <c r="BB229" i="17" s="1"/>
  <c r="BC229" i="17" s="1"/>
  <c r="BD229" i="17" s="1"/>
  <c r="BE229" i="17" s="1"/>
  <c r="BF229" i="17" s="1"/>
  <c r="BG229" i="17" s="1"/>
  <c r="BH229" i="17" s="1"/>
  <c r="BI229" i="17" s="1"/>
  <c r="BJ229" i="17" s="1"/>
  <c r="BK229" i="17" s="1"/>
  <c r="BL229" i="17" s="1"/>
  <c r="BM229" i="17" s="1"/>
  <c r="BN229" i="17" s="1"/>
  <c r="BO229" i="17" s="1"/>
  <c r="BP229" i="17" s="1"/>
  <c r="BQ229" i="17" s="1"/>
  <c r="BR229" i="17" s="1"/>
  <c r="BS229" i="17" s="1"/>
  <c r="BT229" i="17" s="1"/>
  <c r="BU229" i="17" s="1"/>
  <c r="BV229" i="17" s="1"/>
  <c r="BW229" i="17" s="1"/>
  <c r="BX229" i="17" s="1"/>
  <c r="BY229" i="17" s="1"/>
  <c r="BZ229" i="17" s="1"/>
  <c r="CA229" i="17" s="1"/>
  <c r="CB229" i="17" s="1"/>
  <c r="CC229" i="17" s="1"/>
  <c r="CD229" i="17" s="1"/>
  <c r="CE229" i="17" s="1"/>
  <c r="CF229" i="17" s="1"/>
  <c r="CG229" i="17" s="1"/>
  <c r="CH229" i="17" s="1"/>
  <c r="CI229" i="17" s="1"/>
  <c r="CJ229" i="17" s="1"/>
  <c r="CK229" i="17" s="1"/>
  <c r="CL229" i="17" s="1"/>
  <c r="CM229" i="17" s="1"/>
  <c r="CN229" i="17" s="1"/>
  <c r="CO229" i="17" s="1"/>
  <c r="CP229" i="17" s="1"/>
  <c r="CQ229" i="17" s="1"/>
  <c r="CR229" i="17" s="1"/>
  <c r="CS229" i="17" s="1"/>
  <c r="CT229" i="17" s="1"/>
  <c r="CU229" i="17" s="1"/>
  <c r="CV229" i="17" s="1"/>
  <c r="CW229" i="17" s="1"/>
  <c r="CX229" i="17" s="1"/>
  <c r="CY229" i="17" s="1"/>
  <c r="CZ229" i="17" s="1"/>
  <c r="DA229" i="17" s="1"/>
  <c r="DB229" i="17" s="1"/>
  <c r="DC229" i="17" s="1"/>
  <c r="DD229" i="17" s="1"/>
  <c r="DE229" i="17" s="1"/>
  <c r="DF229" i="17" s="1"/>
  <c r="DG229" i="17" s="1"/>
  <c r="DH229" i="17" s="1"/>
  <c r="DI229" i="17" s="1"/>
  <c r="DJ229" i="17" s="1"/>
  <c r="DK229" i="17" s="1"/>
  <c r="DL229" i="17" s="1"/>
  <c r="W185" i="17"/>
  <c r="Z208" i="17"/>
  <c r="AA208" i="17" s="1"/>
  <c r="AB208" i="17" s="1"/>
  <c r="AH153" i="17"/>
  <c r="AI153" i="17" s="1"/>
  <c r="AJ153" i="17" s="1"/>
  <c r="AK153" i="17" s="1"/>
  <c r="AL153" i="17" s="1"/>
  <c r="AM153" i="17" s="1"/>
  <c r="AN153" i="17" s="1"/>
  <c r="AO153" i="17" s="1"/>
  <c r="AP153" i="17" s="1"/>
  <c r="AQ153" i="17" s="1"/>
  <c r="AR153" i="17" s="1"/>
  <c r="AS153" i="17" s="1"/>
  <c r="AT153" i="17" s="1"/>
  <c r="AU153" i="17" s="1"/>
  <c r="AV153" i="17" s="1"/>
  <c r="AW153" i="17" s="1"/>
  <c r="AX153" i="17" s="1"/>
  <c r="AY153" i="17" s="1"/>
  <c r="AZ153" i="17" s="1"/>
  <c r="BA153" i="17" s="1"/>
  <c r="BB153" i="17" s="1"/>
  <c r="BC153" i="17" s="1"/>
  <c r="BD153" i="17" s="1"/>
  <c r="BE153" i="17" s="1"/>
  <c r="BF153" i="17" s="1"/>
  <c r="BG153" i="17" s="1"/>
  <c r="BH153" i="17" s="1"/>
  <c r="BI153" i="17" s="1"/>
  <c r="BJ153" i="17" s="1"/>
  <c r="BK153" i="17" s="1"/>
  <c r="BL153" i="17" s="1"/>
  <c r="BM153" i="17" s="1"/>
  <c r="BN153" i="17" s="1"/>
  <c r="BO153" i="17" s="1"/>
  <c r="BP153" i="17" s="1"/>
  <c r="BQ153" i="17" s="1"/>
  <c r="BR153" i="17" s="1"/>
  <c r="BS153" i="17" s="1"/>
  <c r="BT153" i="17" s="1"/>
  <c r="BU153" i="17" s="1"/>
  <c r="BV153" i="17" s="1"/>
  <c r="BW153" i="17" s="1"/>
  <c r="BX153" i="17" s="1"/>
  <c r="BY153" i="17" s="1"/>
  <c r="BZ153" i="17" s="1"/>
  <c r="CA153" i="17" s="1"/>
  <c r="CB153" i="17" s="1"/>
  <c r="CC153" i="17" s="1"/>
  <c r="CD153" i="17" s="1"/>
  <c r="CE153" i="17" s="1"/>
  <c r="CF153" i="17" s="1"/>
  <c r="CG153" i="17" s="1"/>
  <c r="CH153" i="17" s="1"/>
  <c r="CI153" i="17" s="1"/>
  <c r="CJ153" i="17" s="1"/>
  <c r="CK153" i="17" s="1"/>
  <c r="CL153" i="17" s="1"/>
  <c r="CM153" i="17" s="1"/>
  <c r="CN153" i="17" s="1"/>
  <c r="CO153" i="17" s="1"/>
  <c r="CP153" i="17" s="1"/>
  <c r="CQ153" i="17" s="1"/>
  <c r="CR153" i="17" s="1"/>
  <c r="CS153" i="17" s="1"/>
  <c r="CT153" i="17" s="1"/>
  <c r="CU153" i="17" s="1"/>
  <c r="CV153" i="17" s="1"/>
  <c r="CW153" i="17" s="1"/>
  <c r="CX153" i="17" s="1"/>
  <c r="CY153" i="17" s="1"/>
  <c r="CZ153" i="17" s="1"/>
  <c r="DA153" i="17" s="1"/>
  <c r="DB153" i="17" s="1"/>
  <c r="DC153" i="17" s="1"/>
  <c r="DD153" i="17" s="1"/>
  <c r="DE153" i="17" s="1"/>
  <c r="DF153" i="17" s="1"/>
  <c r="DG153" i="17" s="1"/>
  <c r="DH153" i="17" s="1"/>
  <c r="DI153" i="17" s="1"/>
  <c r="DJ153" i="17" s="1"/>
  <c r="DK153" i="17" s="1"/>
  <c r="DL153" i="17" s="1"/>
  <c r="X286" i="17"/>
  <c r="Y286" i="17" s="1"/>
  <c r="Z286" i="17" s="1"/>
  <c r="AA48" i="17"/>
  <c r="Z47" i="17"/>
  <c r="AA47" i="17" s="1"/>
  <c r="AB47" i="17" s="1"/>
  <c r="AC47" i="17" s="1"/>
  <c r="AD47" i="17" s="1"/>
  <c r="AE47" i="17" s="1"/>
  <c r="AF47" i="17" s="1"/>
  <c r="AG47" i="17" s="1"/>
  <c r="AH47" i="17" s="1"/>
  <c r="AI47" i="17" s="1"/>
  <c r="AJ47" i="17" s="1"/>
  <c r="AK47" i="17" s="1"/>
  <c r="AL47" i="17" s="1"/>
  <c r="AM47" i="17" s="1"/>
  <c r="AN47" i="17" s="1"/>
  <c r="AO47" i="17" s="1"/>
  <c r="AP47" i="17" s="1"/>
  <c r="AQ47" i="17" s="1"/>
  <c r="AR47" i="17" s="1"/>
  <c r="AS47" i="17" s="1"/>
  <c r="AT47" i="17" s="1"/>
  <c r="AU47" i="17" s="1"/>
  <c r="AV47" i="17" s="1"/>
  <c r="AW47" i="17" s="1"/>
  <c r="AX47" i="17" s="1"/>
  <c r="AY47" i="17" s="1"/>
  <c r="AZ47" i="17" s="1"/>
  <c r="BA47" i="17" s="1"/>
  <c r="BB47" i="17" s="1"/>
  <c r="BC47" i="17" s="1"/>
  <c r="BD47" i="17" s="1"/>
  <c r="BE47" i="17" s="1"/>
  <c r="BF47" i="17" s="1"/>
  <c r="BG47" i="17" s="1"/>
  <c r="BH47" i="17" s="1"/>
  <c r="BI47" i="17" s="1"/>
  <c r="BJ47" i="17" s="1"/>
  <c r="BK47" i="17" s="1"/>
  <c r="BL47" i="17" s="1"/>
  <c r="BM47" i="17" s="1"/>
  <c r="BN47" i="17" s="1"/>
  <c r="BO47" i="17" s="1"/>
  <c r="BP47" i="17" s="1"/>
  <c r="BQ47" i="17" s="1"/>
  <c r="BR47" i="17" s="1"/>
  <c r="BS47" i="17" s="1"/>
  <c r="BT47" i="17" s="1"/>
  <c r="BU47" i="17" s="1"/>
  <c r="BV47" i="17" s="1"/>
  <c r="BW47" i="17" s="1"/>
  <c r="BX47" i="17" s="1"/>
  <c r="BY47" i="17" s="1"/>
  <c r="BZ47" i="17" s="1"/>
  <c r="CA47" i="17" s="1"/>
  <c r="CB47" i="17" s="1"/>
  <c r="CC47" i="17" s="1"/>
  <c r="CD47" i="17" s="1"/>
  <c r="CE47" i="17" s="1"/>
  <c r="CF47" i="17" s="1"/>
  <c r="CG47" i="17" s="1"/>
  <c r="CH47" i="17" s="1"/>
  <c r="CI47" i="17" s="1"/>
  <c r="CJ47" i="17" s="1"/>
  <c r="CK47" i="17" s="1"/>
  <c r="CL47" i="17" s="1"/>
  <c r="CM47" i="17" s="1"/>
  <c r="CN47" i="17" s="1"/>
  <c r="CO47" i="17" s="1"/>
  <c r="CP47" i="17" s="1"/>
  <c r="CQ47" i="17" s="1"/>
  <c r="CR47" i="17" s="1"/>
  <c r="CS47" i="17" s="1"/>
  <c r="CT47" i="17" s="1"/>
  <c r="CU47" i="17" s="1"/>
  <c r="CV47" i="17" s="1"/>
  <c r="CW47" i="17" s="1"/>
  <c r="CX47" i="17" s="1"/>
  <c r="CY47" i="17" s="1"/>
  <c r="CZ47" i="17" s="1"/>
  <c r="DA47" i="17" s="1"/>
  <c r="DB47" i="17" s="1"/>
  <c r="DC47" i="17" s="1"/>
  <c r="DD47" i="17" s="1"/>
  <c r="DE47" i="17" s="1"/>
  <c r="DF47" i="17" s="1"/>
  <c r="DG47" i="17" s="1"/>
  <c r="DH47" i="17" s="1"/>
  <c r="DI47" i="17" s="1"/>
  <c r="DJ47" i="17" s="1"/>
  <c r="DK47" i="17" s="1"/>
  <c r="DL47" i="17" s="1"/>
  <c r="AD257" i="17"/>
  <c r="AE257" i="17" s="1"/>
  <c r="AF257" i="17" s="1"/>
  <c r="AG257" i="17" s="1"/>
  <c r="AH257" i="17" s="1"/>
  <c r="AI257" i="17" s="1"/>
  <c r="AJ257" i="17" s="1"/>
  <c r="AK257" i="17" s="1"/>
  <c r="AL257" i="17" s="1"/>
  <c r="AM257" i="17" s="1"/>
  <c r="AN257" i="17" s="1"/>
  <c r="AO257" i="17" s="1"/>
  <c r="AP257" i="17" s="1"/>
  <c r="AQ257" i="17" s="1"/>
  <c r="AR257" i="17" s="1"/>
  <c r="BO169" i="17"/>
  <c r="BP169" i="17" s="1"/>
  <c r="BQ169" i="17" s="1"/>
  <c r="BR169" i="17" s="1"/>
  <c r="BS169" i="17" s="1"/>
  <c r="BT169" i="17" s="1"/>
  <c r="BU169" i="17" s="1"/>
  <c r="BV169" i="17" s="1"/>
  <c r="BW169" i="17" s="1"/>
  <c r="BX169" i="17" s="1"/>
  <c r="BY169" i="17" s="1"/>
  <c r="BZ169" i="17" s="1"/>
  <c r="CA169" i="17" s="1"/>
  <c r="CB169" i="17" s="1"/>
  <c r="CC169" i="17" s="1"/>
  <c r="CD169" i="17" s="1"/>
  <c r="CE169" i="17" s="1"/>
  <c r="CF169" i="17" s="1"/>
  <c r="CG169" i="17" s="1"/>
  <c r="CH169" i="17" s="1"/>
  <c r="CI169" i="17" s="1"/>
  <c r="CJ169" i="17" s="1"/>
  <c r="CK169" i="17" s="1"/>
  <c r="CL169" i="17" s="1"/>
  <c r="CM169" i="17" s="1"/>
  <c r="CN169" i="17" s="1"/>
  <c r="CO169" i="17" s="1"/>
  <c r="CP169" i="17" s="1"/>
  <c r="CQ169" i="17" s="1"/>
  <c r="CR169" i="17" s="1"/>
  <c r="CS169" i="17" s="1"/>
  <c r="CT169" i="17" s="1"/>
  <c r="CU169" i="17" s="1"/>
  <c r="CV169" i="17" s="1"/>
  <c r="CW169" i="17" s="1"/>
  <c r="CX169" i="17" s="1"/>
  <c r="CY169" i="17" s="1"/>
  <c r="CZ169" i="17" s="1"/>
  <c r="DA169" i="17" s="1"/>
  <c r="DB169" i="17" s="1"/>
  <c r="DC169" i="17" s="1"/>
  <c r="DD169" i="17" s="1"/>
  <c r="DE169" i="17" s="1"/>
  <c r="DF169" i="17" s="1"/>
  <c r="DG169" i="17" s="1"/>
  <c r="DH169" i="17" s="1"/>
  <c r="DI169" i="17" s="1"/>
  <c r="DJ169" i="17" s="1"/>
  <c r="DK169" i="17" s="1"/>
  <c r="DL169" i="17" s="1"/>
  <c r="AT23" i="17"/>
  <c r="AU23" i="17" s="1"/>
  <c r="AV23" i="17" s="1"/>
  <c r="AW23" i="17" s="1"/>
  <c r="AX23" i="17" s="1"/>
  <c r="AY23" i="17" s="1"/>
  <c r="AZ23" i="17" s="1"/>
  <c r="BA23" i="17" s="1"/>
  <c r="BB23" i="17" s="1"/>
  <c r="BC23" i="17" s="1"/>
  <c r="AY219" i="17"/>
  <c r="AZ219" i="17" s="1"/>
  <c r="BA219" i="17" s="1"/>
  <c r="BB219" i="17" s="1"/>
  <c r="BC219" i="17" s="1"/>
  <c r="BD219" i="17" s="1"/>
  <c r="BE219" i="17" s="1"/>
  <c r="BF219" i="17" s="1"/>
  <c r="BG219" i="17" s="1"/>
  <c r="BH219" i="17" s="1"/>
  <c r="BI219" i="17" s="1"/>
  <c r="BJ219" i="17" s="1"/>
  <c r="BK219" i="17" s="1"/>
  <c r="BL219" i="17" s="1"/>
  <c r="BM219" i="17" s="1"/>
  <c r="BN219" i="17" s="1"/>
  <c r="BO219" i="17" s="1"/>
  <c r="BP219" i="17" s="1"/>
  <c r="BQ219" i="17" s="1"/>
  <c r="BR219" i="17" s="1"/>
  <c r="BS219" i="17" s="1"/>
  <c r="BT219" i="17" s="1"/>
  <c r="BU219" i="17" s="1"/>
  <c r="BV219" i="17" s="1"/>
  <c r="BW219" i="17" s="1"/>
  <c r="BX219" i="17" s="1"/>
  <c r="BY219" i="17" s="1"/>
  <c r="BZ219" i="17" s="1"/>
  <c r="CA219" i="17" s="1"/>
  <c r="CB219" i="17" s="1"/>
  <c r="CC219" i="17" s="1"/>
  <c r="CD219" i="17" s="1"/>
  <c r="CE219" i="17" s="1"/>
  <c r="CF219" i="17" s="1"/>
  <c r="CG219" i="17" s="1"/>
  <c r="CH219" i="17" s="1"/>
  <c r="CI219" i="17" s="1"/>
  <c r="CJ219" i="17" s="1"/>
  <c r="CK219" i="17" s="1"/>
  <c r="CL219" i="17" s="1"/>
  <c r="CM219" i="17" s="1"/>
  <c r="CN219" i="17" s="1"/>
  <c r="CO219" i="17" s="1"/>
  <c r="CP219" i="17" s="1"/>
  <c r="CQ219" i="17" s="1"/>
  <c r="CR219" i="17" s="1"/>
  <c r="CS219" i="17" s="1"/>
  <c r="CT219" i="17" s="1"/>
  <c r="CU219" i="17" s="1"/>
  <c r="CV219" i="17" s="1"/>
  <c r="CW219" i="17" s="1"/>
  <c r="CX219" i="17" s="1"/>
  <c r="CY219" i="17" s="1"/>
  <c r="CZ219" i="17" s="1"/>
  <c r="DA219" i="17" s="1"/>
  <c r="DB219" i="17" s="1"/>
  <c r="DC219" i="17" s="1"/>
  <c r="DD219" i="17" s="1"/>
  <c r="DE219" i="17" s="1"/>
  <c r="DF219" i="17" s="1"/>
  <c r="DG219" i="17" s="1"/>
  <c r="DH219" i="17" s="1"/>
  <c r="DI219" i="17" s="1"/>
  <c r="DJ219" i="17" s="1"/>
  <c r="DK219" i="17" s="1"/>
  <c r="DL219" i="17" s="1"/>
  <c r="Z98" i="17"/>
  <c r="AA98" i="17" s="1"/>
  <c r="AB98" i="17" s="1"/>
  <c r="AC98" i="17" s="1"/>
  <c r="AA67" i="17"/>
  <c r="AB67" i="17" s="1"/>
  <c r="Y142" i="17"/>
  <c r="Z142" i="17" s="1"/>
  <c r="AA142" i="17" s="1"/>
  <c r="AB142" i="17" s="1"/>
  <c r="Y233" i="17"/>
  <c r="Z233" i="17" s="1"/>
  <c r="AA164" i="17"/>
  <c r="AB164" i="17" s="1"/>
  <c r="AD148" i="17"/>
  <c r="AE148" i="17" s="1"/>
  <c r="AF148" i="17" s="1"/>
  <c r="AG148" i="17" s="1"/>
  <c r="AH148" i="17" s="1"/>
  <c r="AI148" i="17" s="1"/>
  <c r="AJ148" i="17" s="1"/>
  <c r="AK148" i="17" s="1"/>
  <c r="AL148" i="17" s="1"/>
  <c r="AM148" i="17" s="1"/>
  <c r="AN148" i="17" s="1"/>
  <c r="AO148" i="17" s="1"/>
  <c r="AC78" i="17"/>
  <c r="AD78" i="17" s="1"/>
  <c r="AE78" i="17" s="1"/>
  <c r="AF78" i="17" s="1"/>
  <c r="AG78" i="17" s="1"/>
  <c r="AH78" i="17" s="1"/>
  <c r="AI78" i="17" s="1"/>
  <c r="AJ78" i="17" s="1"/>
  <c r="AK78" i="17" s="1"/>
  <c r="AL78" i="17" s="1"/>
  <c r="AM78" i="17" s="1"/>
  <c r="AN78" i="17" s="1"/>
  <c r="AO78" i="17" s="1"/>
  <c r="AP78" i="17" s="1"/>
  <c r="AQ78" i="17" s="1"/>
  <c r="AR78" i="17" s="1"/>
  <c r="AS78" i="17" s="1"/>
  <c r="AT78" i="17" s="1"/>
  <c r="AU78" i="17" s="1"/>
  <c r="AV78" i="17" s="1"/>
  <c r="AW78" i="17" s="1"/>
  <c r="AX78" i="17" s="1"/>
  <c r="AY78" i="17" s="1"/>
  <c r="AZ78" i="17" s="1"/>
  <c r="BA78" i="17" s="1"/>
  <c r="AD19" i="17"/>
  <c r="AE19" i="17" s="1"/>
  <c r="AE143" i="17"/>
  <c r="AF143" i="17" s="1"/>
  <c r="AG143" i="17" s="1"/>
  <c r="AH143" i="17" s="1"/>
  <c r="AI143" i="17" s="1"/>
  <c r="AJ143" i="17" s="1"/>
  <c r="AK143" i="17" s="1"/>
  <c r="AL143" i="17" s="1"/>
  <c r="AM143" i="17" s="1"/>
  <c r="AN143" i="17" s="1"/>
  <c r="AO143" i="17" s="1"/>
  <c r="AP143" i="17" s="1"/>
  <c r="AQ143" i="17" s="1"/>
  <c r="AR143" i="17" s="1"/>
  <c r="AS143" i="17" s="1"/>
  <c r="AT143" i="17" s="1"/>
  <c r="AU143" i="17" s="1"/>
  <c r="AV143" i="17" s="1"/>
  <c r="AW143" i="17" s="1"/>
  <c r="AX143" i="17" s="1"/>
  <c r="AY143" i="17" s="1"/>
  <c r="AZ143" i="17" s="1"/>
  <c r="BA143" i="17" s="1"/>
  <c r="BB143" i="17" s="1"/>
  <c r="BC143" i="17" s="1"/>
  <c r="BD143" i="17" s="1"/>
  <c r="BE143" i="17" s="1"/>
  <c r="BF143" i="17" s="1"/>
  <c r="BG143" i="17" s="1"/>
  <c r="BH143" i="17" s="1"/>
  <c r="BI143" i="17" s="1"/>
  <c r="BJ143" i="17" s="1"/>
  <c r="BK143" i="17" s="1"/>
  <c r="BL143" i="17" s="1"/>
  <c r="BM143" i="17" s="1"/>
  <c r="BN143" i="17" s="1"/>
  <c r="BO143" i="17" s="1"/>
  <c r="BP143" i="17" s="1"/>
  <c r="BQ143" i="17" s="1"/>
  <c r="BR143" i="17" s="1"/>
  <c r="BS143" i="17" s="1"/>
  <c r="BT143" i="17" s="1"/>
  <c r="BU143" i="17" s="1"/>
  <c r="BV143" i="17" s="1"/>
  <c r="BW143" i="17" s="1"/>
  <c r="BX143" i="17" s="1"/>
  <c r="BY143" i="17" s="1"/>
  <c r="BZ143" i="17" s="1"/>
  <c r="CA143" i="17" s="1"/>
  <c r="CB143" i="17" s="1"/>
  <c r="CC143" i="17" s="1"/>
  <c r="CD143" i="17" s="1"/>
  <c r="CE143" i="17" s="1"/>
  <c r="CF143" i="17" s="1"/>
  <c r="CG143" i="17" s="1"/>
  <c r="CH143" i="17" s="1"/>
  <c r="CI143" i="17" s="1"/>
  <c r="CJ143" i="17" s="1"/>
  <c r="CK143" i="17" s="1"/>
  <c r="CL143" i="17" s="1"/>
  <c r="CM143" i="17" s="1"/>
  <c r="CN143" i="17" s="1"/>
  <c r="CO143" i="17" s="1"/>
  <c r="CP143" i="17" s="1"/>
  <c r="CQ143" i="17" s="1"/>
  <c r="CR143" i="17" s="1"/>
  <c r="CS143" i="17" s="1"/>
  <c r="CT143" i="17" s="1"/>
  <c r="CU143" i="17" s="1"/>
  <c r="CV143" i="17" s="1"/>
  <c r="CW143" i="17" s="1"/>
  <c r="CX143" i="17" s="1"/>
  <c r="V179" i="17"/>
  <c r="W179" i="17" s="1"/>
  <c r="X179" i="17" s="1"/>
  <c r="Y179" i="17" s="1"/>
  <c r="Z70" i="17"/>
  <c r="AA70" i="17" s="1"/>
  <c r="AB70" i="17" s="1"/>
  <c r="AC70" i="17" s="1"/>
  <c r="AD70" i="17" s="1"/>
  <c r="AE70" i="17" s="1"/>
  <c r="AF70" i="17" s="1"/>
  <c r="AG70" i="17" s="1"/>
  <c r="AH70" i="17" s="1"/>
  <c r="AI70" i="17" s="1"/>
  <c r="AJ70" i="17" s="1"/>
  <c r="AK70" i="17" s="1"/>
  <c r="AL70" i="17" s="1"/>
  <c r="AM70" i="17" s="1"/>
  <c r="AN70" i="17" s="1"/>
  <c r="AO70" i="17" s="1"/>
  <c r="AP70" i="17" s="1"/>
  <c r="AQ70" i="17" s="1"/>
  <c r="AB296" i="17"/>
  <c r="AC296" i="17" s="1"/>
  <c r="AD296" i="17" s="1"/>
  <c r="AE296" i="17" s="1"/>
  <c r="AF296" i="17" s="1"/>
  <c r="AG296" i="17" s="1"/>
  <c r="AH296" i="17" s="1"/>
  <c r="AI296" i="17" s="1"/>
  <c r="AJ296" i="17" s="1"/>
  <c r="AK296" i="17" s="1"/>
  <c r="AL296" i="17" s="1"/>
  <c r="AM296" i="17" s="1"/>
  <c r="AN296" i="17" s="1"/>
  <c r="AO296" i="17" s="1"/>
  <c r="AP296" i="17" s="1"/>
  <c r="AQ296" i="17" s="1"/>
  <c r="AR296" i="17" s="1"/>
  <c r="AS296" i="17" s="1"/>
  <c r="AT296" i="17" s="1"/>
  <c r="AU296" i="17" s="1"/>
  <c r="AV296" i="17" s="1"/>
  <c r="AW296" i="17" s="1"/>
  <c r="AX296" i="17" s="1"/>
  <c r="AY296" i="17" s="1"/>
  <c r="AZ296" i="17" s="1"/>
  <c r="BA296" i="17" s="1"/>
  <c r="BB296" i="17" s="1"/>
  <c r="BC296" i="17" s="1"/>
  <c r="BD296" i="17" s="1"/>
  <c r="BE296" i="17" s="1"/>
  <c r="BF296" i="17" s="1"/>
  <c r="BG296" i="17" s="1"/>
  <c r="BH296" i="17" s="1"/>
  <c r="BI296" i="17" s="1"/>
  <c r="BJ296" i="17" s="1"/>
  <c r="BK296" i="17" s="1"/>
  <c r="BL296" i="17" s="1"/>
  <c r="BM296" i="17" s="1"/>
  <c r="BN296" i="17" s="1"/>
  <c r="BO296" i="17" s="1"/>
  <c r="BP296" i="17" s="1"/>
  <c r="BQ296" i="17" s="1"/>
  <c r="BR296" i="17" s="1"/>
  <c r="BS296" i="17" s="1"/>
  <c r="BT296" i="17" s="1"/>
  <c r="BU296" i="17" s="1"/>
  <c r="BV296" i="17" s="1"/>
  <c r="BW296" i="17" s="1"/>
  <c r="BX296" i="17" s="1"/>
  <c r="BY296" i="17" s="1"/>
  <c r="BZ296" i="17" s="1"/>
  <c r="CA296" i="17" s="1"/>
  <c r="CB296" i="17" s="1"/>
  <c r="CC296" i="17" s="1"/>
  <c r="CD296" i="17" s="1"/>
  <c r="CE296" i="17" s="1"/>
  <c r="CF296" i="17" s="1"/>
  <c r="CG296" i="17" s="1"/>
  <c r="CH296" i="17" s="1"/>
  <c r="CI296" i="17" s="1"/>
  <c r="CJ296" i="17" s="1"/>
  <c r="CK296" i="17" s="1"/>
  <c r="CL296" i="17" s="1"/>
  <c r="CM296" i="17" s="1"/>
  <c r="CN296" i="17" s="1"/>
  <c r="CO296" i="17" s="1"/>
  <c r="CP296" i="17" s="1"/>
  <c r="CQ296" i="17" s="1"/>
  <c r="CR296" i="17" s="1"/>
  <c r="CS296" i="17" s="1"/>
  <c r="CT296" i="17" s="1"/>
  <c r="CU296" i="17" s="1"/>
  <c r="CV296" i="17" s="1"/>
  <c r="CW296" i="17" s="1"/>
  <c r="CX296" i="17" s="1"/>
  <c r="CY296" i="17" s="1"/>
  <c r="CZ296" i="17" s="1"/>
  <c r="DA296" i="17" s="1"/>
  <c r="DB296" i="17" s="1"/>
  <c r="DC296" i="17" s="1"/>
  <c r="DD296" i="17" s="1"/>
  <c r="DE296" i="17" s="1"/>
  <c r="DF296" i="17" s="1"/>
  <c r="DG296" i="17" s="1"/>
  <c r="DH296" i="17" s="1"/>
  <c r="DI296" i="17" s="1"/>
  <c r="DJ296" i="17" s="1"/>
  <c r="DK296" i="17" s="1"/>
  <c r="DL296" i="17" s="1"/>
  <c r="AH12" i="17"/>
  <c r="AI12" i="17" s="1"/>
  <c r="AJ12" i="17" s="1"/>
  <c r="AK12" i="17" s="1"/>
  <c r="X182" i="17"/>
  <c r="Y182" i="17" s="1"/>
  <c r="Z146" i="17"/>
  <c r="AA146" i="17" s="1"/>
  <c r="AE193" i="17"/>
  <c r="AO158" i="17"/>
  <c r="AP158" i="17" s="1"/>
  <c r="AQ158" i="17" s="1"/>
  <c r="AR158" i="17" s="1"/>
  <c r="AS158" i="17" s="1"/>
  <c r="AT158" i="17" s="1"/>
  <c r="AU158" i="17" s="1"/>
  <c r="AV158" i="17" s="1"/>
  <c r="AW158" i="17" s="1"/>
  <c r="AX158" i="17" s="1"/>
  <c r="AY158" i="17" s="1"/>
  <c r="AZ158" i="17" s="1"/>
  <c r="BA158" i="17" s="1"/>
  <c r="BB158" i="17" s="1"/>
  <c r="BC158" i="17" s="1"/>
  <c r="BD158" i="17" s="1"/>
  <c r="BE158" i="17" s="1"/>
  <c r="BF158" i="17" s="1"/>
  <c r="BG158" i="17" s="1"/>
  <c r="BH158" i="17" s="1"/>
  <c r="BI158" i="17" s="1"/>
  <c r="BJ158" i="17" s="1"/>
  <c r="BK158" i="17" s="1"/>
  <c r="BL158" i="17" s="1"/>
  <c r="BM158" i="17" s="1"/>
  <c r="BN158" i="17" s="1"/>
  <c r="BO158" i="17" s="1"/>
  <c r="BP158" i="17" s="1"/>
  <c r="BQ158" i="17" s="1"/>
  <c r="BR158" i="17" s="1"/>
  <c r="BS158" i="17" s="1"/>
  <c r="BT158" i="17" s="1"/>
  <c r="AI10" i="17"/>
  <c r="AJ10" i="17" s="1"/>
  <c r="AK10" i="17" s="1"/>
  <c r="AL10" i="17" s="1"/>
  <c r="AM10" i="17" s="1"/>
  <c r="AN10" i="17" s="1"/>
  <c r="AO10" i="17" s="1"/>
  <c r="AP10" i="17" s="1"/>
  <c r="AQ10" i="17" s="1"/>
  <c r="AR10" i="17" s="1"/>
  <c r="AS10" i="17" s="1"/>
  <c r="AT10" i="17" s="1"/>
  <c r="AU10" i="17" s="1"/>
  <c r="AV10" i="17" s="1"/>
  <c r="AW10" i="17" s="1"/>
  <c r="AX10" i="17" s="1"/>
  <c r="AY10" i="17" s="1"/>
  <c r="AZ10" i="17" s="1"/>
  <c r="BA10" i="17" s="1"/>
  <c r="BB10" i="17" s="1"/>
  <c r="BC10" i="17" s="1"/>
  <c r="BD10" i="17" s="1"/>
  <c r="BE10" i="17" s="1"/>
  <c r="BF10" i="17" s="1"/>
  <c r="BG10" i="17" s="1"/>
  <c r="BH10" i="17" s="1"/>
  <c r="BI10" i="17" s="1"/>
  <c r="BJ10" i="17" s="1"/>
  <c r="BK10" i="17" s="1"/>
  <c r="BL10" i="17" s="1"/>
  <c r="BM10" i="17" s="1"/>
  <c r="BN10" i="17" s="1"/>
  <c r="BO10" i="17" s="1"/>
  <c r="BP10" i="17" s="1"/>
  <c r="BQ10" i="17" s="1"/>
  <c r="BR10" i="17" s="1"/>
  <c r="BS10" i="17" s="1"/>
  <c r="BT10" i="17" s="1"/>
  <c r="BU10" i="17" s="1"/>
  <c r="BV10" i="17" s="1"/>
  <c r="BW10" i="17" s="1"/>
  <c r="BX10" i="17" s="1"/>
  <c r="BY10" i="17" s="1"/>
  <c r="BZ10" i="17" s="1"/>
  <c r="CA10" i="17" s="1"/>
  <c r="CB10" i="17" s="1"/>
  <c r="CC10" i="17" s="1"/>
  <c r="CD10" i="17" s="1"/>
  <c r="CE10" i="17" s="1"/>
  <c r="CF10" i="17" s="1"/>
  <c r="CG10" i="17" s="1"/>
  <c r="CH10" i="17" s="1"/>
  <c r="CI10" i="17" s="1"/>
  <c r="CJ10" i="17" s="1"/>
  <c r="CK10" i="17" s="1"/>
  <c r="CL10" i="17" s="1"/>
  <c r="CM10" i="17" s="1"/>
  <c r="CN10" i="17" s="1"/>
  <c r="CO10" i="17" s="1"/>
  <c r="CP10" i="17" s="1"/>
  <c r="CQ10" i="17" s="1"/>
  <c r="CR10" i="17" s="1"/>
  <c r="CS10" i="17" s="1"/>
  <c r="CT10" i="17" s="1"/>
  <c r="CU10" i="17" s="1"/>
  <c r="CV10" i="17" s="1"/>
  <c r="CW10" i="17" s="1"/>
  <c r="CX10" i="17" s="1"/>
  <c r="CY10" i="17" s="1"/>
  <c r="CZ10" i="17" s="1"/>
  <c r="DA10" i="17" s="1"/>
  <c r="DB10" i="17" s="1"/>
  <c r="DC10" i="17" s="1"/>
  <c r="DD10" i="17" s="1"/>
  <c r="DE10" i="17" s="1"/>
  <c r="DF10" i="17" s="1"/>
  <c r="DG10" i="17" s="1"/>
  <c r="DH10" i="17" s="1"/>
  <c r="DI10" i="17" s="1"/>
  <c r="DJ10" i="17" s="1"/>
  <c r="DK10" i="17" s="1"/>
  <c r="DL10" i="17" s="1"/>
  <c r="Z111" i="17"/>
  <c r="AA111" i="17" s="1"/>
  <c r="Z42" i="17"/>
  <c r="Y57" i="17"/>
  <c r="Z57" i="17" s="1"/>
  <c r="AE265" i="17"/>
  <c r="AA235" i="17"/>
  <c r="AB235" i="17" s="1"/>
  <c r="AC235" i="17" s="1"/>
  <c r="AD235" i="17" s="1"/>
  <c r="AE235" i="17" s="1"/>
  <c r="AF235" i="17" s="1"/>
  <c r="AG235" i="17" s="1"/>
  <c r="AH235" i="17" s="1"/>
  <c r="AI235" i="17" s="1"/>
  <c r="AJ235" i="17" s="1"/>
  <c r="AK235" i="17" s="1"/>
  <c r="AL235" i="17" s="1"/>
  <c r="AM235" i="17" s="1"/>
  <c r="AN235" i="17" s="1"/>
  <c r="AO235" i="17" s="1"/>
  <c r="AP235" i="17" s="1"/>
  <c r="AQ235" i="17" s="1"/>
  <c r="AR235" i="17" s="1"/>
  <c r="AS235" i="17" s="1"/>
  <c r="AT235" i="17" s="1"/>
  <c r="AU235" i="17" s="1"/>
  <c r="AV235" i="17" s="1"/>
  <c r="AW235" i="17" s="1"/>
  <c r="AX235" i="17" s="1"/>
  <c r="AY235" i="17" s="1"/>
  <c r="AZ235" i="17" s="1"/>
  <c r="BA235" i="17" s="1"/>
  <c r="BB235" i="17" s="1"/>
  <c r="BC235" i="17" s="1"/>
  <c r="BD235" i="17" s="1"/>
  <c r="BE235" i="17" s="1"/>
  <c r="BF235" i="17" s="1"/>
  <c r="BG235" i="17" s="1"/>
  <c r="BH235" i="17" s="1"/>
  <c r="BI235" i="17" s="1"/>
  <c r="BJ235" i="17" s="1"/>
  <c r="BK235" i="17" s="1"/>
  <c r="BL235" i="17" s="1"/>
  <c r="BM235" i="17" s="1"/>
  <c r="BN235" i="17" s="1"/>
  <c r="BO235" i="17" s="1"/>
  <c r="BP235" i="17" s="1"/>
  <c r="BQ235" i="17" s="1"/>
  <c r="BR235" i="17" s="1"/>
  <c r="BS235" i="17" s="1"/>
  <c r="BT235" i="17" s="1"/>
  <c r="BU235" i="17" s="1"/>
  <c r="BV235" i="17" s="1"/>
  <c r="BW235" i="17" s="1"/>
  <c r="BX235" i="17" s="1"/>
  <c r="BY235" i="17" s="1"/>
  <c r="BZ235" i="17" s="1"/>
  <c r="CA235" i="17" s="1"/>
  <c r="CB235" i="17" s="1"/>
  <c r="CC235" i="17" s="1"/>
  <c r="CD235" i="17" s="1"/>
  <c r="CE235" i="17" s="1"/>
  <c r="CF235" i="17" s="1"/>
  <c r="CG235" i="17" s="1"/>
  <c r="CH235" i="17" s="1"/>
  <c r="CI235" i="17" s="1"/>
  <c r="CJ235" i="17" s="1"/>
  <c r="CK235" i="17" s="1"/>
  <c r="CL235" i="17" s="1"/>
  <c r="CM235" i="17" s="1"/>
  <c r="CN235" i="17" s="1"/>
  <c r="CO235" i="17" s="1"/>
  <c r="CP235" i="17" s="1"/>
  <c r="CQ235" i="17" s="1"/>
  <c r="CR235" i="17" s="1"/>
  <c r="CS235" i="17" s="1"/>
  <c r="CT235" i="17" s="1"/>
  <c r="CU235" i="17" s="1"/>
  <c r="CV235" i="17" s="1"/>
  <c r="CW235" i="17" s="1"/>
  <c r="CX235" i="17" s="1"/>
  <c r="CY235" i="17" s="1"/>
  <c r="CZ235" i="17" s="1"/>
  <c r="DA235" i="17" s="1"/>
  <c r="DB235" i="17" s="1"/>
  <c r="DC235" i="17" s="1"/>
  <c r="DD235" i="17" s="1"/>
  <c r="DE235" i="17" s="1"/>
  <c r="DF235" i="17" s="1"/>
  <c r="DG235" i="17" s="1"/>
  <c r="DH235" i="17" s="1"/>
  <c r="DI235" i="17" s="1"/>
  <c r="DJ235" i="17" s="1"/>
  <c r="DK235" i="17" s="1"/>
  <c r="DL235" i="17" s="1"/>
  <c r="CQ228" i="17"/>
  <c r="CR228" i="17" s="1"/>
  <c r="CS228" i="17" s="1"/>
  <c r="CT228" i="17" s="1"/>
  <c r="CU228" i="17" s="1"/>
  <c r="CV228" i="17" s="1"/>
  <c r="CW228" i="17" s="1"/>
  <c r="CX228" i="17" s="1"/>
  <c r="CY228" i="17" s="1"/>
  <c r="CZ228" i="17" s="1"/>
  <c r="DA228" i="17" s="1"/>
  <c r="DB228" i="17" s="1"/>
  <c r="DC228" i="17" s="1"/>
  <c r="DD228" i="17" s="1"/>
  <c r="DE228" i="17" s="1"/>
  <c r="DF228" i="17" s="1"/>
  <c r="DG228" i="17" s="1"/>
  <c r="DH228" i="17" s="1"/>
  <c r="DI228" i="17" s="1"/>
  <c r="DJ228" i="17" s="1"/>
  <c r="DK228" i="17" s="1"/>
  <c r="DL228" i="17" s="1"/>
  <c r="AH187" i="17"/>
  <c r="AI187" i="17" s="1"/>
  <c r="AJ187" i="17" s="1"/>
  <c r="AK187" i="17" s="1"/>
  <c r="AL187" i="17" s="1"/>
  <c r="AM187" i="17" s="1"/>
  <c r="AN187" i="17" s="1"/>
  <c r="AO187" i="17" s="1"/>
  <c r="AP187" i="17" s="1"/>
  <c r="AQ187" i="17" s="1"/>
  <c r="AR187" i="17" s="1"/>
  <c r="AS187" i="17" s="1"/>
  <c r="AT187" i="17" s="1"/>
  <c r="AU187" i="17" s="1"/>
  <c r="AV187" i="17" s="1"/>
  <c r="AW187" i="17" s="1"/>
  <c r="AX187" i="17" s="1"/>
  <c r="AY187" i="17" s="1"/>
  <c r="AZ187" i="17" s="1"/>
  <c r="BA187" i="17" s="1"/>
  <c r="BB187" i="17" s="1"/>
  <c r="BC187" i="17" s="1"/>
  <c r="BD187" i="17" s="1"/>
  <c r="BE187" i="17" s="1"/>
  <c r="BF187" i="17" s="1"/>
  <c r="BG187" i="17" s="1"/>
  <c r="BH187" i="17" s="1"/>
  <c r="BI187" i="17" s="1"/>
  <c r="BJ187" i="17" s="1"/>
  <c r="BK187" i="17" s="1"/>
  <c r="BL187" i="17" s="1"/>
  <c r="BM187" i="17" s="1"/>
  <c r="BN187" i="17" s="1"/>
  <c r="BO187" i="17" s="1"/>
  <c r="BP187" i="17" s="1"/>
  <c r="BQ187" i="17" s="1"/>
  <c r="BR187" i="17" s="1"/>
  <c r="BS187" i="17" s="1"/>
  <c r="BT187" i="17" s="1"/>
  <c r="BU187" i="17" s="1"/>
  <c r="BV187" i="17" s="1"/>
  <c r="BW187" i="17" s="1"/>
  <c r="BX187" i="17" s="1"/>
  <c r="BY187" i="17" s="1"/>
  <c r="BZ187" i="17" s="1"/>
  <c r="CA187" i="17" s="1"/>
  <c r="CB187" i="17" s="1"/>
  <c r="CC187" i="17" s="1"/>
  <c r="CD187" i="17" s="1"/>
  <c r="CE187" i="17" s="1"/>
  <c r="CF187" i="17" s="1"/>
  <c r="CG187" i="17" s="1"/>
  <c r="CH187" i="17" s="1"/>
  <c r="CI187" i="17" s="1"/>
  <c r="CJ187" i="17" s="1"/>
  <c r="CK187" i="17" s="1"/>
  <c r="CL187" i="17" s="1"/>
  <c r="CM187" i="17" s="1"/>
  <c r="CN187" i="17" s="1"/>
  <c r="CO187" i="17" s="1"/>
  <c r="CP187" i="17" s="1"/>
  <c r="CQ187" i="17" s="1"/>
  <c r="CR187" i="17" s="1"/>
  <c r="CS187" i="17" s="1"/>
  <c r="CT187" i="17" s="1"/>
  <c r="CU187" i="17" s="1"/>
  <c r="CV187" i="17" s="1"/>
  <c r="CW187" i="17" s="1"/>
  <c r="CX187" i="17" s="1"/>
  <c r="CY187" i="17" s="1"/>
  <c r="CZ187" i="17" s="1"/>
  <c r="DA187" i="17" s="1"/>
  <c r="DB187" i="17" s="1"/>
  <c r="DC187" i="17" s="1"/>
  <c r="DD187" i="17" s="1"/>
  <c r="DE187" i="17" s="1"/>
  <c r="DF187" i="17" s="1"/>
  <c r="DG187" i="17" s="1"/>
  <c r="DH187" i="17" s="1"/>
  <c r="DI187" i="17" s="1"/>
  <c r="DJ187" i="17" s="1"/>
  <c r="DK187" i="17" s="1"/>
  <c r="DL187" i="17" s="1"/>
  <c r="CV175" i="17"/>
  <c r="CW175" i="17" s="1"/>
  <c r="CX175" i="17" s="1"/>
  <c r="CY175" i="17" s="1"/>
  <c r="CZ175" i="17" s="1"/>
  <c r="DA175" i="17" s="1"/>
  <c r="DB175" i="17" s="1"/>
  <c r="DC175" i="17" s="1"/>
  <c r="DD175" i="17" s="1"/>
  <c r="DE175" i="17" s="1"/>
  <c r="DF175" i="17" s="1"/>
  <c r="DG175" i="17" s="1"/>
  <c r="DH175" i="17" s="1"/>
  <c r="DI175" i="17" s="1"/>
  <c r="DJ175" i="17" s="1"/>
  <c r="DK175" i="17" s="1"/>
  <c r="DL175" i="17" s="1"/>
  <c r="AJ254" i="17"/>
  <c r="AK254" i="17" s="1"/>
  <c r="AL254" i="17" s="1"/>
  <c r="AM254" i="17" s="1"/>
  <c r="AN254" i="17" s="1"/>
  <c r="AO254" i="17" s="1"/>
  <c r="AP254" i="17" s="1"/>
  <c r="AQ254" i="17" s="1"/>
  <c r="AR254" i="17" s="1"/>
  <c r="AS254" i="17" s="1"/>
  <c r="AT254" i="17" s="1"/>
  <c r="AU254" i="17" s="1"/>
  <c r="AV254" i="17" s="1"/>
  <c r="AW254" i="17" s="1"/>
  <c r="AX254" i="17" s="1"/>
  <c r="AY254" i="17" s="1"/>
  <c r="AZ254" i="17" s="1"/>
  <c r="BA254" i="17" s="1"/>
  <c r="BB254" i="17" s="1"/>
  <c r="BC254" i="17" s="1"/>
  <c r="BD254" i="17" s="1"/>
  <c r="BE254" i="17" s="1"/>
  <c r="BF254" i="17" s="1"/>
  <c r="BG254" i="17" s="1"/>
  <c r="BH254" i="17" s="1"/>
  <c r="BI254" i="17" s="1"/>
  <c r="BJ254" i="17" s="1"/>
  <c r="BK254" i="17" s="1"/>
  <c r="BL254" i="17" s="1"/>
  <c r="BM254" i="17" s="1"/>
  <c r="BN254" i="17" s="1"/>
  <c r="BO254" i="17" s="1"/>
  <c r="BP254" i="17" s="1"/>
  <c r="BQ254" i="17" s="1"/>
  <c r="BR254" i="17" s="1"/>
  <c r="BS254" i="17" s="1"/>
  <c r="BT254" i="17" s="1"/>
  <c r="BU254" i="17" s="1"/>
  <c r="BV254" i="17" s="1"/>
  <c r="BW254" i="17" s="1"/>
  <c r="BX254" i="17" s="1"/>
  <c r="BY254" i="17" s="1"/>
  <c r="BZ254" i="17" s="1"/>
  <c r="CA254" i="17" s="1"/>
  <c r="CB254" i="17" s="1"/>
  <c r="CC254" i="17" s="1"/>
  <c r="CD254" i="17" s="1"/>
  <c r="CE254" i="17" s="1"/>
  <c r="CF254" i="17" s="1"/>
  <c r="CG254" i="17" s="1"/>
  <c r="CH254" i="17" s="1"/>
  <c r="CI254" i="17" s="1"/>
  <c r="CJ254" i="17" s="1"/>
  <c r="CK254" i="17" s="1"/>
  <c r="CL254" i="17" s="1"/>
  <c r="CM254" i="17" s="1"/>
  <c r="CN254" i="17" s="1"/>
  <c r="CO254" i="17" s="1"/>
  <c r="CP254" i="17" s="1"/>
  <c r="AS282" i="17"/>
  <c r="AT282" i="17" s="1"/>
  <c r="AU282" i="17" s="1"/>
  <c r="AV282" i="17" s="1"/>
  <c r="AW282" i="17" s="1"/>
  <c r="AX282" i="17" s="1"/>
  <c r="AY282" i="17" s="1"/>
  <c r="AZ282" i="17" s="1"/>
  <c r="BA282" i="17" s="1"/>
  <c r="BB282" i="17" s="1"/>
  <c r="BC282" i="17" s="1"/>
  <c r="BD282" i="17" s="1"/>
  <c r="BE282" i="17" s="1"/>
  <c r="BF282" i="17" s="1"/>
  <c r="BG282" i="17" s="1"/>
  <c r="BH282" i="17" s="1"/>
  <c r="BI282" i="17" s="1"/>
  <c r="BJ282" i="17" s="1"/>
  <c r="BK282" i="17" s="1"/>
  <c r="BL282" i="17" s="1"/>
  <c r="BM282" i="17" s="1"/>
  <c r="BN282" i="17" s="1"/>
  <c r="BO282" i="17" s="1"/>
  <c r="BP282" i="17" s="1"/>
  <c r="BQ282" i="17" s="1"/>
  <c r="BR282" i="17" s="1"/>
  <c r="BS282" i="17" s="1"/>
  <c r="BT282" i="17" s="1"/>
  <c r="BU282" i="17" s="1"/>
  <c r="BV282" i="17" s="1"/>
  <c r="BW282" i="17" s="1"/>
  <c r="BX282" i="17" s="1"/>
  <c r="BY282" i="17" s="1"/>
  <c r="BZ282" i="17" s="1"/>
  <c r="CA282" i="17" s="1"/>
  <c r="CB282" i="17" s="1"/>
  <c r="CC282" i="17" s="1"/>
  <c r="CD282" i="17" s="1"/>
  <c r="CE282" i="17" s="1"/>
  <c r="CF282" i="17" s="1"/>
  <c r="CG282" i="17" s="1"/>
  <c r="CH282" i="17" s="1"/>
  <c r="CI282" i="17" s="1"/>
  <c r="CJ282" i="17" s="1"/>
  <c r="CK282" i="17" s="1"/>
  <c r="CL282" i="17" s="1"/>
  <c r="CM282" i="17" s="1"/>
  <c r="CN282" i="17" s="1"/>
  <c r="Y249" i="17"/>
  <c r="Z249" i="17" s="1"/>
  <c r="Z149" i="17"/>
  <c r="AA149" i="17" s="1"/>
  <c r="AB149" i="17" s="1"/>
  <c r="AC149" i="17" s="1"/>
  <c r="AD149" i="17" s="1"/>
  <c r="AE149" i="17" s="1"/>
  <c r="AF149" i="17" s="1"/>
  <c r="AG149" i="17" s="1"/>
  <c r="AH149" i="17" s="1"/>
  <c r="AI149" i="17" s="1"/>
  <c r="AJ149" i="17" s="1"/>
  <c r="AK149" i="17" s="1"/>
  <c r="AL149" i="17" s="1"/>
  <c r="AM149" i="17" s="1"/>
  <c r="AN149" i="17" s="1"/>
  <c r="AO149" i="17" s="1"/>
  <c r="AP149" i="17" s="1"/>
  <c r="AQ149" i="17" s="1"/>
  <c r="AR149" i="17" s="1"/>
  <c r="AS149" i="17" s="1"/>
  <c r="AT149" i="17" s="1"/>
  <c r="AU149" i="17" s="1"/>
  <c r="AV149" i="17" s="1"/>
  <c r="AW149" i="17" s="1"/>
  <c r="AX149" i="17" s="1"/>
  <c r="AY149" i="17" s="1"/>
  <c r="AZ149" i="17" s="1"/>
  <c r="BA149" i="17" s="1"/>
  <c r="BB149" i="17" s="1"/>
  <c r="BC149" i="17" s="1"/>
  <c r="BD149" i="17" s="1"/>
  <c r="BE149" i="17" s="1"/>
  <c r="BF149" i="17" s="1"/>
  <c r="BG149" i="17" s="1"/>
  <c r="BH149" i="17" s="1"/>
  <c r="BI149" i="17" s="1"/>
  <c r="BJ149" i="17" s="1"/>
  <c r="BK149" i="17" s="1"/>
  <c r="BL149" i="17" s="1"/>
  <c r="BM149" i="17" s="1"/>
  <c r="BN149" i="17" s="1"/>
  <c r="BO149" i="17" s="1"/>
  <c r="BP149" i="17" s="1"/>
  <c r="BQ149" i="17" s="1"/>
  <c r="BR149" i="17" s="1"/>
  <c r="BS149" i="17" s="1"/>
  <c r="BT149" i="17" s="1"/>
  <c r="BU149" i="17" s="1"/>
  <c r="BV149" i="17" s="1"/>
  <c r="BW149" i="17" s="1"/>
  <c r="BX149" i="17" s="1"/>
  <c r="BY149" i="17" s="1"/>
  <c r="BZ149" i="17" s="1"/>
  <c r="CA149" i="17" s="1"/>
  <c r="CB149" i="17" s="1"/>
  <c r="CC149" i="17" s="1"/>
  <c r="CD149" i="17" s="1"/>
  <c r="CE149" i="17" s="1"/>
  <c r="CF149" i="17" s="1"/>
  <c r="CG149" i="17" s="1"/>
  <c r="CH149" i="17" s="1"/>
  <c r="CI149" i="17" s="1"/>
  <c r="CJ149" i="17" s="1"/>
  <c r="CK149" i="17" s="1"/>
  <c r="CL149" i="17" s="1"/>
  <c r="CM149" i="17" s="1"/>
  <c r="CN149" i="17" s="1"/>
  <c r="CO149" i="17" s="1"/>
  <c r="CP149" i="17" s="1"/>
  <c r="CQ149" i="17" s="1"/>
  <c r="CR149" i="17" s="1"/>
  <c r="CS149" i="17" s="1"/>
  <c r="CT149" i="17" s="1"/>
  <c r="CU149" i="17" s="1"/>
  <c r="CV149" i="17" s="1"/>
  <c r="CW149" i="17" s="1"/>
  <c r="CX149" i="17" s="1"/>
  <c r="CY149" i="17" s="1"/>
  <c r="CZ149" i="17" s="1"/>
  <c r="DA149" i="17" s="1"/>
  <c r="DB149" i="17" s="1"/>
  <c r="DC149" i="17" s="1"/>
  <c r="DD149" i="17" s="1"/>
  <c r="DE149" i="17" s="1"/>
  <c r="DF149" i="17" s="1"/>
  <c r="DG149" i="17" s="1"/>
  <c r="DH149" i="17" s="1"/>
  <c r="DI149" i="17" s="1"/>
  <c r="DJ149" i="17" s="1"/>
  <c r="DK149" i="17" s="1"/>
  <c r="DL149" i="17" s="1"/>
  <c r="Y66" i="17"/>
  <c r="Z66" i="17" s="1"/>
  <c r="AA66" i="17" s="1"/>
  <c r="AB66" i="17" s="1"/>
  <c r="AC66" i="17" s="1"/>
  <c r="AD66" i="17" s="1"/>
  <c r="AE66" i="17" s="1"/>
  <c r="AF66" i="17" s="1"/>
  <c r="AG66" i="17" s="1"/>
  <c r="AH66" i="17" s="1"/>
  <c r="AI66" i="17" s="1"/>
  <c r="AJ66" i="17" s="1"/>
  <c r="AK66" i="17" s="1"/>
  <c r="AL66" i="17" s="1"/>
  <c r="AM66" i="17" s="1"/>
  <c r="AN66" i="17" s="1"/>
  <c r="AO66" i="17" s="1"/>
  <c r="AP66" i="17" s="1"/>
  <c r="AQ66" i="17" s="1"/>
  <c r="AR66" i="17" s="1"/>
  <c r="AS66" i="17" s="1"/>
  <c r="AT66" i="17" s="1"/>
  <c r="AU66" i="17" s="1"/>
  <c r="AV66" i="17" s="1"/>
  <c r="AW66" i="17" s="1"/>
  <c r="AX66" i="17" s="1"/>
  <c r="AY66" i="17" s="1"/>
  <c r="AZ66" i="17" s="1"/>
  <c r="BA66" i="17" s="1"/>
  <c r="BB66" i="17" s="1"/>
  <c r="BC66" i="17" s="1"/>
  <c r="BD66" i="17" s="1"/>
  <c r="BE66" i="17" s="1"/>
  <c r="BF66" i="17" s="1"/>
  <c r="BG66" i="17" s="1"/>
  <c r="BH66" i="17" s="1"/>
  <c r="BI66" i="17" s="1"/>
  <c r="BJ66" i="17" s="1"/>
  <c r="BK66" i="17" s="1"/>
  <c r="BL66" i="17" s="1"/>
  <c r="BM66" i="17" s="1"/>
  <c r="BN66" i="17" s="1"/>
  <c r="BO66" i="17" s="1"/>
  <c r="BP66" i="17" s="1"/>
  <c r="BQ66" i="17" s="1"/>
  <c r="BR66" i="17" s="1"/>
  <c r="BS66" i="17" s="1"/>
  <c r="BT66" i="17" s="1"/>
  <c r="BU66" i="17" s="1"/>
  <c r="BV66" i="17" s="1"/>
  <c r="BW66" i="17" s="1"/>
  <c r="BX66" i="17" s="1"/>
  <c r="BY66" i="17" s="1"/>
  <c r="BZ66" i="17" s="1"/>
  <c r="CA66" i="17" s="1"/>
  <c r="CB66" i="17" s="1"/>
  <c r="CC66" i="17" s="1"/>
  <c r="CD66" i="17" s="1"/>
  <c r="CE66" i="17" s="1"/>
  <c r="CF66" i="17" s="1"/>
  <c r="CG66" i="17" s="1"/>
  <c r="CH66" i="17" s="1"/>
  <c r="CI66" i="17" s="1"/>
  <c r="CJ66" i="17" s="1"/>
  <c r="CK66" i="17" s="1"/>
  <c r="CL66" i="17" s="1"/>
  <c r="CM66" i="17" s="1"/>
  <c r="CN66" i="17" s="1"/>
  <c r="CO66" i="17" s="1"/>
  <c r="CP66" i="17" s="1"/>
  <c r="CQ66" i="17" s="1"/>
  <c r="CR66" i="17" s="1"/>
  <c r="CS66" i="17" s="1"/>
  <c r="CT66" i="17" s="1"/>
  <c r="CU66" i="17" s="1"/>
  <c r="CV66" i="17" s="1"/>
  <c r="CW66" i="17" s="1"/>
  <c r="CX66" i="17" s="1"/>
  <c r="CY66" i="17" s="1"/>
  <c r="CZ66" i="17" s="1"/>
  <c r="DA66" i="17" s="1"/>
  <c r="DB66" i="17" s="1"/>
  <c r="DC66" i="17" s="1"/>
  <c r="DD66" i="17" s="1"/>
  <c r="DE66" i="17" s="1"/>
  <c r="DF66" i="17" s="1"/>
  <c r="DG66" i="17" s="1"/>
  <c r="DH66" i="17" s="1"/>
  <c r="DI66" i="17" s="1"/>
  <c r="DJ66" i="17" s="1"/>
  <c r="DK66" i="17" s="1"/>
  <c r="DL66" i="17" s="1"/>
  <c r="Y176" i="17"/>
  <c r="AT151" i="17"/>
  <c r="AU151" i="17" s="1"/>
  <c r="AV151" i="17" s="1"/>
  <c r="AW151" i="17" s="1"/>
  <c r="AX151" i="17" s="1"/>
  <c r="AY151" i="17" s="1"/>
  <c r="AZ151" i="17" s="1"/>
  <c r="BA151" i="17" s="1"/>
  <c r="BB151" i="17" s="1"/>
  <c r="BC151" i="17" s="1"/>
  <c r="BD151" i="17" s="1"/>
  <c r="BE151" i="17" s="1"/>
  <c r="BF151" i="17" s="1"/>
  <c r="BG151" i="17" s="1"/>
  <c r="BH151" i="17" s="1"/>
  <c r="BI151" i="17" s="1"/>
  <c r="BJ151" i="17" s="1"/>
  <c r="BK151" i="17" s="1"/>
  <c r="BL151" i="17" s="1"/>
  <c r="BM151" i="17" s="1"/>
  <c r="BN151" i="17" s="1"/>
  <c r="BO151" i="17" s="1"/>
  <c r="BP151" i="17" s="1"/>
  <c r="BQ151" i="17" s="1"/>
  <c r="BR151" i="17" s="1"/>
  <c r="BS151" i="17" s="1"/>
  <c r="BT151" i="17" s="1"/>
  <c r="BU151" i="17" s="1"/>
  <c r="BV151" i="17" s="1"/>
  <c r="BW151" i="17" s="1"/>
  <c r="BX151" i="17" s="1"/>
  <c r="BY151" i="17" s="1"/>
  <c r="BZ151" i="17" s="1"/>
  <c r="CA151" i="17" s="1"/>
  <c r="CB151" i="17" s="1"/>
  <c r="CC151" i="17" s="1"/>
  <c r="CD151" i="17" s="1"/>
  <c r="CE151" i="17" s="1"/>
  <c r="CF151" i="17" s="1"/>
  <c r="CG151" i="17" s="1"/>
  <c r="CH151" i="17" s="1"/>
  <c r="CI151" i="17" s="1"/>
  <c r="CJ151" i="17" s="1"/>
  <c r="CK151" i="17" s="1"/>
  <c r="CL151" i="17" s="1"/>
  <c r="CM151" i="17" s="1"/>
  <c r="CN151" i="17" s="1"/>
  <c r="CO151" i="17" s="1"/>
  <c r="CP151" i="17" s="1"/>
  <c r="CQ151" i="17" s="1"/>
  <c r="CR151" i="17" s="1"/>
  <c r="CS151" i="17" s="1"/>
  <c r="CT151" i="17" s="1"/>
  <c r="CU151" i="17" s="1"/>
  <c r="CV151" i="17" s="1"/>
  <c r="CW151" i="17" s="1"/>
  <c r="CX151" i="17" s="1"/>
  <c r="CY151" i="17" s="1"/>
  <c r="CZ151" i="17" s="1"/>
  <c r="DA151" i="17" s="1"/>
  <c r="DB151" i="17" s="1"/>
  <c r="DC151" i="17" s="1"/>
  <c r="DD151" i="17" s="1"/>
  <c r="DE151" i="17" s="1"/>
  <c r="DF151" i="17" s="1"/>
  <c r="DG151" i="17" s="1"/>
  <c r="DH151" i="17" s="1"/>
  <c r="DI151" i="17" s="1"/>
  <c r="DJ151" i="17" s="1"/>
  <c r="DK151" i="17" s="1"/>
  <c r="DL151" i="17" s="1"/>
  <c r="AF180" i="17"/>
  <c r="AG180" i="17" s="1"/>
  <c r="AH180" i="17" s="1"/>
  <c r="AI180" i="17" s="1"/>
  <c r="AJ180" i="17" s="1"/>
  <c r="AK180" i="17" s="1"/>
  <c r="AL180" i="17" s="1"/>
  <c r="AM180" i="17" s="1"/>
  <c r="AN180" i="17" s="1"/>
  <c r="AO180" i="17" s="1"/>
  <c r="AP180" i="17" s="1"/>
  <c r="AQ180" i="17" s="1"/>
  <c r="AR180" i="17" s="1"/>
  <c r="AS180" i="17" s="1"/>
  <c r="AT180" i="17" s="1"/>
  <c r="AU180" i="17" s="1"/>
  <c r="AV180" i="17" s="1"/>
  <c r="AW180" i="17" s="1"/>
  <c r="AX180" i="17" s="1"/>
  <c r="AY180" i="17" s="1"/>
  <c r="AZ180" i="17" s="1"/>
  <c r="BA180" i="17" s="1"/>
  <c r="BB180" i="17" s="1"/>
  <c r="BC180" i="17" s="1"/>
  <c r="BD180" i="17" s="1"/>
  <c r="BE180" i="17" s="1"/>
  <c r="BF180" i="17" s="1"/>
  <c r="BG180" i="17" s="1"/>
  <c r="BH180" i="17" s="1"/>
  <c r="BI180" i="17" s="1"/>
  <c r="BJ180" i="17" s="1"/>
  <c r="BK180" i="17" s="1"/>
  <c r="BL180" i="17" s="1"/>
  <c r="BM180" i="17" s="1"/>
  <c r="BN180" i="17" s="1"/>
  <c r="BO180" i="17" s="1"/>
  <c r="BP180" i="17" s="1"/>
  <c r="BQ180" i="17" s="1"/>
  <c r="BR180" i="17" s="1"/>
  <c r="BS180" i="17" s="1"/>
  <c r="BT180" i="17" s="1"/>
  <c r="BU180" i="17" s="1"/>
  <c r="BV180" i="17" s="1"/>
  <c r="BW180" i="17" s="1"/>
  <c r="BX180" i="17" s="1"/>
  <c r="BY180" i="17" s="1"/>
  <c r="BZ180" i="17" s="1"/>
  <c r="CA180" i="17" s="1"/>
  <c r="CB180" i="17" s="1"/>
  <c r="CC180" i="17" s="1"/>
  <c r="CD180" i="17" s="1"/>
  <c r="CE180" i="17" s="1"/>
  <c r="CF180" i="17" s="1"/>
  <c r="CG180" i="17" s="1"/>
  <c r="CH180" i="17" s="1"/>
  <c r="CI180" i="17" s="1"/>
  <c r="CJ180" i="17" s="1"/>
  <c r="CK180" i="17" s="1"/>
  <c r="CL180" i="17" s="1"/>
  <c r="CM180" i="17" s="1"/>
  <c r="CN180" i="17" s="1"/>
  <c r="CO180" i="17" s="1"/>
  <c r="CP180" i="17" s="1"/>
  <c r="CQ180" i="17" s="1"/>
  <c r="CR180" i="17" s="1"/>
  <c r="CS180" i="17" s="1"/>
  <c r="CT180" i="17" s="1"/>
  <c r="CU180" i="17" s="1"/>
  <c r="CV180" i="17" s="1"/>
  <c r="CW180" i="17" s="1"/>
  <c r="CX180" i="17" s="1"/>
  <c r="CY180" i="17" s="1"/>
  <c r="CZ180" i="17" s="1"/>
  <c r="DA180" i="17" s="1"/>
  <c r="DB180" i="17" s="1"/>
  <c r="DC180" i="17" s="1"/>
  <c r="DD180" i="17" s="1"/>
  <c r="DE180" i="17" s="1"/>
  <c r="DF180" i="17" s="1"/>
  <c r="DG180" i="17" s="1"/>
  <c r="DH180" i="17" s="1"/>
  <c r="DI180" i="17" s="1"/>
  <c r="DJ180" i="17" s="1"/>
  <c r="DK180" i="17" s="1"/>
  <c r="DL180" i="17" s="1"/>
  <c r="AD17" i="17"/>
  <c r="AE17" i="17" s="1"/>
  <c r="AF17" i="17" s="1"/>
  <c r="AG17" i="17" s="1"/>
  <c r="AH17" i="17" s="1"/>
  <c r="AI17" i="17" s="1"/>
  <c r="AA212" i="17"/>
  <c r="AB212" i="17" s="1"/>
  <c r="AC49" i="17"/>
  <c r="AD49" i="17" s="1"/>
  <c r="AE49" i="17" s="1"/>
  <c r="AF49" i="17" s="1"/>
  <c r="AG49" i="17" s="1"/>
  <c r="AH49" i="17" s="1"/>
  <c r="AI49" i="17" s="1"/>
  <c r="AJ49" i="17" s="1"/>
  <c r="AK49" i="17" s="1"/>
  <c r="AL49" i="17" s="1"/>
  <c r="AM49" i="17" s="1"/>
  <c r="AN49" i="17" s="1"/>
  <c r="AO49" i="17" s="1"/>
  <c r="AP49" i="17" s="1"/>
  <c r="AQ49" i="17" s="1"/>
  <c r="AR49" i="17" s="1"/>
  <c r="AS49" i="17" s="1"/>
  <c r="AT49" i="17" s="1"/>
  <c r="AU49" i="17" s="1"/>
  <c r="AV49" i="17" s="1"/>
  <c r="AW49" i="17" s="1"/>
  <c r="AX49" i="17" s="1"/>
  <c r="AY49" i="17" s="1"/>
  <c r="AZ49" i="17" s="1"/>
  <c r="BA49" i="17" s="1"/>
  <c r="BB49" i="17" s="1"/>
  <c r="BC49" i="17" s="1"/>
  <c r="BD49" i="17" s="1"/>
  <c r="BE49" i="17" s="1"/>
  <c r="BF49" i="17" s="1"/>
  <c r="BG49" i="17" s="1"/>
  <c r="BH49" i="17" s="1"/>
  <c r="X32" i="17"/>
  <c r="Y32" i="17" s="1"/>
  <c r="AC100" i="17"/>
  <c r="AD100" i="17" s="1"/>
  <c r="AE100" i="17" s="1"/>
  <c r="AF100" i="17" s="1"/>
  <c r="AG100" i="17" s="1"/>
  <c r="AH100" i="17" s="1"/>
  <c r="AI100" i="17" s="1"/>
  <c r="AJ100" i="17" s="1"/>
  <c r="AK100" i="17" s="1"/>
  <c r="AL100" i="17" s="1"/>
  <c r="AM100" i="17" s="1"/>
  <c r="AN100" i="17" s="1"/>
  <c r="AO100" i="17" s="1"/>
  <c r="AP100" i="17" s="1"/>
  <c r="AQ100" i="17" s="1"/>
  <c r="AR100" i="17" s="1"/>
  <c r="AS100" i="17" s="1"/>
  <c r="AT100" i="17" s="1"/>
  <c r="AU100" i="17" s="1"/>
  <c r="AV100" i="17" s="1"/>
  <c r="AW100" i="17" s="1"/>
  <c r="AX100" i="17" s="1"/>
  <c r="AY100" i="17" s="1"/>
  <c r="AZ100" i="17" s="1"/>
  <c r="BA100" i="17" s="1"/>
  <c r="BB100" i="17" s="1"/>
  <c r="BC100" i="17" s="1"/>
  <c r="BD100" i="17" s="1"/>
  <c r="BE100" i="17" s="1"/>
  <c r="BF100" i="17" s="1"/>
  <c r="BG100" i="17" s="1"/>
  <c r="BH100" i="17" s="1"/>
  <c r="BI100" i="17" s="1"/>
  <c r="BJ100" i="17" s="1"/>
  <c r="BK100" i="17" s="1"/>
  <c r="BL100" i="17" s="1"/>
  <c r="BM100" i="17" s="1"/>
  <c r="BN100" i="17" s="1"/>
  <c r="BO100" i="17" s="1"/>
  <c r="BP100" i="17" s="1"/>
  <c r="BQ100" i="17" s="1"/>
  <c r="BR100" i="17" s="1"/>
  <c r="BS100" i="17" s="1"/>
  <c r="BT100" i="17" s="1"/>
  <c r="BU100" i="17" s="1"/>
  <c r="BV100" i="17" s="1"/>
  <c r="BW100" i="17" s="1"/>
  <c r="BX100" i="17" s="1"/>
  <c r="BY100" i="17" s="1"/>
  <c r="BZ100" i="17" s="1"/>
  <c r="CA100" i="17" s="1"/>
  <c r="CB100" i="17" s="1"/>
  <c r="CC100" i="17" s="1"/>
  <c r="CD100" i="17" s="1"/>
  <c r="CE100" i="17" s="1"/>
  <c r="CF100" i="17" s="1"/>
  <c r="CG100" i="17" s="1"/>
  <c r="CH100" i="17" s="1"/>
  <c r="CI100" i="17" s="1"/>
  <c r="CJ100" i="17" s="1"/>
  <c r="CK100" i="17" s="1"/>
  <c r="CL100" i="17" s="1"/>
  <c r="CM100" i="17" s="1"/>
  <c r="CN100" i="17" s="1"/>
  <c r="CO100" i="17" s="1"/>
  <c r="CP100" i="17" s="1"/>
  <c r="CQ100" i="17" s="1"/>
  <c r="CR100" i="17" s="1"/>
  <c r="CS100" i="17" s="1"/>
  <c r="CT100" i="17" s="1"/>
  <c r="CU100" i="17" s="1"/>
  <c r="CV100" i="17" s="1"/>
  <c r="CW100" i="17" s="1"/>
  <c r="CX100" i="17" s="1"/>
  <c r="CY100" i="17" s="1"/>
  <c r="CZ100" i="17" s="1"/>
  <c r="DA100" i="17" s="1"/>
  <c r="DB100" i="17" s="1"/>
  <c r="DC100" i="17" s="1"/>
  <c r="DD100" i="17" s="1"/>
  <c r="DE100" i="17" s="1"/>
  <c r="DF100" i="17" s="1"/>
  <c r="DG100" i="17" s="1"/>
  <c r="DH100" i="17" s="1"/>
  <c r="DI100" i="17" s="1"/>
  <c r="DJ100" i="17" s="1"/>
  <c r="DK100" i="17" s="1"/>
  <c r="DL100" i="17" s="1"/>
  <c r="AC89" i="17"/>
  <c r="AA7" i="17"/>
  <c r="AB7" i="17" s="1"/>
  <c r="AC7" i="17" s="1"/>
  <c r="AD7" i="17" s="1"/>
  <c r="AE7" i="17" s="1"/>
  <c r="AF7" i="17" s="1"/>
  <c r="AG7" i="17" s="1"/>
  <c r="AH7" i="17" s="1"/>
  <c r="AI7" i="17" s="1"/>
  <c r="AT93" i="17"/>
  <c r="AU93" i="17" s="1"/>
  <c r="AV93" i="17" s="1"/>
  <c r="Y15" i="17"/>
  <c r="Z29" i="17"/>
  <c r="AA29" i="17" s="1"/>
  <c r="AB29" i="17" s="1"/>
  <c r="AC29" i="17" s="1"/>
  <c r="AH77" i="17"/>
  <c r="AI77" i="17" s="1"/>
  <c r="AJ77" i="17" s="1"/>
  <c r="W232" i="17"/>
  <c r="W61" i="17"/>
  <c r="X61" i="17" s="1"/>
  <c r="Z108" i="17"/>
  <c r="AA108" i="17" s="1"/>
  <c r="AB108" i="17" s="1"/>
  <c r="AB144" i="17"/>
  <c r="AC144" i="17" s="1"/>
  <c r="AD144" i="17" s="1"/>
  <c r="AE144" i="17" s="1"/>
  <c r="AF144" i="17" s="1"/>
  <c r="AG144" i="17" s="1"/>
  <c r="AH144" i="17" s="1"/>
  <c r="AI144" i="17" s="1"/>
  <c r="AJ144" i="17" s="1"/>
  <c r="AK144" i="17" s="1"/>
  <c r="AL144" i="17" s="1"/>
  <c r="AM144" i="17" s="1"/>
  <c r="AN144" i="17" s="1"/>
  <c r="AO144" i="17" s="1"/>
  <c r="AP144" i="17" s="1"/>
  <c r="AQ144" i="17" s="1"/>
  <c r="AR144" i="17" s="1"/>
  <c r="AS144" i="17" s="1"/>
  <c r="AT144" i="17" s="1"/>
  <c r="AU144" i="17" s="1"/>
  <c r="AV144" i="17" s="1"/>
  <c r="AW144" i="17" s="1"/>
  <c r="AX144" i="17" s="1"/>
  <c r="AY144" i="17" s="1"/>
  <c r="AZ144" i="17" s="1"/>
  <c r="BA144" i="17" s="1"/>
  <c r="BB144" i="17" s="1"/>
  <c r="BC144" i="17" s="1"/>
  <c r="BD144" i="17" s="1"/>
  <c r="BE144" i="17" s="1"/>
  <c r="BF144" i="17" s="1"/>
  <c r="BG144" i="17" s="1"/>
  <c r="BH144" i="17" s="1"/>
  <c r="BI144" i="17" s="1"/>
  <c r="BJ144" i="17" s="1"/>
  <c r="BK144" i="17" s="1"/>
  <c r="BL144" i="17" s="1"/>
  <c r="BM144" i="17" s="1"/>
  <c r="BN144" i="17" s="1"/>
  <c r="BO144" i="17" s="1"/>
  <c r="Z51" i="17"/>
  <c r="AA51" i="17" s="1"/>
  <c r="X8" i="17"/>
  <c r="Y8" i="17" s="1"/>
  <c r="Z237" i="17"/>
  <c r="AA237" i="17" s="1"/>
  <c r="AB237" i="17" s="1"/>
  <c r="AC237" i="17" s="1"/>
  <c r="X54" i="17"/>
  <c r="Y54" i="17" s="1"/>
  <c r="Z54" i="17" s="1"/>
  <c r="AA286" i="17"/>
  <c r="AB286" i="17" s="1"/>
  <c r="AC286" i="17" s="1"/>
  <c r="AD286" i="17" s="1"/>
  <c r="AE286" i="17" s="1"/>
  <c r="AF286" i="17" s="1"/>
  <c r="AG286" i="17" s="1"/>
  <c r="AH286" i="17" s="1"/>
  <c r="AI286" i="17" s="1"/>
  <c r="AJ286" i="17" s="1"/>
  <c r="AK286" i="17" s="1"/>
  <c r="AL286" i="17" s="1"/>
  <c r="AM286" i="17" s="1"/>
  <c r="AN286" i="17" s="1"/>
  <c r="AO286" i="17" s="1"/>
  <c r="AP286" i="17" s="1"/>
  <c r="AQ286" i="17" s="1"/>
  <c r="AR286" i="17" s="1"/>
  <c r="AS286" i="17" s="1"/>
  <c r="AT286" i="17" s="1"/>
  <c r="AU286" i="17" s="1"/>
  <c r="AV286" i="17" s="1"/>
  <c r="AW286" i="17" s="1"/>
  <c r="AX286" i="17" s="1"/>
  <c r="AY286" i="17" s="1"/>
  <c r="AZ286" i="17" s="1"/>
  <c r="BA286" i="17" s="1"/>
  <c r="BB286" i="17" s="1"/>
  <c r="BC286" i="17" s="1"/>
  <c r="BD286" i="17" s="1"/>
  <c r="BE286" i="17" s="1"/>
  <c r="BF286" i="17" s="1"/>
  <c r="BG286" i="17" s="1"/>
  <c r="BH286" i="17" s="1"/>
  <c r="BI286" i="17" s="1"/>
  <c r="BJ286" i="17" s="1"/>
  <c r="BK286" i="17" s="1"/>
  <c r="BL286" i="17" s="1"/>
  <c r="BM286" i="17" s="1"/>
  <c r="BN286" i="17" s="1"/>
  <c r="BO286" i="17" s="1"/>
  <c r="BP286" i="17" s="1"/>
  <c r="BQ286" i="17" s="1"/>
  <c r="BR286" i="17" s="1"/>
  <c r="BS286" i="17" s="1"/>
  <c r="BT286" i="17" s="1"/>
  <c r="BU286" i="17" s="1"/>
  <c r="BV286" i="17" s="1"/>
  <c r="BW286" i="17" s="1"/>
  <c r="BX286" i="17" s="1"/>
  <c r="BY286" i="17" s="1"/>
  <c r="BZ286" i="17" s="1"/>
  <c r="CA286" i="17" s="1"/>
  <c r="CB286" i="17" s="1"/>
  <c r="CC286" i="17" s="1"/>
  <c r="CD286" i="17" s="1"/>
  <c r="CE286" i="17" s="1"/>
  <c r="CF286" i="17" s="1"/>
  <c r="CG286" i="17" s="1"/>
  <c r="CH286" i="17" s="1"/>
  <c r="CI286" i="17" s="1"/>
  <c r="CJ286" i="17" s="1"/>
  <c r="CK286" i="17" s="1"/>
  <c r="CL286" i="17" s="1"/>
  <c r="CM286" i="17" s="1"/>
  <c r="CN286" i="17" s="1"/>
  <c r="CO286" i="17" s="1"/>
  <c r="CP286" i="17" s="1"/>
  <c r="CQ286" i="17" s="1"/>
  <c r="CR286" i="17" s="1"/>
  <c r="CS286" i="17" s="1"/>
  <c r="CT286" i="17" s="1"/>
  <c r="CU286" i="17" s="1"/>
  <c r="CV286" i="17" s="1"/>
  <c r="CW286" i="17" s="1"/>
  <c r="CX286" i="17" s="1"/>
  <c r="CY286" i="17" s="1"/>
  <c r="CZ286" i="17" s="1"/>
  <c r="DA286" i="17" s="1"/>
  <c r="DB286" i="17" s="1"/>
  <c r="DC286" i="17" s="1"/>
  <c r="DD286" i="17" s="1"/>
  <c r="DE286" i="17" s="1"/>
  <c r="DF286" i="17" s="1"/>
  <c r="DG286" i="17" s="1"/>
  <c r="DH286" i="17" s="1"/>
  <c r="DI286" i="17" s="1"/>
  <c r="DJ286" i="17" s="1"/>
  <c r="DK286" i="17" s="1"/>
  <c r="DL286" i="17" s="1"/>
  <c r="AD270" i="17"/>
  <c r="AE270" i="17" s="1"/>
  <c r="AF270" i="17" s="1"/>
  <c r="AG270" i="17" s="1"/>
  <c r="AH270" i="17" s="1"/>
  <c r="AI270" i="17" s="1"/>
  <c r="AJ270" i="17" s="1"/>
  <c r="AK270" i="17" s="1"/>
  <c r="AL270" i="17" s="1"/>
  <c r="AM270" i="17" s="1"/>
  <c r="AN270" i="17" s="1"/>
  <c r="AO270" i="17" s="1"/>
  <c r="AP270" i="17" s="1"/>
  <c r="AQ270" i="17" s="1"/>
  <c r="AR270" i="17" s="1"/>
  <c r="AS270" i="17" s="1"/>
  <c r="AT270" i="17" s="1"/>
  <c r="AU270" i="17" s="1"/>
  <c r="AV270" i="17" s="1"/>
  <c r="AW270" i="17" s="1"/>
  <c r="AX270" i="17" s="1"/>
  <c r="AY270" i="17" s="1"/>
  <c r="AZ270" i="17" s="1"/>
  <c r="BA270" i="17" s="1"/>
  <c r="Z122" i="17"/>
  <c r="X123" i="17"/>
  <c r="X236" i="17"/>
  <c r="Y236" i="17" s="1"/>
  <c r="Z236" i="17" s="1"/>
  <c r="AA236" i="17" s="1"/>
  <c r="AB236" i="17" s="1"/>
  <c r="Z292" i="17"/>
  <c r="AA292" i="17" s="1"/>
  <c r="AB292" i="17" s="1"/>
  <c r="AC292" i="17" s="1"/>
  <c r="AD292" i="17" s="1"/>
  <c r="AE292" i="17" s="1"/>
  <c r="AF292" i="17" s="1"/>
  <c r="AG292" i="17" s="1"/>
  <c r="AH292" i="17" s="1"/>
  <c r="AI292" i="17" s="1"/>
  <c r="AJ292" i="17" s="1"/>
  <c r="AK292" i="17" s="1"/>
  <c r="AL292" i="17" s="1"/>
  <c r="AM292" i="17" s="1"/>
  <c r="AN292" i="17" s="1"/>
  <c r="AO292" i="17" s="1"/>
  <c r="AP292" i="17" s="1"/>
  <c r="AQ292" i="17" s="1"/>
  <c r="AR292" i="17" s="1"/>
  <c r="AS292" i="17" s="1"/>
  <c r="AT292" i="17" s="1"/>
  <c r="AU292" i="17" s="1"/>
  <c r="AV292" i="17" s="1"/>
  <c r="AW292" i="17" s="1"/>
  <c r="AX292" i="17" s="1"/>
  <c r="AY292" i="17" s="1"/>
  <c r="AZ292" i="17" s="1"/>
  <c r="BA292" i="17" s="1"/>
  <c r="BB292" i="17" s="1"/>
  <c r="BC292" i="17" s="1"/>
  <c r="BD292" i="17" s="1"/>
  <c r="BE292" i="17" s="1"/>
  <c r="BF292" i="17" s="1"/>
  <c r="BG292" i="17" s="1"/>
  <c r="BH292" i="17" s="1"/>
  <c r="BI292" i="17" s="1"/>
  <c r="BJ292" i="17" s="1"/>
  <c r="BK292" i="17" s="1"/>
  <c r="BL292" i="17" s="1"/>
  <c r="BM292" i="17" s="1"/>
  <c r="BN292" i="17" s="1"/>
  <c r="BO292" i="17" s="1"/>
  <c r="BP292" i="17" s="1"/>
  <c r="BQ292" i="17" s="1"/>
  <c r="BR292" i="17" s="1"/>
  <c r="BS292" i="17" s="1"/>
  <c r="BT292" i="17" s="1"/>
  <c r="BU292" i="17" s="1"/>
  <c r="BV292" i="17" s="1"/>
  <c r="BW292" i="17" s="1"/>
  <c r="BX292" i="17" s="1"/>
  <c r="BY292" i="17" s="1"/>
  <c r="BZ292" i="17" s="1"/>
  <c r="CA292" i="17" s="1"/>
  <c r="CB292" i="17" s="1"/>
  <c r="CC292" i="17" s="1"/>
  <c r="CD292" i="17" s="1"/>
  <c r="CE292" i="17" s="1"/>
  <c r="CF292" i="17" s="1"/>
  <c r="CG292" i="17" s="1"/>
  <c r="CH292" i="17" s="1"/>
  <c r="CI292" i="17" s="1"/>
  <c r="CJ292" i="17" s="1"/>
  <c r="CK292" i="17" s="1"/>
  <c r="CL292" i="17" s="1"/>
  <c r="CM292" i="17" s="1"/>
  <c r="CN292" i="17" s="1"/>
  <c r="CO292" i="17" s="1"/>
  <c r="CP292" i="17" s="1"/>
  <c r="CQ292" i="17" s="1"/>
  <c r="CR292" i="17" s="1"/>
  <c r="CS292" i="17" s="1"/>
  <c r="CT292" i="17" s="1"/>
  <c r="CU292" i="17" s="1"/>
  <c r="CV292" i="17" s="1"/>
  <c r="CW292" i="17" s="1"/>
  <c r="CX292" i="17" s="1"/>
  <c r="CY292" i="17" s="1"/>
  <c r="CZ292" i="17" s="1"/>
  <c r="DA292" i="17" s="1"/>
  <c r="DB292" i="17" s="1"/>
  <c r="DC292" i="17" s="1"/>
  <c r="DD292" i="17" s="1"/>
  <c r="DE292" i="17" s="1"/>
  <c r="DF292" i="17" s="1"/>
  <c r="DG292" i="17" s="1"/>
  <c r="DH292" i="17" s="1"/>
  <c r="DI292" i="17" s="1"/>
  <c r="DJ292" i="17" s="1"/>
  <c r="DK292" i="17" s="1"/>
  <c r="DL292" i="17" s="1"/>
  <c r="X95" i="17"/>
  <c r="Y95" i="17" s="1"/>
  <c r="Z95" i="17" s="1"/>
  <c r="AA95" i="17" s="1"/>
  <c r="AB95" i="17" s="1"/>
  <c r="AC95" i="17" s="1"/>
  <c r="AD95" i="17" s="1"/>
  <c r="AE95" i="17" s="1"/>
  <c r="AF95" i="17" s="1"/>
  <c r="AG95" i="17" s="1"/>
  <c r="AH95" i="17" s="1"/>
  <c r="AI95" i="17" s="1"/>
  <c r="AJ95" i="17" s="1"/>
  <c r="AK95" i="17" s="1"/>
  <c r="AL95" i="17" s="1"/>
  <c r="AM95" i="17" s="1"/>
  <c r="AN95" i="17" s="1"/>
  <c r="AO95" i="17" s="1"/>
  <c r="AP95" i="17" s="1"/>
  <c r="AQ95" i="17" s="1"/>
  <c r="AR95" i="17" s="1"/>
  <c r="AS95" i="17" s="1"/>
  <c r="AT95" i="17" s="1"/>
  <c r="AU95" i="17" s="1"/>
  <c r="AV95" i="17" s="1"/>
  <c r="AW95" i="17" s="1"/>
  <c r="AX95" i="17" s="1"/>
  <c r="AY95" i="17" s="1"/>
  <c r="AZ95" i="17" s="1"/>
  <c r="BA95" i="17" s="1"/>
  <c r="BB95" i="17" s="1"/>
  <c r="BC95" i="17" s="1"/>
  <c r="BD95" i="17" s="1"/>
  <c r="BE95" i="17" s="1"/>
  <c r="BF95" i="17" s="1"/>
  <c r="BG95" i="17" s="1"/>
  <c r="BH95" i="17" s="1"/>
  <c r="BI95" i="17" s="1"/>
  <c r="BJ95" i="17" s="1"/>
  <c r="BK95" i="17" s="1"/>
  <c r="BL95" i="17" s="1"/>
  <c r="BM95" i="17" s="1"/>
  <c r="BN95" i="17" s="1"/>
  <c r="BO95" i="17" s="1"/>
  <c r="BP95" i="17" s="1"/>
  <c r="BQ95" i="17" s="1"/>
  <c r="BR95" i="17" s="1"/>
  <c r="BS95" i="17" s="1"/>
  <c r="BT95" i="17" s="1"/>
  <c r="BU95" i="17" s="1"/>
  <c r="BV95" i="17" s="1"/>
  <c r="BW95" i="17" s="1"/>
  <c r="BX95" i="17" s="1"/>
  <c r="BY95" i="17" s="1"/>
  <c r="BZ95" i="17" s="1"/>
  <c r="CA95" i="17" s="1"/>
  <c r="CB95" i="17" s="1"/>
  <c r="CC95" i="17" s="1"/>
  <c r="CD95" i="17" s="1"/>
  <c r="CE95" i="17" s="1"/>
  <c r="CF95" i="17" s="1"/>
  <c r="CG95" i="17" s="1"/>
  <c r="CH95" i="17" s="1"/>
  <c r="CI95" i="17" s="1"/>
  <c r="CJ95" i="17" s="1"/>
  <c r="CK95" i="17" s="1"/>
  <c r="CL95" i="17" s="1"/>
  <c r="CM95" i="17" s="1"/>
  <c r="CN95" i="17" s="1"/>
  <c r="CO95" i="17" s="1"/>
  <c r="CP95" i="17" s="1"/>
  <c r="CQ95" i="17" s="1"/>
  <c r="CR95" i="17" s="1"/>
  <c r="CS95" i="17" s="1"/>
  <c r="CT95" i="17" s="1"/>
  <c r="CU95" i="17" s="1"/>
  <c r="CV95" i="17" s="1"/>
  <c r="CW95" i="17" s="1"/>
  <c r="CX95" i="17" s="1"/>
  <c r="CY95" i="17" s="1"/>
  <c r="CZ95" i="17" s="1"/>
  <c r="DA95" i="17" s="1"/>
  <c r="DB95" i="17" s="1"/>
  <c r="DC95" i="17" s="1"/>
  <c r="DD95" i="17" s="1"/>
  <c r="DE95" i="17" s="1"/>
  <c r="DF95" i="17" s="1"/>
  <c r="DG95" i="17" s="1"/>
  <c r="DH95" i="17" s="1"/>
  <c r="DI95" i="17" s="1"/>
  <c r="DJ95" i="17" s="1"/>
  <c r="DK95" i="17" s="1"/>
  <c r="DL95" i="17" s="1"/>
  <c r="Z81" i="17"/>
  <c r="Z198" i="17"/>
  <c r="AA198" i="17" s="1"/>
  <c r="AB198" i="17" s="1"/>
  <c r="AC198" i="17" s="1"/>
  <c r="AD198" i="17" s="1"/>
  <c r="AE198" i="17" s="1"/>
  <c r="AF198" i="17" s="1"/>
  <c r="AG198" i="17" s="1"/>
  <c r="AH198" i="17" s="1"/>
  <c r="AI198" i="17" s="1"/>
  <c r="AJ198" i="17" s="1"/>
  <c r="AK198" i="17" s="1"/>
  <c r="AL198" i="17" s="1"/>
  <c r="AM198" i="17" s="1"/>
  <c r="AN198" i="17" s="1"/>
  <c r="AO198" i="17" s="1"/>
  <c r="AP198" i="17" s="1"/>
  <c r="AQ198" i="17" s="1"/>
  <c r="AR198" i="17" s="1"/>
  <c r="AS198" i="17" s="1"/>
  <c r="AT198" i="17" s="1"/>
  <c r="AU198" i="17" s="1"/>
  <c r="AV198" i="17" s="1"/>
  <c r="AW198" i="17" s="1"/>
  <c r="AX198" i="17" s="1"/>
  <c r="AY198" i="17" s="1"/>
  <c r="AZ198" i="17" s="1"/>
  <c r="BA198" i="17" s="1"/>
  <c r="BB198" i="17" s="1"/>
  <c r="BC198" i="17" s="1"/>
  <c r="BD198" i="17" s="1"/>
  <c r="BE198" i="17" s="1"/>
  <c r="BF198" i="17" s="1"/>
  <c r="BG198" i="17" s="1"/>
  <c r="BH198" i="17" s="1"/>
  <c r="BI198" i="17" s="1"/>
  <c r="BJ198" i="17" s="1"/>
  <c r="BK198" i="17" s="1"/>
  <c r="BL198" i="17" s="1"/>
  <c r="BM198" i="17" s="1"/>
  <c r="BN198" i="17" s="1"/>
  <c r="BO198" i="17" s="1"/>
  <c r="BP198" i="17" s="1"/>
  <c r="BQ198" i="17" s="1"/>
  <c r="BR198" i="17" s="1"/>
  <c r="BS198" i="17" s="1"/>
  <c r="BT198" i="17" s="1"/>
  <c r="BU198" i="17" s="1"/>
  <c r="BV198" i="17" s="1"/>
  <c r="BW198" i="17" s="1"/>
  <c r="BX198" i="17" s="1"/>
  <c r="BY198" i="17" s="1"/>
  <c r="BZ198" i="17" s="1"/>
  <c r="CA198" i="17" s="1"/>
  <c r="CB198" i="17" s="1"/>
  <c r="CC198" i="17" s="1"/>
  <c r="CD198" i="17" s="1"/>
  <c r="CE198" i="17" s="1"/>
  <c r="CF198" i="17" s="1"/>
  <c r="CG198" i="17" s="1"/>
  <c r="CH198" i="17" s="1"/>
  <c r="CI198" i="17" s="1"/>
  <c r="CJ198" i="17" s="1"/>
  <c r="CK198" i="17" s="1"/>
  <c r="CL198" i="17" s="1"/>
  <c r="CM198" i="17" s="1"/>
  <c r="CN198" i="17" s="1"/>
  <c r="CO198" i="17" s="1"/>
  <c r="CP198" i="17" s="1"/>
  <c r="CQ198" i="17" s="1"/>
  <c r="CR198" i="17" s="1"/>
  <c r="CS198" i="17" s="1"/>
  <c r="CT198" i="17" s="1"/>
  <c r="CU198" i="17" s="1"/>
  <c r="CV198" i="17" s="1"/>
  <c r="CW198" i="17" s="1"/>
  <c r="CX198" i="17" s="1"/>
  <c r="CY198" i="17" s="1"/>
  <c r="CZ198" i="17" s="1"/>
  <c r="DA198" i="17" s="1"/>
  <c r="DB198" i="17" s="1"/>
  <c r="DC198" i="17" s="1"/>
  <c r="DD198" i="17" s="1"/>
  <c r="DE198" i="17" s="1"/>
  <c r="DF198" i="17" s="1"/>
  <c r="DG198" i="17" s="1"/>
  <c r="DH198" i="17" s="1"/>
  <c r="DI198" i="17" s="1"/>
  <c r="DJ198" i="17" s="1"/>
  <c r="DK198" i="17" s="1"/>
  <c r="DL198" i="17" s="1"/>
  <c r="AG289" i="17"/>
  <c r="AH289" i="17" s="1"/>
  <c r="AI289" i="17" s="1"/>
  <c r="AJ289" i="17" s="1"/>
  <c r="AK289" i="17" s="1"/>
  <c r="AL289" i="17" s="1"/>
  <c r="AM289" i="17" s="1"/>
  <c r="AN289" i="17" s="1"/>
  <c r="AO289" i="17" s="1"/>
  <c r="AP289" i="17" s="1"/>
  <c r="AQ289" i="17" s="1"/>
  <c r="AR289" i="17" s="1"/>
  <c r="AS289" i="17" s="1"/>
  <c r="AT289" i="17" s="1"/>
  <c r="AU289" i="17" s="1"/>
  <c r="AV289" i="17" s="1"/>
  <c r="AW289" i="17" s="1"/>
  <c r="AX289" i="17" s="1"/>
  <c r="AY289" i="17" s="1"/>
  <c r="AZ289" i="17" s="1"/>
  <c r="BA289" i="17" s="1"/>
  <c r="BB289" i="17" s="1"/>
  <c r="BC289" i="17" s="1"/>
  <c r="BD289" i="17" s="1"/>
  <c r="BE289" i="17" s="1"/>
  <c r="BF289" i="17" s="1"/>
  <c r="BG289" i="17" s="1"/>
  <c r="BH289" i="17" s="1"/>
  <c r="BI289" i="17" s="1"/>
  <c r="BJ289" i="17" s="1"/>
  <c r="BK289" i="17" s="1"/>
  <c r="BL289" i="17" s="1"/>
  <c r="BM289" i="17" s="1"/>
  <c r="BN289" i="17" s="1"/>
  <c r="BO289" i="17" s="1"/>
  <c r="BP289" i="17" s="1"/>
  <c r="BQ289" i="17" s="1"/>
  <c r="BR289" i="17" s="1"/>
  <c r="BS289" i="17" s="1"/>
  <c r="BT289" i="17" s="1"/>
  <c r="BU289" i="17" s="1"/>
  <c r="BV289" i="17" s="1"/>
  <c r="BW289" i="17" s="1"/>
  <c r="BX289" i="17" s="1"/>
  <c r="BY289" i="17" s="1"/>
  <c r="BZ289" i="17" s="1"/>
  <c r="CA289" i="17" s="1"/>
  <c r="CB289" i="17" s="1"/>
  <c r="CC289" i="17" s="1"/>
  <c r="CD289" i="17" s="1"/>
  <c r="CE289" i="17" s="1"/>
  <c r="CF289" i="17" s="1"/>
  <c r="CG289" i="17" s="1"/>
  <c r="CH289" i="17" s="1"/>
  <c r="CI289" i="17" s="1"/>
  <c r="CJ289" i="17" s="1"/>
  <c r="CK289" i="17" s="1"/>
  <c r="CL289" i="17" s="1"/>
  <c r="CM289" i="17" s="1"/>
  <c r="CN289" i="17" s="1"/>
  <c r="CO289" i="17" s="1"/>
  <c r="CP289" i="17" s="1"/>
  <c r="CQ289" i="17" s="1"/>
  <c r="CR289" i="17" s="1"/>
  <c r="CS289" i="17" s="1"/>
  <c r="CT289" i="17" s="1"/>
  <c r="CU289" i="17" s="1"/>
  <c r="CV289" i="17" s="1"/>
  <c r="CW289" i="17" s="1"/>
  <c r="CX289" i="17" s="1"/>
  <c r="CY289" i="17" s="1"/>
  <c r="CZ289" i="17" s="1"/>
  <c r="DA289" i="17" s="1"/>
  <c r="DB289" i="17" s="1"/>
  <c r="DC289" i="17" s="1"/>
  <c r="DD289" i="17" s="1"/>
  <c r="DE289" i="17" s="1"/>
  <c r="DF289" i="17" s="1"/>
  <c r="DG289" i="17" s="1"/>
  <c r="DH289" i="17" s="1"/>
  <c r="DI289" i="17" s="1"/>
  <c r="DJ289" i="17" s="1"/>
  <c r="DK289" i="17" s="1"/>
  <c r="DL289" i="17" s="1"/>
  <c r="AI247" i="17"/>
  <c r="AJ247" i="17" s="1"/>
  <c r="Z273" i="17"/>
  <c r="AA273" i="17" s="1"/>
  <c r="AB273" i="17" s="1"/>
  <c r="AC273" i="17" s="1"/>
  <c r="AD273" i="17" s="1"/>
  <c r="AE273" i="17" s="1"/>
  <c r="AF273" i="17" s="1"/>
  <c r="AG273" i="17" s="1"/>
  <c r="AH273" i="17" s="1"/>
  <c r="AI273" i="17" s="1"/>
  <c r="AJ273" i="17" s="1"/>
  <c r="AK273" i="17" s="1"/>
  <c r="AL273" i="17" s="1"/>
  <c r="AM273" i="17" s="1"/>
  <c r="AN273" i="17" s="1"/>
  <c r="AO273" i="17" s="1"/>
  <c r="AP273" i="17" s="1"/>
  <c r="AQ273" i="17" s="1"/>
  <c r="AR273" i="17" s="1"/>
  <c r="AS273" i="17" s="1"/>
  <c r="AT273" i="17" s="1"/>
  <c r="AU273" i="17" s="1"/>
  <c r="AV273" i="17" s="1"/>
  <c r="AW273" i="17" s="1"/>
  <c r="AX273" i="17" s="1"/>
  <c r="AY273" i="17" s="1"/>
  <c r="AZ273" i="17" s="1"/>
  <c r="BA273" i="17" s="1"/>
  <c r="BB273" i="17" s="1"/>
  <c r="BC273" i="17" s="1"/>
  <c r="BD273" i="17" s="1"/>
  <c r="BE273" i="17" s="1"/>
  <c r="BF273" i="17" s="1"/>
  <c r="BG273" i="17" s="1"/>
  <c r="BH273" i="17" s="1"/>
  <c r="BI273" i="17" s="1"/>
  <c r="BJ273" i="17" s="1"/>
  <c r="BK273" i="17" s="1"/>
  <c r="BL273" i="17" s="1"/>
  <c r="BM273" i="17" s="1"/>
  <c r="BN273" i="17" s="1"/>
  <c r="BO273" i="17" s="1"/>
  <c r="BP273" i="17" s="1"/>
  <c r="BQ273" i="17" s="1"/>
  <c r="BR273" i="17" s="1"/>
  <c r="BS273" i="17" s="1"/>
  <c r="BT273" i="17" s="1"/>
  <c r="BU273" i="17" s="1"/>
  <c r="BV273" i="17" s="1"/>
  <c r="BW273" i="17" s="1"/>
  <c r="BX273" i="17" s="1"/>
  <c r="BY273" i="17" s="1"/>
  <c r="BZ273" i="17" s="1"/>
  <c r="CA273" i="17" s="1"/>
  <c r="CB273" i="17" s="1"/>
  <c r="CC273" i="17" s="1"/>
  <c r="CD273" i="17" s="1"/>
  <c r="CE273" i="17" s="1"/>
  <c r="CF273" i="17" s="1"/>
  <c r="CG273" i="17" s="1"/>
  <c r="CH273" i="17" s="1"/>
  <c r="CI273" i="17" s="1"/>
  <c r="CJ273" i="17" s="1"/>
  <c r="CK273" i="17" s="1"/>
  <c r="CL273" i="17" s="1"/>
  <c r="CM273" i="17" s="1"/>
  <c r="CN273" i="17" s="1"/>
  <c r="CO273" i="17" s="1"/>
  <c r="CP273" i="17" s="1"/>
  <c r="CQ273" i="17" s="1"/>
  <c r="CR273" i="17" s="1"/>
  <c r="CS273" i="17" s="1"/>
  <c r="CT273" i="17" s="1"/>
  <c r="CU273" i="17" s="1"/>
  <c r="CV273" i="17" s="1"/>
  <c r="CW273" i="17" s="1"/>
  <c r="CX273" i="17" s="1"/>
  <c r="CY273" i="17" s="1"/>
  <c r="CZ273" i="17" s="1"/>
  <c r="DA273" i="17" s="1"/>
  <c r="DB273" i="17" s="1"/>
  <c r="DC273" i="17" s="1"/>
  <c r="DD273" i="17" s="1"/>
  <c r="DE273" i="17" s="1"/>
  <c r="DF273" i="17" s="1"/>
  <c r="DG273" i="17" s="1"/>
  <c r="DH273" i="17" s="1"/>
  <c r="DI273" i="17" s="1"/>
  <c r="DJ273" i="17" s="1"/>
  <c r="DK273" i="17" s="1"/>
  <c r="DL273" i="17" s="1"/>
  <c r="X102" i="17"/>
  <c r="V127" i="17"/>
  <c r="W127" i="17" s="1"/>
  <c r="Y224" i="17"/>
  <c r="Z224" i="17" s="1"/>
  <c r="V301" i="17"/>
  <c r="W192" i="17"/>
  <c r="W136" i="17"/>
  <c r="X136" i="17" s="1"/>
  <c r="W210" i="17"/>
  <c r="X210" i="17" s="1"/>
  <c r="Y210" i="17" s="1"/>
  <c r="Z199" i="17"/>
  <c r="AA199" i="17" s="1"/>
  <c r="AB199" i="17" s="1"/>
  <c r="AC199" i="17" s="1"/>
  <c r="AH85" i="17"/>
  <c r="AI85" i="17" s="1"/>
  <c r="AJ85" i="17" s="1"/>
  <c r="AK85" i="17" s="1"/>
  <c r="AL85" i="17" s="1"/>
  <c r="AM85" i="17" s="1"/>
  <c r="AN85" i="17" s="1"/>
  <c r="AO85" i="17" s="1"/>
  <c r="AP85" i="17" s="1"/>
  <c r="AQ85" i="17" s="1"/>
  <c r="X197" i="17"/>
  <c r="Y197" i="17" s="1"/>
  <c r="V231" i="17"/>
  <c r="X272" i="17"/>
  <c r="X234" i="17"/>
  <c r="Y234" i="17" s="1"/>
  <c r="Z234" i="17" s="1"/>
  <c r="AA234" i="17" s="1"/>
  <c r="AB234" i="17" s="1"/>
  <c r="AC234" i="17" s="1"/>
  <c r="AD234" i="17" s="1"/>
  <c r="AE234" i="17" s="1"/>
  <c r="AF234" i="17" s="1"/>
  <c r="AG234" i="17" s="1"/>
  <c r="AH234" i="17" s="1"/>
  <c r="AI234" i="17" s="1"/>
  <c r="AJ234" i="17" s="1"/>
  <c r="AK234" i="17" s="1"/>
  <c r="AL234" i="17" s="1"/>
  <c r="AM234" i="17" s="1"/>
  <c r="AN234" i="17" s="1"/>
  <c r="AO234" i="17" s="1"/>
  <c r="AP234" i="17" s="1"/>
  <c r="AQ234" i="17" s="1"/>
  <c r="AR234" i="17" s="1"/>
  <c r="AS234" i="17" s="1"/>
  <c r="AT234" i="17" s="1"/>
  <c r="AU234" i="17" s="1"/>
  <c r="AV234" i="17" s="1"/>
  <c r="AW234" i="17" s="1"/>
  <c r="AX234" i="17" s="1"/>
  <c r="AY234" i="17" s="1"/>
  <c r="AZ234" i="17" s="1"/>
  <c r="BA234" i="17" s="1"/>
  <c r="BB234" i="17" s="1"/>
  <c r="BC234" i="17" s="1"/>
  <c r="BD234" i="17" s="1"/>
  <c r="BE234" i="17" s="1"/>
  <c r="BF234" i="17" s="1"/>
  <c r="BG234" i="17" s="1"/>
  <c r="BH234" i="17" s="1"/>
  <c r="BI234" i="17" s="1"/>
  <c r="BJ234" i="17" s="1"/>
  <c r="BK234" i="17" s="1"/>
  <c r="BL234" i="17" s="1"/>
  <c r="BM234" i="17" s="1"/>
  <c r="BN234" i="17" s="1"/>
  <c r="BO234" i="17" s="1"/>
  <c r="BP234" i="17" s="1"/>
  <c r="BQ234" i="17" s="1"/>
  <c r="BR234" i="17" s="1"/>
  <c r="BS234" i="17" s="1"/>
  <c r="BT234" i="17" s="1"/>
  <c r="BU234" i="17" s="1"/>
  <c r="BV234" i="17" s="1"/>
  <c r="BW234" i="17" s="1"/>
  <c r="BX234" i="17" s="1"/>
  <c r="BY234" i="17" s="1"/>
  <c r="BZ234" i="17" s="1"/>
  <c r="CA234" i="17" s="1"/>
  <c r="CB234" i="17" s="1"/>
  <c r="CC234" i="17" s="1"/>
  <c r="CD234" i="17" s="1"/>
  <c r="CE234" i="17" s="1"/>
  <c r="CF234" i="17" s="1"/>
  <c r="CG234" i="17" s="1"/>
  <c r="CH234" i="17" s="1"/>
  <c r="CI234" i="17" s="1"/>
  <c r="CJ234" i="17" s="1"/>
  <c r="CK234" i="17" s="1"/>
  <c r="CL234" i="17" s="1"/>
  <c r="CM234" i="17" s="1"/>
  <c r="CN234" i="17" s="1"/>
  <c r="CO234" i="17" s="1"/>
  <c r="CP234" i="17" s="1"/>
  <c r="CQ234" i="17" s="1"/>
  <c r="CR234" i="17" s="1"/>
  <c r="CS234" i="17" s="1"/>
  <c r="CT234" i="17" s="1"/>
  <c r="CU234" i="17" s="1"/>
  <c r="CV234" i="17" s="1"/>
  <c r="CW234" i="17" s="1"/>
  <c r="CX234" i="17" s="1"/>
  <c r="CY234" i="17" s="1"/>
  <c r="CZ234" i="17" s="1"/>
  <c r="DA234" i="17" s="1"/>
  <c r="DB234" i="17" s="1"/>
  <c r="DC234" i="17" s="1"/>
  <c r="DD234" i="17" s="1"/>
  <c r="DE234" i="17" s="1"/>
  <c r="DF234" i="17" s="1"/>
  <c r="DG234" i="17" s="1"/>
  <c r="DH234" i="17" s="1"/>
  <c r="DI234" i="17" s="1"/>
  <c r="DJ234" i="17" s="1"/>
  <c r="DK234" i="17" s="1"/>
  <c r="DL234" i="17" s="1"/>
  <c r="Z246" i="17"/>
  <c r="AA246" i="17" s="1"/>
  <c r="AB246" i="17" s="1"/>
  <c r="AC246" i="17" s="1"/>
  <c r="AD246" i="17" s="1"/>
  <c r="AE246" i="17" s="1"/>
  <c r="AF246" i="17" s="1"/>
  <c r="AG246" i="17" s="1"/>
  <c r="W129" i="17"/>
  <c r="AN154" i="17"/>
  <c r="AO154" i="17" s="1"/>
  <c r="AP154" i="17" s="1"/>
  <c r="AQ154" i="17" s="1"/>
  <c r="AR154" i="17" s="1"/>
  <c r="AS154" i="17" s="1"/>
  <c r="AT154" i="17" s="1"/>
  <c r="AU154" i="17" s="1"/>
  <c r="AV154" i="17" s="1"/>
  <c r="AW154" i="17" s="1"/>
  <c r="AX154" i="17" s="1"/>
  <c r="AY154" i="17" s="1"/>
  <c r="AZ154" i="17" s="1"/>
  <c r="BA154" i="17" s="1"/>
  <c r="BB154" i="17" s="1"/>
  <c r="BC154" i="17" s="1"/>
  <c r="BD154" i="17" s="1"/>
  <c r="BE154" i="17" s="1"/>
  <c r="BF154" i="17" s="1"/>
  <c r="BG154" i="17" s="1"/>
  <c r="BH154" i="17" s="1"/>
  <c r="BI154" i="17" s="1"/>
  <c r="BJ154" i="17" s="1"/>
  <c r="BK154" i="17" s="1"/>
  <c r="BL154" i="17" s="1"/>
  <c r="BM154" i="17" s="1"/>
  <c r="BN154" i="17" s="1"/>
  <c r="BO154" i="17" s="1"/>
  <c r="BP154" i="17" s="1"/>
  <c r="BQ154" i="17" s="1"/>
  <c r="BR154" i="17" s="1"/>
  <c r="BS154" i="17" s="1"/>
  <c r="BT154" i="17" s="1"/>
  <c r="BU154" i="17" s="1"/>
  <c r="BV154" i="17" s="1"/>
  <c r="BW154" i="17" s="1"/>
  <c r="BX154" i="17" s="1"/>
  <c r="BY154" i="17" s="1"/>
  <c r="BZ154" i="17" s="1"/>
  <c r="CA154" i="17" s="1"/>
  <c r="CB154" i="17" s="1"/>
  <c r="CC154" i="17" s="1"/>
  <c r="CD154" i="17" s="1"/>
  <c r="CE154" i="17" s="1"/>
  <c r="CF154" i="17" s="1"/>
  <c r="CG154" i="17" s="1"/>
  <c r="CH154" i="17" s="1"/>
  <c r="CI154" i="17" s="1"/>
  <c r="CJ154" i="17" s="1"/>
  <c r="Y191" i="17"/>
  <c r="Z191" i="17" s="1"/>
  <c r="AA191" i="17" s="1"/>
  <c r="AB191" i="17" s="1"/>
  <c r="AD298" i="17"/>
  <c r="AE298" i="17" s="1"/>
  <c r="AF298" i="17" s="1"/>
  <c r="AG298" i="17" s="1"/>
  <c r="AH298" i="17" s="1"/>
  <c r="AI298" i="17" s="1"/>
  <c r="AJ298" i="17" s="1"/>
  <c r="AK298" i="17" s="1"/>
  <c r="AL298" i="17" s="1"/>
  <c r="AM298" i="17" s="1"/>
  <c r="AN298" i="17" s="1"/>
  <c r="AO298" i="17" s="1"/>
  <c r="AP298" i="17" s="1"/>
  <c r="AQ298" i="17" s="1"/>
  <c r="AR298" i="17" s="1"/>
  <c r="AS298" i="17" s="1"/>
  <c r="AT298" i="17" s="1"/>
  <c r="AU298" i="17" s="1"/>
  <c r="AV298" i="17" s="1"/>
  <c r="AW298" i="17" s="1"/>
  <c r="AX298" i="17" s="1"/>
  <c r="AY298" i="17" s="1"/>
  <c r="AZ298" i="17" s="1"/>
  <c r="BA298" i="17" s="1"/>
  <c r="BB298" i="17" s="1"/>
  <c r="BC298" i="17" s="1"/>
  <c r="BD298" i="17" s="1"/>
  <c r="BE298" i="17" s="1"/>
  <c r="BF298" i="17" s="1"/>
  <c r="BG298" i="17" s="1"/>
  <c r="BH298" i="17" s="1"/>
  <c r="BI298" i="17" s="1"/>
  <c r="BJ298" i="17" s="1"/>
  <c r="BK298" i="17" s="1"/>
  <c r="BL298" i="17" s="1"/>
  <c r="BM298" i="17" s="1"/>
  <c r="BN298" i="17" s="1"/>
  <c r="BO298" i="17" s="1"/>
  <c r="BP298" i="17" s="1"/>
  <c r="BQ298" i="17" s="1"/>
  <c r="BR298" i="17" s="1"/>
  <c r="BS298" i="17" s="1"/>
  <c r="BT298" i="17" s="1"/>
  <c r="BU298" i="17" s="1"/>
  <c r="BV298" i="17" s="1"/>
  <c r="BW298" i="17" s="1"/>
  <c r="BX298" i="17" s="1"/>
  <c r="BY298" i="17" s="1"/>
  <c r="BZ298" i="17" s="1"/>
  <c r="CA298" i="17" s="1"/>
  <c r="CB298" i="17" s="1"/>
  <c r="CC298" i="17" s="1"/>
  <c r="CD298" i="17" s="1"/>
  <c r="CE298" i="17" s="1"/>
  <c r="CF298" i="17" s="1"/>
  <c r="CG298" i="17" s="1"/>
  <c r="CH298" i="17" s="1"/>
  <c r="CI298" i="17" s="1"/>
  <c r="CJ298" i="17" s="1"/>
  <c r="CK298" i="17" s="1"/>
  <c r="CL298" i="17" s="1"/>
  <c r="CM298" i="17" s="1"/>
  <c r="CN298" i="17" s="1"/>
  <c r="CO298" i="17" s="1"/>
  <c r="CP298" i="17" s="1"/>
  <c r="CQ298" i="17" s="1"/>
  <c r="CR298" i="17" s="1"/>
  <c r="CS298" i="17" s="1"/>
  <c r="CT298" i="17" s="1"/>
  <c r="CU298" i="17" s="1"/>
  <c r="CV298" i="17" s="1"/>
  <c r="CW298" i="17" s="1"/>
  <c r="CX298" i="17" s="1"/>
  <c r="CY298" i="17" s="1"/>
  <c r="CZ298" i="17" s="1"/>
  <c r="DA298" i="17" s="1"/>
  <c r="DB298" i="17" s="1"/>
  <c r="DC298" i="17" s="1"/>
  <c r="DD298" i="17" s="1"/>
  <c r="DE298" i="17" s="1"/>
  <c r="DF298" i="17" s="1"/>
  <c r="DG298" i="17" s="1"/>
  <c r="DH298" i="17" s="1"/>
  <c r="DI298" i="17" s="1"/>
  <c r="DJ298" i="17" s="1"/>
  <c r="DK298" i="17" s="1"/>
  <c r="DL298" i="17" s="1"/>
  <c r="AL96" i="17"/>
  <c r="AM96" i="17" s="1"/>
  <c r="AN96" i="17" s="1"/>
  <c r="AO96" i="17" s="1"/>
  <c r="AP96" i="17" s="1"/>
  <c r="AQ96" i="17" s="1"/>
  <c r="AR96" i="17" s="1"/>
  <c r="AS96" i="17" s="1"/>
  <c r="AT96" i="17" s="1"/>
  <c r="AU96" i="17" s="1"/>
  <c r="AV96" i="17" s="1"/>
  <c r="AW96" i="17" s="1"/>
  <c r="AX96" i="17" s="1"/>
  <c r="AY96" i="17" s="1"/>
  <c r="AZ96" i="17" s="1"/>
  <c r="BA96" i="17" s="1"/>
  <c r="BB96" i="17" s="1"/>
  <c r="BC96" i="17" s="1"/>
  <c r="BD96" i="17" s="1"/>
  <c r="BE96" i="17" s="1"/>
  <c r="BF96" i="17" s="1"/>
  <c r="BG96" i="17" s="1"/>
  <c r="BH96" i="17" s="1"/>
  <c r="BI96" i="17" s="1"/>
  <c r="BJ96" i="17" s="1"/>
  <c r="BK96" i="17" s="1"/>
  <c r="BL96" i="17" s="1"/>
  <c r="BM96" i="17" s="1"/>
  <c r="BN96" i="17" s="1"/>
  <c r="BO96" i="17" s="1"/>
  <c r="BP96" i="17" s="1"/>
  <c r="BQ96" i="17" s="1"/>
  <c r="BR96" i="17" s="1"/>
  <c r="BS96" i="17" s="1"/>
  <c r="BT96" i="17" s="1"/>
  <c r="BU96" i="17" s="1"/>
  <c r="BV96" i="17" s="1"/>
  <c r="BW96" i="17" s="1"/>
  <c r="BX96" i="17" s="1"/>
  <c r="BY96" i="17" s="1"/>
  <c r="BZ96" i="17" s="1"/>
  <c r="CA96" i="17" s="1"/>
  <c r="CB96" i="17" s="1"/>
  <c r="CC96" i="17" s="1"/>
  <c r="CD96" i="17" s="1"/>
  <c r="CE96" i="17" s="1"/>
  <c r="CF96" i="17" s="1"/>
  <c r="CG96" i="17" s="1"/>
  <c r="CH96" i="17" s="1"/>
  <c r="CI96" i="17" s="1"/>
  <c r="CJ96" i="17" s="1"/>
  <c r="CK96" i="17" s="1"/>
  <c r="CL96" i="17" s="1"/>
  <c r="CM96" i="17" s="1"/>
  <c r="CN96" i="17" s="1"/>
  <c r="CO96" i="17" s="1"/>
  <c r="CP96" i="17" s="1"/>
  <c r="CQ96" i="17" s="1"/>
  <c r="CR96" i="17" s="1"/>
  <c r="CS96" i="17" s="1"/>
  <c r="CT96" i="17" s="1"/>
  <c r="CU96" i="17" s="1"/>
  <c r="CV96" i="17" s="1"/>
  <c r="CW96" i="17" s="1"/>
  <c r="CX96" i="17" s="1"/>
  <c r="CY96" i="17" s="1"/>
  <c r="CZ96" i="17" s="1"/>
  <c r="DA96" i="17" s="1"/>
  <c r="DB96" i="17" s="1"/>
  <c r="DC96" i="17" s="1"/>
  <c r="DD96" i="17" s="1"/>
  <c r="DE96" i="17" s="1"/>
  <c r="DF96" i="17" s="1"/>
  <c r="DG96" i="17" s="1"/>
  <c r="DH96" i="17" s="1"/>
  <c r="DI96" i="17" s="1"/>
  <c r="DJ96" i="17" s="1"/>
  <c r="DK96" i="17" s="1"/>
  <c r="DL96" i="17" s="1"/>
  <c r="AQ220" i="17"/>
  <c r="AR220" i="17" s="1"/>
  <c r="AS220" i="17" s="1"/>
  <c r="AT220" i="17" s="1"/>
  <c r="AU220" i="17" s="1"/>
  <c r="AV220" i="17" s="1"/>
  <c r="AW220" i="17" s="1"/>
  <c r="AX220" i="17" s="1"/>
  <c r="AY220" i="17" s="1"/>
  <c r="AZ220" i="17" s="1"/>
  <c r="BA220" i="17" s="1"/>
  <c r="BB220" i="17" s="1"/>
  <c r="BC220" i="17" s="1"/>
  <c r="BD220" i="17" s="1"/>
  <c r="BE220" i="17" s="1"/>
  <c r="BF220" i="17" s="1"/>
  <c r="BG220" i="17" s="1"/>
  <c r="BH220" i="17" s="1"/>
  <c r="BI220" i="17" s="1"/>
  <c r="BJ220" i="17" s="1"/>
  <c r="BK220" i="17" s="1"/>
  <c r="BL220" i="17" s="1"/>
  <c r="BM220" i="17" s="1"/>
  <c r="BN220" i="17" s="1"/>
  <c r="BO220" i="17" s="1"/>
  <c r="BP220" i="17" s="1"/>
  <c r="BQ220" i="17" s="1"/>
  <c r="BR220" i="17" s="1"/>
  <c r="BS220" i="17" s="1"/>
  <c r="BT220" i="17" s="1"/>
  <c r="BU220" i="17" s="1"/>
  <c r="BV220" i="17" s="1"/>
  <c r="BW220" i="17" s="1"/>
  <c r="BX220" i="17" s="1"/>
  <c r="BY220" i="17" s="1"/>
  <c r="BZ220" i="17" s="1"/>
  <c r="CA220" i="17" s="1"/>
  <c r="CB220" i="17" s="1"/>
  <c r="CC220" i="17" s="1"/>
  <c r="CD220" i="17" s="1"/>
  <c r="CE220" i="17" s="1"/>
  <c r="CF220" i="17" s="1"/>
  <c r="CG220" i="17" s="1"/>
  <c r="CH220" i="17" s="1"/>
  <c r="CI220" i="17" s="1"/>
  <c r="CJ220" i="17" s="1"/>
  <c r="CK220" i="17" s="1"/>
  <c r="CL220" i="17" s="1"/>
  <c r="CM220" i="17" s="1"/>
  <c r="CN220" i="17" s="1"/>
  <c r="CO220" i="17" s="1"/>
  <c r="CP220" i="17" s="1"/>
  <c r="CQ220" i="17" s="1"/>
  <c r="CR220" i="17" s="1"/>
  <c r="CS220" i="17" s="1"/>
  <c r="CT220" i="17" s="1"/>
  <c r="CU220" i="17" s="1"/>
  <c r="CV220" i="17" s="1"/>
  <c r="CW220" i="17" s="1"/>
  <c r="CX220" i="17" s="1"/>
  <c r="CY220" i="17" s="1"/>
  <c r="CZ220" i="17" s="1"/>
  <c r="DA220" i="17" s="1"/>
  <c r="DB220" i="17" s="1"/>
  <c r="DC220" i="17" s="1"/>
  <c r="DD220" i="17" s="1"/>
  <c r="DE220" i="17" s="1"/>
  <c r="DF220" i="17" s="1"/>
  <c r="DG220" i="17" s="1"/>
  <c r="DH220" i="17" s="1"/>
  <c r="DI220" i="17" s="1"/>
  <c r="DJ220" i="17" s="1"/>
  <c r="DK220" i="17" s="1"/>
  <c r="DL220" i="17" s="1"/>
  <c r="BP160" i="17"/>
  <c r="BQ160" i="17" s="1"/>
  <c r="BR160" i="17" s="1"/>
  <c r="BS160" i="17" s="1"/>
  <c r="BT160" i="17" s="1"/>
  <c r="BU160" i="17" s="1"/>
  <c r="BV160" i="17" s="1"/>
  <c r="BW160" i="17" s="1"/>
  <c r="BX160" i="17" s="1"/>
  <c r="BY160" i="17" s="1"/>
  <c r="BZ160" i="17" s="1"/>
  <c r="CA160" i="17" s="1"/>
  <c r="CB160" i="17" s="1"/>
  <c r="CC160" i="17" s="1"/>
  <c r="CD160" i="17" s="1"/>
  <c r="CE160" i="17" s="1"/>
  <c r="CF160" i="17" s="1"/>
  <c r="CG160" i="17" s="1"/>
  <c r="CH160" i="17" s="1"/>
  <c r="CI160" i="17" s="1"/>
  <c r="CJ160" i="17" s="1"/>
  <c r="CK160" i="17" s="1"/>
  <c r="CL160" i="17" s="1"/>
  <c r="CM160" i="17" s="1"/>
  <c r="CN160" i="17" s="1"/>
  <c r="CO160" i="17" s="1"/>
  <c r="CP160" i="17" s="1"/>
  <c r="CQ160" i="17" s="1"/>
  <c r="CR160" i="17" s="1"/>
  <c r="CS160" i="17" s="1"/>
  <c r="CT160" i="17" s="1"/>
  <c r="CU160" i="17" s="1"/>
  <c r="CV160" i="17" s="1"/>
  <c r="CW160" i="17" s="1"/>
  <c r="CX160" i="17" s="1"/>
  <c r="CY160" i="17" s="1"/>
  <c r="CZ160" i="17" s="1"/>
  <c r="DA160" i="17" s="1"/>
  <c r="DB160" i="17" s="1"/>
  <c r="DC160" i="17" s="1"/>
  <c r="DD160" i="17" s="1"/>
  <c r="DE160" i="17" s="1"/>
  <c r="DF160" i="17" s="1"/>
  <c r="DG160" i="17" s="1"/>
  <c r="DH160" i="17" s="1"/>
  <c r="DI160" i="17" s="1"/>
  <c r="DJ160" i="17" s="1"/>
  <c r="DK160" i="17" s="1"/>
  <c r="DL160" i="17" s="1"/>
  <c r="AL12" i="17"/>
  <c r="AM12" i="17" s="1"/>
  <c r="AN12" i="17" s="1"/>
  <c r="AO12" i="17" s="1"/>
  <c r="AP12" i="17" s="1"/>
  <c r="AQ12" i="17" s="1"/>
  <c r="AR12" i="17" s="1"/>
  <c r="AS12" i="17" s="1"/>
  <c r="AT12" i="17" s="1"/>
  <c r="AU12" i="17" s="1"/>
  <c r="AV12" i="17" s="1"/>
  <c r="AW12" i="17" s="1"/>
  <c r="AX12" i="17" s="1"/>
  <c r="AY12" i="17" s="1"/>
  <c r="AZ12" i="17" s="1"/>
  <c r="BA12" i="17" s="1"/>
  <c r="BB12" i="17" s="1"/>
  <c r="BC12" i="17" s="1"/>
  <c r="BD12" i="17" s="1"/>
  <c r="BE12" i="17" s="1"/>
  <c r="BF12" i="17" s="1"/>
  <c r="BG12" i="17" s="1"/>
  <c r="BH12" i="17" s="1"/>
  <c r="BI12" i="17" s="1"/>
  <c r="BJ12" i="17" s="1"/>
  <c r="BK12" i="17" s="1"/>
  <c r="BL12" i="17" s="1"/>
  <c r="BM12" i="17" s="1"/>
  <c r="BN12" i="17" s="1"/>
  <c r="BO12" i="17" s="1"/>
  <c r="BP12" i="17" s="1"/>
  <c r="BQ12" i="17" s="1"/>
  <c r="BR12" i="17" s="1"/>
  <c r="BS12" i="17" s="1"/>
  <c r="BT12" i="17" s="1"/>
  <c r="BU12" i="17" s="1"/>
  <c r="BV12" i="17" s="1"/>
  <c r="BW12" i="17" s="1"/>
  <c r="BX12" i="17" s="1"/>
  <c r="BY12" i="17" s="1"/>
  <c r="BZ12" i="17" s="1"/>
  <c r="CA12" i="17" s="1"/>
  <c r="CB12" i="17" s="1"/>
  <c r="CC12" i="17" s="1"/>
  <c r="CD12" i="17" s="1"/>
  <c r="CE12" i="17" s="1"/>
  <c r="CF12" i="17" s="1"/>
  <c r="CG12" i="17" s="1"/>
  <c r="CH12" i="17" s="1"/>
  <c r="CI12" i="17" s="1"/>
  <c r="CJ12" i="17" s="1"/>
  <c r="CK12" i="17" s="1"/>
  <c r="CL12" i="17" s="1"/>
  <c r="CM12" i="17" s="1"/>
  <c r="CN12" i="17" s="1"/>
  <c r="CO12" i="17" s="1"/>
  <c r="CP12" i="17" s="1"/>
  <c r="CQ12" i="17" s="1"/>
  <c r="CR12" i="17" s="1"/>
  <c r="CS12" i="17" s="1"/>
  <c r="CT12" i="17" s="1"/>
  <c r="CU12" i="17" s="1"/>
  <c r="CV12" i="17" s="1"/>
  <c r="CW12" i="17" s="1"/>
  <c r="CX12" i="17" s="1"/>
  <c r="CY12" i="17" s="1"/>
  <c r="CZ12" i="17" s="1"/>
  <c r="DA12" i="17" s="1"/>
  <c r="DB12" i="17" s="1"/>
  <c r="DC12" i="17" s="1"/>
  <c r="DD12" i="17" s="1"/>
  <c r="DE12" i="17" s="1"/>
  <c r="DF12" i="17" s="1"/>
  <c r="DG12" i="17" s="1"/>
  <c r="DH12" i="17" s="1"/>
  <c r="DI12" i="17" s="1"/>
  <c r="DJ12" i="17" s="1"/>
  <c r="DK12" i="17" s="1"/>
  <c r="DL12" i="17" s="1"/>
  <c r="AU38" i="17"/>
  <c r="AV38" i="17" s="1"/>
  <c r="AW38" i="17" s="1"/>
  <c r="AX38" i="17" s="1"/>
  <c r="AY38" i="17" s="1"/>
  <c r="AZ38" i="17" s="1"/>
  <c r="BA38" i="17" s="1"/>
  <c r="BB38" i="17" s="1"/>
  <c r="BC38" i="17" s="1"/>
  <c r="BD38" i="17" s="1"/>
  <c r="BE38" i="17" s="1"/>
  <c r="BF38" i="17" s="1"/>
  <c r="BG38" i="17" s="1"/>
  <c r="BH38" i="17" s="1"/>
  <c r="BI38" i="17" s="1"/>
  <c r="BJ38" i="17" s="1"/>
  <c r="BK38" i="17" s="1"/>
  <c r="BL38" i="17" s="1"/>
  <c r="BM38" i="17" s="1"/>
  <c r="BN38" i="17" s="1"/>
  <c r="BO38" i="17" s="1"/>
  <c r="BP38" i="17" s="1"/>
  <c r="BQ38" i="17" s="1"/>
  <c r="BR38" i="17" s="1"/>
  <c r="BS38" i="17" s="1"/>
  <c r="BT38" i="17" s="1"/>
  <c r="BU38" i="17" s="1"/>
  <c r="BV38" i="17" s="1"/>
  <c r="BW38" i="17" s="1"/>
  <c r="BX38" i="17" s="1"/>
  <c r="BY38" i="17" s="1"/>
  <c r="BZ38" i="17" s="1"/>
  <c r="CA38" i="17" s="1"/>
  <c r="CB38" i="17" s="1"/>
  <c r="CC38" i="17" s="1"/>
  <c r="CD38" i="17" s="1"/>
  <c r="CE38" i="17" s="1"/>
  <c r="CF38" i="17" s="1"/>
  <c r="CG38" i="17" s="1"/>
  <c r="CH38" i="17" s="1"/>
  <c r="CI38" i="17" s="1"/>
  <c r="CJ38" i="17" s="1"/>
  <c r="CK38" i="17" s="1"/>
  <c r="CL38" i="17" s="1"/>
  <c r="CM38" i="17" s="1"/>
  <c r="CN38" i="17" s="1"/>
  <c r="CO38" i="17" s="1"/>
  <c r="CP38" i="17" s="1"/>
  <c r="CQ38" i="17" s="1"/>
  <c r="CR38" i="17" s="1"/>
  <c r="CS38" i="17" s="1"/>
  <c r="CT38" i="17" s="1"/>
  <c r="CU38" i="17" s="1"/>
  <c r="CV38" i="17" s="1"/>
  <c r="CW38" i="17" s="1"/>
  <c r="CX38" i="17" s="1"/>
  <c r="CY38" i="17" s="1"/>
  <c r="CZ38" i="17" s="1"/>
  <c r="DA38" i="17" s="1"/>
  <c r="DB38" i="17" s="1"/>
  <c r="DC38" i="17" s="1"/>
  <c r="DD38" i="17" s="1"/>
  <c r="DE38" i="17" s="1"/>
  <c r="DF38" i="17" s="1"/>
  <c r="DG38" i="17" s="1"/>
  <c r="DH38" i="17" s="1"/>
  <c r="DI38" i="17" s="1"/>
  <c r="DJ38" i="17" s="1"/>
  <c r="DK38" i="17" s="1"/>
  <c r="DL38" i="17" s="1"/>
  <c r="AC163" i="17"/>
  <c r="AD163" i="17" s="1"/>
  <c r="AE163" i="17" s="1"/>
  <c r="AF163" i="17" s="1"/>
  <c r="AG163" i="17" s="1"/>
  <c r="AH163" i="17" s="1"/>
  <c r="AI163" i="17" s="1"/>
  <c r="AJ163" i="17" s="1"/>
  <c r="AK163" i="17" s="1"/>
  <c r="AL163" i="17" s="1"/>
  <c r="AM163" i="17" s="1"/>
  <c r="AN163" i="17" s="1"/>
  <c r="AO163" i="17" s="1"/>
  <c r="AP163" i="17" s="1"/>
  <c r="AQ163" i="17" s="1"/>
  <c r="AR163" i="17" s="1"/>
  <c r="AS163" i="17" s="1"/>
  <c r="AT163" i="17" s="1"/>
  <c r="AU163" i="17" s="1"/>
  <c r="AV163" i="17" s="1"/>
  <c r="AW163" i="17" s="1"/>
  <c r="AX163" i="17" s="1"/>
  <c r="AY163" i="17" s="1"/>
  <c r="AZ163" i="17" s="1"/>
  <c r="BA163" i="17" s="1"/>
  <c r="BB163" i="17" s="1"/>
  <c r="BC163" i="17" s="1"/>
  <c r="BD163" i="17" s="1"/>
  <c r="BE163" i="17" s="1"/>
  <c r="BF163" i="17" s="1"/>
  <c r="BG163" i="17" s="1"/>
  <c r="BH163" i="17" s="1"/>
  <c r="BI163" i="17" s="1"/>
  <c r="BJ163" i="17" s="1"/>
  <c r="BK163" i="17" s="1"/>
  <c r="BL163" i="17" s="1"/>
  <c r="BM163" i="17" s="1"/>
  <c r="BN163" i="17" s="1"/>
  <c r="BO163" i="17" s="1"/>
  <c r="BP163" i="17" s="1"/>
  <c r="BQ163" i="17" s="1"/>
  <c r="BR163" i="17" s="1"/>
  <c r="BS163" i="17" s="1"/>
  <c r="BT163" i="17" s="1"/>
  <c r="BU163" i="17" s="1"/>
  <c r="BV163" i="17" s="1"/>
  <c r="BW163" i="17" s="1"/>
  <c r="BX163" i="17" s="1"/>
  <c r="BY163" i="17" s="1"/>
  <c r="BZ163" i="17" s="1"/>
  <c r="CA163" i="17" s="1"/>
  <c r="CB163" i="17" s="1"/>
  <c r="CC163" i="17" s="1"/>
  <c r="CD163" i="17" s="1"/>
  <c r="CE163" i="17" s="1"/>
  <c r="CF163" i="17" s="1"/>
  <c r="CG163" i="17" s="1"/>
  <c r="CH163" i="17" s="1"/>
  <c r="CI163" i="17" s="1"/>
  <c r="CJ163" i="17" s="1"/>
  <c r="CK163" i="17" s="1"/>
  <c r="CL163" i="17" s="1"/>
  <c r="CM163" i="17" s="1"/>
  <c r="CN163" i="17" s="1"/>
  <c r="CO163" i="17" s="1"/>
  <c r="CP163" i="17" s="1"/>
  <c r="CQ163" i="17" s="1"/>
  <c r="CR163" i="17" s="1"/>
  <c r="CS163" i="17" s="1"/>
  <c r="CT163" i="17" s="1"/>
  <c r="CU163" i="17" s="1"/>
  <c r="CV163" i="17" s="1"/>
  <c r="CW163" i="17" s="1"/>
  <c r="CX163" i="17" s="1"/>
  <c r="CY163" i="17" s="1"/>
  <c r="CZ163" i="17" s="1"/>
  <c r="DA163" i="17" s="1"/>
  <c r="DB163" i="17" s="1"/>
  <c r="DC163" i="17" s="1"/>
  <c r="DD163" i="17" s="1"/>
  <c r="DE163" i="17" s="1"/>
  <c r="DF163" i="17" s="1"/>
  <c r="DG163" i="17" s="1"/>
  <c r="DH163" i="17" s="1"/>
  <c r="DI163" i="17" s="1"/>
  <c r="DJ163" i="17" s="1"/>
  <c r="DK163" i="17" s="1"/>
  <c r="DL163" i="17" s="1"/>
  <c r="BW22" i="17"/>
  <c r="BX22" i="17" s="1"/>
  <c r="BY22" i="17" s="1"/>
  <c r="BZ22" i="17" s="1"/>
  <c r="CA22" i="17" s="1"/>
  <c r="CB22" i="17" s="1"/>
  <c r="CC22" i="17" s="1"/>
  <c r="CD22" i="17" s="1"/>
  <c r="CE22" i="17" s="1"/>
  <c r="CF22" i="17" s="1"/>
  <c r="CG22" i="17" s="1"/>
  <c r="CH22" i="17" s="1"/>
  <c r="CI22" i="17" s="1"/>
  <c r="CJ22" i="17" s="1"/>
  <c r="CK22" i="17" s="1"/>
  <c r="CL22" i="17" s="1"/>
  <c r="CM22" i="17" s="1"/>
  <c r="CN22" i="17" s="1"/>
  <c r="CO22" i="17" s="1"/>
  <c r="CP22" i="17" s="1"/>
  <c r="CQ22" i="17" s="1"/>
  <c r="CR22" i="17" s="1"/>
  <c r="CS22" i="17" s="1"/>
  <c r="CT22" i="17" s="1"/>
  <c r="CU22" i="17" s="1"/>
  <c r="CV22" i="17" s="1"/>
  <c r="CW22" i="17" s="1"/>
  <c r="CX22" i="17" s="1"/>
  <c r="CY22" i="17" s="1"/>
  <c r="CZ22" i="17" s="1"/>
  <c r="DA22" i="17" s="1"/>
  <c r="DB22" i="17" s="1"/>
  <c r="DC22" i="17" s="1"/>
  <c r="DD22" i="17" s="1"/>
  <c r="DE22" i="17" s="1"/>
  <c r="DF22" i="17" s="1"/>
  <c r="DG22" i="17" s="1"/>
  <c r="DH22" i="17" s="1"/>
  <c r="DI22" i="17" s="1"/>
  <c r="DJ22" i="17" s="1"/>
  <c r="DK22" i="17" s="1"/>
  <c r="DL22" i="17" s="1"/>
  <c r="AV214" i="17"/>
  <c r="AW214" i="17" s="1"/>
  <c r="AX214" i="17" s="1"/>
  <c r="X178" i="17"/>
  <c r="AS166" i="17"/>
  <c r="AT166" i="17" s="1"/>
  <c r="AU166" i="17" s="1"/>
  <c r="AV166" i="17" s="1"/>
  <c r="AE9" i="17"/>
  <c r="AF9" i="17" s="1"/>
  <c r="AG9" i="17" s="1"/>
  <c r="AH9" i="17" s="1"/>
  <c r="AI9" i="17" s="1"/>
  <c r="AJ9" i="17" s="1"/>
  <c r="AK9" i="17" s="1"/>
  <c r="AL9" i="17" s="1"/>
  <c r="AM9" i="17" s="1"/>
  <c r="AN9" i="17" s="1"/>
  <c r="AO9" i="17" s="1"/>
  <c r="AP9" i="17" s="1"/>
  <c r="AQ9" i="17" s="1"/>
  <c r="AR9" i="17" s="1"/>
  <c r="AS9" i="17" s="1"/>
  <c r="AT9" i="17" s="1"/>
  <c r="AU9" i="17" s="1"/>
  <c r="AV9" i="17" s="1"/>
  <c r="AW9" i="17" s="1"/>
  <c r="AX9" i="17" s="1"/>
  <c r="AY9" i="17" s="1"/>
  <c r="AZ9" i="17" s="1"/>
  <c r="BA9" i="17" s="1"/>
  <c r="BB9" i="17" s="1"/>
  <c r="BC9" i="17" s="1"/>
  <c r="BD9" i="17" s="1"/>
  <c r="BE9" i="17" s="1"/>
  <c r="BF9" i="17" s="1"/>
  <c r="BG9" i="17" s="1"/>
  <c r="BH9" i="17" s="1"/>
  <c r="BI9" i="17" s="1"/>
  <c r="BJ9" i="17" s="1"/>
  <c r="BK9" i="17" s="1"/>
  <c r="BL9" i="17" s="1"/>
  <c r="BM9" i="17" s="1"/>
  <c r="BN9" i="17" s="1"/>
  <c r="BO9" i="17" s="1"/>
  <c r="BP9" i="17" s="1"/>
  <c r="BQ9" i="17" s="1"/>
  <c r="BR9" i="17" s="1"/>
  <c r="BS9" i="17" s="1"/>
  <c r="BT9" i="17" s="1"/>
  <c r="BU9" i="17" s="1"/>
  <c r="X145" i="17"/>
  <c r="Y278" i="17"/>
  <c r="Z241" i="17"/>
  <c r="X129" i="17"/>
  <c r="V263" i="17"/>
  <c r="X112" i="17"/>
  <c r="Y112" i="17" s="1"/>
  <c r="Z112" i="17" s="1"/>
  <c r="AA112" i="17" s="1"/>
  <c r="AB112" i="17" s="1"/>
  <c r="Z207" i="17"/>
  <c r="AA207" i="17" s="1"/>
  <c r="AO250" i="17"/>
  <c r="AP250" i="17" s="1"/>
  <c r="AQ250" i="17" s="1"/>
  <c r="AR250" i="17" s="1"/>
  <c r="AS250" i="17" s="1"/>
  <c r="AT250" i="17" s="1"/>
  <c r="AU250" i="17" s="1"/>
  <c r="AV250" i="17" s="1"/>
  <c r="AW250" i="17" s="1"/>
  <c r="AX250" i="17" s="1"/>
  <c r="AY250" i="17" s="1"/>
  <c r="AZ250" i="17" s="1"/>
  <c r="BA250" i="17" s="1"/>
  <c r="BB250" i="17" s="1"/>
  <c r="BC250" i="17" s="1"/>
  <c r="BD250" i="17" s="1"/>
  <c r="BE250" i="17" s="1"/>
  <c r="BF250" i="17" s="1"/>
  <c r="BG250" i="17" s="1"/>
  <c r="BH250" i="17" s="1"/>
  <c r="BI250" i="17" s="1"/>
  <c r="BJ250" i="17" s="1"/>
  <c r="BK250" i="17" s="1"/>
  <c r="BL250" i="17" s="1"/>
  <c r="BM250" i="17" s="1"/>
  <c r="BN250" i="17" s="1"/>
  <c r="BO250" i="17" s="1"/>
  <c r="BP250" i="17" s="1"/>
  <c r="BQ250" i="17" s="1"/>
  <c r="BR250" i="17" s="1"/>
  <c r="BS250" i="17" s="1"/>
  <c r="BT250" i="17" s="1"/>
  <c r="BU250" i="17" s="1"/>
  <c r="BV250" i="17" s="1"/>
  <c r="BW250" i="17" s="1"/>
  <c r="BX250" i="17" s="1"/>
  <c r="BY250" i="17" s="1"/>
  <c r="BZ250" i="17" s="1"/>
  <c r="CA250" i="17" s="1"/>
  <c r="CB250" i="17" s="1"/>
  <c r="CC250" i="17" s="1"/>
  <c r="CD250" i="17" s="1"/>
  <c r="CE250" i="17" s="1"/>
  <c r="CF250" i="17" s="1"/>
  <c r="CG250" i="17" s="1"/>
  <c r="CH250" i="17" s="1"/>
  <c r="CI250" i="17" s="1"/>
  <c r="CJ250" i="17" s="1"/>
  <c r="CK250" i="17" s="1"/>
  <c r="CL250" i="17" s="1"/>
  <c r="CM250" i="17" s="1"/>
  <c r="CN250" i="17" s="1"/>
  <c r="CO250" i="17" s="1"/>
  <c r="CP250" i="17" s="1"/>
  <c r="CQ250" i="17" s="1"/>
  <c r="CR250" i="17" s="1"/>
  <c r="CS250" i="17" s="1"/>
  <c r="CT250" i="17" s="1"/>
  <c r="CU250" i="17" s="1"/>
  <c r="CV250" i="17" s="1"/>
  <c r="CW250" i="17" s="1"/>
  <c r="CX250" i="17" s="1"/>
  <c r="CY250" i="17" s="1"/>
  <c r="CZ250" i="17" s="1"/>
  <c r="DA250" i="17" s="1"/>
  <c r="DB250" i="17" s="1"/>
  <c r="DC250" i="17" s="1"/>
  <c r="DD250" i="17" s="1"/>
  <c r="DE250" i="17" s="1"/>
  <c r="DF250" i="17" s="1"/>
  <c r="DG250" i="17" s="1"/>
  <c r="DH250" i="17" s="1"/>
  <c r="DI250" i="17" s="1"/>
  <c r="DJ250" i="17" s="1"/>
  <c r="DK250" i="17" s="1"/>
  <c r="DL250" i="17" s="1"/>
  <c r="AA6" i="17"/>
  <c r="AB6" i="17" s="1"/>
  <c r="AC6" i="17" s="1"/>
  <c r="AD6" i="17" s="1"/>
  <c r="AE6" i="17" s="1"/>
  <c r="AF6" i="17" s="1"/>
  <c r="AG6" i="17" s="1"/>
  <c r="AH6" i="17" s="1"/>
  <c r="AI6" i="17" s="1"/>
  <c r="AJ6" i="17" s="1"/>
  <c r="AK6" i="17" s="1"/>
  <c r="AL6" i="17" s="1"/>
  <c r="AM6" i="17" s="1"/>
  <c r="AN6" i="17" s="1"/>
  <c r="AO6" i="17" s="1"/>
  <c r="AP6" i="17" s="1"/>
  <c r="AQ6" i="17" s="1"/>
  <c r="AR6" i="17" s="1"/>
  <c r="AS6" i="17" s="1"/>
  <c r="AT6" i="17" s="1"/>
  <c r="AU6" i="17" s="1"/>
  <c r="AV6" i="17" s="1"/>
  <c r="AW6" i="17" s="1"/>
  <c r="AX6" i="17" s="1"/>
  <c r="AY6" i="17" s="1"/>
  <c r="AZ6" i="17" s="1"/>
  <c r="BA6" i="17" s="1"/>
  <c r="BB6" i="17" s="1"/>
  <c r="BC6" i="17" s="1"/>
  <c r="BD6" i="17" s="1"/>
  <c r="BE6" i="17" s="1"/>
  <c r="BF6" i="17" s="1"/>
  <c r="BG6" i="17" s="1"/>
  <c r="BH6" i="17" s="1"/>
  <c r="BI6" i="17" s="1"/>
  <c r="BJ6" i="17" s="1"/>
  <c r="BK6" i="17" s="1"/>
  <c r="BL6" i="17" s="1"/>
  <c r="BM6" i="17" s="1"/>
  <c r="BN6" i="17" s="1"/>
  <c r="BO6" i="17" s="1"/>
  <c r="BP6" i="17" s="1"/>
  <c r="BQ6" i="17" s="1"/>
  <c r="BR6" i="17" s="1"/>
  <c r="BS6" i="17" s="1"/>
  <c r="BT6" i="17" s="1"/>
  <c r="BU6" i="17" s="1"/>
  <c r="BV6" i="17" s="1"/>
  <c r="BW6" i="17" s="1"/>
  <c r="BX6" i="17" s="1"/>
  <c r="BY6" i="17" s="1"/>
  <c r="BZ6" i="17" s="1"/>
  <c r="CA6" i="17" s="1"/>
  <c r="CB6" i="17" s="1"/>
  <c r="CC6" i="17" s="1"/>
  <c r="CD6" i="17" s="1"/>
  <c r="CE6" i="17" s="1"/>
  <c r="CF6" i="17" s="1"/>
  <c r="CG6" i="17" s="1"/>
  <c r="CH6" i="17" s="1"/>
  <c r="CI6" i="17" s="1"/>
  <c r="CJ6" i="17" s="1"/>
  <c r="CK6" i="17" s="1"/>
  <c r="CL6" i="17" s="1"/>
  <c r="CM6" i="17" s="1"/>
  <c r="CN6" i="17" s="1"/>
  <c r="CO6" i="17" s="1"/>
  <c r="CP6" i="17" s="1"/>
  <c r="CQ6" i="17" s="1"/>
  <c r="CR6" i="17" s="1"/>
  <c r="CS6" i="17" s="1"/>
  <c r="CT6" i="17" s="1"/>
  <c r="CU6" i="17" s="1"/>
  <c r="CV6" i="17" s="1"/>
  <c r="CW6" i="17" s="1"/>
  <c r="CX6" i="17" s="1"/>
  <c r="CY6" i="17" s="1"/>
  <c r="CZ6" i="17" s="1"/>
  <c r="DA6" i="17" s="1"/>
  <c r="DB6" i="17" s="1"/>
  <c r="DC6" i="17" s="1"/>
  <c r="DD6" i="17" s="1"/>
  <c r="DE6" i="17" s="1"/>
  <c r="DF6" i="17" s="1"/>
  <c r="DG6" i="17" s="1"/>
  <c r="DH6" i="17" s="1"/>
  <c r="DI6" i="17" s="1"/>
  <c r="DJ6" i="17" s="1"/>
  <c r="DK6" i="17" s="1"/>
  <c r="DL6" i="17" s="1"/>
  <c r="X31" i="17"/>
  <c r="AB56" i="17"/>
  <c r="AC56" i="17" s="1"/>
  <c r="AD56" i="17" s="1"/>
  <c r="AE56" i="17" s="1"/>
  <c r="AF56" i="17" s="1"/>
  <c r="AG56" i="17" s="1"/>
  <c r="AH56" i="17" s="1"/>
  <c r="AI56" i="17" s="1"/>
  <c r="AJ56" i="17" s="1"/>
  <c r="AK56" i="17" s="1"/>
  <c r="AL56" i="17" s="1"/>
  <c r="AM56" i="17" s="1"/>
  <c r="AN56" i="17" s="1"/>
  <c r="AO56" i="17" s="1"/>
  <c r="AP56" i="17" s="1"/>
  <c r="AQ56" i="17" s="1"/>
  <c r="AR56" i="17" s="1"/>
  <c r="AS56" i="17" s="1"/>
  <c r="AT56" i="17" s="1"/>
  <c r="AU56" i="17" s="1"/>
  <c r="AV56" i="17" s="1"/>
  <c r="AW56" i="17" s="1"/>
  <c r="AX56" i="17" s="1"/>
  <c r="AY56" i="17" s="1"/>
  <c r="AZ56" i="17" s="1"/>
  <c r="BA56" i="17" s="1"/>
  <c r="BB56" i="17" s="1"/>
  <c r="BC56" i="17" s="1"/>
  <c r="BD56" i="17" s="1"/>
  <c r="BE56" i="17" s="1"/>
  <c r="BF56" i="17" s="1"/>
  <c r="BG56" i="17" s="1"/>
  <c r="BH56" i="17" s="1"/>
  <c r="BI56" i="17" s="1"/>
  <c r="BJ56" i="17" s="1"/>
  <c r="BK56" i="17" s="1"/>
  <c r="BL56" i="17" s="1"/>
  <c r="BM56" i="17" s="1"/>
  <c r="BN56" i="17" s="1"/>
  <c r="BO56" i="17" s="1"/>
  <c r="BP56" i="17" s="1"/>
  <c r="BQ56" i="17" s="1"/>
  <c r="BR56" i="17" s="1"/>
  <c r="BS56" i="17" s="1"/>
  <c r="BT56" i="17" s="1"/>
  <c r="BU56" i="17" s="1"/>
  <c r="BV56" i="17" s="1"/>
  <c r="BW56" i="17" s="1"/>
  <c r="BX56" i="17" s="1"/>
  <c r="BY56" i="17" s="1"/>
  <c r="BZ56" i="17" s="1"/>
  <c r="CA56" i="17" s="1"/>
  <c r="CB56" i="17" s="1"/>
  <c r="CC56" i="17" s="1"/>
  <c r="CD56" i="17" s="1"/>
  <c r="CE56" i="17" s="1"/>
  <c r="CF56" i="17" s="1"/>
  <c r="CG56" i="17" s="1"/>
  <c r="CH56" i="17" s="1"/>
  <c r="CI56" i="17" s="1"/>
  <c r="CJ56" i="17" s="1"/>
  <c r="CK56" i="17" s="1"/>
  <c r="CL56" i="17" s="1"/>
  <c r="CM56" i="17" s="1"/>
  <c r="CN56" i="17" s="1"/>
  <c r="CO56" i="17" s="1"/>
  <c r="CP56" i="17" s="1"/>
  <c r="CQ56" i="17" s="1"/>
  <c r="CR56" i="17" s="1"/>
  <c r="CS56" i="17" s="1"/>
  <c r="CT56" i="17" s="1"/>
  <c r="CU56" i="17" s="1"/>
  <c r="CV56" i="17" s="1"/>
  <c r="CW56" i="17" s="1"/>
  <c r="CX56" i="17" s="1"/>
  <c r="CY56" i="17" s="1"/>
  <c r="CZ56" i="17" s="1"/>
  <c r="DA56" i="17" s="1"/>
  <c r="DB56" i="17" s="1"/>
  <c r="DC56" i="17" s="1"/>
  <c r="DD56" i="17" s="1"/>
  <c r="DE56" i="17" s="1"/>
  <c r="DF56" i="17" s="1"/>
  <c r="DG56" i="17" s="1"/>
  <c r="DH56" i="17" s="1"/>
  <c r="DI56" i="17" s="1"/>
  <c r="DJ56" i="17" s="1"/>
  <c r="DK56" i="17" s="1"/>
  <c r="DL56" i="17" s="1"/>
  <c r="W170" i="17"/>
  <c r="X170" i="17" s="1"/>
  <c r="Z130" i="17"/>
  <c r="AA130" i="17" s="1"/>
  <c r="AB130" i="17" s="1"/>
  <c r="AC130" i="17" s="1"/>
  <c r="AD130" i="17" s="1"/>
  <c r="AE130" i="17" s="1"/>
  <c r="AF130" i="17" s="1"/>
  <c r="AG130" i="17" s="1"/>
  <c r="AH130" i="17" s="1"/>
  <c r="AI130" i="17" s="1"/>
  <c r="AJ130" i="17" s="1"/>
  <c r="AK130" i="17" s="1"/>
  <c r="AL130" i="17" s="1"/>
  <c r="AM130" i="17" s="1"/>
  <c r="AN130" i="17" s="1"/>
  <c r="AO130" i="17" s="1"/>
  <c r="AP130" i="17" s="1"/>
  <c r="AQ130" i="17" s="1"/>
  <c r="AR130" i="17" s="1"/>
  <c r="AS130" i="17" s="1"/>
  <c r="AT130" i="17" s="1"/>
  <c r="AU130" i="17" s="1"/>
  <c r="AV130" i="17" s="1"/>
  <c r="AW130" i="17" s="1"/>
  <c r="AX130" i="17" s="1"/>
  <c r="AY130" i="17" s="1"/>
  <c r="AZ130" i="17" s="1"/>
  <c r="BA130" i="17" s="1"/>
  <c r="BB130" i="17" s="1"/>
  <c r="BC130" i="17" s="1"/>
  <c r="BD130" i="17" s="1"/>
  <c r="BE130" i="17" s="1"/>
  <c r="BF130" i="17" s="1"/>
  <c r="BG130" i="17" s="1"/>
  <c r="BH130" i="17" s="1"/>
  <c r="BI130" i="17" s="1"/>
  <c r="BJ130" i="17" s="1"/>
  <c r="BK130" i="17" s="1"/>
  <c r="BL130" i="17" s="1"/>
  <c r="BM130" i="17" s="1"/>
  <c r="BN130" i="17" s="1"/>
  <c r="BO130" i="17" s="1"/>
  <c r="BP130" i="17" s="1"/>
  <c r="BQ130" i="17" s="1"/>
  <c r="BR130" i="17" s="1"/>
  <c r="BS130" i="17" s="1"/>
  <c r="BT130" i="17" s="1"/>
  <c r="BU130" i="17" s="1"/>
  <c r="BV130" i="17" s="1"/>
  <c r="BW130" i="17" s="1"/>
  <c r="BX130" i="17" s="1"/>
  <c r="BY130" i="17" s="1"/>
  <c r="BZ130" i="17" s="1"/>
  <c r="CA130" i="17" s="1"/>
  <c r="CB130" i="17" s="1"/>
  <c r="CC130" i="17" s="1"/>
  <c r="AE36" i="17"/>
  <c r="AF36" i="17" s="1"/>
  <c r="AG36" i="17" s="1"/>
  <c r="AH36" i="17" s="1"/>
  <c r="AI36" i="17" s="1"/>
  <c r="AJ36" i="17" s="1"/>
  <c r="AK36" i="17" s="1"/>
  <c r="AL36" i="17" s="1"/>
  <c r="AM36" i="17" s="1"/>
  <c r="AN36" i="17" s="1"/>
  <c r="AO36" i="17" s="1"/>
  <c r="AP36" i="17" s="1"/>
  <c r="AQ36" i="17" s="1"/>
  <c r="AR36" i="17" s="1"/>
  <c r="AS36" i="17" s="1"/>
  <c r="AT36" i="17" s="1"/>
  <c r="AU36" i="17" s="1"/>
  <c r="AV36" i="17" s="1"/>
  <c r="AW36" i="17" s="1"/>
  <c r="AX36" i="17" s="1"/>
  <c r="AY36" i="17" s="1"/>
  <c r="AZ36" i="17" s="1"/>
  <c r="BA36" i="17" s="1"/>
  <c r="BB36" i="17" s="1"/>
  <c r="BC36" i="17" s="1"/>
  <c r="BD36" i="17" s="1"/>
  <c r="BE36" i="17" s="1"/>
  <c r="BF36" i="17" s="1"/>
  <c r="BG36" i="17" s="1"/>
  <c r="BH36" i="17" s="1"/>
  <c r="BI36" i="17" s="1"/>
  <c r="BJ36" i="17" s="1"/>
  <c r="BK36" i="17" s="1"/>
  <c r="BL36" i="17" s="1"/>
  <c r="BM36" i="17" s="1"/>
  <c r="BN36" i="17" s="1"/>
  <c r="BO36" i="17" s="1"/>
  <c r="BP36" i="17" s="1"/>
  <c r="BQ36" i="17" s="1"/>
  <c r="BR36" i="17" s="1"/>
  <c r="BS36" i="17" s="1"/>
  <c r="BT36" i="17" s="1"/>
  <c r="BU36" i="17" s="1"/>
  <c r="BV36" i="17" s="1"/>
  <c r="BW36" i="17" s="1"/>
  <c r="BX36" i="17" s="1"/>
  <c r="BY36" i="17" s="1"/>
  <c r="BZ36" i="17" s="1"/>
  <c r="CA36" i="17" s="1"/>
  <c r="CB36" i="17" s="1"/>
  <c r="CC36" i="17" s="1"/>
  <c r="CD36" i="17" s="1"/>
  <c r="CE36" i="17" s="1"/>
  <c r="CF36" i="17" s="1"/>
  <c r="CG36" i="17" s="1"/>
  <c r="CH36" i="17" s="1"/>
  <c r="CI36" i="17" s="1"/>
  <c r="CJ36" i="17" s="1"/>
  <c r="CK36" i="17" s="1"/>
  <c r="CL36" i="17" s="1"/>
  <c r="CM36" i="17" s="1"/>
  <c r="CN36" i="17" s="1"/>
  <c r="CO36" i="17" s="1"/>
  <c r="CP36" i="17" s="1"/>
  <c r="CQ36" i="17" s="1"/>
  <c r="CR36" i="17" s="1"/>
  <c r="CS36" i="17" s="1"/>
  <c r="CT36" i="17" s="1"/>
  <c r="CU36" i="17" s="1"/>
  <c r="CV36" i="17" s="1"/>
  <c r="CW36" i="17" s="1"/>
  <c r="CX36" i="17" s="1"/>
  <c r="CY36" i="17" s="1"/>
  <c r="CZ36" i="17" s="1"/>
  <c r="DA36" i="17" s="1"/>
  <c r="DB36" i="17" s="1"/>
  <c r="DC36" i="17" s="1"/>
  <c r="DD36" i="17" s="1"/>
  <c r="DE36" i="17" s="1"/>
  <c r="DF36" i="17" s="1"/>
  <c r="DG36" i="17" s="1"/>
  <c r="DH36" i="17" s="1"/>
  <c r="DI36" i="17" s="1"/>
  <c r="DJ36" i="17" s="1"/>
  <c r="DK36" i="17" s="1"/>
  <c r="DL36" i="17" s="1"/>
  <c r="BA53" i="17"/>
  <c r="BB53" i="17" s="1"/>
  <c r="BC53" i="17" s="1"/>
  <c r="BD53" i="17" s="1"/>
  <c r="BE53" i="17" s="1"/>
  <c r="BF53" i="17" s="1"/>
  <c r="BG53" i="17" s="1"/>
  <c r="BH53" i="17" s="1"/>
  <c r="BI53" i="17" s="1"/>
  <c r="BJ53" i="17" s="1"/>
  <c r="BK53" i="17" s="1"/>
  <c r="BL53" i="17" s="1"/>
  <c r="BM53" i="17" s="1"/>
  <c r="BN53" i="17" s="1"/>
  <c r="BO53" i="17" s="1"/>
  <c r="BP53" i="17" s="1"/>
  <c r="BQ53" i="17" s="1"/>
  <c r="BR53" i="17" s="1"/>
  <c r="BS53" i="17" s="1"/>
  <c r="BT53" i="17" s="1"/>
  <c r="BU53" i="17" s="1"/>
  <c r="BV53" i="17" s="1"/>
  <c r="BW53" i="17" s="1"/>
  <c r="BX53" i="17" s="1"/>
  <c r="BY53" i="17" s="1"/>
  <c r="BZ53" i="17" s="1"/>
  <c r="CA53" i="17" s="1"/>
  <c r="CB53" i="17" s="1"/>
  <c r="CC53" i="17" s="1"/>
  <c r="CD53" i="17" s="1"/>
  <c r="CE53" i="17" s="1"/>
  <c r="CF53" i="17" s="1"/>
  <c r="CG53" i="17" s="1"/>
  <c r="CH53" i="17" s="1"/>
  <c r="CI53" i="17" s="1"/>
  <c r="CJ53" i="17" s="1"/>
  <c r="CK53" i="17" s="1"/>
  <c r="CL53" i="17" s="1"/>
  <c r="CM53" i="17" s="1"/>
  <c r="CN53" i="17" s="1"/>
  <c r="CO53" i="17" s="1"/>
  <c r="CP53" i="17" s="1"/>
  <c r="CQ53" i="17" s="1"/>
  <c r="CR53" i="17" s="1"/>
  <c r="CS53" i="17" s="1"/>
  <c r="CT53" i="17" s="1"/>
  <c r="CU53" i="17" s="1"/>
  <c r="CV53" i="17" s="1"/>
  <c r="CW53" i="17" s="1"/>
  <c r="CX53" i="17" s="1"/>
  <c r="CY53" i="17" s="1"/>
  <c r="CZ53" i="17" s="1"/>
  <c r="DA53" i="17" s="1"/>
  <c r="DB53" i="17" s="1"/>
  <c r="DC53" i="17" s="1"/>
  <c r="DD53" i="17" s="1"/>
  <c r="DE53" i="17" s="1"/>
  <c r="DF53" i="17" s="1"/>
  <c r="DG53" i="17" s="1"/>
  <c r="DH53" i="17" s="1"/>
  <c r="DI53" i="17" s="1"/>
  <c r="DJ53" i="17" s="1"/>
  <c r="DK53" i="17" s="1"/>
  <c r="DL53" i="17" s="1"/>
  <c r="CK80" i="17"/>
  <c r="CL80" i="17" s="1"/>
  <c r="CM80" i="17" s="1"/>
  <c r="CN80" i="17" s="1"/>
  <c r="CO80" i="17" s="1"/>
  <c r="CP80" i="17" s="1"/>
  <c r="CQ80" i="17" s="1"/>
  <c r="CR80" i="17" s="1"/>
  <c r="CS80" i="17" s="1"/>
  <c r="CT80" i="17" s="1"/>
  <c r="CU80" i="17" s="1"/>
  <c r="CV80" i="17" s="1"/>
  <c r="CW80" i="17" s="1"/>
  <c r="CX80" i="17" s="1"/>
  <c r="CY80" i="17" s="1"/>
  <c r="CZ80" i="17" s="1"/>
  <c r="DA80" i="17" s="1"/>
  <c r="DB80" i="17" s="1"/>
  <c r="DC80" i="17" s="1"/>
  <c r="DD80" i="17" s="1"/>
  <c r="DE80" i="17" s="1"/>
  <c r="DF80" i="17" s="1"/>
  <c r="DG80" i="17" s="1"/>
  <c r="DH80" i="17" s="1"/>
  <c r="DI80" i="17" s="1"/>
  <c r="DJ80" i="17" s="1"/>
  <c r="DK80" i="17" s="1"/>
  <c r="DL80" i="17" s="1"/>
  <c r="W55" i="17"/>
  <c r="AG27" i="17"/>
  <c r="Z33" i="17"/>
  <c r="AA33" i="17" s="1"/>
  <c r="AA42" i="17"/>
  <c r="AA260" i="17"/>
  <c r="AB260" i="17" s="1"/>
  <c r="AC260" i="17" s="1"/>
  <c r="AD260" i="17" s="1"/>
  <c r="AE260" i="17" s="1"/>
  <c r="AF260" i="17" s="1"/>
  <c r="AG260" i="17" s="1"/>
  <c r="AH260" i="17" s="1"/>
  <c r="AI260" i="17" s="1"/>
  <c r="AJ260" i="17" s="1"/>
  <c r="AK260" i="17" s="1"/>
  <c r="AL260" i="17" s="1"/>
  <c r="AM260" i="17" s="1"/>
  <c r="AN260" i="17" s="1"/>
  <c r="AO260" i="17" s="1"/>
  <c r="AP260" i="17" s="1"/>
  <c r="AQ260" i="17" s="1"/>
  <c r="AR260" i="17" s="1"/>
  <c r="AS260" i="17" s="1"/>
  <c r="AT260" i="17" s="1"/>
  <c r="AU260" i="17" s="1"/>
  <c r="AV260" i="17" s="1"/>
  <c r="AW260" i="17" s="1"/>
  <c r="AX260" i="17" s="1"/>
  <c r="AY260" i="17" s="1"/>
  <c r="AZ260" i="17" s="1"/>
  <c r="BA260" i="17" s="1"/>
  <c r="BB260" i="17" s="1"/>
  <c r="BC260" i="17" s="1"/>
  <c r="BD260" i="17" s="1"/>
  <c r="BE260" i="17" s="1"/>
  <c r="BF260" i="17" s="1"/>
  <c r="BG260" i="17" s="1"/>
  <c r="BH260" i="17" s="1"/>
  <c r="BI260" i="17" s="1"/>
  <c r="BJ260" i="17" s="1"/>
  <c r="BK260" i="17" s="1"/>
  <c r="BL260" i="17" s="1"/>
  <c r="BM260" i="17" s="1"/>
  <c r="BN260" i="17" s="1"/>
  <c r="BO260" i="17" s="1"/>
  <c r="BP260" i="17" s="1"/>
  <c r="BQ260" i="17" s="1"/>
  <c r="BR260" i="17" s="1"/>
  <c r="BS260" i="17" s="1"/>
  <c r="BT260" i="17" s="1"/>
  <c r="BU260" i="17" s="1"/>
  <c r="BV260" i="17" s="1"/>
  <c r="BW260" i="17" s="1"/>
  <c r="BX260" i="17" s="1"/>
  <c r="AB14" i="17"/>
  <c r="AR248" i="17"/>
  <c r="AS248" i="17" s="1"/>
  <c r="AT248" i="17" s="1"/>
  <c r="AU248" i="17" s="1"/>
  <c r="AV248" i="17" s="1"/>
  <c r="AW248" i="17" s="1"/>
  <c r="AX248" i="17" s="1"/>
  <c r="AY248" i="17" s="1"/>
  <c r="AZ248" i="17" s="1"/>
  <c r="BA248" i="17" s="1"/>
  <c r="BB248" i="17" s="1"/>
  <c r="BC248" i="17" s="1"/>
  <c r="BD248" i="17" s="1"/>
  <c r="BE248" i="17" s="1"/>
  <c r="BF248" i="17" s="1"/>
  <c r="BG248" i="17" s="1"/>
  <c r="BH248" i="17" s="1"/>
  <c r="BI248" i="17" s="1"/>
  <c r="BJ248" i="17" s="1"/>
  <c r="AA216" i="17"/>
  <c r="AF193" i="17"/>
  <c r="AG193" i="17" s="1"/>
  <c r="AH193" i="17" s="1"/>
  <c r="AI193" i="17" s="1"/>
  <c r="AJ193" i="17" s="1"/>
  <c r="AK193" i="17" s="1"/>
  <c r="AH238" i="17"/>
  <c r="AI238" i="17" s="1"/>
  <c r="AJ238" i="17" s="1"/>
  <c r="AK238" i="17" s="1"/>
  <c r="AL238" i="17" s="1"/>
  <c r="AM238" i="17" s="1"/>
  <c r="AN238" i="17" s="1"/>
  <c r="AO238" i="17" s="1"/>
  <c r="AP238" i="17" s="1"/>
  <c r="AQ238" i="17" s="1"/>
  <c r="AR238" i="17" s="1"/>
  <c r="AS238" i="17" s="1"/>
  <c r="AT238" i="17" s="1"/>
  <c r="AU238" i="17" s="1"/>
  <c r="AV238" i="17" s="1"/>
  <c r="AW238" i="17" s="1"/>
  <c r="AX238" i="17" s="1"/>
  <c r="AY238" i="17" s="1"/>
  <c r="AZ238" i="17" s="1"/>
  <c r="BA238" i="17" s="1"/>
  <c r="BB238" i="17" s="1"/>
  <c r="BC238" i="17" s="1"/>
  <c r="BD238" i="17" s="1"/>
  <c r="BE238" i="17" s="1"/>
  <c r="BF238" i="17" s="1"/>
  <c r="BG238" i="17" s="1"/>
  <c r="BH238" i="17" s="1"/>
  <c r="BI238" i="17" s="1"/>
  <c r="BJ238" i="17" s="1"/>
  <c r="BK238" i="17" s="1"/>
  <c r="BL238" i="17" s="1"/>
  <c r="BM238" i="17" s="1"/>
  <c r="BN238" i="17" s="1"/>
  <c r="BO238" i="17" s="1"/>
  <c r="BP238" i="17" s="1"/>
  <c r="BQ238" i="17" s="1"/>
  <c r="BR238" i="17" s="1"/>
  <c r="BS238" i="17" s="1"/>
  <c r="BT238" i="17" s="1"/>
  <c r="BU238" i="17" s="1"/>
  <c r="BV238" i="17" s="1"/>
  <c r="BW238" i="17" s="1"/>
  <c r="BX238" i="17" s="1"/>
  <c r="BY238" i="17" s="1"/>
  <c r="BZ238" i="17" s="1"/>
  <c r="CA238" i="17" s="1"/>
  <c r="CB238" i="17" s="1"/>
  <c r="CC238" i="17" s="1"/>
  <c r="CD238" i="17" s="1"/>
  <c r="CE238" i="17" s="1"/>
  <c r="CF238" i="17" s="1"/>
  <c r="CG238" i="17" s="1"/>
  <c r="CH238" i="17" s="1"/>
  <c r="CI238" i="17" s="1"/>
  <c r="CJ238" i="17" s="1"/>
  <c r="CK238" i="17" s="1"/>
  <c r="CL238" i="17" s="1"/>
  <c r="CM238" i="17" s="1"/>
  <c r="CN238" i="17" s="1"/>
  <c r="CO238" i="17" s="1"/>
  <c r="CP238" i="17" s="1"/>
  <c r="CQ238" i="17" s="1"/>
  <c r="CR238" i="17" s="1"/>
  <c r="CS238" i="17" s="1"/>
  <c r="CT238" i="17" s="1"/>
  <c r="CU238" i="17" s="1"/>
  <c r="CV238" i="17" s="1"/>
  <c r="CW238" i="17" s="1"/>
  <c r="CX238" i="17" s="1"/>
  <c r="CY238" i="17" s="1"/>
  <c r="CZ238" i="17" s="1"/>
  <c r="DA238" i="17" s="1"/>
  <c r="DB238" i="17" s="1"/>
  <c r="DC238" i="17" s="1"/>
  <c r="DD238" i="17" s="1"/>
  <c r="DE238" i="17" s="1"/>
  <c r="DF238" i="17" s="1"/>
  <c r="DG238" i="17" s="1"/>
  <c r="DH238" i="17" s="1"/>
  <c r="DI238" i="17" s="1"/>
  <c r="DJ238" i="17" s="1"/>
  <c r="DK238" i="17" s="1"/>
  <c r="DL238" i="17" s="1"/>
  <c r="AT60" i="17"/>
  <c r="AU60" i="17" s="1"/>
  <c r="AV60" i="17" s="1"/>
  <c r="AW60" i="17" s="1"/>
  <c r="AX60" i="17" s="1"/>
  <c r="AY60" i="17" s="1"/>
  <c r="AZ60" i="17" s="1"/>
  <c r="BA60" i="17" s="1"/>
  <c r="BB60" i="17" s="1"/>
  <c r="BC60" i="17" s="1"/>
  <c r="BD60" i="17" s="1"/>
  <c r="BE60" i="17" s="1"/>
  <c r="BF60" i="17" s="1"/>
  <c r="BG60" i="17" s="1"/>
  <c r="BH60" i="17" s="1"/>
  <c r="BI60" i="17" s="1"/>
  <c r="BJ60" i="17" s="1"/>
  <c r="BK60" i="17" s="1"/>
  <c r="BL60" i="17" s="1"/>
  <c r="BM60" i="17" s="1"/>
  <c r="BN60" i="17" s="1"/>
  <c r="BO60" i="17" s="1"/>
  <c r="BP60" i="17" s="1"/>
  <c r="BQ60" i="17" s="1"/>
  <c r="BR60" i="17" s="1"/>
  <c r="BS60" i="17" s="1"/>
  <c r="BT60" i="17" s="1"/>
  <c r="BU60" i="17" s="1"/>
  <c r="BV60" i="17" s="1"/>
  <c r="BW60" i="17" s="1"/>
  <c r="BX60" i="17" s="1"/>
  <c r="BY60" i="17" s="1"/>
  <c r="BZ60" i="17" s="1"/>
  <c r="CA60" i="17" s="1"/>
  <c r="CB60" i="17" s="1"/>
  <c r="CC60" i="17" s="1"/>
  <c r="CD60" i="17" s="1"/>
  <c r="CE60" i="17" s="1"/>
  <c r="CF60" i="17" s="1"/>
  <c r="CG60" i="17" s="1"/>
  <c r="CH60" i="17" s="1"/>
  <c r="CI60" i="17" s="1"/>
  <c r="CJ60" i="17" s="1"/>
  <c r="CK60" i="17" s="1"/>
  <c r="CL60" i="17" s="1"/>
  <c r="CM60" i="17" s="1"/>
  <c r="CN60" i="17" s="1"/>
  <c r="CO60" i="17" s="1"/>
  <c r="CP60" i="17" s="1"/>
  <c r="CQ60" i="17" s="1"/>
  <c r="CR60" i="17" s="1"/>
  <c r="CS60" i="17" s="1"/>
  <c r="CT60" i="17" s="1"/>
  <c r="CU60" i="17" s="1"/>
  <c r="CV60" i="17" s="1"/>
  <c r="CW60" i="17" s="1"/>
  <c r="CX60" i="17" s="1"/>
  <c r="CY60" i="17" s="1"/>
  <c r="CZ60" i="17" s="1"/>
  <c r="AH288" i="17"/>
  <c r="AL97" i="17"/>
  <c r="AM97" i="17" s="1"/>
  <c r="AN97" i="17" s="1"/>
  <c r="AO97" i="17" s="1"/>
  <c r="AP97" i="17" s="1"/>
  <c r="AQ97" i="17" s="1"/>
  <c r="AR97" i="17" s="1"/>
  <c r="AS97" i="17" s="1"/>
  <c r="AT97" i="17" s="1"/>
  <c r="AU97" i="17" s="1"/>
  <c r="AV97" i="17" s="1"/>
  <c r="AW97" i="17" s="1"/>
  <c r="AX97" i="17" s="1"/>
  <c r="AY97" i="17" s="1"/>
  <c r="AZ97" i="17" s="1"/>
  <c r="BA97" i="17" s="1"/>
  <c r="BB97" i="17" s="1"/>
  <c r="BC97" i="17" s="1"/>
  <c r="BD97" i="17" s="1"/>
  <c r="BE97" i="17" s="1"/>
  <c r="BF97" i="17" s="1"/>
  <c r="BG97" i="17" s="1"/>
  <c r="BH97" i="17" s="1"/>
  <c r="BI97" i="17" s="1"/>
  <c r="BJ97" i="17" s="1"/>
  <c r="BK97" i="17" s="1"/>
  <c r="BL97" i="17" s="1"/>
  <c r="BM97" i="17" s="1"/>
  <c r="BN97" i="17" s="1"/>
  <c r="BO97" i="17" s="1"/>
  <c r="BP97" i="17" s="1"/>
  <c r="BQ97" i="17" s="1"/>
  <c r="BR97" i="17" s="1"/>
  <c r="BS97" i="17" s="1"/>
  <c r="BT97" i="17" s="1"/>
  <c r="BU97" i="17" s="1"/>
  <c r="BV97" i="17" s="1"/>
  <c r="BW97" i="17" s="1"/>
  <c r="BX97" i="17" s="1"/>
  <c r="BY97" i="17" s="1"/>
  <c r="BZ97" i="17" s="1"/>
  <c r="CA97" i="17" s="1"/>
  <c r="CB97" i="17" s="1"/>
  <c r="CC97" i="17" s="1"/>
  <c r="CD97" i="17" s="1"/>
  <c r="CE97" i="17" s="1"/>
  <c r="CF97" i="17" s="1"/>
  <c r="CG97" i="17" s="1"/>
  <c r="CH97" i="17" s="1"/>
  <c r="CI97" i="17" s="1"/>
  <c r="CJ97" i="17" s="1"/>
  <c r="CK97" i="17" s="1"/>
  <c r="CL97" i="17" s="1"/>
  <c r="CM97" i="17" s="1"/>
  <c r="CN97" i="17" s="1"/>
  <c r="CO97" i="17" s="1"/>
  <c r="CP97" i="17" s="1"/>
  <c r="CQ97" i="17" s="1"/>
  <c r="CR97" i="17" s="1"/>
  <c r="CS97" i="17" s="1"/>
  <c r="CT97" i="17" s="1"/>
  <c r="CU97" i="17" s="1"/>
  <c r="CV97" i="17" s="1"/>
  <c r="CW97" i="17" s="1"/>
  <c r="CX97" i="17" s="1"/>
  <c r="CY97" i="17" s="1"/>
  <c r="CZ97" i="17" s="1"/>
  <c r="DA97" i="17" s="1"/>
  <c r="DB97" i="17" s="1"/>
  <c r="DC97" i="17" s="1"/>
  <c r="DD97" i="17" s="1"/>
  <c r="DE97" i="17" s="1"/>
  <c r="DF97" i="17" s="1"/>
  <c r="DG97" i="17" s="1"/>
  <c r="DH97" i="17" s="1"/>
  <c r="DI97" i="17" s="1"/>
  <c r="DJ97" i="17" s="1"/>
  <c r="DK97" i="17" s="1"/>
  <c r="DL97" i="17" s="1"/>
  <c r="Y104" i="17"/>
  <c r="X116" i="17"/>
  <c r="Y161" i="17"/>
  <c r="Z168" i="17"/>
  <c r="AB91" i="17"/>
  <c r="AC91" i="17" s="1"/>
  <c r="AD91" i="17" s="1"/>
  <c r="AE91" i="17" s="1"/>
  <c r="AF91" i="17" s="1"/>
  <c r="AG91" i="17" s="1"/>
  <c r="AH91" i="17" s="1"/>
  <c r="AI91" i="17" s="1"/>
  <c r="AJ91" i="17" s="1"/>
  <c r="AK91" i="17" s="1"/>
  <c r="AL91" i="17" s="1"/>
  <c r="AM91" i="17" s="1"/>
  <c r="AN91" i="17" s="1"/>
  <c r="AO91" i="17" s="1"/>
  <c r="AP91" i="17" s="1"/>
  <c r="AQ91" i="17" s="1"/>
  <c r="AR91" i="17" s="1"/>
  <c r="AS91" i="17" s="1"/>
  <c r="AT91" i="17" s="1"/>
  <c r="AU91" i="17" s="1"/>
  <c r="AV91" i="17" s="1"/>
  <c r="AW91" i="17" s="1"/>
  <c r="AX91" i="17" s="1"/>
  <c r="AY91" i="17" s="1"/>
  <c r="AZ91" i="17" s="1"/>
  <c r="BA91" i="17" s="1"/>
  <c r="BB91" i="17" s="1"/>
  <c r="BC91" i="17" s="1"/>
  <c r="BD91" i="17" s="1"/>
  <c r="BE91" i="17" s="1"/>
  <c r="BF91" i="17" s="1"/>
  <c r="BG91" i="17" s="1"/>
  <c r="BH91" i="17" s="1"/>
  <c r="BI91" i="17" s="1"/>
  <c r="BJ91" i="17" s="1"/>
  <c r="BK91" i="17" s="1"/>
  <c r="BL91" i="17" s="1"/>
  <c r="BM91" i="17" s="1"/>
  <c r="BN91" i="17" s="1"/>
  <c r="BO91" i="17" s="1"/>
  <c r="BP91" i="17" s="1"/>
  <c r="BQ91" i="17" s="1"/>
  <c r="BR91" i="17" s="1"/>
  <c r="BS91" i="17" s="1"/>
  <c r="BT91" i="17" s="1"/>
  <c r="BU91" i="17" s="1"/>
  <c r="BV91" i="17" s="1"/>
  <c r="BW91" i="17" s="1"/>
  <c r="BX91" i="17" s="1"/>
  <c r="BY91" i="17" s="1"/>
  <c r="BZ91" i="17" s="1"/>
  <c r="CA91" i="17" s="1"/>
  <c r="CB91" i="17" s="1"/>
  <c r="CC91" i="17" s="1"/>
  <c r="CD91" i="17" s="1"/>
  <c r="CE91" i="17" s="1"/>
  <c r="CF91" i="17" s="1"/>
  <c r="CG91" i="17" s="1"/>
  <c r="CH91" i="17" s="1"/>
  <c r="CI91" i="17" s="1"/>
  <c r="CJ91" i="17" s="1"/>
  <c r="CK91" i="17" s="1"/>
  <c r="CL91" i="17" s="1"/>
  <c r="CM91" i="17" s="1"/>
  <c r="CN91" i="17" s="1"/>
  <c r="CO91" i="17" s="1"/>
  <c r="CP91" i="17" s="1"/>
  <c r="CQ91" i="17" s="1"/>
  <c r="CR91" i="17" s="1"/>
  <c r="CS91" i="17" s="1"/>
  <c r="CT91" i="17" s="1"/>
  <c r="CU91" i="17" s="1"/>
  <c r="CV91" i="17" s="1"/>
  <c r="CW91" i="17" s="1"/>
  <c r="CX91" i="17" s="1"/>
  <c r="CY91" i="17" s="1"/>
  <c r="CZ91" i="17" s="1"/>
  <c r="DA91" i="17" s="1"/>
  <c r="DB91" i="17" s="1"/>
  <c r="DC91" i="17" s="1"/>
  <c r="DD91" i="17" s="1"/>
  <c r="DE91" i="17" s="1"/>
  <c r="DF91" i="17" s="1"/>
  <c r="DG91" i="17" s="1"/>
  <c r="DH91" i="17" s="1"/>
  <c r="DI91" i="17" s="1"/>
  <c r="DJ91" i="17" s="1"/>
  <c r="DK91" i="17" s="1"/>
  <c r="DL91" i="17" s="1"/>
  <c r="AA28" i="17"/>
  <c r="AB28" i="17" s="1"/>
  <c r="AC28" i="17" s="1"/>
  <c r="AD28" i="17" s="1"/>
  <c r="AE28" i="17" s="1"/>
  <c r="AF28" i="17" s="1"/>
  <c r="AG28" i="17" s="1"/>
  <c r="AH28" i="17" s="1"/>
  <c r="AI28" i="17" s="1"/>
  <c r="AJ28" i="17" s="1"/>
  <c r="AK28" i="17" s="1"/>
  <c r="AL28" i="17" s="1"/>
  <c r="AM28" i="17" s="1"/>
  <c r="AN28" i="17" s="1"/>
  <c r="AO28" i="17" s="1"/>
  <c r="AP28" i="17" s="1"/>
  <c r="AQ28" i="17" s="1"/>
  <c r="AR28" i="17" s="1"/>
  <c r="AS28" i="17" s="1"/>
  <c r="AT28" i="17" s="1"/>
  <c r="AU28" i="17" s="1"/>
  <c r="AV28" i="17" s="1"/>
  <c r="AW28" i="17" s="1"/>
  <c r="AX28" i="17" s="1"/>
  <c r="AY28" i="17" s="1"/>
  <c r="AZ28" i="17" s="1"/>
  <c r="BA28" i="17" s="1"/>
  <c r="BB28" i="17" s="1"/>
  <c r="BC28" i="17" s="1"/>
  <c r="BD28" i="17" s="1"/>
  <c r="BE28" i="17" s="1"/>
  <c r="BF28" i="17" s="1"/>
  <c r="BG28" i="17" s="1"/>
  <c r="BH28" i="17" s="1"/>
  <c r="BI28" i="17" s="1"/>
  <c r="BJ28" i="17" s="1"/>
  <c r="BK28" i="17" s="1"/>
  <c r="BL28" i="17" s="1"/>
  <c r="BM28" i="17" s="1"/>
  <c r="BN28" i="17" s="1"/>
  <c r="BO28" i="17" s="1"/>
  <c r="BP28" i="17" s="1"/>
  <c r="BQ28" i="17" s="1"/>
  <c r="BR28" i="17" s="1"/>
  <c r="BS28" i="17" s="1"/>
  <c r="BT28" i="17" s="1"/>
  <c r="BU28" i="17" s="1"/>
  <c r="BV28" i="17" s="1"/>
  <c r="BW28" i="17" s="1"/>
  <c r="BX28" i="17" s="1"/>
  <c r="BY28" i="17" s="1"/>
  <c r="BZ28" i="17" s="1"/>
  <c r="CA28" i="17" s="1"/>
  <c r="CB28" i="17" s="1"/>
  <c r="CC28" i="17" s="1"/>
  <c r="CD28" i="17" s="1"/>
  <c r="CE28" i="17" s="1"/>
  <c r="CF28" i="17" s="1"/>
  <c r="CG28" i="17" s="1"/>
  <c r="CH28" i="17" s="1"/>
  <c r="CI28" i="17" s="1"/>
  <c r="CJ28" i="17" s="1"/>
  <c r="CK28" i="17" s="1"/>
  <c r="CL28" i="17" s="1"/>
  <c r="CM28" i="17" s="1"/>
  <c r="CN28" i="17" s="1"/>
  <c r="CO28" i="17" s="1"/>
  <c r="CP28" i="17" s="1"/>
  <c r="CQ28" i="17" s="1"/>
  <c r="CR28" i="17" s="1"/>
  <c r="CS28" i="17" s="1"/>
  <c r="CT28" i="17" s="1"/>
  <c r="CU28" i="17" s="1"/>
  <c r="CV28" i="17" s="1"/>
  <c r="CW28" i="17" s="1"/>
  <c r="CX28" i="17" s="1"/>
  <c r="CY28" i="17" s="1"/>
  <c r="CZ28" i="17" s="1"/>
  <c r="DA28" i="17" s="1"/>
  <c r="DB28" i="17" s="1"/>
  <c r="DC28" i="17" s="1"/>
  <c r="DD28" i="17" s="1"/>
  <c r="DE28" i="17" s="1"/>
  <c r="DF28" i="17" s="1"/>
  <c r="DG28" i="17" s="1"/>
  <c r="DH28" i="17" s="1"/>
  <c r="DI28" i="17" s="1"/>
  <c r="DJ28" i="17" s="1"/>
  <c r="DK28" i="17" s="1"/>
  <c r="DL28" i="17" s="1"/>
  <c r="Y138" i="17"/>
  <c r="Z138" i="17" s="1"/>
  <c r="AA138" i="17" s="1"/>
  <c r="AB138" i="17" s="1"/>
  <c r="AC138" i="17" s="1"/>
  <c r="AD138" i="17" s="1"/>
  <c r="AE138" i="17" s="1"/>
  <c r="AF138" i="17" s="1"/>
  <c r="AG138" i="17" s="1"/>
  <c r="AH138" i="17" s="1"/>
  <c r="AI138" i="17" s="1"/>
  <c r="AJ138" i="17" s="1"/>
  <c r="AK138" i="17" s="1"/>
  <c r="AL138" i="17" s="1"/>
  <c r="AM138" i="17" s="1"/>
  <c r="AN138" i="17" s="1"/>
  <c r="AO138" i="17" s="1"/>
  <c r="AP138" i="17" s="1"/>
  <c r="AQ138" i="17" s="1"/>
  <c r="AR138" i="17" s="1"/>
  <c r="AS138" i="17" s="1"/>
  <c r="AT138" i="17" s="1"/>
  <c r="AU138" i="17" s="1"/>
  <c r="AV138" i="17" s="1"/>
  <c r="AW138" i="17" s="1"/>
  <c r="AX138" i="17" s="1"/>
  <c r="AY138" i="17" s="1"/>
  <c r="AZ138" i="17" s="1"/>
  <c r="BA138" i="17" s="1"/>
  <c r="BB138" i="17" s="1"/>
  <c r="BC138" i="17" s="1"/>
  <c r="BD138" i="17" s="1"/>
  <c r="BE138" i="17" s="1"/>
  <c r="BF138" i="17" s="1"/>
  <c r="BG138" i="17" s="1"/>
  <c r="BH138" i="17" s="1"/>
  <c r="BI138" i="17" s="1"/>
  <c r="BJ138" i="17" s="1"/>
  <c r="BK138" i="17" s="1"/>
  <c r="BL138" i="17" s="1"/>
  <c r="BM138" i="17" s="1"/>
  <c r="BN138" i="17" s="1"/>
  <c r="BO138" i="17" s="1"/>
  <c r="BP138" i="17" s="1"/>
  <c r="BQ138" i="17" s="1"/>
  <c r="BR138" i="17" s="1"/>
  <c r="BS138" i="17" s="1"/>
  <c r="BT138" i="17" s="1"/>
  <c r="BU138" i="17" s="1"/>
  <c r="BV138" i="17" s="1"/>
  <c r="BW138" i="17" s="1"/>
  <c r="BX138" i="17" s="1"/>
  <c r="BY138" i="17" s="1"/>
  <c r="BZ138" i="17" s="1"/>
  <c r="CA138" i="17" s="1"/>
  <c r="CB138" i="17" s="1"/>
  <c r="CC138" i="17" s="1"/>
  <c r="CD138" i="17" s="1"/>
  <c r="CE138" i="17" s="1"/>
  <c r="CF138" i="17" s="1"/>
  <c r="CG138" i="17" s="1"/>
  <c r="CH138" i="17" s="1"/>
  <c r="CI138" i="17" s="1"/>
  <c r="CJ138" i="17" s="1"/>
  <c r="CK138" i="17" s="1"/>
  <c r="CL138" i="17" s="1"/>
  <c r="CM138" i="17" s="1"/>
  <c r="CN138" i="17" s="1"/>
  <c r="CO138" i="17" s="1"/>
  <c r="CP138" i="17" s="1"/>
  <c r="CQ138" i="17" s="1"/>
  <c r="CR138" i="17" s="1"/>
  <c r="CS138" i="17" s="1"/>
  <c r="CT138" i="17" s="1"/>
  <c r="CU138" i="17" s="1"/>
  <c r="CV138" i="17" s="1"/>
  <c r="CW138" i="17" s="1"/>
  <c r="CX138" i="17" s="1"/>
  <c r="CY138" i="17" s="1"/>
  <c r="CZ138" i="17" s="1"/>
  <c r="DA138" i="17" s="1"/>
  <c r="DB138" i="17" s="1"/>
  <c r="DC138" i="17" s="1"/>
  <c r="DD138" i="17" s="1"/>
  <c r="DE138" i="17" s="1"/>
  <c r="DF138" i="17" s="1"/>
  <c r="DG138" i="17" s="1"/>
  <c r="DH138" i="17" s="1"/>
  <c r="DI138" i="17" s="1"/>
  <c r="DJ138" i="17" s="1"/>
  <c r="DK138" i="17" s="1"/>
  <c r="DL138" i="17" s="1"/>
  <c r="AB125" i="17"/>
  <c r="AC125" i="17" s="1"/>
  <c r="AD125" i="17" s="1"/>
  <c r="AE125" i="17" s="1"/>
  <c r="AF125" i="17" s="1"/>
  <c r="AG125" i="17" s="1"/>
  <c r="AH125" i="17" s="1"/>
  <c r="AI125" i="17" s="1"/>
  <c r="AJ125" i="17" s="1"/>
  <c r="AK125" i="17" s="1"/>
  <c r="AL125" i="17" s="1"/>
  <c r="AM125" i="17" s="1"/>
  <c r="AN125" i="17" s="1"/>
  <c r="AO125" i="17" s="1"/>
  <c r="AP125" i="17" s="1"/>
  <c r="AQ125" i="17" s="1"/>
  <c r="AR125" i="17" s="1"/>
  <c r="AS125" i="17" s="1"/>
  <c r="AT125" i="17" s="1"/>
  <c r="AU125" i="17" s="1"/>
  <c r="AV125" i="17" s="1"/>
  <c r="AW125" i="17" s="1"/>
  <c r="AX125" i="17" s="1"/>
  <c r="AY125" i="17" s="1"/>
  <c r="AZ125" i="17" s="1"/>
  <c r="BA125" i="17" s="1"/>
  <c r="BB125" i="17" s="1"/>
  <c r="BC125" i="17" s="1"/>
  <c r="BD125" i="17" s="1"/>
  <c r="BE125" i="17" s="1"/>
  <c r="BF125" i="17" s="1"/>
  <c r="BG125" i="17" s="1"/>
  <c r="BH125" i="17" s="1"/>
  <c r="BI125" i="17" s="1"/>
  <c r="BJ125" i="17" s="1"/>
  <c r="BK125" i="17" s="1"/>
  <c r="BL125" i="17" s="1"/>
  <c r="BM125" i="17" s="1"/>
  <c r="BN125" i="17" s="1"/>
  <c r="BO125" i="17" s="1"/>
  <c r="BP125" i="17" s="1"/>
  <c r="BQ125" i="17" s="1"/>
  <c r="BR125" i="17" s="1"/>
  <c r="BS125" i="17" s="1"/>
  <c r="BT125" i="17" s="1"/>
  <c r="BU125" i="17" s="1"/>
  <c r="BV125" i="17" s="1"/>
  <c r="BW125" i="17" s="1"/>
  <c r="BX125" i="17" s="1"/>
  <c r="BY125" i="17" s="1"/>
  <c r="BZ125" i="17" s="1"/>
  <c r="CA125" i="17" s="1"/>
  <c r="CB125" i="17" s="1"/>
  <c r="CC125" i="17" s="1"/>
  <c r="CD125" i="17" s="1"/>
  <c r="CE125" i="17" s="1"/>
  <c r="CF125" i="17" s="1"/>
  <c r="CG125" i="17" s="1"/>
  <c r="CH125" i="17" s="1"/>
  <c r="CI125" i="17" s="1"/>
  <c r="CJ125" i="17" s="1"/>
  <c r="CK125" i="17" s="1"/>
  <c r="CL125" i="17" s="1"/>
  <c r="CM125" i="17" s="1"/>
  <c r="CN125" i="17" s="1"/>
  <c r="CO125" i="17" s="1"/>
  <c r="CP125" i="17" s="1"/>
  <c r="CQ125" i="17" s="1"/>
  <c r="CR125" i="17" s="1"/>
  <c r="CS125" i="17" s="1"/>
  <c r="CT125" i="17" s="1"/>
  <c r="CU125" i="17" s="1"/>
  <c r="CV125" i="17" s="1"/>
  <c r="CW125" i="17" s="1"/>
  <c r="CX125" i="17" s="1"/>
  <c r="CY125" i="17" s="1"/>
  <c r="CZ125" i="17" s="1"/>
  <c r="DA125" i="17" s="1"/>
  <c r="DB125" i="17" s="1"/>
  <c r="DC125" i="17" s="1"/>
  <c r="DD125" i="17" s="1"/>
  <c r="DE125" i="17" s="1"/>
  <c r="DF125" i="17" s="1"/>
  <c r="DG125" i="17" s="1"/>
  <c r="DH125" i="17" s="1"/>
  <c r="DI125" i="17" s="1"/>
  <c r="DJ125" i="17" s="1"/>
  <c r="DK125" i="17" s="1"/>
  <c r="DL125" i="17" s="1"/>
  <c r="W245" i="17"/>
  <c r="X245" i="17" s="1"/>
  <c r="Y245" i="17" s="1"/>
  <c r="Z245" i="17" s="1"/>
  <c r="AA245" i="17" s="1"/>
  <c r="AB245" i="17" s="1"/>
  <c r="AC245" i="17" s="1"/>
  <c r="AD245" i="17" s="1"/>
  <c r="AE245" i="17" s="1"/>
  <c r="AF245" i="17" s="1"/>
  <c r="AG245" i="17" s="1"/>
  <c r="AH245" i="17" s="1"/>
  <c r="AI245" i="17" s="1"/>
  <c r="AJ245" i="17" s="1"/>
  <c r="AK245" i="17" s="1"/>
  <c r="AL245" i="17" s="1"/>
  <c r="AM245" i="17" s="1"/>
  <c r="AN245" i="17" s="1"/>
  <c r="AO245" i="17" s="1"/>
  <c r="AP245" i="17" s="1"/>
  <c r="AQ245" i="17" s="1"/>
  <c r="AR245" i="17" s="1"/>
  <c r="AS245" i="17" s="1"/>
  <c r="AT245" i="17" s="1"/>
  <c r="AU245" i="17" s="1"/>
  <c r="AV245" i="17" s="1"/>
  <c r="AW245" i="17" s="1"/>
  <c r="AX245" i="17" s="1"/>
  <c r="AY245" i="17" s="1"/>
  <c r="AZ245" i="17" s="1"/>
  <c r="BA245" i="17" s="1"/>
  <c r="BB245" i="17" s="1"/>
  <c r="BC245" i="17" s="1"/>
  <c r="BD245" i="17" s="1"/>
  <c r="BE245" i="17" s="1"/>
  <c r="BF245" i="17" s="1"/>
  <c r="BG245" i="17" s="1"/>
  <c r="BH245" i="17" s="1"/>
  <c r="BI245" i="17" s="1"/>
  <c r="BJ245" i="17" s="1"/>
  <c r="BK245" i="17" s="1"/>
  <c r="BL245" i="17" s="1"/>
  <c r="BM245" i="17" s="1"/>
  <c r="BN245" i="17" s="1"/>
  <c r="BO245" i="17" s="1"/>
  <c r="BP245" i="17" s="1"/>
  <c r="BQ245" i="17" s="1"/>
  <c r="BR245" i="17" s="1"/>
  <c r="BS245" i="17" s="1"/>
  <c r="BT245" i="17" s="1"/>
  <c r="BU245" i="17" s="1"/>
  <c r="BV245" i="17" s="1"/>
  <c r="BW245" i="17" s="1"/>
  <c r="BX245" i="17" s="1"/>
  <c r="BY245" i="17" s="1"/>
  <c r="BZ245" i="17" s="1"/>
  <c r="CA245" i="17" s="1"/>
  <c r="CB245" i="17" s="1"/>
  <c r="CC245" i="17" s="1"/>
  <c r="CD245" i="17" s="1"/>
  <c r="CE245" i="17" s="1"/>
  <c r="CF245" i="17" s="1"/>
  <c r="CG245" i="17" s="1"/>
  <c r="CH245" i="17" s="1"/>
  <c r="CI245" i="17" s="1"/>
  <c r="CJ245" i="17" s="1"/>
  <c r="CK245" i="17" s="1"/>
  <c r="CL245" i="17" s="1"/>
  <c r="CM245" i="17" s="1"/>
  <c r="CN245" i="17" s="1"/>
  <c r="CO245" i="17" s="1"/>
  <c r="CP245" i="17" s="1"/>
  <c r="CQ245" i="17" s="1"/>
  <c r="CR245" i="17" s="1"/>
  <c r="CS245" i="17" s="1"/>
  <c r="CT245" i="17" s="1"/>
  <c r="CU245" i="17" s="1"/>
  <c r="CV245" i="17" s="1"/>
  <c r="CW245" i="17" s="1"/>
  <c r="CX245" i="17" s="1"/>
  <c r="CY245" i="17" s="1"/>
  <c r="CZ245" i="17" s="1"/>
  <c r="DA245" i="17" s="1"/>
  <c r="DB245" i="17" s="1"/>
  <c r="DC245" i="17" s="1"/>
  <c r="DD245" i="17" s="1"/>
  <c r="DE245" i="17" s="1"/>
  <c r="DF245" i="17" s="1"/>
  <c r="DG245" i="17" s="1"/>
  <c r="DH245" i="17" s="1"/>
  <c r="DI245" i="17" s="1"/>
  <c r="DJ245" i="17" s="1"/>
  <c r="DK245" i="17" s="1"/>
  <c r="DL245" i="17" s="1"/>
  <c r="AA195" i="17"/>
  <c r="AB195" i="17" s="1"/>
  <c r="AC195" i="17" s="1"/>
  <c r="AD195" i="17" s="1"/>
  <c r="AE195" i="17" s="1"/>
  <c r="AF195" i="17" s="1"/>
  <c r="AG195" i="17" s="1"/>
  <c r="AH195" i="17" s="1"/>
  <c r="AI195" i="17" s="1"/>
  <c r="AJ195" i="17" s="1"/>
  <c r="AK195" i="17" s="1"/>
  <c r="AL195" i="17" s="1"/>
  <c r="AM195" i="17" s="1"/>
  <c r="AN195" i="17" s="1"/>
  <c r="AO195" i="17" s="1"/>
  <c r="AP195" i="17" s="1"/>
  <c r="AQ195" i="17" s="1"/>
  <c r="AR195" i="17" s="1"/>
  <c r="AS195" i="17" s="1"/>
  <c r="AT195" i="17" s="1"/>
  <c r="AU195" i="17" s="1"/>
  <c r="AV195" i="17" s="1"/>
  <c r="AA107" i="17"/>
  <c r="AB107" i="17" s="1"/>
  <c r="AC107" i="17" s="1"/>
  <c r="AD107" i="17" s="1"/>
  <c r="AE107" i="17" s="1"/>
  <c r="AF107" i="17" s="1"/>
  <c r="AG107" i="17" s="1"/>
  <c r="AH107" i="17" s="1"/>
  <c r="AI107" i="17" s="1"/>
  <c r="AJ107" i="17" s="1"/>
  <c r="AK107" i="17" s="1"/>
  <c r="AL107" i="17" s="1"/>
  <c r="AM107" i="17" s="1"/>
  <c r="AN107" i="17" s="1"/>
  <c r="AO107" i="17" s="1"/>
  <c r="AP107" i="17" s="1"/>
  <c r="AQ107" i="17" s="1"/>
  <c r="AR107" i="17" s="1"/>
  <c r="AS107" i="17" s="1"/>
  <c r="AT107" i="17" s="1"/>
  <c r="AU107" i="17" s="1"/>
  <c r="AV107" i="17" s="1"/>
  <c r="AW107" i="17" s="1"/>
  <c r="AX107" i="17" s="1"/>
  <c r="AY107" i="17" s="1"/>
  <c r="AZ107" i="17" s="1"/>
  <c r="BA107" i="17" s="1"/>
  <c r="BB107" i="17" s="1"/>
  <c r="BC107" i="17" s="1"/>
  <c r="BD107" i="17" s="1"/>
  <c r="BE107" i="17" s="1"/>
  <c r="BF107" i="17" s="1"/>
  <c r="BG107" i="17" s="1"/>
  <c r="BH107" i="17" s="1"/>
  <c r="BI107" i="17" s="1"/>
  <c r="BJ107" i="17" s="1"/>
  <c r="BK107" i="17" s="1"/>
  <c r="BL107" i="17" s="1"/>
  <c r="BM107" i="17" s="1"/>
  <c r="BN107" i="17" s="1"/>
  <c r="BO107" i="17" s="1"/>
  <c r="BP107" i="17" s="1"/>
  <c r="BQ107" i="17" s="1"/>
  <c r="BR107" i="17" s="1"/>
  <c r="BS107" i="17" s="1"/>
  <c r="BT107" i="17" s="1"/>
  <c r="BU107" i="17" s="1"/>
  <c r="BV107" i="17" s="1"/>
  <c r="BW107" i="17" s="1"/>
  <c r="BX107" i="17" s="1"/>
  <c r="BY107" i="17" s="1"/>
  <c r="BZ107" i="17" s="1"/>
  <c r="CA107" i="17" s="1"/>
  <c r="CB107" i="17" s="1"/>
  <c r="CC107" i="17" s="1"/>
  <c r="CD107" i="17" s="1"/>
  <c r="CE107" i="17" s="1"/>
  <c r="CF107" i="17" s="1"/>
  <c r="CG107" i="17" s="1"/>
  <c r="CH107" i="17" s="1"/>
  <c r="CI107" i="17" s="1"/>
  <c r="CJ107" i="17" s="1"/>
  <c r="CK107" i="17" s="1"/>
  <c r="CL107" i="17" s="1"/>
  <c r="CM107" i="17" s="1"/>
  <c r="CN107" i="17" s="1"/>
  <c r="CO107" i="17" s="1"/>
  <c r="CP107" i="17" s="1"/>
  <c r="CQ107" i="17" s="1"/>
  <c r="CR107" i="17" s="1"/>
  <c r="CS107" i="17" s="1"/>
  <c r="CT107" i="17" s="1"/>
  <c r="CU107" i="17" s="1"/>
  <c r="CV107" i="17" s="1"/>
  <c r="CW107" i="17" s="1"/>
  <c r="CX107" i="17" s="1"/>
  <c r="CY107" i="17" s="1"/>
  <c r="CZ107" i="17" s="1"/>
  <c r="DA107" i="17" s="1"/>
  <c r="DB107" i="17" s="1"/>
  <c r="DC107" i="17" s="1"/>
  <c r="DD107" i="17" s="1"/>
  <c r="DE107" i="17" s="1"/>
  <c r="DF107" i="17" s="1"/>
  <c r="DG107" i="17" s="1"/>
  <c r="DH107" i="17" s="1"/>
  <c r="DI107" i="17" s="1"/>
  <c r="DJ107" i="17" s="1"/>
  <c r="DK107" i="17" s="1"/>
  <c r="DL107" i="17" s="1"/>
  <c r="Z69" i="17"/>
  <c r="AA69" i="17" s="1"/>
  <c r="AB69" i="17" s="1"/>
  <c r="AC69" i="17" s="1"/>
  <c r="AD69" i="17" s="1"/>
  <c r="AE69" i="17" s="1"/>
  <c r="AF69" i="17" s="1"/>
  <c r="AG69" i="17" s="1"/>
  <c r="AH69" i="17" s="1"/>
  <c r="AI69" i="17" s="1"/>
  <c r="AJ69" i="17" s="1"/>
  <c r="AK69" i="17" s="1"/>
  <c r="AL69" i="17" s="1"/>
  <c r="AM69" i="17" s="1"/>
  <c r="AN69" i="17" s="1"/>
  <c r="AO69" i="17" s="1"/>
  <c r="AP69" i="17" s="1"/>
  <c r="AQ69" i="17" s="1"/>
  <c r="AR69" i="17" s="1"/>
  <c r="AS69" i="17" s="1"/>
  <c r="AT69" i="17" s="1"/>
  <c r="AU69" i="17" s="1"/>
  <c r="AV69" i="17" s="1"/>
  <c r="AW69" i="17" s="1"/>
  <c r="AX69" i="17" s="1"/>
  <c r="AY69" i="17" s="1"/>
  <c r="AZ69" i="17" s="1"/>
  <c r="BA69" i="17" s="1"/>
  <c r="BB69" i="17" s="1"/>
  <c r="BC69" i="17" s="1"/>
  <c r="BD69" i="17" s="1"/>
  <c r="BE69" i="17" s="1"/>
  <c r="BF69" i="17" s="1"/>
  <c r="BG69" i="17" s="1"/>
  <c r="BH69" i="17" s="1"/>
  <c r="BI69" i="17" s="1"/>
  <c r="BJ69" i="17" s="1"/>
  <c r="BK69" i="17" s="1"/>
  <c r="BL69" i="17" s="1"/>
  <c r="BM69" i="17" s="1"/>
  <c r="BN69" i="17" s="1"/>
  <c r="BO69" i="17" s="1"/>
  <c r="BP69" i="17" s="1"/>
  <c r="BQ69" i="17" s="1"/>
  <c r="BR69" i="17" s="1"/>
  <c r="BS69" i="17" s="1"/>
  <c r="BT69" i="17" s="1"/>
  <c r="BU69" i="17" s="1"/>
  <c r="BV69" i="17" s="1"/>
  <c r="BW69" i="17" s="1"/>
  <c r="BX69" i="17" s="1"/>
  <c r="BY69" i="17" s="1"/>
  <c r="BZ69" i="17" s="1"/>
  <c r="CA69" i="17" s="1"/>
  <c r="CB69" i="17" s="1"/>
  <c r="CC69" i="17" s="1"/>
  <c r="CD69" i="17" s="1"/>
  <c r="CE69" i="17" s="1"/>
  <c r="CF69" i="17" s="1"/>
  <c r="CG69" i="17" s="1"/>
  <c r="CH69" i="17" s="1"/>
  <c r="CI69" i="17" s="1"/>
  <c r="CJ69" i="17" s="1"/>
  <c r="CK69" i="17" s="1"/>
  <c r="CL69" i="17" s="1"/>
  <c r="CM69" i="17" s="1"/>
  <c r="CN69" i="17" s="1"/>
  <c r="CO69" i="17" s="1"/>
  <c r="CP69" i="17" s="1"/>
  <c r="CQ69" i="17" s="1"/>
  <c r="CR69" i="17" s="1"/>
  <c r="CS69" i="17" s="1"/>
  <c r="CT69" i="17" s="1"/>
  <c r="CU69" i="17" s="1"/>
  <c r="CV69" i="17" s="1"/>
  <c r="CW69" i="17" s="1"/>
  <c r="CX69" i="17" s="1"/>
  <c r="CY69" i="17" s="1"/>
  <c r="CZ69" i="17" s="1"/>
  <c r="DA69" i="17" s="1"/>
  <c r="DB69" i="17" s="1"/>
  <c r="DC69" i="17" s="1"/>
  <c r="DD69" i="17" s="1"/>
  <c r="DE69" i="17" s="1"/>
  <c r="DF69" i="17" s="1"/>
  <c r="DG69" i="17" s="1"/>
  <c r="DH69" i="17" s="1"/>
  <c r="DI69" i="17" s="1"/>
  <c r="DJ69" i="17" s="1"/>
  <c r="DK69" i="17" s="1"/>
  <c r="DL69" i="17" s="1"/>
  <c r="AA287" i="17"/>
  <c r="AB287" i="17" s="1"/>
  <c r="AC287" i="17" s="1"/>
  <c r="AD287" i="17" s="1"/>
  <c r="AE287" i="17" s="1"/>
  <c r="AF287" i="17" s="1"/>
  <c r="AG287" i="17" s="1"/>
  <c r="AH287" i="17" s="1"/>
  <c r="AI287" i="17" s="1"/>
  <c r="AJ287" i="17" s="1"/>
  <c r="AK287" i="17" s="1"/>
  <c r="AL287" i="17" s="1"/>
  <c r="AM287" i="17" s="1"/>
  <c r="AN287" i="17" s="1"/>
  <c r="AO287" i="17" s="1"/>
  <c r="AP287" i="17" s="1"/>
  <c r="AQ287" i="17" s="1"/>
  <c r="AR287" i="17" s="1"/>
  <c r="AS287" i="17" s="1"/>
  <c r="AT287" i="17" s="1"/>
  <c r="AU287" i="17" s="1"/>
  <c r="AV287" i="17" s="1"/>
  <c r="AW287" i="17" s="1"/>
  <c r="AX287" i="17" s="1"/>
  <c r="AY287" i="17" s="1"/>
  <c r="AZ287" i="17" s="1"/>
  <c r="BA287" i="17" s="1"/>
  <c r="BB287" i="17" s="1"/>
  <c r="BC287" i="17" s="1"/>
  <c r="BD287" i="17" s="1"/>
  <c r="BE287" i="17" s="1"/>
  <c r="BF287" i="17" s="1"/>
  <c r="BG287" i="17" s="1"/>
  <c r="BH287" i="17" s="1"/>
  <c r="BI287" i="17" s="1"/>
  <c r="BJ287" i="17" s="1"/>
  <c r="BK287" i="17" s="1"/>
  <c r="BL287" i="17" s="1"/>
  <c r="BM287" i="17" s="1"/>
  <c r="BN287" i="17" s="1"/>
  <c r="BO287" i="17" s="1"/>
  <c r="BP287" i="17" s="1"/>
  <c r="BQ287" i="17" s="1"/>
  <c r="BR287" i="17" s="1"/>
  <c r="BS287" i="17" s="1"/>
  <c r="BT287" i="17" s="1"/>
  <c r="BU287" i="17" s="1"/>
  <c r="BV287" i="17" s="1"/>
  <c r="BW287" i="17" s="1"/>
  <c r="BX287" i="17" s="1"/>
  <c r="BY287" i="17" s="1"/>
  <c r="BZ287" i="17" s="1"/>
  <c r="CA287" i="17" s="1"/>
  <c r="CB287" i="17" s="1"/>
  <c r="CC287" i="17" s="1"/>
  <c r="CD287" i="17" s="1"/>
  <c r="CE287" i="17" s="1"/>
  <c r="CF287" i="17" s="1"/>
  <c r="CG287" i="17" s="1"/>
  <c r="CH287" i="17" s="1"/>
  <c r="CI287" i="17" s="1"/>
  <c r="CJ287" i="17" s="1"/>
  <c r="CK287" i="17" s="1"/>
  <c r="CL287" i="17" s="1"/>
  <c r="CM287" i="17" s="1"/>
  <c r="CN287" i="17" s="1"/>
  <c r="CO287" i="17" s="1"/>
  <c r="CP287" i="17" s="1"/>
  <c r="CQ287" i="17" s="1"/>
  <c r="CR287" i="17" s="1"/>
  <c r="CS287" i="17" s="1"/>
  <c r="CT287" i="17" s="1"/>
  <c r="CU287" i="17" s="1"/>
  <c r="CV287" i="17" s="1"/>
  <c r="CW287" i="17" s="1"/>
  <c r="CX287" i="17" s="1"/>
  <c r="CY287" i="17" s="1"/>
  <c r="CZ287" i="17" s="1"/>
  <c r="DA287" i="17" s="1"/>
  <c r="DB287" i="17" s="1"/>
  <c r="DC287" i="17" s="1"/>
  <c r="DD287" i="17" s="1"/>
  <c r="DE287" i="17" s="1"/>
  <c r="DF287" i="17" s="1"/>
  <c r="DG287" i="17" s="1"/>
  <c r="DH287" i="17" s="1"/>
  <c r="DI287" i="17" s="1"/>
  <c r="DJ287" i="17" s="1"/>
  <c r="DK287" i="17" s="1"/>
  <c r="DL287" i="17" s="1"/>
  <c r="Y74" i="17"/>
  <c r="Z74" i="17" s="1"/>
  <c r="AA74" i="17" s="1"/>
  <c r="AB74" i="17" s="1"/>
  <c r="AC74" i="17" s="1"/>
  <c r="AD74" i="17" s="1"/>
  <c r="AE74" i="17" s="1"/>
  <c r="AF74" i="17" s="1"/>
  <c r="AG74" i="17" s="1"/>
  <c r="AH74" i="17" s="1"/>
  <c r="AI74" i="17" s="1"/>
  <c r="AJ74" i="17" s="1"/>
  <c r="AK74" i="17" s="1"/>
  <c r="AL74" i="17" s="1"/>
  <c r="AM74" i="17" s="1"/>
  <c r="AN74" i="17" s="1"/>
  <c r="AO74" i="17" s="1"/>
  <c r="AP74" i="17" s="1"/>
  <c r="AQ74" i="17" s="1"/>
  <c r="AR74" i="17" s="1"/>
  <c r="AS74" i="17" s="1"/>
  <c r="AT74" i="17" s="1"/>
  <c r="AU74" i="17" s="1"/>
  <c r="AV74" i="17" s="1"/>
  <c r="AW74" i="17" s="1"/>
  <c r="AX74" i="17" s="1"/>
  <c r="AY74" i="17" s="1"/>
  <c r="AZ74" i="17" s="1"/>
  <c r="BA74" i="17" s="1"/>
  <c r="BB74" i="17" s="1"/>
  <c r="BC74" i="17" s="1"/>
  <c r="BD74" i="17" s="1"/>
  <c r="BE74" i="17" s="1"/>
  <c r="BF74" i="17" s="1"/>
  <c r="BG74" i="17" s="1"/>
  <c r="BH74" i="17" s="1"/>
  <c r="BI74" i="17" s="1"/>
  <c r="BJ74" i="17" s="1"/>
  <c r="BK74" i="17" s="1"/>
  <c r="BL74" i="17" s="1"/>
  <c r="BM74" i="17" s="1"/>
  <c r="BN74" i="17" s="1"/>
  <c r="BO74" i="17" s="1"/>
  <c r="BP74" i="17" s="1"/>
  <c r="BQ74" i="17" s="1"/>
  <c r="BR74" i="17" s="1"/>
  <c r="BS74" i="17" s="1"/>
  <c r="BT74" i="17" s="1"/>
  <c r="BU74" i="17" s="1"/>
  <c r="BV74" i="17" s="1"/>
  <c r="BW74" i="17" s="1"/>
  <c r="BX74" i="17" s="1"/>
  <c r="BY74" i="17" s="1"/>
  <c r="BZ74" i="17" s="1"/>
  <c r="CA74" i="17" s="1"/>
  <c r="CB74" i="17" s="1"/>
  <c r="CC74" i="17" s="1"/>
  <c r="CD74" i="17" s="1"/>
  <c r="CE74" i="17" s="1"/>
  <c r="CF74" i="17" s="1"/>
  <c r="CG74" i="17" s="1"/>
  <c r="CH74" i="17" s="1"/>
  <c r="CI74" i="17" s="1"/>
  <c r="CJ74" i="17" s="1"/>
  <c r="CK74" i="17" s="1"/>
  <c r="CL74" i="17" s="1"/>
  <c r="CM74" i="17" s="1"/>
  <c r="CN74" i="17" s="1"/>
  <c r="CO74" i="17" s="1"/>
  <c r="CP74" i="17" s="1"/>
  <c r="CQ74" i="17" s="1"/>
  <c r="CR74" i="17" s="1"/>
  <c r="CS74" i="17" s="1"/>
  <c r="CT74" i="17" s="1"/>
  <c r="CU74" i="17" s="1"/>
  <c r="CV74" i="17" s="1"/>
  <c r="CW74" i="17" s="1"/>
  <c r="CX74" i="17" s="1"/>
  <c r="CY74" i="17" s="1"/>
  <c r="CZ74" i="17" s="1"/>
  <c r="DA74" i="17" s="1"/>
  <c r="DB74" i="17" s="1"/>
  <c r="DC74" i="17" s="1"/>
  <c r="DD74" i="17" s="1"/>
  <c r="DE74" i="17" s="1"/>
  <c r="DF74" i="17" s="1"/>
  <c r="DG74" i="17" s="1"/>
  <c r="DH74" i="17" s="1"/>
  <c r="DI74" i="17" s="1"/>
  <c r="DJ74" i="17" s="1"/>
  <c r="DK74" i="17" s="1"/>
  <c r="DL74" i="17" s="1"/>
  <c r="Z50" i="17"/>
  <c r="AA50" i="17" s="1"/>
  <c r="AB50" i="17" s="1"/>
  <c r="AC50" i="17" s="1"/>
  <c r="AD50" i="17" s="1"/>
  <c r="AE50" i="17" s="1"/>
  <c r="AF50" i="17" s="1"/>
  <c r="AG50" i="17" s="1"/>
  <c r="AH50" i="17" s="1"/>
  <c r="AI50" i="17" s="1"/>
  <c r="AJ50" i="17" s="1"/>
  <c r="AK50" i="17" s="1"/>
  <c r="AL50" i="17" s="1"/>
  <c r="AM50" i="17" s="1"/>
  <c r="AN50" i="17" s="1"/>
  <c r="AO50" i="17" s="1"/>
  <c r="AP50" i="17" s="1"/>
  <c r="AQ50" i="17" s="1"/>
  <c r="AR50" i="17" s="1"/>
  <c r="AS50" i="17" s="1"/>
  <c r="AT50" i="17" s="1"/>
  <c r="AU50" i="17" s="1"/>
  <c r="AV50" i="17" s="1"/>
  <c r="AW50" i="17" s="1"/>
  <c r="AX50" i="17" s="1"/>
  <c r="AY50" i="17" s="1"/>
  <c r="AZ50" i="17" s="1"/>
  <c r="BA50" i="17" s="1"/>
  <c r="BB50" i="17" s="1"/>
  <c r="BC50" i="17" s="1"/>
  <c r="AO268" i="17"/>
  <c r="AP268" i="17" s="1"/>
  <c r="AQ268" i="17" s="1"/>
  <c r="AR268" i="17" s="1"/>
  <c r="AS268" i="17" s="1"/>
  <c r="AT268" i="17" s="1"/>
  <c r="AU268" i="17" s="1"/>
  <c r="AV268" i="17" s="1"/>
  <c r="AW268" i="17" s="1"/>
  <c r="AX268" i="17" s="1"/>
  <c r="AY268" i="17" s="1"/>
  <c r="AZ268" i="17" s="1"/>
  <c r="BA268" i="17" s="1"/>
  <c r="BB268" i="17" s="1"/>
  <c r="BC268" i="17" s="1"/>
  <c r="BD268" i="17" s="1"/>
  <c r="AB253" i="17"/>
  <c r="AC253" i="17" s="1"/>
  <c r="X290" i="17"/>
  <c r="Y290" i="17" s="1"/>
  <c r="Z290" i="17" s="1"/>
  <c r="AA290" i="17" s="1"/>
  <c r="AB290" i="17" s="1"/>
  <c r="AC290" i="17" s="1"/>
  <c r="AD290" i="17" s="1"/>
  <c r="AE290" i="17" s="1"/>
  <c r="AF290" i="17" s="1"/>
  <c r="AG290" i="17" s="1"/>
  <c r="AH290" i="17" s="1"/>
  <c r="AI290" i="17" s="1"/>
  <c r="AJ290" i="17" s="1"/>
  <c r="AK290" i="17" s="1"/>
  <c r="AL290" i="17" s="1"/>
  <c r="AM290" i="17" s="1"/>
  <c r="AN290" i="17" s="1"/>
  <c r="AO290" i="17" s="1"/>
  <c r="AP290" i="17" s="1"/>
  <c r="AQ290" i="17" s="1"/>
  <c r="AR290" i="17" s="1"/>
  <c r="AS290" i="17" s="1"/>
  <c r="AT290" i="17" s="1"/>
  <c r="AE211" i="17"/>
  <c r="AF211" i="17" s="1"/>
  <c r="AG211" i="17" s="1"/>
  <c r="AH211" i="17" s="1"/>
  <c r="AI211" i="17" s="1"/>
  <c r="AJ211" i="17" s="1"/>
  <c r="AK211" i="17" s="1"/>
  <c r="AL211" i="17" s="1"/>
  <c r="AM211" i="17" s="1"/>
  <c r="AN211" i="17" s="1"/>
  <c r="AO211" i="17" s="1"/>
  <c r="AP211" i="17" s="1"/>
  <c r="AQ211" i="17" s="1"/>
  <c r="AR211" i="17" s="1"/>
  <c r="AS211" i="17" s="1"/>
  <c r="AT211" i="17" s="1"/>
  <c r="AU211" i="17" s="1"/>
  <c r="AV211" i="17" s="1"/>
  <c r="AW211" i="17" s="1"/>
  <c r="AX211" i="17" s="1"/>
  <c r="AY211" i="17" s="1"/>
  <c r="AZ211" i="17" s="1"/>
  <c r="BA211" i="17" s="1"/>
  <c r="BB211" i="17" s="1"/>
  <c r="BC211" i="17" s="1"/>
  <c r="BD211" i="17" s="1"/>
  <c r="BE211" i="17" s="1"/>
  <c r="BF211" i="17" s="1"/>
  <c r="BG211" i="17" s="1"/>
  <c r="BH211" i="17" s="1"/>
  <c r="BI211" i="17" s="1"/>
  <c r="BJ211" i="17" s="1"/>
  <c r="BK211" i="17" s="1"/>
  <c r="BL211" i="17" s="1"/>
  <c r="BM211" i="17" s="1"/>
  <c r="BN211" i="17" s="1"/>
  <c r="BO211" i="17" s="1"/>
  <c r="BP211" i="17" s="1"/>
  <c r="BQ211" i="17" s="1"/>
  <c r="BR211" i="17" s="1"/>
  <c r="BS211" i="17" s="1"/>
  <c r="BT211" i="17" s="1"/>
  <c r="BU211" i="17" s="1"/>
  <c r="BV211" i="17" s="1"/>
  <c r="BW211" i="17" s="1"/>
  <c r="BX211" i="17" s="1"/>
  <c r="BY211" i="17" s="1"/>
  <c r="BZ211" i="17" s="1"/>
  <c r="CA211" i="17" s="1"/>
  <c r="CB211" i="17" s="1"/>
  <c r="CC211" i="17" s="1"/>
  <c r="CD211" i="17" s="1"/>
  <c r="CE211" i="17" s="1"/>
  <c r="CF211" i="17" s="1"/>
  <c r="CG211" i="17" s="1"/>
  <c r="CH211" i="17" s="1"/>
  <c r="CI211" i="17" s="1"/>
  <c r="CJ211" i="17" s="1"/>
  <c r="CK211" i="17" s="1"/>
  <c r="CL211" i="17" s="1"/>
  <c r="CM211" i="17" s="1"/>
  <c r="CN211" i="17" s="1"/>
  <c r="CO211" i="17" s="1"/>
  <c r="CP211" i="17" s="1"/>
  <c r="CQ211" i="17" s="1"/>
  <c r="CR211" i="17" s="1"/>
  <c r="CS211" i="17" s="1"/>
  <c r="CT211" i="17" s="1"/>
  <c r="CU211" i="17" s="1"/>
  <c r="CV211" i="17" s="1"/>
  <c r="CW211" i="17" s="1"/>
  <c r="CX211" i="17" s="1"/>
  <c r="CY211" i="17" s="1"/>
  <c r="CZ211" i="17" s="1"/>
  <c r="DA211" i="17" s="1"/>
  <c r="DB211" i="17" s="1"/>
  <c r="DC211" i="17" s="1"/>
  <c r="DD211" i="17" s="1"/>
  <c r="DE211" i="17" s="1"/>
  <c r="DF211" i="17" s="1"/>
  <c r="DG211" i="17" s="1"/>
  <c r="DH211" i="17" s="1"/>
  <c r="DI211" i="17" s="1"/>
  <c r="DJ211" i="17" s="1"/>
  <c r="DK211" i="17" s="1"/>
  <c r="DL211" i="17" s="1"/>
  <c r="X30" i="17"/>
  <c r="Y30" i="17" s="1"/>
  <c r="Z30" i="17" s="1"/>
  <c r="AA30" i="17" s="1"/>
  <c r="AB30" i="17" s="1"/>
  <c r="AC30" i="17" s="1"/>
  <c r="AD30" i="17" s="1"/>
  <c r="AE30" i="17" s="1"/>
  <c r="AF30" i="17" s="1"/>
  <c r="AG30" i="17" s="1"/>
  <c r="AH30" i="17" s="1"/>
  <c r="AI30" i="17" s="1"/>
  <c r="AJ30" i="17" s="1"/>
  <c r="AK30" i="17" s="1"/>
  <c r="AL30" i="17" s="1"/>
  <c r="AM30" i="17" s="1"/>
  <c r="AN30" i="17" s="1"/>
  <c r="AO30" i="17" s="1"/>
  <c r="AP30" i="17" s="1"/>
  <c r="AQ30" i="17" s="1"/>
  <c r="AR30" i="17" s="1"/>
  <c r="AS30" i="17" s="1"/>
  <c r="AT30" i="17" s="1"/>
  <c r="AU30" i="17" s="1"/>
  <c r="AV30" i="17" s="1"/>
  <c r="AW30" i="17" s="1"/>
  <c r="AX30" i="17" s="1"/>
  <c r="AY30" i="17" s="1"/>
  <c r="AZ30" i="17" s="1"/>
  <c r="BA30" i="17" s="1"/>
  <c r="BB30" i="17" s="1"/>
  <c r="BC30" i="17" s="1"/>
  <c r="BD30" i="17" s="1"/>
  <c r="BE30" i="17" s="1"/>
  <c r="BF30" i="17" s="1"/>
  <c r="BG30" i="17" s="1"/>
  <c r="BH30" i="17" s="1"/>
  <c r="BI30" i="17" s="1"/>
  <c r="BJ30" i="17" s="1"/>
  <c r="BK30" i="17" s="1"/>
  <c r="BL30" i="17" s="1"/>
  <c r="BM30" i="17" s="1"/>
  <c r="BN30" i="17" s="1"/>
  <c r="BO30" i="17" s="1"/>
  <c r="BP30" i="17" s="1"/>
  <c r="BQ30" i="17" s="1"/>
  <c r="BR30" i="17" s="1"/>
  <c r="BS30" i="17" s="1"/>
  <c r="BT30" i="17" s="1"/>
  <c r="BU30" i="17" s="1"/>
  <c r="BV30" i="17" s="1"/>
  <c r="BW30" i="17" s="1"/>
  <c r="BX30" i="17" s="1"/>
  <c r="BY30" i="17" s="1"/>
  <c r="BZ30" i="17" s="1"/>
  <c r="CA30" i="17" s="1"/>
  <c r="CB30" i="17" s="1"/>
  <c r="CC30" i="17" s="1"/>
  <c r="CD30" i="17" s="1"/>
  <c r="CE30" i="17" s="1"/>
  <c r="CF30" i="17" s="1"/>
  <c r="CG30" i="17" s="1"/>
  <c r="CH30" i="17" s="1"/>
  <c r="CI30" i="17" s="1"/>
  <c r="CJ30" i="17" s="1"/>
  <c r="CK30" i="17" s="1"/>
  <c r="CL30" i="17" s="1"/>
  <c r="CM30" i="17" s="1"/>
  <c r="CN30" i="17" s="1"/>
  <c r="CO30" i="17" s="1"/>
  <c r="CP30" i="17" s="1"/>
  <c r="CQ30" i="17" s="1"/>
  <c r="CR30" i="17" s="1"/>
  <c r="CS30" i="17" s="1"/>
  <c r="CT30" i="17" s="1"/>
  <c r="CU30" i="17" s="1"/>
  <c r="CV30" i="17" s="1"/>
  <c r="CW30" i="17" s="1"/>
  <c r="CX30" i="17" s="1"/>
  <c r="CY30" i="17" s="1"/>
  <c r="CZ30" i="17" s="1"/>
  <c r="DA30" i="17" s="1"/>
  <c r="DB30" i="17" s="1"/>
  <c r="DC30" i="17" s="1"/>
  <c r="DD30" i="17" s="1"/>
  <c r="DE30" i="17" s="1"/>
  <c r="DF30" i="17" s="1"/>
  <c r="DG30" i="17" s="1"/>
  <c r="DH30" i="17" s="1"/>
  <c r="DI30" i="17" s="1"/>
  <c r="DJ30" i="17" s="1"/>
  <c r="DK30" i="17" s="1"/>
  <c r="DL30" i="17" s="1"/>
  <c r="Y162" i="17"/>
  <c r="Z162" i="17" s="1"/>
  <c r="AA162" i="17" s="1"/>
  <c r="AB162" i="17" s="1"/>
  <c r="AC162" i="17" s="1"/>
  <c r="AD162" i="17" s="1"/>
  <c r="AE162" i="17" s="1"/>
  <c r="AF162" i="17" s="1"/>
  <c r="AG162" i="17" s="1"/>
  <c r="AH162" i="17" s="1"/>
  <c r="AI162" i="17" s="1"/>
  <c r="AJ162" i="17" s="1"/>
  <c r="AK162" i="17" s="1"/>
  <c r="AL162" i="17" s="1"/>
  <c r="AM162" i="17" s="1"/>
  <c r="AN162" i="17" s="1"/>
  <c r="AO162" i="17" s="1"/>
  <c r="AP162" i="17" s="1"/>
  <c r="AQ162" i="17" s="1"/>
  <c r="AR162" i="17" s="1"/>
  <c r="AS162" i="17" s="1"/>
  <c r="AT162" i="17" s="1"/>
  <c r="AU162" i="17" s="1"/>
  <c r="AV162" i="17" s="1"/>
  <c r="AW162" i="17" s="1"/>
  <c r="AX162" i="17" s="1"/>
  <c r="AY162" i="17" s="1"/>
  <c r="AZ162" i="17" s="1"/>
  <c r="BA162" i="17" s="1"/>
  <c r="BB162" i="17" s="1"/>
  <c r="BC162" i="17" s="1"/>
  <c r="BD162" i="17" s="1"/>
  <c r="BE162" i="17" s="1"/>
  <c r="BF162" i="17" s="1"/>
  <c r="BG162" i="17" s="1"/>
  <c r="BH162" i="17" s="1"/>
  <c r="BI162" i="17" s="1"/>
  <c r="BJ162" i="17" s="1"/>
  <c r="BK162" i="17" s="1"/>
  <c r="BL162" i="17" s="1"/>
  <c r="BM162" i="17" s="1"/>
  <c r="BN162" i="17" s="1"/>
  <c r="BO162" i="17" s="1"/>
  <c r="BP162" i="17" s="1"/>
  <c r="BQ162" i="17" s="1"/>
  <c r="BR162" i="17" s="1"/>
  <c r="BS162" i="17" s="1"/>
  <c r="BT162" i="17" s="1"/>
  <c r="BU162" i="17" s="1"/>
  <c r="BV162" i="17" s="1"/>
  <c r="BW162" i="17" s="1"/>
  <c r="BX162" i="17" s="1"/>
  <c r="BY162" i="17" s="1"/>
  <c r="BZ162" i="17" s="1"/>
  <c r="CA162" i="17" s="1"/>
  <c r="CB162" i="17" s="1"/>
  <c r="CC162" i="17" s="1"/>
  <c r="CD162" i="17" s="1"/>
  <c r="CE162" i="17" s="1"/>
  <c r="CF162" i="17" s="1"/>
  <c r="CG162" i="17" s="1"/>
  <c r="CH162" i="17" s="1"/>
  <c r="CI162" i="17" s="1"/>
  <c r="CJ162" i="17" s="1"/>
  <c r="CK162" i="17" s="1"/>
  <c r="CL162" i="17" s="1"/>
  <c r="CM162" i="17" s="1"/>
  <c r="CN162" i="17" s="1"/>
  <c r="CO162" i="17" s="1"/>
  <c r="CP162" i="17" s="1"/>
  <c r="CQ162" i="17" s="1"/>
  <c r="CR162" i="17" s="1"/>
  <c r="CS162" i="17" s="1"/>
  <c r="CT162" i="17" s="1"/>
  <c r="CU162" i="17" s="1"/>
  <c r="CV162" i="17" s="1"/>
  <c r="CW162" i="17" s="1"/>
  <c r="CX162" i="17" s="1"/>
  <c r="CY162" i="17" s="1"/>
  <c r="CZ162" i="17" s="1"/>
  <c r="DA162" i="17" s="1"/>
  <c r="DB162" i="17" s="1"/>
  <c r="DC162" i="17" s="1"/>
  <c r="DD162" i="17" s="1"/>
  <c r="DE162" i="17" s="1"/>
  <c r="DF162" i="17" s="1"/>
  <c r="DG162" i="17" s="1"/>
  <c r="DH162" i="17" s="1"/>
  <c r="DI162" i="17" s="1"/>
  <c r="DJ162" i="17" s="1"/>
  <c r="DK162" i="17" s="1"/>
  <c r="DL162" i="17" s="1"/>
  <c r="Z261" i="17"/>
  <c r="AA261" i="17" s="1"/>
  <c r="AB261" i="17" s="1"/>
  <c r="AC261" i="17" s="1"/>
  <c r="AD261" i="17" s="1"/>
  <c r="AE261" i="17" s="1"/>
  <c r="AF261" i="17" s="1"/>
  <c r="AG261" i="17" s="1"/>
  <c r="AH261" i="17" s="1"/>
  <c r="AI261" i="17" s="1"/>
  <c r="AJ261" i="17" s="1"/>
  <c r="AK261" i="17" s="1"/>
  <c r="AL261" i="17" s="1"/>
  <c r="AM261" i="17" s="1"/>
  <c r="AN261" i="17" s="1"/>
  <c r="AO261" i="17" s="1"/>
  <c r="AP261" i="17" s="1"/>
  <c r="AQ261" i="17" s="1"/>
  <c r="AR261" i="17" s="1"/>
  <c r="AS261" i="17" s="1"/>
  <c r="AT261" i="17" s="1"/>
  <c r="AU261" i="17" s="1"/>
  <c r="AV261" i="17" s="1"/>
  <c r="AW261" i="17" s="1"/>
  <c r="AX261" i="17" s="1"/>
  <c r="AY261" i="17" s="1"/>
  <c r="AZ261" i="17" s="1"/>
  <c r="BA261" i="17" s="1"/>
  <c r="BB261" i="17" s="1"/>
  <c r="BC261" i="17" s="1"/>
  <c r="BD261" i="17" s="1"/>
  <c r="BE261" i="17" s="1"/>
  <c r="BF261" i="17" s="1"/>
  <c r="BG261" i="17" s="1"/>
  <c r="BH261" i="17" s="1"/>
  <c r="BI261" i="17" s="1"/>
  <c r="BJ261" i="17" s="1"/>
  <c r="BK261" i="17" s="1"/>
  <c r="BL261" i="17" s="1"/>
  <c r="BM261" i="17" s="1"/>
  <c r="BN261" i="17" s="1"/>
  <c r="BO261" i="17" s="1"/>
  <c r="BP261" i="17" s="1"/>
  <c r="BQ261" i="17" s="1"/>
  <c r="BR261" i="17" s="1"/>
  <c r="BS261" i="17" s="1"/>
  <c r="BT261" i="17" s="1"/>
  <c r="BU261" i="17" s="1"/>
  <c r="BV261" i="17" s="1"/>
  <c r="BW261" i="17" s="1"/>
  <c r="BX261" i="17" s="1"/>
  <c r="BY261" i="17" s="1"/>
  <c r="BZ261" i="17" s="1"/>
  <c r="CA261" i="17" s="1"/>
  <c r="CB261" i="17" s="1"/>
  <c r="CC261" i="17" s="1"/>
  <c r="CD261" i="17" s="1"/>
  <c r="CE261" i="17" s="1"/>
  <c r="CF261" i="17" s="1"/>
  <c r="CG261" i="17" s="1"/>
  <c r="CH261" i="17" s="1"/>
  <c r="CI261" i="17" s="1"/>
  <c r="CJ261" i="17" s="1"/>
  <c r="CK261" i="17" s="1"/>
  <c r="CL261" i="17" s="1"/>
  <c r="CM261" i="17" s="1"/>
  <c r="CN261" i="17" s="1"/>
  <c r="CO261" i="17" s="1"/>
  <c r="CP261" i="17" s="1"/>
  <c r="CQ261" i="17" s="1"/>
  <c r="CR261" i="17" s="1"/>
  <c r="CS261" i="17" s="1"/>
  <c r="CT261" i="17" s="1"/>
  <c r="CU261" i="17" s="1"/>
  <c r="CV261" i="17" s="1"/>
  <c r="CW261" i="17" s="1"/>
  <c r="CX261" i="17" s="1"/>
  <c r="CY261" i="17" s="1"/>
  <c r="CZ261" i="17" s="1"/>
  <c r="DA261" i="17" s="1"/>
  <c r="DB261" i="17" s="1"/>
  <c r="DC261" i="17" s="1"/>
  <c r="DD261" i="17" s="1"/>
  <c r="DE261" i="17" s="1"/>
  <c r="DF261" i="17" s="1"/>
  <c r="DG261" i="17" s="1"/>
  <c r="DH261" i="17" s="1"/>
  <c r="DI261" i="17" s="1"/>
  <c r="DJ261" i="17" s="1"/>
  <c r="DK261" i="17" s="1"/>
  <c r="DL261" i="17" s="1"/>
  <c r="AB243" i="17"/>
  <c r="AC243" i="17" s="1"/>
  <c r="AD243" i="17" s="1"/>
  <c r="AE243" i="17" s="1"/>
  <c r="AF243" i="17" s="1"/>
  <c r="AG243" i="17" s="1"/>
  <c r="AH243" i="17" s="1"/>
  <c r="AI243" i="17" s="1"/>
  <c r="AJ243" i="17" s="1"/>
  <c r="AK243" i="17" s="1"/>
  <c r="AL243" i="17" s="1"/>
  <c r="AM243" i="17" s="1"/>
  <c r="AN243" i="17" s="1"/>
  <c r="AO243" i="17" s="1"/>
  <c r="AP243" i="17" s="1"/>
  <c r="AQ243" i="17" s="1"/>
  <c r="AR243" i="17" s="1"/>
  <c r="AS243" i="17" s="1"/>
  <c r="AT243" i="17" s="1"/>
  <c r="AU243" i="17" s="1"/>
  <c r="AV243" i="17" s="1"/>
  <c r="AW243" i="17" s="1"/>
  <c r="AX243" i="17" s="1"/>
  <c r="AY243" i="17" s="1"/>
  <c r="AZ243" i="17" s="1"/>
  <c r="BA243" i="17" s="1"/>
  <c r="BB243" i="17" s="1"/>
  <c r="BC243" i="17" s="1"/>
  <c r="BD243" i="17" s="1"/>
  <c r="BE243" i="17" s="1"/>
  <c r="BF243" i="17" s="1"/>
  <c r="BG243" i="17" s="1"/>
  <c r="BH243" i="17" s="1"/>
  <c r="BI243" i="17" s="1"/>
  <c r="BJ243" i="17" s="1"/>
  <c r="BK243" i="17" s="1"/>
  <c r="BL243" i="17" s="1"/>
  <c r="BM243" i="17" s="1"/>
  <c r="BN243" i="17" s="1"/>
  <c r="BO243" i="17" s="1"/>
  <c r="BP243" i="17" s="1"/>
  <c r="BQ243" i="17" s="1"/>
  <c r="BR243" i="17" s="1"/>
  <c r="BS243" i="17" s="1"/>
  <c r="BT243" i="17" s="1"/>
  <c r="BU243" i="17" s="1"/>
  <c r="BV243" i="17" s="1"/>
  <c r="BW243" i="17" s="1"/>
  <c r="BX243" i="17" s="1"/>
  <c r="BY243" i="17" s="1"/>
  <c r="BZ243" i="17" s="1"/>
  <c r="CA243" i="17" s="1"/>
  <c r="CB243" i="17" s="1"/>
  <c r="CC243" i="17" s="1"/>
  <c r="CD243" i="17" s="1"/>
  <c r="CE243" i="17" s="1"/>
  <c r="CF243" i="17" s="1"/>
  <c r="CG243" i="17" s="1"/>
  <c r="CH243" i="17" s="1"/>
  <c r="CI243" i="17" s="1"/>
  <c r="CJ243" i="17" s="1"/>
  <c r="CK243" i="17" s="1"/>
  <c r="CL243" i="17" s="1"/>
  <c r="CM243" i="17" s="1"/>
  <c r="CN243" i="17" s="1"/>
  <c r="CO243" i="17" s="1"/>
  <c r="CP243" i="17" s="1"/>
  <c r="CQ243" i="17" s="1"/>
  <c r="CR243" i="17" s="1"/>
  <c r="CS243" i="17" s="1"/>
  <c r="CT243" i="17" s="1"/>
  <c r="CU243" i="17" s="1"/>
  <c r="CV243" i="17" s="1"/>
  <c r="CW243" i="17" s="1"/>
  <c r="CX243" i="17" s="1"/>
  <c r="CY243" i="17" s="1"/>
  <c r="CZ243" i="17" s="1"/>
  <c r="DA243" i="17" s="1"/>
  <c r="DB243" i="17" s="1"/>
  <c r="DC243" i="17" s="1"/>
  <c r="DD243" i="17" s="1"/>
  <c r="DE243" i="17" s="1"/>
  <c r="DF243" i="17" s="1"/>
  <c r="DG243" i="17" s="1"/>
  <c r="DH243" i="17" s="1"/>
  <c r="DI243" i="17" s="1"/>
  <c r="DJ243" i="17" s="1"/>
  <c r="DK243" i="17" s="1"/>
  <c r="DL243" i="17" s="1"/>
  <c r="CJ84" i="17"/>
  <c r="CK84" i="17" s="1"/>
  <c r="CL84" i="17" s="1"/>
  <c r="CM84" i="17" s="1"/>
  <c r="CN84" i="17" s="1"/>
  <c r="CO84" i="17" s="1"/>
  <c r="CP84" i="17" s="1"/>
  <c r="CQ84" i="17" s="1"/>
  <c r="CR84" i="17" s="1"/>
  <c r="CS84" i="17" s="1"/>
  <c r="CT84" i="17" s="1"/>
  <c r="CU84" i="17" s="1"/>
  <c r="CV84" i="17" s="1"/>
  <c r="CW84" i="17" s="1"/>
  <c r="CX84" i="17" s="1"/>
  <c r="CY84" i="17" s="1"/>
  <c r="CZ84" i="17" s="1"/>
  <c r="DA84" i="17" s="1"/>
  <c r="DB84" i="17" s="1"/>
  <c r="DC84" i="17" s="1"/>
  <c r="DD84" i="17" s="1"/>
  <c r="DE84" i="17" s="1"/>
  <c r="DF84" i="17" s="1"/>
  <c r="DG84" i="17" s="1"/>
  <c r="DH84" i="17" s="1"/>
  <c r="DI84" i="17" s="1"/>
  <c r="DJ84" i="17" s="1"/>
  <c r="DK84" i="17" s="1"/>
  <c r="DL84" i="17" s="1"/>
  <c r="Y181" i="17"/>
  <c r="Z181" i="17" s="1"/>
  <c r="AA181" i="17" s="1"/>
  <c r="AB181" i="17" s="1"/>
  <c r="AC181" i="17" s="1"/>
  <c r="AD181" i="17" s="1"/>
  <c r="AE181" i="17" s="1"/>
  <c r="AF181" i="17" s="1"/>
  <c r="AG181" i="17" s="1"/>
  <c r="AH181" i="17" s="1"/>
  <c r="AI181" i="17" s="1"/>
  <c r="AJ181" i="17" s="1"/>
  <c r="AK181" i="17" s="1"/>
  <c r="AL181" i="17" s="1"/>
  <c r="AM181" i="17" s="1"/>
  <c r="AN181" i="17" s="1"/>
  <c r="AO181" i="17" s="1"/>
  <c r="AP181" i="17" s="1"/>
  <c r="AQ181" i="17" s="1"/>
  <c r="AR181" i="17" s="1"/>
  <c r="AS181" i="17" s="1"/>
  <c r="AT181" i="17" s="1"/>
  <c r="AU181" i="17" s="1"/>
  <c r="AV181" i="17" s="1"/>
  <c r="AW181" i="17" s="1"/>
  <c r="AX181" i="17" s="1"/>
  <c r="AY181" i="17" s="1"/>
  <c r="AZ181" i="17" s="1"/>
  <c r="BA181" i="17" s="1"/>
  <c r="BB181" i="17" s="1"/>
  <c r="BC181" i="17" s="1"/>
  <c r="BD181" i="17" s="1"/>
  <c r="BE181" i="17" s="1"/>
  <c r="BF181" i="17" s="1"/>
  <c r="BG181" i="17" s="1"/>
  <c r="BH181" i="17" s="1"/>
  <c r="BI181" i="17" s="1"/>
  <c r="BJ181" i="17" s="1"/>
  <c r="BK181" i="17" s="1"/>
  <c r="BL181" i="17" s="1"/>
  <c r="BM181" i="17" s="1"/>
  <c r="BN181" i="17" s="1"/>
  <c r="BO181" i="17" s="1"/>
  <c r="BP181" i="17" s="1"/>
  <c r="BQ181" i="17" s="1"/>
  <c r="BR181" i="17" s="1"/>
  <c r="BS181" i="17" s="1"/>
  <c r="BT181" i="17" s="1"/>
  <c r="BU181" i="17" s="1"/>
  <c r="BV181" i="17" s="1"/>
  <c r="BW181" i="17" s="1"/>
  <c r="BX181" i="17" s="1"/>
  <c r="BY181" i="17" s="1"/>
  <c r="BZ181" i="17" s="1"/>
  <c r="CA181" i="17" s="1"/>
  <c r="CB181" i="17" s="1"/>
  <c r="CC181" i="17" s="1"/>
  <c r="CD181" i="17" s="1"/>
  <c r="CE181" i="17" s="1"/>
  <c r="CF181" i="17" s="1"/>
  <c r="CG181" i="17" s="1"/>
  <c r="CH181" i="17" s="1"/>
  <c r="CI181" i="17" s="1"/>
  <c r="CJ181" i="17" s="1"/>
  <c r="CK181" i="17" s="1"/>
  <c r="CL181" i="17" s="1"/>
  <c r="CM181" i="17" s="1"/>
  <c r="CN181" i="17" s="1"/>
  <c r="CO181" i="17" s="1"/>
  <c r="CP181" i="17" s="1"/>
  <c r="CQ181" i="17" s="1"/>
  <c r="CR181" i="17" s="1"/>
  <c r="CS181" i="17" s="1"/>
  <c r="CT181" i="17" s="1"/>
  <c r="CU181" i="17" s="1"/>
  <c r="CV181" i="17" s="1"/>
  <c r="CW181" i="17" s="1"/>
  <c r="CX181" i="17" s="1"/>
  <c r="CY181" i="17" s="1"/>
  <c r="CZ181" i="17" s="1"/>
  <c r="DA181" i="17" s="1"/>
  <c r="DB181" i="17" s="1"/>
  <c r="DC181" i="17" s="1"/>
  <c r="DD181" i="17" s="1"/>
  <c r="DE181" i="17" s="1"/>
  <c r="DF181" i="17" s="1"/>
  <c r="DG181" i="17" s="1"/>
  <c r="DH181" i="17" s="1"/>
  <c r="DI181" i="17" s="1"/>
  <c r="DJ181" i="17" s="1"/>
  <c r="DK181" i="17" s="1"/>
  <c r="DL181" i="17" s="1"/>
  <c r="AB113" i="17"/>
  <c r="AC113" i="17" s="1"/>
  <c r="AD113" i="17" s="1"/>
  <c r="AE113" i="17" s="1"/>
  <c r="AF113" i="17" s="1"/>
  <c r="AG113" i="17" s="1"/>
  <c r="AH113" i="17" s="1"/>
  <c r="AI113" i="17" s="1"/>
  <c r="AJ113" i="17" s="1"/>
  <c r="AK113" i="17" s="1"/>
  <c r="AL113" i="17" s="1"/>
  <c r="AM113" i="17" s="1"/>
  <c r="AN113" i="17" s="1"/>
  <c r="AO113" i="17" s="1"/>
  <c r="AP113" i="17" s="1"/>
  <c r="AQ113" i="17" s="1"/>
  <c r="AR113" i="17" s="1"/>
  <c r="AS113" i="17" s="1"/>
  <c r="X16" i="17"/>
  <c r="Y16" i="17" s="1"/>
  <c r="Z16" i="17" s="1"/>
  <c r="AA16" i="17" s="1"/>
  <c r="AB16" i="17" s="1"/>
  <c r="AC16" i="17" s="1"/>
  <c r="AD16" i="17" s="1"/>
  <c r="AE16" i="17" s="1"/>
  <c r="AF16" i="17" s="1"/>
  <c r="AG16" i="17" s="1"/>
  <c r="AH16" i="17" s="1"/>
  <c r="AI16" i="17" s="1"/>
  <c r="AJ16" i="17" s="1"/>
  <c r="AK16" i="17" s="1"/>
  <c r="AL16" i="17" s="1"/>
  <c r="AM16" i="17" s="1"/>
  <c r="AN16" i="17" s="1"/>
  <c r="AO16" i="17" s="1"/>
  <c r="AP16" i="17" s="1"/>
  <c r="AQ16" i="17" s="1"/>
  <c r="AR16" i="17" s="1"/>
  <c r="AS16" i="17" s="1"/>
  <c r="AT16" i="17" s="1"/>
  <c r="AU16" i="17" s="1"/>
  <c r="AV16" i="17" s="1"/>
  <c r="AW16" i="17" s="1"/>
  <c r="AX16" i="17" s="1"/>
  <c r="AY16" i="17" s="1"/>
  <c r="AZ16" i="17" s="1"/>
  <c r="BA16" i="17" s="1"/>
  <c r="BB16" i="17" s="1"/>
  <c r="BC16" i="17" s="1"/>
  <c r="BD16" i="17" s="1"/>
  <c r="BE16" i="17" s="1"/>
  <c r="BF16" i="17" s="1"/>
  <c r="BG16" i="17" s="1"/>
  <c r="BH16" i="17" s="1"/>
  <c r="BI16" i="17" s="1"/>
  <c r="BJ16" i="17" s="1"/>
  <c r="BK16" i="17" s="1"/>
  <c r="BL16" i="17" s="1"/>
  <c r="BM16" i="17" s="1"/>
  <c r="BN16" i="17" s="1"/>
  <c r="BO16" i="17" s="1"/>
  <c r="BP16" i="17" s="1"/>
  <c r="BQ16" i="17" s="1"/>
  <c r="BR16" i="17" s="1"/>
  <c r="BS16" i="17" s="1"/>
  <c r="BT16" i="17" s="1"/>
  <c r="BU16" i="17" s="1"/>
  <c r="BV16" i="17" s="1"/>
  <c r="BW16" i="17" s="1"/>
  <c r="BX16" i="17" s="1"/>
  <c r="BY16" i="17" s="1"/>
  <c r="BZ16" i="17" s="1"/>
  <c r="CA16" i="17" s="1"/>
  <c r="CB16" i="17" s="1"/>
  <c r="CC16" i="17" s="1"/>
  <c r="CD16" i="17" s="1"/>
  <c r="CE16" i="17" s="1"/>
  <c r="CF16" i="17" s="1"/>
  <c r="CG16" i="17" s="1"/>
  <c r="CH16" i="17" s="1"/>
  <c r="CI16" i="17" s="1"/>
  <c r="CJ16" i="17" s="1"/>
  <c r="CK16" i="17" s="1"/>
  <c r="CL16" i="17" s="1"/>
  <c r="CM16" i="17" s="1"/>
  <c r="CN16" i="17" s="1"/>
  <c r="CO16" i="17" s="1"/>
  <c r="CP16" i="17" s="1"/>
  <c r="CQ16" i="17" s="1"/>
  <c r="CR16" i="17" s="1"/>
  <c r="CS16" i="17" s="1"/>
  <c r="CT16" i="17" s="1"/>
  <c r="CU16" i="17" s="1"/>
  <c r="CV16" i="17" s="1"/>
  <c r="CW16" i="17" s="1"/>
  <c r="CX16" i="17" s="1"/>
  <c r="CY16" i="17" s="1"/>
  <c r="CZ16" i="17" s="1"/>
  <c r="DA16" i="17" s="1"/>
  <c r="DB16" i="17" s="1"/>
  <c r="DC16" i="17" s="1"/>
  <c r="DD16" i="17" s="1"/>
  <c r="DE16" i="17" s="1"/>
  <c r="DF16" i="17" s="1"/>
  <c r="DG16" i="17" s="1"/>
  <c r="DH16" i="17" s="1"/>
  <c r="DI16" i="17" s="1"/>
  <c r="DJ16" i="17" s="1"/>
  <c r="DK16" i="17" s="1"/>
  <c r="DL16" i="17" s="1"/>
  <c r="AB223" i="17"/>
  <c r="AC223" i="17" s="1"/>
  <c r="AD223" i="17" s="1"/>
  <c r="AE223" i="17" s="1"/>
  <c r="AF223" i="17" s="1"/>
  <c r="AG223" i="17" s="1"/>
  <c r="AH223" i="17" s="1"/>
  <c r="AI223" i="17" s="1"/>
  <c r="AJ223" i="17" s="1"/>
  <c r="AK223" i="17" s="1"/>
  <c r="AL223" i="17" s="1"/>
  <c r="Y35" i="17"/>
  <c r="Z35" i="17" s="1"/>
  <c r="AA35" i="17" s="1"/>
  <c r="AB35" i="17" s="1"/>
  <c r="AC35" i="17" s="1"/>
  <c r="AD35" i="17" s="1"/>
  <c r="AE35" i="17" s="1"/>
  <c r="AF35" i="17" s="1"/>
  <c r="AG35" i="17" s="1"/>
  <c r="AH35" i="17" s="1"/>
  <c r="AI35" i="17" s="1"/>
  <c r="AJ35" i="17" s="1"/>
  <c r="AK35" i="17" s="1"/>
  <c r="AL35" i="17" s="1"/>
  <c r="AM35" i="17" s="1"/>
  <c r="AN35" i="17" s="1"/>
  <c r="AO35" i="17" s="1"/>
  <c r="AP35" i="17" s="1"/>
  <c r="AQ35" i="17" s="1"/>
  <c r="AR35" i="17" s="1"/>
  <c r="AS35" i="17" s="1"/>
  <c r="AT35" i="17" s="1"/>
  <c r="AU35" i="17" s="1"/>
  <c r="AV35" i="17" s="1"/>
  <c r="AW35" i="17" s="1"/>
  <c r="AX35" i="17" s="1"/>
  <c r="AY35" i="17" s="1"/>
  <c r="AZ35" i="17" s="1"/>
  <c r="BA35" i="17" s="1"/>
  <c r="BB35" i="17" s="1"/>
  <c r="BC35" i="17" s="1"/>
  <c r="BD35" i="17" s="1"/>
  <c r="BE35" i="17" s="1"/>
  <c r="BF35" i="17" s="1"/>
  <c r="BG35" i="17" s="1"/>
  <c r="BH35" i="17" s="1"/>
  <c r="BI35" i="17" s="1"/>
  <c r="BJ35" i="17" s="1"/>
  <c r="BK35" i="17" s="1"/>
  <c r="BL35" i="17" s="1"/>
  <c r="BM35" i="17" s="1"/>
  <c r="BN35" i="17" s="1"/>
  <c r="BO35" i="17" s="1"/>
  <c r="BP35" i="17" s="1"/>
  <c r="BQ35" i="17" s="1"/>
  <c r="BR35" i="17" s="1"/>
  <c r="BS35" i="17" s="1"/>
  <c r="BT35" i="17" s="1"/>
  <c r="BU35" i="17" s="1"/>
  <c r="BV35" i="17" s="1"/>
  <c r="BW35" i="17" s="1"/>
  <c r="BX35" i="17" s="1"/>
  <c r="BY35" i="17" s="1"/>
  <c r="BZ35" i="17" s="1"/>
  <c r="CA35" i="17" s="1"/>
  <c r="CB35" i="17" s="1"/>
  <c r="CC35" i="17" s="1"/>
  <c r="CD35" i="17" s="1"/>
  <c r="CE35" i="17" s="1"/>
  <c r="CF35" i="17" s="1"/>
  <c r="CG35" i="17" s="1"/>
  <c r="CH35" i="17" s="1"/>
  <c r="CI35" i="17" s="1"/>
  <c r="CJ35" i="17" s="1"/>
  <c r="CK35" i="17" s="1"/>
  <c r="CL35" i="17" s="1"/>
  <c r="CM35" i="17" s="1"/>
  <c r="CN35" i="17" s="1"/>
  <c r="CO35" i="17" s="1"/>
  <c r="CP35" i="17" s="1"/>
  <c r="CQ35" i="17" s="1"/>
  <c r="CR35" i="17" s="1"/>
  <c r="CS35" i="17" s="1"/>
  <c r="CT35" i="17" s="1"/>
  <c r="CU35" i="17" s="1"/>
  <c r="CV35" i="17" s="1"/>
  <c r="CW35" i="17" s="1"/>
  <c r="CX35" i="17" s="1"/>
  <c r="CY35" i="17" s="1"/>
  <c r="CZ35" i="17" s="1"/>
  <c r="DA35" i="17" s="1"/>
  <c r="DB35" i="17" s="1"/>
  <c r="DC35" i="17" s="1"/>
  <c r="DD35" i="17" s="1"/>
  <c r="DE35" i="17" s="1"/>
  <c r="DF35" i="17" s="1"/>
  <c r="DG35" i="17" s="1"/>
  <c r="DH35" i="17" s="1"/>
  <c r="DI35" i="17" s="1"/>
  <c r="DJ35" i="17" s="1"/>
  <c r="DK35" i="17" s="1"/>
  <c r="DL35" i="17" s="1"/>
  <c r="AG131" i="17" l="1"/>
  <c r="AH131" i="17" s="1"/>
  <c r="AI131" i="17" s="1"/>
  <c r="AJ131" i="17" s="1"/>
  <c r="AK131" i="17" s="1"/>
  <c r="AL131" i="17" s="1"/>
  <c r="AM131" i="17" s="1"/>
  <c r="AN131" i="17" s="1"/>
  <c r="AO131" i="17" s="1"/>
  <c r="AP131" i="17" s="1"/>
  <c r="AQ131" i="17" s="1"/>
  <c r="AR131" i="17" s="1"/>
  <c r="AS131" i="17" s="1"/>
  <c r="AT131" i="17" s="1"/>
  <c r="AU131" i="17" s="1"/>
  <c r="AV131" i="17" s="1"/>
  <c r="AW131" i="17" s="1"/>
  <c r="AX131" i="17" s="1"/>
  <c r="AY131" i="17" s="1"/>
  <c r="AZ131" i="17" s="1"/>
  <c r="BA131" i="17" s="1"/>
  <c r="BB131" i="17" s="1"/>
  <c r="BC131" i="17" s="1"/>
  <c r="BD131" i="17" s="1"/>
  <c r="BE131" i="17" s="1"/>
  <c r="BF131" i="17" s="1"/>
  <c r="BG131" i="17" s="1"/>
  <c r="BH131" i="17" s="1"/>
  <c r="BI131" i="17" s="1"/>
  <c r="BJ131" i="17" s="1"/>
  <c r="BK131" i="17" s="1"/>
  <c r="BL131" i="17" s="1"/>
  <c r="BM131" i="17" s="1"/>
  <c r="BN131" i="17" s="1"/>
  <c r="BO131" i="17" s="1"/>
  <c r="BP131" i="17" s="1"/>
  <c r="BQ131" i="17" s="1"/>
  <c r="BR131" i="17" s="1"/>
  <c r="BS131" i="17" s="1"/>
  <c r="BT131" i="17" s="1"/>
  <c r="BU131" i="17" s="1"/>
  <c r="BV131" i="17" s="1"/>
  <c r="BW131" i="17" s="1"/>
  <c r="BX131" i="17" s="1"/>
  <c r="BY131" i="17" s="1"/>
  <c r="BZ131" i="17" s="1"/>
  <c r="CA131" i="17" s="1"/>
  <c r="CB131" i="17" s="1"/>
  <c r="CC131" i="17" s="1"/>
  <c r="CD131" i="17" s="1"/>
  <c r="CE131" i="17" s="1"/>
  <c r="CF131" i="17" s="1"/>
  <c r="CG131" i="17" s="1"/>
  <c r="CH131" i="17" s="1"/>
  <c r="CI131" i="17" s="1"/>
  <c r="CJ131" i="17" s="1"/>
  <c r="CK131" i="17" s="1"/>
  <c r="CL131" i="17" s="1"/>
  <c r="CM131" i="17" s="1"/>
  <c r="CN131" i="17" s="1"/>
  <c r="CO131" i="17" s="1"/>
  <c r="CP131" i="17" s="1"/>
  <c r="CQ131" i="17" s="1"/>
  <c r="CR131" i="17" s="1"/>
  <c r="CS131" i="17" s="1"/>
  <c r="CT131" i="17" s="1"/>
  <c r="CU131" i="17" s="1"/>
  <c r="CV131" i="17" s="1"/>
  <c r="CW131" i="17" s="1"/>
  <c r="CX131" i="17" s="1"/>
  <c r="CY131" i="17" s="1"/>
  <c r="CZ131" i="17" s="1"/>
  <c r="DA131" i="17" s="1"/>
  <c r="DB131" i="17" s="1"/>
  <c r="DC131" i="17" s="1"/>
  <c r="DD131" i="17" s="1"/>
  <c r="DE131" i="17" s="1"/>
  <c r="DF131" i="17" s="1"/>
  <c r="DG131" i="17" s="1"/>
  <c r="DH131" i="17" s="1"/>
  <c r="DI131" i="17" s="1"/>
  <c r="DJ131" i="17" s="1"/>
  <c r="DK131" i="17" s="1"/>
  <c r="DL131" i="17" s="1"/>
  <c r="AR299" i="17"/>
  <c r="AS299" i="17" s="1"/>
  <c r="AT299" i="17" s="1"/>
  <c r="AU299" i="17" s="1"/>
  <c r="AV299" i="17" s="1"/>
  <c r="AW299" i="17" s="1"/>
  <c r="AX299" i="17" s="1"/>
  <c r="AY299" i="17" s="1"/>
  <c r="AZ299" i="17" s="1"/>
  <c r="BA299" i="17" s="1"/>
  <c r="BB299" i="17" s="1"/>
  <c r="BC299" i="17" s="1"/>
  <c r="BD299" i="17" s="1"/>
  <c r="BE299" i="17" s="1"/>
  <c r="BF299" i="17" s="1"/>
  <c r="BG299" i="17" s="1"/>
  <c r="BH299" i="17" s="1"/>
  <c r="BI299" i="17" s="1"/>
  <c r="BJ299" i="17" s="1"/>
  <c r="BK299" i="17" s="1"/>
  <c r="BL299" i="17" s="1"/>
  <c r="BM299" i="17" s="1"/>
  <c r="BN299" i="17" s="1"/>
  <c r="BO299" i="17" s="1"/>
  <c r="BP299" i="17" s="1"/>
  <c r="BQ299" i="17" s="1"/>
  <c r="BR299" i="17" s="1"/>
  <c r="BS299" i="17" s="1"/>
  <c r="BT299" i="17" s="1"/>
  <c r="BU299" i="17" s="1"/>
  <c r="BV299" i="17" s="1"/>
  <c r="BW299" i="17" s="1"/>
  <c r="BX299" i="17" s="1"/>
  <c r="BY299" i="17" s="1"/>
  <c r="BZ299" i="17" s="1"/>
  <c r="CA299" i="17" s="1"/>
  <c r="CB299" i="17" s="1"/>
  <c r="CC299" i="17" s="1"/>
  <c r="CD299" i="17" s="1"/>
  <c r="CE299" i="17" s="1"/>
  <c r="CF299" i="17" s="1"/>
  <c r="CG299" i="17" s="1"/>
  <c r="CH299" i="17" s="1"/>
  <c r="CI299" i="17" s="1"/>
  <c r="CJ299" i="17" s="1"/>
  <c r="CK299" i="17" s="1"/>
  <c r="CL299" i="17" s="1"/>
  <c r="CM299" i="17" s="1"/>
  <c r="CN299" i="17" s="1"/>
  <c r="CO299" i="17" s="1"/>
  <c r="CP299" i="17" s="1"/>
  <c r="CQ299" i="17" s="1"/>
  <c r="CR299" i="17" s="1"/>
  <c r="CS299" i="17" s="1"/>
  <c r="CT299" i="17" s="1"/>
  <c r="CU299" i="17" s="1"/>
  <c r="CV299" i="17" s="1"/>
  <c r="CW299" i="17" s="1"/>
  <c r="CX299" i="17" s="1"/>
  <c r="CY299" i="17" s="1"/>
  <c r="CZ299" i="17" s="1"/>
  <c r="DA299" i="17" s="1"/>
  <c r="DB299" i="17" s="1"/>
  <c r="DC299" i="17" s="1"/>
  <c r="DD299" i="17" s="1"/>
  <c r="DE299" i="17" s="1"/>
  <c r="DF299" i="17" s="1"/>
  <c r="DG299" i="17" s="1"/>
  <c r="DH299" i="17" s="1"/>
  <c r="DI299" i="17" s="1"/>
  <c r="DJ299" i="17" s="1"/>
  <c r="DK299" i="17" s="1"/>
  <c r="DL299" i="17" s="1"/>
  <c r="AT113" i="17"/>
  <c r="AU113" i="17" s="1"/>
  <c r="AV113" i="17" s="1"/>
  <c r="AW113" i="17" s="1"/>
  <c r="AX113" i="17" s="1"/>
  <c r="AY113" i="17" s="1"/>
  <c r="AZ113" i="17" s="1"/>
  <c r="BA113" i="17" s="1"/>
  <c r="BB113" i="17" s="1"/>
  <c r="BC113" i="17" s="1"/>
  <c r="BD113" i="17" s="1"/>
  <c r="BE113" i="17" s="1"/>
  <c r="BF113" i="17" s="1"/>
  <c r="BG113" i="17" s="1"/>
  <c r="BH113" i="17" s="1"/>
  <c r="BI113" i="17" s="1"/>
  <c r="BJ113" i="17" s="1"/>
  <c r="BK113" i="17" s="1"/>
  <c r="BL113" i="17" s="1"/>
  <c r="BM113" i="17" s="1"/>
  <c r="BN113" i="17" s="1"/>
  <c r="BO113" i="17" s="1"/>
  <c r="BP113" i="17" s="1"/>
  <c r="BQ113" i="17" s="1"/>
  <c r="BR113" i="17" s="1"/>
  <c r="BS113" i="17" s="1"/>
  <c r="BT113" i="17" s="1"/>
  <c r="BU113" i="17" s="1"/>
  <c r="BV113" i="17" s="1"/>
  <c r="BW113" i="17" s="1"/>
  <c r="BX113" i="17" s="1"/>
  <c r="BY113" i="17" s="1"/>
  <c r="BZ113" i="17" s="1"/>
  <c r="CA113" i="17" s="1"/>
  <c r="CB113" i="17" s="1"/>
  <c r="CC113" i="17" s="1"/>
  <c r="CD113" i="17" s="1"/>
  <c r="CE113" i="17" s="1"/>
  <c r="CF113" i="17" s="1"/>
  <c r="CG113" i="17" s="1"/>
  <c r="CH113" i="17" s="1"/>
  <c r="CI113" i="17" s="1"/>
  <c r="CJ113" i="17" s="1"/>
  <c r="CK113" i="17" s="1"/>
  <c r="CL113" i="17" s="1"/>
  <c r="CM113" i="17" s="1"/>
  <c r="CN113" i="17" s="1"/>
  <c r="CO113" i="17" s="1"/>
  <c r="CP113" i="17" s="1"/>
  <c r="CQ113" i="17" s="1"/>
  <c r="CR113" i="17" s="1"/>
  <c r="CS113" i="17" s="1"/>
  <c r="CT113" i="17" s="1"/>
  <c r="CU113" i="17" s="1"/>
  <c r="CV113" i="17" s="1"/>
  <c r="CW113" i="17" s="1"/>
  <c r="CX113" i="17" s="1"/>
  <c r="CY113" i="17" s="1"/>
  <c r="CZ113" i="17" s="1"/>
  <c r="DA113" i="17" s="1"/>
  <c r="DB113" i="17" s="1"/>
  <c r="DC113" i="17" s="1"/>
  <c r="DD113" i="17" s="1"/>
  <c r="DE113" i="17" s="1"/>
  <c r="DF113" i="17" s="1"/>
  <c r="DG113" i="17" s="1"/>
  <c r="DH113" i="17" s="1"/>
  <c r="DI113" i="17" s="1"/>
  <c r="DJ113" i="17" s="1"/>
  <c r="DK113" i="17" s="1"/>
  <c r="DL113" i="17" s="1"/>
  <c r="AC164" i="17"/>
  <c r="AD164" i="17" s="1"/>
  <c r="AE164" i="17" s="1"/>
  <c r="AF164" i="17" s="1"/>
  <c r="AG164" i="17" s="1"/>
  <c r="AH164" i="17" s="1"/>
  <c r="AI164" i="17" s="1"/>
  <c r="AJ164" i="17" s="1"/>
  <c r="AK164" i="17" s="1"/>
  <c r="AA57" i="17"/>
  <c r="AB57" i="17" s="1"/>
  <c r="AC57" i="17" s="1"/>
  <c r="CA206" i="17"/>
  <c r="CB206" i="17" s="1"/>
  <c r="CC206" i="17" s="1"/>
  <c r="CD206" i="17" s="1"/>
  <c r="CE206" i="17" s="1"/>
  <c r="CF206" i="17" s="1"/>
  <c r="CG206" i="17" s="1"/>
  <c r="CH206" i="17" s="1"/>
  <c r="CI206" i="17" s="1"/>
  <c r="CJ206" i="17" s="1"/>
  <c r="CK206" i="17" s="1"/>
  <c r="CL206" i="17" s="1"/>
  <c r="CM206" i="17" s="1"/>
  <c r="CN206" i="17" s="1"/>
  <c r="CO206" i="17" s="1"/>
  <c r="CP206" i="17" s="1"/>
  <c r="CQ206" i="17" s="1"/>
  <c r="CR206" i="17" s="1"/>
  <c r="CS206" i="17" s="1"/>
  <c r="CT206" i="17" s="1"/>
  <c r="CU206" i="17" s="1"/>
  <c r="CV206" i="17" s="1"/>
  <c r="CW206" i="17" s="1"/>
  <c r="CX206" i="17" s="1"/>
  <c r="CY206" i="17" s="1"/>
  <c r="CZ206" i="17" s="1"/>
  <c r="DA206" i="17" s="1"/>
  <c r="DB206" i="17" s="1"/>
  <c r="DC206" i="17" s="1"/>
  <c r="DD206" i="17" s="1"/>
  <c r="DE206" i="17" s="1"/>
  <c r="DF206" i="17" s="1"/>
  <c r="DG206" i="17" s="1"/>
  <c r="DH206" i="17" s="1"/>
  <c r="DI206" i="17" s="1"/>
  <c r="DJ206" i="17" s="1"/>
  <c r="DK206" i="17" s="1"/>
  <c r="DL206" i="17" s="1"/>
  <c r="AB111" i="17"/>
  <c r="AC111" i="17" s="1"/>
  <c r="AD111" i="17" s="1"/>
  <c r="AE111" i="17" s="1"/>
  <c r="AF111" i="17" s="1"/>
  <c r="AG111" i="17" s="1"/>
  <c r="AH111" i="17" s="1"/>
  <c r="AI111" i="17" s="1"/>
  <c r="AJ111" i="17" s="1"/>
  <c r="AK111" i="17" s="1"/>
  <c r="AL111" i="17" s="1"/>
  <c r="AM111" i="17" s="1"/>
  <c r="AN111" i="17" s="1"/>
  <c r="AO111" i="17" s="1"/>
  <c r="AP111" i="17" s="1"/>
  <c r="AQ111" i="17" s="1"/>
  <c r="AR111" i="17" s="1"/>
  <c r="AS111" i="17" s="1"/>
  <c r="AT111" i="17" s="1"/>
  <c r="AU111" i="17" s="1"/>
  <c r="AV111" i="17" s="1"/>
  <c r="AW111" i="17" s="1"/>
  <c r="AX111" i="17" s="1"/>
  <c r="AY111" i="17" s="1"/>
  <c r="AZ111" i="17" s="1"/>
  <c r="BA111" i="17" s="1"/>
  <c r="BB111" i="17" s="1"/>
  <c r="BC111" i="17" s="1"/>
  <c r="BD111" i="17" s="1"/>
  <c r="BE111" i="17" s="1"/>
  <c r="BF111" i="17" s="1"/>
  <c r="BG111" i="17" s="1"/>
  <c r="BH111" i="17" s="1"/>
  <c r="BI111" i="17" s="1"/>
  <c r="BJ111" i="17" s="1"/>
  <c r="BK111" i="17" s="1"/>
  <c r="BL111" i="17" s="1"/>
  <c r="BM111" i="17" s="1"/>
  <c r="BN111" i="17" s="1"/>
  <c r="BO111" i="17" s="1"/>
  <c r="BP111" i="17" s="1"/>
  <c r="BQ111" i="17" s="1"/>
  <c r="BR111" i="17" s="1"/>
  <c r="BS111" i="17" s="1"/>
  <c r="BT111" i="17" s="1"/>
  <c r="BU111" i="17" s="1"/>
  <c r="BV111" i="17" s="1"/>
  <c r="BW111" i="17" s="1"/>
  <c r="BX111" i="17" s="1"/>
  <c r="BY111" i="17" s="1"/>
  <c r="BZ111" i="17" s="1"/>
  <c r="CA111" i="17" s="1"/>
  <c r="CB111" i="17" s="1"/>
  <c r="CC111" i="17" s="1"/>
  <c r="CD111" i="17" s="1"/>
  <c r="CE111" i="17" s="1"/>
  <c r="CF111" i="17" s="1"/>
  <c r="CG111" i="17" s="1"/>
  <c r="CH111" i="17" s="1"/>
  <c r="CI111" i="17" s="1"/>
  <c r="CJ111" i="17" s="1"/>
  <c r="CK111" i="17" s="1"/>
  <c r="CL111" i="17" s="1"/>
  <c r="CM111" i="17" s="1"/>
  <c r="CN111" i="17" s="1"/>
  <c r="CO111" i="17" s="1"/>
  <c r="CP111" i="17" s="1"/>
  <c r="CQ111" i="17" s="1"/>
  <c r="CR111" i="17" s="1"/>
  <c r="CS111" i="17" s="1"/>
  <c r="CT111" i="17" s="1"/>
  <c r="CU111" i="17" s="1"/>
  <c r="CV111" i="17" s="1"/>
  <c r="CW111" i="17" s="1"/>
  <c r="CX111" i="17" s="1"/>
  <c r="CY111" i="17" s="1"/>
  <c r="CZ111" i="17" s="1"/>
  <c r="DA111" i="17" s="1"/>
  <c r="DB111" i="17" s="1"/>
  <c r="DC111" i="17" s="1"/>
  <c r="DD111" i="17" s="1"/>
  <c r="DE111" i="17" s="1"/>
  <c r="DF111" i="17" s="1"/>
  <c r="DG111" i="17" s="1"/>
  <c r="DH111" i="17" s="1"/>
  <c r="DI111" i="17" s="1"/>
  <c r="DJ111" i="17" s="1"/>
  <c r="DK111" i="17" s="1"/>
  <c r="DL111" i="17" s="1"/>
  <c r="AD199" i="17"/>
  <c r="AE199" i="17" s="1"/>
  <c r="AF199" i="17" s="1"/>
  <c r="AG199" i="17" s="1"/>
  <c r="AH199" i="17" s="1"/>
  <c r="AI199" i="17" s="1"/>
  <c r="AJ199" i="17" s="1"/>
  <c r="AK199" i="17" s="1"/>
  <c r="AL199" i="17" s="1"/>
  <c r="AM199" i="17" s="1"/>
  <c r="AN199" i="17" s="1"/>
  <c r="AO199" i="17" s="1"/>
  <c r="AP199" i="17" s="1"/>
  <c r="AQ199" i="17" s="1"/>
  <c r="AR199" i="17" s="1"/>
  <c r="AS199" i="17" s="1"/>
  <c r="AT199" i="17" s="1"/>
  <c r="AU199" i="17" s="1"/>
  <c r="AV199" i="17" s="1"/>
  <c r="AW199" i="17" s="1"/>
  <c r="AX199" i="17" s="1"/>
  <c r="AY199" i="17" s="1"/>
  <c r="AZ199" i="17" s="1"/>
  <c r="BA199" i="17" s="1"/>
  <c r="BB199" i="17" s="1"/>
  <c r="BC199" i="17" s="1"/>
  <c r="BD199" i="17" s="1"/>
  <c r="BE199" i="17" s="1"/>
  <c r="BF199" i="17" s="1"/>
  <c r="BG199" i="17" s="1"/>
  <c r="BH199" i="17" s="1"/>
  <c r="BI199" i="17" s="1"/>
  <c r="BJ199" i="17" s="1"/>
  <c r="BK199" i="17" s="1"/>
  <c r="BL199" i="17" s="1"/>
  <c r="BM199" i="17" s="1"/>
  <c r="BN199" i="17" s="1"/>
  <c r="BO199" i="17" s="1"/>
  <c r="BP199" i="17" s="1"/>
  <c r="BQ199" i="17" s="1"/>
  <c r="BR199" i="17" s="1"/>
  <c r="BS199" i="17" s="1"/>
  <c r="BT199" i="17" s="1"/>
  <c r="BU199" i="17" s="1"/>
  <c r="BV199" i="17" s="1"/>
  <c r="BW199" i="17" s="1"/>
  <c r="BX199" i="17" s="1"/>
  <c r="BY199" i="17" s="1"/>
  <c r="BZ199" i="17" s="1"/>
  <c r="CA199" i="17" s="1"/>
  <c r="CB199" i="17" s="1"/>
  <c r="CC199" i="17" s="1"/>
  <c r="CD199" i="17" s="1"/>
  <c r="CE199" i="17" s="1"/>
  <c r="CF199" i="17" s="1"/>
  <c r="CG199" i="17" s="1"/>
  <c r="CH199" i="17" s="1"/>
  <c r="CI199" i="17" s="1"/>
  <c r="CJ199" i="17" s="1"/>
  <c r="CK199" i="17" s="1"/>
  <c r="CL199" i="17" s="1"/>
  <c r="CM199" i="17" s="1"/>
  <c r="CN199" i="17" s="1"/>
  <c r="CO199" i="17" s="1"/>
  <c r="CP199" i="17" s="1"/>
  <c r="CQ199" i="17" s="1"/>
  <c r="CR199" i="17" s="1"/>
  <c r="CS199" i="17" s="1"/>
  <c r="CT199" i="17" s="1"/>
  <c r="CU199" i="17" s="1"/>
  <c r="CV199" i="17" s="1"/>
  <c r="CW199" i="17" s="1"/>
  <c r="CX199" i="17" s="1"/>
  <c r="CY199" i="17" s="1"/>
  <c r="CZ199" i="17" s="1"/>
  <c r="DA199" i="17" s="1"/>
  <c r="DB199" i="17" s="1"/>
  <c r="DC199" i="17" s="1"/>
  <c r="DD199" i="17" s="1"/>
  <c r="DE199" i="17" s="1"/>
  <c r="DF199" i="17" s="1"/>
  <c r="DG199" i="17" s="1"/>
  <c r="DH199" i="17" s="1"/>
  <c r="DI199" i="17" s="1"/>
  <c r="DJ199" i="17" s="1"/>
  <c r="DK199" i="17" s="1"/>
  <c r="DL199" i="17" s="1"/>
  <c r="AH215" i="17"/>
  <c r="AI215" i="17" s="1"/>
  <c r="AJ215" i="17" s="1"/>
  <c r="AK215" i="17" s="1"/>
  <c r="AL215" i="17" s="1"/>
  <c r="AM215" i="17" s="1"/>
  <c r="AN215" i="17" s="1"/>
  <c r="AO215" i="17" s="1"/>
  <c r="AP215" i="17" s="1"/>
  <c r="AQ215" i="17" s="1"/>
  <c r="AR215" i="17" s="1"/>
  <c r="AS215" i="17" s="1"/>
  <c r="AT215" i="17" s="1"/>
  <c r="AU215" i="17" s="1"/>
  <c r="AV215" i="17" s="1"/>
  <c r="AW215" i="17" s="1"/>
  <c r="AX215" i="17" s="1"/>
  <c r="AY215" i="17" s="1"/>
  <c r="AZ215" i="17" s="1"/>
  <c r="BA215" i="17" s="1"/>
  <c r="BB215" i="17" s="1"/>
  <c r="BC215" i="17" s="1"/>
  <c r="BD215" i="17" s="1"/>
  <c r="BE215" i="17" s="1"/>
  <c r="BF215" i="17" s="1"/>
  <c r="BG215" i="17" s="1"/>
  <c r="BH215" i="17" s="1"/>
  <c r="BI215" i="17" s="1"/>
  <c r="BJ215" i="17" s="1"/>
  <c r="BK215" i="17" s="1"/>
  <c r="BL215" i="17" s="1"/>
  <c r="BM215" i="17" s="1"/>
  <c r="BN215" i="17" s="1"/>
  <c r="BO215" i="17" s="1"/>
  <c r="BP215" i="17" s="1"/>
  <c r="BQ215" i="17" s="1"/>
  <c r="BR215" i="17" s="1"/>
  <c r="BS215" i="17" s="1"/>
  <c r="BT215" i="17" s="1"/>
  <c r="BU215" i="17" s="1"/>
  <c r="BV215" i="17" s="1"/>
  <c r="BW215" i="17" s="1"/>
  <c r="BX215" i="17" s="1"/>
  <c r="BY215" i="17" s="1"/>
  <c r="BZ215" i="17" s="1"/>
  <c r="CA215" i="17" s="1"/>
  <c r="CB215" i="17" s="1"/>
  <c r="CC215" i="17" s="1"/>
  <c r="CD215" i="17" s="1"/>
  <c r="CE215" i="17" s="1"/>
  <c r="CF215" i="17" s="1"/>
  <c r="AR85" i="17"/>
  <c r="AS85" i="17" s="1"/>
  <c r="AT85" i="17" s="1"/>
  <c r="AU85" i="17" s="1"/>
  <c r="AV85" i="17" s="1"/>
  <c r="AW85" i="17" s="1"/>
  <c r="AX85" i="17" s="1"/>
  <c r="AY85" i="17" s="1"/>
  <c r="AZ85" i="17" s="1"/>
  <c r="BA85" i="17" s="1"/>
  <c r="BB85" i="17" s="1"/>
  <c r="BC85" i="17" s="1"/>
  <c r="BD85" i="17" s="1"/>
  <c r="BE85" i="17" s="1"/>
  <c r="BF85" i="17" s="1"/>
  <c r="BG85" i="17" s="1"/>
  <c r="BH85" i="17" s="1"/>
  <c r="BI85" i="17" s="1"/>
  <c r="BJ85" i="17" s="1"/>
  <c r="BK85" i="17" s="1"/>
  <c r="BL85" i="17" s="1"/>
  <c r="BM85" i="17" s="1"/>
  <c r="BN85" i="17" s="1"/>
  <c r="BO85" i="17" s="1"/>
  <c r="BP85" i="17" s="1"/>
  <c r="BQ85" i="17" s="1"/>
  <c r="BR85" i="17" s="1"/>
  <c r="BS85" i="17" s="1"/>
  <c r="BT85" i="17" s="1"/>
  <c r="BU85" i="17" s="1"/>
  <c r="BV85" i="17" s="1"/>
  <c r="BW85" i="17" s="1"/>
  <c r="BX85" i="17" s="1"/>
  <c r="BY85" i="17" s="1"/>
  <c r="BZ85" i="17" s="1"/>
  <c r="CA85" i="17" s="1"/>
  <c r="CB85" i="17" s="1"/>
  <c r="CC85" i="17" s="1"/>
  <c r="CD85" i="17" s="1"/>
  <c r="CE85" i="17" s="1"/>
  <c r="CF85" i="17" s="1"/>
  <c r="CG85" i="17" s="1"/>
  <c r="CH85" i="17" s="1"/>
  <c r="CI85" i="17" s="1"/>
  <c r="CJ85" i="17" s="1"/>
  <c r="CK85" i="17" s="1"/>
  <c r="CL85" i="17" s="1"/>
  <c r="CM85" i="17" s="1"/>
  <c r="CN85" i="17" s="1"/>
  <c r="CO85" i="17" s="1"/>
  <c r="CP85" i="17" s="1"/>
  <c r="CQ85" i="17" s="1"/>
  <c r="CR85" i="17" s="1"/>
  <c r="CS85" i="17" s="1"/>
  <c r="CT85" i="17" s="1"/>
  <c r="CU85" i="17" s="1"/>
  <c r="CV85" i="17" s="1"/>
  <c r="CW85" i="17" s="1"/>
  <c r="CX85" i="17" s="1"/>
  <c r="CY85" i="17" s="1"/>
  <c r="CZ85" i="17" s="1"/>
  <c r="DA85" i="17" s="1"/>
  <c r="DB85" i="17" s="1"/>
  <c r="DC85" i="17" s="1"/>
  <c r="DD85" i="17" s="1"/>
  <c r="DE85" i="17" s="1"/>
  <c r="DF85" i="17" s="1"/>
  <c r="DG85" i="17" s="1"/>
  <c r="DH85" i="17" s="1"/>
  <c r="DI85" i="17" s="1"/>
  <c r="DJ85" i="17" s="1"/>
  <c r="DK85" i="17" s="1"/>
  <c r="DL85" i="17" s="1"/>
  <c r="AA249" i="17"/>
  <c r="AB249" i="17" s="1"/>
  <c r="AC249" i="17" s="1"/>
  <c r="AD249" i="17" s="1"/>
  <c r="AE249" i="17" s="1"/>
  <c r="AF249" i="17" s="1"/>
  <c r="AG249" i="17" s="1"/>
  <c r="AH249" i="17" s="1"/>
  <c r="AI249" i="17" s="1"/>
  <c r="AJ249" i="17" s="1"/>
  <c r="AK249" i="17" s="1"/>
  <c r="AL249" i="17" s="1"/>
  <c r="AM249" i="17" s="1"/>
  <c r="AN249" i="17" s="1"/>
  <c r="AO249" i="17" s="1"/>
  <c r="AP249" i="17" s="1"/>
  <c r="AQ249" i="17" s="1"/>
  <c r="AR249" i="17" s="1"/>
  <c r="AS249" i="17" s="1"/>
  <c r="AT249" i="17" s="1"/>
  <c r="AU249" i="17" s="1"/>
  <c r="AV249" i="17" s="1"/>
  <c r="AW249" i="17" s="1"/>
  <c r="AX249" i="17" s="1"/>
  <c r="AY249" i="17" s="1"/>
  <c r="AZ249" i="17" s="1"/>
  <c r="BA249" i="17" s="1"/>
  <c r="BB249" i="17" s="1"/>
  <c r="BC249" i="17" s="1"/>
  <c r="BD249" i="17" s="1"/>
  <c r="BE249" i="17" s="1"/>
  <c r="BF249" i="17" s="1"/>
  <c r="BG249" i="17" s="1"/>
  <c r="BH249" i="17" s="1"/>
  <c r="BI249" i="17" s="1"/>
  <c r="BJ249" i="17" s="1"/>
  <c r="BK249" i="17" s="1"/>
  <c r="BL249" i="17" s="1"/>
  <c r="BM249" i="17" s="1"/>
  <c r="BN249" i="17" s="1"/>
  <c r="BO249" i="17" s="1"/>
  <c r="BP249" i="17" s="1"/>
  <c r="BQ249" i="17" s="1"/>
  <c r="BR249" i="17" s="1"/>
  <c r="BS249" i="17" s="1"/>
  <c r="BT249" i="17" s="1"/>
  <c r="BU249" i="17" s="1"/>
  <c r="BV249" i="17" s="1"/>
  <c r="BW249" i="17" s="1"/>
  <c r="BX249" i="17" s="1"/>
  <c r="BY249" i="17" s="1"/>
  <c r="BZ249" i="17" s="1"/>
  <c r="CA249" i="17" s="1"/>
  <c r="CB249" i="17" s="1"/>
  <c r="CC249" i="17" s="1"/>
  <c r="CD249" i="17" s="1"/>
  <c r="CE249" i="17" s="1"/>
  <c r="CF249" i="17" s="1"/>
  <c r="CG249" i="17" s="1"/>
  <c r="CH249" i="17" s="1"/>
  <c r="CI249" i="17" s="1"/>
  <c r="CJ249" i="17" s="1"/>
  <c r="CK249" i="17" s="1"/>
  <c r="CL249" i="17" s="1"/>
  <c r="CM249" i="17" s="1"/>
  <c r="CN249" i="17" s="1"/>
  <c r="CO249" i="17" s="1"/>
  <c r="CP249" i="17" s="1"/>
  <c r="CQ249" i="17" s="1"/>
  <c r="CR249" i="17" s="1"/>
  <c r="CS249" i="17" s="1"/>
  <c r="CT249" i="17" s="1"/>
  <c r="CU249" i="17" s="1"/>
  <c r="CV249" i="17" s="1"/>
  <c r="CW249" i="17" s="1"/>
  <c r="CX249" i="17" s="1"/>
  <c r="CY249" i="17" s="1"/>
  <c r="CZ249" i="17" s="1"/>
  <c r="DA249" i="17" s="1"/>
  <c r="DB249" i="17" s="1"/>
  <c r="DC249" i="17" s="1"/>
  <c r="DD249" i="17" s="1"/>
  <c r="DE249" i="17" s="1"/>
  <c r="DF249" i="17" s="1"/>
  <c r="DG249" i="17" s="1"/>
  <c r="DH249" i="17" s="1"/>
  <c r="DI249" i="17" s="1"/>
  <c r="DJ249" i="17" s="1"/>
  <c r="DK249" i="17" s="1"/>
  <c r="DL249" i="17" s="1"/>
  <c r="AC208" i="17"/>
  <c r="AD208" i="17" s="1"/>
  <c r="AE208" i="17" s="1"/>
  <c r="AF208" i="17" s="1"/>
  <c r="AG208" i="17" s="1"/>
  <c r="AH208" i="17" s="1"/>
  <c r="AI208" i="17" s="1"/>
  <c r="AJ208" i="17" s="1"/>
  <c r="AK208" i="17" s="1"/>
  <c r="AL208" i="17" s="1"/>
  <c r="AM208" i="17" s="1"/>
  <c r="AN208" i="17" s="1"/>
  <c r="AO208" i="17" s="1"/>
  <c r="AP208" i="17" s="1"/>
  <c r="AQ208" i="17" s="1"/>
  <c r="AR208" i="17" s="1"/>
  <c r="AS208" i="17" s="1"/>
  <c r="AT208" i="17" s="1"/>
  <c r="AU208" i="17" s="1"/>
  <c r="AV208" i="17" s="1"/>
  <c r="AW208" i="17" s="1"/>
  <c r="AX208" i="17" s="1"/>
  <c r="AY208" i="17" s="1"/>
  <c r="AZ208" i="17" s="1"/>
  <c r="BA208" i="17" s="1"/>
  <c r="BB208" i="17" s="1"/>
  <c r="BC208" i="17" s="1"/>
  <c r="BD208" i="17" s="1"/>
  <c r="BE208" i="17" s="1"/>
  <c r="BF208" i="17" s="1"/>
  <c r="BG208" i="17" s="1"/>
  <c r="BH208" i="17" s="1"/>
  <c r="BI208" i="17" s="1"/>
  <c r="BJ208" i="17" s="1"/>
  <c r="BK208" i="17" s="1"/>
  <c r="BL208" i="17" s="1"/>
  <c r="BM208" i="17" s="1"/>
  <c r="BN208" i="17" s="1"/>
  <c r="BO208" i="17" s="1"/>
  <c r="BP208" i="17" s="1"/>
  <c r="BQ208" i="17" s="1"/>
  <c r="BR208" i="17" s="1"/>
  <c r="BS208" i="17" s="1"/>
  <c r="BT208" i="17" s="1"/>
  <c r="BU208" i="17" s="1"/>
  <c r="BV208" i="17" s="1"/>
  <c r="BW208" i="17" s="1"/>
  <c r="BX208" i="17" s="1"/>
  <c r="BY208" i="17" s="1"/>
  <c r="BZ208" i="17" s="1"/>
  <c r="CA208" i="17" s="1"/>
  <c r="CB208" i="17" s="1"/>
  <c r="CC208" i="17" s="1"/>
  <c r="CD208" i="17" s="1"/>
  <c r="CE208" i="17" s="1"/>
  <c r="CF208" i="17" s="1"/>
  <c r="CG208" i="17" s="1"/>
  <c r="CH208" i="17" s="1"/>
  <c r="CI208" i="17" s="1"/>
  <c r="CJ208" i="17" s="1"/>
  <c r="CK208" i="17" s="1"/>
  <c r="CL208" i="17" s="1"/>
  <c r="CM208" i="17" s="1"/>
  <c r="CN208" i="17" s="1"/>
  <c r="CO208" i="17" s="1"/>
  <c r="CP208" i="17" s="1"/>
  <c r="CQ208" i="17" s="1"/>
  <c r="CR208" i="17" s="1"/>
  <c r="CS208" i="17" s="1"/>
  <c r="CT208" i="17" s="1"/>
  <c r="CU208" i="17" s="1"/>
  <c r="CV208" i="17" s="1"/>
  <c r="CW208" i="17" s="1"/>
  <c r="CX208" i="17" s="1"/>
  <c r="CY208" i="17" s="1"/>
  <c r="CZ208" i="17" s="1"/>
  <c r="DA208" i="17" s="1"/>
  <c r="DB208" i="17" s="1"/>
  <c r="DC208" i="17" s="1"/>
  <c r="DD208" i="17" s="1"/>
  <c r="DE208" i="17" s="1"/>
  <c r="DF208" i="17" s="1"/>
  <c r="DG208" i="17" s="1"/>
  <c r="DH208" i="17" s="1"/>
  <c r="DI208" i="17" s="1"/>
  <c r="DJ208" i="17" s="1"/>
  <c r="DK208" i="17" s="1"/>
  <c r="DL208" i="17" s="1"/>
  <c r="AA233" i="17"/>
  <c r="AB233" i="17" s="1"/>
  <c r="AC233" i="17" s="1"/>
  <c r="AD233" i="17" s="1"/>
  <c r="AE233" i="17" s="1"/>
  <c r="AF233" i="17" s="1"/>
  <c r="AG233" i="17" s="1"/>
  <c r="AH233" i="17" s="1"/>
  <c r="AI233" i="17" s="1"/>
  <c r="AJ233" i="17" s="1"/>
  <c r="AK233" i="17" s="1"/>
  <c r="AL233" i="17" s="1"/>
  <c r="AM233" i="17" s="1"/>
  <c r="AN233" i="17" s="1"/>
  <c r="AO233" i="17" s="1"/>
  <c r="AP233" i="17" s="1"/>
  <c r="AQ233" i="17" s="1"/>
  <c r="AR233" i="17" s="1"/>
  <c r="AS233" i="17" s="1"/>
  <c r="AT233" i="17" s="1"/>
  <c r="AU233" i="17" s="1"/>
  <c r="AV233" i="17" s="1"/>
  <c r="AW233" i="17" s="1"/>
  <c r="AX233" i="17" s="1"/>
  <c r="AY233" i="17" s="1"/>
  <c r="AZ233" i="17" s="1"/>
  <c r="BA233" i="17" s="1"/>
  <c r="BB233" i="17" s="1"/>
  <c r="BC233" i="17" s="1"/>
  <c r="BD233" i="17" s="1"/>
  <c r="BE233" i="17" s="1"/>
  <c r="BF233" i="17" s="1"/>
  <c r="BG233" i="17" s="1"/>
  <c r="BH233" i="17" s="1"/>
  <c r="BI233" i="17" s="1"/>
  <c r="BJ233" i="17" s="1"/>
  <c r="BK233" i="17" s="1"/>
  <c r="BL233" i="17" s="1"/>
  <c r="BM233" i="17" s="1"/>
  <c r="BN233" i="17" s="1"/>
  <c r="BO233" i="17" s="1"/>
  <c r="BP233" i="17" s="1"/>
  <c r="BQ233" i="17" s="1"/>
  <c r="BR233" i="17" s="1"/>
  <c r="BS233" i="17" s="1"/>
  <c r="BT233" i="17" s="1"/>
  <c r="BU233" i="17" s="1"/>
  <c r="BV233" i="17" s="1"/>
  <c r="BW233" i="17" s="1"/>
  <c r="BX233" i="17" s="1"/>
  <c r="BY233" i="17" s="1"/>
  <c r="BZ233" i="17" s="1"/>
  <c r="CA233" i="17" s="1"/>
  <c r="CB233" i="17" s="1"/>
  <c r="CC233" i="17" s="1"/>
  <c r="CD233" i="17" s="1"/>
  <c r="CE233" i="17" s="1"/>
  <c r="CF233" i="17" s="1"/>
  <c r="CG233" i="17" s="1"/>
  <c r="CH233" i="17" s="1"/>
  <c r="CI233" i="17" s="1"/>
  <c r="CJ233" i="17" s="1"/>
  <c r="CK233" i="17" s="1"/>
  <c r="CL233" i="17" s="1"/>
  <c r="CM233" i="17" s="1"/>
  <c r="CN233" i="17" s="1"/>
  <c r="CO233" i="17" s="1"/>
  <c r="CP233" i="17" s="1"/>
  <c r="CQ233" i="17" s="1"/>
  <c r="CR233" i="17" s="1"/>
  <c r="CS233" i="17" s="1"/>
  <c r="CT233" i="17" s="1"/>
  <c r="CU233" i="17" s="1"/>
  <c r="CV233" i="17" s="1"/>
  <c r="CW233" i="17" s="1"/>
  <c r="CX233" i="17" s="1"/>
  <c r="CY233" i="17" s="1"/>
  <c r="CZ233" i="17" s="1"/>
  <c r="DA233" i="17" s="1"/>
  <c r="DB233" i="17" s="1"/>
  <c r="DC233" i="17" s="1"/>
  <c r="DD233" i="17" s="1"/>
  <c r="DE233" i="17" s="1"/>
  <c r="DF233" i="17" s="1"/>
  <c r="DG233" i="17" s="1"/>
  <c r="DH233" i="17" s="1"/>
  <c r="DI233" i="17" s="1"/>
  <c r="DJ233" i="17" s="1"/>
  <c r="DK233" i="17" s="1"/>
  <c r="DL233" i="17" s="1"/>
  <c r="AA167" i="17"/>
  <c r="AB167" i="17" s="1"/>
  <c r="AL174" i="17"/>
  <c r="AM174" i="17" s="1"/>
  <c r="AN174" i="17" s="1"/>
  <c r="AO174" i="17" s="1"/>
  <c r="AP174" i="17" s="1"/>
  <c r="AQ174" i="17" s="1"/>
  <c r="AR174" i="17" s="1"/>
  <c r="AS174" i="17" s="1"/>
  <c r="AT174" i="17" s="1"/>
  <c r="AU174" i="17" s="1"/>
  <c r="AV174" i="17" s="1"/>
  <c r="AW174" i="17" s="1"/>
  <c r="AX174" i="17" s="1"/>
  <c r="AY174" i="17" s="1"/>
  <c r="AZ174" i="17" s="1"/>
  <c r="BA174" i="17" s="1"/>
  <c r="BB174" i="17" s="1"/>
  <c r="BC174" i="17" s="1"/>
  <c r="BD174" i="17" s="1"/>
  <c r="BE174" i="17" s="1"/>
  <c r="BF174" i="17" s="1"/>
  <c r="BG174" i="17" s="1"/>
  <c r="BH174" i="17" s="1"/>
  <c r="BI174" i="17" s="1"/>
  <c r="BJ174" i="17" s="1"/>
  <c r="AC67" i="17"/>
  <c r="AD67" i="17" s="1"/>
  <c r="AE67" i="17" s="1"/>
  <c r="AF67" i="17" s="1"/>
  <c r="AG67" i="17" s="1"/>
  <c r="AH67" i="17" s="1"/>
  <c r="AI67" i="17" s="1"/>
  <c r="AJ67" i="17" s="1"/>
  <c r="AK67" i="17" s="1"/>
  <c r="AL67" i="17" s="1"/>
  <c r="AM67" i="17" s="1"/>
  <c r="AN67" i="17" s="1"/>
  <c r="AO67" i="17" s="1"/>
  <c r="AP67" i="17" s="1"/>
  <c r="AQ67" i="17" s="1"/>
  <c r="AR67" i="17" s="1"/>
  <c r="AS67" i="17" s="1"/>
  <c r="AT67" i="17" s="1"/>
  <c r="AU67" i="17" s="1"/>
  <c r="AV67" i="17" s="1"/>
  <c r="AW67" i="17" s="1"/>
  <c r="AX67" i="17" s="1"/>
  <c r="AY67" i="17" s="1"/>
  <c r="AZ67" i="17" s="1"/>
  <c r="Z179" i="17"/>
  <c r="AA179" i="17" s="1"/>
  <c r="AB179" i="17" s="1"/>
  <c r="AC179" i="17" s="1"/>
  <c r="AD179" i="17" s="1"/>
  <c r="AE179" i="17" s="1"/>
  <c r="AF179" i="17" s="1"/>
  <c r="AG179" i="17" s="1"/>
  <c r="AH179" i="17" s="1"/>
  <c r="AI179" i="17" s="1"/>
  <c r="AJ179" i="17" s="1"/>
  <c r="AK179" i="17" s="1"/>
  <c r="AL179" i="17" s="1"/>
  <c r="AM179" i="17" s="1"/>
  <c r="AN179" i="17" s="1"/>
  <c r="AO179" i="17" s="1"/>
  <c r="AP179" i="17" s="1"/>
  <c r="AQ179" i="17" s="1"/>
  <c r="AR179" i="17" s="1"/>
  <c r="AS179" i="17" s="1"/>
  <c r="AT179" i="17" s="1"/>
  <c r="AU179" i="17" s="1"/>
  <c r="AV179" i="17" s="1"/>
  <c r="AW179" i="17" s="1"/>
  <c r="AX179" i="17" s="1"/>
  <c r="AY179" i="17" s="1"/>
  <c r="AZ179" i="17" s="1"/>
  <c r="BA179" i="17" s="1"/>
  <c r="BB179" i="17" s="1"/>
  <c r="BC179" i="17" s="1"/>
  <c r="BD179" i="17" s="1"/>
  <c r="BE179" i="17" s="1"/>
  <c r="BF179" i="17" s="1"/>
  <c r="BG179" i="17" s="1"/>
  <c r="BH179" i="17" s="1"/>
  <c r="BI179" i="17" s="1"/>
  <c r="BJ179" i="17" s="1"/>
  <c r="BK179" i="17" s="1"/>
  <c r="BL179" i="17" s="1"/>
  <c r="BM179" i="17" s="1"/>
  <c r="BN179" i="17" s="1"/>
  <c r="BO179" i="17" s="1"/>
  <c r="BP179" i="17" s="1"/>
  <c r="BQ179" i="17" s="1"/>
  <c r="BR179" i="17" s="1"/>
  <c r="BS179" i="17" s="1"/>
  <c r="BT179" i="17" s="1"/>
  <c r="BU179" i="17" s="1"/>
  <c r="BV179" i="17" s="1"/>
  <c r="BW179" i="17" s="1"/>
  <c r="BX179" i="17" s="1"/>
  <c r="BY179" i="17" s="1"/>
  <c r="BZ179" i="17" s="1"/>
  <c r="CA179" i="17" s="1"/>
  <c r="CB179" i="17" s="1"/>
  <c r="CC179" i="17" s="1"/>
  <c r="CD179" i="17" s="1"/>
  <c r="CE179" i="17" s="1"/>
  <c r="CF179" i="17" s="1"/>
  <c r="CG179" i="17" s="1"/>
  <c r="CH179" i="17" s="1"/>
  <c r="CI179" i="17" s="1"/>
  <c r="CJ179" i="17" s="1"/>
  <c r="CK179" i="17" s="1"/>
  <c r="CL179" i="17" s="1"/>
  <c r="CM179" i="17" s="1"/>
  <c r="CN179" i="17" s="1"/>
  <c r="CO179" i="17" s="1"/>
  <c r="CP179" i="17" s="1"/>
  <c r="CQ179" i="17" s="1"/>
  <c r="CR179" i="17" s="1"/>
  <c r="CS179" i="17" s="1"/>
  <c r="CT179" i="17" s="1"/>
  <c r="CU179" i="17" s="1"/>
  <c r="CV179" i="17" s="1"/>
  <c r="CW179" i="17" s="1"/>
  <c r="CX179" i="17" s="1"/>
  <c r="CY179" i="17" s="1"/>
  <c r="CZ179" i="17" s="1"/>
  <c r="DA179" i="17" s="1"/>
  <c r="DB179" i="17" s="1"/>
  <c r="DC179" i="17" s="1"/>
  <c r="DD179" i="17" s="1"/>
  <c r="DE179" i="17" s="1"/>
  <c r="DF179" i="17" s="1"/>
  <c r="DG179" i="17" s="1"/>
  <c r="DH179" i="17" s="1"/>
  <c r="DI179" i="17" s="1"/>
  <c r="DJ179" i="17" s="1"/>
  <c r="DK179" i="17" s="1"/>
  <c r="DL179" i="17" s="1"/>
  <c r="AE72" i="17"/>
  <c r="AF72" i="17" s="1"/>
  <c r="AG72" i="17" s="1"/>
  <c r="AH72" i="17" s="1"/>
  <c r="AI72" i="17" s="1"/>
  <c r="AJ72" i="17" s="1"/>
  <c r="AK72" i="17" s="1"/>
  <c r="AL72" i="17" s="1"/>
  <c r="AM72" i="17" s="1"/>
  <c r="AN72" i="17" s="1"/>
  <c r="AO72" i="17" s="1"/>
  <c r="AP72" i="17" s="1"/>
  <c r="AQ72" i="17" s="1"/>
  <c r="AR72" i="17" s="1"/>
  <c r="AS72" i="17" s="1"/>
  <c r="AT72" i="17" s="1"/>
  <c r="AU72" i="17" s="1"/>
  <c r="AV72" i="17" s="1"/>
  <c r="AW72" i="17" s="1"/>
  <c r="AX72" i="17" s="1"/>
  <c r="AY72" i="17" s="1"/>
  <c r="AZ72" i="17" s="1"/>
  <c r="BA72" i="17" s="1"/>
  <c r="BB72" i="17" s="1"/>
  <c r="BC72" i="17" s="1"/>
  <c r="BD72" i="17" s="1"/>
  <c r="BE72" i="17" s="1"/>
  <c r="BF72" i="17" s="1"/>
  <c r="BG72" i="17" s="1"/>
  <c r="BH72" i="17" s="1"/>
  <c r="BI72" i="17" s="1"/>
  <c r="BJ72" i="17" s="1"/>
  <c r="BK72" i="17" s="1"/>
  <c r="BL72" i="17" s="1"/>
  <c r="BM72" i="17" s="1"/>
  <c r="BN72" i="17" s="1"/>
  <c r="BO72" i="17" s="1"/>
  <c r="BP72" i="17" s="1"/>
  <c r="BQ72" i="17" s="1"/>
  <c r="BR72" i="17" s="1"/>
  <c r="BS72" i="17" s="1"/>
  <c r="BT72" i="17" s="1"/>
  <c r="BU72" i="17" s="1"/>
  <c r="BV72" i="17" s="1"/>
  <c r="BW72" i="17" s="1"/>
  <c r="BX72" i="17" s="1"/>
  <c r="BY72" i="17" s="1"/>
  <c r="BZ72" i="17" s="1"/>
  <c r="CA72" i="17" s="1"/>
  <c r="CB72" i="17" s="1"/>
  <c r="CC72" i="17" s="1"/>
  <c r="CD72" i="17" s="1"/>
  <c r="CE72" i="17" s="1"/>
  <c r="CF72" i="17" s="1"/>
  <c r="CG72" i="17" s="1"/>
  <c r="CH72" i="17" s="1"/>
  <c r="CI72" i="17" s="1"/>
  <c r="CJ72" i="17" s="1"/>
  <c r="CK72" i="17" s="1"/>
  <c r="CL72" i="17" s="1"/>
  <c r="CM72" i="17" s="1"/>
  <c r="CN72" i="17" s="1"/>
  <c r="CO72" i="17" s="1"/>
  <c r="CP72" i="17" s="1"/>
  <c r="CQ72" i="17" s="1"/>
  <c r="CR72" i="17" s="1"/>
  <c r="CS72" i="17" s="1"/>
  <c r="CT72" i="17" s="1"/>
  <c r="CU72" i="17" s="1"/>
  <c r="CV72" i="17" s="1"/>
  <c r="CW72" i="17" s="1"/>
  <c r="CX72" i="17" s="1"/>
  <c r="CY72" i="17" s="1"/>
  <c r="CZ72" i="17" s="1"/>
  <c r="DA72" i="17" s="1"/>
  <c r="DB72" i="17" s="1"/>
  <c r="DC72" i="17" s="1"/>
  <c r="DD72" i="17" s="1"/>
  <c r="DE72" i="17" s="1"/>
  <c r="DF72" i="17" s="1"/>
  <c r="DG72" i="17" s="1"/>
  <c r="DH72" i="17" s="1"/>
  <c r="DI72" i="17" s="1"/>
  <c r="DJ72" i="17" s="1"/>
  <c r="DK72" i="17" s="1"/>
  <c r="DL72" i="17" s="1"/>
  <c r="BU158" i="17"/>
  <c r="BV158" i="17" s="1"/>
  <c r="BW158" i="17" s="1"/>
  <c r="BX158" i="17" s="1"/>
  <c r="BY158" i="17" s="1"/>
  <c r="BZ158" i="17" s="1"/>
  <c r="CA158" i="17" s="1"/>
  <c r="CB158" i="17" s="1"/>
  <c r="CC158" i="17" s="1"/>
  <c r="CD158" i="17" s="1"/>
  <c r="CE158" i="17" s="1"/>
  <c r="CF158" i="17" s="1"/>
  <c r="CG158" i="17" s="1"/>
  <c r="CH158" i="17" s="1"/>
  <c r="CI158" i="17" s="1"/>
  <c r="CJ158" i="17" s="1"/>
  <c r="CK158" i="17" s="1"/>
  <c r="CL158" i="17" s="1"/>
  <c r="CM158" i="17" s="1"/>
  <c r="CN158" i="17" s="1"/>
  <c r="CO158" i="17" s="1"/>
  <c r="CP158" i="17" s="1"/>
  <c r="CQ158" i="17" s="1"/>
  <c r="CR158" i="17" s="1"/>
  <c r="CS158" i="17" s="1"/>
  <c r="CT158" i="17" s="1"/>
  <c r="CU158" i="17" s="1"/>
  <c r="CV158" i="17" s="1"/>
  <c r="CW158" i="17" s="1"/>
  <c r="CX158" i="17" s="1"/>
  <c r="CY158" i="17" s="1"/>
  <c r="CZ158" i="17" s="1"/>
  <c r="DA158" i="17" s="1"/>
  <c r="DB158" i="17" s="1"/>
  <c r="DC158" i="17" s="1"/>
  <c r="DD158" i="17" s="1"/>
  <c r="DE158" i="17" s="1"/>
  <c r="DF158" i="17" s="1"/>
  <c r="DG158" i="17" s="1"/>
  <c r="DH158" i="17" s="1"/>
  <c r="DI158" i="17" s="1"/>
  <c r="DJ158" i="17" s="1"/>
  <c r="DK158" i="17" s="1"/>
  <c r="DL158" i="17" s="1"/>
  <c r="AW159" i="17"/>
  <c r="AX159" i="17" s="1"/>
  <c r="AY159" i="17" s="1"/>
  <c r="AZ159" i="17" s="1"/>
  <c r="BA159" i="17" s="1"/>
  <c r="BB159" i="17" s="1"/>
  <c r="BC159" i="17" s="1"/>
  <c r="BD159" i="17" s="1"/>
  <c r="AL164" i="17"/>
  <c r="AM164" i="17" s="1"/>
  <c r="AN164" i="17" s="1"/>
  <c r="AO164" i="17" s="1"/>
  <c r="AP164" i="17" s="1"/>
  <c r="AQ164" i="17" s="1"/>
  <c r="AR164" i="17" s="1"/>
  <c r="AS164" i="17" s="1"/>
  <c r="AT164" i="17" s="1"/>
  <c r="AU164" i="17" s="1"/>
  <c r="AV164" i="17" s="1"/>
  <c r="AW164" i="17" s="1"/>
  <c r="AX164" i="17" s="1"/>
  <c r="AY164" i="17" s="1"/>
  <c r="AZ164" i="17" s="1"/>
  <c r="BA164" i="17" s="1"/>
  <c r="BB164" i="17" s="1"/>
  <c r="BC164" i="17" s="1"/>
  <c r="BD164" i="17" s="1"/>
  <c r="BE164" i="17" s="1"/>
  <c r="BF164" i="17" s="1"/>
  <c r="BG164" i="17" s="1"/>
  <c r="BH164" i="17" s="1"/>
  <c r="BI164" i="17" s="1"/>
  <c r="BJ164" i="17" s="1"/>
  <c r="BK164" i="17" s="1"/>
  <c r="BL164" i="17" s="1"/>
  <c r="BM164" i="17" s="1"/>
  <c r="BN164" i="17" s="1"/>
  <c r="BO164" i="17" s="1"/>
  <c r="BP164" i="17" s="1"/>
  <c r="BQ164" i="17" s="1"/>
  <c r="BR164" i="17" s="1"/>
  <c r="BS164" i="17" s="1"/>
  <c r="BT164" i="17" s="1"/>
  <c r="BU164" i="17" s="1"/>
  <c r="BV164" i="17" s="1"/>
  <c r="BW164" i="17" s="1"/>
  <c r="BX164" i="17" s="1"/>
  <c r="BY164" i="17" s="1"/>
  <c r="BZ164" i="17" s="1"/>
  <c r="CA164" i="17" s="1"/>
  <c r="CB164" i="17" s="1"/>
  <c r="CC164" i="17" s="1"/>
  <c r="CD164" i="17" s="1"/>
  <c r="CE164" i="17" s="1"/>
  <c r="CF164" i="17" s="1"/>
  <c r="CG164" i="17" s="1"/>
  <c r="CH164" i="17" s="1"/>
  <c r="CI164" i="17" s="1"/>
  <c r="CJ164" i="17" s="1"/>
  <c r="CK164" i="17" s="1"/>
  <c r="CL164" i="17" s="1"/>
  <c r="CM164" i="17" s="1"/>
  <c r="CN164" i="17" s="1"/>
  <c r="CO164" i="17" s="1"/>
  <c r="CP164" i="17" s="1"/>
  <c r="CQ164" i="17" s="1"/>
  <c r="CR164" i="17" s="1"/>
  <c r="CS164" i="17" s="1"/>
  <c r="CT164" i="17" s="1"/>
  <c r="CU164" i="17" s="1"/>
  <c r="CV164" i="17" s="1"/>
  <c r="CW164" i="17" s="1"/>
  <c r="CX164" i="17" s="1"/>
  <c r="CY164" i="17" s="1"/>
  <c r="CZ164" i="17" s="1"/>
  <c r="DA164" i="17" s="1"/>
  <c r="DB164" i="17" s="1"/>
  <c r="DC164" i="17" s="1"/>
  <c r="DD164" i="17" s="1"/>
  <c r="DE164" i="17" s="1"/>
  <c r="DF164" i="17" s="1"/>
  <c r="DG164" i="17" s="1"/>
  <c r="DH164" i="17" s="1"/>
  <c r="DI164" i="17" s="1"/>
  <c r="DJ164" i="17" s="1"/>
  <c r="DK164" i="17" s="1"/>
  <c r="DL164" i="17" s="1"/>
  <c r="Z197" i="17"/>
  <c r="CK154" i="17"/>
  <c r="CL154" i="17" s="1"/>
  <c r="CM154" i="17" s="1"/>
  <c r="CN154" i="17" s="1"/>
  <c r="CO154" i="17" s="1"/>
  <c r="CP154" i="17" s="1"/>
  <c r="CQ154" i="17" s="1"/>
  <c r="CR154" i="17" s="1"/>
  <c r="CS154" i="17" s="1"/>
  <c r="CT154" i="17" s="1"/>
  <c r="CU154" i="17" s="1"/>
  <c r="CV154" i="17" s="1"/>
  <c r="CW154" i="17" s="1"/>
  <c r="CX154" i="17" s="1"/>
  <c r="CY154" i="17" s="1"/>
  <c r="CZ154" i="17" s="1"/>
  <c r="DA154" i="17" s="1"/>
  <c r="DB154" i="17" s="1"/>
  <c r="DC154" i="17" s="1"/>
  <c r="DD154" i="17" s="1"/>
  <c r="DE154" i="17" s="1"/>
  <c r="DF154" i="17" s="1"/>
  <c r="DG154" i="17" s="1"/>
  <c r="DH154" i="17" s="1"/>
  <c r="DI154" i="17" s="1"/>
  <c r="DJ154" i="17" s="1"/>
  <c r="DK154" i="17" s="1"/>
  <c r="DL154" i="17" s="1"/>
  <c r="AW195" i="17"/>
  <c r="AX195" i="17" s="1"/>
  <c r="AY195" i="17" s="1"/>
  <c r="AZ195" i="17" s="1"/>
  <c r="BA195" i="17" s="1"/>
  <c r="BB195" i="17" s="1"/>
  <c r="BC195" i="17" s="1"/>
  <c r="BD195" i="17" s="1"/>
  <c r="BE195" i="17" s="1"/>
  <c r="BF195" i="17" s="1"/>
  <c r="BG195" i="17" s="1"/>
  <c r="BH195" i="17" s="1"/>
  <c r="BI195" i="17" s="1"/>
  <c r="BJ195" i="17" s="1"/>
  <c r="BK195" i="17" s="1"/>
  <c r="BL195" i="17" s="1"/>
  <c r="BM195" i="17" s="1"/>
  <c r="BN195" i="17" s="1"/>
  <c r="BO195" i="17" s="1"/>
  <c r="BP195" i="17" s="1"/>
  <c r="BQ195" i="17" s="1"/>
  <c r="BR195" i="17" s="1"/>
  <c r="BS195" i="17" s="1"/>
  <c r="BT195" i="17" s="1"/>
  <c r="BU195" i="17" s="1"/>
  <c r="BV195" i="17" s="1"/>
  <c r="BW195" i="17" s="1"/>
  <c r="BX195" i="17" s="1"/>
  <c r="BY195" i="17" s="1"/>
  <c r="BZ195" i="17" s="1"/>
  <c r="CA195" i="17" s="1"/>
  <c r="CB195" i="17" s="1"/>
  <c r="CC195" i="17" s="1"/>
  <c r="CD195" i="17" s="1"/>
  <c r="CE195" i="17" s="1"/>
  <c r="CF195" i="17" s="1"/>
  <c r="CG195" i="17" s="1"/>
  <c r="CH195" i="17" s="1"/>
  <c r="CI195" i="17" s="1"/>
  <c r="CJ195" i="17" s="1"/>
  <c r="CK195" i="17" s="1"/>
  <c r="CL195" i="17" s="1"/>
  <c r="CM195" i="17" s="1"/>
  <c r="CN195" i="17" s="1"/>
  <c r="CO195" i="17" s="1"/>
  <c r="CP195" i="17" s="1"/>
  <c r="CQ195" i="17" s="1"/>
  <c r="CR195" i="17" s="1"/>
  <c r="CS195" i="17" s="1"/>
  <c r="CT195" i="17" s="1"/>
  <c r="CU195" i="17" s="1"/>
  <c r="CV195" i="17" s="1"/>
  <c r="CW195" i="17" s="1"/>
  <c r="CX195" i="17" s="1"/>
  <c r="CY195" i="17" s="1"/>
  <c r="CZ195" i="17" s="1"/>
  <c r="DA195" i="17" s="1"/>
  <c r="DB195" i="17" s="1"/>
  <c r="DC195" i="17" s="1"/>
  <c r="DD195" i="17" s="1"/>
  <c r="DE195" i="17" s="1"/>
  <c r="DF195" i="17" s="1"/>
  <c r="DG195" i="17" s="1"/>
  <c r="DH195" i="17" s="1"/>
  <c r="DI195" i="17" s="1"/>
  <c r="DJ195" i="17" s="1"/>
  <c r="DK195" i="17" s="1"/>
  <c r="DL195" i="17" s="1"/>
  <c r="AJ251" i="17"/>
  <c r="AK251" i="17" s="1"/>
  <c r="AL251" i="17" s="1"/>
  <c r="AR70" i="17"/>
  <c r="AS70" i="17" s="1"/>
  <c r="AT70" i="17" s="1"/>
  <c r="AU70" i="17" s="1"/>
  <c r="AV70" i="17" s="1"/>
  <c r="AW70" i="17" s="1"/>
  <c r="AX70" i="17" s="1"/>
  <c r="AY70" i="17" s="1"/>
  <c r="AZ70" i="17" s="1"/>
  <c r="BA70" i="17" s="1"/>
  <c r="BB70" i="17" s="1"/>
  <c r="BC70" i="17" s="1"/>
  <c r="BD70" i="17" s="1"/>
  <c r="BE70" i="17" s="1"/>
  <c r="BF70" i="17" s="1"/>
  <c r="BG70" i="17" s="1"/>
  <c r="BH70" i="17" s="1"/>
  <c r="BI70" i="17" s="1"/>
  <c r="BJ70" i="17" s="1"/>
  <c r="BK70" i="17" s="1"/>
  <c r="BL70" i="17" s="1"/>
  <c r="BM70" i="17" s="1"/>
  <c r="BN70" i="17" s="1"/>
  <c r="BO70" i="17" s="1"/>
  <c r="BP70" i="17" s="1"/>
  <c r="BQ70" i="17" s="1"/>
  <c r="BR70" i="17" s="1"/>
  <c r="BS70" i="17" s="1"/>
  <c r="BT70" i="17" s="1"/>
  <c r="BU70" i="17" s="1"/>
  <c r="BV70" i="17" s="1"/>
  <c r="BW70" i="17" s="1"/>
  <c r="BX70" i="17" s="1"/>
  <c r="BY70" i="17" s="1"/>
  <c r="BZ70" i="17" s="1"/>
  <c r="CA70" i="17" s="1"/>
  <c r="CB70" i="17" s="1"/>
  <c r="CC70" i="17" s="1"/>
  <c r="CD70" i="17" s="1"/>
  <c r="CE70" i="17" s="1"/>
  <c r="CF70" i="17" s="1"/>
  <c r="CG70" i="17" s="1"/>
  <c r="CH70" i="17" s="1"/>
  <c r="CI70" i="17" s="1"/>
  <c r="CJ70" i="17" s="1"/>
  <c r="CK70" i="17" s="1"/>
  <c r="CL70" i="17" s="1"/>
  <c r="CM70" i="17" s="1"/>
  <c r="CN70" i="17" s="1"/>
  <c r="CO70" i="17" s="1"/>
  <c r="CP70" i="17" s="1"/>
  <c r="CQ70" i="17" s="1"/>
  <c r="CR70" i="17" s="1"/>
  <c r="CS70" i="17" s="1"/>
  <c r="CT70" i="17" s="1"/>
  <c r="CU70" i="17" s="1"/>
  <c r="CV70" i="17" s="1"/>
  <c r="CW70" i="17" s="1"/>
  <c r="CX70" i="17" s="1"/>
  <c r="CY70" i="17" s="1"/>
  <c r="CZ70" i="17" s="1"/>
  <c r="DA70" i="17" s="1"/>
  <c r="DB70" i="17" s="1"/>
  <c r="DC70" i="17" s="1"/>
  <c r="DD70" i="17" s="1"/>
  <c r="DE70" i="17" s="1"/>
  <c r="DF70" i="17" s="1"/>
  <c r="DG70" i="17" s="1"/>
  <c r="DH70" i="17" s="1"/>
  <c r="DI70" i="17" s="1"/>
  <c r="DJ70" i="17" s="1"/>
  <c r="DK70" i="17" s="1"/>
  <c r="DL70" i="17" s="1"/>
  <c r="AB48" i="17"/>
  <c r="BI49" i="17"/>
  <c r="BJ49" i="17" s="1"/>
  <c r="BK49" i="17" s="1"/>
  <c r="BL49" i="17" s="1"/>
  <c r="BM49" i="17" s="1"/>
  <c r="BN49" i="17" s="1"/>
  <c r="BO49" i="17" s="1"/>
  <c r="BP49" i="17" s="1"/>
  <c r="BQ49" i="17" s="1"/>
  <c r="BR49" i="17" s="1"/>
  <c r="BS49" i="17" s="1"/>
  <c r="BT49" i="17" s="1"/>
  <c r="BU49" i="17" s="1"/>
  <c r="BV49" i="17" s="1"/>
  <c r="BW49" i="17" s="1"/>
  <c r="BX49" i="17" s="1"/>
  <c r="BY49" i="17" s="1"/>
  <c r="BZ49" i="17" s="1"/>
  <c r="CA49" i="17" s="1"/>
  <c r="CB49" i="17" s="1"/>
  <c r="CC49" i="17" s="1"/>
  <c r="CD49" i="17" s="1"/>
  <c r="CE49" i="17" s="1"/>
  <c r="CF49" i="17" s="1"/>
  <c r="CG49" i="17" s="1"/>
  <c r="CH49" i="17" s="1"/>
  <c r="CI49" i="17" s="1"/>
  <c r="CJ49" i="17" s="1"/>
  <c r="CK49" i="17" s="1"/>
  <c r="CL49" i="17" s="1"/>
  <c r="CM49" i="17" s="1"/>
  <c r="CN49" i="17" s="1"/>
  <c r="CO49" i="17" s="1"/>
  <c r="CP49" i="17" s="1"/>
  <c r="CQ49" i="17" s="1"/>
  <c r="CR49" i="17" s="1"/>
  <c r="CS49" i="17" s="1"/>
  <c r="CT49" i="17" s="1"/>
  <c r="CU49" i="17" s="1"/>
  <c r="CV49" i="17" s="1"/>
  <c r="CW49" i="17" s="1"/>
  <c r="CX49" i="17" s="1"/>
  <c r="CY49" i="17" s="1"/>
  <c r="CZ49" i="17" s="1"/>
  <c r="DA49" i="17" s="1"/>
  <c r="DB49" i="17" s="1"/>
  <c r="DC49" i="17" s="1"/>
  <c r="DD49" i="17" s="1"/>
  <c r="DE49" i="17" s="1"/>
  <c r="DF49" i="17" s="1"/>
  <c r="DG49" i="17" s="1"/>
  <c r="DH49" i="17" s="1"/>
  <c r="DI49" i="17" s="1"/>
  <c r="DJ49" i="17" s="1"/>
  <c r="DK49" i="17" s="1"/>
  <c r="DL49" i="17" s="1"/>
  <c r="CG215" i="17"/>
  <c r="CH215" i="17" s="1"/>
  <c r="CI215" i="17" s="1"/>
  <c r="CJ215" i="17" s="1"/>
  <c r="CK215" i="17" s="1"/>
  <c r="CL215" i="17" s="1"/>
  <c r="CM215" i="17" s="1"/>
  <c r="CN215" i="17" s="1"/>
  <c r="CO215" i="17" s="1"/>
  <c r="CP215" i="17" s="1"/>
  <c r="CQ215" i="17" s="1"/>
  <c r="CR215" i="17" s="1"/>
  <c r="CS215" i="17" s="1"/>
  <c r="CT215" i="17" s="1"/>
  <c r="CU215" i="17" s="1"/>
  <c r="CV215" i="17" s="1"/>
  <c r="CW215" i="17" s="1"/>
  <c r="CX215" i="17" s="1"/>
  <c r="CY215" i="17" s="1"/>
  <c r="CZ215" i="17" s="1"/>
  <c r="DA215" i="17" s="1"/>
  <c r="DB215" i="17" s="1"/>
  <c r="DC215" i="17" s="1"/>
  <c r="DD215" i="17" s="1"/>
  <c r="DE215" i="17" s="1"/>
  <c r="DF215" i="17" s="1"/>
  <c r="DG215" i="17" s="1"/>
  <c r="DH215" i="17" s="1"/>
  <c r="DI215" i="17" s="1"/>
  <c r="DJ215" i="17" s="1"/>
  <c r="DK215" i="17" s="1"/>
  <c r="DL215" i="17" s="1"/>
  <c r="Z182" i="17"/>
  <c r="AA182" i="17" s="1"/>
  <c r="AB182" i="17" s="1"/>
  <c r="AC182" i="17" s="1"/>
  <c r="AD182" i="17" s="1"/>
  <c r="AE182" i="17" s="1"/>
  <c r="AF182" i="17" s="1"/>
  <c r="AG182" i="17" s="1"/>
  <c r="AH182" i="17" s="1"/>
  <c r="AI182" i="17" s="1"/>
  <c r="AJ182" i="17" s="1"/>
  <c r="AK182" i="17" s="1"/>
  <c r="AL182" i="17" s="1"/>
  <c r="AM182" i="17" s="1"/>
  <c r="AN182" i="17" s="1"/>
  <c r="AO182" i="17" s="1"/>
  <c r="AP182" i="17" s="1"/>
  <c r="AQ182" i="17" s="1"/>
  <c r="AR182" i="17" s="1"/>
  <c r="AS182" i="17" s="1"/>
  <c r="AT182" i="17" s="1"/>
  <c r="AU182" i="17" s="1"/>
  <c r="AV182" i="17" s="1"/>
  <c r="AW182" i="17" s="1"/>
  <c r="AX182" i="17" s="1"/>
  <c r="AY182" i="17" s="1"/>
  <c r="AZ182" i="17" s="1"/>
  <c r="BA182" i="17" s="1"/>
  <c r="BB182" i="17" s="1"/>
  <c r="BC182" i="17" s="1"/>
  <c r="BD182" i="17" s="1"/>
  <c r="BE182" i="17" s="1"/>
  <c r="BF182" i="17" s="1"/>
  <c r="BG182" i="17" s="1"/>
  <c r="BH182" i="17" s="1"/>
  <c r="BI182" i="17" s="1"/>
  <c r="BJ182" i="17" s="1"/>
  <c r="BK182" i="17" s="1"/>
  <c r="BL182" i="17" s="1"/>
  <c r="BM182" i="17" s="1"/>
  <c r="BN182" i="17" s="1"/>
  <c r="BO182" i="17" s="1"/>
  <c r="BP182" i="17" s="1"/>
  <c r="BQ182" i="17" s="1"/>
  <c r="BR182" i="17" s="1"/>
  <c r="BS182" i="17" s="1"/>
  <c r="BT182" i="17" s="1"/>
  <c r="BU182" i="17" s="1"/>
  <c r="BV182" i="17" s="1"/>
  <c r="BW182" i="17" s="1"/>
  <c r="BX182" i="17" s="1"/>
  <c r="BY182" i="17" s="1"/>
  <c r="BZ182" i="17" s="1"/>
  <c r="CA182" i="17" s="1"/>
  <c r="CB182" i="17" s="1"/>
  <c r="CC182" i="17" s="1"/>
  <c r="CD182" i="17" s="1"/>
  <c r="CE182" i="17" s="1"/>
  <c r="CF182" i="17" s="1"/>
  <c r="CG182" i="17" s="1"/>
  <c r="CH182" i="17" s="1"/>
  <c r="CI182" i="17" s="1"/>
  <c r="CJ182" i="17" s="1"/>
  <c r="CK182" i="17" s="1"/>
  <c r="CL182" i="17" s="1"/>
  <c r="CM182" i="17" s="1"/>
  <c r="CN182" i="17" s="1"/>
  <c r="CO182" i="17" s="1"/>
  <c r="CP182" i="17" s="1"/>
  <c r="CQ182" i="17" s="1"/>
  <c r="CR182" i="17" s="1"/>
  <c r="CS182" i="17" s="1"/>
  <c r="CT182" i="17" s="1"/>
  <c r="CU182" i="17" s="1"/>
  <c r="CV182" i="17" s="1"/>
  <c r="CW182" i="17" s="1"/>
  <c r="CX182" i="17" s="1"/>
  <c r="CY182" i="17" s="1"/>
  <c r="CZ182" i="17" s="1"/>
  <c r="DA182" i="17" s="1"/>
  <c r="DB182" i="17" s="1"/>
  <c r="DC182" i="17" s="1"/>
  <c r="DD182" i="17" s="1"/>
  <c r="DE182" i="17" s="1"/>
  <c r="DF182" i="17" s="1"/>
  <c r="DG182" i="17" s="1"/>
  <c r="DH182" i="17" s="1"/>
  <c r="DI182" i="17" s="1"/>
  <c r="DJ182" i="17" s="1"/>
  <c r="DK182" i="17" s="1"/>
  <c r="DL182" i="17" s="1"/>
  <c r="BB78" i="17"/>
  <c r="BC78" i="17" s="1"/>
  <c r="BD78" i="17" s="1"/>
  <c r="BE78" i="17" s="1"/>
  <c r="BF78" i="17" s="1"/>
  <c r="BG78" i="17" s="1"/>
  <c r="BH78" i="17" s="1"/>
  <c r="BI78" i="17" s="1"/>
  <c r="BJ78" i="17" s="1"/>
  <c r="BK78" i="17" s="1"/>
  <c r="BL78" i="17" s="1"/>
  <c r="BM78" i="17" s="1"/>
  <c r="BN78" i="17" s="1"/>
  <c r="BO78" i="17" s="1"/>
  <c r="BP78" i="17" s="1"/>
  <c r="BQ78" i="17" s="1"/>
  <c r="BR78" i="17" s="1"/>
  <c r="BS78" i="17" s="1"/>
  <c r="BT78" i="17" s="1"/>
  <c r="BU78" i="17" s="1"/>
  <c r="BV78" i="17" s="1"/>
  <c r="BW78" i="17" s="1"/>
  <c r="BX78" i="17" s="1"/>
  <c r="BY78" i="17" s="1"/>
  <c r="BZ78" i="17" s="1"/>
  <c r="CA78" i="17" s="1"/>
  <c r="CB78" i="17" s="1"/>
  <c r="CC78" i="17" s="1"/>
  <c r="CD78" i="17" s="1"/>
  <c r="CE78" i="17" s="1"/>
  <c r="CF78" i="17" s="1"/>
  <c r="CG78" i="17" s="1"/>
  <c r="CH78" i="17" s="1"/>
  <c r="CI78" i="17" s="1"/>
  <c r="CJ78" i="17" s="1"/>
  <c r="CK78" i="17" s="1"/>
  <c r="CL78" i="17" s="1"/>
  <c r="CM78" i="17" s="1"/>
  <c r="CN78" i="17" s="1"/>
  <c r="CO78" i="17" s="1"/>
  <c r="CP78" i="17" s="1"/>
  <c r="CQ78" i="17" s="1"/>
  <c r="CR78" i="17" s="1"/>
  <c r="CS78" i="17" s="1"/>
  <c r="CT78" i="17" s="1"/>
  <c r="CU78" i="17" s="1"/>
  <c r="CV78" i="17" s="1"/>
  <c r="CW78" i="17" s="1"/>
  <c r="CX78" i="17" s="1"/>
  <c r="CY78" i="17" s="1"/>
  <c r="CZ78" i="17" s="1"/>
  <c r="DA78" i="17" s="1"/>
  <c r="DB78" i="17" s="1"/>
  <c r="DC78" i="17" s="1"/>
  <c r="DD78" i="17" s="1"/>
  <c r="DE78" i="17" s="1"/>
  <c r="DF78" i="17" s="1"/>
  <c r="DG78" i="17" s="1"/>
  <c r="DH78" i="17" s="1"/>
  <c r="DI78" i="17" s="1"/>
  <c r="DJ78" i="17" s="1"/>
  <c r="DK78" i="17" s="1"/>
  <c r="DL78" i="17" s="1"/>
  <c r="BD23" i="17"/>
  <c r="BE23" i="17" s="1"/>
  <c r="BF23" i="17" s="1"/>
  <c r="BG23" i="17" s="1"/>
  <c r="BH23" i="17" s="1"/>
  <c r="BI23" i="17" s="1"/>
  <c r="BJ23" i="17" s="1"/>
  <c r="BK23" i="17" s="1"/>
  <c r="BL23" i="17" s="1"/>
  <c r="BM23" i="17" s="1"/>
  <c r="BN23" i="17" s="1"/>
  <c r="BO23" i="17" s="1"/>
  <c r="BP23" i="17" s="1"/>
  <c r="BQ23" i="17" s="1"/>
  <c r="BR23" i="17" s="1"/>
  <c r="BS23" i="17" s="1"/>
  <c r="BT23" i="17" s="1"/>
  <c r="BU23" i="17" s="1"/>
  <c r="BV23" i="17" s="1"/>
  <c r="BW23" i="17" s="1"/>
  <c r="BX23" i="17" s="1"/>
  <c r="BY23" i="17" s="1"/>
  <c r="BZ23" i="17" s="1"/>
  <c r="CA23" i="17" s="1"/>
  <c r="CB23" i="17" s="1"/>
  <c r="CC23" i="17" s="1"/>
  <c r="CD23" i="17" s="1"/>
  <c r="CE23" i="17" s="1"/>
  <c r="CF23" i="17" s="1"/>
  <c r="CG23" i="17" s="1"/>
  <c r="CH23" i="17" s="1"/>
  <c r="CI23" i="17" s="1"/>
  <c r="CJ23" i="17" s="1"/>
  <c r="CK23" i="17" s="1"/>
  <c r="CL23" i="17" s="1"/>
  <c r="CM23" i="17" s="1"/>
  <c r="CN23" i="17" s="1"/>
  <c r="CO23" i="17" s="1"/>
  <c r="CP23" i="17" s="1"/>
  <c r="CQ23" i="17" s="1"/>
  <c r="CR23" i="17" s="1"/>
  <c r="CS23" i="17" s="1"/>
  <c r="CT23" i="17" s="1"/>
  <c r="CU23" i="17" s="1"/>
  <c r="CQ254" i="17"/>
  <c r="CR254" i="17" s="1"/>
  <c r="CS254" i="17" s="1"/>
  <c r="CT254" i="17" s="1"/>
  <c r="CU254" i="17" s="1"/>
  <c r="CV254" i="17" s="1"/>
  <c r="CW254" i="17" s="1"/>
  <c r="CX254" i="17" s="1"/>
  <c r="CY254" i="17" s="1"/>
  <c r="CZ254" i="17" s="1"/>
  <c r="DA254" i="17" s="1"/>
  <c r="DB254" i="17" s="1"/>
  <c r="DC254" i="17" s="1"/>
  <c r="DD254" i="17" s="1"/>
  <c r="DE254" i="17" s="1"/>
  <c r="DF254" i="17" s="1"/>
  <c r="DG254" i="17" s="1"/>
  <c r="DH254" i="17" s="1"/>
  <c r="DI254" i="17" s="1"/>
  <c r="DJ254" i="17" s="1"/>
  <c r="DK254" i="17" s="1"/>
  <c r="DL254" i="17" s="1"/>
  <c r="Z189" i="17"/>
  <c r="AF135" i="17"/>
  <c r="AG135" i="17" s="1"/>
  <c r="AH135" i="17" s="1"/>
  <c r="AI135" i="17" s="1"/>
  <c r="AJ135" i="17" s="1"/>
  <c r="AK135" i="17" s="1"/>
  <c r="AL135" i="17" s="1"/>
  <c r="AM135" i="17" s="1"/>
  <c r="AN135" i="17" s="1"/>
  <c r="AO135" i="17" s="1"/>
  <c r="AP135" i="17" s="1"/>
  <c r="AQ135" i="17" s="1"/>
  <c r="AR135" i="17" s="1"/>
  <c r="AS135" i="17" s="1"/>
  <c r="AT135" i="17" s="1"/>
  <c r="AU135" i="17" s="1"/>
  <c r="AV135" i="17" s="1"/>
  <c r="AW135" i="17" s="1"/>
  <c r="AX135" i="17" s="1"/>
  <c r="AY135" i="17" s="1"/>
  <c r="AZ135" i="17" s="1"/>
  <c r="BA135" i="17" s="1"/>
  <c r="BB135" i="17" s="1"/>
  <c r="BC135" i="17" s="1"/>
  <c r="BD135" i="17" s="1"/>
  <c r="BE135" i="17" s="1"/>
  <c r="BF135" i="17" s="1"/>
  <c r="BG135" i="17" s="1"/>
  <c r="BH135" i="17" s="1"/>
  <c r="BI135" i="17" s="1"/>
  <c r="BJ135" i="17" s="1"/>
  <c r="BK135" i="17" s="1"/>
  <c r="BL135" i="17" s="1"/>
  <c r="BM135" i="17" s="1"/>
  <c r="BN135" i="17" s="1"/>
  <c r="BO135" i="17" s="1"/>
  <c r="BP135" i="17" s="1"/>
  <c r="BQ135" i="17" s="1"/>
  <c r="BR135" i="17" s="1"/>
  <c r="BS135" i="17" s="1"/>
  <c r="BT135" i="17" s="1"/>
  <c r="BU135" i="17" s="1"/>
  <c r="BV135" i="17" s="1"/>
  <c r="BW135" i="17" s="1"/>
  <c r="BX135" i="17" s="1"/>
  <c r="BY135" i="17" s="1"/>
  <c r="BZ135" i="17" s="1"/>
  <c r="CA135" i="17" s="1"/>
  <c r="CB135" i="17" s="1"/>
  <c r="CC135" i="17" s="1"/>
  <c r="CD135" i="17" s="1"/>
  <c r="CE135" i="17" s="1"/>
  <c r="CF135" i="17" s="1"/>
  <c r="CG135" i="17" s="1"/>
  <c r="CH135" i="17" s="1"/>
  <c r="CI135" i="17" s="1"/>
  <c r="CJ135" i="17" s="1"/>
  <c r="CK135" i="17" s="1"/>
  <c r="CL135" i="17" s="1"/>
  <c r="CM135" i="17" s="1"/>
  <c r="CN135" i="17" s="1"/>
  <c r="CO135" i="17" s="1"/>
  <c r="CP135" i="17" s="1"/>
  <c r="CQ135" i="17" s="1"/>
  <c r="CR135" i="17" s="1"/>
  <c r="CS135" i="17" s="1"/>
  <c r="CT135" i="17" s="1"/>
  <c r="CU135" i="17" s="1"/>
  <c r="CV135" i="17" s="1"/>
  <c r="CW135" i="17" s="1"/>
  <c r="CX135" i="17" s="1"/>
  <c r="CY135" i="17" s="1"/>
  <c r="CZ135" i="17" s="1"/>
  <c r="DA135" i="17" s="1"/>
  <c r="DB135" i="17" s="1"/>
  <c r="DC135" i="17" s="1"/>
  <c r="DD135" i="17" s="1"/>
  <c r="DE135" i="17" s="1"/>
  <c r="DF135" i="17" s="1"/>
  <c r="DG135" i="17" s="1"/>
  <c r="DH135" i="17" s="1"/>
  <c r="DI135" i="17" s="1"/>
  <c r="DJ135" i="17" s="1"/>
  <c r="DK135" i="17" s="1"/>
  <c r="DL135" i="17" s="1"/>
  <c r="AA54" i="17"/>
  <c r="AB54" i="17" s="1"/>
  <c r="AS257" i="17"/>
  <c r="AT257" i="17" s="1"/>
  <c r="AU257" i="17" s="1"/>
  <c r="AV257" i="17" s="1"/>
  <c r="AW257" i="17" s="1"/>
  <c r="AX257" i="17" s="1"/>
  <c r="AY257" i="17" s="1"/>
  <c r="AZ257" i="17" s="1"/>
  <c r="BA257" i="17" s="1"/>
  <c r="BB257" i="17" s="1"/>
  <c r="BC257" i="17" s="1"/>
  <c r="BD257" i="17" s="1"/>
  <c r="BE257" i="17" s="1"/>
  <c r="BF257" i="17" s="1"/>
  <c r="BG257" i="17" s="1"/>
  <c r="BH257" i="17" s="1"/>
  <c r="BI257" i="17" s="1"/>
  <c r="BJ257" i="17" s="1"/>
  <c r="BK257" i="17" s="1"/>
  <c r="BL257" i="17" s="1"/>
  <c r="BM257" i="17" s="1"/>
  <c r="BN257" i="17" s="1"/>
  <c r="BO257" i="17" s="1"/>
  <c r="BP257" i="17" s="1"/>
  <c r="BQ257" i="17" s="1"/>
  <c r="BR257" i="17" s="1"/>
  <c r="BS257" i="17" s="1"/>
  <c r="BT257" i="17" s="1"/>
  <c r="BU257" i="17" s="1"/>
  <c r="BV257" i="17" s="1"/>
  <c r="BW257" i="17" s="1"/>
  <c r="BX257" i="17" s="1"/>
  <c r="BY257" i="17" s="1"/>
  <c r="BZ257" i="17" s="1"/>
  <c r="CA257" i="17" s="1"/>
  <c r="CB257" i="17" s="1"/>
  <c r="CC257" i="17" s="1"/>
  <c r="CD257" i="17" s="1"/>
  <c r="CE257" i="17" s="1"/>
  <c r="CF257" i="17" s="1"/>
  <c r="CG257" i="17" s="1"/>
  <c r="CH257" i="17" s="1"/>
  <c r="CI257" i="17" s="1"/>
  <c r="CJ257" i="17" s="1"/>
  <c r="CK257" i="17" s="1"/>
  <c r="CL257" i="17" s="1"/>
  <c r="CM257" i="17" s="1"/>
  <c r="CN257" i="17" s="1"/>
  <c r="CO257" i="17" s="1"/>
  <c r="CP257" i="17" s="1"/>
  <c r="CQ257" i="17" s="1"/>
  <c r="CR257" i="17" s="1"/>
  <c r="CS257" i="17" s="1"/>
  <c r="CT257" i="17" s="1"/>
  <c r="CU257" i="17" s="1"/>
  <c r="CV257" i="17" s="1"/>
  <c r="CW257" i="17" s="1"/>
  <c r="CX257" i="17" s="1"/>
  <c r="CY257" i="17" s="1"/>
  <c r="CZ257" i="17" s="1"/>
  <c r="DA257" i="17" s="1"/>
  <c r="DB257" i="17" s="1"/>
  <c r="DC257" i="17" s="1"/>
  <c r="DD257" i="17" s="1"/>
  <c r="DE257" i="17" s="1"/>
  <c r="DF257" i="17" s="1"/>
  <c r="DG257" i="17" s="1"/>
  <c r="DH257" i="17" s="1"/>
  <c r="DI257" i="17" s="1"/>
  <c r="DJ257" i="17" s="1"/>
  <c r="DK257" i="17" s="1"/>
  <c r="DL257" i="17" s="1"/>
  <c r="X185" i="17"/>
  <c r="Z201" i="17"/>
  <c r="AA201" i="17" s="1"/>
  <c r="AB201" i="17" s="1"/>
  <c r="AC201" i="17" s="1"/>
  <c r="AD201" i="17" s="1"/>
  <c r="AE201" i="17" s="1"/>
  <c r="AF201" i="17" s="1"/>
  <c r="AG201" i="17" s="1"/>
  <c r="AH201" i="17" s="1"/>
  <c r="AI201" i="17" s="1"/>
  <c r="AJ201" i="17" s="1"/>
  <c r="AK201" i="17" s="1"/>
  <c r="AL201" i="17" s="1"/>
  <c r="AM201" i="17" s="1"/>
  <c r="AN201" i="17" s="1"/>
  <c r="AO201" i="17" s="1"/>
  <c r="AP201" i="17" s="1"/>
  <c r="AQ201" i="17" s="1"/>
  <c r="AR201" i="17" s="1"/>
  <c r="AS201" i="17" s="1"/>
  <c r="AT201" i="17" s="1"/>
  <c r="AU201" i="17" s="1"/>
  <c r="AV201" i="17" s="1"/>
  <c r="AW201" i="17" s="1"/>
  <c r="AX201" i="17" s="1"/>
  <c r="AY201" i="17" s="1"/>
  <c r="AZ201" i="17" s="1"/>
  <c r="BA201" i="17" s="1"/>
  <c r="BB201" i="17" s="1"/>
  <c r="BC201" i="17" s="1"/>
  <c r="BD201" i="17" s="1"/>
  <c r="BE201" i="17" s="1"/>
  <c r="BF201" i="17" s="1"/>
  <c r="BG201" i="17" s="1"/>
  <c r="BH201" i="17" s="1"/>
  <c r="BI201" i="17" s="1"/>
  <c r="BJ201" i="17" s="1"/>
  <c r="BK201" i="17" s="1"/>
  <c r="BL201" i="17" s="1"/>
  <c r="BM201" i="17" s="1"/>
  <c r="BN201" i="17" s="1"/>
  <c r="BO201" i="17" s="1"/>
  <c r="BP201" i="17" s="1"/>
  <c r="BQ201" i="17" s="1"/>
  <c r="BR201" i="17" s="1"/>
  <c r="BS201" i="17" s="1"/>
  <c r="BT201" i="17" s="1"/>
  <c r="BU201" i="17" s="1"/>
  <c r="BV201" i="17" s="1"/>
  <c r="BW201" i="17" s="1"/>
  <c r="BX201" i="17" s="1"/>
  <c r="BY201" i="17" s="1"/>
  <c r="BZ201" i="17" s="1"/>
  <c r="CA201" i="17" s="1"/>
  <c r="CB201" i="17" s="1"/>
  <c r="CC201" i="17" s="1"/>
  <c r="CD201" i="17" s="1"/>
  <c r="CE201" i="17" s="1"/>
  <c r="CF201" i="17" s="1"/>
  <c r="CG201" i="17" s="1"/>
  <c r="CH201" i="17" s="1"/>
  <c r="CI201" i="17" s="1"/>
  <c r="CJ201" i="17" s="1"/>
  <c r="CK201" i="17" s="1"/>
  <c r="CL201" i="17" s="1"/>
  <c r="CM201" i="17" s="1"/>
  <c r="Y61" i="17"/>
  <c r="Z61" i="17" s="1"/>
  <c r="AA61" i="17" s="1"/>
  <c r="AB61" i="17" s="1"/>
  <c r="AC61" i="17" s="1"/>
  <c r="AD61" i="17" s="1"/>
  <c r="AE61" i="17" s="1"/>
  <c r="AF61" i="17" s="1"/>
  <c r="AG61" i="17" s="1"/>
  <c r="AH61" i="17" s="1"/>
  <c r="AI61" i="17" s="1"/>
  <c r="AJ61" i="17" s="1"/>
  <c r="AK61" i="17" s="1"/>
  <c r="AL61" i="17" s="1"/>
  <c r="AM61" i="17" s="1"/>
  <c r="AN61" i="17" s="1"/>
  <c r="AO61" i="17" s="1"/>
  <c r="AP61" i="17" s="1"/>
  <c r="AQ61" i="17" s="1"/>
  <c r="AR61" i="17" s="1"/>
  <c r="AS61" i="17" s="1"/>
  <c r="AT61" i="17" s="1"/>
  <c r="AU61" i="17" s="1"/>
  <c r="AV61" i="17" s="1"/>
  <c r="AW61" i="17" s="1"/>
  <c r="AX61" i="17" s="1"/>
  <c r="AY61" i="17" s="1"/>
  <c r="AZ61" i="17" s="1"/>
  <c r="BA61" i="17" s="1"/>
  <c r="BB61" i="17" s="1"/>
  <c r="BC61" i="17" s="1"/>
  <c r="BD61" i="17" s="1"/>
  <c r="BE61" i="17" s="1"/>
  <c r="BF61" i="17" s="1"/>
  <c r="BG61" i="17" s="1"/>
  <c r="BH61" i="17" s="1"/>
  <c r="BI61" i="17" s="1"/>
  <c r="BJ61" i="17" s="1"/>
  <c r="BK61" i="17" s="1"/>
  <c r="BL61" i="17" s="1"/>
  <c r="BM61" i="17" s="1"/>
  <c r="BN61" i="17" s="1"/>
  <c r="BO61" i="17" s="1"/>
  <c r="BP61" i="17" s="1"/>
  <c r="BQ61" i="17" s="1"/>
  <c r="BR61" i="17" s="1"/>
  <c r="BS61" i="17" s="1"/>
  <c r="BT61" i="17" s="1"/>
  <c r="BU61" i="17" s="1"/>
  <c r="BV61" i="17" s="1"/>
  <c r="BW61" i="17" s="1"/>
  <c r="BX61" i="17" s="1"/>
  <c r="BY61" i="17" s="1"/>
  <c r="BZ61" i="17" s="1"/>
  <c r="CA61" i="17" s="1"/>
  <c r="CB61" i="17" s="1"/>
  <c r="CC61" i="17" s="1"/>
  <c r="CD61" i="17" s="1"/>
  <c r="CE61" i="17" s="1"/>
  <c r="CF61" i="17" s="1"/>
  <c r="CG61" i="17" s="1"/>
  <c r="CH61" i="17" s="1"/>
  <c r="CI61" i="17" s="1"/>
  <c r="AF19" i="17"/>
  <c r="AG19" i="17" s="1"/>
  <c r="AH19" i="17" s="1"/>
  <c r="AI19" i="17"/>
  <c r="AJ19" i="17" s="1"/>
  <c r="AB24" i="17"/>
  <c r="AC24" i="17" s="1"/>
  <c r="Z176" i="17"/>
  <c r="AA176" i="17" s="1"/>
  <c r="W231" i="17"/>
  <c r="X231" i="17" s="1"/>
  <c r="Y231" i="17" s="1"/>
  <c r="Z231" i="17" s="1"/>
  <c r="AA231" i="17" s="1"/>
  <c r="AB231" i="17" s="1"/>
  <c r="AC231" i="17" s="1"/>
  <c r="AD231" i="17" s="1"/>
  <c r="AE231" i="17" s="1"/>
  <c r="AF231" i="17" s="1"/>
  <c r="AG231" i="17" s="1"/>
  <c r="AH231" i="17" s="1"/>
  <c r="AI231" i="17" s="1"/>
  <c r="AJ231" i="17" s="1"/>
  <c r="AK231" i="17" s="1"/>
  <c r="AL231" i="17" s="1"/>
  <c r="AM231" i="17" s="1"/>
  <c r="AN231" i="17" s="1"/>
  <c r="AO231" i="17" s="1"/>
  <c r="AP231" i="17" s="1"/>
  <c r="AQ231" i="17" s="1"/>
  <c r="AR231" i="17" s="1"/>
  <c r="AB146" i="17"/>
  <c r="AC146" i="17" s="1"/>
  <c r="AD146" i="17" s="1"/>
  <c r="AA224" i="17"/>
  <c r="AB224" i="17" s="1"/>
  <c r="AC224" i="17" s="1"/>
  <c r="AW93" i="17"/>
  <c r="AX93" i="17" s="1"/>
  <c r="AY93" i="17" s="1"/>
  <c r="AZ93" i="17" s="1"/>
  <c r="AC212" i="17"/>
  <c r="AD98" i="17"/>
  <c r="AE98" i="17" s="1"/>
  <c r="AF98" i="17" s="1"/>
  <c r="AG98" i="17" s="1"/>
  <c r="AH98" i="17" s="1"/>
  <c r="AI98" i="17" s="1"/>
  <c r="AJ98" i="17" s="1"/>
  <c r="AK98" i="17" s="1"/>
  <c r="AL98" i="17" s="1"/>
  <c r="AM98" i="17" s="1"/>
  <c r="AN98" i="17" s="1"/>
  <c r="AO98" i="17" s="1"/>
  <c r="AP98" i="17" s="1"/>
  <c r="AQ98" i="17" s="1"/>
  <c r="AR98" i="17" s="1"/>
  <c r="AS98" i="17" s="1"/>
  <c r="AT98" i="17" s="1"/>
  <c r="AU98" i="17" s="1"/>
  <c r="AV98" i="17" s="1"/>
  <c r="AW98" i="17" s="1"/>
  <c r="AX98" i="17" s="1"/>
  <c r="AY98" i="17" s="1"/>
  <c r="AZ98" i="17" s="1"/>
  <c r="BA98" i="17" s="1"/>
  <c r="BB98" i="17" s="1"/>
  <c r="BC98" i="17" s="1"/>
  <c r="BD98" i="17" s="1"/>
  <c r="BE98" i="17" s="1"/>
  <c r="BF98" i="17" s="1"/>
  <c r="BG98" i="17" s="1"/>
  <c r="BH98" i="17" s="1"/>
  <c r="BI98" i="17" s="1"/>
  <c r="BJ98" i="17" s="1"/>
  <c r="BK98" i="17" s="1"/>
  <c r="BL98" i="17" s="1"/>
  <c r="BM98" i="17" s="1"/>
  <c r="BN98" i="17" s="1"/>
  <c r="BO98" i="17" s="1"/>
  <c r="BP98" i="17" s="1"/>
  <c r="BQ98" i="17" s="1"/>
  <c r="BR98" i="17" s="1"/>
  <c r="BS98" i="17" s="1"/>
  <c r="BT98" i="17" s="1"/>
  <c r="BU98" i="17" s="1"/>
  <c r="BV98" i="17" s="1"/>
  <c r="BW98" i="17" s="1"/>
  <c r="BX98" i="17" s="1"/>
  <c r="BY98" i="17" s="1"/>
  <c r="BZ98" i="17" s="1"/>
  <c r="CA98" i="17" s="1"/>
  <c r="CB98" i="17" s="1"/>
  <c r="CC98" i="17" s="1"/>
  <c r="CD98" i="17" s="1"/>
  <c r="CE98" i="17" s="1"/>
  <c r="CF98" i="17" s="1"/>
  <c r="CG98" i="17" s="1"/>
  <c r="CH98" i="17" s="1"/>
  <c r="CI98" i="17" s="1"/>
  <c r="CJ98" i="17" s="1"/>
  <c r="CK98" i="17" s="1"/>
  <c r="CL98" i="17" s="1"/>
  <c r="CM98" i="17" s="1"/>
  <c r="CN98" i="17" s="1"/>
  <c r="CO98" i="17" s="1"/>
  <c r="CP98" i="17" s="1"/>
  <c r="CQ98" i="17" s="1"/>
  <c r="CR98" i="17" s="1"/>
  <c r="CS98" i="17" s="1"/>
  <c r="CT98" i="17" s="1"/>
  <c r="CU98" i="17" s="1"/>
  <c r="CV98" i="17" s="1"/>
  <c r="CW98" i="17" s="1"/>
  <c r="CX98" i="17" s="1"/>
  <c r="CY98" i="17" s="1"/>
  <c r="CZ98" i="17" s="1"/>
  <c r="DA98" i="17" s="1"/>
  <c r="DB98" i="17" s="1"/>
  <c r="DC98" i="17" s="1"/>
  <c r="DD98" i="17" s="1"/>
  <c r="DE98" i="17" s="1"/>
  <c r="DF98" i="17" s="1"/>
  <c r="DG98" i="17" s="1"/>
  <c r="DH98" i="17" s="1"/>
  <c r="DI98" i="17" s="1"/>
  <c r="DJ98" i="17" s="1"/>
  <c r="DK98" i="17" s="1"/>
  <c r="DL98" i="17" s="1"/>
  <c r="AP148" i="17"/>
  <c r="AQ148" i="17" s="1"/>
  <c r="AR148" i="17" s="1"/>
  <c r="AS148" i="17" s="1"/>
  <c r="AT148" i="17" s="1"/>
  <c r="AU148" i="17" s="1"/>
  <c r="AV148" i="17" s="1"/>
  <c r="AW148" i="17" s="1"/>
  <c r="AX148" i="17" s="1"/>
  <c r="AY148" i="17" s="1"/>
  <c r="AZ148" i="17" s="1"/>
  <c r="BA148" i="17" s="1"/>
  <c r="BB148" i="17" s="1"/>
  <c r="BC148" i="17" s="1"/>
  <c r="BD148" i="17" s="1"/>
  <c r="BE148" i="17" s="1"/>
  <c r="BF148" i="17" s="1"/>
  <c r="BG148" i="17" s="1"/>
  <c r="BH148" i="17" s="1"/>
  <c r="BI148" i="17" s="1"/>
  <c r="BJ148" i="17" s="1"/>
  <c r="BK148" i="17" s="1"/>
  <c r="BL148" i="17" s="1"/>
  <c r="BM148" i="17" s="1"/>
  <c r="BN148" i="17" s="1"/>
  <c r="BO148" i="17" s="1"/>
  <c r="BP148" i="17" s="1"/>
  <c r="BQ148" i="17" s="1"/>
  <c r="BR148" i="17" s="1"/>
  <c r="BS148" i="17" s="1"/>
  <c r="BT148" i="17" s="1"/>
  <c r="BU148" i="17" s="1"/>
  <c r="BV148" i="17" s="1"/>
  <c r="BW148" i="17" s="1"/>
  <c r="BX148" i="17" s="1"/>
  <c r="BY148" i="17" s="1"/>
  <c r="BZ148" i="17" s="1"/>
  <c r="CA148" i="17" s="1"/>
  <c r="CB148" i="17" s="1"/>
  <c r="CC148" i="17" s="1"/>
  <c r="CD148" i="17" s="1"/>
  <c r="CE148" i="17" s="1"/>
  <c r="CF148" i="17" s="1"/>
  <c r="CG148" i="17" s="1"/>
  <c r="CH148" i="17" s="1"/>
  <c r="CI148" i="17" s="1"/>
  <c r="CJ148" i="17" s="1"/>
  <c r="CK148" i="17" s="1"/>
  <c r="CL148" i="17" s="1"/>
  <c r="CM148" i="17" s="1"/>
  <c r="CN148" i="17" s="1"/>
  <c r="CO148" i="17" s="1"/>
  <c r="CP148" i="17" s="1"/>
  <c r="CQ148" i="17" s="1"/>
  <c r="CR148" i="17" s="1"/>
  <c r="CS148" i="17" s="1"/>
  <c r="CT148" i="17" s="1"/>
  <c r="CU148" i="17" s="1"/>
  <c r="CV148" i="17" s="1"/>
  <c r="CW148" i="17" s="1"/>
  <c r="CX148" i="17" s="1"/>
  <c r="CY148" i="17" s="1"/>
  <c r="CZ148" i="17" s="1"/>
  <c r="DA148" i="17" s="1"/>
  <c r="DB148" i="17" s="1"/>
  <c r="DC148" i="17" s="1"/>
  <c r="DD148" i="17" s="1"/>
  <c r="DE148" i="17" s="1"/>
  <c r="DF148" i="17" s="1"/>
  <c r="DG148" i="17" s="1"/>
  <c r="DH148" i="17" s="1"/>
  <c r="DI148" i="17" s="1"/>
  <c r="DJ148" i="17" s="1"/>
  <c r="DK148" i="17" s="1"/>
  <c r="DL148" i="17" s="1"/>
  <c r="AD89" i="17"/>
  <c r="AE89" i="17" s="1"/>
  <c r="AF89" i="17" s="1"/>
  <c r="AG89" i="17" s="1"/>
  <c r="AH89" i="17" s="1"/>
  <c r="AI89" i="17" s="1"/>
  <c r="AJ89" i="17" s="1"/>
  <c r="AK89" i="17" s="1"/>
  <c r="AL89" i="17" s="1"/>
  <c r="AM89" i="17" s="1"/>
  <c r="AN89" i="17" s="1"/>
  <c r="AO89" i="17" s="1"/>
  <c r="AP89" i="17" s="1"/>
  <c r="AQ89" i="17" s="1"/>
  <c r="AR89" i="17" s="1"/>
  <c r="AS89" i="17" s="1"/>
  <c r="AT89" i="17" s="1"/>
  <c r="AU89" i="17" s="1"/>
  <c r="AV89" i="17" s="1"/>
  <c r="AW89" i="17" s="1"/>
  <c r="AX89" i="17" s="1"/>
  <c r="AY89" i="17" s="1"/>
  <c r="AZ89" i="17" s="1"/>
  <c r="BA89" i="17" s="1"/>
  <c r="BB89" i="17" s="1"/>
  <c r="BC89" i="17" s="1"/>
  <c r="BD89" i="17" s="1"/>
  <c r="BE89" i="17" s="1"/>
  <c r="BF89" i="17" s="1"/>
  <c r="BG89" i="17" s="1"/>
  <c r="BH89" i="17" s="1"/>
  <c r="BI89" i="17" s="1"/>
  <c r="BJ89" i="17" s="1"/>
  <c r="BK89" i="17" s="1"/>
  <c r="BL89" i="17" s="1"/>
  <c r="BM89" i="17" s="1"/>
  <c r="BN89" i="17" s="1"/>
  <c r="BO89" i="17" s="1"/>
  <c r="BP89" i="17" s="1"/>
  <c r="BQ89" i="17" s="1"/>
  <c r="BR89" i="17" s="1"/>
  <c r="BS89" i="17" s="1"/>
  <c r="BT89" i="17" s="1"/>
  <c r="BU89" i="17" s="1"/>
  <c r="BV89" i="17" s="1"/>
  <c r="BW89" i="17" s="1"/>
  <c r="BX89" i="17" s="1"/>
  <c r="BY89" i="17" s="1"/>
  <c r="BZ89" i="17" s="1"/>
  <c r="CA89" i="17" s="1"/>
  <c r="CB89" i="17" s="1"/>
  <c r="CC89" i="17" s="1"/>
  <c r="CD89" i="17" s="1"/>
  <c r="CE89" i="17" s="1"/>
  <c r="CF89" i="17" s="1"/>
  <c r="CG89" i="17" s="1"/>
  <c r="CH89" i="17" s="1"/>
  <c r="CI89" i="17" s="1"/>
  <c r="CJ89" i="17" s="1"/>
  <c r="CK89" i="17" s="1"/>
  <c r="CL89" i="17" s="1"/>
  <c r="CM89" i="17" s="1"/>
  <c r="CN89" i="17" s="1"/>
  <c r="CO89" i="17" s="1"/>
  <c r="CP89" i="17" s="1"/>
  <c r="CQ89" i="17" s="1"/>
  <c r="CR89" i="17" s="1"/>
  <c r="CS89" i="17" s="1"/>
  <c r="CT89" i="17" s="1"/>
  <c r="CU89" i="17" s="1"/>
  <c r="CV89" i="17" s="1"/>
  <c r="CW89" i="17" s="1"/>
  <c r="CX89" i="17" s="1"/>
  <c r="CY89" i="17" s="1"/>
  <c r="CZ89" i="17" s="1"/>
  <c r="DA89" i="17" s="1"/>
  <c r="DB89" i="17" s="1"/>
  <c r="DC89" i="17" s="1"/>
  <c r="DD89" i="17" s="1"/>
  <c r="DE89" i="17" s="1"/>
  <c r="DF89" i="17" s="1"/>
  <c r="DG89" i="17" s="1"/>
  <c r="DH89" i="17" s="1"/>
  <c r="DI89" i="17" s="1"/>
  <c r="DJ89" i="17" s="1"/>
  <c r="DK89" i="17" s="1"/>
  <c r="DL89" i="17" s="1"/>
  <c r="Z32" i="17"/>
  <c r="AA32" i="17" s="1"/>
  <c r="AF265" i="17"/>
  <c r="CO282" i="17"/>
  <c r="CP282" i="17" s="1"/>
  <c r="CQ282" i="17" s="1"/>
  <c r="CR282" i="17" s="1"/>
  <c r="CS282" i="17" s="1"/>
  <c r="CT282" i="17" s="1"/>
  <c r="CU282" i="17" s="1"/>
  <c r="CV282" i="17" s="1"/>
  <c r="CW282" i="17" s="1"/>
  <c r="CX282" i="17" s="1"/>
  <c r="CY282" i="17" s="1"/>
  <c r="CZ282" i="17" s="1"/>
  <c r="DA282" i="17" s="1"/>
  <c r="DB282" i="17" s="1"/>
  <c r="DC282" i="17" s="1"/>
  <c r="DD282" i="17" s="1"/>
  <c r="DE282" i="17" s="1"/>
  <c r="DF282" i="17" s="1"/>
  <c r="DG282" i="17" s="1"/>
  <c r="DH282" i="17" s="1"/>
  <c r="DI282" i="17" s="1"/>
  <c r="DJ282" i="17" s="1"/>
  <c r="DK282" i="17" s="1"/>
  <c r="DL282" i="17" s="1"/>
  <c r="AM223" i="17"/>
  <c r="AN223" i="17" s="1"/>
  <c r="AO223" i="17" s="1"/>
  <c r="AP223" i="17" s="1"/>
  <c r="AQ223" i="17" s="1"/>
  <c r="AR223" i="17" s="1"/>
  <c r="AS223" i="17" s="1"/>
  <c r="AT223" i="17" s="1"/>
  <c r="AU223" i="17" s="1"/>
  <c r="AV223" i="17" s="1"/>
  <c r="AW223" i="17" s="1"/>
  <c r="AX223" i="17" s="1"/>
  <c r="AY223" i="17" s="1"/>
  <c r="AZ223" i="17" s="1"/>
  <c r="BA223" i="17" s="1"/>
  <c r="BB223" i="17" s="1"/>
  <c r="BC223" i="17" s="1"/>
  <c r="BD223" i="17" s="1"/>
  <c r="BE223" i="17" s="1"/>
  <c r="BF223" i="17" s="1"/>
  <c r="BG223" i="17" s="1"/>
  <c r="BH223" i="17" s="1"/>
  <c r="BI223" i="17" s="1"/>
  <c r="BJ223" i="17" s="1"/>
  <c r="BK223" i="17" s="1"/>
  <c r="BL223" i="17" s="1"/>
  <c r="BM223" i="17" s="1"/>
  <c r="BN223" i="17" s="1"/>
  <c r="BO223" i="17" s="1"/>
  <c r="BP223" i="17" s="1"/>
  <c r="BQ223" i="17" s="1"/>
  <c r="BR223" i="17" s="1"/>
  <c r="BS223" i="17" s="1"/>
  <c r="BT223" i="17" s="1"/>
  <c r="BU223" i="17" s="1"/>
  <c r="BV223" i="17" s="1"/>
  <c r="BW223" i="17" s="1"/>
  <c r="BX223" i="17" s="1"/>
  <c r="BY223" i="17" s="1"/>
  <c r="BZ223" i="17" s="1"/>
  <c r="CA223" i="17" s="1"/>
  <c r="CB223" i="17" s="1"/>
  <c r="CC223" i="17" s="1"/>
  <c r="CD223" i="17" s="1"/>
  <c r="CE223" i="17" s="1"/>
  <c r="CF223" i="17" s="1"/>
  <c r="CG223" i="17" s="1"/>
  <c r="CH223" i="17" s="1"/>
  <c r="CI223" i="17" s="1"/>
  <c r="CJ223" i="17" s="1"/>
  <c r="CK223" i="17" s="1"/>
  <c r="CL223" i="17" s="1"/>
  <c r="CM223" i="17" s="1"/>
  <c r="CN223" i="17" s="1"/>
  <c r="CO223" i="17" s="1"/>
  <c r="CP223" i="17" s="1"/>
  <c r="CQ223" i="17" s="1"/>
  <c r="CR223" i="17" s="1"/>
  <c r="CS223" i="17" s="1"/>
  <c r="CT223" i="17" s="1"/>
  <c r="CU223" i="17" s="1"/>
  <c r="CV223" i="17" s="1"/>
  <c r="CW223" i="17" s="1"/>
  <c r="CX223" i="17" s="1"/>
  <c r="CY223" i="17" s="1"/>
  <c r="CZ223" i="17" s="1"/>
  <c r="DA223" i="17" s="1"/>
  <c r="DB223" i="17" s="1"/>
  <c r="DC223" i="17" s="1"/>
  <c r="DD223" i="17" s="1"/>
  <c r="DE223" i="17" s="1"/>
  <c r="DF223" i="17" s="1"/>
  <c r="DG223" i="17" s="1"/>
  <c r="DH223" i="17" s="1"/>
  <c r="DI223" i="17" s="1"/>
  <c r="DJ223" i="17" s="1"/>
  <c r="DK223" i="17" s="1"/>
  <c r="DL223" i="17" s="1"/>
  <c r="DA60" i="17"/>
  <c r="DB60" i="17" s="1"/>
  <c r="DC60" i="17" s="1"/>
  <c r="DD60" i="17" s="1"/>
  <c r="DE60" i="17" s="1"/>
  <c r="DF60" i="17" s="1"/>
  <c r="DG60" i="17" s="1"/>
  <c r="DH60" i="17" s="1"/>
  <c r="DI60" i="17" s="1"/>
  <c r="DJ60" i="17" s="1"/>
  <c r="DK60" i="17" s="1"/>
  <c r="DL60" i="17" s="1"/>
  <c r="AB207" i="17"/>
  <c r="Z104" i="17"/>
  <c r="AA104" i="17" s="1"/>
  <c r="AB104" i="17" s="1"/>
  <c r="AC104" i="17" s="1"/>
  <c r="AD104" i="17" s="1"/>
  <c r="AE104" i="17" s="1"/>
  <c r="AF104" i="17" s="1"/>
  <c r="AG104" i="17" s="1"/>
  <c r="AH104" i="17" s="1"/>
  <c r="AI104" i="17" s="1"/>
  <c r="AJ104" i="17" s="1"/>
  <c r="AK104" i="17" s="1"/>
  <c r="AL104" i="17" s="1"/>
  <c r="AM104" i="17" s="1"/>
  <c r="AN104" i="17" s="1"/>
  <c r="AO104" i="17" s="1"/>
  <c r="AP104" i="17" s="1"/>
  <c r="AQ104" i="17" s="1"/>
  <c r="AR104" i="17" s="1"/>
  <c r="AS104" i="17" s="1"/>
  <c r="AT104" i="17" s="1"/>
  <c r="AU104" i="17" s="1"/>
  <c r="AV104" i="17" s="1"/>
  <c r="AW104" i="17" s="1"/>
  <c r="AX104" i="17" s="1"/>
  <c r="AY104" i="17" s="1"/>
  <c r="AZ104" i="17" s="1"/>
  <c r="BA104" i="17" s="1"/>
  <c r="BB104" i="17" s="1"/>
  <c r="BC104" i="17" s="1"/>
  <c r="BD104" i="17" s="1"/>
  <c r="BE104" i="17" s="1"/>
  <c r="BF104" i="17" s="1"/>
  <c r="BG104" i="17" s="1"/>
  <c r="BH104" i="17" s="1"/>
  <c r="BI104" i="17" s="1"/>
  <c r="BJ104" i="17" s="1"/>
  <c r="BK104" i="17" s="1"/>
  <c r="BL104" i="17" s="1"/>
  <c r="BM104" i="17" s="1"/>
  <c r="BN104" i="17" s="1"/>
  <c r="BO104" i="17" s="1"/>
  <c r="BP104" i="17" s="1"/>
  <c r="BQ104" i="17" s="1"/>
  <c r="BR104" i="17" s="1"/>
  <c r="BS104" i="17" s="1"/>
  <c r="BT104" i="17" s="1"/>
  <c r="BU104" i="17" s="1"/>
  <c r="BV104" i="17" s="1"/>
  <c r="BW104" i="17" s="1"/>
  <c r="BX104" i="17" s="1"/>
  <c r="BY104" i="17" s="1"/>
  <c r="BZ104" i="17" s="1"/>
  <c r="CA104" i="17" s="1"/>
  <c r="CB104" i="17" s="1"/>
  <c r="CC104" i="17" s="1"/>
  <c r="CD104" i="17" s="1"/>
  <c r="CE104" i="17" s="1"/>
  <c r="CF104" i="17" s="1"/>
  <c r="CG104" i="17" s="1"/>
  <c r="CH104" i="17" s="1"/>
  <c r="CI104" i="17" s="1"/>
  <c r="CJ104" i="17" s="1"/>
  <c r="CK104" i="17" s="1"/>
  <c r="CL104" i="17" s="1"/>
  <c r="CM104" i="17" s="1"/>
  <c r="CN104" i="17" s="1"/>
  <c r="CO104" i="17" s="1"/>
  <c r="CP104" i="17" s="1"/>
  <c r="CQ104" i="17" s="1"/>
  <c r="CR104" i="17" s="1"/>
  <c r="CS104" i="17" s="1"/>
  <c r="CT104" i="17" s="1"/>
  <c r="CU104" i="17" s="1"/>
  <c r="CV104" i="17" s="1"/>
  <c r="CW104" i="17" s="1"/>
  <c r="CX104" i="17" s="1"/>
  <c r="CY104" i="17" s="1"/>
  <c r="CZ104" i="17" s="1"/>
  <c r="DA104" i="17" s="1"/>
  <c r="DB104" i="17" s="1"/>
  <c r="DC104" i="17" s="1"/>
  <c r="DD104" i="17" s="1"/>
  <c r="DE104" i="17" s="1"/>
  <c r="DF104" i="17" s="1"/>
  <c r="DG104" i="17" s="1"/>
  <c r="DH104" i="17" s="1"/>
  <c r="DI104" i="17" s="1"/>
  <c r="DJ104" i="17" s="1"/>
  <c r="DK104" i="17" s="1"/>
  <c r="DL104" i="17" s="1"/>
  <c r="W263" i="17"/>
  <c r="AD237" i="17"/>
  <c r="AE237" i="17" s="1"/>
  <c r="AF237" i="17" s="1"/>
  <c r="Y129" i="17"/>
  <c r="Z129" i="17" s="1"/>
  <c r="AK77" i="17"/>
  <c r="AL77" i="17" s="1"/>
  <c r="AM77" i="17" s="1"/>
  <c r="AN77" i="17" s="1"/>
  <c r="AO77" i="17" s="1"/>
  <c r="AP77" i="17" s="1"/>
  <c r="AQ77" i="17" s="1"/>
  <c r="AR77" i="17" s="1"/>
  <c r="AS77" i="17" s="1"/>
  <c r="AT77" i="17" s="1"/>
  <c r="AU77" i="17" s="1"/>
  <c r="AV77" i="17" s="1"/>
  <c r="AW77" i="17" s="1"/>
  <c r="AX77" i="17" s="1"/>
  <c r="AY77" i="17" s="1"/>
  <c r="AZ77" i="17" s="1"/>
  <c r="BA77" i="17" s="1"/>
  <c r="BB77" i="17" s="1"/>
  <c r="BC77" i="17" s="1"/>
  <c r="BD77" i="17" s="1"/>
  <c r="BE77" i="17" s="1"/>
  <c r="BF77" i="17" s="1"/>
  <c r="BG77" i="17" s="1"/>
  <c r="BH77" i="17" s="1"/>
  <c r="BI77" i="17" s="1"/>
  <c r="BJ77" i="17" s="1"/>
  <c r="BK77" i="17" s="1"/>
  <c r="BL77" i="17" s="1"/>
  <c r="BM77" i="17" s="1"/>
  <c r="BN77" i="17" s="1"/>
  <c r="BO77" i="17" s="1"/>
  <c r="BP77" i="17" s="1"/>
  <c r="BQ77" i="17" s="1"/>
  <c r="BR77" i="17" s="1"/>
  <c r="BS77" i="17" s="1"/>
  <c r="BT77" i="17" s="1"/>
  <c r="BU77" i="17" s="1"/>
  <c r="BV77" i="17" s="1"/>
  <c r="BW77" i="17" s="1"/>
  <c r="BX77" i="17" s="1"/>
  <c r="BY77" i="17" s="1"/>
  <c r="BZ77" i="17" s="1"/>
  <c r="CA77" i="17" s="1"/>
  <c r="CB77" i="17" s="1"/>
  <c r="CC77" i="17" s="1"/>
  <c r="CD77" i="17" s="1"/>
  <c r="CE77" i="17" s="1"/>
  <c r="CF77" i="17" s="1"/>
  <c r="CG77" i="17" s="1"/>
  <c r="CH77" i="17" s="1"/>
  <c r="CI77" i="17" s="1"/>
  <c r="CJ77" i="17" s="1"/>
  <c r="CK77" i="17" s="1"/>
  <c r="CL77" i="17" s="1"/>
  <c r="CM77" i="17" s="1"/>
  <c r="CN77" i="17" s="1"/>
  <c r="CO77" i="17" s="1"/>
  <c r="CP77" i="17" s="1"/>
  <c r="CQ77" i="17" s="1"/>
  <c r="CR77" i="17" s="1"/>
  <c r="CS77" i="17" s="1"/>
  <c r="CT77" i="17" s="1"/>
  <c r="CU77" i="17" s="1"/>
  <c r="CV77" i="17" s="1"/>
  <c r="CW77" i="17" s="1"/>
  <c r="CX77" i="17" s="1"/>
  <c r="CY77" i="17" s="1"/>
  <c r="CZ77" i="17" s="1"/>
  <c r="DA77" i="17" s="1"/>
  <c r="DB77" i="17" s="1"/>
  <c r="DC77" i="17" s="1"/>
  <c r="DD77" i="17" s="1"/>
  <c r="DE77" i="17" s="1"/>
  <c r="DF77" i="17" s="1"/>
  <c r="DG77" i="17" s="1"/>
  <c r="DH77" i="17" s="1"/>
  <c r="DI77" i="17" s="1"/>
  <c r="DJ77" i="17" s="1"/>
  <c r="DK77" i="17" s="1"/>
  <c r="DL77" i="17" s="1"/>
  <c r="Z15" i="17"/>
  <c r="AJ7" i="17"/>
  <c r="AC14" i="17"/>
  <c r="AD14" i="17" s="1"/>
  <c r="AE14" i="17" s="1"/>
  <c r="AF14" i="17" s="1"/>
  <c r="AG14" i="17" s="1"/>
  <c r="AH14" i="17" s="1"/>
  <c r="AI14" i="17" s="1"/>
  <c r="AJ14" i="17" s="1"/>
  <c r="AK14" i="17" s="1"/>
  <c r="AL14" i="17" s="1"/>
  <c r="AM14" i="17" s="1"/>
  <c r="AN14" i="17" s="1"/>
  <c r="AO14" i="17" s="1"/>
  <c r="AP14" i="17" s="1"/>
  <c r="AQ14" i="17" s="1"/>
  <c r="AR14" i="17" s="1"/>
  <c r="AS14" i="17" s="1"/>
  <c r="AT14" i="17" s="1"/>
  <c r="AU14" i="17" s="1"/>
  <c r="AV14" i="17" s="1"/>
  <c r="AW14" i="17" s="1"/>
  <c r="AX14" i="17" s="1"/>
  <c r="AY14" i="17" s="1"/>
  <c r="AZ14" i="17" s="1"/>
  <c r="BA14" i="17" s="1"/>
  <c r="BB14" i="17" s="1"/>
  <c r="BC14" i="17" s="1"/>
  <c r="BD14" i="17" s="1"/>
  <c r="BE14" i="17" s="1"/>
  <c r="BF14" i="17" s="1"/>
  <c r="BG14" i="17" s="1"/>
  <c r="BH14" i="17" s="1"/>
  <c r="BI14" i="17" s="1"/>
  <c r="BJ14" i="17" s="1"/>
  <c r="BK14" i="17" s="1"/>
  <c r="BL14" i="17" s="1"/>
  <c r="BM14" i="17" s="1"/>
  <c r="BN14" i="17" s="1"/>
  <c r="BO14" i="17" s="1"/>
  <c r="BP14" i="17" s="1"/>
  <c r="BQ14" i="17" s="1"/>
  <c r="BR14" i="17" s="1"/>
  <c r="BS14" i="17" s="1"/>
  <c r="BT14" i="17" s="1"/>
  <c r="BU14" i="17" s="1"/>
  <c r="BV14" i="17" s="1"/>
  <c r="BW14" i="17" s="1"/>
  <c r="BX14" i="17" s="1"/>
  <c r="BY14" i="17" s="1"/>
  <c r="BZ14" i="17" s="1"/>
  <c r="CA14" i="17" s="1"/>
  <c r="CB14" i="17" s="1"/>
  <c r="CC14" i="17" s="1"/>
  <c r="CD14" i="17" s="1"/>
  <c r="CE14" i="17" s="1"/>
  <c r="CF14" i="17" s="1"/>
  <c r="CG14" i="17" s="1"/>
  <c r="CH14" i="17" s="1"/>
  <c r="CI14" i="17" s="1"/>
  <c r="CJ14" i="17" s="1"/>
  <c r="CK14" i="17" s="1"/>
  <c r="CL14" i="17" s="1"/>
  <c r="CM14" i="17" s="1"/>
  <c r="CN14" i="17" s="1"/>
  <c r="CO14" i="17" s="1"/>
  <c r="CP14" i="17" s="1"/>
  <c r="CQ14" i="17" s="1"/>
  <c r="CR14" i="17" s="1"/>
  <c r="CS14" i="17" s="1"/>
  <c r="CT14" i="17" s="1"/>
  <c r="CU14" i="17" s="1"/>
  <c r="CV14" i="17" s="1"/>
  <c r="CW14" i="17" s="1"/>
  <c r="CX14" i="17" s="1"/>
  <c r="CY14" i="17" s="1"/>
  <c r="CZ14" i="17" s="1"/>
  <c r="DA14" i="17" s="1"/>
  <c r="DB14" i="17" s="1"/>
  <c r="DC14" i="17" s="1"/>
  <c r="DD14" i="17" s="1"/>
  <c r="DE14" i="17" s="1"/>
  <c r="DF14" i="17" s="1"/>
  <c r="DG14" i="17" s="1"/>
  <c r="DH14" i="17" s="1"/>
  <c r="DI14" i="17" s="1"/>
  <c r="DJ14" i="17" s="1"/>
  <c r="DK14" i="17" s="1"/>
  <c r="DL14" i="17" s="1"/>
  <c r="BV9" i="17"/>
  <c r="BW9" i="17" s="1"/>
  <c r="BX9" i="17" s="1"/>
  <c r="BY9" i="17" s="1"/>
  <c r="BZ9" i="17" s="1"/>
  <c r="CA9" i="17" s="1"/>
  <c r="CB9" i="17" s="1"/>
  <c r="CC9" i="17" s="1"/>
  <c r="CD9" i="17" s="1"/>
  <c r="CE9" i="17" s="1"/>
  <c r="CF9" i="17" s="1"/>
  <c r="CG9" i="17" s="1"/>
  <c r="CH9" i="17" s="1"/>
  <c r="CI9" i="17" s="1"/>
  <c r="CJ9" i="17" s="1"/>
  <c r="CK9" i="17" s="1"/>
  <c r="CL9" i="17" s="1"/>
  <c r="CM9" i="17" s="1"/>
  <c r="CN9" i="17" s="1"/>
  <c r="CO9" i="17" s="1"/>
  <c r="CP9" i="17" s="1"/>
  <c r="CQ9" i="17" s="1"/>
  <c r="CR9" i="17" s="1"/>
  <c r="CS9" i="17" s="1"/>
  <c r="CT9" i="17" s="1"/>
  <c r="CU9" i="17" s="1"/>
  <c r="CV9" i="17" s="1"/>
  <c r="CW9" i="17" s="1"/>
  <c r="CX9" i="17" s="1"/>
  <c r="CY9" i="17" s="1"/>
  <c r="CZ9" i="17" s="1"/>
  <c r="DA9" i="17" s="1"/>
  <c r="DB9" i="17" s="1"/>
  <c r="DC9" i="17" s="1"/>
  <c r="DD9" i="17" s="1"/>
  <c r="DE9" i="17" s="1"/>
  <c r="DF9" i="17" s="1"/>
  <c r="DG9" i="17" s="1"/>
  <c r="DH9" i="17" s="1"/>
  <c r="DI9" i="17" s="1"/>
  <c r="DJ9" i="17" s="1"/>
  <c r="DK9" i="17" s="1"/>
  <c r="DL9" i="17" s="1"/>
  <c r="Z8" i="17"/>
  <c r="AA8" i="17" s="1"/>
  <c r="AC108" i="17"/>
  <c r="AD253" i="17"/>
  <c r="AE253" i="17" s="1"/>
  <c r="AF253" i="17" s="1"/>
  <c r="AG253" i="17" s="1"/>
  <c r="AH253" i="17" s="1"/>
  <c r="AI253" i="17" s="1"/>
  <c r="AJ253" i="17" s="1"/>
  <c r="AK253" i="17" s="1"/>
  <c r="AL253" i="17" s="1"/>
  <c r="AM253" i="17" s="1"/>
  <c r="AN253" i="17" s="1"/>
  <c r="AO253" i="17" s="1"/>
  <c r="AP253" i="17" s="1"/>
  <c r="AQ253" i="17" s="1"/>
  <c r="AR253" i="17" s="1"/>
  <c r="AS253" i="17" s="1"/>
  <c r="AT253" i="17" s="1"/>
  <c r="AU253" i="17" s="1"/>
  <c r="AV253" i="17" s="1"/>
  <c r="AW253" i="17" s="1"/>
  <c r="AX253" i="17" s="1"/>
  <c r="AY253" i="17" s="1"/>
  <c r="AZ253" i="17" s="1"/>
  <c r="BA253" i="17" s="1"/>
  <c r="BB253" i="17" s="1"/>
  <c r="BC253" i="17" s="1"/>
  <c r="BD253" i="17" s="1"/>
  <c r="BE253" i="17" s="1"/>
  <c r="BF253" i="17" s="1"/>
  <c r="BG253" i="17" s="1"/>
  <c r="BH253" i="17" s="1"/>
  <c r="BI253" i="17" s="1"/>
  <c r="BJ253" i="17" s="1"/>
  <c r="BK253" i="17" s="1"/>
  <c r="BL253" i="17" s="1"/>
  <c r="BM253" i="17" s="1"/>
  <c r="BN253" i="17" s="1"/>
  <c r="BO253" i="17" s="1"/>
  <c r="BP253" i="17" s="1"/>
  <c r="BQ253" i="17" s="1"/>
  <c r="BR253" i="17" s="1"/>
  <c r="BS253" i="17" s="1"/>
  <c r="BT253" i="17" s="1"/>
  <c r="BU253" i="17" s="1"/>
  <c r="BV253" i="17" s="1"/>
  <c r="BW253" i="17" s="1"/>
  <c r="BX253" i="17" s="1"/>
  <c r="BY253" i="17" s="1"/>
  <c r="BZ253" i="17" s="1"/>
  <c r="CA253" i="17" s="1"/>
  <c r="CB253" i="17" s="1"/>
  <c r="CC253" i="17" s="1"/>
  <c r="CD253" i="17" s="1"/>
  <c r="CE253" i="17" s="1"/>
  <c r="CF253" i="17" s="1"/>
  <c r="CG253" i="17" s="1"/>
  <c r="CH253" i="17" s="1"/>
  <c r="CI253" i="17" s="1"/>
  <c r="CJ253" i="17" s="1"/>
  <c r="CK253" i="17" s="1"/>
  <c r="CL253" i="17" s="1"/>
  <c r="CM253" i="17" s="1"/>
  <c r="CN253" i="17" s="1"/>
  <c r="CO253" i="17" s="1"/>
  <c r="CP253" i="17" s="1"/>
  <c r="CQ253" i="17" s="1"/>
  <c r="CR253" i="17" s="1"/>
  <c r="CS253" i="17" s="1"/>
  <c r="CT253" i="17" s="1"/>
  <c r="CU253" i="17" s="1"/>
  <c r="CV253" i="17" s="1"/>
  <c r="CW253" i="17" s="1"/>
  <c r="CX253" i="17" s="1"/>
  <c r="CY253" i="17" s="1"/>
  <c r="CZ253" i="17" s="1"/>
  <c r="DA253" i="17" s="1"/>
  <c r="DB253" i="17" s="1"/>
  <c r="DC253" i="17" s="1"/>
  <c r="DD253" i="17" s="1"/>
  <c r="DE253" i="17" s="1"/>
  <c r="DF253" i="17" s="1"/>
  <c r="DG253" i="17" s="1"/>
  <c r="DH253" i="17" s="1"/>
  <c r="DI253" i="17" s="1"/>
  <c r="DJ253" i="17" s="1"/>
  <c r="DK253" i="17" s="1"/>
  <c r="DL253" i="17" s="1"/>
  <c r="X127" i="17"/>
  <c r="Y127" i="17" s="1"/>
  <c r="Z127" i="17" s="1"/>
  <c r="AA127" i="17" s="1"/>
  <c r="AB127" i="17" s="1"/>
  <c r="AC127" i="17" s="1"/>
  <c r="AD127" i="17" s="1"/>
  <c r="AE127" i="17" s="1"/>
  <c r="AF127" i="17" s="1"/>
  <c r="AG127" i="17" s="1"/>
  <c r="AH127" i="17" s="1"/>
  <c r="AI127" i="17" s="1"/>
  <c r="AJ127" i="17" s="1"/>
  <c r="AK127" i="17" s="1"/>
  <c r="AL127" i="17" s="1"/>
  <c r="AM127" i="17" s="1"/>
  <c r="AN127" i="17" s="1"/>
  <c r="AO127" i="17" s="1"/>
  <c r="AP127" i="17" s="1"/>
  <c r="AQ127" i="17" s="1"/>
  <c r="AR127" i="17" s="1"/>
  <c r="AS127" i="17" s="1"/>
  <c r="AT127" i="17" s="1"/>
  <c r="AU127" i="17" s="1"/>
  <c r="AV127" i="17" s="1"/>
  <c r="AW127" i="17" s="1"/>
  <c r="AX127" i="17" s="1"/>
  <c r="AY127" i="17" s="1"/>
  <c r="AZ127" i="17" s="1"/>
  <c r="BA127" i="17" s="1"/>
  <c r="BB127" i="17" s="1"/>
  <c r="BC127" i="17" s="1"/>
  <c r="BD127" i="17" s="1"/>
  <c r="BE127" i="17" s="1"/>
  <c r="BF127" i="17" s="1"/>
  <c r="BG127" i="17" s="1"/>
  <c r="BH127" i="17" s="1"/>
  <c r="BI127" i="17" s="1"/>
  <c r="BJ127" i="17" s="1"/>
  <c r="BK127" i="17" s="1"/>
  <c r="BL127" i="17" s="1"/>
  <c r="BM127" i="17" s="1"/>
  <c r="BN127" i="17" s="1"/>
  <c r="BO127" i="17" s="1"/>
  <c r="BP127" i="17" s="1"/>
  <c r="BQ127" i="17" s="1"/>
  <c r="BR127" i="17" s="1"/>
  <c r="BS127" i="17" s="1"/>
  <c r="BT127" i="17" s="1"/>
  <c r="BU127" i="17" s="1"/>
  <c r="BV127" i="17" s="1"/>
  <c r="BW127" i="17" s="1"/>
  <c r="BX127" i="17" s="1"/>
  <c r="BY127" i="17" s="1"/>
  <c r="BZ127" i="17" s="1"/>
  <c r="CA127" i="17" s="1"/>
  <c r="CB127" i="17" s="1"/>
  <c r="CC127" i="17" s="1"/>
  <c r="CD127" i="17" s="1"/>
  <c r="CE127" i="17" s="1"/>
  <c r="CF127" i="17" s="1"/>
  <c r="CG127" i="17" s="1"/>
  <c r="CH127" i="17" s="1"/>
  <c r="CI127" i="17" s="1"/>
  <c r="CJ127" i="17" s="1"/>
  <c r="CK127" i="17" s="1"/>
  <c r="CL127" i="17" s="1"/>
  <c r="CM127" i="17" s="1"/>
  <c r="CN127" i="17" s="1"/>
  <c r="CO127" i="17" s="1"/>
  <c r="CP127" i="17" s="1"/>
  <c r="CQ127" i="17" s="1"/>
  <c r="CR127" i="17" s="1"/>
  <c r="CS127" i="17" s="1"/>
  <c r="CT127" i="17" s="1"/>
  <c r="CU127" i="17" s="1"/>
  <c r="CV127" i="17" s="1"/>
  <c r="CW127" i="17" s="1"/>
  <c r="CX127" i="17" s="1"/>
  <c r="CY127" i="17" s="1"/>
  <c r="CZ127" i="17" s="1"/>
  <c r="DA127" i="17" s="1"/>
  <c r="DB127" i="17" s="1"/>
  <c r="DC127" i="17" s="1"/>
  <c r="DD127" i="17" s="1"/>
  <c r="DE127" i="17" s="1"/>
  <c r="DF127" i="17" s="1"/>
  <c r="DG127" i="17" s="1"/>
  <c r="DH127" i="17" s="1"/>
  <c r="DI127" i="17" s="1"/>
  <c r="DJ127" i="17" s="1"/>
  <c r="DK127" i="17" s="1"/>
  <c r="DL127" i="17" s="1"/>
  <c r="CY143" i="17"/>
  <c r="CZ143" i="17" s="1"/>
  <c r="DA143" i="17" s="1"/>
  <c r="DB143" i="17" s="1"/>
  <c r="DC143" i="17" s="1"/>
  <c r="DD143" i="17" s="1"/>
  <c r="DE143" i="17" s="1"/>
  <c r="DF143" i="17" s="1"/>
  <c r="DG143" i="17" s="1"/>
  <c r="DH143" i="17" s="1"/>
  <c r="DI143" i="17" s="1"/>
  <c r="DJ143" i="17" s="1"/>
  <c r="DK143" i="17" s="1"/>
  <c r="DL143" i="17" s="1"/>
  <c r="CD130" i="17"/>
  <c r="CE130" i="17" s="1"/>
  <c r="CF130" i="17" s="1"/>
  <c r="CG130" i="17" s="1"/>
  <c r="CH130" i="17" s="1"/>
  <c r="CI130" i="17" s="1"/>
  <c r="CJ130" i="17" s="1"/>
  <c r="CK130" i="17" s="1"/>
  <c r="CL130" i="17" s="1"/>
  <c r="CM130" i="17" s="1"/>
  <c r="CN130" i="17" s="1"/>
  <c r="CO130" i="17" s="1"/>
  <c r="CP130" i="17" s="1"/>
  <c r="CQ130" i="17" s="1"/>
  <c r="CR130" i="17" s="1"/>
  <c r="CS130" i="17" s="1"/>
  <c r="CT130" i="17" s="1"/>
  <c r="CU130" i="17" s="1"/>
  <c r="CV130" i="17" s="1"/>
  <c r="CW130" i="17" s="1"/>
  <c r="CX130" i="17" s="1"/>
  <c r="CY130" i="17" s="1"/>
  <c r="CZ130" i="17" s="1"/>
  <c r="DA130" i="17" s="1"/>
  <c r="DB130" i="17" s="1"/>
  <c r="DC130" i="17" s="1"/>
  <c r="DD130" i="17" s="1"/>
  <c r="DE130" i="17" s="1"/>
  <c r="DF130" i="17" s="1"/>
  <c r="DG130" i="17" s="1"/>
  <c r="DH130" i="17" s="1"/>
  <c r="DI130" i="17" s="1"/>
  <c r="DJ130" i="17" s="1"/>
  <c r="DK130" i="17" s="1"/>
  <c r="DL130" i="17" s="1"/>
  <c r="AA241" i="17"/>
  <c r="AY214" i="17"/>
  <c r="AZ214" i="17" s="1"/>
  <c r="BA214" i="17" s="1"/>
  <c r="BB214" i="17" s="1"/>
  <c r="BC214" i="17" s="1"/>
  <c r="BD214" i="17" s="1"/>
  <c r="BE214" i="17" s="1"/>
  <c r="BF214" i="17" s="1"/>
  <c r="BG214" i="17" s="1"/>
  <c r="BH214" i="17" s="1"/>
  <c r="BI214" i="17" s="1"/>
  <c r="BJ214" i="17" s="1"/>
  <c r="BK214" i="17" s="1"/>
  <c r="BL214" i="17" s="1"/>
  <c r="BM214" i="17" s="1"/>
  <c r="BN214" i="17" s="1"/>
  <c r="BO214" i="17" s="1"/>
  <c r="BP214" i="17" s="1"/>
  <c r="BQ214" i="17" s="1"/>
  <c r="BR214" i="17" s="1"/>
  <c r="BS214" i="17" s="1"/>
  <c r="BT214" i="17" s="1"/>
  <c r="BU214" i="17" s="1"/>
  <c r="BV214" i="17" s="1"/>
  <c r="BW214" i="17" s="1"/>
  <c r="BX214" i="17" s="1"/>
  <c r="BY214" i="17" s="1"/>
  <c r="BZ214" i="17" s="1"/>
  <c r="CA214" i="17" s="1"/>
  <c r="CB214" i="17" s="1"/>
  <c r="CC214" i="17" s="1"/>
  <c r="CD214" i="17" s="1"/>
  <c r="CE214" i="17" s="1"/>
  <c r="CF214" i="17" s="1"/>
  <c r="CG214" i="17" s="1"/>
  <c r="CH214" i="17" s="1"/>
  <c r="CI214" i="17" s="1"/>
  <c r="CJ214" i="17" s="1"/>
  <c r="CK214" i="17" s="1"/>
  <c r="CL214" i="17" s="1"/>
  <c r="CM214" i="17" s="1"/>
  <c r="CN214" i="17" s="1"/>
  <c r="CO214" i="17" s="1"/>
  <c r="CP214" i="17" s="1"/>
  <c r="CQ214" i="17" s="1"/>
  <c r="CR214" i="17" s="1"/>
  <c r="CS214" i="17" s="1"/>
  <c r="CT214" i="17" s="1"/>
  <c r="CU214" i="17" s="1"/>
  <c r="CV214" i="17" s="1"/>
  <c r="CW214" i="17" s="1"/>
  <c r="CX214" i="17" s="1"/>
  <c r="CY214" i="17" s="1"/>
  <c r="CZ214" i="17" s="1"/>
  <c r="DA214" i="17" s="1"/>
  <c r="DB214" i="17" s="1"/>
  <c r="DC214" i="17" s="1"/>
  <c r="DD214" i="17" s="1"/>
  <c r="DE214" i="17" s="1"/>
  <c r="DF214" i="17" s="1"/>
  <c r="DG214" i="17" s="1"/>
  <c r="DH214" i="17" s="1"/>
  <c r="DI214" i="17" s="1"/>
  <c r="DJ214" i="17" s="1"/>
  <c r="DK214" i="17" s="1"/>
  <c r="DL214" i="17" s="1"/>
  <c r="Y170" i="17"/>
  <c r="AC236" i="17"/>
  <c r="BP144" i="17"/>
  <c r="BQ144" i="17" s="1"/>
  <c r="BR144" i="17" s="1"/>
  <c r="BS144" i="17" s="1"/>
  <c r="BT144" i="17" s="1"/>
  <c r="BU144" i="17" s="1"/>
  <c r="BV144" i="17" s="1"/>
  <c r="BW144" i="17" s="1"/>
  <c r="BX144" i="17" s="1"/>
  <c r="BY144" i="17" s="1"/>
  <c r="BZ144" i="17" s="1"/>
  <c r="CA144" i="17" s="1"/>
  <c r="CB144" i="17" s="1"/>
  <c r="CC144" i="17" s="1"/>
  <c r="CD144" i="17" s="1"/>
  <c r="CE144" i="17" s="1"/>
  <c r="CF144" i="17" s="1"/>
  <c r="CG144" i="17" s="1"/>
  <c r="CH144" i="17" s="1"/>
  <c r="CI144" i="17" s="1"/>
  <c r="CJ144" i="17" s="1"/>
  <c r="CK144" i="17" s="1"/>
  <c r="CL144" i="17" s="1"/>
  <c r="CM144" i="17" s="1"/>
  <c r="CN144" i="17" s="1"/>
  <c r="CO144" i="17" s="1"/>
  <c r="CP144" i="17" s="1"/>
  <c r="CQ144" i="17" s="1"/>
  <c r="CR144" i="17" s="1"/>
  <c r="CS144" i="17" s="1"/>
  <c r="CT144" i="17" s="1"/>
  <c r="CU144" i="17" s="1"/>
  <c r="CV144" i="17" s="1"/>
  <c r="CW144" i="17" s="1"/>
  <c r="CX144" i="17" s="1"/>
  <c r="CY144" i="17" s="1"/>
  <c r="CZ144" i="17" s="1"/>
  <c r="DA144" i="17" s="1"/>
  <c r="DB144" i="17" s="1"/>
  <c r="DC144" i="17" s="1"/>
  <c r="DD144" i="17" s="1"/>
  <c r="DE144" i="17" s="1"/>
  <c r="DF144" i="17" s="1"/>
  <c r="DG144" i="17" s="1"/>
  <c r="DH144" i="17" s="1"/>
  <c r="DI144" i="17" s="1"/>
  <c r="DJ144" i="17" s="1"/>
  <c r="DK144" i="17" s="1"/>
  <c r="DL144" i="17" s="1"/>
  <c r="AC191" i="17"/>
  <c r="AD191" i="17" s="1"/>
  <c r="AE191" i="17" s="1"/>
  <c r="AF191" i="17" s="1"/>
  <c r="AG191" i="17" s="1"/>
  <c r="AH191" i="17" s="1"/>
  <c r="AI191" i="17" s="1"/>
  <c r="AJ191" i="17" s="1"/>
  <c r="AK191" i="17" s="1"/>
  <c r="AL191" i="17" s="1"/>
  <c r="AM191" i="17" s="1"/>
  <c r="AN191" i="17" s="1"/>
  <c r="AO191" i="17" s="1"/>
  <c r="AP191" i="17" s="1"/>
  <c r="AQ191" i="17" s="1"/>
  <c r="AR191" i="17" s="1"/>
  <c r="AS191" i="17" s="1"/>
  <c r="AT191" i="17" s="1"/>
  <c r="AU191" i="17" s="1"/>
  <c r="AV191" i="17" s="1"/>
  <c r="AW191" i="17" s="1"/>
  <c r="AX191" i="17" s="1"/>
  <c r="AY191" i="17" s="1"/>
  <c r="AZ191" i="17" s="1"/>
  <c r="BA191" i="17" s="1"/>
  <c r="BB191" i="17" s="1"/>
  <c r="BC191" i="17" s="1"/>
  <c r="BD191" i="17" s="1"/>
  <c r="BE191" i="17" s="1"/>
  <c r="BF191" i="17" s="1"/>
  <c r="BG191" i="17" s="1"/>
  <c r="BH191" i="17" s="1"/>
  <c r="BI191" i="17" s="1"/>
  <c r="BJ191" i="17" s="1"/>
  <c r="BK191" i="17" s="1"/>
  <c r="BL191" i="17" s="1"/>
  <c r="BM191" i="17" s="1"/>
  <c r="BN191" i="17" s="1"/>
  <c r="BO191" i="17" s="1"/>
  <c r="BP191" i="17" s="1"/>
  <c r="BQ191" i="17" s="1"/>
  <c r="BR191" i="17" s="1"/>
  <c r="BS191" i="17" s="1"/>
  <c r="BT191" i="17" s="1"/>
  <c r="BU191" i="17" s="1"/>
  <c r="BV191" i="17" s="1"/>
  <c r="BW191" i="17" s="1"/>
  <c r="BX191" i="17" s="1"/>
  <c r="BY191" i="17" s="1"/>
  <c r="BZ191" i="17" s="1"/>
  <c r="CA191" i="17" s="1"/>
  <c r="CB191" i="17" s="1"/>
  <c r="CC191" i="17" s="1"/>
  <c r="CD191" i="17" s="1"/>
  <c r="CE191" i="17" s="1"/>
  <c r="CF191" i="17" s="1"/>
  <c r="CG191" i="17" s="1"/>
  <c r="CH191" i="17" s="1"/>
  <c r="CI191" i="17" s="1"/>
  <c r="CJ191" i="17" s="1"/>
  <c r="CK191" i="17" s="1"/>
  <c r="CL191" i="17" s="1"/>
  <c r="CM191" i="17" s="1"/>
  <c r="CN191" i="17" s="1"/>
  <c r="CO191" i="17" s="1"/>
  <c r="CP191" i="17" s="1"/>
  <c r="CQ191" i="17" s="1"/>
  <c r="CR191" i="17" s="1"/>
  <c r="CS191" i="17" s="1"/>
  <c r="CT191" i="17" s="1"/>
  <c r="CU191" i="17" s="1"/>
  <c r="CV191" i="17" s="1"/>
  <c r="CW191" i="17" s="1"/>
  <c r="CX191" i="17" s="1"/>
  <c r="CY191" i="17" s="1"/>
  <c r="CZ191" i="17" s="1"/>
  <c r="DA191" i="17" s="1"/>
  <c r="DB191" i="17" s="1"/>
  <c r="DC191" i="17" s="1"/>
  <c r="DD191" i="17" s="1"/>
  <c r="DE191" i="17" s="1"/>
  <c r="DF191" i="17" s="1"/>
  <c r="DG191" i="17" s="1"/>
  <c r="DH191" i="17" s="1"/>
  <c r="DI191" i="17" s="1"/>
  <c r="DJ191" i="17" s="1"/>
  <c r="DK191" i="17" s="1"/>
  <c r="DL191" i="17" s="1"/>
  <c r="Y136" i="17"/>
  <c r="Z136" i="17" s="1"/>
  <c r="Z278" i="17"/>
  <c r="AA278" i="17" s="1"/>
  <c r="AB278" i="17" s="1"/>
  <c r="AC278" i="17" s="1"/>
  <c r="AD278" i="17" s="1"/>
  <c r="AE278" i="17" s="1"/>
  <c r="AF278" i="17" s="1"/>
  <c r="AG278" i="17" s="1"/>
  <c r="AH278" i="17" s="1"/>
  <c r="AI278" i="17" s="1"/>
  <c r="AJ278" i="17" s="1"/>
  <c r="AK278" i="17" s="1"/>
  <c r="AL278" i="17" s="1"/>
  <c r="AM278" i="17" s="1"/>
  <c r="AN278" i="17" s="1"/>
  <c r="AO278" i="17" s="1"/>
  <c r="AP278" i="17" s="1"/>
  <c r="AQ278" i="17" s="1"/>
  <c r="AR278" i="17" s="1"/>
  <c r="AS278" i="17" s="1"/>
  <c r="AT278" i="17" s="1"/>
  <c r="AU278" i="17" s="1"/>
  <c r="AV278" i="17" s="1"/>
  <c r="AW278" i="17" s="1"/>
  <c r="AX278" i="17" s="1"/>
  <c r="AY278" i="17" s="1"/>
  <c r="AZ278" i="17" s="1"/>
  <c r="BA278" i="17" s="1"/>
  <c r="BB278" i="17" s="1"/>
  <c r="BC278" i="17" s="1"/>
  <c r="BD278" i="17" s="1"/>
  <c r="BE278" i="17" s="1"/>
  <c r="BF278" i="17" s="1"/>
  <c r="BG278" i="17" s="1"/>
  <c r="BH278" i="17" s="1"/>
  <c r="BI278" i="17" s="1"/>
  <c r="BJ278" i="17" s="1"/>
  <c r="BK278" i="17" s="1"/>
  <c r="BL278" i="17" s="1"/>
  <c r="BM278" i="17" s="1"/>
  <c r="BN278" i="17" s="1"/>
  <c r="BO278" i="17" s="1"/>
  <c r="BP278" i="17" s="1"/>
  <c r="BQ278" i="17" s="1"/>
  <c r="BR278" i="17" s="1"/>
  <c r="BS278" i="17" s="1"/>
  <c r="BT278" i="17" s="1"/>
  <c r="BU278" i="17" s="1"/>
  <c r="BV278" i="17" s="1"/>
  <c r="BW278" i="17" s="1"/>
  <c r="BX278" i="17" s="1"/>
  <c r="BY278" i="17" s="1"/>
  <c r="BZ278" i="17" s="1"/>
  <c r="CA278" i="17" s="1"/>
  <c r="CB278" i="17" s="1"/>
  <c r="CC278" i="17" s="1"/>
  <c r="CD278" i="17" s="1"/>
  <c r="CE278" i="17" s="1"/>
  <c r="CF278" i="17" s="1"/>
  <c r="CG278" i="17" s="1"/>
  <c r="CH278" i="17" s="1"/>
  <c r="CI278" i="17" s="1"/>
  <c r="CJ278" i="17" s="1"/>
  <c r="CK278" i="17" s="1"/>
  <c r="CL278" i="17" s="1"/>
  <c r="CM278" i="17" s="1"/>
  <c r="CN278" i="17" s="1"/>
  <c r="CO278" i="17" s="1"/>
  <c r="CP278" i="17" s="1"/>
  <c r="CQ278" i="17" s="1"/>
  <c r="CR278" i="17" s="1"/>
  <c r="CS278" i="17" s="1"/>
  <c r="CT278" i="17" s="1"/>
  <c r="CU278" i="17" s="1"/>
  <c r="CV278" i="17" s="1"/>
  <c r="CW278" i="17" s="1"/>
  <c r="CX278" i="17" s="1"/>
  <c r="CY278" i="17" s="1"/>
  <c r="CZ278" i="17" s="1"/>
  <c r="DA278" i="17" s="1"/>
  <c r="DB278" i="17" s="1"/>
  <c r="DC278" i="17" s="1"/>
  <c r="DD278" i="17" s="1"/>
  <c r="DE278" i="17" s="1"/>
  <c r="DF278" i="17" s="1"/>
  <c r="DG278" i="17" s="1"/>
  <c r="DH278" i="17" s="1"/>
  <c r="DI278" i="17" s="1"/>
  <c r="DJ278" i="17" s="1"/>
  <c r="DK278" i="17" s="1"/>
  <c r="DL278" i="17" s="1"/>
  <c r="BE268" i="17"/>
  <c r="BF268" i="17" s="1"/>
  <c r="BG268" i="17" s="1"/>
  <c r="BH268" i="17" s="1"/>
  <c r="BI268" i="17" s="1"/>
  <c r="BJ268" i="17" s="1"/>
  <c r="BK268" i="17" s="1"/>
  <c r="BL268" i="17" s="1"/>
  <c r="BM268" i="17" s="1"/>
  <c r="BN268" i="17" s="1"/>
  <c r="BO268" i="17" s="1"/>
  <c r="BP268" i="17" s="1"/>
  <c r="BQ268" i="17" s="1"/>
  <c r="BR268" i="17" s="1"/>
  <c r="BS268" i="17" s="1"/>
  <c r="BT268" i="17" s="1"/>
  <c r="BU268" i="17" s="1"/>
  <c r="BV268" i="17" s="1"/>
  <c r="BW268" i="17" s="1"/>
  <c r="BX268" i="17" s="1"/>
  <c r="BY268" i="17" s="1"/>
  <c r="BZ268" i="17" s="1"/>
  <c r="CA268" i="17" s="1"/>
  <c r="CB268" i="17" s="1"/>
  <c r="CC268" i="17" s="1"/>
  <c r="CD268" i="17" s="1"/>
  <c r="CE268" i="17" s="1"/>
  <c r="CF268" i="17" s="1"/>
  <c r="CG268" i="17" s="1"/>
  <c r="CH268" i="17" s="1"/>
  <c r="CI268" i="17" s="1"/>
  <c r="CJ268" i="17" s="1"/>
  <c r="CK268" i="17" s="1"/>
  <c r="CL268" i="17" s="1"/>
  <c r="CM268" i="17" s="1"/>
  <c r="CN268" i="17" s="1"/>
  <c r="CO268" i="17" s="1"/>
  <c r="CP268" i="17" s="1"/>
  <c r="CQ268" i="17" s="1"/>
  <c r="CR268" i="17" s="1"/>
  <c r="CS268" i="17" s="1"/>
  <c r="CT268" i="17" s="1"/>
  <c r="CU268" i="17" s="1"/>
  <c r="CV268" i="17" s="1"/>
  <c r="CW268" i="17" s="1"/>
  <c r="CX268" i="17" s="1"/>
  <c r="CY268" i="17" s="1"/>
  <c r="CZ268" i="17" s="1"/>
  <c r="DA268" i="17" s="1"/>
  <c r="DB268" i="17" s="1"/>
  <c r="DC268" i="17" s="1"/>
  <c r="DD268" i="17" s="1"/>
  <c r="DE268" i="17" s="1"/>
  <c r="DF268" i="17" s="1"/>
  <c r="DG268" i="17" s="1"/>
  <c r="DH268" i="17" s="1"/>
  <c r="DI268" i="17" s="1"/>
  <c r="DJ268" i="17" s="1"/>
  <c r="DK268" i="17" s="1"/>
  <c r="DL268" i="17" s="1"/>
  <c r="BY260" i="17"/>
  <c r="BZ260" i="17" s="1"/>
  <c r="CA260" i="17" s="1"/>
  <c r="CB260" i="17" s="1"/>
  <c r="CC260" i="17" s="1"/>
  <c r="CD260" i="17" s="1"/>
  <c r="CE260" i="17" s="1"/>
  <c r="CF260" i="17" s="1"/>
  <c r="CG260" i="17" s="1"/>
  <c r="CH260" i="17" s="1"/>
  <c r="CI260" i="17" s="1"/>
  <c r="CJ260" i="17" s="1"/>
  <c r="CK260" i="17" s="1"/>
  <c r="CL260" i="17" s="1"/>
  <c r="CM260" i="17" s="1"/>
  <c r="CN260" i="17" s="1"/>
  <c r="CO260" i="17" s="1"/>
  <c r="CP260" i="17" s="1"/>
  <c r="CQ260" i="17" s="1"/>
  <c r="CR260" i="17" s="1"/>
  <c r="CS260" i="17" s="1"/>
  <c r="CT260" i="17" s="1"/>
  <c r="CU260" i="17" s="1"/>
  <c r="CV260" i="17" s="1"/>
  <c r="CW260" i="17" s="1"/>
  <c r="CX260" i="17" s="1"/>
  <c r="CY260" i="17" s="1"/>
  <c r="CZ260" i="17" s="1"/>
  <c r="DA260" i="17" s="1"/>
  <c r="DB260" i="17" s="1"/>
  <c r="DC260" i="17" s="1"/>
  <c r="DD260" i="17" s="1"/>
  <c r="DE260" i="17" s="1"/>
  <c r="DF260" i="17" s="1"/>
  <c r="DG260" i="17" s="1"/>
  <c r="DH260" i="17" s="1"/>
  <c r="DI260" i="17" s="1"/>
  <c r="DJ260" i="17" s="1"/>
  <c r="DK260" i="17" s="1"/>
  <c r="DL260" i="17" s="1"/>
  <c r="X192" i="17"/>
  <c r="Y192" i="17" s="1"/>
  <c r="AD57" i="17"/>
  <c r="AE57" i="17" s="1"/>
  <c r="AF57" i="17" s="1"/>
  <c r="AG57" i="17" s="1"/>
  <c r="AH57" i="17" s="1"/>
  <c r="AI57" i="17" s="1"/>
  <c r="AJ57" i="17" s="1"/>
  <c r="AK57" i="17" s="1"/>
  <c r="AL57" i="17" s="1"/>
  <c r="AM57" i="17" s="1"/>
  <c r="AN57" i="17" s="1"/>
  <c r="AO57" i="17" s="1"/>
  <c r="AP57" i="17" s="1"/>
  <c r="AQ57" i="17" s="1"/>
  <c r="AR57" i="17" s="1"/>
  <c r="AS57" i="17" s="1"/>
  <c r="AT57" i="17" s="1"/>
  <c r="AU57" i="17" s="1"/>
  <c r="AV57" i="17" s="1"/>
  <c r="AW57" i="17" s="1"/>
  <c r="AX57" i="17" s="1"/>
  <c r="AY57" i="17" s="1"/>
  <c r="AZ57" i="17" s="1"/>
  <c r="BA57" i="17" s="1"/>
  <c r="BB57" i="17" s="1"/>
  <c r="BC57" i="17" s="1"/>
  <c r="BD57" i="17" s="1"/>
  <c r="AA122" i="17"/>
  <c r="AB122" i="17" s="1"/>
  <c r="BK248" i="17"/>
  <c r="BB270" i="17"/>
  <c r="BC270" i="17" s="1"/>
  <c r="BD270" i="17" s="1"/>
  <c r="BE270" i="17" s="1"/>
  <c r="BF270" i="17" s="1"/>
  <c r="BG270" i="17" s="1"/>
  <c r="BH270" i="17" s="1"/>
  <c r="BI270" i="17" s="1"/>
  <c r="BJ270" i="17" s="1"/>
  <c r="BK270" i="17" s="1"/>
  <c r="BL270" i="17" s="1"/>
  <c r="BM270" i="17" s="1"/>
  <c r="BN270" i="17" s="1"/>
  <c r="BO270" i="17" s="1"/>
  <c r="BP270" i="17" s="1"/>
  <c r="BQ270" i="17" s="1"/>
  <c r="BR270" i="17" s="1"/>
  <c r="BS270" i="17" s="1"/>
  <c r="BT270" i="17" s="1"/>
  <c r="BU270" i="17" s="1"/>
  <c r="BV270" i="17" s="1"/>
  <c r="BW270" i="17" s="1"/>
  <c r="BX270" i="17" s="1"/>
  <c r="BY270" i="17" s="1"/>
  <c r="BZ270" i="17" s="1"/>
  <c r="CA270" i="17" s="1"/>
  <c r="CB270" i="17" s="1"/>
  <c r="CC270" i="17" s="1"/>
  <c r="CD270" i="17" s="1"/>
  <c r="CE270" i="17" s="1"/>
  <c r="CF270" i="17" s="1"/>
  <c r="CG270" i="17" s="1"/>
  <c r="CH270" i="17" s="1"/>
  <c r="CI270" i="17" s="1"/>
  <c r="CJ270" i="17" s="1"/>
  <c r="CK270" i="17" s="1"/>
  <c r="CL270" i="17" s="1"/>
  <c r="CM270" i="17" s="1"/>
  <c r="CN270" i="17" s="1"/>
  <c r="CO270" i="17" s="1"/>
  <c r="CP270" i="17" s="1"/>
  <c r="CQ270" i="17" s="1"/>
  <c r="CR270" i="17" s="1"/>
  <c r="CS270" i="17" s="1"/>
  <c r="CT270" i="17" s="1"/>
  <c r="CU270" i="17" s="1"/>
  <c r="CV270" i="17" s="1"/>
  <c r="CW270" i="17" s="1"/>
  <c r="CX270" i="17" s="1"/>
  <c r="CY270" i="17" s="1"/>
  <c r="CZ270" i="17" s="1"/>
  <c r="DA270" i="17" s="1"/>
  <c r="DB270" i="17" s="1"/>
  <c r="DC270" i="17" s="1"/>
  <c r="DD270" i="17" s="1"/>
  <c r="DE270" i="17" s="1"/>
  <c r="DF270" i="17" s="1"/>
  <c r="DG270" i="17" s="1"/>
  <c r="DH270" i="17" s="1"/>
  <c r="DI270" i="17" s="1"/>
  <c r="DJ270" i="17" s="1"/>
  <c r="DK270" i="17" s="1"/>
  <c r="DL270" i="17" s="1"/>
  <c r="X232" i="17"/>
  <c r="AJ17" i="17"/>
  <c r="AK17" i="17" s="1"/>
  <c r="AL17" i="17" s="1"/>
  <c r="AM17" i="17" s="1"/>
  <c r="AN17" i="17" s="1"/>
  <c r="AO17" i="17" s="1"/>
  <c r="AP17" i="17" s="1"/>
  <c r="AQ17" i="17" s="1"/>
  <c r="AR17" i="17" s="1"/>
  <c r="AS17" i="17" s="1"/>
  <c r="AT17" i="17" s="1"/>
  <c r="AU17" i="17" s="1"/>
  <c r="AV17" i="17" s="1"/>
  <c r="AW17" i="17" s="1"/>
  <c r="AX17" i="17" s="1"/>
  <c r="AY17" i="17" s="1"/>
  <c r="AZ17" i="17" s="1"/>
  <c r="BA17" i="17" s="1"/>
  <c r="BB17" i="17" s="1"/>
  <c r="BC17" i="17" s="1"/>
  <c r="BD17" i="17" s="1"/>
  <c r="BE17" i="17" s="1"/>
  <c r="BF17" i="17" s="1"/>
  <c r="BG17" i="17" s="1"/>
  <c r="BH17" i="17" s="1"/>
  <c r="BI17" i="17" s="1"/>
  <c r="BJ17" i="17" s="1"/>
  <c r="BK17" i="17" s="1"/>
  <c r="BL17" i="17" s="1"/>
  <c r="BM17" i="17" s="1"/>
  <c r="BN17" i="17" s="1"/>
  <c r="BO17" i="17" s="1"/>
  <c r="BP17" i="17" s="1"/>
  <c r="BQ17" i="17" s="1"/>
  <c r="BR17" i="17" s="1"/>
  <c r="BS17" i="17" s="1"/>
  <c r="BT17" i="17" s="1"/>
  <c r="BU17" i="17" s="1"/>
  <c r="BV17" i="17" s="1"/>
  <c r="BW17" i="17" s="1"/>
  <c r="BX17" i="17" s="1"/>
  <c r="BY17" i="17" s="1"/>
  <c r="BZ17" i="17" s="1"/>
  <c r="CA17" i="17" s="1"/>
  <c r="CB17" i="17" s="1"/>
  <c r="CC17" i="17" s="1"/>
  <c r="CD17" i="17" s="1"/>
  <c r="CE17" i="17" s="1"/>
  <c r="CF17" i="17" s="1"/>
  <c r="CG17" i="17" s="1"/>
  <c r="CH17" i="17" s="1"/>
  <c r="CI17" i="17" s="1"/>
  <c r="CJ17" i="17" s="1"/>
  <c r="CK17" i="17" s="1"/>
  <c r="CL17" i="17" s="1"/>
  <c r="CM17" i="17" s="1"/>
  <c r="CN17" i="17" s="1"/>
  <c r="CO17" i="17" s="1"/>
  <c r="CP17" i="17" s="1"/>
  <c r="CQ17" i="17" s="1"/>
  <c r="CR17" i="17" s="1"/>
  <c r="CS17" i="17" s="1"/>
  <c r="CT17" i="17" s="1"/>
  <c r="CU17" i="17" s="1"/>
  <c r="CV17" i="17" s="1"/>
  <c r="CW17" i="17" s="1"/>
  <c r="CX17" i="17" s="1"/>
  <c r="CY17" i="17" s="1"/>
  <c r="CZ17" i="17" s="1"/>
  <c r="DA17" i="17" s="1"/>
  <c r="DB17" i="17" s="1"/>
  <c r="DC17" i="17" s="1"/>
  <c r="DD17" i="17" s="1"/>
  <c r="DE17" i="17" s="1"/>
  <c r="DF17" i="17" s="1"/>
  <c r="DG17" i="17" s="1"/>
  <c r="DH17" i="17" s="1"/>
  <c r="DI17" i="17" s="1"/>
  <c r="DJ17" i="17" s="1"/>
  <c r="DK17" i="17" s="1"/>
  <c r="DL17" i="17" s="1"/>
  <c r="AL193" i="17"/>
  <c r="X55" i="17"/>
  <c r="Y145" i="17"/>
  <c r="Z145" i="17" s="1"/>
  <c r="Y178" i="17"/>
  <c r="Z178" i="17"/>
  <c r="AU290" i="17"/>
  <c r="AV290" i="17" s="1"/>
  <c r="AW290" i="17" s="1"/>
  <c r="AX290" i="17" s="1"/>
  <c r="AY290" i="17" s="1"/>
  <c r="AZ290" i="17" s="1"/>
  <c r="BA290" i="17" s="1"/>
  <c r="BB290" i="17" s="1"/>
  <c r="BC290" i="17" s="1"/>
  <c r="BD290" i="17" s="1"/>
  <c r="BE290" i="17" s="1"/>
  <c r="BF290" i="17" s="1"/>
  <c r="BG290" i="17" s="1"/>
  <c r="BH290" i="17" s="1"/>
  <c r="BI290" i="17" s="1"/>
  <c r="BJ290" i="17" s="1"/>
  <c r="BK290" i="17" s="1"/>
  <c r="BL290" i="17" s="1"/>
  <c r="BM290" i="17" s="1"/>
  <c r="BN290" i="17" s="1"/>
  <c r="BO290" i="17" s="1"/>
  <c r="BP290" i="17" s="1"/>
  <c r="BQ290" i="17" s="1"/>
  <c r="BR290" i="17" s="1"/>
  <c r="BS290" i="17" s="1"/>
  <c r="BT290" i="17" s="1"/>
  <c r="BU290" i="17" s="1"/>
  <c r="BV290" i="17" s="1"/>
  <c r="BW290" i="17" s="1"/>
  <c r="BX290" i="17" s="1"/>
  <c r="BY290" i="17" s="1"/>
  <c r="BZ290" i="17" s="1"/>
  <c r="CA290" i="17" s="1"/>
  <c r="CB290" i="17" s="1"/>
  <c r="CC290" i="17" s="1"/>
  <c r="CD290" i="17" s="1"/>
  <c r="CE290" i="17" s="1"/>
  <c r="CF290" i="17" s="1"/>
  <c r="CG290" i="17" s="1"/>
  <c r="CH290" i="17" s="1"/>
  <c r="CI290" i="17" s="1"/>
  <c r="CJ290" i="17" s="1"/>
  <c r="CK290" i="17" s="1"/>
  <c r="CL290" i="17" s="1"/>
  <c r="CM290" i="17" s="1"/>
  <c r="CN290" i="17" s="1"/>
  <c r="CO290" i="17" s="1"/>
  <c r="CP290" i="17" s="1"/>
  <c r="CQ290" i="17" s="1"/>
  <c r="CR290" i="17" s="1"/>
  <c r="CS290" i="17" s="1"/>
  <c r="CT290" i="17" s="1"/>
  <c r="CU290" i="17" s="1"/>
  <c r="CV290" i="17" s="1"/>
  <c r="CW290" i="17" s="1"/>
  <c r="CX290" i="17" s="1"/>
  <c r="CY290" i="17" s="1"/>
  <c r="CZ290" i="17" s="1"/>
  <c r="DA290" i="17" s="1"/>
  <c r="DB290" i="17" s="1"/>
  <c r="DC290" i="17" s="1"/>
  <c r="DD290" i="17" s="1"/>
  <c r="DE290" i="17" s="1"/>
  <c r="DF290" i="17" s="1"/>
  <c r="DG290" i="17" s="1"/>
  <c r="DH290" i="17" s="1"/>
  <c r="DI290" i="17" s="1"/>
  <c r="DJ290" i="17" s="1"/>
  <c r="DK290" i="17" s="1"/>
  <c r="DL290" i="17" s="1"/>
  <c r="AI288" i="17"/>
  <c r="AJ288" i="17" s="1"/>
  <c r="AK288" i="17" s="1"/>
  <c r="AL288" i="17" s="1"/>
  <c r="AM288" i="17" s="1"/>
  <c r="AN288" i="17" s="1"/>
  <c r="AO288" i="17" s="1"/>
  <c r="AP288" i="17" s="1"/>
  <c r="AQ288" i="17" s="1"/>
  <c r="AR288" i="17" s="1"/>
  <c r="AS288" i="17" s="1"/>
  <c r="AT288" i="17" s="1"/>
  <c r="AU288" i="17" s="1"/>
  <c r="AV288" i="17" s="1"/>
  <c r="Z161" i="17"/>
  <c r="AA161" i="17" s="1"/>
  <c r="AB161" i="17" s="1"/>
  <c r="AC161" i="17" s="1"/>
  <c r="AD161" i="17" s="1"/>
  <c r="AE161" i="17" s="1"/>
  <c r="AF161" i="17" s="1"/>
  <c r="AG161" i="17" s="1"/>
  <c r="AH161" i="17" s="1"/>
  <c r="AI161" i="17" s="1"/>
  <c r="AJ161" i="17" s="1"/>
  <c r="AK161" i="17" s="1"/>
  <c r="AL161" i="17" s="1"/>
  <c r="AM161" i="17" s="1"/>
  <c r="AN161" i="17" s="1"/>
  <c r="AO161" i="17" s="1"/>
  <c r="AP161" i="17" s="1"/>
  <c r="AQ161" i="17" s="1"/>
  <c r="AR161" i="17" s="1"/>
  <c r="AS161" i="17" s="1"/>
  <c r="AT161" i="17" s="1"/>
  <c r="AU161" i="17" s="1"/>
  <c r="AV161" i="17" s="1"/>
  <c r="AW161" i="17" s="1"/>
  <c r="AX161" i="17" s="1"/>
  <c r="Y116" i="17"/>
  <c r="Z116" i="17" s="1"/>
  <c r="AA116" i="17" s="1"/>
  <c r="AB116" i="17" s="1"/>
  <c r="AC116" i="17" s="1"/>
  <c r="AD116" i="17" s="1"/>
  <c r="AE116" i="17" s="1"/>
  <c r="AF116" i="17" s="1"/>
  <c r="AG116" i="17" s="1"/>
  <c r="AH116" i="17" s="1"/>
  <c r="AI116" i="17" s="1"/>
  <c r="AJ116" i="17" s="1"/>
  <c r="AK116" i="17" s="1"/>
  <c r="AL116" i="17" s="1"/>
  <c r="AM116" i="17" s="1"/>
  <c r="AN116" i="17" s="1"/>
  <c r="AO116" i="17" s="1"/>
  <c r="AP116" i="17" s="1"/>
  <c r="AQ116" i="17" s="1"/>
  <c r="AR116" i="17" s="1"/>
  <c r="AS116" i="17" s="1"/>
  <c r="AT116" i="17" s="1"/>
  <c r="AU116" i="17" s="1"/>
  <c r="AV116" i="17" s="1"/>
  <c r="AW116" i="17" s="1"/>
  <c r="AX116" i="17" s="1"/>
  <c r="AY116" i="17" s="1"/>
  <c r="AZ116" i="17" s="1"/>
  <c r="BA116" i="17" s="1"/>
  <c r="BB116" i="17" s="1"/>
  <c r="BC116" i="17" s="1"/>
  <c r="BD116" i="17" s="1"/>
  <c r="BE116" i="17" s="1"/>
  <c r="BF116" i="17" s="1"/>
  <c r="BG116" i="17" s="1"/>
  <c r="BH116" i="17" s="1"/>
  <c r="BI116" i="17" s="1"/>
  <c r="BJ116" i="17" s="1"/>
  <c r="BK116" i="17" s="1"/>
  <c r="BL116" i="17" s="1"/>
  <c r="BM116" i="17" s="1"/>
  <c r="BN116" i="17" s="1"/>
  <c r="BO116" i="17" s="1"/>
  <c r="BP116" i="17" s="1"/>
  <c r="BQ116" i="17" s="1"/>
  <c r="BR116" i="17" s="1"/>
  <c r="BS116" i="17" s="1"/>
  <c r="BT116" i="17" s="1"/>
  <c r="BU116" i="17" s="1"/>
  <c r="BV116" i="17" s="1"/>
  <c r="BW116" i="17" s="1"/>
  <c r="BX116" i="17" s="1"/>
  <c r="BY116" i="17" s="1"/>
  <c r="BZ116" i="17" s="1"/>
  <c r="CA116" i="17" s="1"/>
  <c r="CB116" i="17" s="1"/>
  <c r="CC116" i="17" s="1"/>
  <c r="CD116" i="17" s="1"/>
  <c r="CE116" i="17" s="1"/>
  <c r="CF116" i="17" s="1"/>
  <c r="CG116" i="17" s="1"/>
  <c r="CH116" i="17" s="1"/>
  <c r="CI116" i="17" s="1"/>
  <c r="CJ116" i="17" s="1"/>
  <c r="CK116" i="17" s="1"/>
  <c r="CL116" i="17" s="1"/>
  <c r="CM116" i="17" s="1"/>
  <c r="CN116" i="17" s="1"/>
  <c r="CO116" i="17" s="1"/>
  <c r="CP116" i="17" s="1"/>
  <c r="CQ116" i="17" s="1"/>
  <c r="CR116" i="17" s="1"/>
  <c r="CS116" i="17" s="1"/>
  <c r="CT116" i="17" s="1"/>
  <c r="CU116" i="17" s="1"/>
  <c r="CV116" i="17" s="1"/>
  <c r="CW116" i="17" s="1"/>
  <c r="CX116" i="17" s="1"/>
  <c r="CY116" i="17" s="1"/>
  <c r="CZ116" i="17" s="1"/>
  <c r="DA116" i="17" s="1"/>
  <c r="DB116" i="17" s="1"/>
  <c r="DC116" i="17" s="1"/>
  <c r="DD116" i="17" s="1"/>
  <c r="DE116" i="17" s="1"/>
  <c r="DF116" i="17" s="1"/>
  <c r="DG116" i="17" s="1"/>
  <c r="DH116" i="17" s="1"/>
  <c r="DI116" i="17" s="1"/>
  <c r="DJ116" i="17" s="1"/>
  <c r="DK116" i="17" s="1"/>
  <c r="DL116" i="17" s="1"/>
  <c r="AB42" i="17"/>
  <c r="AA197" i="17"/>
  <c r="AB197" i="17" s="1"/>
  <c r="AC197" i="17" s="1"/>
  <c r="AD197" i="17" s="1"/>
  <c r="AE197" i="17" s="1"/>
  <c r="AF197" i="17" s="1"/>
  <c r="AG197" i="17" s="1"/>
  <c r="AH197" i="17" s="1"/>
  <c r="AI197" i="17" s="1"/>
  <c r="AJ197" i="17" s="1"/>
  <c r="AK197" i="17" s="1"/>
  <c r="AL197" i="17" s="1"/>
  <c r="AM197" i="17" s="1"/>
  <c r="AN197" i="17" s="1"/>
  <c r="AO197" i="17" s="1"/>
  <c r="AP197" i="17" s="1"/>
  <c r="AQ197" i="17" s="1"/>
  <c r="AR197" i="17" s="1"/>
  <c r="AS197" i="17" s="1"/>
  <c r="AT197" i="17" s="1"/>
  <c r="AU197" i="17" s="1"/>
  <c r="AV197" i="17" s="1"/>
  <c r="AW197" i="17" s="1"/>
  <c r="AX197" i="17" s="1"/>
  <c r="AY197" i="17" s="1"/>
  <c r="AZ197" i="17" s="1"/>
  <c r="BA197" i="17" s="1"/>
  <c r="BB197" i="17" s="1"/>
  <c r="BC197" i="17" s="1"/>
  <c r="BD197" i="17" s="1"/>
  <c r="BE197" i="17" s="1"/>
  <c r="BF197" i="17" s="1"/>
  <c r="BG197" i="17" s="1"/>
  <c r="BH197" i="17" s="1"/>
  <c r="BI197" i="17" s="1"/>
  <c r="BJ197" i="17" s="1"/>
  <c r="BK197" i="17" s="1"/>
  <c r="BL197" i="17" s="1"/>
  <c r="BM197" i="17" s="1"/>
  <c r="BN197" i="17" s="1"/>
  <c r="BO197" i="17" s="1"/>
  <c r="BP197" i="17" s="1"/>
  <c r="BQ197" i="17" s="1"/>
  <c r="BR197" i="17" s="1"/>
  <c r="BS197" i="17" s="1"/>
  <c r="BT197" i="17" s="1"/>
  <c r="BU197" i="17" s="1"/>
  <c r="BV197" i="17" s="1"/>
  <c r="BW197" i="17" s="1"/>
  <c r="BX197" i="17" s="1"/>
  <c r="BY197" i="17" s="1"/>
  <c r="BZ197" i="17" s="1"/>
  <c r="CA197" i="17" s="1"/>
  <c r="CB197" i="17" s="1"/>
  <c r="CC197" i="17" s="1"/>
  <c r="CD197" i="17" s="1"/>
  <c r="CE197" i="17" s="1"/>
  <c r="CF197" i="17" s="1"/>
  <c r="CG197" i="17" s="1"/>
  <c r="CH197" i="17" s="1"/>
  <c r="CI197" i="17" s="1"/>
  <c r="CJ197" i="17" s="1"/>
  <c r="CK197" i="17" s="1"/>
  <c r="CL197" i="17" s="1"/>
  <c r="CM197" i="17" s="1"/>
  <c r="CN197" i="17" s="1"/>
  <c r="CO197" i="17" s="1"/>
  <c r="CP197" i="17" s="1"/>
  <c r="CQ197" i="17" s="1"/>
  <c r="CR197" i="17" s="1"/>
  <c r="CS197" i="17" s="1"/>
  <c r="CT197" i="17" s="1"/>
  <c r="CU197" i="17" s="1"/>
  <c r="CV197" i="17" s="1"/>
  <c r="CW197" i="17" s="1"/>
  <c r="CX197" i="17" s="1"/>
  <c r="CY197" i="17" s="1"/>
  <c r="CZ197" i="17" s="1"/>
  <c r="DA197" i="17" s="1"/>
  <c r="DB197" i="17" s="1"/>
  <c r="DC197" i="17" s="1"/>
  <c r="DD197" i="17" s="1"/>
  <c r="DE197" i="17" s="1"/>
  <c r="DF197" i="17" s="1"/>
  <c r="DG197" i="17" s="1"/>
  <c r="DH197" i="17" s="1"/>
  <c r="DI197" i="17" s="1"/>
  <c r="DJ197" i="17" s="1"/>
  <c r="DK197" i="17" s="1"/>
  <c r="DL197" i="17" s="1"/>
  <c r="AK247" i="17"/>
  <c r="AL247" i="17" s="1"/>
  <c r="AM247" i="17" s="1"/>
  <c r="AN247" i="17" s="1"/>
  <c r="AO247" i="17" s="1"/>
  <c r="AP247" i="17" s="1"/>
  <c r="AQ247" i="17" s="1"/>
  <c r="AR247" i="17" s="1"/>
  <c r="AS247" i="17" s="1"/>
  <c r="AT247" i="17" s="1"/>
  <c r="AU247" i="17" s="1"/>
  <c r="AV247" i="17" s="1"/>
  <c r="AW247" i="17" s="1"/>
  <c r="AX247" i="17" s="1"/>
  <c r="AY247" i="17" s="1"/>
  <c r="AZ247" i="17" s="1"/>
  <c r="BA247" i="17" s="1"/>
  <c r="BB247" i="17" s="1"/>
  <c r="BC247" i="17" s="1"/>
  <c r="BD247" i="17" s="1"/>
  <c r="BE247" i="17" s="1"/>
  <c r="BF247" i="17" s="1"/>
  <c r="BG247" i="17" s="1"/>
  <c r="BH247" i="17" s="1"/>
  <c r="BI247" i="17" s="1"/>
  <c r="BJ247" i="17" s="1"/>
  <c r="BK247" i="17" s="1"/>
  <c r="BL247" i="17" s="1"/>
  <c r="BM247" i="17" s="1"/>
  <c r="BN247" i="17" s="1"/>
  <c r="BO247" i="17" s="1"/>
  <c r="BP247" i="17" s="1"/>
  <c r="BQ247" i="17" s="1"/>
  <c r="BR247" i="17" s="1"/>
  <c r="BS247" i="17" s="1"/>
  <c r="BT247" i="17" s="1"/>
  <c r="BU247" i="17" s="1"/>
  <c r="BV247" i="17" s="1"/>
  <c r="BW247" i="17" s="1"/>
  <c r="BX247" i="17" s="1"/>
  <c r="BY247" i="17" s="1"/>
  <c r="BZ247" i="17" s="1"/>
  <c r="CA247" i="17" s="1"/>
  <c r="CB247" i="17" s="1"/>
  <c r="CC247" i="17" s="1"/>
  <c r="CD247" i="17" s="1"/>
  <c r="CE247" i="17" s="1"/>
  <c r="CF247" i="17" s="1"/>
  <c r="CG247" i="17" s="1"/>
  <c r="CH247" i="17" s="1"/>
  <c r="CI247" i="17" s="1"/>
  <c r="CJ247" i="17" s="1"/>
  <c r="CK247" i="17" s="1"/>
  <c r="CL247" i="17" s="1"/>
  <c r="CM247" i="17" s="1"/>
  <c r="CN247" i="17" s="1"/>
  <c r="CO247" i="17" s="1"/>
  <c r="CP247" i="17" s="1"/>
  <c r="CQ247" i="17" s="1"/>
  <c r="CR247" i="17" s="1"/>
  <c r="CS247" i="17" s="1"/>
  <c r="CT247" i="17" s="1"/>
  <c r="CU247" i="17" s="1"/>
  <c r="CV247" i="17" s="1"/>
  <c r="CW247" i="17" s="1"/>
  <c r="CX247" i="17" s="1"/>
  <c r="CY247" i="17" s="1"/>
  <c r="CZ247" i="17" s="1"/>
  <c r="DA247" i="17" s="1"/>
  <c r="DB247" i="17" s="1"/>
  <c r="DC247" i="17" s="1"/>
  <c r="DD247" i="17" s="1"/>
  <c r="DE247" i="17" s="1"/>
  <c r="DF247" i="17" s="1"/>
  <c r="DG247" i="17" s="1"/>
  <c r="DH247" i="17" s="1"/>
  <c r="DI247" i="17" s="1"/>
  <c r="DJ247" i="17" s="1"/>
  <c r="DK247" i="17" s="1"/>
  <c r="DL247" i="17" s="1"/>
  <c r="AA168" i="17"/>
  <c r="AB168" i="17" s="1"/>
  <c r="AA203" i="17"/>
  <c r="AB203" i="17" s="1"/>
  <c r="AC203" i="17" s="1"/>
  <c r="AD203" i="17" s="1"/>
  <c r="AE203" i="17" s="1"/>
  <c r="AF203" i="17" s="1"/>
  <c r="AG203" i="17" s="1"/>
  <c r="AH203" i="17" s="1"/>
  <c r="AI203" i="17" s="1"/>
  <c r="AJ203" i="17" s="1"/>
  <c r="AK203" i="17" s="1"/>
  <c r="AL203" i="17" s="1"/>
  <c r="AM203" i="17" s="1"/>
  <c r="AN203" i="17" s="1"/>
  <c r="AO203" i="17" s="1"/>
  <c r="AP203" i="17" s="1"/>
  <c r="AQ203" i="17" s="1"/>
  <c r="AR203" i="17" s="1"/>
  <c r="AS203" i="17" s="1"/>
  <c r="AT203" i="17" s="1"/>
  <c r="AU203" i="17" s="1"/>
  <c r="AV203" i="17" s="1"/>
  <c r="AW203" i="17" s="1"/>
  <c r="AX203" i="17" s="1"/>
  <c r="AY203" i="17" s="1"/>
  <c r="AZ203" i="17" s="1"/>
  <c r="BA203" i="17" s="1"/>
  <c r="BB203" i="17" s="1"/>
  <c r="BC203" i="17" s="1"/>
  <c r="BD203" i="17" s="1"/>
  <c r="BE203" i="17" s="1"/>
  <c r="BF203" i="17" s="1"/>
  <c r="BG203" i="17" s="1"/>
  <c r="BH203" i="17" s="1"/>
  <c r="BI203" i="17" s="1"/>
  <c r="BJ203" i="17" s="1"/>
  <c r="BK203" i="17" s="1"/>
  <c r="AD29" i="17"/>
  <c r="AC112" i="17"/>
  <c r="AD112" i="17" s="1"/>
  <c r="AE112" i="17" s="1"/>
  <c r="AF112" i="17" s="1"/>
  <c r="AG112" i="17" s="1"/>
  <c r="AH112" i="17" s="1"/>
  <c r="AG237" i="17"/>
  <c r="AH237" i="17" s="1"/>
  <c r="AI237" i="17" s="1"/>
  <c r="AJ237" i="17" s="1"/>
  <c r="AK237" i="17" s="1"/>
  <c r="AL237" i="17" s="1"/>
  <c r="AM237" i="17" s="1"/>
  <c r="AN237" i="17" s="1"/>
  <c r="AO237" i="17" s="1"/>
  <c r="AP237" i="17" s="1"/>
  <c r="AQ237" i="17" s="1"/>
  <c r="AR237" i="17" s="1"/>
  <c r="AS237" i="17" s="1"/>
  <c r="AT237" i="17" s="1"/>
  <c r="AU237" i="17" s="1"/>
  <c r="AV237" i="17" s="1"/>
  <c r="AW237" i="17" s="1"/>
  <c r="AX237" i="17" s="1"/>
  <c r="AY237" i="17" s="1"/>
  <c r="AZ237" i="17" s="1"/>
  <c r="BA237" i="17" s="1"/>
  <c r="BB237" i="17" s="1"/>
  <c r="BC237" i="17" s="1"/>
  <c r="BD237" i="17" s="1"/>
  <c r="BE237" i="17" s="1"/>
  <c r="BF237" i="17" s="1"/>
  <c r="BG237" i="17" s="1"/>
  <c r="BH237" i="17" s="1"/>
  <c r="BI237" i="17" s="1"/>
  <c r="BJ237" i="17" s="1"/>
  <c r="BK237" i="17" s="1"/>
  <c r="BL237" i="17" s="1"/>
  <c r="BM237" i="17" s="1"/>
  <c r="BN237" i="17" s="1"/>
  <c r="BO237" i="17" s="1"/>
  <c r="BP237" i="17" s="1"/>
  <c r="BQ237" i="17" s="1"/>
  <c r="BR237" i="17" s="1"/>
  <c r="BS237" i="17" s="1"/>
  <c r="BT237" i="17" s="1"/>
  <c r="BU237" i="17" s="1"/>
  <c r="BV237" i="17" s="1"/>
  <c r="BW237" i="17" s="1"/>
  <c r="BX237" i="17" s="1"/>
  <c r="BY237" i="17" s="1"/>
  <c r="BZ237" i="17" s="1"/>
  <c r="CA237" i="17" s="1"/>
  <c r="CB237" i="17" s="1"/>
  <c r="CC237" i="17" s="1"/>
  <c r="CD237" i="17" s="1"/>
  <c r="CE237" i="17" s="1"/>
  <c r="CF237" i="17" s="1"/>
  <c r="CG237" i="17" s="1"/>
  <c r="CH237" i="17" s="1"/>
  <c r="CI237" i="17" s="1"/>
  <c r="CJ237" i="17" s="1"/>
  <c r="CK237" i="17" s="1"/>
  <c r="CL237" i="17" s="1"/>
  <c r="CM237" i="17" s="1"/>
  <c r="CN237" i="17" s="1"/>
  <c r="CO237" i="17" s="1"/>
  <c r="CP237" i="17" s="1"/>
  <c r="CQ237" i="17" s="1"/>
  <c r="CR237" i="17" s="1"/>
  <c r="CS237" i="17" s="1"/>
  <c r="CT237" i="17" s="1"/>
  <c r="CU237" i="17" s="1"/>
  <c r="CV237" i="17" s="1"/>
  <c r="CW237" i="17" s="1"/>
  <c r="CX237" i="17" s="1"/>
  <c r="CY237" i="17" s="1"/>
  <c r="CZ237" i="17" s="1"/>
  <c r="DA237" i="17" s="1"/>
  <c r="DB237" i="17" s="1"/>
  <c r="DC237" i="17" s="1"/>
  <c r="DD237" i="17" s="1"/>
  <c r="DE237" i="17" s="1"/>
  <c r="DF237" i="17" s="1"/>
  <c r="DG237" i="17" s="1"/>
  <c r="DH237" i="17" s="1"/>
  <c r="DI237" i="17" s="1"/>
  <c r="DJ237" i="17" s="1"/>
  <c r="DK237" i="17" s="1"/>
  <c r="DL237" i="17" s="1"/>
  <c r="BD50" i="17"/>
  <c r="BE50" i="17" s="1"/>
  <c r="BF50" i="17" s="1"/>
  <c r="BG50" i="17" s="1"/>
  <c r="BH50" i="17" s="1"/>
  <c r="BI50" i="17" s="1"/>
  <c r="BJ50" i="17" s="1"/>
  <c r="BK50" i="17" s="1"/>
  <c r="BL50" i="17" s="1"/>
  <c r="BM50" i="17" s="1"/>
  <c r="BN50" i="17" s="1"/>
  <c r="BO50" i="17" s="1"/>
  <c r="BP50" i="17" s="1"/>
  <c r="BQ50" i="17" s="1"/>
  <c r="BR50" i="17" s="1"/>
  <c r="BS50" i="17" s="1"/>
  <c r="BT50" i="17" s="1"/>
  <c r="BU50" i="17" s="1"/>
  <c r="BV50" i="17" s="1"/>
  <c r="BW50" i="17" s="1"/>
  <c r="BX50" i="17" s="1"/>
  <c r="BY50" i="17" s="1"/>
  <c r="BZ50" i="17" s="1"/>
  <c r="CA50" i="17" s="1"/>
  <c r="CB50" i="17" s="1"/>
  <c r="CC50" i="17" s="1"/>
  <c r="CD50" i="17" s="1"/>
  <c r="CE50" i="17" s="1"/>
  <c r="CF50" i="17" s="1"/>
  <c r="CG50" i="17" s="1"/>
  <c r="CH50" i="17" s="1"/>
  <c r="CI50" i="17" s="1"/>
  <c r="CJ50" i="17" s="1"/>
  <c r="CK50" i="17" s="1"/>
  <c r="CL50" i="17" s="1"/>
  <c r="CM50" i="17" s="1"/>
  <c r="CN50" i="17" s="1"/>
  <c r="CO50" i="17" s="1"/>
  <c r="CP50" i="17" s="1"/>
  <c r="CQ50" i="17" s="1"/>
  <c r="CR50" i="17" s="1"/>
  <c r="CS50" i="17" s="1"/>
  <c r="CT50" i="17" s="1"/>
  <c r="CU50" i="17" s="1"/>
  <c r="CV50" i="17" s="1"/>
  <c r="CW50" i="17" s="1"/>
  <c r="CX50" i="17" s="1"/>
  <c r="CY50" i="17" s="1"/>
  <c r="CZ50" i="17" s="1"/>
  <c r="DA50" i="17" s="1"/>
  <c r="DB50" i="17" s="1"/>
  <c r="DC50" i="17" s="1"/>
  <c r="DD50" i="17" s="1"/>
  <c r="DE50" i="17" s="1"/>
  <c r="DF50" i="17" s="1"/>
  <c r="DG50" i="17" s="1"/>
  <c r="DH50" i="17" s="1"/>
  <c r="DI50" i="17" s="1"/>
  <c r="DJ50" i="17" s="1"/>
  <c r="DK50" i="17" s="1"/>
  <c r="DL50" i="17" s="1"/>
  <c r="AB216" i="17"/>
  <c r="Y31" i="17"/>
  <c r="Y102" i="17"/>
  <c r="Z102" i="17" s="1"/>
  <c r="AA81" i="17"/>
  <c r="AB81" i="17" s="1"/>
  <c r="AH27" i="17"/>
  <c r="AI27" i="17" s="1"/>
  <c r="AJ27" i="17" s="1"/>
  <c r="AK27" i="17" s="1"/>
  <c r="AH246" i="17"/>
  <c r="AI246" i="17" s="1"/>
  <c r="AJ246" i="17" s="1"/>
  <c r="AK246" i="17" s="1"/>
  <c r="AL246" i="17" s="1"/>
  <c r="AM246" i="17" s="1"/>
  <c r="AN246" i="17" s="1"/>
  <c r="AO246" i="17" s="1"/>
  <c r="AP246" i="17" s="1"/>
  <c r="AQ246" i="17" s="1"/>
  <c r="AR246" i="17" s="1"/>
  <c r="AS246" i="17" s="1"/>
  <c r="AT246" i="17" s="1"/>
  <c r="AU246" i="17" s="1"/>
  <c r="AV246" i="17" s="1"/>
  <c r="AW246" i="17" s="1"/>
  <c r="AX246" i="17" s="1"/>
  <c r="AY246" i="17" s="1"/>
  <c r="AZ246" i="17" s="1"/>
  <c r="BA246" i="17" s="1"/>
  <c r="BB246" i="17" s="1"/>
  <c r="BC246" i="17" s="1"/>
  <c r="BD246" i="17" s="1"/>
  <c r="BE246" i="17" s="1"/>
  <c r="BF246" i="17" s="1"/>
  <c r="BG246" i="17" s="1"/>
  <c r="BH246" i="17" s="1"/>
  <c r="BI246" i="17" s="1"/>
  <c r="BJ246" i="17" s="1"/>
  <c r="BK246" i="17" s="1"/>
  <c r="BL246" i="17" s="1"/>
  <c r="BM246" i="17" s="1"/>
  <c r="BN246" i="17" s="1"/>
  <c r="BO246" i="17" s="1"/>
  <c r="BP246" i="17" s="1"/>
  <c r="BQ246" i="17" s="1"/>
  <c r="BR246" i="17" s="1"/>
  <c r="BS246" i="17" s="1"/>
  <c r="BT246" i="17" s="1"/>
  <c r="BU246" i="17" s="1"/>
  <c r="BV246" i="17" s="1"/>
  <c r="BW246" i="17" s="1"/>
  <c r="BX246" i="17" s="1"/>
  <c r="BY246" i="17" s="1"/>
  <c r="BZ246" i="17" s="1"/>
  <c r="CA246" i="17" s="1"/>
  <c r="CB246" i="17" s="1"/>
  <c r="CC246" i="17" s="1"/>
  <c r="CD246" i="17" s="1"/>
  <c r="CE246" i="17" s="1"/>
  <c r="CF246" i="17" s="1"/>
  <c r="CG246" i="17" s="1"/>
  <c r="CH246" i="17" s="1"/>
  <c r="CI246" i="17" s="1"/>
  <c r="CJ246" i="17" s="1"/>
  <c r="CK246" i="17" s="1"/>
  <c r="CL246" i="17" s="1"/>
  <c r="CM246" i="17" s="1"/>
  <c r="CN246" i="17" s="1"/>
  <c r="CO246" i="17" s="1"/>
  <c r="CP246" i="17" s="1"/>
  <c r="CQ246" i="17" s="1"/>
  <c r="CR246" i="17" s="1"/>
  <c r="CS246" i="17" s="1"/>
  <c r="CT246" i="17" s="1"/>
  <c r="CU246" i="17" s="1"/>
  <c r="CV246" i="17" s="1"/>
  <c r="CW246" i="17" s="1"/>
  <c r="CX246" i="17" s="1"/>
  <c r="CY246" i="17" s="1"/>
  <c r="CZ246" i="17" s="1"/>
  <c r="DA246" i="17" s="1"/>
  <c r="DB246" i="17" s="1"/>
  <c r="DC246" i="17" s="1"/>
  <c r="DD246" i="17" s="1"/>
  <c r="DE246" i="17" s="1"/>
  <c r="DF246" i="17" s="1"/>
  <c r="DG246" i="17" s="1"/>
  <c r="DH246" i="17" s="1"/>
  <c r="DI246" i="17" s="1"/>
  <c r="DJ246" i="17" s="1"/>
  <c r="DK246" i="17" s="1"/>
  <c r="DL246" i="17" s="1"/>
  <c r="AW166" i="17"/>
  <c r="W301" i="17"/>
  <c r="X301" i="17"/>
  <c r="Z210" i="17"/>
  <c r="AA210" i="17" s="1"/>
  <c r="AB210" i="17" s="1"/>
  <c r="AB51" i="17"/>
  <c r="AC51" i="17" s="1"/>
  <c r="AD51" i="17" s="1"/>
  <c r="AE51" i="17" s="1"/>
  <c r="AF51" i="17" s="1"/>
  <c r="AG51" i="17" s="1"/>
  <c r="AH51" i="17" s="1"/>
  <c r="AC142" i="17"/>
  <c r="AD142" i="17" s="1"/>
  <c r="AE142" i="17" s="1"/>
  <c r="AF142" i="17" s="1"/>
  <c r="AG142" i="17" s="1"/>
  <c r="AH142" i="17" s="1"/>
  <c r="AI142" i="17" s="1"/>
  <c r="AJ142" i="17" s="1"/>
  <c r="AK142" i="17" s="1"/>
  <c r="AL142" i="17" s="1"/>
  <c r="AM142" i="17" s="1"/>
  <c r="AN142" i="17" s="1"/>
  <c r="AO142" i="17" s="1"/>
  <c r="AP142" i="17" s="1"/>
  <c r="AQ142" i="17" s="1"/>
  <c r="AR142" i="17" s="1"/>
  <c r="AS142" i="17" s="1"/>
  <c r="AT142" i="17" s="1"/>
  <c r="AU142" i="17" s="1"/>
  <c r="AV142" i="17" s="1"/>
  <c r="AW142" i="17" s="1"/>
  <c r="AX142" i="17" s="1"/>
  <c r="AY142" i="17" s="1"/>
  <c r="AZ142" i="17" s="1"/>
  <c r="BA142" i="17" s="1"/>
  <c r="BB142" i="17" s="1"/>
  <c r="BC142" i="17" s="1"/>
  <c r="BD142" i="17" s="1"/>
  <c r="BE142" i="17" s="1"/>
  <c r="BF142" i="17" s="1"/>
  <c r="BG142" i="17" s="1"/>
  <c r="BH142" i="17" s="1"/>
  <c r="BI142" i="17" s="1"/>
  <c r="BJ142" i="17" s="1"/>
  <c r="BK142" i="17" s="1"/>
  <c r="BL142" i="17" s="1"/>
  <c r="BM142" i="17" s="1"/>
  <c r="BN142" i="17" s="1"/>
  <c r="BO142" i="17" s="1"/>
  <c r="BP142" i="17" s="1"/>
  <c r="BQ142" i="17" s="1"/>
  <c r="BR142" i="17" s="1"/>
  <c r="BS142" i="17" s="1"/>
  <c r="BT142" i="17" s="1"/>
  <c r="BU142" i="17" s="1"/>
  <c r="BV142" i="17" s="1"/>
  <c r="BW142" i="17" s="1"/>
  <c r="BX142" i="17" s="1"/>
  <c r="BY142" i="17" s="1"/>
  <c r="BZ142" i="17" s="1"/>
  <c r="CA142" i="17" s="1"/>
  <c r="CB142" i="17" s="1"/>
  <c r="CC142" i="17" s="1"/>
  <c r="CD142" i="17" s="1"/>
  <c r="CE142" i="17" s="1"/>
  <c r="CF142" i="17" s="1"/>
  <c r="CG142" i="17" s="1"/>
  <c r="CH142" i="17" s="1"/>
  <c r="CI142" i="17" s="1"/>
  <c r="CJ142" i="17" s="1"/>
  <c r="CK142" i="17" s="1"/>
  <c r="CL142" i="17" s="1"/>
  <c r="CM142" i="17" s="1"/>
  <c r="CN142" i="17" s="1"/>
  <c r="CO142" i="17" s="1"/>
  <c r="CP142" i="17" s="1"/>
  <c r="CQ142" i="17" s="1"/>
  <c r="CR142" i="17" s="1"/>
  <c r="CS142" i="17" s="1"/>
  <c r="CT142" i="17" s="1"/>
  <c r="CU142" i="17" s="1"/>
  <c r="CV142" i="17" s="1"/>
  <c r="CW142" i="17" s="1"/>
  <c r="CX142" i="17" s="1"/>
  <c r="CY142" i="17" s="1"/>
  <c r="CZ142" i="17" s="1"/>
  <c r="DA142" i="17" s="1"/>
  <c r="DB142" i="17" s="1"/>
  <c r="DC142" i="17" s="1"/>
  <c r="DD142" i="17" s="1"/>
  <c r="DE142" i="17" s="1"/>
  <c r="DF142" i="17" s="1"/>
  <c r="DG142" i="17" s="1"/>
  <c r="DH142" i="17" s="1"/>
  <c r="DI142" i="17" s="1"/>
  <c r="DJ142" i="17" s="1"/>
  <c r="DK142" i="17" s="1"/>
  <c r="DL142" i="17" s="1"/>
  <c r="Y272" i="17"/>
  <c r="AB33" i="17"/>
  <c r="AC33" i="17" s="1"/>
  <c r="AD33" i="17" s="1"/>
  <c r="AE33" i="17" s="1"/>
  <c r="AF33" i="17" s="1"/>
  <c r="AG33" i="17" s="1"/>
  <c r="AH33" i="17" s="1"/>
  <c r="Y123" i="17"/>
  <c r="A40" i="6"/>
  <c r="AA40" i="6"/>
  <c r="AB40" i="6"/>
  <c r="AC40" i="6"/>
  <c r="A39" i="6"/>
  <c r="AA39" i="6"/>
  <c r="AB39" i="6"/>
  <c r="AC39" i="6"/>
  <c r="AA6" i="2"/>
  <c r="AA5" i="2"/>
  <c r="AA4" i="2"/>
  <c r="AA3" i="2"/>
  <c r="BA67" i="17" l="1"/>
  <c r="BB67" i="17" s="1"/>
  <c r="BC67" i="17" s="1"/>
  <c r="BD67" i="17" s="1"/>
  <c r="BE67" i="17" s="1"/>
  <c r="BF67" i="17" s="1"/>
  <c r="BG67" i="17" s="1"/>
  <c r="BH67" i="17" s="1"/>
  <c r="BI67" i="17" s="1"/>
  <c r="BJ67" i="17" s="1"/>
  <c r="BK67" i="17" s="1"/>
  <c r="BL67" i="17" s="1"/>
  <c r="BM67" i="17" s="1"/>
  <c r="BN67" i="17" s="1"/>
  <c r="BO67" i="17" s="1"/>
  <c r="BP67" i="17" s="1"/>
  <c r="BQ67" i="17" s="1"/>
  <c r="BR67" i="17" s="1"/>
  <c r="BS67" i="17" s="1"/>
  <c r="BT67" i="17" s="1"/>
  <c r="BU67" i="17" s="1"/>
  <c r="BV67" i="17" s="1"/>
  <c r="BW67" i="17" s="1"/>
  <c r="BX67" i="17" s="1"/>
  <c r="BY67" i="17" s="1"/>
  <c r="BZ67" i="17" s="1"/>
  <c r="CA67" i="17" s="1"/>
  <c r="CB67" i="17" s="1"/>
  <c r="CC67" i="17" s="1"/>
  <c r="CD67" i="17" s="1"/>
  <c r="CE67" i="17" s="1"/>
  <c r="CF67" i="17" s="1"/>
  <c r="CG67" i="17" s="1"/>
  <c r="CH67" i="17" s="1"/>
  <c r="CI67" i="17" s="1"/>
  <c r="CJ67" i="17" s="1"/>
  <c r="CK67" i="17" s="1"/>
  <c r="CL67" i="17" s="1"/>
  <c r="CM67" i="17" s="1"/>
  <c r="CN67" i="17" s="1"/>
  <c r="CO67" i="17" s="1"/>
  <c r="CP67" i="17" s="1"/>
  <c r="CQ67" i="17" s="1"/>
  <c r="CR67" i="17" s="1"/>
  <c r="CS67" i="17" s="1"/>
  <c r="CT67" i="17" s="1"/>
  <c r="CU67" i="17" s="1"/>
  <c r="CV67" i="17" s="1"/>
  <c r="CW67" i="17" s="1"/>
  <c r="CX67" i="17" s="1"/>
  <c r="CY67" i="17" s="1"/>
  <c r="CZ67" i="17" s="1"/>
  <c r="DA67" i="17" s="1"/>
  <c r="DB67" i="17" s="1"/>
  <c r="DC67" i="17" s="1"/>
  <c r="DD67" i="17" s="1"/>
  <c r="DE67" i="17" s="1"/>
  <c r="DF67" i="17" s="1"/>
  <c r="DG67" i="17" s="1"/>
  <c r="DH67" i="17" s="1"/>
  <c r="DI67" i="17" s="1"/>
  <c r="DJ67" i="17" s="1"/>
  <c r="DK67" i="17" s="1"/>
  <c r="DL67" i="17" s="1"/>
  <c r="AW288" i="17"/>
  <c r="AX288" i="17" s="1"/>
  <c r="AY288" i="17" s="1"/>
  <c r="AZ288" i="17" s="1"/>
  <c r="BA288" i="17" s="1"/>
  <c r="BB288" i="17" s="1"/>
  <c r="BC288" i="17" s="1"/>
  <c r="BD288" i="17" s="1"/>
  <c r="BE288" i="17" s="1"/>
  <c r="BF288" i="17" s="1"/>
  <c r="BG288" i="17" s="1"/>
  <c r="BH288" i="17" s="1"/>
  <c r="BI288" i="17" s="1"/>
  <c r="BJ288" i="17" s="1"/>
  <c r="BK288" i="17" s="1"/>
  <c r="BL288" i="17" s="1"/>
  <c r="BM288" i="17" s="1"/>
  <c r="BN288" i="17" s="1"/>
  <c r="BO288" i="17" s="1"/>
  <c r="BP288" i="17" s="1"/>
  <c r="BQ288" i="17" s="1"/>
  <c r="BR288" i="17" s="1"/>
  <c r="BS288" i="17" s="1"/>
  <c r="BT288" i="17" s="1"/>
  <c r="BU288" i="17" s="1"/>
  <c r="BV288" i="17" s="1"/>
  <c r="BW288" i="17" s="1"/>
  <c r="BX288" i="17" s="1"/>
  <c r="BY288" i="17" s="1"/>
  <c r="BZ288" i="17" s="1"/>
  <c r="CA288" i="17" s="1"/>
  <c r="CB288" i="17" s="1"/>
  <c r="CC288" i="17" s="1"/>
  <c r="CD288" i="17" s="1"/>
  <c r="CE288" i="17" s="1"/>
  <c r="CF288" i="17" s="1"/>
  <c r="CG288" i="17" s="1"/>
  <c r="CH288" i="17" s="1"/>
  <c r="CI288" i="17" s="1"/>
  <c r="CJ288" i="17" s="1"/>
  <c r="CK288" i="17" s="1"/>
  <c r="CL288" i="17" s="1"/>
  <c r="CM288" i="17" s="1"/>
  <c r="CN288" i="17" s="1"/>
  <c r="CO288" i="17" s="1"/>
  <c r="CP288" i="17" s="1"/>
  <c r="CQ288" i="17" s="1"/>
  <c r="CR288" i="17" s="1"/>
  <c r="CS288" i="17" s="1"/>
  <c r="CT288" i="17" s="1"/>
  <c r="CU288" i="17" s="1"/>
  <c r="CV288" i="17" s="1"/>
  <c r="CW288" i="17" s="1"/>
  <c r="CX288" i="17" s="1"/>
  <c r="CY288" i="17" s="1"/>
  <c r="CZ288" i="17" s="1"/>
  <c r="DA288" i="17" s="1"/>
  <c r="DB288" i="17" s="1"/>
  <c r="DC288" i="17" s="1"/>
  <c r="DD288" i="17" s="1"/>
  <c r="DE288" i="17" s="1"/>
  <c r="DF288" i="17" s="1"/>
  <c r="DG288" i="17" s="1"/>
  <c r="DH288" i="17" s="1"/>
  <c r="DI288" i="17" s="1"/>
  <c r="DJ288" i="17" s="1"/>
  <c r="DK288" i="17" s="1"/>
  <c r="DL288" i="17" s="1"/>
  <c r="BK174" i="17"/>
  <c r="BL174" i="17" s="1"/>
  <c r="BM174" i="17" s="1"/>
  <c r="BN174" i="17" s="1"/>
  <c r="BO174" i="17" s="1"/>
  <c r="BP174" i="17" s="1"/>
  <c r="BQ174" i="17" s="1"/>
  <c r="BR174" i="17" s="1"/>
  <c r="BS174" i="17" s="1"/>
  <c r="BT174" i="17" s="1"/>
  <c r="BU174" i="17" s="1"/>
  <c r="BV174" i="17" s="1"/>
  <c r="BW174" i="17" s="1"/>
  <c r="BX174" i="17" s="1"/>
  <c r="BY174" i="17" s="1"/>
  <c r="BZ174" i="17" s="1"/>
  <c r="CA174" i="17" s="1"/>
  <c r="CB174" i="17" s="1"/>
  <c r="CC174" i="17" s="1"/>
  <c r="CD174" i="17" s="1"/>
  <c r="CE174" i="17" s="1"/>
  <c r="CF174" i="17" s="1"/>
  <c r="CG174" i="17" s="1"/>
  <c r="CH174" i="17" s="1"/>
  <c r="CI174" i="17" s="1"/>
  <c r="CJ174" i="17" s="1"/>
  <c r="CK174" i="17" s="1"/>
  <c r="CL174" i="17" s="1"/>
  <c r="CM174" i="17" s="1"/>
  <c r="CN174" i="17" s="1"/>
  <c r="CO174" i="17" s="1"/>
  <c r="CP174" i="17" s="1"/>
  <c r="CQ174" i="17" s="1"/>
  <c r="CR174" i="17" s="1"/>
  <c r="CS174" i="17" s="1"/>
  <c r="CT174" i="17" s="1"/>
  <c r="CU174" i="17" s="1"/>
  <c r="CV174" i="17" s="1"/>
  <c r="CW174" i="17" s="1"/>
  <c r="CX174" i="17" s="1"/>
  <c r="CY174" i="17" s="1"/>
  <c r="CZ174" i="17" s="1"/>
  <c r="DA174" i="17" s="1"/>
  <c r="DB174" i="17" s="1"/>
  <c r="DC174" i="17" s="1"/>
  <c r="DD174" i="17" s="1"/>
  <c r="DE174" i="17" s="1"/>
  <c r="DF174" i="17" s="1"/>
  <c r="DG174" i="17" s="1"/>
  <c r="DH174" i="17" s="1"/>
  <c r="DI174" i="17" s="1"/>
  <c r="DJ174" i="17" s="1"/>
  <c r="DK174" i="17" s="1"/>
  <c r="DL174" i="17" s="1"/>
  <c r="AC54" i="17"/>
  <c r="AD54" i="17" s="1"/>
  <c r="AD224" i="17"/>
  <c r="AE224" i="17" s="1"/>
  <c r="AF224" i="17" s="1"/>
  <c r="AG224" i="17" s="1"/>
  <c r="AH224" i="17" s="1"/>
  <c r="AI224" i="17" s="1"/>
  <c r="AJ224" i="17" s="1"/>
  <c r="AK224" i="17" s="1"/>
  <c r="AL224" i="17" s="1"/>
  <c r="AM224" i="17" s="1"/>
  <c r="AN224" i="17" s="1"/>
  <c r="AO224" i="17" s="1"/>
  <c r="AP224" i="17" s="1"/>
  <c r="AQ224" i="17" s="1"/>
  <c r="AR224" i="17" s="1"/>
  <c r="AS224" i="17" s="1"/>
  <c r="AT224" i="17" s="1"/>
  <c r="AU224" i="17" s="1"/>
  <c r="AV224" i="17" s="1"/>
  <c r="AW224" i="17" s="1"/>
  <c r="AX224" i="17" s="1"/>
  <c r="AY224" i="17" s="1"/>
  <c r="AZ224" i="17" s="1"/>
  <c r="BA224" i="17" s="1"/>
  <c r="BB224" i="17" s="1"/>
  <c r="BC224" i="17" s="1"/>
  <c r="BD224" i="17" s="1"/>
  <c r="BE224" i="17" s="1"/>
  <c r="BF224" i="17" s="1"/>
  <c r="BG224" i="17" s="1"/>
  <c r="BH224" i="17" s="1"/>
  <c r="BI224" i="17" s="1"/>
  <c r="BJ224" i="17" s="1"/>
  <c r="BK224" i="17" s="1"/>
  <c r="BL224" i="17" s="1"/>
  <c r="BM224" i="17" s="1"/>
  <c r="BN224" i="17" s="1"/>
  <c r="BO224" i="17" s="1"/>
  <c r="BP224" i="17" s="1"/>
  <c r="BQ224" i="17" s="1"/>
  <c r="BR224" i="17" s="1"/>
  <c r="BS224" i="17" s="1"/>
  <c r="BT224" i="17" s="1"/>
  <c r="BU224" i="17" s="1"/>
  <c r="BV224" i="17" s="1"/>
  <c r="BW224" i="17" s="1"/>
  <c r="BX224" i="17" s="1"/>
  <c r="BY224" i="17" s="1"/>
  <c r="BZ224" i="17" s="1"/>
  <c r="CA224" i="17" s="1"/>
  <c r="CB224" i="17" s="1"/>
  <c r="CC224" i="17" s="1"/>
  <c r="CD224" i="17" s="1"/>
  <c r="CE224" i="17" s="1"/>
  <c r="CF224" i="17" s="1"/>
  <c r="CG224" i="17" s="1"/>
  <c r="CH224" i="17" s="1"/>
  <c r="CI224" i="17" s="1"/>
  <c r="CJ224" i="17" s="1"/>
  <c r="CK224" i="17" s="1"/>
  <c r="CL224" i="17" s="1"/>
  <c r="CM224" i="17" s="1"/>
  <c r="CN224" i="17" s="1"/>
  <c r="CO224" i="17" s="1"/>
  <c r="CP224" i="17" s="1"/>
  <c r="CQ224" i="17" s="1"/>
  <c r="CR224" i="17" s="1"/>
  <c r="CS224" i="17" s="1"/>
  <c r="CT224" i="17" s="1"/>
  <c r="CU224" i="17" s="1"/>
  <c r="CV224" i="17" s="1"/>
  <c r="CW224" i="17" s="1"/>
  <c r="CX224" i="17" s="1"/>
  <c r="CY224" i="17" s="1"/>
  <c r="CZ224" i="17" s="1"/>
  <c r="DA224" i="17" s="1"/>
  <c r="DB224" i="17" s="1"/>
  <c r="DC224" i="17" s="1"/>
  <c r="DD224" i="17" s="1"/>
  <c r="DE224" i="17" s="1"/>
  <c r="DF224" i="17" s="1"/>
  <c r="DG224" i="17" s="1"/>
  <c r="DH224" i="17" s="1"/>
  <c r="DI224" i="17" s="1"/>
  <c r="DJ224" i="17" s="1"/>
  <c r="DK224" i="17" s="1"/>
  <c r="DL224" i="17" s="1"/>
  <c r="AC167" i="17"/>
  <c r="AD167" i="17" s="1"/>
  <c r="AE167" i="17" s="1"/>
  <c r="AF167" i="17" s="1"/>
  <c r="AG167" i="17" s="1"/>
  <c r="AH167" i="17" s="1"/>
  <c r="AI167" i="17" s="1"/>
  <c r="AJ167" i="17" s="1"/>
  <c r="AK167" i="17" s="1"/>
  <c r="AL167" i="17" s="1"/>
  <c r="AM167" i="17" s="1"/>
  <c r="AN167" i="17" s="1"/>
  <c r="AO167" i="17" s="1"/>
  <c r="AP167" i="17" s="1"/>
  <c r="AQ167" i="17" s="1"/>
  <c r="AR167" i="17" s="1"/>
  <c r="AS167" i="17" s="1"/>
  <c r="AT167" i="17" s="1"/>
  <c r="AU167" i="17" s="1"/>
  <c r="AV167" i="17" s="1"/>
  <c r="AA189" i="17"/>
  <c r="CN201" i="17"/>
  <c r="CO201" i="17" s="1"/>
  <c r="CP201" i="17" s="1"/>
  <c r="CQ201" i="17" s="1"/>
  <c r="CR201" i="17" s="1"/>
  <c r="CS201" i="17" s="1"/>
  <c r="CT201" i="17" s="1"/>
  <c r="BE159" i="17"/>
  <c r="BF159" i="17" s="1"/>
  <c r="BG159" i="17" s="1"/>
  <c r="BH159" i="17" s="1"/>
  <c r="BI159" i="17" s="1"/>
  <c r="BJ159" i="17" s="1"/>
  <c r="BK159" i="17" s="1"/>
  <c r="BL159" i="17" s="1"/>
  <c r="BM159" i="17" s="1"/>
  <c r="BN159" i="17" s="1"/>
  <c r="BO159" i="17" s="1"/>
  <c r="BP159" i="17" s="1"/>
  <c r="BQ159" i="17" s="1"/>
  <c r="BR159" i="17" s="1"/>
  <c r="BS159" i="17" s="1"/>
  <c r="BT159" i="17" s="1"/>
  <c r="BU159" i="17" s="1"/>
  <c r="BV159" i="17" s="1"/>
  <c r="BW159" i="17" s="1"/>
  <c r="BX159" i="17" s="1"/>
  <c r="BY159" i="17" s="1"/>
  <c r="BZ159" i="17" s="1"/>
  <c r="CA159" i="17" s="1"/>
  <c r="CB159" i="17" s="1"/>
  <c r="CC159" i="17" s="1"/>
  <c r="CD159" i="17" s="1"/>
  <c r="CE159" i="17" s="1"/>
  <c r="CF159" i="17" s="1"/>
  <c r="CG159" i="17" s="1"/>
  <c r="CH159" i="17" s="1"/>
  <c r="CI159" i="17" s="1"/>
  <c r="CJ159" i="17" s="1"/>
  <c r="CK159" i="17" s="1"/>
  <c r="CL159" i="17" s="1"/>
  <c r="CM159" i="17" s="1"/>
  <c r="CN159" i="17" s="1"/>
  <c r="CO159" i="17" s="1"/>
  <c r="CP159" i="17" s="1"/>
  <c r="CQ159" i="17" s="1"/>
  <c r="CR159" i="17" s="1"/>
  <c r="CS159" i="17" s="1"/>
  <c r="CT159" i="17" s="1"/>
  <c r="CU159" i="17" s="1"/>
  <c r="CV159" i="17" s="1"/>
  <c r="CW159" i="17" s="1"/>
  <c r="CX159" i="17" s="1"/>
  <c r="CY159" i="17" s="1"/>
  <c r="CZ159" i="17" s="1"/>
  <c r="DA159" i="17" s="1"/>
  <c r="DB159" i="17" s="1"/>
  <c r="DC159" i="17" s="1"/>
  <c r="DD159" i="17" s="1"/>
  <c r="DE159" i="17" s="1"/>
  <c r="DF159" i="17" s="1"/>
  <c r="DG159" i="17" s="1"/>
  <c r="DH159" i="17" s="1"/>
  <c r="DI159" i="17" s="1"/>
  <c r="DJ159" i="17" s="1"/>
  <c r="DK159" i="17" s="1"/>
  <c r="DL159" i="17" s="1"/>
  <c r="CV23" i="17"/>
  <c r="CW23" i="17" s="1"/>
  <c r="CX23" i="17" s="1"/>
  <c r="CY23" i="17" s="1"/>
  <c r="CZ23" i="17" s="1"/>
  <c r="DA23" i="17" s="1"/>
  <c r="DB23" i="17" s="1"/>
  <c r="DC23" i="17" s="1"/>
  <c r="DD23" i="17" s="1"/>
  <c r="DE23" i="17" s="1"/>
  <c r="DF23" i="17" s="1"/>
  <c r="DG23" i="17" s="1"/>
  <c r="DH23" i="17" s="1"/>
  <c r="DI23" i="17" s="1"/>
  <c r="DJ23" i="17" s="1"/>
  <c r="DK23" i="17" s="1"/>
  <c r="DL23" i="17" s="1"/>
  <c r="Y185" i="17"/>
  <c r="AD24" i="17"/>
  <c r="AE24" i="17" s="1"/>
  <c r="AF24" i="17" s="1"/>
  <c r="AM251" i="17"/>
  <c r="AN251" i="17" s="1"/>
  <c r="AO251" i="17" s="1"/>
  <c r="AP251" i="17" s="1"/>
  <c r="AQ251" i="17" s="1"/>
  <c r="AR251" i="17" s="1"/>
  <c r="AS251" i="17" s="1"/>
  <c r="AT251" i="17" s="1"/>
  <c r="AU251" i="17" s="1"/>
  <c r="AV251" i="17" s="1"/>
  <c r="AW251" i="17" s="1"/>
  <c r="AX251" i="17" s="1"/>
  <c r="AY251" i="17" s="1"/>
  <c r="AZ251" i="17" s="1"/>
  <c r="BA251" i="17" s="1"/>
  <c r="BB251" i="17" s="1"/>
  <c r="BC251" i="17" s="1"/>
  <c r="BD251" i="17" s="1"/>
  <c r="BE251" i="17" s="1"/>
  <c r="BF251" i="17" s="1"/>
  <c r="BG251" i="17" s="1"/>
  <c r="BH251" i="17" s="1"/>
  <c r="BI251" i="17" s="1"/>
  <c r="BJ251" i="17" s="1"/>
  <c r="BK251" i="17" s="1"/>
  <c r="BL251" i="17" s="1"/>
  <c r="BM251" i="17" s="1"/>
  <c r="BN251" i="17" s="1"/>
  <c r="BO251" i="17" s="1"/>
  <c r="BP251" i="17" s="1"/>
  <c r="BQ251" i="17" s="1"/>
  <c r="BR251" i="17" s="1"/>
  <c r="BS251" i="17" s="1"/>
  <c r="BT251" i="17" s="1"/>
  <c r="BU251" i="17" s="1"/>
  <c r="BV251" i="17" s="1"/>
  <c r="BW251" i="17" s="1"/>
  <c r="BX251" i="17" s="1"/>
  <c r="BY251" i="17" s="1"/>
  <c r="BZ251" i="17" s="1"/>
  <c r="CA251" i="17" s="1"/>
  <c r="CB251" i="17" s="1"/>
  <c r="CC251" i="17" s="1"/>
  <c r="CD251" i="17" s="1"/>
  <c r="CE251" i="17" s="1"/>
  <c r="CF251" i="17" s="1"/>
  <c r="CG251" i="17" s="1"/>
  <c r="CH251" i="17" s="1"/>
  <c r="CI251" i="17" s="1"/>
  <c r="CJ251" i="17" s="1"/>
  <c r="CK251" i="17" s="1"/>
  <c r="CL251" i="17" s="1"/>
  <c r="CM251" i="17" s="1"/>
  <c r="CN251" i="17" s="1"/>
  <c r="CO251" i="17" s="1"/>
  <c r="CP251" i="17" s="1"/>
  <c r="CQ251" i="17" s="1"/>
  <c r="CR251" i="17" s="1"/>
  <c r="CS251" i="17" s="1"/>
  <c r="CT251" i="17" s="1"/>
  <c r="CU251" i="17" s="1"/>
  <c r="CV251" i="17" s="1"/>
  <c r="CW251" i="17" s="1"/>
  <c r="CX251" i="17" s="1"/>
  <c r="CY251" i="17" s="1"/>
  <c r="CZ251" i="17" s="1"/>
  <c r="DA251" i="17" s="1"/>
  <c r="DB251" i="17" s="1"/>
  <c r="DC251" i="17" s="1"/>
  <c r="DD251" i="17" s="1"/>
  <c r="DE251" i="17" s="1"/>
  <c r="DF251" i="17" s="1"/>
  <c r="DG251" i="17" s="1"/>
  <c r="DH251" i="17" s="1"/>
  <c r="DI251" i="17" s="1"/>
  <c r="DJ251" i="17" s="1"/>
  <c r="DK251" i="17" s="1"/>
  <c r="DL251" i="17" s="1"/>
  <c r="AC48" i="17"/>
  <c r="AD48" i="17" s="1"/>
  <c r="AE48" i="17" s="1"/>
  <c r="AB32" i="17"/>
  <c r="AC32" i="17" s="1"/>
  <c r="AB176" i="17"/>
  <c r="AC176" i="17" s="1"/>
  <c r="Y55" i="17"/>
  <c r="Z55" i="17" s="1"/>
  <c r="AL27" i="17"/>
  <c r="AM27" i="17" s="1"/>
  <c r="AN27" i="17" s="1"/>
  <c r="AO27" i="17" s="1"/>
  <c r="AP27" i="17" s="1"/>
  <c r="AQ27" i="17" s="1"/>
  <c r="AR27" i="17" s="1"/>
  <c r="AS27" i="17" s="1"/>
  <c r="AT27" i="17" s="1"/>
  <c r="AU27" i="17" s="1"/>
  <c r="AV27" i="17" s="1"/>
  <c r="AW27" i="17" s="1"/>
  <c r="AX27" i="17" s="1"/>
  <c r="AY27" i="17" s="1"/>
  <c r="Z170" i="17"/>
  <c r="AA170" i="17" s="1"/>
  <c r="AB170" i="17" s="1"/>
  <c r="AC170" i="17" s="1"/>
  <c r="AD170" i="17" s="1"/>
  <c r="AE170" i="17" s="1"/>
  <c r="AF170" i="17" s="1"/>
  <c r="AG170" i="17" s="1"/>
  <c r="AH170" i="17" s="1"/>
  <c r="AI170" i="17" s="1"/>
  <c r="AJ170" i="17" s="1"/>
  <c r="AK170" i="17" s="1"/>
  <c r="AL170" i="17" s="1"/>
  <c r="AM170" i="17" s="1"/>
  <c r="AN170" i="17" s="1"/>
  <c r="AO170" i="17" s="1"/>
  <c r="AP170" i="17" s="1"/>
  <c r="AQ170" i="17" s="1"/>
  <c r="AR170" i="17" s="1"/>
  <c r="AS170" i="17" s="1"/>
  <c r="AT170" i="17" s="1"/>
  <c r="AU170" i="17" s="1"/>
  <c r="AV170" i="17" s="1"/>
  <c r="AW170" i="17" s="1"/>
  <c r="AX170" i="17" s="1"/>
  <c r="AY170" i="17" s="1"/>
  <c r="AZ170" i="17" s="1"/>
  <c r="BA170" i="17" s="1"/>
  <c r="BB170" i="17" s="1"/>
  <c r="BC170" i="17" s="1"/>
  <c r="BD170" i="17" s="1"/>
  <c r="BE170" i="17" s="1"/>
  <c r="BF170" i="17" s="1"/>
  <c r="BG170" i="17" s="1"/>
  <c r="BH170" i="17" s="1"/>
  <c r="BI170" i="17" s="1"/>
  <c r="BJ170" i="17" s="1"/>
  <c r="BK170" i="17" s="1"/>
  <c r="BL170" i="17" s="1"/>
  <c r="BM170" i="17" s="1"/>
  <c r="BN170" i="17" s="1"/>
  <c r="BO170" i="17" s="1"/>
  <c r="BP170" i="17" s="1"/>
  <c r="BQ170" i="17" s="1"/>
  <c r="BR170" i="17" s="1"/>
  <c r="BS170" i="17" s="1"/>
  <c r="BT170" i="17" s="1"/>
  <c r="BU170" i="17" s="1"/>
  <c r="BV170" i="17" s="1"/>
  <c r="BW170" i="17" s="1"/>
  <c r="BX170" i="17" s="1"/>
  <c r="BY170" i="17" s="1"/>
  <c r="AD212" i="17"/>
  <c r="AG265" i="17"/>
  <c r="CJ61" i="17"/>
  <c r="BA93" i="17"/>
  <c r="BB93" i="17" s="1"/>
  <c r="BC93" i="17" s="1"/>
  <c r="BD93" i="17" s="1"/>
  <c r="BE93" i="17" s="1"/>
  <c r="BF93" i="17" s="1"/>
  <c r="BG93" i="17" s="1"/>
  <c r="BH93" i="17" s="1"/>
  <c r="BI93" i="17" s="1"/>
  <c r="BJ93" i="17" s="1"/>
  <c r="BK93" i="17" s="1"/>
  <c r="BL93" i="17" s="1"/>
  <c r="BM93" i="17" s="1"/>
  <c r="BN93" i="17" s="1"/>
  <c r="BO93" i="17" s="1"/>
  <c r="BP93" i="17" s="1"/>
  <c r="BQ93" i="17" s="1"/>
  <c r="BR93" i="17" s="1"/>
  <c r="BS93" i="17" s="1"/>
  <c r="BT93" i="17" s="1"/>
  <c r="BU93" i="17" s="1"/>
  <c r="BV93" i="17" s="1"/>
  <c r="BW93" i="17" s="1"/>
  <c r="BX93" i="17" s="1"/>
  <c r="BY93" i="17" s="1"/>
  <c r="BZ93" i="17" s="1"/>
  <c r="CA93" i="17" s="1"/>
  <c r="CB93" i="17" s="1"/>
  <c r="CC93" i="17" s="1"/>
  <c r="CD93" i="17" s="1"/>
  <c r="CE93" i="17" s="1"/>
  <c r="CF93" i="17" s="1"/>
  <c r="CG93" i="17" s="1"/>
  <c r="CH93" i="17" s="1"/>
  <c r="CI93" i="17" s="1"/>
  <c r="CJ93" i="17" s="1"/>
  <c r="CK93" i="17" s="1"/>
  <c r="CL93" i="17" s="1"/>
  <c r="CM93" i="17" s="1"/>
  <c r="CN93" i="17" s="1"/>
  <c r="CO93" i="17" s="1"/>
  <c r="CP93" i="17" s="1"/>
  <c r="CQ93" i="17" s="1"/>
  <c r="CR93" i="17" s="1"/>
  <c r="CS93" i="17" s="1"/>
  <c r="CT93" i="17" s="1"/>
  <c r="CU93" i="17" s="1"/>
  <c r="CV93" i="17" s="1"/>
  <c r="CW93" i="17" s="1"/>
  <c r="CX93" i="17" s="1"/>
  <c r="CY93" i="17" s="1"/>
  <c r="CZ93" i="17" s="1"/>
  <c r="DA93" i="17" s="1"/>
  <c r="DB93" i="17" s="1"/>
  <c r="DC93" i="17" s="1"/>
  <c r="DD93" i="17" s="1"/>
  <c r="DE93" i="17" s="1"/>
  <c r="DF93" i="17" s="1"/>
  <c r="DG93" i="17" s="1"/>
  <c r="DH93" i="17" s="1"/>
  <c r="DI93" i="17" s="1"/>
  <c r="DJ93" i="17" s="1"/>
  <c r="DK93" i="17" s="1"/>
  <c r="DL93" i="17" s="1"/>
  <c r="AE146" i="17"/>
  <c r="AF146" i="17" s="1"/>
  <c r="BE57" i="17"/>
  <c r="BF57" i="17" s="1"/>
  <c r="BG57" i="17" s="1"/>
  <c r="BH57" i="17" s="1"/>
  <c r="BI57" i="17" s="1"/>
  <c r="BJ57" i="17" s="1"/>
  <c r="BK57" i="17" s="1"/>
  <c r="BL57" i="17" s="1"/>
  <c r="BM57" i="17" s="1"/>
  <c r="BN57" i="17" s="1"/>
  <c r="BO57" i="17" s="1"/>
  <c r="BP57" i="17" s="1"/>
  <c r="BQ57" i="17" s="1"/>
  <c r="BR57" i="17" s="1"/>
  <c r="BS57" i="17" s="1"/>
  <c r="BT57" i="17" s="1"/>
  <c r="BU57" i="17" s="1"/>
  <c r="BV57" i="17" s="1"/>
  <c r="BW57" i="17" s="1"/>
  <c r="BX57" i="17" s="1"/>
  <c r="BY57" i="17" s="1"/>
  <c r="BZ57" i="17" s="1"/>
  <c r="CA57" i="17" s="1"/>
  <c r="CB57" i="17" s="1"/>
  <c r="CC57" i="17" s="1"/>
  <c r="CD57" i="17" s="1"/>
  <c r="CE57" i="17" s="1"/>
  <c r="CF57" i="17" s="1"/>
  <c r="CG57" i="17" s="1"/>
  <c r="CH57" i="17" s="1"/>
  <c r="CI57" i="17" s="1"/>
  <c r="CJ57" i="17" s="1"/>
  <c r="CK57" i="17" s="1"/>
  <c r="CL57" i="17" s="1"/>
  <c r="CM57" i="17" s="1"/>
  <c r="CN57" i="17" s="1"/>
  <c r="CO57" i="17" s="1"/>
  <c r="CP57" i="17" s="1"/>
  <c r="CQ57" i="17" s="1"/>
  <c r="CR57" i="17" s="1"/>
  <c r="CS57" i="17" s="1"/>
  <c r="CT57" i="17" s="1"/>
  <c r="CU57" i="17" s="1"/>
  <c r="CV57" i="17" s="1"/>
  <c r="CW57" i="17" s="1"/>
  <c r="CX57" i="17" s="1"/>
  <c r="CY57" i="17" s="1"/>
  <c r="CZ57" i="17" s="1"/>
  <c r="DA57" i="17" s="1"/>
  <c r="DB57" i="17" s="1"/>
  <c r="DC57" i="17" s="1"/>
  <c r="DD57" i="17" s="1"/>
  <c r="DE57" i="17" s="1"/>
  <c r="DF57" i="17" s="1"/>
  <c r="DG57" i="17" s="1"/>
  <c r="DH57" i="17" s="1"/>
  <c r="DI57" i="17" s="1"/>
  <c r="DJ57" i="17" s="1"/>
  <c r="DK57" i="17" s="1"/>
  <c r="DL57" i="17" s="1"/>
  <c r="Y301" i="17"/>
  <c r="Z301" i="17" s="1"/>
  <c r="AA301" i="17" s="1"/>
  <c r="AI51" i="17"/>
  <c r="AJ51" i="17" s="1"/>
  <c r="AK51" i="17" s="1"/>
  <c r="AL51" i="17" s="1"/>
  <c r="AM51" i="17" s="1"/>
  <c r="AN51" i="17" s="1"/>
  <c r="AO51" i="17" s="1"/>
  <c r="AP51" i="17" s="1"/>
  <c r="AQ51" i="17" s="1"/>
  <c r="AR51" i="17" s="1"/>
  <c r="AS51" i="17" s="1"/>
  <c r="AT51" i="17" s="1"/>
  <c r="AU51" i="17" s="1"/>
  <c r="AV51" i="17" s="1"/>
  <c r="AW51" i="17" s="1"/>
  <c r="AX51" i="17" s="1"/>
  <c r="AY51" i="17" s="1"/>
  <c r="AZ51" i="17" s="1"/>
  <c r="BA51" i="17" s="1"/>
  <c r="BB51" i="17" s="1"/>
  <c r="BC51" i="17" s="1"/>
  <c r="BD51" i="17" s="1"/>
  <c r="BE51" i="17" s="1"/>
  <c r="BF51" i="17" s="1"/>
  <c r="BG51" i="17" s="1"/>
  <c r="BH51" i="17" s="1"/>
  <c r="BI51" i="17" s="1"/>
  <c r="BJ51" i="17" s="1"/>
  <c r="BK51" i="17" s="1"/>
  <c r="BL51" i="17" s="1"/>
  <c r="BM51" i="17" s="1"/>
  <c r="BN51" i="17" s="1"/>
  <c r="BO51" i="17" s="1"/>
  <c r="BP51" i="17" s="1"/>
  <c r="BQ51" i="17" s="1"/>
  <c r="BR51" i="17" s="1"/>
  <c r="BS51" i="17" s="1"/>
  <c r="BT51" i="17" s="1"/>
  <c r="BU51" i="17" s="1"/>
  <c r="BV51" i="17" s="1"/>
  <c r="BW51" i="17" s="1"/>
  <c r="BX51" i="17" s="1"/>
  <c r="BY51" i="17" s="1"/>
  <c r="BZ51" i="17" s="1"/>
  <c r="CA51" i="17" s="1"/>
  <c r="CB51" i="17" s="1"/>
  <c r="CC51" i="17" s="1"/>
  <c r="CD51" i="17" s="1"/>
  <c r="CE51" i="17" s="1"/>
  <c r="CF51" i="17" s="1"/>
  <c r="CG51" i="17" s="1"/>
  <c r="CH51" i="17" s="1"/>
  <c r="CI51" i="17" s="1"/>
  <c r="CJ51" i="17" s="1"/>
  <c r="CK51" i="17" s="1"/>
  <c r="CL51" i="17" s="1"/>
  <c r="CM51" i="17" s="1"/>
  <c r="CN51" i="17" s="1"/>
  <c r="CO51" i="17" s="1"/>
  <c r="CP51" i="17" s="1"/>
  <c r="CQ51" i="17" s="1"/>
  <c r="CR51" i="17" s="1"/>
  <c r="CS51" i="17" s="1"/>
  <c r="CT51" i="17" s="1"/>
  <c r="CU51" i="17" s="1"/>
  <c r="CV51" i="17" s="1"/>
  <c r="CW51" i="17" s="1"/>
  <c r="CX51" i="17" s="1"/>
  <c r="CY51" i="17" s="1"/>
  <c r="CZ51" i="17" s="1"/>
  <c r="DA51" i="17" s="1"/>
  <c r="DB51" i="17" s="1"/>
  <c r="DC51" i="17" s="1"/>
  <c r="DD51" i="17" s="1"/>
  <c r="DE51" i="17" s="1"/>
  <c r="DF51" i="17" s="1"/>
  <c r="DG51" i="17" s="1"/>
  <c r="DH51" i="17" s="1"/>
  <c r="DI51" i="17" s="1"/>
  <c r="DJ51" i="17" s="1"/>
  <c r="DK51" i="17" s="1"/>
  <c r="DL51" i="17" s="1"/>
  <c r="BL203" i="17"/>
  <c r="BM203" i="17" s="1"/>
  <c r="BN203" i="17" s="1"/>
  <c r="BO203" i="17" s="1"/>
  <c r="BP203" i="17" s="1"/>
  <c r="BQ203" i="17" s="1"/>
  <c r="BR203" i="17" s="1"/>
  <c r="BS203" i="17" s="1"/>
  <c r="BT203" i="17" s="1"/>
  <c r="BU203" i="17" s="1"/>
  <c r="BV203" i="17" s="1"/>
  <c r="BW203" i="17" s="1"/>
  <c r="BX203" i="17" s="1"/>
  <c r="BY203" i="17" s="1"/>
  <c r="BZ203" i="17" s="1"/>
  <c r="CA203" i="17" s="1"/>
  <c r="CB203" i="17" s="1"/>
  <c r="CC203" i="17" s="1"/>
  <c r="CD203" i="17" s="1"/>
  <c r="CE203" i="17" s="1"/>
  <c r="CF203" i="17" s="1"/>
  <c r="CG203" i="17" s="1"/>
  <c r="CH203" i="17" s="1"/>
  <c r="CI203" i="17" s="1"/>
  <c r="CJ203" i="17" s="1"/>
  <c r="CK203" i="17" s="1"/>
  <c r="CL203" i="17" s="1"/>
  <c r="CM203" i="17" s="1"/>
  <c r="CN203" i="17" s="1"/>
  <c r="CO203" i="17" s="1"/>
  <c r="CP203" i="17" s="1"/>
  <c r="CQ203" i="17" s="1"/>
  <c r="CR203" i="17" s="1"/>
  <c r="CS203" i="17" s="1"/>
  <c r="CT203" i="17" s="1"/>
  <c r="CU203" i="17" s="1"/>
  <c r="CV203" i="17" s="1"/>
  <c r="CW203" i="17" s="1"/>
  <c r="CX203" i="17" s="1"/>
  <c r="CY203" i="17" s="1"/>
  <c r="CZ203" i="17" s="1"/>
  <c r="DA203" i="17" s="1"/>
  <c r="DB203" i="17" s="1"/>
  <c r="DC203" i="17" s="1"/>
  <c r="DD203" i="17" s="1"/>
  <c r="DE203" i="17" s="1"/>
  <c r="DF203" i="17" s="1"/>
  <c r="DG203" i="17" s="1"/>
  <c r="DH203" i="17" s="1"/>
  <c r="DI203" i="17" s="1"/>
  <c r="DJ203" i="17" s="1"/>
  <c r="DK203" i="17" s="1"/>
  <c r="DL203" i="17" s="1"/>
  <c r="Z192" i="17"/>
  <c r="AA192" i="17" s="1"/>
  <c r="AB192" i="17" s="1"/>
  <c r="AC192" i="17" s="1"/>
  <c r="AA145" i="17"/>
  <c r="AB145" i="17" s="1"/>
  <c r="AC145" i="17" s="1"/>
  <c r="AD145" i="17" s="1"/>
  <c r="AE145" i="17" s="1"/>
  <c r="AF145" i="17" s="1"/>
  <c r="AG145" i="17" s="1"/>
  <c r="AH145" i="17" s="1"/>
  <c r="AI145" i="17" s="1"/>
  <c r="AJ145" i="17" s="1"/>
  <c r="AK145" i="17" s="1"/>
  <c r="AL145" i="17" s="1"/>
  <c r="AM145" i="17" s="1"/>
  <c r="AN145" i="17" s="1"/>
  <c r="AO145" i="17" s="1"/>
  <c r="AP145" i="17" s="1"/>
  <c r="AQ145" i="17" s="1"/>
  <c r="AR145" i="17" s="1"/>
  <c r="AS145" i="17" s="1"/>
  <c r="AT145" i="17" s="1"/>
  <c r="AU145" i="17" s="1"/>
  <c r="AV145" i="17" s="1"/>
  <c r="AW145" i="17" s="1"/>
  <c r="AX145" i="17" s="1"/>
  <c r="AY145" i="17" s="1"/>
  <c r="AZ145" i="17" s="1"/>
  <c r="BA145" i="17" s="1"/>
  <c r="BB145" i="17" s="1"/>
  <c r="BC145" i="17" s="1"/>
  <c r="BD145" i="17" s="1"/>
  <c r="BE145" i="17" s="1"/>
  <c r="BF145" i="17" s="1"/>
  <c r="BG145" i="17" s="1"/>
  <c r="BH145" i="17" s="1"/>
  <c r="BI145" i="17" s="1"/>
  <c r="BJ145" i="17" s="1"/>
  <c r="BK145" i="17" s="1"/>
  <c r="BL145" i="17" s="1"/>
  <c r="BM145" i="17" s="1"/>
  <c r="BN145" i="17" s="1"/>
  <c r="BO145" i="17" s="1"/>
  <c r="BP145" i="17" s="1"/>
  <c r="BQ145" i="17" s="1"/>
  <c r="BR145" i="17" s="1"/>
  <c r="BS145" i="17" s="1"/>
  <c r="BT145" i="17" s="1"/>
  <c r="BU145" i="17" s="1"/>
  <c r="BV145" i="17" s="1"/>
  <c r="BW145" i="17" s="1"/>
  <c r="BX145" i="17" s="1"/>
  <c r="BY145" i="17" s="1"/>
  <c r="BZ145" i="17" s="1"/>
  <c r="CA145" i="17" s="1"/>
  <c r="CB145" i="17" s="1"/>
  <c r="CC145" i="17" s="1"/>
  <c r="CD145" i="17" s="1"/>
  <c r="CE145" i="17" s="1"/>
  <c r="CF145" i="17" s="1"/>
  <c r="CG145" i="17" s="1"/>
  <c r="CH145" i="17" s="1"/>
  <c r="CI145" i="17" s="1"/>
  <c r="CJ145" i="17" s="1"/>
  <c r="CK145" i="17" s="1"/>
  <c r="CL145" i="17" s="1"/>
  <c r="CM145" i="17" s="1"/>
  <c r="CN145" i="17" s="1"/>
  <c r="CO145" i="17" s="1"/>
  <c r="CP145" i="17" s="1"/>
  <c r="CQ145" i="17" s="1"/>
  <c r="CR145" i="17" s="1"/>
  <c r="CS145" i="17" s="1"/>
  <c r="CT145" i="17" s="1"/>
  <c r="CU145" i="17" s="1"/>
  <c r="CV145" i="17" s="1"/>
  <c r="CW145" i="17" s="1"/>
  <c r="CX145" i="17" s="1"/>
  <c r="CY145" i="17" s="1"/>
  <c r="CZ145" i="17" s="1"/>
  <c r="DA145" i="17" s="1"/>
  <c r="DB145" i="17" s="1"/>
  <c r="DC145" i="17" s="1"/>
  <c r="DD145" i="17" s="1"/>
  <c r="DE145" i="17" s="1"/>
  <c r="DF145" i="17" s="1"/>
  <c r="DG145" i="17" s="1"/>
  <c r="DH145" i="17" s="1"/>
  <c r="DI145" i="17" s="1"/>
  <c r="DJ145" i="17" s="1"/>
  <c r="DK145" i="17" s="1"/>
  <c r="DL145" i="17" s="1"/>
  <c r="BL248" i="17"/>
  <c r="BM248" i="17" s="1"/>
  <c r="BN248" i="17" s="1"/>
  <c r="BO248" i="17" s="1"/>
  <c r="BP248" i="17" s="1"/>
  <c r="BQ248" i="17" s="1"/>
  <c r="BR248" i="17" s="1"/>
  <c r="BS248" i="17" s="1"/>
  <c r="BT248" i="17" s="1"/>
  <c r="BU248" i="17" s="1"/>
  <c r="BV248" i="17" s="1"/>
  <c r="BW248" i="17" s="1"/>
  <c r="BX248" i="17" s="1"/>
  <c r="BY248" i="17" s="1"/>
  <c r="BZ248" i="17" s="1"/>
  <c r="AK7" i="17"/>
  <c r="AL7" i="17" s="1"/>
  <c r="AM7" i="17" s="1"/>
  <c r="AN7" i="17" s="1"/>
  <c r="AO7" i="17" s="1"/>
  <c r="AP7" i="17" s="1"/>
  <c r="AQ7" i="17" s="1"/>
  <c r="AR7" i="17" s="1"/>
  <c r="AS7" i="17" s="1"/>
  <c r="AT7" i="17" s="1"/>
  <c r="AU7" i="17" s="1"/>
  <c r="AV7" i="17" s="1"/>
  <c r="AW7" i="17" s="1"/>
  <c r="AX7" i="17" s="1"/>
  <c r="AY7" i="17" s="1"/>
  <c r="AZ7" i="17" s="1"/>
  <c r="BA7" i="17" s="1"/>
  <c r="BB7" i="17" s="1"/>
  <c r="BC7" i="17" s="1"/>
  <c r="BD7" i="17" s="1"/>
  <c r="BE7" i="17" s="1"/>
  <c r="BF7" i="17" s="1"/>
  <c r="BG7" i="17" s="1"/>
  <c r="BH7" i="17" s="1"/>
  <c r="BI7" i="17" s="1"/>
  <c r="BJ7" i="17" s="1"/>
  <c r="BK7" i="17" s="1"/>
  <c r="BL7" i="17" s="1"/>
  <c r="BM7" i="17" s="1"/>
  <c r="BN7" i="17" s="1"/>
  <c r="BO7" i="17" s="1"/>
  <c r="BP7" i="17" s="1"/>
  <c r="BQ7" i="17" s="1"/>
  <c r="BR7" i="17" s="1"/>
  <c r="BS7" i="17" s="1"/>
  <c r="BT7" i="17" s="1"/>
  <c r="BU7" i="17" s="1"/>
  <c r="BV7" i="17" s="1"/>
  <c r="BW7" i="17" s="1"/>
  <c r="BX7" i="17" s="1"/>
  <c r="BY7" i="17" s="1"/>
  <c r="BZ7" i="17" s="1"/>
  <c r="CA7" i="17" s="1"/>
  <c r="CB7" i="17" s="1"/>
  <c r="CC7" i="17" s="1"/>
  <c r="CD7" i="17" s="1"/>
  <c r="CE7" i="17" s="1"/>
  <c r="CF7" i="17" s="1"/>
  <c r="CG7" i="17" s="1"/>
  <c r="CH7" i="17" s="1"/>
  <c r="CI7" i="17" s="1"/>
  <c r="CJ7" i="17" s="1"/>
  <c r="CK7" i="17" s="1"/>
  <c r="CL7" i="17" s="1"/>
  <c r="CM7" i="17" s="1"/>
  <c r="CN7" i="17" s="1"/>
  <c r="CO7" i="17" s="1"/>
  <c r="CP7" i="17" s="1"/>
  <c r="CQ7" i="17" s="1"/>
  <c r="CR7" i="17" s="1"/>
  <c r="CS7" i="17" s="1"/>
  <c r="CT7" i="17" s="1"/>
  <c r="CU7" i="17" s="1"/>
  <c r="CV7" i="17" s="1"/>
  <c r="CW7" i="17" s="1"/>
  <c r="CX7" i="17" s="1"/>
  <c r="CY7" i="17" s="1"/>
  <c r="CZ7" i="17" s="1"/>
  <c r="DA7" i="17" s="1"/>
  <c r="DB7" i="17" s="1"/>
  <c r="DC7" i="17" s="1"/>
  <c r="DD7" i="17" s="1"/>
  <c r="DE7" i="17" s="1"/>
  <c r="DF7" i="17" s="1"/>
  <c r="DG7" i="17" s="1"/>
  <c r="DH7" i="17" s="1"/>
  <c r="DI7" i="17" s="1"/>
  <c r="DJ7" i="17" s="1"/>
  <c r="DK7" i="17" s="1"/>
  <c r="DL7" i="17" s="1"/>
  <c r="AS231" i="17"/>
  <c r="AC81" i="17"/>
  <c r="AD81" i="17" s="1"/>
  <c r="AE81" i="17" s="1"/>
  <c r="AC42" i="17"/>
  <c r="AD42" i="17" s="1"/>
  <c r="AE42" i="17" s="1"/>
  <c r="AD236" i="17"/>
  <c r="AE236" i="17" s="1"/>
  <c r="AF236" i="17" s="1"/>
  <c r="AG236" i="17" s="1"/>
  <c r="AH236" i="17" s="1"/>
  <c r="AI236" i="17" s="1"/>
  <c r="AJ236" i="17" s="1"/>
  <c r="AK236" i="17" s="1"/>
  <c r="AL236" i="17" s="1"/>
  <c r="AD108" i="17"/>
  <c r="AA129" i="17"/>
  <c r="AB129" i="17" s="1"/>
  <c r="AC129" i="17" s="1"/>
  <c r="AD129" i="17" s="1"/>
  <c r="AE129" i="17" s="1"/>
  <c r="AF129" i="17" s="1"/>
  <c r="AG129" i="17" s="1"/>
  <c r="AH129" i="17" s="1"/>
  <c r="AI129" i="17" s="1"/>
  <c r="AJ129" i="17" s="1"/>
  <c r="AK129" i="17" s="1"/>
  <c r="AL129" i="17" s="1"/>
  <c r="AM129" i="17" s="1"/>
  <c r="AN129" i="17" s="1"/>
  <c r="AO129" i="17" s="1"/>
  <c r="AP129" i="17" s="1"/>
  <c r="AQ129" i="17" s="1"/>
  <c r="AR129" i="17" s="1"/>
  <c r="AS129" i="17" s="1"/>
  <c r="AT129" i="17" s="1"/>
  <c r="AU129" i="17" s="1"/>
  <c r="AV129" i="17" s="1"/>
  <c r="AW129" i="17" s="1"/>
  <c r="AX129" i="17" s="1"/>
  <c r="AY129" i="17" s="1"/>
  <c r="AZ129" i="17" s="1"/>
  <c r="BA129" i="17" s="1"/>
  <c r="BB129" i="17" s="1"/>
  <c r="BC129" i="17" s="1"/>
  <c r="BD129" i="17" s="1"/>
  <c r="BE129" i="17" s="1"/>
  <c r="BF129" i="17" s="1"/>
  <c r="BG129" i="17" s="1"/>
  <c r="BH129" i="17" s="1"/>
  <c r="BI129" i="17" s="1"/>
  <c r="BJ129" i="17" s="1"/>
  <c r="BK129" i="17" s="1"/>
  <c r="BL129" i="17" s="1"/>
  <c r="BM129" i="17" s="1"/>
  <c r="BN129" i="17" s="1"/>
  <c r="BO129" i="17" s="1"/>
  <c r="BP129" i="17" s="1"/>
  <c r="BQ129" i="17" s="1"/>
  <c r="BR129" i="17" s="1"/>
  <c r="BS129" i="17" s="1"/>
  <c r="BT129" i="17" s="1"/>
  <c r="BU129" i="17" s="1"/>
  <c r="BV129" i="17" s="1"/>
  <c r="BW129" i="17" s="1"/>
  <c r="BX129" i="17" s="1"/>
  <c r="BY129" i="17" s="1"/>
  <c r="BZ129" i="17" s="1"/>
  <c r="CA129" i="17" s="1"/>
  <c r="CB129" i="17" s="1"/>
  <c r="CC129" i="17" s="1"/>
  <c r="CD129" i="17" s="1"/>
  <c r="CE129" i="17" s="1"/>
  <c r="CF129" i="17" s="1"/>
  <c r="CG129" i="17" s="1"/>
  <c r="CH129" i="17" s="1"/>
  <c r="CI129" i="17" s="1"/>
  <c r="CJ129" i="17" s="1"/>
  <c r="CK129" i="17" s="1"/>
  <c r="CL129" i="17" s="1"/>
  <c r="CM129" i="17" s="1"/>
  <c r="CN129" i="17" s="1"/>
  <c r="CO129" i="17" s="1"/>
  <c r="CP129" i="17" s="1"/>
  <c r="CQ129" i="17" s="1"/>
  <c r="CR129" i="17" s="1"/>
  <c r="CS129" i="17" s="1"/>
  <c r="CT129" i="17" s="1"/>
  <c r="CU129" i="17" s="1"/>
  <c r="CV129" i="17" s="1"/>
  <c r="CW129" i="17" s="1"/>
  <c r="CX129" i="17" s="1"/>
  <c r="CY129" i="17" s="1"/>
  <c r="CZ129" i="17" s="1"/>
  <c r="DA129" i="17" s="1"/>
  <c r="DB129" i="17" s="1"/>
  <c r="DC129" i="17" s="1"/>
  <c r="DD129" i="17" s="1"/>
  <c r="DE129" i="17" s="1"/>
  <c r="DF129" i="17" s="1"/>
  <c r="DG129" i="17" s="1"/>
  <c r="DH129" i="17" s="1"/>
  <c r="DI129" i="17" s="1"/>
  <c r="DJ129" i="17" s="1"/>
  <c r="DK129" i="17" s="1"/>
  <c r="DL129" i="17" s="1"/>
  <c r="AC168" i="17"/>
  <c r="Z123" i="17"/>
  <c r="AA123" i="17" s="1"/>
  <c r="AB123" i="17" s="1"/>
  <c r="AC123" i="17" s="1"/>
  <c r="AB8" i="17"/>
  <c r="AC8" i="17" s="1"/>
  <c r="AD8" i="17" s="1"/>
  <c r="AE8" i="17" s="1"/>
  <c r="AF8" i="17" s="1"/>
  <c r="AG8" i="17" s="1"/>
  <c r="AH8" i="17" s="1"/>
  <c r="AI8" i="17" s="1"/>
  <c r="AJ8" i="17" s="1"/>
  <c r="AK8" i="17" s="1"/>
  <c r="AL8" i="17" s="1"/>
  <c r="AM8" i="17" s="1"/>
  <c r="AN8" i="17" s="1"/>
  <c r="AO8" i="17" s="1"/>
  <c r="AP8" i="17" s="1"/>
  <c r="AQ8" i="17" s="1"/>
  <c r="AR8" i="17" s="1"/>
  <c r="AS8" i="17" s="1"/>
  <c r="AT8" i="17" s="1"/>
  <c r="AU8" i="17" s="1"/>
  <c r="AV8" i="17" s="1"/>
  <c r="AW8" i="17" s="1"/>
  <c r="AX8" i="17" s="1"/>
  <c r="AY8" i="17" s="1"/>
  <c r="AZ8" i="17" s="1"/>
  <c r="BA8" i="17" s="1"/>
  <c r="BB8" i="17" s="1"/>
  <c r="BC8" i="17" s="1"/>
  <c r="BD8" i="17" s="1"/>
  <c r="BE8" i="17" s="1"/>
  <c r="BF8" i="17" s="1"/>
  <c r="BG8" i="17" s="1"/>
  <c r="BH8" i="17" s="1"/>
  <c r="BI8" i="17" s="1"/>
  <c r="BJ8" i="17" s="1"/>
  <c r="BK8" i="17" s="1"/>
  <c r="BL8" i="17" s="1"/>
  <c r="BM8" i="17" s="1"/>
  <c r="BN8" i="17" s="1"/>
  <c r="BO8" i="17" s="1"/>
  <c r="BP8" i="17" s="1"/>
  <c r="BQ8" i="17" s="1"/>
  <c r="BR8" i="17" s="1"/>
  <c r="BS8" i="17" s="1"/>
  <c r="BT8" i="17" s="1"/>
  <c r="BU8" i="17" s="1"/>
  <c r="BV8" i="17" s="1"/>
  <c r="BW8" i="17" s="1"/>
  <c r="BX8" i="17" s="1"/>
  <c r="BY8" i="17" s="1"/>
  <c r="BZ8" i="17" s="1"/>
  <c r="CA8" i="17" s="1"/>
  <c r="CB8" i="17" s="1"/>
  <c r="CC8" i="17" s="1"/>
  <c r="CD8" i="17" s="1"/>
  <c r="CE8" i="17" s="1"/>
  <c r="CF8" i="17" s="1"/>
  <c r="CG8" i="17" s="1"/>
  <c r="CH8" i="17" s="1"/>
  <c r="CI8" i="17" s="1"/>
  <c r="CJ8" i="17" s="1"/>
  <c r="CK8" i="17" s="1"/>
  <c r="CL8" i="17" s="1"/>
  <c r="CM8" i="17" s="1"/>
  <c r="CN8" i="17" s="1"/>
  <c r="CO8" i="17" s="1"/>
  <c r="CP8" i="17" s="1"/>
  <c r="CQ8" i="17" s="1"/>
  <c r="CR8" i="17" s="1"/>
  <c r="CS8" i="17" s="1"/>
  <c r="CT8" i="17" s="1"/>
  <c r="CU8" i="17" s="1"/>
  <c r="CV8" i="17" s="1"/>
  <c r="CW8" i="17" s="1"/>
  <c r="CX8" i="17" s="1"/>
  <c r="CY8" i="17" s="1"/>
  <c r="CZ8" i="17" s="1"/>
  <c r="DA8" i="17" s="1"/>
  <c r="DB8" i="17" s="1"/>
  <c r="DC8" i="17" s="1"/>
  <c r="DD8" i="17" s="1"/>
  <c r="DE8" i="17" s="1"/>
  <c r="DF8" i="17" s="1"/>
  <c r="DG8" i="17" s="1"/>
  <c r="DH8" i="17" s="1"/>
  <c r="DI8" i="17" s="1"/>
  <c r="DJ8" i="17" s="1"/>
  <c r="DK8" i="17" s="1"/>
  <c r="DL8" i="17" s="1"/>
  <c r="AC207" i="17"/>
  <c r="AD207" i="17" s="1"/>
  <c r="AA15" i="17"/>
  <c r="AB15" i="17" s="1"/>
  <c r="AE54" i="17"/>
  <c r="AF54" i="17" s="1"/>
  <c r="AG54" i="17" s="1"/>
  <c r="AH54" i="17" s="1"/>
  <c r="AI54" i="17" s="1"/>
  <c r="AJ54" i="17" s="1"/>
  <c r="AK54" i="17" s="1"/>
  <c r="AL54" i="17" s="1"/>
  <c r="AM54" i="17" s="1"/>
  <c r="AN54" i="17" s="1"/>
  <c r="AO54" i="17" s="1"/>
  <c r="AP54" i="17" s="1"/>
  <c r="AQ54" i="17" s="1"/>
  <c r="AR54" i="17" s="1"/>
  <c r="AS54" i="17" s="1"/>
  <c r="AT54" i="17" s="1"/>
  <c r="AU54" i="17" s="1"/>
  <c r="AV54" i="17" s="1"/>
  <c r="AW54" i="17" s="1"/>
  <c r="AX54" i="17" s="1"/>
  <c r="AY54" i="17" s="1"/>
  <c r="AZ54" i="17" s="1"/>
  <c r="BA54" i="17" s="1"/>
  <c r="BB54" i="17" s="1"/>
  <c r="BC54" i="17" s="1"/>
  <c r="BD54" i="17" s="1"/>
  <c r="BE54" i="17" s="1"/>
  <c r="BF54" i="17" s="1"/>
  <c r="BG54" i="17" s="1"/>
  <c r="BH54" i="17" s="1"/>
  <c r="BI54" i="17" s="1"/>
  <c r="BJ54" i="17" s="1"/>
  <c r="BK54" i="17" s="1"/>
  <c r="BL54" i="17" s="1"/>
  <c r="BM54" i="17" s="1"/>
  <c r="BN54" i="17" s="1"/>
  <c r="BO54" i="17" s="1"/>
  <c r="BP54" i="17" s="1"/>
  <c r="BQ54" i="17" s="1"/>
  <c r="BR54" i="17" s="1"/>
  <c r="BS54" i="17" s="1"/>
  <c r="BT54" i="17" s="1"/>
  <c r="BU54" i="17" s="1"/>
  <c r="BV54" i="17" s="1"/>
  <c r="BW54" i="17" s="1"/>
  <c r="BX54" i="17" s="1"/>
  <c r="BY54" i="17" s="1"/>
  <c r="BZ54" i="17" s="1"/>
  <c r="CA54" i="17" s="1"/>
  <c r="CB54" i="17" s="1"/>
  <c r="CC54" i="17" s="1"/>
  <c r="CD54" i="17" s="1"/>
  <c r="CE54" i="17" s="1"/>
  <c r="CF54" i="17" s="1"/>
  <c r="CG54" i="17" s="1"/>
  <c r="CH54" i="17" s="1"/>
  <c r="CI54" i="17" s="1"/>
  <c r="CJ54" i="17" s="1"/>
  <c r="CK54" i="17" s="1"/>
  <c r="CL54" i="17" s="1"/>
  <c r="CM54" i="17" s="1"/>
  <c r="CN54" i="17" s="1"/>
  <c r="CO54" i="17" s="1"/>
  <c r="CP54" i="17" s="1"/>
  <c r="CQ54" i="17" s="1"/>
  <c r="CR54" i="17" s="1"/>
  <c r="CS54" i="17" s="1"/>
  <c r="CT54" i="17" s="1"/>
  <c r="CU54" i="17" s="1"/>
  <c r="CV54" i="17" s="1"/>
  <c r="CW54" i="17" s="1"/>
  <c r="CX54" i="17" s="1"/>
  <c r="CY54" i="17" s="1"/>
  <c r="CZ54" i="17" s="1"/>
  <c r="DA54" i="17" s="1"/>
  <c r="DB54" i="17" s="1"/>
  <c r="DC54" i="17" s="1"/>
  <c r="DD54" i="17" s="1"/>
  <c r="DE54" i="17" s="1"/>
  <c r="DF54" i="17" s="1"/>
  <c r="DG54" i="17" s="1"/>
  <c r="DH54" i="17" s="1"/>
  <c r="DI54" i="17" s="1"/>
  <c r="DJ54" i="17" s="1"/>
  <c r="DK54" i="17" s="1"/>
  <c r="DL54" i="17" s="1"/>
  <c r="AX166" i="17"/>
  <c r="AY166" i="17" s="1"/>
  <c r="AZ166" i="17" s="1"/>
  <c r="BA166" i="17" s="1"/>
  <c r="BB166" i="17" s="1"/>
  <c r="BC166" i="17" s="1"/>
  <c r="BD166" i="17" s="1"/>
  <c r="BE166" i="17" s="1"/>
  <c r="BF166" i="17" s="1"/>
  <c r="BG166" i="17" s="1"/>
  <c r="BH166" i="17" s="1"/>
  <c r="BI166" i="17" s="1"/>
  <c r="BJ166" i="17" s="1"/>
  <c r="BK166" i="17" s="1"/>
  <c r="BL166" i="17" s="1"/>
  <c r="BM166" i="17" s="1"/>
  <c r="BN166" i="17" s="1"/>
  <c r="BO166" i="17" s="1"/>
  <c r="BP166" i="17" s="1"/>
  <c r="BQ166" i="17" s="1"/>
  <c r="BR166" i="17" s="1"/>
  <c r="BS166" i="17" s="1"/>
  <c r="BT166" i="17" s="1"/>
  <c r="BU166" i="17" s="1"/>
  <c r="BV166" i="17" s="1"/>
  <c r="BW166" i="17" s="1"/>
  <c r="BX166" i="17" s="1"/>
  <c r="AA102" i="17"/>
  <c r="AB102" i="17" s="1"/>
  <c r="AI33" i="17"/>
  <c r="AJ33" i="17" s="1"/>
  <c r="AK33" i="17" s="1"/>
  <c r="AL33" i="17" s="1"/>
  <c r="AM33" i="17" s="1"/>
  <c r="AN33" i="17" s="1"/>
  <c r="AO33" i="17" s="1"/>
  <c r="AP33" i="17" s="1"/>
  <c r="AQ33" i="17" s="1"/>
  <c r="AR33" i="17" s="1"/>
  <c r="AS33" i="17" s="1"/>
  <c r="AT33" i="17" s="1"/>
  <c r="AU33" i="17" s="1"/>
  <c r="AV33" i="17" s="1"/>
  <c r="AW33" i="17" s="1"/>
  <c r="AX33" i="17" s="1"/>
  <c r="AY33" i="17" s="1"/>
  <c r="AZ33" i="17" s="1"/>
  <c r="BA33" i="17" s="1"/>
  <c r="BB33" i="17" s="1"/>
  <c r="BC33" i="17" s="1"/>
  <c r="BD33" i="17" s="1"/>
  <c r="BE33" i="17" s="1"/>
  <c r="BF33" i="17" s="1"/>
  <c r="BG33" i="17" s="1"/>
  <c r="BH33" i="17" s="1"/>
  <c r="BI33" i="17" s="1"/>
  <c r="BJ33" i="17" s="1"/>
  <c r="BK33" i="17" s="1"/>
  <c r="BL33" i="17" s="1"/>
  <c r="BM33" i="17" s="1"/>
  <c r="BN33" i="17" s="1"/>
  <c r="BO33" i="17" s="1"/>
  <c r="BP33" i="17" s="1"/>
  <c r="BQ33" i="17" s="1"/>
  <c r="BR33" i="17" s="1"/>
  <c r="BS33" i="17" s="1"/>
  <c r="BT33" i="17" s="1"/>
  <c r="BU33" i="17" s="1"/>
  <c r="BV33" i="17" s="1"/>
  <c r="BW33" i="17" s="1"/>
  <c r="BX33" i="17" s="1"/>
  <c r="BY33" i="17" s="1"/>
  <c r="BZ33" i="17" s="1"/>
  <c r="CA33" i="17" s="1"/>
  <c r="CB33" i="17" s="1"/>
  <c r="CC33" i="17" s="1"/>
  <c r="CD33" i="17" s="1"/>
  <c r="CE33" i="17" s="1"/>
  <c r="CF33" i="17" s="1"/>
  <c r="CG33" i="17" s="1"/>
  <c r="CH33" i="17" s="1"/>
  <c r="CI33" i="17" s="1"/>
  <c r="CJ33" i="17" s="1"/>
  <c r="CK33" i="17" s="1"/>
  <c r="CL33" i="17" s="1"/>
  <c r="CM33" i="17" s="1"/>
  <c r="CN33" i="17" s="1"/>
  <c r="CO33" i="17" s="1"/>
  <c r="CP33" i="17" s="1"/>
  <c r="CQ33" i="17" s="1"/>
  <c r="CR33" i="17" s="1"/>
  <c r="CS33" i="17" s="1"/>
  <c r="CT33" i="17" s="1"/>
  <c r="CU33" i="17" s="1"/>
  <c r="CV33" i="17" s="1"/>
  <c r="CW33" i="17" s="1"/>
  <c r="CX33" i="17" s="1"/>
  <c r="CY33" i="17" s="1"/>
  <c r="CZ33" i="17" s="1"/>
  <c r="DA33" i="17" s="1"/>
  <c r="DB33" i="17" s="1"/>
  <c r="DC33" i="17" s="1"/>
  <c r="DD33" i="17" s="1"/>
  <c r="DE33" i="17" s="1"/>
  <c r="DF33" i="17" s="1"/>
  <c r="DG33" i="17" s="1"/>
  <c r="DH33" i="17" s="1"/>
  <c r="DI33" i="17" s="1"/>
  <c r="DJ33" i="17" s="1"/>
  <c r="DK33" i="17" s="1"/>
  <c r="DL33" i="17" s="1"/>
  <c r="AE29" i="17"/>
  <c r="AF29" i="17" s="1"/>
  <c r="AC210" i="17"/>
  <c r="AD210" i="17" s="1"/>
  <c r="AE210" i="17"/>
  <c r="AF210" i="17" s="1"/>
  <c r="AG210" i="17" s="1"/>
  <c r="AH210" i="17" s="1"/>
  <c r="AI210" i="17" s="1"/>
  <c r="AJ210" i="17" s="1"/>
  <c r="AK210" i="17" s="1"/>
  <c r="AL210" i="17" s="1"/>
  <c r="AM210" i="17" s="1"/>
  <c r="AN210" i="17" s="1"/>
  <c r="AO210" i="17" s="1"/>
  <c r="AP210" i="17" s="1"/>
  <c r="AQ210" i="17" s="1"/>
  <c r="AR210" i="17" s="1"/>
  <c r="AS210" i="17" s="1"/>
  <c r="AT210" i="17" s="1"/>
  <c r="AU210" i="17" s="1"/>
  <c r="AV210" i="17" s="1"/>
  <c r="AW210" i="17" s="1"/>
  <c r="AX210" i="17" s="1"/>
  <c r="AY210" i="17" s="1"/>
  <c r="AZ210" i="17" s="1"/>
  <c r="BA210" i="17" s="1"/>
  <c r="BB210" i="17" s="1"/>
  <c r="BC210" i="17" s="1"/>
  <c r="BD210" i="17" s="1"/>
  <c r="BE210" i="17" s="1"/>
  <c r="BF210" i="17" s="1"/>
  <c r="BG210" i="17" s="1"/>
  <c r="BH210" i="17" s="1"/>
  <c r="BI210" i="17" s="1"/>
  <c r="BJ210" i="17" s="1"/>
  <c r="BK210" i="17" s="1"/>
  <c r="BL210" i="17" s="1"/>
  <c r="BM210" i="17" s="1"/>
  <c r="BN210" i="17" s="1"/>
  <c r="BO210" i="17" s="1"/>
  <c r="BP210" i="17" s="1"/>
  <c r="BQ210" i="17" s="1"/>
  <c r="BR210" i="17" s="1"/>
  <c r="BS210" i="17" s="1"/>
  <c r="BT210" i="17" s="1"/>
  <c r="BU210" i="17" s="1"/>
  <c r="BV210" i="17" s="1"/>
  <c r="BW210" i="17" s="1"/>
  <c r="BX210" i="17" s="1"/>
  <c r="BY210" i="17" s="1"/>
  <c r="BZ210" i="17" s="1"/>
  <c r="CA210" i="17" s="1"/>
  <c r="CB210" i="17" s="1"/>
  <c r="CC210" i="17" s="1"/>
  <c r="CD210" i="17" s="1"/>
  <c r="CE210" i="17" s="1"/>
  <c r="CF210" i="17" s="1"/>
  <c r="CG210" i="17" s="1"/>
  <c r="CH210" i="17" s="1"/>
  <c r="CI210" i="17" s="1"/>
  <c r="CJ210" i="17" s="1"/>
  <c r="CK210" i="17" s="1"/>
  <c r="CL210" i="17" s="1"/>
  <c r="CM210" i="17" s="1"/>
  <c r="CN210" i="17" s="1"/>
  <c r="CO210" i="17" s="1"/>
  <c r="CP210" i="17" s="1"/>
  <c r="CQ210" i="17" s="1"/>
  <c r="CR210" i="17" s="1"/>
  <c r="CS210" i="17" s="1"/>
  <c r="CT210" i="17" s="1"/>
  <c r="CU210" i="17" s="1"/>
  <c r="CV210" i="17" s="1"/>
  <c r="CW210" i="17" s="1"/>
  <c r="CX210" i="17" s="1"/>
  <c r="CY210" i="17" s="1"/>
  <c r="CZ210" i="17" s="1"/>
  <c r="DA210" i="17" s="1"/>
  <c r="DB210" i="17" s="1"/>
  <c r="DC210" i="17" s="1"/>
  <c r="DD210" i="17" s="1"/>
  <c r="DE210" i="17" s="1"/>
  <c r="DF210" i="17" s="1"/>
  <c r="DG210" i="17" s="1"/>
  <c r="DH210" i="17" s="1"/>
  <c r="DI210" i="17" s="1"/>
  <c r="DJ210" i="17" s="1"/>
  <c r="DK210" i="17" s="1"/>
  <c r="DL210" i="17" s="1"/>
  <c r="Z31" i="17"/>
  <c r="AA31" i="17" s="1"/>
  <c r="AB31" i="17" s="1"/>
  <c r="AC31" i="17" s="1"/>
  <c r="AM193" i="17"/>
  <c r="AN193" i="17" s="1"/>
  <c r="AO193" i="17" s="1"/>
  <c r="AC122" i="17"/>
  <c r="AI112" i="17"/>
  <c r="AJ112" i="17" s="1"/>
  <c r="AK112" i="17" s="1"/>
  <c r="AL112" i="17" s="1"/>
  <c r="AM112" i="17" s="1"/>
  <c r="AN112" i="17" s="1"/>
  <c r="AO112" i="17" s="1"/>
  <c r="AP112" i="17" s="1"/>
  <c r="AQ112" i="17" s="1"/>
  <c r="AR112" i="17" s="1"/>
  <c r="AA136" i="17"/>
  <c r="X263" i="17"/>
  <c r="AK19" i="17"/>
  <c r="AL19" i="17" s="1"/>
  <c r="AM19" i="17" s="1"/>
  <c r="AN19" i="17" s="1"/>
  <c r="AO19" i="17" s="1"/>
  <c r="AP19" i="17" s="1"/>
  <c r="AQ19" i="17" s="1"/>
  <c r="AR19" i="17" s="1"/>
  <c r="AS19" i="17" s="1"/>
  <c r="AT19" i="17" s="1"/>
  <c r="AU19" i="17" s="1"/>
  <c r="AV19" i="17" s="1"/>
  <c r="AW19" i="17" s="1"/>
  <c r="AA178" i="17"/>
  <c r="AY161" i="17"/>
  <c r="AZ161" i="17" s="1"/>
  <c r="BA161" i="17" s="1"/>
  <c r="BB161" i="17" s="1"/>
  <c r="BC161" i="17" s="1"/>
  <c r="BD161" i="17" s="1"/>
  <c r="BE161" i="17" s="1"/>
  <c r="BF161" i="17" s="1"/>
  <c r="BG161" i="17" s="1"/>
  <c r="BH161" i="17" s="1"/>
  <c r="BI161" i="17" s="1"/>
  <c r="BJ161" i="17" s="1"/>
  <c r="BK161" i="17" s="1"/>
  <c r="BL161" i="17" s="1"/>
  <c r="BM161" i="17" s="1"/>
  <c r="BN161" i="17" s="1"/>
  <c r="BO161" i="17" s="1"/>
  <c r="BP161" i="17" s="1"/>
  <c r="BQ161" i="17" s="1"/>
  <c r="BR161" i="17" s="1"/>
  <c r="BS161" i="17" s="1"/>
  <c r="BT161" i="17" s="1"/>
  <c r="BU161" i="17" s="1"/>
  <c r="BV161" i="17" s="1"/>
  <c r="BW161" i="17" s="1"/>
  <c r="BX161" i="17" s="1"/>
  <c r="BY161" i="17" s="1"/>
  <c r="BZ161" i="17" s="1"/>
  <c r="CA161" i="17" s="1"/>
  <c r="CB161" i="17" s="1"/>
  <c r="CC161" i="17" s="1"/>
  <c r="CD161" i="17" s="1"/>
  <c r="CE161" i="17" s="1"/>
  <c r="CF161" i="17" s="1"/>
  <c r="CG161" i="17" s="1"/>
  <c r="CH161" i="17" s="1"/>
  <c r="CI161" i="17" s="1"/>
  <c r="CJ161" i="17" s="1"/>
  <c r="CK161" i="17" s="1"/>
  <c r="CL161" i="17" s="1"/>
  <c r="CM161" i="17" s="1"/>
  <c r="CN161" i="17" s="1"/>
  <c r="CO161" i="17" s="1"/>
  <c r="CP161" i="17" s="1"/>
  <c r="CQ161" i="17" s="1"/>
  <c r="CR161" i="17" s="1"/>
  <c r="CS161" i="17" s="1"/>
  <c r="CT161" i="17" s="1"/>
  <c r="CU161" i="17" s="1"/>
  <c r="CV161" i="17" s="1"/>
  <c r="CW161" i="17" s="1"/>
  <c r="CX161" i="17" s="1"/>
  <c r="CY161" i="17" s="1"/>
  <c r="CZ161" i="17" s="1"/>
  <c r="DA161" i="17" s="1"/>
  <c r="DB161" i="17" s="1"/>
  <c r="DC161" i="17" s="1"/>
  <c r="DD161" i="17" s="1"/>
  <c r="DE161" i="17" s="1"/>
  <c r="DF161" i="17" s="1"/>
  <c r="DG161" i="17" s="1"/>
  <c r="DH161" i="17" s="1"/>
  <c r="DI161" i="17" s="1"/>
  <c r="DJ161" i="17" s="1"/>
  <c r="DK161" i="17" s="1"/>
  <c r="DL161" i="17" s="1"/>
  <c r="Y232" i="17"/>
  <c r="Z272" i="17"/>
  <c r="AA272" i="17" s="1"/>
  <c r="AB241" i="17"/>
  <c r="AC216" i="17"/>
  <c r="AD216" i="17" s="1"/>
  <c r="M37" i="6"/>
  <c r="M38" i="6"/>
  <c r="A38" i="6"/>
  <c r="AA38" i="6"/>
  <c r="AB38" i="6"/>
  <c r="AC38" i="6"/>
  <c r="A37" i="6"/>
  <c r="AA37" i="6"/>
  <c r="AB37" i="6"/>
  <c r="AC37" i="6"/>
  <c r="A30" i="1"/>
  <c r="V30" i="1"/>
  <c r="W30" i="1"/>
  <c r="X30" i="1"/>
  <c r="L30" i="1"/>
  <c r="A29" i="1"/>
  <c r="V29" i="1"/>
  <c r="W29" i="1"/>
  <c r="X29" i="1"/>
  <c r="L29" i="1"/>
  <c r="L27" i="1"/>
  <c r="A27" i="1"/>
  <c r="V27" i="1"/>
  <c r="W27" i="1"/>
  <c r="X27" i="1"/>
  <c r="L28" i="1"/>
  <c r="A28" i="1"/>
  <c r="V28" i="1"/>
  <c r="W28" i="1"/>
  <c r="X28" i="1"/>
  <c r="A17" i="6"/>
  <c r="M17" i="6"/>
  <c r="AA17" i="6"/>
  <c r="AB17" i="6"/>
  <c r="AC17" i="6"/>
  <c r="M32" i="6"/>
  <c r="A32" i="6"/>
  <c r="AA32" i="6"/>
  <c r="AB32" i="6"/>
  <c r="AC32" i="6"/>
  <c r="A31" i="6"/>
  <c r="M31" i="6"/>
  <c r="AA31" i="6"/>
  <c r="AB31" i="6"/>
  <c r="AC31" i="6"/>
  <c r="L25" i="1"/>
  <c r="L26" i="1"/>
  <c r="A26" i="1"/>
  <c r="V26" i="1"/>
  <c r="W26" i="1"/>
  <c r="X26" i="1"/>
  <c r="A25" i="1"/>
  <c r="V25" i="1"/>
  <c r="W25" i="1"/>
  <c r="X25" i="1"/>
  <c r="V18" i="2"/>
  <c r="V17" i="2"/>
  <c r="V10" i="2"/>
  <c r="V9" i="2"/>
  <c r="A34" i="6"/>
  <c r="M34" i="6"/>
  <c r="AA34" i="6"/>
  <c r="AB34" i="6"/>
  <c r="AC34" i="6"/>
  <c r="A33" i="6"/>
  <c r="M33" i="6"/>
  <c r="AA33" i="6"/>
  <c r="AB33" i="6"/>
  <c r="AC33" i="6"/>
  <c r="M30" i="6"/>
  <c r="A30" i="6"/>
  <c r="AA30" i="6"/>
  <c r="AB30" i="6"/>
  <c r="AC30" i="6"/>
  <c r="A29" i="6"/>
  <c r="M29" i="6"/>
  <c r="AA29" i="6"/>
  <c r="AB29" i="6"/>
  <c r="AC29" i="6"/>
  <c r="A21" i="1"/>
  <c r="L21" i="1"/>
  <c r="V21" i="1"/>
  <c r="W21" i="1"/>
  <c r="X21" i="1"/>
  <c r="A23" i="1"/>
  <c r="L23" i="1"/>
  <c r="V23" i="1"/>
  <c r="W23" i="1"/>
  <c r="X23" i="1"/>
  <c r="A22" i="1"/>
  <c r="L22" i="1"/>
  <c r="V22" i="1"/>
  <c r="W22" i="1"/>
  <c r="X22" i="1"/>
  <c r="M35" i="6"/>
  <c r="M36" i="6"/>
  <c r="A36" i="6"/>
  <c r="AA36" i="6"/>
  <c r="AB36" i="6"/>
  <c r="AC36" i="6"/>
  <c r="A35" i="6"/>
  <c r="AA35" i="6"/>
  <c r="AB35" i="6"/>
  <c r="AC35" i="6"/>
  <c r="A28" i="6"/>
  <c r="AC28" i="6"/>
  <c r="AB28" i="6"/>
  <c r="AA28" i="6"/>
  <c r="M28" i="6"/>
  <c r="M27" i="6"/>
  <c r="A27" i="6"/>
  <c r="AA27" i="6"/>
  <c r="AB27" i="6"/>
  <c r="AC27" i="6"/>
  <c r="L24" i="1"/>
  <c r="A24" i="1"/>
  <c r="V24" i="1"/>
  <c r="W24" i="1"/>
  <c r="X24" i="1"/>
  <c r="L20" i="1"/>
  <c r="A20" i="1"/>
  <c r="V20" i="1"/>
  <c r="W20" i="1"/>
  <c r="X20" i="1"/>
  <c r="A26" i="6"/>
  <c r="AC26" i="6"/>
  <c r="AB26" i="6"/>
  <c r="AA26" i="6"/>
  <c r="M26" i="6"/>
  <c r="M25" i="6"/>
  <c r="A25" i="6"/>
  <c r="AA25" i="6"/>
  <c r="AB25" i="6"/>
  <c r="AC25" i="6"/>
  <c r="A19" i="1"/>
  <c r="V19" i="1"/>
  <c r="W19" i="1"/>
  <c r="X19" i="1"/>
  <c r="L19" i="1"/>
  <c r="L18" i="1"/>
  <c r="A18" i="1"/>
  <c r="V18" i="1"/>
  <c r="W18" i="1"/>
  <c r="X18" i="1"/>
  <c r="A24" i="6"/>
  <c r="AC24" i="6"/>
  <c r="AB24" i="6"/>
  <c r="AA24" i="6"/>
  <c r="M24" i="6"/>
  <c r="A23" i="6"/>
  <c r="M23" i="6"/>
  <c r="AA23" i="6"/>
  <c r="AB23" i="6"/>
  <c r="AC23" i="6"/>
  <c r="A22" i="6"/>
  <c r="AA22" i="6"/>
  <c r="AB22" i="6"/>
  <c r="AC22" i="6"/>
  <c r="M22" i="6"/>
  <c r="M21" i="6"/>
  <c r="A21" i="6"/>
  <c r="AA21" i="6"/>
  <c r="AB21" i="6"/>
  <c r="AC21" i="6"/>
  <c r="AA19" i="6"/>
  <c r="AB19" i="6"/>
  <c r="AC19" i="6"/>
  <c r="AA20" i="6"/>
  <c r="AB20" i="6"/>
  <c r="AC20" i="6"/>
  <c r="A19" i="6"/>
  <c r="A20" i="6"/>
  <c r="M20" i="6"/>
  <c r="M19" i="6"/>
  <c r="L13" i="1"/>
  <c r="A13" i="1"/>
  <c r="V13" i="1"/>
  <c r="W13" i="1"/>
  <c r="X13" i="1"/>
  <c r="A18" i="6"/>
  <c r="AC18" i="6"/>
  <c r="AB18" i="6"/>
  <c r="AA18" i="6"/>
  <c r="M18" i="6"/>
  <c r="A16" i="6"/>
  <c r="AA16" i="6"/>
  <c r="AB16" i="6"/>
  <c r="AC16" i="6"/>
  <c r="M16" i="6"/>
  <c r="A17" i="1"/>
  <c r="V17" i="1"/>
  <c r="W17" i="1"/>
  <c r="X17" i="1"/>
  <c r="L17" i="1"/>
  <c r="L15" i="1"/>
  <c r="A15" i="1"/>
  <c r="V15" i="1"/>
  <c r="W15" i="1"/>
  <c r="X15" i="1"/>
  <c r="W14" i="1"/>
  <c r="X14" i="1"/>
  <c r="W16" i="1"/>
  <c r="X16" i="1"/>
  <c r="A14" i="1"/>
  <c r="L14" i="1"/>
  <c r="V14" i="1"/>
  <c r="A16" i="1"/>
  <c r="L16" i="1"/>
  <c r="V16" i="1"/>
  <c r="V16" i="2"/>
  <c r="V4" i="2"/>
  <c r="V5" i="2"/>
  <c r="V6" i="2"/>
  <c r="V7" i="2"/>
  <c r="V8" i="2"/>
  <c r="V11" i="2"/>
  <c r="V12" i="2"/>
  <c r="V13" i="2"/>
  <c r="V14" i="2"/>
  <c r="V15" i="2"/>
  <c r="V3" i="2"/>
  <c r="A12" i="1"/>
  <c r="L12" i="1"/>
  <c r="V12" i="1"/>
  <c r="W12" i="1"/>
  <c r="X12" i="1"/>
  <c r="AC15" i="6"/>
  <c r="AB15" i="6"/>
  <c r="AA15" i="6"/>
  <c r="M15" i="6"/>
  <c r="A15" i="6"/>
  <c r="AC14" i="6"/>
  <c r="AB14" i="6"/>
  <c r="AA14" i="6"/>
  <c r="M14" i="6"/>
  <c r="A14" i="6"/>
  <c r="AC13" i="6"/>
  <c r="AB13" i="6"/>
  <c r="AA13" i="6"/>
  <c r="M13" i="6"/>
  <c r="A13" i="6"/>
  <c r="A10" i="6"/>
  <c r="M10" i="6"/>
  <c r="AA10" i="6"/>
  <c r="AB10" i="6"/>
  <c r="AC10" i="6"/>
  <c r="AC12" i="6"/>
  <c r="AB12" i="6"/>
  <c r="AA12" i="6"/>
  <c r="M12" i="6"/>
  <c r="A12" i="6"/>
  <c r="AC11" i="6"/>
  <c r="AB11" i="6"/>
  <c r="AA11" i="6"/>
  <c r="M11" i="6"/>
  <c r="A11" i="6"/>
  <c r="AC9" i="6"/>
  <c r="AB9" i="6"/>
  <c r="AA9" i="6"/>
  <c r="M9" i="6"/>
  <c r="A9" i="6"/>
  <c r="AC8" i="6"/>
  <c r="AB8" i="6"/>
  <c r="AA8" i="6"/>
  <c r="M8" i="6"/>
  <c r="A8" i="6"/>
  <c r="AC7" i="6"/>
  <c r="AB7" i="6"/>
  <c r="AA7" i="6"/>
  <c r="M7" i="6"/>
  <c r="A7" i="6"/>
  <c r="V8" i="1"/>
  <c r="V9" i="1"/>
  <c r="V10" i="1"/>
  <c r="V11" i="1"/>
  <c r="V7" i="1"/>
  <c r="A7" i="1"/>
  <c r="A8" i="1"/>
  <c r="A9" i="1"/>
  <c r="A10" i="1"/>
  <c r="A11" i="1"/>
  <c r="L8" i="1"/>
  <c r="W8" i="1"/>
  <c r="X8" i="1"/>
  <c r="X7" i="1"/>
  <c r="X9" i="1"/>
  <c r="X10" i="1"/>
  <c r="X11" i="1"/>
  <c r="W7" i="1"/>
  <c r="W9" i="1"/>
  <c r="W10" i="1"/>
  <c r="W11" i="1"/>
  <c r="A4" i="5"/>
  <c r="A5" i="5"/>
  <c r="A6" i="5"/>
  <c r="A7" i="5"/>
  <c r="A8" i="5"/>
  <c r="A9" i="5"/>
  <c r="A10" i="5"/>
  <c r="A11" i="5"/>
  <c r="A12" i="5"/>
  <c r="A13" i="5"/>
  <c r="A14" i="5"/>
  <c r="A15" i="5"/>
  <c r="A16" i="5"/>
  <c r="A17" i="5"/>
  <c r="A18" i="5"/>
  <c r="A19" i="5"/>
  <c r="A20" i="5"/>
  <c r="A21" i="5"/>
  <c r="A22" i="5"/>
  <c r="A3" i="5"/>
  <c r="L11" i="1"/>
  <c r="L10" i="1"/>
  <c r="L7" i="1"/>
  <c r="L9" i="1"/>
  <c r="AS112" i="17" l="1"/>
  <c r="AT112" i="17" s="1"/>
  <c r="AU112" i="17" s="1"/>
  <c r="AV112" i="17" s="1"/>
  <c r="AW112" i="17" s="1"/>
  <c r="AX112" i="17" s="1"/>
  <c r="AY112" i="17" s="1"/>
  <c r="AZ112" i="17" s="1"/>
  <c r="BA112" i="17" s="1"/>
  <c r="BB112" i="17" s="1"/>
  <c r="BC112" i="17" s="1"/>
  <c r="BD112" i="17" s="1"/>
  <c r="BE112" i="17" s="1"/>
  <c r="BF112" i="17" s="1"/>
  <c r="BG112" i="17" s="1"/>
  <c r="BH112" i="17" s="1"/>
  <c r="BI112" i="17" s="1"/>
  <c r="BJ112" i="17" s="1"/>
  <c r="BK112" i="17" s="1"/>
  <c r="BL112" i="17" s="1"/>
  <c r="BM112" i="17" s="1"/>
  <c r="BN112" i="17" s="1"/>
  <c r="BO112" i="17" s="1"/>
  <c r="BP112" i="17" s="1"/>
  <c r="BQ112" i="17" s="1"/>
  <c r="BR112" i="17" s="1"/>
  <c r="BS112" i="17" s="1"/>
  <c r="BT112" i="17" s="1"/>
  <c r="BU112" i="17" s="1"/>
  <c r="BV112" i="17" s="1"/>
  <c r="BW112" i="17" s="1"/>
  <c r="BX112" i="17" s="1"/>
  <c r="BY112" i="17" s="1"/>
  <c r="BZ112" i="17" s="1"/>
  <c r="CA112" i="17" s="1"/>
  <c r="CB112" i="17" s="1"/>
  <c r="CC112" i="17" s="1"/>
  <c r="CD112" i="17" s="1"/>
  <c r="CE112" i="17" s="1"/>
  <c r="CF112" i="17" s="1"/>
  <c r="CG112" i="17" s="1"/>
  <c r="CH112" i="17" s="1"/>
  <c r="CI112" i="17" s="1"/>
  <c r="CJ112" i="17" s="1"/>
  <c r="CK112" i="17" s="1"/>
  <c r="CL112" i="17" s="1"/>
  <c r="CM112" i="17" s="1"/>
  <c r="CN112" i="17" s="1"/>
  <c r="CO112" i="17" s="1"/>
  <c r="CP112" i="17" s="1"/>
  <c r="CQ112" i="17" s="1"/>
  <c r="CR112" i="17" s="1"/>
  <c r="CS112" i="17" s="1"/>
  <c r="CT112" i="17" s="1"/>
  <c r="CU112" i="17" s="1"/>
  <c r="CV112" i="17" s="1"/>
  <c r="CW112" i="17" s="1"/>
  <c r="CX112" i="17" s="1"/>
  <c r="CY112" i="17" s="1"/>
  <c r="CZ112" i="17" s="1"/>
  <c r="DA112" i="17" s="1"/>
  <c r="DB112" i="17" s="1"/>
  <c r="DC112" i="17" s="1"/>
  <c r="DD112" i="17" s="1"/>
  <c r="DE112" i="17" s="1"/>
  <c r="DF112" i="17" s="1"/>
  <c r="DG112" i="17" s="1"/>
  <c r="DH112" i="17" s="1"/>
  <c r="DI112" i="17" s="1"/>
  <c r="DJ112" i="17" s="1"/>
  <c r="DK112" i="17" s="1"/>
  <c r="DL112" i="17" s="1"/>
  <c r="AZ27" i="17"/>
  <c r="BA27" i="17" s="1"/>
  <c r="BB27" i="17" s="1"/>
  <c r="BC27" i="17" s="1"/>
  <c r="BD27" i="17" s="1"/>
  <c r="BE27" i="17" s="1"/>
  <c r="BF27" i="17" s="1"/>
  <c r="BG27" i="17" s="1"/>
  <c r="BH27" i="17" s="1"/>
  <c r="BI27" i="17" s="1"/>
  <c r="BJ27" i="17" s="1"/>
  <c r="BK27" i="17" s="1"/>
  <c r="BL27" i="17" s="1"/>
  <c r="BM27" i="17" s="1"/>
  <c r="BN27" i="17" s="1"/>
  <c r="BO27" i="17" s="1"/>
  <c r="BP27" i="17" s="1"/>
  <c r="BQ27" i="17" s="1"/>
  <c r="BR27" i="17" s="1"/>
  <c r="BS27" i="17" s="1"/>
  <c r="BT27" i="17" s="1"/>
  <c r="BU27" i="17" s="1"/>
  <c r="BV27" i="17" s="1"/>
  <c r="BW27" i="17" s="1"/>
  <c r="BX27" i="17" s="1"/>
  <c r="BY27" i="17" s="1"/>
  <c r="BZ27" i="17" s="1"/>
  <c r="CA27" i="17" s="1"/>
  <c r="CB27" i="17" s="1"/>
  <c r="CC27" i="17" s="1"/>
  <c r="CD27" i="17" s="1"/>
  <c r="CE27" i="17" s="1"/>
  <c r="CF27" i="17" s="1"/>
  <c r="CG27" i="17" s="1"/>
  <c r="CH27" i="17" s="1"/>
  <c r="CI27" i="17" s="1"/>
  <c r="CJ27" i="17" s="1"/>
  <c r="CK27" i="17" s="1"/>
  <c r="CL27" i="17" s="1"/>
  <c r="CM27" i="17" s="1"/>
  <c r="CN27" i="17" s="1"/>
  <c r="CO27" i="17" s="1"/>
  <c r="CP27" i="17" s="1"/>
  <c r="CQ27" i="17" s="1"/>
  <c r="CR27" i="17" s="1"/>
  <c r="CS27" i="17" s="1"/>
  <c r="CT27" i="17" s="1"/>
  <c r="CU27" i="17" s="1"/>
  <c r="CV27" i="17" s="1"/>
  <c r="CW27" i="17" s="1"/>
  <c r="CX27" i="17" s="1"/>
  <c r="CY27" i="17" s="1"/>
  <c r="CZ27" i="17" s="1"/>
  <c r="DA27" i="17" s="1"/>
  <c r="DB27" i="17" s="1"/>
  <c r="DC27" i="17" s="1"/>
  <c r="DD27" i="17" s="1"/>
  <c r="DE27" i="17" s="1"/>
  <c r="DF27" i="17" s="1"/>
  <c r="DG27" i="17" s="1"/>
  <c r="DH27" i="17" s="1"/>
  <c r="DI27" i="17" s="1"/>
  <c r="DJ27" i="17" s="1"/>
  <c r="DK27" i="17" s="1"/>
  <c r="DL27" i="17" s="1"/>
  <c r="AD176" i="17"/>
  <c r="AE176" i="17" s="1"/>
  <c r="AF176" i="17" s="1"/>
  <c r="AG176" i="17" s="1"/>
  <c r="AH176" i="17" s="1"/>
  <c r="AI176" i="17" s="1"/>
  <c r="AJ176" i="17" s="1"/>
  <c r="AK176" i="17" s="1"/>
  <c r="AL176" i="17" s="1"/>
  <c r="AM176" i="17" s="1"/>
  <c r="AN176" i="17" s="1"/>
  <c r="AO176" i="17" s="1"/>
  <c r="AP176" i="17" s="1"/>
  <c r="AQ176" i="17" s="1"/>
  <c r="AR176" i="17" s="1"/>
  <c r="AS176" i="17" s="1"/>
  <c r="AT176" i="17" s="1"/>
  <c r="AU176" i="17" s="1"/>
  <c r="AV176" i="17" s="1"/>
  <c r="AW176" i="17" s="1"/>
  <c r="AX176" i="17" s="1"/>
  <c r="AY176" i="17" s="1"/>
  <c r="AZ176" i="17" s="1"/>
  <c r="BA176" i="17" s="1"/>
  <c r="BB176" i="17" s="1"/>
  <c r="BC176" i="17" s="1"/>
  <c r="BD176" i="17" s="1"/>
  <c r="BE176" i="17" s="1"/>
  <c r="BF176" i="17" s="1"/>
  <c r="BG176" i="17" s="1"/>
  <c r="BH176" i="17" s="1"/>
  <c r="BI176" i="17" s="1"/>
  <c r="BJ176" i="17" s="1"/>
  <c r="BK176" i="17" s="1"/>
  <c r="BL176" i="17" s="1"/>
  <c r="BM176" i="17" s="1"/>
  <c r="BN176" i="17" s="1"/>
  <c r="BO176" i="17" s="1"/>
  <c r="BP176" i="17" s="1"/>
  <c r="BQ176" i="17" s="1"/>
  <c r="BR176" i="17" s="1"/>
  <c r="BS176" i="17" s="1"/>
  <c r="BT176" i="17" s="1"/>
  <c r="BU176" i="17" s="1"/>
  <c r="BV176" i="17" s="1"/>
  <c r="BW176" i="17" s="1"/>
  <c r="BX176" i="17" s="1"/>
  <c r="BY176" i="17" s="1"/>
  <c r="BZ176" i="17" s="1"/>
  <c r="CA176" i="17" s="1"/>
  <c r="CB176" i="17" s="1"/>
  <c r="CC176" i="17" s="1"/>
  <c r="CD176" i="17" s="1"/>
  <c r="CE176" i="17" s="1"/>
  <c r="CF176" i="17" s="1"/>
  <c r="CG176" i="17" s="1"/>
  <c r="CH176" i="17" s="1"/>
  <c r="CI176" i="17" s="1"/>
  <c r="CJ176" i="17" s="1"/>
  <c r="CK176" i="17" s="1"/>
  <c r="CL176" i="17" s="1"/>
  <c r="CM176" i="17" s="1"/>
  <c r="CN176" i="17" s="1"/>
  <c r="CO176" i="17" s="1"/>
  <c r="CP176" i="17" s="1"/>
  <c r="CQ176" i="17" s="1"/>
  <c r="CR176" i="17" s="1"/>
  <c r="CS176" i="17" s="1"/>
  <c r="CT176" i="17" s="1"/>
  <c r="CU176" i="17" s="1"/>
  <c r="CV176" i="17" s="1"/>
  <c r="CW176" i="17" s="1"/>
  <c r="CX176" i="17" s="1"/>
  <c r="CY176" i="17" s="1"/>
  <c r="CZ176" i="17" s="1"/>
  <c r="DA176" i="17" s="1"/>
  <c r="DB176" i="17" s="1"/>
  <c r="DC176" i="17" s="1"/>
  <c r="DD176" i="17" s="1"/>
  <c r="DE176" i="17" s="1"/>
  <c r="DF176" i="17" s="1"/>
  <c r="DG176" i="17" s="1"/>
  <c r="DH176" i="17" s="1"/>
  <c r="DI176" i="17" s="1"/>
  <c r="DJ176" i="17" s="1"/>
  <c r="DK176" i="17" s="1"/>
  <c r="DL176" i="17" s="1"/>
  <c r="AW167" i="17"/>
  <c r="AX167" i="17" s="1"/>
  <c r="AY167" i="17" s="1"/>
  <c r="AZ167" i="17" s="1"/>
  <c r="BA167" i="17" s="1"/>
  <c r="BB167" i="17" s="1"/>
  <c r="BC167" i="17" s="1"/>
  <c r="BD167" i="17" s="1"/>
  <c r="BE167" i="17" s="1"/>
  <c r="BF167" i="17" s="1"/>
  <c r="BG167" i="17" s="1"/>
  <c r="BH167" i="17" s="1"/>
  <c r="BI167" i="17" s="1"/>
  <c r="BJ167" i="17" s="1"/>
  <c r="BK167" i="17" s="1"/>
  <c r="BL167" i="17" s="1"/>
  <c r="BM167" i="17" s="1"/>
  <c r="BN167" i="17" s="1"/>
  <c r="BO167" i="17" s="1"/>
  <c r="BP167" i="17" s="1"/>
  <c r="BQ167" i="17" s="1"/>
  <c r="BR167" i="17" s="1"/>
  <c r="BS167" i="17" s="1"/>
  <c r="BT167" i="17" s="1"/>
  <c r="BU167" i="17" s="1"/>
  <c r="BV167" i="17" s="1"/>
  <c r="BW167" i="17" s="1"/>
  <c r="BX167" i="17" s="1"/>
  <c r="BY167" i="17" s="1"/>
  <c r="BZ167" i="17" s="1"/>
  <c r="CA167" i="17" s="1"/>
  <c r="CB167" i="17" s="1"/>
  <c r="CC167" i="17" s="1"/>
  <c r="CD167" i="17" s="1"/>
  <c r="CE167" i="17" s="1"/>
  <c r="CF167" i="17" s="1"/>
  <c r="CG167" i="17" s="1"/>
  <c r="CH167" i="17" s="1"/>
  <c r="CI167" i="17" s="1"/>
  <c r="CJ167" i="17" s="1"/>
  <c r="CK167" i="17" s="1"/>
  <c r="CL167" i="17" s="1"/>
  <c r="CM167" i="17" s="1"/>
  <c r="CN167" i="17" s="1"/>
  <c r="CO167" i="17" s="1"/>
  <c r="CP167" i="17" s="1"/>
  <c r="CQ167" i="17" s="1"/>
  <c r="CR167" i="17" s="1"/>
  <c r="CS167" i="17" s="1"/>
  <c r="CT167" i="17" s="1"/>
  <c r="CU167" i="17" s="1"/>
  <c r="CV167" i="17" s="1"/>
  <c r="CW167" i="17" s="1"/>
  <c r="CX167" i="17" s="1"/>
  <c r="CY167" i="17" s="1"/>
  <c r="CZ167" i="17" s="1"/>
  <c r="DA167" i="17" s="1"/>
  <c r="DB167" i="17" s="1"/>
  <c r="DC167" i="17" s="1"/>
  <c r="DD167" i="17" s="1"/>
  <c r="DE167" i="17" s="1"/>
  <c r="DF167" i="17" s="1"/>
  <c r="DG167" i="17" s="1"/>
  <c r="DH167" i="17" s="1"/>
  <c r="DI167" i="17" s="1"/>
  <c r="DJ167" i="17" s="1"/>
  <c r="DK167" i="17" s="1"/>
  <c r="DL167" i="17" s="1"/>
  <c r="D17" i="6"/>
  <c r="D29" i="6"/>
  <c r="D41" i="6"/>
  <c r="C17" i="6"/>
  <c r="C29" i="6"/>
  <c r="C41" i="6"/>
  <c r="D31" i="6"/>
  <c r="C7" i="6"/>
  <c r="C31" i="6"/>
  <c r="D22" i="6"/>
  <c r="C10" i="6"/>
  <c r="C22" i="6"/>
  <c r="C34" i="6"/>
  <c r="D35" i="6"/>
  <c r="D24" i="6"/>
  <c r="C12" i="6"/>
  <c r="C24" i="6"/>
  <c r="C36" i="6"/>
  <c r="D18" i="6"/>
  <c r="D30" i="6"/>
  <c r="D42" i="6"/>
  <c r="C18" i="6"/>
  <c r="C30" i="6"/>
  <c r="C42" i="6"/>
  <c r="D19" i="6"/>
  <c r="C19" i="6"/>
  <c r="D21" i="6"/>
  <c r="C9" i="6"/>
  <c r="C21" i="6"/>
  <c r="C33" i="6"/>
  <c r="D7" i="6"/>
  <c r="D8" i="6"/>
  <c r="D20" i="6"/>
  <c r="D32" i="6"/>
  <c r="C8" i="6"/>
  <c r="C20" i="6"/>
  <c r="C32" i="6"/>
  <c r="D33" i="6"/>
  <c r="D34" i="6"/>
  <c r="D23" i="6"/>
  <c r="C11" i="6"/>
  <c r="C23" i="6"/>
  <c r="C35" i="6"/>
  <c r="D9" i="6"/>
  <c r="C39" i="6"/>
  <c r="D40" i="6"/>
  <c r="C28" i="6"/>
  <c r="C40" i="6"/>
  <c r="D10" i="6"/>
  <c r="D36" i="6"/>
  <c r="D25" i="6"/>
  <c r="C25" i="6"/>
  <c r="D11" i="6"/>
  <c r="D12" i="6"/>
  <c r="D13" i="6"/>
  <c r="D37" i="6"/>
  <c r="C13" i="6"/>
  <c r="C37" i="6"/>
  <c r="D26" i="6"/>
  <c r="D38" i="6"/>
  <c r="C14" i="6"/>
  <c r="C26" i="6"/>
  <c r="C38" i="6"/>
  <c r="C27" i="6"/>
  <c r="D28" i="6"/>
  <c r="D14" i="6"/>
  <c r="D15" i="6"/>
  <c r="D27" i="6"/>
  <c r="D39" i="6"/>
  <c r="C15" i="6"/>
  <c r="C16" i="6"/>
  <c r="D16" i="6"/>
  <c r="CU201" i="17"/>
  <c r="CV201" i="17" s="1"/>
  <c r="CW201" i="17" s="1"/>
  <c r="CX201" i="17" s="1"/>
  <c r="CY201" i="17" s="1"/>
  <c r="CZ201" i="17" s="1"/>
  <c r="DA201" i="17" s="1"/>
  <c r="DB201" i="17" s="1"/>
  <c r="DC201" i="17" s="1"/>
  <c r="DD201" i="17" s="1"/>
  <c r="DE201" i="17" s="1"/>
  <c r="DF201" i="17" s="1"/>
  <c r="DG201" i="17" s="1"/>
  <c r="DH201" i="17" s="1"/>
  <c r="DI201" i="17" s="1"/>
  <c r="DJ201" i="17" s="1"/>
  <c r="DK201" i="17" s="1"/>
  <c r="DL201" i="17" s="1"/>
  <c r="AB189" i="17"/>
  <c r="AC189" i="17" s="1"/>
  <c r="AD189" i="17" s="1"/>
  <c r="AE189" i="17" s="1"/>
  <c r="AF189" i="17" s="1"/>
  <c r="AG189" i="17" s="1"/>
  <c r="AH189" i="17" s="1"/>
  <c r="AC15" i="17"/>
  <c r="AB301" i="17"/>
  <c r="AC301" i="17" s="1"/>
  <c r="Z185" i="17"/>
  <c r="AA185" i="17" s="1"/>
  <c r="AB185" i="17" s="1"/>
  <c r="AC185" i="17" s="1"/>
  <c r="AD185" i="17" s="1"/>
  <c r="AE185" i="17" s="1"/>
  <c r="AF185" i="17" s="1"/>
  <c r="AG185" i="17" s="1"/>
  <c r="AH185" i="17" s="1"/>
  <c r="AI185" i="17" s="1"/>
  <c r="AJ185" i="17" s="1"/>
  <c r="AK185" i="17" s="1"/>
  <c r="AL185" i="17" s="1"/>
  <c r="AM185" i="17" s="1"/>
  <c r="AN185" i="17" s="1"/>
  <c r="AO185" i="17" s="1"/>
  <c r="AP185" i="17" s="1"/>
  <c r="AQ185" i="17" s="1"/>
  <c r="AR185" i="17" s="1"/>
  <c r="AS185" i="17" s="1"/>
  <c r="AT185" i="17" s="1"/>
  <c r="AU185" i="17" s="1"/>
  <c r="AV185" i="17" s="1"/>
  <c r="AW185" i="17" s="1"/>
  <c r="AX185" i="17" s="1"/>
  <c r="AY185" i="17" s="1"/>
  <c r="AZ185" i="17" s="1"/>
  <c r="BA185" i="17" s="1"/>
  <c r="BB185" i="17" s="1"/>
  <c r="BC185" i="17" s="1"/>
  <c r="BD185" i="17" s="1"/>
  <c r="BE185" i="17" s="1"/>
  <c r="BF185" i="17" s="1"/>
  <c r="BG185" i="17" s="1"/>
  <c r="BH185" i="17" s="1"/>
  <c r="BI185" i="17" s="1"/>
  <c r="BJ185" i="17" s="1"/>
  <c r="BK185" i="17" s="1"/>
  <c r="BL185" i="17" s="1"/>
  <c r="BM185" i="17" s="1"/>
  <c r="BN185" i="17" s="1"/>
  <c r="BO185" i="17" s="1"/>
  <c r="BP185" i="17" s="1"/>
  <c r="BQ185" i="17" s="1"/>
  <c r="BR185" i="17" s="1"/>
  <c r="BS185" i="17" s="1"/>
  <c r="BT185" i="17" s="1"/>
  <c r="BU185" i="17" s="1"/>
  <c r="BV185" i="17" s="1"/>
  <c r="BW185" i="17" s="1"/>
  <c r="BX185" i="17" s="1"/>
  <c r="BY185" i="17" s="1"/>
  <c r="BZ185" i="17" s="1"/>
  <c r="CA185" i="17" s="1"/>
  <c r="CB185" i="17" s="1"/>
  <c r="CC185" i="17" s="1"/>
  <c r="CD185" i="17" s="1"/>
  <c r="CE185" i="17" s="1"/>
  <c r="CF185" i="17" s="1"/>
  <c r="CG185" i="17" s="1"/>
  <c r="CH185" i="17" s="1"/>
  <c r="CI185" i="17" s="1"/>
  <c r="CJ185" i="17" s="1"/>
  <c r="CK185" i="17" s="1"/>
  <c r="CL185" i="17" s="1"/>
  <c r="CM185" i="17" s="1"/>
  <c r="CN185" i="17" s="1"/>
  <c r="CO185" i="17" s="1"/>
  <c r="CP185" i="17" s="1"/>
  <c r="CQ185" i="17" s="1"/>
  <c r="CR185" i="17" s="1"/>
  <c r="CS185" i="17" s="1"/>
  <c r="CT185" i="17" s="1"/>
  <c r="CU185" i="17" s="1"/>
  <c r="CV185" i="17" s="1"/>
  <c r="CW185" i="17" s="1"/>
  <c r="CX185" i="17" s="1"/>
  <c r="CY185" i="17" s="1"/>
  <c r="CZ185" i="17" s="1"/>
  <c r="DA185" i="17" s="1"/>
  <c r="DB185" i="17" s="1"/>
  <c r="DC185" i="17" s="1"/>
  <c r="DD185" i="17" s="1"/>
  <c r="DE185" i="17" s="1"/>
  <c r="DF185" i="17" s="1"/>
  <c r="DG185" i="17" s="1"/>
  <c r="DH185" i="17" s="1"/>
  <c r="DI185" i="17" s="1"/>
  <c r="DJ185" i="17" s="1"/>
  <c r="DK185" i="17" s="1"/>
  <c r="DL185" i="17" s="1"/>
  <c r="CA248" i="17"/>
  <c r="CB248" i="17" s="1"/>
  <c r="CC248" i="17" s="1"/>
  <c r="CD248" i="17" s="1"/>
  <c r="CE248" i="17" s="1"/>
  <c r="CF248" i="17" s="1"/>
  <c r="CG248" i="17" s="1"/>
  <c r="CH248" i="17" s="1"/>
  <c r="CI248" i="17" s="1"/>
  <c r="CJ248" i="17" s="1"/>
  <c r="CK248" i="17" s="1"/>
  <c r="CL248" i="17" s="1"/>
  <c r="CM248" i="17" s="1"/>
  <c r="CN248" i="17" s="1"/>
  <c r="CO248" i="17" s="1"/>
  <c r="CP248" i="17" s="1"/>
  <c r="CQ248" i="17" s="1"/>
  <c r="CR248" i="17" s="1"/>
  <c r="CS248" i="17" s="1"/>
  <c r="CT248" i="17" s="1"/>
  <c r="CU248" i="17" s="1"/>
  <c r="CV248" i="17" s="1"/>
  <c r="CW248" i="17" s="1"/>
  <c r="CX248" i="17" s="1"/>
  <c r="CY248" i="17" s="1"/>
  <c r="CZ248" i="17" s="1"/>
  <c r="DA248" i="17" s="1"/>
  <c r="DB248" i="17" s="1"/>
  <c r="DC248" i="17" s="1"/>
  <c r="DD248" i="17" s="1"/>
  <c r="DE248" i="17" s="1"/>
  <c r="DF248" i="17" s="1"/>
  <c r="DG248" i="17" s="1"/>
  <c r="DH248" i="17" s="1"/>
  <c r="DI248" i="17" s="1"/>
  <c r="DJ248" i="17" s="1"/>
  <c r="DK248" i="17" s="1"/>
  <c r="DL248" i="17" s="1"/>
  <c r="AX19" i="17"/>
  <c r="AY19" i="17" s="1"/>
  <c r="AM236" i="17"/>
  <c r="AN236" i="17" s="1"/>
  <c r="AO236" i="17" s="1"/>
  <c r="AP236" i="17" s="1"/>
  <c r="AQ236" i="17" s="1"/>
  <c r="AR236" i="17" s="1"/>
  <c r="AS236" i="17" s="1"/>
  <c r="AT236" i="17" s="1"/>
  <c r="AU236" i="17" s="1"/>
  <c r="AV236" i="17" s="1"/>
  <c r="AW236" i="17" s="1"/>
  <c r="AX236" i="17" s="1"/>
  <c r="AY236" i="17" s="1"/>
  <c r="AZ236" i="17" s="1"/>
  <c r="BA236" i="17" s="1"/>
  <c r="BB236" i="17" s="1"/>
  <c r="BC236" i="17" s="1"/>
  <c r="BD236" i="17" s="1"/>
  <c r="BE236" i="17" s="1"/>
  <c r="BF236" i="17" s="1"/>
  <c r="BG236" i="17" s="1"/>
  <c r="BH236" i="17" s="1"/>
  <c r="BI236" i="17" s="1"/>
  <c r="BJ236" i="17" s="1"/>
  <c r="BK236" i="17" s="1"/>
  <c r="BL236" i="17" s="1"/>
  <c r="BM236" i="17" s="1"/>
  <c r="BN236" i="17" s="1"/>
  <c r="BO236" i="17" s="1"/>
  <c r="BP236" i="17" s="1"/>
  <c r="BQ236" i="17" s="1"/>
  <c r="BR236" i="17" s="1"/>
  <c r="BS236" i="17" s="1"/>
  <c r="BT236" i="17" s="1"/>
  <c r="BU236" i="17" s="1"/>
  <c r="BV236" i="17" s="1"/>
  <c r="BW236" i="17" s="1"/>
  <c r="BX236" i="17" s="1"/>
  <c r="BY236" i="17" s="1"/>
  <c r="BZ236" i="17" s="1"/>
  <c r="CA236" i="17" s="1"/>
  <c r="CB236" i="17" s="1"/>
  <c r="CC236" i="17" s="1"/>
  <c r="CD236" i="17" s="1"/>
  <c r="CE236" i="17" s="1"/>
  <c r="CF236" i="17" s="1"/>
  <c r="CG236" i="17" s="1"/>
  <c r="CH236" i="17" s="1"/>
  <c r="CI236" i="17" s="1"/>
  <c r="CJ236" i="17" s="1"/>
  <c r="CK236" i="17" s="1"/>
  <c r="CL236" i="17" s="1"/>
  <c r="CM236" i="17" s="1"/>
  <c r="CN236" i="17" s="1"/>
  <c r="CO236" i="17" s="1"/>
  <c r="CP236" i="17" s="1"/>
  <c r="CQ236" i="17" s="1"/>
  <c r="CR236" i="17" s="1"/>
  <c r="CS236" i="17" s="1"/>
  <c r="CT236" i="17" s="1"/>
  <c r="CU236" i="17" s="1"/>
  <c r="CV236" i="17" s="1"/>
  <c r="CW236" i="17" s="1"/>
  <c r="CX236" i="17" s="1"/>
  <c r="CY236" i="17" s="1"/>
  <c r="CZ236" i="17" s="1"/>
  <c r="DA236" i="17" s="1"/>
  <c r="DB236" i="17" s="1"/>
  <c r="DC236" i="17" s="1"/>
  <c r="DD236" i="17" s="1"/>
  <c r="DE236" i="17" s="1"/>
  <c r="DF236" i="17" s="1"/>
  <c r="DG236" i="17" s="1"/>
  <c r="DH236" i="17" s="1"/>
  <c r="DI236" i="17" s="1"/>
  <c r="DJ236" i="17" s="1"/>
  <c r="DK236" i="17" s="1"/>
  <c r="DL236" i="17" s="1"/>
  <c r="AG24" i="17"/>
  <c r="AH24" i="17" s="1"/>
  <c r="AI24" i="17" s="1"/>
  <c r="AJ24" i="17" s="1"/>
  <c r="AK24" i="17" s="1"/>
  <c r="AF48" i="17"/>
  <c r="AG146" i="17"/>
  <c r="AD32" i="17"/>
  <c r="AE32" i="17" s="1"/>
  <c r="AF32" i="17" s="1"/>
  <c r="AG32" i="17" s="1"/>
  <c r="AH32" i="17" s="1"/>
  <c r="AI32" i="17" s="1"/>
  <c r="AA55" i="17"/>
  <c r="AB55" i="17" s="1"/>
  <c r="AC55" i="17" s="1"/>
  <c r="AD55" i="17" s="1"/>
  <c r="AE55" i="17" s="1"/>
  <c r="AF55" i="17" s="1"/>
  <c r="AG55" i="17" s="1"/>
  <c r="AH55" i="17" s="1"/>
  <c r="AI55" i="17" s="1"/>
  <c r="AJ55" i="17" s="1"/>
  <c r="AK55" i="17" s="1"/>
  <c r="AL55" i="17" s="1"/>
  <c r="AM55" i="17" s="1"/>
  <c r="AN55" i="17" s="1"/>
  <c r="AO55" i="17" s="1"/>
  <c r="AP55" i="17" s="1"/>
  <c r="AQ55" i="17" s="1"/>
  <c r="AR55" i="17" s="1"/>
  <c r="AS55" i="17" s="1"/>
  <c r="AT55" i="17" s="1"/>
  <c r="AU55" i="17" s="1"/>
  <c r="AV55" i="17" s="1"/>
  <c r="AW55" i="17" s="1"/>
  <c r="AX55" i="17" s="1"/>
  <c r="AY55" i="17" s="1"/>
  <c r="AZ55" i="17" s="1"/>
  <c r="BA55" i="17" s="1"/>
  <c r="BB55" i="17" s="1"/>
  <c r="BC55" i="17" s="1"/>
  <c r="BD55" i="17" s="1"/>
  <c r="BE55" i="17" s="1"/>
  <c r="BF55" i="17" s="1"/>
  <c r="BG55" i="17" s="1"/>
  <c r="BH55" i="17" s="1"/>
  <c r="BI55" i="17" s="1"/>
  <c r="BJ55" i="17" s="1"/>
  <c r="BK55" i="17" s="1"/>
  <c r="BL55" i="17" s="1"/>
  <c r="BM55" i="17" s="1"/>
  <c r="BN55" i="17" s="1"/>
  <c r="BO55" i="17" s="1"/>
  <c r="BP55" i="17" s="1"/>
  <c r="BQ55" i="17" s="1"/>
  <c r="BR55" i="17" s="1"/>
  <c r="BS55" i="17" s="1"/>
  <c r="BT55" i="17" s="1"/>
  <c r="BU55" i="17" s="1"/>
  <c r="BV55" i="17" s="1"/>
  <c r="BW55" i="17" s="1"/>
  <c r="BX55" i="17" s="1"/>
  <c r="BY55" i="17" s="1"/>
  <c r="BZ55" i="17" s="1"/>
  <c r="CA55" i="17" s="1"/>
  <c r="CB55" i="17" s="1"/>
  <c r="CC55" i="17" s="1"/>
  <c r="CD55" i="17" s="1"/>
  <c r="CE55" i="17" s="1"/>
  <c r="CF55" i="17" s="1"/>
  <c r="CG55" i="17" s="1"/>
  <c r="CH55" i="17" s="1"/>
  <c r="CI55" i="17" s="1"/>
  <c r="CJ55" i="17" s="1"/>
  <c r="CK55" i="17" s="1"/>
  <c r="CL55" i="17" s="1"/>
  <c r="CM55" i="17" s="1"/>
  <c r="CN55" i="17" s="1"/>
  <c r="CO55" i="17" s="1"/>
  <c r="CP55" i="17" s="1"/>
  <c r="CQ55" i="17" s="1"/>
  <c r="CR55" i="17" s="1"/>
  <c r="CS55" i="17" s="1"/>
  <c r="CT55" i="17" s="1"/>
  <c r="CU55" i="17" s="1"/>
  <c r="CV55" i="17" s="1"/>
  <c r="CW55" i="17" s="1"/>
  <c r="CX55" i="17" s="1"/>
  <c r="CY55" i="17" s="1"/>
  <c r="CZ55" i="17" s="1"/>
  <c r="DA55" i="17" s="1"/>
  <c r="DB55" i="17" s="1"/>
  <c r="DC55" i="17" s="1"/>
  <c r="DD55" i="17" s="1"/>
  <c r="DE55" i="17" s="1"/>
  <c r="DF55" i="17" s="1"/>
  <c r="DG55" i="17" s="1"/>
  <c r="DH55" i="17" s="1"/>
  <c r="DI55" i="17" s="1"/>
  <c r="DJ55" i="17" s="1"/>
  <c r="DK55" i="17" s="1"/>
  <c r="DL55" i="17" s="1"/>
  <c r="AH265" i="17"/>
  <c r="AP193" i="17"/>
  <c r="AQ193" i="17" s="1"/>
  <c r="AR193" i="17" s="1"/>
  <c r="AS193" i="17" s="1"/>
  <c r="AT193" i="17" s="1"/>
  <c r="AU193" i="17" s="1"/>
  <c r="AV193" i="17" s="1"/>
  <c r="AW193" i="17" s="1"/>
  <c r="AX193" i="17" s="1"/>
  <c r="AY193" i="17" s="1"/>
  <c r="AZ193" i="17" s="1"/>
  <c r="BA193" i="17" s="1"/>
  <c r="BB193" i="17" s="1"/>
  <c r="BC193" i="17" s="1"/>
  <c r="BD193" i="17" s="1"/>
  <c r="BE193" i="17" s="1"/>
  <c r="BF193" i="17" s="1"/>
  <c r="BG193" i="17" s="1"/>
  <c r="BH193" i="17" s="1"/>
  <c r="BI193" i="17" s="1"/>
  <c r="BJ193" i="17" s="1"/>
  <c r="BK193" i="17" s="1"/>
  <c r="BL193" i="17" s="1"/>
  <c r="BM193" i="17" s="1"/>
  <c r="BN193" i="17" s="1"/>
  <c r="BO193" i="17" s="1"/>
  <c r="BP193" i="17" s="1"/>
  <c r="BQ193" i="17" s="1"/>
  <c r="BR193" i="17" s="1"/>
  <c r="BS193" i="17" s="1"/>
  <c r="BT193" i="17" s="1"/>
  <c r="BU193" i="17" s="1"/>
  <c r="BV193" i="17" s="1"/>
  <c r="BW193" i="17" s="1"/>
  <c r="BX193" i="17" s="1"/>
  <c r="BY193" i="17" s="1"/>
  <c r="BZ193" i="17" s="1"/>
  <c r="CA193" i="17" s="1"/>
  <c r="CB193" i="17" s="1"/>
  <c r="CC193" i="17" s="1"/>
  <c r="CD193" i="17" s="1"/>
  <c r="CE193" i="17" s="1"/>
  <c r="CF193" i="17" s="1"/>
  <c r="CG193" i="17" s="1"/>
  <c r="CH193" i="17" s="1"/>
  <c r="CI193" i="17" s="1"/>
  <c r="CJ193" i="17" s="1"/>
  <c r="CK193" i="17" s="1"/>
  <c r="CL193" i="17" s="1"/>
  <c r="CM193" i="17" s="1"/>
  <c r="CN193" i="17" s="1"/>
  <c r="CO193" i="17" s="1"/>
  <c r="CP193" i="17" s="1"/>
  <c r="CQ193" i="17" s="1"/>
  <c r="CR193" i="17" s="1"/>
  <c r="CS193" i="17" s="1"/>
  <c r="CT193" i="17" s="1"/>
  <c r="CU193" i="17" s="1"/>
  <c r="CV193" i="17" s="1"/>
  <c r="CW193" i="17" s="1"/>
  <c r="CX193" i="17" s="1"/>
  <c r="CY193" i="17" s="1"/>
  <c r="CZ193" i="17" s="1"/>
  <c r="DA193" i="17" s="1"/>
  <c r="DB193" i="17" s="1"/>
  <c r="DC193" i="17" s="1"/>
  <c r="DD193" i="17" s="1"/>
  <c r="DE193" i="17" s="1"/>
  <c r="DF193" i="17" s="1"/>
  <c r="DG193" i="17" s="1"/>
  <c r="DH193" i="17" s="1"/>
  <c r="DI193" i="17" s="1"/>
  <c r="DJ193" i="17" s="1"/>
  <c r="DK193" i="17" s="1"/>
  <c r="DL193" i="17" s="1"/>
  <c r="AD15" i="17"/>
  <c r="AF81" i="17"/>
  <c r="AG81" i="17" s="1"/>
  <c r="AH81" i="17" s="1"/>
  <c r="AI81" i="17" s="1"/>
  <c r="AJ81" i="17" s="1"/>
  <c r="AK81" i="17" s="1"/>
  <c r="AL81" i="17" s="1"/>
  <c r="AM81" i="17" s="1"/>
  <c r="AN81" i="17" s="1"/>
  <c r="AO81" i="17" s="1"/>
  <c r="AP81" i="17" s="1"/>
  <c r="AQ81" i="17" s="1"/>
  <c r="AR81" i="17" s="1"/>
  <c r="AS81" i="17" s="1"/>
  <c r="AT81" i="17" s="1"/>
  <c r="AU81" i="17" s="1"/>
  <c r="AV81" i="17" s="1"/>
  <c r="AW81" i="17" s="1"/>
  <c r="AX81" i="17" s="1"/>
  <c r="AY81" i="17" s="1"/>
  <c r="AZ81" i="17" s="1"/>
  <c r="BA81" i="17" s="1"/>
  <c r="BB81" i="17" s="1"/>
  <c r="BC81" i="17" s="1"/>
  <c r="BD81" i="17" s="1"/>
  <c r="BE81" i="17" s="1"/>
  <c r="BF81" i="17" s="1"/>
  <c r="BG81" i="17" s="1"/>
  <c r="BH81" i="17" s="1"/>
  <c r="BI81" i="17" s="1"/>
  <c r="BJ81" i="17" s="1"/>
  <c r="BK81" i="17" s="1"/>
  <c r="BL81" i="17" s="1"/>
  <c r="BM81" i="17" s="1"/>
  <c r="BN81" i="17" s="1"/>
  <c r="BO81" i="17" s="1"/>
  <c r="BP81" i="17" s="1"/>
  <c r="BQ81" i="17" s="1"/>
  <c r="BR81" i="17" s="1"/>
  <c r="BS81" i="17" s="1"/>
  <c r="BT81" i="17" s="1"/>
  <c r="BU81" i="17" s="1"/>
  <c r="BV81" i="17" s="1"/>
  <c r="BW81" i="17" s="1"/>
  <c r="BX81" i="17" s="1"/>
  <c r="BY81" i="17" s="1"/>
  <c r="BZ81" i="17" s="1"/>
  <c r="CA81" i="17" s="1"/>
  <c r="CB81" i="17" s="1"/>
  <c r="CC81" i="17" s="1"/>
  <c r="CD81" i="17" s="1"/>
  <c r="CE81" i="17" s="1"/>
  <c r="CF81" i="17" s="1"/>
  <c r="CG81" i="17" s="1"/>
  <c r="CH81" i="17" s="1"/>
  <c r="CI81" i="17" s="1"/>
  <c r="CJ81" i="17" s="1"/>
  <c r="CK81" i="17" s="1"/>
  <c r="CL81" i="17" s="1"/>
  <c r="CM81" i="17" s="1"/>
  <c r="CN81" i="17" s="1"/>
  <c r="CO81" i="17" s="1"/>
  <c r="CP81" i="17" s="1"/>
  <c r="CQ81" i="17" s="1"/>
  <c r="CR81" i="17" s="1"/>
  <c r="CS81" i="17" s="1"/>
  <c r="CT81" i="17" s="1"/>
  <c r="CU81" i="17" s="1"/>
  <c r="CV81" i="17" s="1"/>
  <c r="CW81" i="17" s="1"/>
  <c r="CX81" i="17" s="1"/>
  <c r="CY81" i="17" s="1"/>
  <c r="CZ81" i="17" s="1"/>
  <c r="DA81" i="17" s="1"/>
  <c r="DB81" i="17" s="1"/>
  <c r="DC81" i="17" s="1"/>
  <c r="DD81" i="17" s="1"/>
  <c r="DE81" i="17" s="1"/>
  <c r="DF81" i="17" s="1"/>
  <c r="DG81" i="17" s="1"/>
  <c r="DH81" i="17" s="1"/>
  <c r="DI81" i="17" s="1"/>
  <c r="DJ81" i="17" s="1"/>
  <c r="DK81" i="17" s="1"/>
  <c r="DL81" i="17" s="1"/>
  <c r="AE212" i="17"/>
  <c r="CK61" i="17"/>
  <c r="CL61" i="17" s="1"/>
  <c r="AZ19" i="17"/>
  <c r="BA19" i="17" s="1"/>
  <c r="BB19" i="17" s="1"/>
  <c r="BC19" i="17" s="1"/>
  <c r="BD19" i="17" s="1"/>
  <c r="BE19" i="17" s="1"/>
  <c r="BF19" i="17" s="1"/>
  <c r="BG19" i="17" s="1"/>
  <c r="BH19" i="17" s="1"/>
  <c r="BI19" i="17" s="1"/>
  <c r="BJ19" i="17" s="1"/>
  <c r="BZ170" i="17"/>
  <c r="CA170" i="17" s="1"/>
  <c r="CB170" i="17" s="1"/>
  <c r="CC170" i="17" s="1"/>
  <c r="CD170" i="17" s="1"/>
  <c r="CE170" i="17" s="1"/>
  <c r="CF170" i="17" s="1"/>
  <c r="CG170" i="17" s="1"/>
  <c r="CH170" i="17" s="1"/>
  <c r="CI170" i="17" s="1"/>
  <c r="CJ170" i="17" s="1"/>
  <c r="CK170" i="17" s="1"/>
  <c r="CL170" i="17" s="1"/>
  <c r="CM170" i="17" s="1"/>
  <c r="CN170" i="17" s="1"/>
  <c r="CO170" i="17" s="1"/>
  <c r="CP170" i="17" s="1"/>
  <c r="CQ170" i="17" s="1"/>
  <c r="CR170" i="17" s="1"/>
  <c r="CS170" i="17" s="1"/>
  <c r="CT170" i="17" s="1"/>
  <c r="CU170" i="17" s="1"/>
  <c r="CV170" i="17" s="1"/>
  <c r="CW170" i="17" s="1"/>
  <c r="CX170" i="17" s="1"/>
  <c r="CY170" i="17" s="1"/>
  <c r="CZ170" i="17" s="1"/>
  <c r="DA170" i="17" s="1"/>
  <c r="DB170" i="17" s="1"/>
  <c r="DC170" i="17" s="1"/>
  <c r="DD170" i="17" s="1"/>
  <c r="DE170" i="17" s="1"/>
  <c r="DF170" i="17" s="1"/>
  <c r="DG170" i="17" s="1"/>
  <c r="DH170" i="17" s="1"/>
  <c r="DI170" i="17" s="1"/>
  <c r="DJ170" i="17" s="1"/>
  <c r="DK170" i="17" s="1"/>
  <c r="DL170" i="17" s="1"/>
  <c r="AD31" i="17"/>
  <c r="AG29" i="17"/>
  <c r="AH29" i="17" s="1"/>
  <c r="AI29" i="17" s="1"/>
  <c r="AJ29" i="17" s="1"/>
  <c r="AK29" i="17" s="1"/>
  <c r="AL29" i="17" s="1"/>
  <c r="AM29" i="17" s="1"/>
  <c r="AN29" i="17" s="1"/>
  <c r="AO29" i="17" s="1"/>
  <c r="AP29" i="17" s="1"/>
  <c r="AQ29" i="17" s="1"/>
  <c r="AR29" i="17" s="1"/>
  <c r="AS29" i="17" s="1"/>
  <c r="AT29" i="17" s="1"/>
  <c r="AU29" i="17" s="1"/>
  <c r="AV29" i="17" s="1"/>
  <c r="AW29" i="17" s="1"/>
  <c r="AX29" i="17" s="1"/>
  <c r="AY29" i="17" s="1"/>
  <c r="AB272" i="17"/>
  <c r="AC272" i="17" s="1"/>
  <c r="AD272" i="17" s="1"/>
  <c r="AE216" i="17"/>
  <c r="AF216" i="17" s="1"/>
  <c r="AG216" i="17" s="1"/>
  <c r="AH216" i="17" s="1"/>
  <c r="AI216" i="17" s="1"/>
  <c r="AJ216" i="17" s="1"/>
  <c r="AK216" i="17" s="1"/>
  <c r="AL216" i="17" s="1"/>
  <c r="AM216" i="17" s="1"/>
  <c r="AN216" i="17" s="1"/>
  <c r="AO216" i="17" s="1"/>
  <c r="AP216" i="17" s="1"/>
  <c r="AQ216" i="17" s="1"/>
  <c r="AR216" i="17" s="1"/>
  <c r="AS216" i="17" s="1"/>
  <c r="AT216" i="17" s="1"/>
  <c r="AU216" i="17" s="1"/>
  <c r="AV216" i="17" s="1"/>
  <c r="AW216" i="17" s="1"/>
  <c r="AX216" i="17" s="1"/>
  <c r="AY216" i="17" s="1"/>
  <c r="AZ216" i="17" s="1"/>
  <c r="BA216" i="17" s="1"/>
  <c r="BB216" i="17" s="1"/>
  <c r="BC216" i="17" s="1"/>
  <c r="BD216" i="17" s="1"/>
  <c r="BE216" i="17" s="1"/>
  <c r="BF216" i="17" s="1"/>
  <c r="BG216" i="17" s="1"/>
  <c r="BH216" i="17" s="1"/>
  <c r="BI216" i="17" s="1"/>
  <c r="BJ216" i="17" s="1"/>
  <c r="BK216" i="17" s="1"/>
  <c r="BL216" i="17" s="1"/>
  <c r="BM216" i="17" s="1"/>
  <c r="BN216" i="17" s="1"/>
  <c r="BO216" i="17" s="1"/>
  <c r="BP216" i="17" s="1"/>
  <c r="BQ216" i="17" s="1"/>
  <c r="BR216" i="17" s="1"/>
  <c r="BS216" i="17" s="1"/>
  <c r="BT216" i="17" s="1"/>
  <c r="BU216" i="17" s="1"/>
  <c r="BV216" i="17" s="1"/>
  <c r="BW216" i="17" s="1"/>
  <c r="BX216" i="17" s="1"/>
  <c r="BY216" i="17" s="1"/>
  <c r="BZ216" i="17" s="1"/>
  <c r="CA216" i="17" s="1"/>
  <c r="CB216" i="17" s="1"/>
  <c r="CC216" i="17" s="1"/>
  <c r="CD216" i="17" s="1"/>
  <c r="CE216" i="17" s="1"/>
  <c r="CF216" i="17" s="1"/>
  <c r="CG216" i="17" s="1"/>
  <c r="CH216" i="17" s="1"/>
  <c r="CI216" i="17" s="1"/>
  <c r="CJ216" i="17" s="1"/>
  <c r="CK216" i="17" s="1"/>
  <c r="CL216" i="17" s="1"/>
  <c r="CM216" i="17" s="1"/>
  <c r="CN216" i="17" s="1"/>
  <c r="CO216" i="17" s="1"/>
  <c r="CP216" i="17" s="1"/>
  <c r="CQ216" i="17" s="1"/>
  <c r="CR216" i="17" s="1"/>
  <c r="CS216" i="17" s="1"/>
  <c r="CT216" i="17" s="1"/>
  <c r="CU216" i="17" s="1"/>
  <c r="CV216" i="17" s="1"/>
  <c r="CW216" i="17" s="1"/>
  <c r="CX216" i="17" s="1"/>
  <c r="CY216" i="17" s="1"/>
  <c r="CZ216" i="17" s="1"/>
  <c r="DA216" i="17" s="1"/>
  <c r="DB216" i="17" s="1"/>
  <c r="DC216" i="17" s="1"/>
  <c r="DD216" i="17" s="1"/>
  <c r="DE216" i="17" s="1"/>
  <c r="DF216" i="17" s="1"/>
  <c r="DG216" i="17" s="1"/>
  <c r="DH216" i="17" s="1"/>
  <c r="DI216" i="17" s="1"/>
  <c r="DJ216" i="17" s="1"/>
  <c r="DK216" i="17" s="1"/>
  <c r="DL216" i="17" s="1"/>
  <c r="AC102" i="17"/>
  <c r="AD102" i="17" s="1"/>
  <c r="AE102" i="17" s="1"/>
  <c r="AF102" i="17" s="1"/>
  <c r="AG102" i="17" s="1"/>
  <c r="AH102" i="17" s="1"/>
  <c r="AI102" i="17" s="1"/>
  <c r="AJ102" i="17" s="1"/>
  <c r="AK102" i="17" s="1"/>
  <c r="AL102" i="17" s="1"/>
  <c r="AM102" i="17" s="1"/>
  <c r="AN102" i="17" s="1"/>
  <c r="Z232" i="17"/>
  <c r="AA232" i="17" s="1"/>
  <c r="AB232" i="17" s="1"/>
  <c r="AC232" i="17" s="1"/>
  <c r="AB178" i="17"/>
  <c r="AF42" i="17"/>
  <c r="AG42" i="17" s="1"/>
  <c r="AH42" i="17" s="1"/>
  <c r="AI42" i="17" s="1"/>
  <c r="AJ42" i="17" s="1"/>
  <c r="AK42" i="17" s="1"/>
  <c r="AL42" i="17" s="1"/>
  <c r="AM42" i="17" s="1"/>
  <c r="AN42" i="17" s="1"/>
  <c r="AE207" i="17"/>
  <c r="AF207" i="17" s="1"/>
  <c r="AG207" i="17" s="1"/>
  <c r="AH207" i="17" s="1"/>
  <c r="AI207" i="17" s="1"/>
  <c r="AJ207" i="17" s="1"/>
  <c r="AK207" i="17" s="1"/>
  <c r="AL207" i="17" s="1"/>
  <c r="AM207" i="17" s="1"/>
  <c r="AN207" i="17" s="1"/>
  <c r="AO207" i="17" s="1"/>
  <c r="AP207" i="17" s="1"/>
  <c r="AQ207" i="17" s="1"/>
  <c r="AR207" i="17" s="1"/>
  <c r="AS207" i="17" s="1"/>
  <c r="AT207" i="17" s="1"/>
  <c r="AU207" i="17" s="1"/>
  <c r="AV207" i="17" s="1"/>
  <c r="AW207" i="17" s="1"/>
  <c r="AX207" i="17" s="1"/>
  <c r="AY207" i="17" s="1"/>
  <c r="AZ207" i="17" s="1"/>
  <c r="BA207" i="17" s="1"/>
  <c r="BB207" i="17" s="1"/>
  <c r="BC207" i="17" s="1"/>
  <c r="BD207" i="17" s="1"/>
  <c r="BE207" i="17" s="1"/>
  <c r="BF207" i="17" s="1"/>
  <c r="BG207" i="17" s="1"/>
  <c r="BH207" i="17" s="1"/>
  <c r="BI207" i="17" s="1"/>
  <c r="BJ207" i="17" s="1"/>
  <c r="BK207" i="17" s="1"/>
  <c r="BL207" i="17" s="1"/>
  <c r="BM207" i="17" s="1"/>
  <c r="BN207" i="17" s="1"/>
  <c r="BO207" i="17" s="1"/>
  <c r="BP207" i="17" s="1"/>
  <c r="BQ207" i="17" s="1"/>
  <c r="BR207" i="17" s="1"/>
  <c r="BS207" i="17" s="1"/>
  <c r="BT207" i="17" s="1"/>
  <c r="BU207" i="17" s="1"/>
  <c r="BV207" i="17" s="1"/>
  <c r="BW207" i="17" s="1"/>
  <c r="BX207" i="17" s="1"/>
  <c r="BY207" i="17" s="1"/>
  <c r="BZ207" i="17" s="1"/>
  <c r="CA207" i="17" s="1"/>
  <c r="CB207" i="17" s="1"/>
  <c r="CC207" i="17" s="1"/>
  <c r="CD207" i="17" s="1"/>
  <c r="CE207" i="17" s="1"/>
  <c r="CF207" i="17" s="1"/>
  <c r="CG207" i="17" s="1"/>
  <c r="CH207" i="17" s="1"/>
  <c r="CI207" i="17" s="1"/>
  <c r="CJ207" i="17" s="1"/>
  <c r="CK207" i="17" s="1"/>
  <c r="CL207" i="17" s="1"/>
  <c r="CM207" i="17" s="1"/>
  <c r="CN207" i="17" s="1"/>
  <c r="CO207" i="17" s="1"/>
  <c r="CP207" i="17" s="1"/>
  <c r="CQ207" i="17" s="1"/>
  <c r="CR207" i="17" s="1"/>
  <c r="CS207" i="17" s="1"/>
  <c r="CT207" i="17" s="1"/>
  <c r="CU207" i="17" s="1"/>
  <c r="CV207" i="17" s="1"/>
  <c r="CW207" i="17" s="1"/>
  <c r="CX207" i="17" s="1"/>
  <c r="CY207" i="17" s="1"/>
  <c r="CZ207" i="17" s="1"/>
  <c r="DA207" i="17" s="1"/>
  <c r="DB207" i="17" s="1"/>
  <c r="DC207" i="17" s="1"/>
  <c r="DD207" i="17" s="1"/>
  <c r="DE207" i="17" s="1"/>
  <c r="DF207" i="17" s="1"/>
  <c r="DG207" i="17" s="1"/>
  <c r="DH207" i="17" s="1"/>
  <c r="DI207" i="17" s="1"/>
  <c r="DJ207" i="17" s="1"/>
  <c r="DK207" i="17" s="1"/>
  <c r="DL207" i="17" s="1"/>
  <c r="AD168" i="17"/>
  <c r="AE168" i="17" s="1"/>
  <c r="AF168" i="17" s="1"/>
  <c r="AG168" i="17" s="1"/>
  <c r="AH168" i="17" s="1"/>
  <c r="AI168" i="17" s="1"/>
  <c r="AJ168" i="17" s="1"/>
  <c r="AK168" i="17" s="1"/>
  <c r="AL168" i="17" s="1"/>
  <c r="AM168" i="17" s="1"/>
  <c r="AN168" i="17" s="1"/>
  <c r="AO168" i="17" s="1"/>
  <c r="AP168" i="17" s="1"/>
  <c r="AQ168" i="17" s="1"/>
  <c r="AR168" i="17" s="1"/>
  <c r="AS168" i="17" s="1"/>
  <c r="AT168" i="17" s="1"/>
  <c r="AU168" i="17" s="1"/>
  <c r="AV168" i="17" s="1"/>
  <c r="AW168" i="17" s="1"/>
  <c r="AX168" i="17" s="1"/>
  <c r="AY168" i="17" s="1"/>
  <c r="AZ168" i="17" s="1"/>
  <c r="BA168" i="17" s="1"/>
  <c r="BB168" i="17" s="1"/>
  <c r="BC168" i="17" s="1"/>
  <c r="BD168" i="17" s="1"/>
  <c r="BE168" i="17" s="1"/>
  <c r="BF168" i="17" s="1"/>
  <c r="BG168" i="17" s="1"/>
  <c r="BH168" i="17" s="1"/>
  <c r="BI168" i="17" s="1"/>
  <c r="BJ168" i="17" s="1"/>
  <c r="BK168" i="17" s="1"/>
  <c r="BL168" i="17" s="1"/>
  <c r="BM168" i="17" s="1"/>
  <c r="BN168" i="17" s="1"/>
  <c r="BO168" i="17" s="1"/>
  <c r="BP168" i="17" s="1"/>
  <c r="BQ168" i="17" s="1"/>
  <c r="BR168" i="17" s="1"/>
  <c r="BS168" i="17" s="1"/>
  <c r="BT168" i="17" s="1"/>
  <c r="BU168" i="17" s="1"/>
  <c r="BV168" i="17" s="1"/>
  <c r="BW168" i="17" s="1"/>
  <c r="BX168" i="17" s="1"/>
  <c r="BY168" i="17" s="1"/>
  <c r="BZ168" i="17" s="1"/>
  <c r="CA168" i="17" s="1"/>
  <c r="CB168" i="17" s="1"/>
  <c r="CC168" i="17" s="1"/>
  <c r="CD168" i="17" s="1"/>
  <c r="CE168" i="17" s="1"/>
  <c r="CF168" i="17" s="1"/>
  <c r="CG168" i="17" s="1"/>
  <c r="CH168" i="17" s="1"/>
  <c r="CI168" i="17" s="1"/>
  <c r="CJ168" i="17" s="1"/>
  <c r="CK168" i="17" s="1"/>
  <c r="CL168" i="17" s="1"/>
  <c r="CM168" i="17" s="1"/>
  <c r="CN168" i="17" s="1"/>
  <c r="CO168" i="17" s="1"/>
  <c r="CP168" i="17" s="1"/>
  <c r="CQ168" i="17" s="1"/>
  <c r="CR168" i="17" s="1"/>
  <c r="CS168" i="17" s="1"/>
  <c r="CT168" i="17" s="1"/>
  <c r="CU168" i="17" s="1"/>
  <c r="CV168" i="17" s="1"/>
  <c r="CW168" i="17" s="1"/>
  <c r="CX168" i="17" s="1"/>
  <c r="CY168" i="17" s="1"/>
  <c r="CZ168" i="17" s="1"/>
  <c r="DA168" i="17" s="1"/>
  <c r="DB168" i="17" s="1"/>
  <c r="DC168" i="17" s="1"/>
  <c r="DD168" i="17" s="1"/>
  <c r="DE168" i="17" s="1"/>
  <c r="DF168" i="17" s="1"/>
  <c r="DG168" i="17" s="1"/>
  <c r="DH168" i="17" s="1"/>
  <c r="DI168" i="17" s="1"/>
  <c r="DJ168" i="17" s="1"/>
  <c r="DK168" i="17" s="1"/>
  <c r="DL168" i="17" s="1"/>
  <c r="AC241" i="17"/>
  <c r="AD241" i="17" s="1"/>
  <c r="AE241" i="17" s="1"/>
  <c r="AT231" i="17"/>
  <c r="AU231" i="17" s="1"/>
  <c r="AD123" i="17"/>
  <c r="AE123" i="17" s="1"/>
  <c r="AF123" i="17" s="1"/>
  <c r="AG123" i="17" s="1"/>
  <c r="AH123" i="17" s="1"/>
  <c r="AI123" i="17" s="1"/>
  <c r="AJ123" i="17" s="1"/>
  <c r="AK123" i="17" s="1"/>
  <c r="AL123" i="17" s="1"/>
  <c r="AM123" i="17" s="1"/>
  <c r="AN123" i="17" s="1"/>
  <c r="AO123" i="17" s="1"/>
  <c r="AP123" i="17" s="1"/>
  <c r="AQ123" i="17" s="1"/>
  <c r="AR123" i="17" s="1"/>
  <c r="AS123" i="17" s="1"/>
  <c r="AT123" i="17" s="1"/>
  <c r="AU123" i="17" s="1"/>
  <c r="AV123" i="17" s="1"/>
  <c r="AW123" i="17" s="1"/>
  <c r="AX123" i="17" s="1"/>
  <c r="AY123" i="17" s="1"/>
  <c r="AZ123" i="17" s="1"/>
  <c r="BA123" i="17" s="1"/>
  <c r="BB123" i="17" s="1"/>
  <c r="BC123" i="17" s="1"/>
  <c r="BD123" i="17" s="1"/>
  <c r="BE123" i="17" s="1"/>
  <c r="BF123" i="17" s="1"/>
  <c r="BG123" i="17" s="1"/>
  <c r="BH123" i="17" s="1"/>
  <c r="BI123" i="17" s="1"/>
  <c r="BJ123" i="17" s="1"/>
  <c r="BK123" i="17" s="1"/>
  <c r="BL123" i="17" s="1"/>
  <c r="BM123" i="17" s="1"/>
  <c r="BN123" i="17" s="1"/>
  <c r="BO123" i="17" s="1"/>
  <c r="BP123" i="17" s="1"/>
  <c r="BQ123" i="17" s="1"/>
  <c r="BR123" i="17" s="1"/>
  <c r="BS123" i="17" s="1"/>
  <c r="BT123" i="17" s="1"/>
  <c r="BU123" i="17" s="1"/>
  <c r="BV123" i="17" s="1"/>
  <c r="BW123" i="17" s="1"/>
  <c r="BX123" i="17" s="1"/>
  <c r="BY123" i="17" s="1"/>
  <c r="BZ123" i="17" s="1"/>
  <c r="CA123" i="17" s="1"/>
  <c r="CB123" i="17" s="1"/>
  <c r="CC123" i="17" s="1"/>
  <c r="CD123" i="17" s="1"/>
  <c r="CE123" i="17" s="1"/>
  <c r="CF123" i="17" s="1"/>
  <c r="CG123" i="17" s="1"/>
  <c r="CH123" i="17" s="1"/>
  <c r="CI123" i="17" s="1"/>
  <c r="CJ123" i="17" s="1"/>
  <c r="CK123" i="17" s="1"/>
  <c r="CL123" i="17" s="1"/>
  <c r="CM123" i="17" s="1"/>
  <c r="CN123" i="17" s="1"/>
  <c r="CO123" i="17" s="1"/>
  <c r="CP123" i="17" s="1"/>
  <c r="CQ123" i="17" s="1"/>
  <c r="CR123" i="17" s="1"/>
  <c r="CS123" i="17" s="1"/>
  <c r="CT123" i="17" s="1"/>
  <c r="CU123" i="17" s="1"/>
  <c r="CV123" i="17" s="1"/>
  <c r="CW123" i="17" s="1"/>
  <c r="CX123" i="17" s="1"/>
  <c r="CY123" i="17" s="1"/>
  <c r="CZ123" i="17" s="1"/>
  <c r="DA123" i="17" s="1"/>
  <c r="DB123" i="17" s="1"/>
  <c r="DC123" i="17" s="1"/>
  <c r="DD123" i="17" s="1"/>
  <c r="DE123" i="17" s="1"/>
  <c r="DF123" i="17" s="1"/>
  <c r="DG123" i="17" s="1"/>
  <c r="DH123" i="17" s="1"/>
  <c r="DI123" i="17" s="1"/>
  <c r="DJ123" i="17" s="1"/>
  <c r="DK123" i="17" s="1"/>
  <c r="DL123" i="17" s="1"/>
  <c r="AE108" i="17"/>
  <c r="Y263" i="17"/>
  <c r="Z263" i="17" s="1"/>
  <c r="AD122" i="17"/>
  <c r="AE122" i="17" s="1"/>
  <c r="BY166" i="17"/>
  <c r="BZ166" i="17" s="1"/>
  <c r="CA166" i="17" s="1"/>
  <c r="CB166" i="17" s="1"/>
  <c r="CC166" i="17" s="1"/>
  <c r="CD166" i="17" s="1"/>
  <c r="CE166" i="17" s="1"/>
  <c r="CF166" i="17" s="1"/>
  <c r="CG166" i="17" s="1"/>
  <c r="CH166" i="17" s="1"/>
  <c r="CI166" i="17" s="1"/>
  <c r="CJ166" i="17" s="1"/>
  <c r="CK166" i="17" s="1"/>
  <c r="CL166" i="17" s="1"/>
  <c r="CM166" i="17" s="1"/>
  <c r="CN166" i="17" s="1"/>
  <c r="CO166" i="17" s="1"/>
  <c r="CP166" i="17" s="1"/>
  <c r="CQ166" i="17" s="1"/>
  <c r="CR166" i="17" s="1"/>
  <c r="CS166" i="17" s="1"/>
  <c r="CT166" i="17" s="1"/>
  <c r="CU166" i="17" s="1"/>
  <c r="CV166" i="17" s="1"/>
  <c r="CW166" i="17" s="1"/>
  <c r="CX166" i="17" s="1"/>
  <c r="CY166" i="17" s="1"/>
  <c r="CZ166" i="17" s="1"/>
  <c r="DA166" i="17" s="1"/>
  <c r="DB166" i="17" s="1"/>
  <c r="DC166" i="17" s="1"/>
  <c r="DD166" i="17" s="1"/>
  <c r="DE166" i="17" s="1"/>
  <c r="DF166" i="17" s="1"/>
  <c r="DG166" i="17" s="1"/>
  <c r="DH166" i="17" s="1"/>
  <c r="DI166" i="17" s="1"/>
  <c r="DJ166" i="17" s="1"/>
  <c r="DK166" i="17" s="1"/>
  <c r="DL166" i="17" s="1"/>
  <c r="AD192" i="17"/>
  <c r="AE192" i="17" s="1"/>
  <c r="AF192" i="17" s="1"/>
  <c r="AG192" i="17" s="1"/>
  <c r="AH192" i="17" s="1"/>
  <c r="AI192" i="17" s="1"/>
  <c r="AJ192" i="17" s="1"/>
  <c r="AK192" i="17" s="1"/>
  <c r="AL192" i="17" s="1"/>
  <c r="AM192" i="17" s="1"/>
  <c r="AN192" i="17" s="1"/>
  <c r="AO192" i="17" s="1"/>
  <c r="AP192" i="17" s="1"/>
  <c r="AQ192" i="17" s="1"/>
  <c r="AR192" i="17" s="1"/>
  <c r="AS192" i="17" s="1"/>
  <c r="AT192" i="17" s="1"/>
  <c r="AU192" i="17" s="1"/>
  <c r="AV192" i="17" s="1"/>
  <c r="AW192" i="17" s="1"/>
  <c r="AX192" i="17" s="1"/>
  <c r="AY192" i="17" s="1"/>
  <c r="AZ192" i="17" s="1"/>
  <c r="BA192" i="17" s="1"/>
  <c r="BB192" i="17" s="1"/>
  <c r="BC192" i="17" s="1"/>
  <c r="BD192" i="17" s="1"/>
  <c r="BE192" i="17" s="1"/>
  <c r="BF192" i="17" s="1"/>
  <c r="BG192" i="17" s="1"/>
  <c r="BH192" i="17" s="1"/>
  <c r="BI192" i="17" s="1"/>
  <c r="BJ192" i="17" s="1"/>
  <c r="BK192" i="17" s="1"/>
  <c r="BL192" i="17" s="1"/>
  <c r="BM192" i="17" s="1"/>
  <c r="BN192" i="17" s="1"/>
  <c r="BO192" i="17" s="1"/>
  <c r="BP192" i="17" s="1"/>
  <c r="BQ192" i="17" s="1"/>
  <c r="BR192" i="17" s="1"/>
  <c r="BS192" i="17" s="1"/>
  <c r="BT192" i="17" s="1"/>
  <c r="BU192" i="17" s="1"/>
  <c r="BV192" i="17" s="1"/>
  <c r="BW192" i="17" s="1"/>
  <c r="BX192" i="17" s="1"/>
  <c r="BY192" i="17" s="1"/>
  <c r="BZ192" i="17" s="1"/>
  <c r="CA192" i="17" s="1"/>
  <c r="CB192" i="17" s="1"/>
  <c r="CC192" i="17" s="1"/>
  <c r="CD192" i="17" s="1"/>
  <c r="CE192" i="17" s="1"/>
  <c r="CF192" i="17" s="1"/>
  <c r="CG192" i="17" s="1"/>
  <c r="CH192" i="17" s="1"/>
  <c r="CI192" i="17" s="1"/>
  <c r="CJ192" i="17" s="1"/>
  <c r="CK192" i="17" s="1"/>
  <c r="CL192" i="17" s="1"/>
  <c r="CM192" i="17" s="1"/>
  <c r="CN192" i="17" s="1"/>
  <c r="CO192" i="17" s="1"/>
  <c r="CP192" i="17" s="1"/>
  <c r="CQ192" i="17" s="1"/>
  <c r="CR192" i="17" s="1"/>
  <c r="CS192" i="17" s="1"/>
  <c r="CT192" i="17" s="1"/>
  <c r="CU192" i="17" s="1"/>
  <c r="CV192" i="17" s="1"/>
  <c r="CW192" i="17" s="1"/>
  <c r="CX192" i="17" s="1"/>
  <c r="CY192" i="17" s="1"/>
  <c r="CZ192" i="17" s="1"/>
  <c r="DA192" i="17" s="1"/>
  <c r="DB192" i="17" s="1"/>
  <c r="DC192" i="17" s="1"/>
  <c r="DD192" i="17" s="1"/>
  <c r="DE192" i="17" s="1"/>
  <c r="DF192" i="17" s="1"/>
  <c r="DG192" i="17" s="1"/>
  <c r="DH192" i="17" s="1"/>
  <c r="DI192" i="17" s="1"/>
  <c r="DJ192" i="17" s="1"/>
  <c r="DK192" i="17" s="1"/>
  <c r="DL192" i="17" s="1"/>
  <c r="AB136" i="17"/>
  <c r="AV231" i="17" l="1"/>
  <c r="AW231" i="17" s="1"/>
  <c r="AX231" i="17" s="1"/>
  <c r="AY231" i="17" s="1"/>
  <c r="AZ231" i="17" s="1"/>
  <c r="BA231" i="17" s="1"/>
  <c r="BB231" i="17" s="1"/>
  <c r="BC231" i="17" s="1"/>
  <c r="BD231" i="17" s="1"/>
  <c r="BE231" i="17" s="1"/>
  <c r="BF231" i="17" s="1"/>
  <c r="BG231" i="17" s="1"/>
  <c r="BH231" i="17" s="1"/>
  <c r="BI231" i="17" s="1"/>
  <c r="BJ231" i="17" s="1"/>
  <c r="BK231" i="17" s="1"/>
  <c r="BL231" i="17" s="1"/>
  <c r="BM231" i="17" s="1"/>
  <c r="BN231" i="17" s="1"/>
  <c r="BO231" i="17" s="1"/>
  <c r="BP231" i="17" s="1"/>
  <c r="BQ231" i="17" s="1"/>
  <c r="BR231" i="17" s="1"/>
  <c r="BS231" i="17" s="1"/>
  <c r="BT231" i="17" s="1"/>
  <c r="BU231" i="17" s="1"/>
  <c r="BV231" i="17" s="1"/>
  <c r="BW231" i="17" s="1"/>
  <c r="BX231" i="17" s="1"/>
  <c r="BY231" i="17" s="1"/>
  <c r="BZ231" i="17" s="1"/>
  <c r="CA231" i="17" s="1"/>
  <c r="CB231" i="17" s="1"/>
  <c r="CC231" i="17" s="1"/>
  <c r="CD231" i="17" s="1"/>
  <c r="CE231" i="17" s="1"/>
  <c r="CF231" i="17" s="1"/>
  <c r="CG231" i="17" s="1"/>
  <c r="CH231" i="17" s="1"/>
  <c r="CI231" i="17" s="1"/>
  <c r="CJ231" i="17" s="1"/>
  <c r="CK231" i="17" s="1"/>
  <c r="CL231" i="17" s="1"/>
  <c r="CM231" i="17" s="1"/>
  <c r="CN231" i="17" s="1"/>
  <c r="CO231" i="17" s="1"/>
  <c r="CP231" i="17" s="1"/>
  <c r="CQ231" i="17" s="1"/>
  <c r="CR231" i="17" s="1"/>
  <c r="CS231" i="17" s="1"/>
  <c r="CT231" i="17" s="1"/>
  <c r="CU231" i="17" s="1"/>
  <c r="CV231" i="17" s="1"/>
  <c r="CW231" i="17" s="1"/>
  <c r="CX231" i="17" s="1"/>
  <c r="CY231" i="17" s="1"/>
  <c r="CZ231" i="17" s="1"/>
  <c r="DA231" i="17" s="1"/>
  <c r="DB231" i="17" s="1"/>
  <c r="DC231" i="17" s="1"/>
  <c r="DD231" i="17" s="1"/>
  <c r="DE231" i="17" s="1"/>
  <c r="DF231" i="17" s="1"/>
  <c r="DG231" i="17" s="1"/>
  <c r="DH231" i="17" s="1"/>
  <c r="DI231" i="17" s="1"/>
  <c r="DJ231" i="17" s="1"/>
  <c r="DK231" i="17" s="1"/>
  <c r="DL231" i="17" s="1"/>
  <c r="AA263" i="17"/>
  <c r="AB263" i="17" s="1"/>
  <c r="AC263" i="17" s="1"/>
  <c r="AD263" i="17" s="1"/>
  <c r="AE263" i="17" s="1"/>
  <c r="AF263" i="17" s="1"/>
  <c r="AG263" i="17" s="1"/>
  <c r="AH263" i="17" s="1"/>
  <c r="AI263" i="17" s="1"/>
  <c r="AJ263" i="17" s="1"/>
  <c r="AK263" i="17" s="1"/>
  <c r="AL263" i="17" s="1"/>
  <c r="AM263" i="17" s="1"/>
  <c r="AN263" i="17" s="1"/>
  <c r="AO263" i="17" s="1"/>
  <c r="AP263" i="17" s="1"/>
  <c r="AQ263" i="17" s="1"/>
  <c r="AR263" i="17" s="1"/>
  <c r="AS263" i="17" s="1"/>
  <c r="AT263" i="17" s="1"/>
  <c r="AU263" i="17" s="1"/>
  <c r="AV263" i="17" s="1"/>
  <c r="AW263" i="17" s="1"/>
  <c r="AX263" i="17" s="1"/>
  <c r="AY263" i="17" s="1"/>
  <c r="AZ263" i="17" s="1"/>
  <c r="BA263" i="17" s="1"/>
  <c r="BB263" i="17" s="1"/>
  <c r="BC263" i="17" s="1"/>
  <c r="BD263" i="17" s="1"/>
  <c r="BE263" i="17" s="1"/>
  <c r="BF263" i="17" s="1"/>
  <c r="BG263" i="17" s="1"/>
  <c r="BH263" i="17" s="1"/>
  <c r="BI263" i="17" s="1"/>
  <c r="BJ263" i="17" s="1"/>
  <c r="BK263" i="17" s="1"/>
  <c r="BL263" i="17" s="1"/>
  <c r="BM263" i="17" s="1"/>
  <c r="BN263" i="17" s="1"/>
  <c r="BO263" i="17" s="1"/>
  <c r="BP263" i="17" s="1"/>
  <c r="BQ263" i="17" s="1"/>
  <c r="BR263" i="17" s="1"/>
  <c r="BS263" i="17" s="1"/>
  <c r="BT263" i="17" s="1"/>
  <c r="BU263" i="17" s="1"/>
  <c r="BV263" i="17" s="1"/>
  <c r="BW263" i="17" s="1"/>
  <c r="BX263" i="17" s="1"/>
  <c r="BY263" i="17" s="1"/>
  <c r="BZ263" i="17" s="1"/>
  <c r="CA263" i="17" s="1"/>
  <c r="CB263" i="17" s="1"/>
  <c r="CC263" i="17" s="1"/>
  <c r="CD263" i="17" s="1"/>
  <c r="CE263" i="17" s="1"/>
  <c r="CF263" i="17" s="1"/>
  <c r="CG263" i="17" s="1"/>
  <c r="CH263" i="17" s="1"/>
  <c r="CI263" i="17" s="1"/>
  <c r="CJ263" i="17" s="1"/>
  <c r="CK263" i="17" s="1"/>
  <c r="CL263" i="17" s="1"/>
  <c r="CM263" i="17" s="1"/>
  <c r="CN263" i="17" s="1"/>
  <c r="CO263" i="17" s="1"/>
  <c r="CP263" i="17" s="1"/>
  <c r="CQ263" i="17" s="1"/>
  <c r="CR263" i="17" s="1"/>
  <c r="CS263" i="17" s="1"/>
  <c r="CT263" i="17" s="1"/>
  <c r="CU263" i="17" s="1"/>
  <c r="CV263" i="17" s="1"/>
  <c r="CW263" i="17" s="1"/>
  <c r="CX263" i="17" s="1"/>
  <c r="CY263" i="17" s="1"/>
  <c r="CZ263" i="17" s="1"/>
  <c r="DA263" i="17" s="1"/>
  <c r="DB263" i="17" s="1"/>
  <c r="DC263" i="17" s="1"/>
  <c r="DD263" i="17" s="1"/>
  <c r="DE263" i="17" s="1"/>
  <c r="DF263" i="17" s="1"/>
  <c r="DG263" i="17" s="1"/>
  <c r="DH263" i="17" s="1"/>
  <c r="DI263" i="17" s="1"/>
  <c r="DJ263" i="17" s="1"/>
  <c r="DK263" i="17" s="1"/>
  <c r="DL263" i="17" s="1"/>
  <c r="AF241" i="17"/>
  <c r="AG241" i="17" s="1"/>
  <c r="AH241" i="17" s="1"/>
  <c r="AI241" i="17" s="1"/>
  <c r="AJ241" i="17" s="1"/>
  <c r="AK241" i="17" s="1"/>
  <c r="AL241" i="17" s="1"/>
  <c r="AM241" i="17" s="1"/>
  <c r="AN241" i="17" s="1"/>
  <c r="AO241" i="17" s="1"/>
  <c r="AP241" i="17" s="1"/>
  <c r="AQ241" i="17" s="1"/>
  <c r="AR241" i="17" s="1"/>
  <c r="AS241" i="17" s="1"/>
  <c r="AT241" i="17" s="1"/>
  <c r="AU241" i="17" s="1"/>
  <c r="AV241" i="17" s="1"/>
  <c r="AW241" i="17" s="1"/>
  <c r="AX241" i="17" s="1"/>
  <c r="AY241" i="17" s="1"/>
  <c r="AZ241" i="17" s="1"/>
  <c r="BA241" i="17" s="1"/>
  <c r="BB241" i="17" s="1"/>
  <c r="BC241" i="17" s="1"/>
  <c r="BD241" i="17" s="1"/>
  <c r="BE241" i="17" s="1"/>
  <c r="BF241" i="17" s="1"/>
  <c r="BG241" i="17" s="1"/>
  <c r="BH241" i="17" s="1"/>
  <c r="BI241" i="17" s="1"/>
  <c r="BJ241" i="17" s="1"/>
  <c r="BK241" i="17" s="1"/>
  <c r="BL241" i="17" s="1"/>
  <c r="BM241" i="17" s="1"/>
  <c r="BN241" i="17" s="1"/>
  <c r="BO241" i="17" s="1"/>
  <c r="BP241" i="17" s="1"/>
  <c r="BQ241" i="17" s="1"/>
  <c r="BR241" i="17" s="1"/>
  <c r="BS241" i="17" s="1"/>
  <c r="BT241" i="17" s="1"/>
  <c r="BU241" i="17" s="1"/>
  <c r="BV241" i="17" s="1"/>
  <c r="BW241" i="17" s="1"/>
  <c r="BX241" i="17" s="1"/>
  <c r="BY241" i="17" s="1"/>
  <c r="BZ241" i="17" s="1"/>
  <c r="CA241" i="17" s="1"/>
  <c r="CB241" i="17" s="1"/>
  <c r="CC241" i="17" s="1"/>
  <c r="CD241" i="17" s="1"/>
  <c r="CE241" i="17" s="1"/>
  <c r="CF241" i="17" s="1"/>
  <c r="CG241" i="17" s="1"/>
  <c r="CH241" i="17" s="1"/>
  <c r="CI241" i="17" s="1"/>
  <c r="CJ241" i="17" s="1"/>
  <c r="CK241" i="17" s="1"/>
  <c r="CL241" i="17" s="1"/>
  <c r="CM241" i="17" s="1"/>
  <c r="CN241" i="17" s="1"/>
  <c r="CO241" i="17" s="1"/>
  <c r="CP241" i="17" s="1"/>
  <c r="CQ241" i="17" s="1"/>
  <c r="CR241" i="17" s="1"/>
  <c r="CS241" i="17" s="1"/>
  <c r="CT241" i="17" s="1"/>
  <c r="CU241" i="17" s="1"/>
  <c r="CV241" i="17" s="1"/>
  <c r="CW241" i="17" s="1"/>
  <c r="CX241" i="17" s="1"/>
  <c r="CY241" i="17" s="1"/>
  <c r="CZ241" i="17" s="1"/>
  <c r="DA241" i="17" s="1"/>
  <c r="DB241" i="17" s="1"/>
  <c r="DC241" i="17" s="1"/>
  <c r="DD241" i="17" s="1"/>
  <c r="DE241" i="17" s="1"/>
  <c r="DF241" i="17" s="1"/>
  <c r="DG241" i="17" s="1"/>
  <c r="DH241" i="17" s="1"/>
  <c r="DI241" i="17" s="1"/>
  <c r="DJ241" i="17" s="1"/>
  <c r="DK241" i="17" s="1"/>
  <c r="DL241" i="17" s="1"/>
  <c r="AD301" i="17"/>
  <c r="AE301" i="17" s="1"/>
  <c r="AF301" i="17" s="1"/>
  <c r="AG301" i="17" s="1"/>
  <c r="AH301" i="17" s="1"/>
  <c r="AI301" i="17" s="1"/>
  <c r="AJ301" i="17" s="1"/>
  <c r="AK301" i="17" s="1"/>
  <c r="AL301" i="17" s="1"/>
  <c r="AM301" i="17" s="1"/>
  <c r="AN301" i="17" s="1"/>
  <c r="AO301" i="17" s="1"/>
  <c r="AP301" i="17" s="1"/>
  <c r="AQ301" i="17" s="1"/>
  <c r="AR301" i="17" s="1"/>
  <c r="AS301" i="17" s="1"/>
  <c r="AT301" i="17" s="1"/>
  <c r="AU301" i="17" s="1"/>
  <c r="AV301" i="17" s="1"/>
  <c r="AW301" i="17" s="1"/>
  <c r="AX301" i="17" s="1"/>
  <c r="CM61" i="17"/>
  <c r="CN61" i="17" s="1"/>
  <c r="CO61" i="17" s="1"/>
  <c r="CP61" i="17" s="1"/>
  <c r="CQ61" i="17" s="1"/>
  <c r="CR61" i="17" s="1"/>
  <c r="CS61" i="17" s="1"/>
  <c r="CT61" i="17" s="1"/>
  <c r="CU61" i="17" s="1"/>
  <c r="CV61" i="17" s="1"/>
  <c r="CW61" i="17" s="1"/>
  <c r="CX61" i="17" s="1"/>
  <c r="CY61" i="17" s="1"/>
  <c r="CZ61" i="17" s="1"/>
  <c r="DA61" i="17" s="1"/>
  <c r="DB61" i="17" s="1"/>
  <c r="DC61" i="17" s="1"/>
  <c r="DD61" i="17" s="1"/>
  <c r="DE61" i="17" s="1"/>
  <c r="DF61" i="17" s="1"/>
  <c r="DG61" i="17" s="1"/>
  <c r="DH61" i="17" s="1"/>
  <c r="DI61" i="17" s="1"/>
  <c r="DJ61" i="17" s="1"/>
  <c r="DK61" i="17" s="1"/>
  <c r="DL61" i="17" s="1"/>
  <c r="AG48" i="17"/>
  <c r="AE272" i="17"/>
  <c r="AF272" i="17" s="1"/>
  <c r="AG272" i="17" s="1"/>
  <c r="AH272" i="17" s="1"/>
  <c r="AI272" i="17" s="1"/>
  <c r="AJ272" i="17" s="1"/>
  <c r="AK272" i="17" s="1"/>
  <c r="AL272" i="17" s="1"/>
  <c r="AM272" i="17" s="1"/>
  <c r="AN272" i="17" s="1"/>
  <c r="AO272" i="17" s="1"/>
  <c r="AP272" i="17" s="1"/>
  <c r="AQ272" i="17" s="1"/>
  <c r="AR272" i="17" s="1"/>
  <c r="AS272" i="17" s="1"/>
  <c r="AT272" i="17" s="1"/>
  <c r="AU272" i="17" s="1"/>
  <c r="AV272" i="17" s="1"/>
  <c r="AW272" i="17" s="1"/>
  <c r="AX272" i="17" s="1"/>
  <c r="AY272" i="17" s="1"/>
  <c r="AZ272" i="17" s="1"/>
  <c r="BA272" i="17" s="1"/>
  <c r="BB272" i="17" s="1"/>
  <c r="BC272" i="17" s="1"/>
  <c r="BD272" i="17" s="1"/>
  <c r="BE272" i="17" s="1"/>
  <c r="BF272" i="17" s="1"/>
  <c r="BG272" i="17" s="1"/>
  <c r="BH272" i="17" s="1"/>
  <c r="BI272" i="17" s="1"/>
  <c r="BJ272" i="17" s="1"/>
  <c r="BK272" i="17" s="1"/>
  <c r="BL272" i="17" s="1"/>
  <c r="BM272" i="17" s="1"/>
  <c r="BN272" i="17" s="1"/>
  <c r="BO272" i="17" s="1"/>
  <c r="BP272" i="17" s="1"/>
  <c r="BQ272" i="17" s="1"/>
  <c r="BR272" i="17" s="1"/>
  <c r="BS272" i="17" s="1"/>
  <c r="BT272" i="17" s="1"/>
  <c r="BU272" i="17" s="1"/>
  <c r="BV272" i="17" s="1"/>
  <c r="BW272" i="17" s="1"/>
  <c r="BX272" i="17" s="1"/>
  <c r="BY272" i="17" s="1"/>
  <c r="BZ272" i="17" s="1"/>
  <c r="CA272" i="17" s="1"/>
  <c r="CB272" i="17" s="1"/>
  <c r="CC272" i="17" s="1"/>
  <c r="CD272" i="17" s="1"/>
  <c r="CE272" i="17" s="1"/>
  <c r="CF272" i="17" s="1"/>
  <c r="CG272" i="17" s="1"/>
  <c r="CH272" i="17" s="1"/>
  <c r="CI272" i="17" s="1"/>
  <c r="CJ272" i="17" s="1"/>
  <c r="CK272" i="17" s="1"/>
  <c r="CL272" i="17" s="1"/>
  <c r="CM272" i="17" s="1"/>
  <c r="CN272" i="17" s="1"/>
  <c r="CO272" i="17" s="1"/>
  <c r="CP272" i="17" s="1"/>
  <c r="CQ272" i="17" s="1"/>
  <c r="CR272" i="17" s="1"/>
  <c r="CS272" i="17" s="1"/>
  <c r="CT272" i="17" s="1"/>
  <c r="CU272" i="17" s="1"/>
  <c r="CV272" i="17" s="1"/>
  <c r="CW272" i="17" s="1"/>
  <c r="CX272" i="17" s="1"/>
  <c r="CY272" i="17" s="1"/>
  <c r="CZ272" i="17" s="1"/>
  <c r="DA272" i="17" s="1"/>
  <c r="DB272" i="17" s="1"/>
  <c r="DC272" i="17" s="1"/>
  <c r="DD272" i="17" s="1"/>
  <c r="DE272" i="17" s="1"/>
  <c r="DF272" i="17" s="1"/>
  <c r="DG272" i="17" s="1"/>
  <c r="DH272" i="17" s="1"/>
  <c r="DI272" i="17" s="1"/>
  <c r="DJ272" i="17" s="1"/>
  <c r="DK272" i="17" s="1"/>
  <c r="DL272" i="17" s="1"/>
  <c r="AL24" i="17"/>
  <c r="AM24" i="17" s="1"/>
  <c r="AN24" i="17" s="1"/>
  <c r="AO24" i="17" s="1"/>
  <c r="AP24" i="17" s="1"/>
  <c r="AQ24" i="17" s="1"/>
  <c r="AR24" i="17" s="1"/>
  <c r="AS24" i="17" s="1"/>
  <c r="AT24" i="17" s="1"/>
  <c r="AU24" i="17" s="1"/>
  <c r="AV24" i="17" s="1"/>
  <c r="AW24" i="17" s="1"/>
  <c r="AX24" i="17" s="1"/>
  <c r="AY24" i="17" s="1"/>
  <c r="AZ24" i="17" s="1"/>
  <c r="BA24" i="17" s="1"/>
  <c r="BB24" i="17" s="1"/>
  <c r="BC24" i="17" s="1"/>
  <c r="BD24" i="17" s="1"/>
  <c r="BE24" i="17" s="1"/>
  <c r="BF24" i="17" s="1"/>
  <c r="BG24" i="17" s="1"/>
  <c r="BH24" i="17" s="1"/>
  <c r="BI24" i="17" s="1"/>
  <c r="BJ24" i="17" s="1"/>
  <c r="BK24" i="17" s="1"/>
  <c r="BL24" i="17" s="1"/>
  <c r="BM24" i="17" s="1"/>
  <c r="BN24" i="17" s="1"/>
  <c r="BO24" i="17" s="1"/>
  <c r="BP24" i="17" s="1"/>
  <c r="BQ24" i="17" s="1"/>
  <c r="BR24" i="17" s="1"/>
  <c r="BS24" i="17" s="1"/>
  <c r="BT24" i="17" s="1"/>
  <c r="BU24" i="17" s="1"/>
  <c r="BV24" i="17" s="1"/>
  <c r="BW24" i="17" s="1"/>
  <c r="AI189" i="17"/>
  <c r="AJ189" i="17" s="1"/>
  <c r="AK189" i="17" s="1"/>
  <c r="AL189" i="17" s="1"/>
  <c r="AM189" i="17" s="1"/>
  <c r="AN189" i="17" s="1"/>
  <c r="AO189" i="17" s="1"/>
  <c r="AP189" i="17" s="1"/>
  <c r="AQ189" i="17" s="1"/>
  <c r="AR189" i="17" s="1"/>
  <c r="AS189" i="17" s="1"/>
  <c r="AT189" i="17" s="1"/>
  <c r="AU189" i="17" s="1"/>
  <c r="AV189" i="17" s="1"/>
  <c r="AW189" i="17" s="1"/>
  <c r="AX189" i="17" s="1"/>
  <c r="AY189" i="17" s="1"/>
  <c r="AZ189" i="17" s="1"/>
  <c r="BA189" i="17" s="1"/>
  <c r="BB189" i="17" s="1"/>
  <c r="BC189" i="17" s="1"/>
  <c r="BD189" i="17" s="1"/>
  <c r="BE189" i="17" s="1"/>
  <c r="BF189" i="17" s="1"/>
  <c r="BG189" i="17" s="1"/>
  <c r="BH189" i="17" s="1"/>
  <c r="BI189" i="17" s="1"/>
  <c r="BJ189" i="17" s="1"/>
  <c r="BK189" i="17" s="1"/>
  <c r="BL189" i="17" s="1"/>
  <c r="BM189" i="17" s="1"/>
  <c r="BN189" i="17" s="1"/>
  <c r="BO189" i="17" s="1"/>
  <c r="BP189" i="17" s="1"/>
  <c r="BQ189" i="17" s="1"/>
  <c r="BR189" i="17" s="1"/>
  <c r="BS189" i="17" s="1"/>
  <c r="BT189" i="17" s="1"/>
  <c r="BU189" i="17" s="1"/>
  <c r="BV189" i="17" s="1"/>
  <c r="BW189" i="17" s="1"/>
  <c r="BX189" i="17" s="1"/>
  <c r="BY189" i="17" s="1"/>
  <c r="BZ189" i="17" s="1"/>
  <c r="CA189" i="17" s="1"/>
  <c r="CB189" i="17" s="1"/>
  <c r="CC189" i="17" s="1"/>
  <c r="CD189" i="17" s="1"/>
  <c r="CE189" i="17" s="1"/>
  <c r="CF189" i="17" s="1"/>
  <c r="CG189" i="17" s="1"/>
  <c r="CH189" i="17" s="1"/>
  <c r="CI189" i="17" s="1"/>
  <c r="CJ189" i="17" s="1"/>
  <c r="CK189" i="17" s="1"/>
  <c r="CL189" i="17" s="1"/>
  <c r="CM189" i="17" s="1"/>
  <c r="CN189" i="17" s="1"/>
  <c r="CO189" i="17" s="1"/>
  <c r="CP189" i="17" s="1"/>
  <c r="CQ189" i="17" s="1"/>
  <c r="CR189" i="17" s="1"/>
  <c r="CS189" i="17" s="1"/>
  <c r="CT189" i="17" s="1"/>
  <c r="CU189" i="17" s="1"/>
  <c r="CV189" i="17" s="1"/>
  <c r="CW189" i="17" s="1"/>
  <c r="CX189" i="17" s="1"/>
  <c r="CY189" i="17" s="1"/>
  <c r="CZ189" i="17" s="1"/>
  <c r="DA189" i="17" s="1"/>
  <c r="DB189" i="17" s="1"/>
  <c r="DC189" i="17" s="1"/>
  <c r="DD189" i="17" s="1"/>
  <c r="DE189" i="17" s="1"/>
  <c r="DF189" i="17" s="1"/>
  <c r="DG189" i="17" s="1"/>
  <c r="DH189" i="17" s="1"/>
  <c r="DI189" i="17" s="1"/>
  <c r="DJ189" i="17" s="1"/>
  <c r="DK189" i="17" s="1"/>
  <c r="DL189" i="17" s="1"/>
  <c r="BK19" i="17"/>
  <c r="BL19" i="17" s="1"/>
  <c r="BM19" i="17" s="1"/>
  <c r="BN19" i="17" s="1"/>
  <c r="BO19" i="17" s="1"/>
  <c r="BP19" i="17" s="1"/>
  <c r="BQ19" i="17" s="1"/>
  <c r="BR19" i="17" s="1"/>
  <c r="BS19" i="17" s="1"/>
  <c r="BT19" i="17" s="1"/>
  <c r="BU19" i="17" s="1"/>
  <c r="BV19" i="17" s="1"/>
  <c r="BW19" i="17" s="1"/>
  <c r="BX19" i="17" s="1"/>
  <c r="BY19" i="17" s="1"/>
  <c r="BZ19" i="17" s="1"/>
  <c r="CA19" i="17" s="1"/>
  <c r="CB19" i="17" s="1"/>
  <c r="CC19" i="17" s="1"/>
  <c r="CD19" i="17" s="1"/>
  <c r="CE19" i="17" s="1"/>
  <c r="CF19" i="17" s="1"/>
  <c r="CG19" i="17" s="1"/>
  <c r="CH19" i="17" s="1"/>
  <c r="CI19" i="17" s="1"/>
  <c r="CJ19" i="17" s="1"/>
  <c r="CK19" i="17" s="1"/>
  <c r="CL19" i="17" s="1"/>
  <c r="CM19" i="17" s="1"/>
  <c r="CN19" i="17" s="1"/>
  <c r="CO19" i="17" s="1"/>
  <c r="CP19" i="17" s="1"/>
  <c r="CQ19" i="17" s="1"/>
  <c r="CR19" i="17" s="1"/>
  <c r="CS19" i="17" s="1"/>
  <c r="CT19" i="17" s="1"/>
  <c r="CU19" i="17" s="1"/>
  <c r="CV19" i="17" s="1"/>
  <c r="CW19" i="17" s="1"/>
  <c r="CX19" i="17" s="1"/>
  <c r="CY19" i="17" s="1"/>
  <c r="CZ19" i="17" s="1"/>
  <c r="DA19" i="17" s="1"/>
  <c r="DB19" i="17" s="1"/>
  <c r="DC19" i="17" s="1"/>
  <c r="DD19" i="17" s="1"/>
  <c r="DE19" i="17" s="1"/>
  <c r="DF19" i="17" s="1"/>
  <c r="DG19" i="17" s="1"/>
  <c r="DH19" i="17" s="1"/>
  <c r="DI19" i="17" s="1"/>
  <c r="DJ19" i="17" s="1"/>
  <c r="DK19" i="17" s="1"/>
  <c r="DL19" i="17" s="1"/>
  <c r="AJ32" i="17"/>
  <c r="AK32" i="17" s="1"/>
  <c r="AL32" i="17" s="1"/>
  <c r="AM32" i="17" s="1"/>
  <c r="AN32" i="17" s="1"/>
  <c r="AO32" i="17" s="1"/>
  <c r="AP32" i="17" s="1"/>
  <c r="AQ32" i="17" s="1"/>
  <c r="AR32" i="17" s="1"/>
  <c r="AS32" i="17" s="1"/>
  <c r="AT32" i="17" s="1"/>
  <c r="AU32" i="17" s="1"/>
  <c r="AV32" i="17" s="1"/>
  <c r="AW32" i="17" s="1"/>
  <c r="AX32" i="17" s="1"/>
  <c r="AY32" i="17" s="1"/>
  <c r="AZ32" i="17" s="1"/>
  <c r="BA32" i="17" s="1"/>
  <c r="BB32" i="17" s="1"/>
  <c r="BC32" i="17" s="1"/>
  <c r="BD32" i="17" s="1"/>
  <c r="BE32" i="17" s="1"/>
  <c r="BF32" i="17" s="1"/>
  <c r="BG32" i="17" s="1"/>
  <c r="BH32" i="17" s="1"/>
  <c r="BI32" i="17" s="1"/>
  <c r="BJ32" i="17" s="1"/>
  <c r="BK32" i="17" s="1"/>
  <c r="BL32" i="17" s="1"/>
  <c r="BM32" i="17" s="1"/>
  <c r="BN32" i="17" s="1"/>
  <c r="BO32" i="17" s="1"/>
  <c r="BP32" i="17" s="1"/>
  <c r="BQ32" i="17" s="1"/>
  <c r="BR32" i="17" s="1"/>
  <c r="BS32" i="17" s="1"/>
  <c r="BT32" i="17" s="1"/>
  <c r="BU32" i="17" s="1"/>
  <c r="BV32" i="17" s="1"/>
  <c r="BW32" i="17" s="1"/>
  <c r="BX32" i="17" s="1"/>
  <c r="BY32" i="17" s="1"/>
  <c r="BZ32" i="17" s="1"/>
  <c r="CA32" i="17" s="1"/>
  <c r="CB32" i="17" s="1"/>
  <c r="CC32" i="17" s="1"/>
  <c r="CD32" i="17" s="1"/>
  <c r="CE32" i="17" s="1"/>
  <c r="CF32" i="17" s="1"/>
  <c r="CG32" i="17" s="1"/>
  <c r="CH32" i="17" s="1"/>
  <c r="CI32" i="17" s="1"/>
  <c r="CJ32" i="17" s="1"/>
  <c r="CK32" i="17" s="1"/>
  <c r="CL32" i="17" s="1"/>
  <c r="CM32" i="17" s="1"/>
  <c r="CN32" i="17" s="1"/>
  <c r="CO32" i="17" s="1"/>
  <c r="CP32" i="17" s="1"/>
  <c r="CQ32" i="17" s="1"/>
  <c r="CR32" i="17" s="1"/>
  <c r="CS32" i="17" s="1"/>
  <c r="CT32" i="17" s="1"/>
  <c r="CU32" i="17" s="1"/>
  <c r="CV32" i="17" s="1"/>
  <c r="CW32" i="17" s="1"/>
  <c r="CX32" i="17" s="1"/>
  <c r="CY32" i="17" s="1"/>
  <c r="CZ32" i="17" s="1"/>
  <c r="DA32" i="17" s="1"/>
  <c r="DB32" i="17" s="1"/>
  <c r="DC32" i="17" s="1"/>
  <c r="DD32" i="17" s="1"/>
  <c r="DE32" i="17" s="1"/>
  <c r="DF32" i="17" s="1"/>
  <c r="DG32" i="17" s="1"/>
  <c r="DH32" i="17" s="1"/>
  <c r="DI32" i="17" s="1"/>
  <c r="DJ32" i="17" s="1"/>
  <c r="DK32" i="17" s="1"/>
  <c r="DL32" i="17" s="1"/>
  <c r="AF212" i="17"/>
  <c r="AH146" i="17"/>
  <c r="AI146" i="17" s="1"/>
  <c r="AJ146" i="17" s="1"/>
  <c r="AK146" i="17" s="1"/>
  <c r="AL146" i="17" s="1"/>
  <c r="AM146" i="17" s="1"/>
  <c r="AE15" i="17"/>
  <c r="AF15" i="17" s="1"/>
  <c r="AG15" i="17" s="1"/>
  <c r="AH15" i="17" s="1"/>
  <c r="AI15" i="17" s="1"/>
  <c r="AJ15" i="17" s="1"/>
  <c r="AK15" i="17" s="1"/>
  <c r="AL15" i="17" s="1"/>
  <c r="AM15" i="17" s="1"/>
  <c r="AN15" i="17" s="1"/>
  <c r="AO15" i="17" s="1"/>
  <c r="AP15" i="17" s="1"/>
  <c r="AQ15" i="17" s="1"/>
  <c r="AR15" i="17" s="1"/>
  <c r="AS15" i="17" s="1"/>
  <c r="AT15" i="17" s="1"/>
  <c r="AU15" i="17" s="1"/>
  <c r="AV15" i="17" s="1"/>
  <c r="AW15" i="17" s="1"/>
  <c r="AX15" i="17" s="1"/>
  <c r="AY15" i="17" s="1"/>
  <c r="AZ15" i="17" s="1"/>
  <c r="BA15" i="17" s="1"/>
  <c r="BB15" i="17" s="1"/>
  <c r="BC15" i="17" s="1"/>
  <c r="BD15" i="17" s="1"/>
  <c r="BE15" i="17" s="1"/>
  <c r="BF15" i="17" s="1"/>
  <c r="BG15" i="17" s="1"/>
  <c r="BH15" i="17" s="1"/>
  <c r="BI15" i="17" s="1"/>
  <c r="BJ15" i="17" s="1"/>
  <c r="BK15" i="17" s="1"/>
  <c r="AI265" i="17"/>
  <c r="AE31" i="17"/>
  <c r="AF31" i="17" s="1"/>
  <c r="AG31" i="17" s="1"/>
  <c r="AH31" i="17" s="1"/>
  <c r="AI31" i="17" s="1"/>
  <c r="AJ31" i="17" s="1"/>
  <c r="AK31" i="17" s="1"/>
  <c r="AL31" i="17" s="1"/>
  <c r="AM31" i="17" s="1"/>
  <c r="AN31" i="17" s="1"/>
  <c r="AO31" i="17" s="1"/>
  <c r="AP31" i="17" s="1"/>
  <c r="AQ31" i="17" s="1"/>
  <c r="AR31" i="17" s="1"/>
  <c r="AS31" i="17" s="1"/>
  <c r="AT31" i="17" s="1"/>
  <c r="AU31" i="17" s="1"/>
  <c r="AV31" i="17" s="1"/>
  <c r="AW31" i="17" s="1"/>
  <c r="AX31" i="17" s="1"/>
  <c r="AY31" i="17" s="1"/>
  <c r="AZ31" i="17" s="1"/>
  <c r="BA31" i="17" s="1"/>
  <c r="BB31" i="17" s="1"/>
  <c r="BC31" i="17" s="1"/>
  <c r="BD31" i="17" s="1"/>
  <c r="BE31" i="17" s="1"/>
  <c r="BF31" i="17" s="1"/>
  <c r="BG31" i="17" s="1"/>
  <c r="BH31" i="17" s="1"/>
  <c r="BI31" i="17" s="1"/>
  <c r="BJ31" i="17" s="1"/>
  <c r="BK31" i="17" s="1"/>
  <c r="BL31" i="17" s="1"/>
  <c r="BM31" i="17" s="1"/>
  <c r="BN31" i="17" s="1"/>
  <c r="BO31" i="17" s="1"/>
  <c r="BP31" i="17" s="1"/>
  <c r="BQ31" i="17" s="1"/>
  <c r="BR31" i="17" s="1"/>
  <c r="BS31" i="17" s="1"/>
  <c r="BT31" i="17" s="1"/>
  <c r="BU31" i="17" s="1"/>
  <c r="BV31" i="17" s="1"/>
  <c r="BW31" i="17" s="1"/>
  <c r="BX31" i="17" s="1"/>
  <c r="BY31" i="17" s="1"/>
  <c r="BZ31" i="17" s="1"/>
  <c r="CA31" i="17" s="1"/>
  <c r="CB31" i="17" s="1"/>
  <c r="CC31" i="17" s="1"/>
  <c r="CD31" i="17" s="1"/>
  <c r="CE31" i="17" s="1"/>
  <c r="CF31" i="17" s="1"/>
  <c r="CG31" i="17" s="1"/>
  <c r="CH31" i="17" s="1"/>
  <c r="CI31" i="17" s="1"/>
  <c r="CJ31" i="17" s="1"/>
  <c r="CK31" i="17" s="1"/>
  <c r="CL31" i="17" s="1"/>
  <c r="CM31" i="17" s="1"/>
  <c r="CN31" i="17" s="1"/>
  <c r="CO31" i="17" s="1"/>
  <c r="AC178" i="17"/>
  <c r="AD178" i="17" s="1"/>
  <c r="AE178" i="17" s="1"/>
  <c r="AF178" i="17" s="1"/>
  <c r="AG178" i="17" s="1"/>
  <c r="AH178" i="17" s="1"/>
  <c r="AI178" i="17" s="1"/>
  <c r="AJ178" i="17" s="1"/>
  <c r="AK178" i="17" s="1"/>
  <c r="AL178" i="17" s="1"/>
  <c r="AM178" i="17" s="1"/>
  <c r="AN178" i="17" s="1"/>
  <c r="AO178" i="17" s="1"/>
  <c r="AP178" i="17" s="1"/>
  <c r="AQ178" i="17" s="1"/>
  <c r="AR178" i="17" s="1"/>
  <c r="AS178" i="17" s="1"/>
  <c r="AT178" i="17" s="1"/>
  <c r="AU178" i="17" s="1"/>
  <c r="AV178" i="17" s="1"/>
  <c r="AW178" i="17" s="1"/>
  <c r="AX178" i="17" s="1"/>
  <c r="AY178" i="17" s="1"/>
  <c r="AZ178" i="17" s="1"/>
  <c r="BA178" i="17" s="1"/>
  <c r="BB178" i="17" s="1"/>
  <c r="BC178" i="17" s="1"/>
  <c r="BD178" i="17" s="1"/>
  <c r="BE178" i="17" s="1"/>
  <c r="BF178" i="17" s="1"/>
  <c r="BG178" i="17" s="1"/>
  <c r="BH178" i="17" s="1"/>
  <c r="BI178" i="17" s="1"/>
  <c r="BJ178" i="17" s="1"/>
  <c r="BK178" i="17" s="1"/>
  <c r="BL178" i="17" s="1"/>
  <c r="BM178" i="17" s="1"/>
  <c r="BN178" i="17" s="1"/>
  <c r="BO178" i="17" s="1"/>
  <c r="BP178" i="17" s="1"/>
  <c r="BQ178" i="17" s="1"/>
  <c r="BR178" i="17" s="1"/>
  <c r="BS178" i="17" s="1"/>
  <c r="BT178" i="17" s="1"/>
  <c r="BU178" i="17" s="1"/>
  <c r="BV178" i="17" s="1"/>
  <c r="BW178" i="17" s="1"/>
  <c r="BX178" i="17" s="1"/>
  <c r="BY178" i="17" s="1"/>
  <c r="BZ178" i="17" s="1"/>
  <c r="CA178" i="17" s="1"/>
  <c r="CB178" i="17" s="1"/>
  <c r="CC178" i="17" s="1"/>
  <c r="CD178" i="17" s="1"/>
  <c r="CE178" i="17" s="1"/>
  <c r="CF178" i="17" s="1"/>
  <c r="CG178" i="17" s="1"/>
  <c r="CH178" i="17" s="1"/>
  <c r="CI178" i="17" s="1"/>
  <c r="CJ178" i="17" s="1"/>
  <c r="CK178" i="17" s="1"/>
  <c r="CL178" i="17" s="1"/>
  <c r="CM178" i="17" s="1"/>
  <c r="CN178" i="17" s="1"/>
  <c r="CO178" i="17" s="1"/>
  <c r="CP178" i="17" s="1"/>
  <c r="CQ178" i="17" s="1"/>
  <c r="CR178" i="17" s="1"/>
  <c r="CS178" i="17" s="1"/>
  <c r="CT178" i="17" s="1"/>
  <c r="CU178" i="17" s="1"/>
  <c r="CV178" i="17" s="1"/>
  <c r="CW178" i="17" s="1"/>
  <c r="CX178" i="17" s="1"/>
  <c r="CY178" i="17" s="1"/>
  <c r="CZ178" i="17" s="1"/>
  <c r="DA178" i="17" s="1"/>
  <c r="DB178" i="17" s="1"/>
  <c r="DC178" i="17" s="1"/>
  <c r="DD178" i="17" s="1"/>
  <c r="DE178" i="17" s="1"/>
  <c r="DF178" i="17" s="1"/>
  <c r="DG178" i="17" s="1"/>
  <c r="DH178" i="17" s="1"/>
  <c r="DI178" i="17" s="1"/>
  <c r="DJ178" i="17" s="1"/>
  <c r="DK178" i="17" s="1"/>
  <c r="DL178" i="17" s="1"/>
  <c r="AF122" i="17"/>
  <c r="AG122" i="17" s="1"/>
  <c r="AH122" i="17" s="1"/>
  <c r="AI122" i="17" s="1"/>
  <c r="AJ122" i="17" s="1"/>
  <c r="AK122" i="17" s="1"/>
  <c r="AL122" i="17" s="1"/>
  <c r="AM122" i="17" s="1"/>
  <c r="AN122" i="17" s="1"/>
  <c r="AO122" i="17" s="1"/>
  <c r="AP122" i="17" s="1"/>
  <c r="AQ122" i="17" s="1"/>
  <c r="AR122" i="17" s="1"/>
  <c r="AS122" i="17" s="1"/>
  <c r="AT122" i="17" s="1"/>
  <c r="AU122" i="17" s="1"/>
  <c r="AV122" i="17" s="1"/>
  <c r="AW122" i="17" s="1"/>
  <c r="AX122" i="17" s="1"/>
  <c r="AY122" i="17" s="1"/>
  <c r="AZ122" i="17" s="1"/>
  <c r="BA122" i="17" s="1"/>
  <c r="BB122" i="17" s="1"/>
  <c r="BC122" i="17" s="1"/>
  <c r="BD122" i="17" s="1"/>
  <c r="BE122" i="17" s="1"/>
  <c r="BF122" i="17" s="1"/>
  <c r="BG122" i="17" s="1"/>
  <c r="BH122" i="17" s="1"/>
  <c r="BI122" i="17" s="1"/>
  <c r="BJ122" i="17" s="1"/>
  <c r="BK122" i="17" s="1"/>
  <c r="BL122" i="17" s="1"/>
  <c r="BM122" i="17" s="1"/>
  <c r="BN122" i="17" s="1"/>
  <c r="BO122" i="17" s="1"/>
  <c r="BP122" i="17" s="1"/>
  <c r="BQ122" i="17" s="1"/>
  <c r="BR122" i="17" s="1"/>
  <c r="BS122" i="17" s="1"/>
  <c r="BT122" i="17" s="1"/>
  <c r="BU122" i="17" s="1"/>
  <c r="BV122" i="17" s="1"/>
  <c r="BW122" i="17" s="1"/>
  <c r="BX122" i="17" s="1"/>
  <c r="BY122" i="17" s="1"/>
  <c r="BZ122" i="17" s="1"/>
  <c r="CA122" i="17" s="1"/>
  <c r="CB122" i="17" s="1"/>
  <c r="CC122" i="17" s="1"/>
  <c r="CD122" i="17" s="1"/>
  <c r="CE122" i="17" s="1"/>
  <c r="CF122" i="17" s="1"/>
  <c r="CG122" i="17" s="1"/>
  <c r="CH122" i="17" s="1"/>
  <c r="CI122" i="17" s="1"/>
  <c r="CJ122" i="17" s="1"/>
  <c r="CK122" i="17" s="1"/>
  <c r="CL122" i="17" s="1"/>
  <c r="CM122" i="17" s="1"/>
  <c r="CN122" i="17" s="1"/>
  <c r="CO122" i="17" s="1"/>
  <c r="CP122" i="17" s="1"/>
  <c r="CQ122" i="17" s="1"/>
  <c r="CR122" i="17" s="1"/>
  <c r="CS122" i="17" s="1"/>
  <c r="CT122" i="17" s="1"/>
  <c r="CU122" i="17" s="1"/>
  <c r="CV122" i="17" s="1"/>
  <c r="CW122" i="17" s="1"/>
  <c r="CX122" i="17" s="1"/>
  <c r="CY122" i="17" s="1"/>
  <c r="CZ122" i="17" s="1"/>
  <c r="DA122" i="17" s="1"/>
  <c r="DB122" i="17" s="1"/>
  <c r="DC122" i="17" s="1"/>
  <c r="DD122" i="17" s="1"/>
  <c r="DE122" i="17" s="1"/>
  <c r="DF122" i="17" s="1"/>
  <c r="DG122" i="17" s="1"/>
  <c r="DH122" i="17" s="1"/>
  <c r="DI122" i="17" s="1"/>
  <c r="DJ122" i="17" s="1"/>
  <c r="DK122" i="17" s="1"/>
  <c r="DL122" i="17" s="1"/>
  <c r="AO102" i="17"/>
  <c r="AP102" i="17" s="1"/>
  <c r="AQ102" i="17" s="1"/>
  <c r="AR102" i="17" s="1"/>
  <c r="AS102" i="17" s="1"/>
  <c r="AT102" i="17" s="1"/>
  <c r="AU102" i="17" s="1"/>
  <c r="AV102" i="17" s="1"/>
  <c r="AW102" i="17" s="1"/>
  <c r="AX102" i="17" s="1"/>
  <c r="AY102" i="17" s="1"/>
  <c r="AZ102" i="17" s="1"/>
  <c r="BA102" i="17" s="1"/>
  <c r="BB102" i="17" s="1"/>
  <c r="BC102" i="17" s="1"/>
  <c r="BD102" i="17" s="1"/>
  <c r="BE102" i="17" s="1"/>
  <c r="BF102" i="17" s="1"/>
  <c r="BG102" i="17" s="1"/>
  <c r="BH102" i="17" s="1"/>
  <c r="BI102" i="17" s="1"/>
  <c r="BJ102" i="17" s="1"/>
  <c r="BK102" i="17" s="1"/>
  <c r="BL102" i="17" s="1"/>
  <c r="BM102" i="17" s="1"/>
  <c r="BN102" i="17" s="1"/>
  <c r="BO102" i="17" s="1"/>
  <c r="BP102" i="17" s="1"/>
  <c r="BQ102" i="17" s="1"/>
  <c r="BR102" i="17" s="1"/>
  <c r="BS102" i="17" s="1"/>
  <c r="BT102" i="17" s="1"/>
  <c r="BU102" i="17" s="1"/>
  <c r="BV102" i="17" s="1"/>
  <c r="BW102" i="17" s="1"/>
  <c r="BX102" i="17" s="1"/>
  <c r="BY102" i="17" s="1"/>
  <c r="BZ102" i="17" s="1"/>
  <c r="CA102" i="17" s="1"/>
  <c r="CB102" i="17" s="1"/>
  <c r="CC102" i="17" s="1"/>
  <c r="CD102" i="17" s="1"/>
  <c r="CE102" i="17" s="1"/>
  <c r="CF102" i="17" s="1"/>
  <c r="CG102" i="17" s="1"/>
  <c r="CH102" i="17" s="1"/>
  <c r="CI102" i="17" s="1"/>
  <c r="CJ102" i="17" s="1"/>
  <c r="CK102" i="17" s="1"/>
  <c r="CL102" i="17" s="1"/>
  <c r="CM102" i="17" s="1"/>
  <c r="CN102" i="17" s="1"/>
  <c r="CO102" i="17" s="1"/>
  <c r="CP102" i="17" s="1"/>
  <c r="CQ102" i="17" s="1"/>
  <c r="CR102" i="17" s="1"/>
  <c r="CS102" i="17" s="1"/>
  <c r="CT102" i="17" s="1"/>
  <c r="CU102" i="17" s="1"/>
  <c r="CV102" i="17" s="1"/>
  <c r="CW102" i="17" s="1"/>
  <c r="CX102" i="17" s="1"/>
  <c r="CY102" i="17" s="1"/>
  <c r="CZ102" i="17" s="1"/>
  <c r="DA102" i="17" s="1"/>
  <c r="DB102" i="17" s="1"/>
  <c r="DC102" i="17" s="1"/>
  <c r="DD102" i="17" s="1"/>
  <c r="DE102" i="17" s="1"/>
  <c r="DF102" i="17" s="1"/>
  <c r="DG102" i="17" s="1"/>
  <c r="DH102" i="17" s="1"/>
  <c r="DI102" i="17" s="1"/>
  <c r="DJ102" i="17" s="1"/>
  <c r="DK102" i="17" s="1"/>
  <c r="DL102" i="17" s="1"/>
  <c r="AD232" i="17"/>
  <c r="AE232" i="17" s="1"/>
  <c r="AF232" i="17" s="1"/>
  <c r="AG232" i="17" s="1"/>
  <c r="AH232" i="17" s="1"/>
  <c r="AI232" i="17" s="1"/>
  <c r="AJ232" i="17" s="1"/>
  <c r="AK232" i="17" s="1"/>
  <c r="AL232" i="17" s="1"/>
  <c r="AM232" i="17" s="1"/>
  <c r="AN232" i="17" s="1"/>
  <c r="AO232" i="17" s="1"/>
  <c r="AP232" i="17" s="1"/>
  <c r="AQ232" i="17" s="1"/>
  <c r="AR232" i="17" s="1"/>
  <c r="AS232" i="17" s="1"/>
  <c r="AT232" i="17" s="1"/>
  <c r="AU232" i="17" s="1"/>
  <c r="AV232" i="17" s="1"/>
  <c r="AW232" i="17" s="1"/>
  <c r="AX232" i="17" s="1"/>
  <c r="AY232" i="17" s="1"/>
  <c r="AZ232" i="17" s="1"/>
  <c r="BA232" i="17" s="1"/>
  <c r="BB232" i="17" s="1"/>
  <c r="BC232" i="17" s="1"/>
  <c r="BD232" i="17" s="1"/>
  <c r="BE232" i="17" s="1"/>
  <c r="BF232" i="17" s="1"/>
  <c r="BG232" i="17" s="1"/>
  <c r="BH232" i="17" s="1"/>
  <c r="BI232" i="17" s="1"/>
  <c r="BJ232" i="17" s="1"/>
  <c r="BK232" i="17" s="1"/>
  <c r="BL232" i="17" s="1"/>
  <c r="BM232" i="17" s="1"/>
  <c r="BN232" i="17" s="1"/>
  <c r="BO232" i="17" s="1"/>
  <c r="BP232" i="17" s="1"/>
  <c r="BQ232" i="17" s="1"/>
  <c r="BR232" i="17" s="1"/>
  <c r="BS232" i="17" s="1"/>
  <c r="BT232" i="17" s="1"/>
  <c r="BU232" i="17" s="1"/>
  <c r="BV232" i="17" s="1"/>
  <c r="BW232" i="17" s="1"/>
  <c r="BX232" i="17" s="1"/>
  <c r="BY232" i="17" s="1"/>
  <c r="BZ232" i="17" s="1"/>
  <c r="CA232" i="17" s="1"/>
  <c r="CB232" i="17" s="1"/>
  <c r="CC232" i="17" s="1"/>
  <c r="CD232" i="17" s="1"/>
  <c r="CE232" i="17" s="1"/>
  <c r="CF232" i="17" s="1"/>
  <c r="CG232" i="17" s="1"/>
  <c r="CH232" i="17" s="1"/>
  <c r="CI232" i="17" s="1"/>
  <c r="CJ232" i="17" s="1"/>
  <c r="CK232" i="17" s="1"/>
  <c r="CL232" i="17" s="1"/>
  <c r="CM232" i="17" s="1"/>
  <c r="CN232" i="17" s="1"/>
  <c r="CO232" i="17" s="1"/>
  <c r="CP232" i="17" s="1"/>
  <c r="CQ232" i="17" s="1"/>
  <c r="CR232" i="17" s="1"/>
  <c r="CS232" i="17" s="1"/>
  <c r="CT232" i="17" s="1"/>
  <c r="CU232" i="17" s="1"/>
  <c r="CV232" i="17" s="1"/>
  <c r="CW232" i="17" s="1"/>
  <c r="CX232" i="17" s="1"/>
  <c r="CY232" i="17" s="1"/>
  <c r="CZ232" i="17" s="1"/>
  <c r="DA232" i="17" s="1"/>
  <c r="DB232" i="17" s="1"/>
  <c r="DC232" i="17" s="1"/>
  <c r="DD232" i="17" s="1"/>
  <c r="DE232" i="17" s="1"/>
  <c r="DF232" i="17" s="1"/>
  <c r="DG232" i="17" s="1"/>
  <c r="DH232" i="17" s="1"/>
  <c r="DI232" i="17" s="1"/>
  <c r="DJ232" i="17" s="1"/>
  <c r="DK232" i="17" s="1"/>
  <c r="DL232" i="17" s="1"/>
  <c r="AZ29" i="17"/>
  <c r="BA29" i="17" s="1"/>
  <c r="BB29" i="17" s="1"/>
  <c r="BC29" i="17" s="1"/>
  <c r="BD29" i="17" s="1"/>
  <c r="BE29" i="17" s="1"/>
  <c r="BF29" i="17" s="1"/>
  <c r="BG29" i="17" s="1"/>
  <c r="BH29" i="17" s="1"/>
  <c r="BI29" i="17" s="1"/>
  <c r="BJ29" i="17" s="1"/>
  <c r="BK29" i="17" s="1"/>
  <c r="BL29" i="17" s="1"/>
  <c r="BM29" i="17" s="1"/>
  <c r="BN29" i="17" s="1"/>
  <c r="BO29" i="17" s="1"/>
  <c r="BP29" i="17" s="1"/>
  <c r="BQ29" i="17" s="1"/>
  <c r="BR29" i="17" s="1"/>
  <c r="BS29" i="17" s="1"/>
  <c r="BT29" i="17" s="1"/>
  <c r="BU29" i="17" s="1"/>
  <c r="BV29" i="17" s="1"/>
  <c r="BW29" i="17" s="1"/>
  <c r="BX29" i="17" s="1"/>
  <c r="BY29" i="17" s="1"/>
  <c r="BZ29" i="17" s="1"/>
  <c r="CA29" i="17" s="1"/>
  <c r="CB29" i="17" s="1"/>
  <c r="CC29" i="17" s="1"/>
  <c r="CD29" i="17" s="1"/>
  <c r="CE29" i="17" s="1"/>
  <c r="CF29" i="17" s="1"/>
  <c r="CG29" i="17" s="1"/>
  <c r="CH29" i="17" s="1"/>
  <c r="CI29" i="17" s="1"/>
  <c r="CJ29" i="17" s="1"/>
  <c r="CK29" i="17" s="1"/>
  <c r="CL29" i="17" s="1"/>
  <c r="CM29" i="17" s="1"/>
  <c r="CN29" i="17" s="1"/>
  <c r="CO29" i="17" s="1"/>
  <c r="CP29" i="17" s="1"/>
  <c r="CQ29" i="17" s="1"/>
  <c r="CR29" i="17" s="1"/>
  <c r="CS29" i="17" s="1"/>
  <c r="CT29" i="17" s="1"/>
  <c r="CU29" i="17" s="1"/>
  <c r="CV29" i="17" s="1"/>
  <c r="CW29" i="17" s="1"/>
  <c r="CX29" i="17" s="1"/>
  <c r="CY29" i="17" s="1"/>
  <c r="CZ29" i="17" s="1"/>
  <c r="DA29" i="17" s="1"/>
  <c r="DB29" i="17" s="1"/>
  <c r="DC29" i="17" s="1"/>
  <c r="DD29" i="17" s="1"/>
  <c r="DE29" i="17" s="1"/>
  <c r="DF29" i="17" s="1"/>
  <c r="DG29" i="17" s="1"/>
  <c r="DH29" i="17" s="1"/>
  <c r="DI29" i="17" s="1"/>
  <c r="DJ29" i="17" s="1"/>
  <c r="DK29" i="17" s="1"/>
  <c r="DL29" i="17" s="1"/>
  <c r="AC136" i="17"/>
  <c r="AD136" i="17" s="1"/>
  <c r="AE136" i="17" s="1"/>
  <c r="AF136" i="17" s="1"/>
  <c r="AG136" i="17" s="1"/>
  <c r="AH136" i="17" s="1"/>
  <c r="AI136" i="17" s="1"/>
  <c r="AJ136" i="17" s="1"/>
  <c r="AK136" i="17" s="1"/>
  <c r="AL136" i="17" s="1"/>
  <c r="AM136" i="17" s="1"/>
  <c r="AN136" i="17" s="1"/>
  <c r="AO136" i="17" s="1"/>
  <c r="AP136" i="17" s="1"/>
  <c r="AQ136" i="17" s="1"/>
  <c r="AR136" i="17" s="1"/>
  <c r="AS136" i="17" s="1"/>
  <c r="AT136" i="17" s="1"/>
  <c r="AU136" i="17" s="1"/>
  <c r="AV136" i="17" s="1"/>
  <c r="AW136" i="17" s="1"/>
  <c r="AX136" i="17" s="1"/>
  <c r="AY136" i="17" s="1"/>
  <c r="AF108" i="17"/>
  <c r="AO42" i="17"/>
  <c r="BX24" i="17" l="1"/>
  <c r="BY24" i="17" s="1"/>
  <c r="BZ24" i="17" s="1"/>
  <c r="CA24" i="17" s="1"/>
  <c r="CB24" i="17" s="1"/>
  <c r="CC24" i="17" s="1"/>
  <c r="CD24" i="17" s="1"/>
  <c r="CE24" i="17" s="1"/>
  <c r="CF24" i="17" s="1"/>
  <c r="CG24" i="17" s="1"/>
  <c r="CH24" i="17" s="1"/>
  <c r="CI24" i="17" s="1"/>
  <c r="CJ24" i="17" s="1"/>
  <c r="CK24" i="17" s="1"/>
  <c r="CL24" i="17" s="1"/>
  <c r="CM24" i="17" s="1"/>
  <c r="CN24" i="17" s="1"/>
  <c r="CO24" i="17" s="1"/>
  <c r="CP24" i="17" s="1"/>
  <c r="CQ24" i="17" s="1"/>
  <c r="CR24" i="17" s="1"/>
  <c r="CS24" i="17" s="1"/>
  <c r="CT24" i="17" s="1"/>
  <c r="CU24" i="17" s="1"/>
  <c r="CV24" i="17" s="1"/>
  <c r="CW24" i="17" s="1"/>
  <c r="CX24" i="17" s="1"/>
  <c r="CY24" i="17" s="1"/>
  <c r="CZ24" i="17" s="1"/>
  <c r="DA24" i="17" s="1"/>
  <c r="DB24" i="17" s="1"/>
  <c r="DC24" i="17" s="1"/>
  <c r="DD24" i="17" s="1"/>
  <c r="DE24" i="17" s="1"/>
  <c r="DF24" i="17" s="1"/>
  <c r="DG24" i="17" s="1"/>
  <c r="DH24" i="17" s="1"/>
  <c r="DI24" i="17" s="1"/>
  <c r="DJ24" i="17" s="1"/>
  <c r="DK24" i="17" s="1"/>
  <c r="DL24" i="17" s="1"/>
  <c r="AH48" i="17"/>
  <c r="AI48" i="17" s="1"/>
  <c r="AJ48" i="17" s="1"/>
  <c r="AK48" i="17" s="1"/>
  <c r="AL48" i="17" s="1"/>
  <c r="AM48" i="17" s="1"/>
  <c r="AN48" i="17" s="1"/>
  <c r="AY301" i="17"/>
  <c r="AZ301" i="17" s="1"/>
  <c r="BA301" i="17" s="1"/>
  <c r="BB301" i="17" s="1"/>
  <c r="BC301" i="17" s="1"/>
  <c r="BD301" i="17" s="1"/>
  <c r="BE301" i="17" s="1"/>
  <c r="BF301" i="17" s="1"/>
  <c r="BG301" i="17" s="1"/>
  <c r="BH301" i="17" s="1"/>
  <c r="BI301" i="17" s="1"/>
  <c r="BJ301" i="17" s="1"/>
  <c r="BK301" i="17" s="1"/>
  <c r="BL301" i="17" s="1"/>
  <c r="BM301" i="17" s="1"/>
  <c r="BN301" i="17" s="1"/>
  <c r="BO301" i="17" s="1"/>
  <c r="BP301" i="17" s="1"/>
  <c r="BQ301" i="17" s="1"/>
  <c r="BR301" i="17" s="1"/>
  <c r="BS301" i="17" s="1"/>
  <c r="BT301" i="17" s="1"/>
  <c r="BU301" i="17" s="1"/>
  <c r="BV301" i="17" s="1"/>
  <c r="BW301" i="17" s="1"/>
  <c r="BX301" i="17" s="1"/>
  <c r="BY301" i="17" s="1"/>
  <c r="BZ301" i="17" s="1"/>
  <c r="CA301" i="17" s="1"/>
  <c r="CB301" i="17" s="1"/>
  <c r="CC301" i="17" s="1"/>
  <c r="CD301" i="17" s="1"/>
  <c r="CE301" i="17" s="1"/>
  <c r="CF301" i="17" s="1"/>
  <c r="CG301" i="17" s="1"/>
  <c r="CH301" i="17" s="1"/>
  <c r="CI301" i="17" s="1"/>
  <c r="CJ301" i="17" s="1"/>
  <c r="CK301" i="17" s="1"/>
  <c r="CL301" i="17" s="1"/>
  <c r="CM301" i="17" s="1"/>
  <c r="CN301" i="17" s="1"/>
  <c r="CO301" i="17" s="1"/>
  <c r="CP301" i="17" s="1"/>
  <c r="CQ301" i="17" s="1"/>
  <c r="CR301" i="17" s="1"/>
  <c r="CS301" i="17" s="1"/>
  <c r="CT301" i="17" s="1"/>
  <c r="CU301" i="17" s="1"/>
  <c r="CV301" i="17" s="1"/>
  <c r="CW301" i="17" s="1"/>
  <c r="CX301" i="17" s="1"/>
  <c r="CY301" i="17" s="1"/>
  <c r="CZ301" i="17" s="1"/>
  <c r="DA301" i="17" s="1"/>
  <c r="DB301" i="17" s="1"/>
  <c r="DC301" i="17" s="1"/>
  <c r="DD301" i="17" s="1"/>
  <c r="DE301" i="17" s="1"/>
  <c r="DF301" i="17" s="1"/>
  <c r="DG301" i="17" s="1"/>
  <c r="DH301" i="17" s="1"/>
  <c r="DI301" i="17" s="1"/>
  <c r="DJ301" i="17" s="1"/>
  <c r="DK301" i="17" s="1"/>
  <c r="DL301" i="17" s="1"/>
  <c r="CP31" i="17"/>
  <c r="CQ31" i="17" s="1"/>
  <c r="CR31" i="17" s="1"/>
  <c r="CS31" i="17" s="1"/>
  <c r="CT31" i="17" s="1"/>
  <c r="CU31" i="17" s="1"/>
  <c r="CV31" i="17" s="1"/>
  <c r="CW31" i="17" s="1"/>
  <c r="CX31" i="17" s="1"/>
  <c r="CY31" i="17" s="1"/>
  <c r="CZ31" i="17" s="1"/>
  <c r="DA31" i="17" s="1"/>
  <c r="DB31" i="17" s="1"/>
  <c r="DC31" i="17" s="1"/>
  <c r="DD31" i="17" s="1"/>
  <c r="DE31" i="17" s="1"/>
  <c r="DF31" i="17" s="1"/>
  <c r="DG31" i="17" s="1"/>
  <c r="DH31" i="17" s="1"/>
  <c r="DI31" i="17" s="1"/>
  <c r="DJ31" i="17" s="1"/>
  <c r="DK31" i="17" s="1"/>
  <c r="DL31" i="17" s="1"/>
  <c r="AG212" i="17"/>
  <c r="AN146" i="17"/>
  <c r="AJ265" i="17"/>
  <c r="AK265" i="17" s="1"/>
  <c r="AL265" i="17" s="1"/>
  <c r="AM265" i="17" s="1"/>
  <c r="AN265" i="17" s="1"/>
  <c r="BL15" i="17"/>
  <c r="BM15" i="17" s="1"/>
  <c r="BN15" i="17" s="1"/>
  <c r="BO15" i="17" s="1"/>
  <c r="BP15" i="17" s="1"/>
  <c r="BQ15" i="17" s="1"/>
  <c r="BR15" i="17" s="1"/>
  <c r="BS15" i="17" s="1"/>
  <c r="BT15" i="17" s="1"/>
  <c r="BU15" i="17" s="1"/>
  <c r="BV15" i="17" s="1"/>
  <c r="BW15" i="17" s="1"/>
  <c r="BX15" i="17" s="1"/>
  <c r="BY15" i="17" s="1"/>
  <c r="BZ15" i="17" s="1"/>
  <c r="CA15" i="17" s="1"/>
  <c r="CB15" i="17" s="1"/>
  <c r="CC15" i="17" s="1"/>
  <c r="CD15" i="17" s="1"/>
  <c r="CE15" i="17" s="1"/>
  <c r="CF15" i="17" s="1"/>
  <c r="CG15" i="17" s="1"/>
  <c r="CH15" i="17" s="1"/>
  <c r="CI15" i="17" s="1"/>
  <c r="CJ15" i="17" s="1"/>
  <c r="CK15" i="17" s="1"/>
  <c r="CL15" i="17" s="1"/>
  <c r="CM15" i="17" s="1"/>
  <c r="CN15" i="17" s="1"/>
  <c r="CO15" i="17" s="1"/>
  <c r="CP15" i="17" s="1"/>
  <c r="CQ15" i="17" s="1"/>
  <c r="CR15" i="17" s="1"/>
  <c r="CS15" i="17" s="1"/>
  <c r="CT15" i="17" s="1"/>
  <c r="CU15" i="17" s="1"/>
  <c r="CV15" i="17" s="1"/>
  <c r="CW15" i="17" s="1"/>
  <c r="CX15" i="17" s="1"/>
  <c r="CY15" i="17" s="1"/>
  <c r="CZ15" i="17" s="1"/>
  <c r="DA15" i="17" s="1"/>
  <c r="DB15" i="17" s="1"/>
  <c r="DC15" i="17" s="1"/>
  <c r="DD15" i="17" s="1"/>
  <c r="DE15" i="17" s="1"/>
  <c r="DF15" i="17" s="1"/>
  <c r="DG15" i="17" s="1"/>
  <c r="DH15" i="17" s="1"/>
  <c r="DI15" i="17" s="1"/>
  <c r="DJ15" i="17" s="1"/>
  <c r="DK15" i="17" s="1"/>
  <c r="DL15" i="17" s="1"/>
  <c r="AP42" i="17"/>
  <c r="AQ42" i="17" s="1"/>
  <c r="AR42" i="17" s="1"/>
  <c r="AS42" i="17" s="1"/>
  <c r="AT42" i="17" s="1"/>
  <c r="AU42" i="17" s="1"/>
  <c r="AV42" i="17" s="1"/>
  <c r="AW42" i="17" s="1"/>
  <c r="AX42" i="17" s="1"/>
  <c r="AY42" i="17" s="1"/>
  <c r="AZ42" i="17" s="1"/>
  <c r="BA42" i="17" s="1"/>
  <c r="BB42" i="17" s="1"/>
  <c r="BC42" i="17" s="1"/>
  <c r="BD42" i="17" s="1"/>
  <c r="BE42" i="17" s="1"/>
  <c r="BF42" i="17" s="1"/>
  <c r="BG42" i="17" s="1"/>
  <c r="BH42" i="17" s="1"/>
  <c r="BI42" i="17" s="1"/>
  <c r="BJ42" i="17" s="1"/>
  <c r="BK42" i="17" s="1"/>
  <c r="BL42" i="17" s="1"/>
  <c r="BM42" i="17" s="1"/>
  <c r="BN42" i="17" s="1"/>
  <c r="BO42" i="17" s="1"/>
  <c r="BP42" i="17" s="1"/>
  <c r="BQ42" i="17" s="1"/>
  <c r="BR42" i="17" s="1"/>
  <c r="BS42" i="17" s="1"/>
  <c r="BT42" i="17" s="1"/>
  <c r="BU42" i="17" s="1"/>
  <c r="BV42" i="17" s="1"/>
  <c r="BW42" i="17" s="1"/>
  <c r="BX42" i="17" s="1"/>
  <c r="BY42" i="17" s="1"/>
  <c r="BZ42" i="17" s="1"/>
  <c r="CA42" i="17" s="1"/>
  <c r="CB42" i="17" s="1"/>
  <c r="CC42" i="17" s="1"/>
  <c r="CD42" i="17" s="1"/>
  <c r="CE42" i="17" s="1"/>
  <c r="CF42" i="17" s="1"/>
  <c r="CG42" i="17" s="1"/>
  <c r="CH42" i="17" s="1"/>
  <c r="CI42" i="17" s="1"/>
  <c r="CJ42" i="17" s="1"/>
  <c r="CK42" i="17" s="1"/>
  <c r="CL42" i="17" s="1"/>
  <c r="CM42" i="17" s="1"/>
  <c r="CN42" i="17" s="1"/>
  <c r="CO42" i="17" s="1"/>
  <c r="CP42" i="17" s="1"/>
  <c r="CQ42" i="17" s="1"/>
  <c r="CR42" i="17" s="1"/>
  <c r="CS42" i="17" s="1"/>
  <c r="CT42" i="17" s="1"/>
  <c r="CU42" i="17" s="1"/>
  <c r="CV42" i="17" s="1"/>
  <c r="CW42" i="17" s="1"/>
  <c r="CX42" i="17" s="1"/>
  <c r="CY42" i="17" s="1"/>
  <c r="CZ42" i="17" s="1"/>
  <c r="DA42" i="17" s="1"/>
  <c r="DB42" i="17" s="1"/>
  <c r="DC42" i="17" s="1"/>
  <c r="DD42" i="17" s="1"/>
  <c r="DE42" i="17" s="1"/>
  <c r="DF42" i="17" s="1"/>
  <c r="DG42" i="17" s="1"/>
  <c r="DH42" i="17" s="1"/>
  <c r="DI42" i="17" s="1"/>
  <c r="DJ42" i="17" s="1"/>
  <c r="DK42" i="17" s="1"/>
  <c r="DL42" i="17" s="1"/>
  <c r="AZ136" i="17"/>
  <c r="BA136" i="17" s="1"/>
  <c r="BB136" i="17" s="1"/>
  <c r="BC136" i="17" s="1"/>
  <c r="BD136" i="17" s="1"/>
  <c r="BE136" i="17" s="1"/>
  <c r="BF136" i="17" s="1"/>
  <c r="BG136" i="17" s="1"/>
  <c r="BH136" i="17" s="1"/>
  <c r="BI136" i="17" s="1"/>
  <c r="BJ136" i="17" s="1"/>
  <c r="BK136" i="17" s="1"/>
  <c r="BL136" i="17" s="1"/>
  <c r="BM136" i="17" s="1"/>
  <c r="BN136" i="17" s="1"/>
  <c r="BO136" i="17" s="1"/>
  <c r="BP136" i="17" s="1"/>
  <c r="BQ136" i="17" s="1"/>
  <c r="BR136" i="17" s="1"/>
  <c r="BS136" i="17" s="1"/>
  <c r="BT136" i="17" s="1"/>
  <c r="BU136" i="17" s="1"/>
  <c r="BV136" i="17" s="1"/>
  <c r="BW136" i="17" s="1"/>
  <c r="BX136" i="17" s="1"/>
  <c r="BY136" i="17" s="1"/>
  <c r="BZ136" i="17" s="1"/>
  <c r="CA136" i="17" s="1"/>
  <c r="CB136" i="17" s="1"/>
  <c r="CC136" i="17" s="1"/>
  <c r="CD136" i="17" s="1"/>
  <c r="CE136" i="17" s="1"/>
  <c r="CF136" i="17" s="1"/>
  <c r="CG136" i="17" s="1"/>
  <c r="CH136" i="17" s="1"/>
  <c r="CI136" i="17" s="1"/>
  <c r="CJ136" i="17" s="1"/>
  <c r="CK136" i="17" s="1"/>
  <c r="CL136" i="17" s="1"/>
  <c r="CM136" i="17" s="1"/>
  <c r="CN136" i="17" s="1"/>
  <c r="CO136" i="17" s="1"/>
  <c r="CP136" i="17" s="1"/>
  <c r="CQ136" i="17" s="1"/>
  <c r="CR136" i="17" s="1"/>
  <c r="CS136" i="17" s="1"/>
  <c r="CT136" i="17" s="1"/>
  <c r="CU136" i="17" s="1"/>
  <c r="CV136" i="17" s="1"/>
  <c r="CW136" i="17" s="1"/>
  <c r="CX136" i="17" s="1"/>
  <c r="CY136" i="17" s="1"/>
  <c r="CZ136" i="17" s="1"/>
  <c r="DA136" i="17" s="1"/>
  <c r="DB136" i="17" s="1"/>
  <c r="DC136" i="17" s="1"/>
  <c r="DD136" i="17" s="1"/>
  <c r="DE136" i="17" s="1"/>
  <c r="DF136" i="17" s="1"/>
  <c r="DG136" i="17" s="1"/>
  <c r="DH136" i="17" s="1"/>
  <c r="DI136" i="17" s="1"/>
  <c r="DJ136" i="17" s="1"/>
  <c r="DK136" i="17" s="1"/>
  <c r="DL136" i="17" s="1"/>
  <c r="AG108" i="17"/>
  <c r="AH108" i="17" s="1"/>
  <c r="AI108" i="17" s="1"/>
  <c r="AJ108" i="17" s="1"/>
  <c r="AK108" i="17" s="1"/>
  <c r="AL108" i="17" s="1"/>
  <c r="AM108" i="17" s="1"/>
  <c r="AN108" i="17" s="1"/>
  <c r="AO108" i="17" s="1"/>
  <c r="AP108" i="17" s="1"/>
  <c r="AQ108" i="17" s="1"/>
  <c r="AR108" i="17" s="1"/>
  <c r="AS108" i="17" s="1"/>
  <c r="AT108" i="17" s="1"/>
  <c r="AU108" i="17" s="1"/>
  <c r="AV108" i="17" s="1"/>
  <c r="AW108" i="17" s="1"/>
  <c r="AX108" i="17" s="1"/>
  <c r="AY108" i="17" s="1"/>
  <c r="AZ108" i="17" s="1"/>
  <c r="BA108" i="17" s="1"/>
  <c r="BB108" i="17" s="1"/>
  <c r="BC108" i="17" s="1"/>
  <c r="BD108" i="17" s="1"/>
  <c r="BE108" i="17" s="1"/>
  <c r="BF108" i="17" s="1"/>
  <c r="BG108" i="17" s="1"/>
  <c r="BH108" i="17" s="1"/>
  <c r="BI108" i="17" s="1"/>
  <c r="BJ108" i="17" s="1"/>
  <c r="BK108" i="17" s="1"/>
  <c r="BL108" i="17" s="1"/>
  <c r="BM108" i="17" s="1"/>
  <c r="BN108" i="17" s="1"/>
  <c r="BO108" i="17" s="1"/>
  <c r="BP108" i="17" s="1"/>
  <c r="BQ108" i="17" s="1"/>
  <c r="BR108" i="17" s="1"/>
  <c r="BS108" i="17" s="1"/>
  <c r="BT108" i="17" s="1"/>
  <c r="BU108" i="17" s="1"/>
  <c r="BV108" i="17" s="1"/>
  <c r="BW108" i="17" s="1"/>
  <c r="BX108" i="17" s="1"/>
  <c r="BY108" i="17" s="1"/>
  <c r="BZ108" i="17" s="1"/>
  <c r="CA108" i="17" s="1"/>
  <c r="CB108" i="17" s="1"/>
  <c r="CC108" i="17" s="1"/>
  <c r="CD108" i="17" s="1"/>
  <c r="CE108" i="17" s="1"/>
  <c r="CF108" i="17" s="1"/>
  <c r="CG108" i="17" s="1"/>
  <c r="CH108" i="17" s="1"/>
  <c r="CI108" i="17" s="1"/>
  <c r="CJ108" i="17" s="1"/>
  <c r="CK108" i="17" s="1"/>
  <c r="CL108" i="17" s="1"/>
  <c r="CM108" i="17" s="1"/>
  <c r="CN108" i="17" s="1"/>
  <c r="CO108" i="17" s="1"/>
  <c r="CP108" i="17" s="1"/>
  <c r="CQ108" i="17" s="1"/>
  <c r="CR108" i="17" s="1"/>
  <c r="CS108" i="17" s="1"/>
  <c r="CT108" i="17" s="1"/>
  <c r="CU108" i="17" s="1"/>
  <c r="CV108" i="17" s="1"/>
  <c r="CW108" i="17" s="1"/>
  <c r="CX108" i="17" s="1"/>
  <c r="CY108" i="17" s="1"/>
  <c r="CZ108" i="17" s="1"/>
  <c r="DA108" i="17" s="1"/>
  <c r="DB108" i="17" s="1"/>
  <c r="DC108" i="17" s="1"/>
  <c r="DD108" i="17" s="1"/>
  <c r="DE108" i="17" s="1"/>
  <c r="DF108" i="17" s="1"/>
  <c r="DG108" i="17" s="1"/>
  <c r="DH108" i="17" s="1"/>
  <c r="DI108" i="17" s="1"/>
  <c r="DJ108" i="17" s="1"/>
  <c r="DK108" i="17" s="1"/>
  <c r="DL108" i="17" s="1"/>
  <c r="AO48" i="17" l="1"/>
  <c r="AP48" i="17" s="1"/>
  <c r="AQ48" i="17" s="1"/>
  <c r="AR48" i="17" s="1"/>
  <c r="AS48" i="17" s="1"/>
  <c r="AT48" i="17" s="1"/>
  <c r="AU48" i="17" s="1"/>
  <c r="AV48" i="17" s="1"/>
  <c r="AW48" i="17" s="1"/>
  <c r="AX48" i="17" s="1"/>
  <c r="AY48" i="17" s="1"/>
  <c r="AZ48" i="17" s="1"/>
  <c r="BA48" i="17" s="1"/>
  <c r="BB48" i="17" s="1"/>
  <c r="BC48" i="17" s="1"/>
  <c r="BD48" i="17" s="1"/>
  <c r="BE48" i="17" s="1"/>
  <c r="BF48" i="17" s="1"/>
  <c r="BG48" i="17" s="1"/>
  <c r="BH48" i="17" s="1"/>
  <c r="BI48" i="17" s="1"/>
  <c r="BJ48" i="17" s="1"/>
  <c r="BK48" i="17" s="1"/>
  <c r="BL48" i="17" s="1"/>
  <c r="BM48" i="17" s="1"/>
  <c r="BN48" i="17" s="1"/>
  <c r="BO48" i="17" s="1"/>
  <c r="BP48" i="17" s="1"/>
  <c r="AO146" i="17"/>
  <c r="AO265" i="17"/>
  <c r="AH212" i="17"/>
  <c r="BQ48" i="17" l="1"/>
  <c r="BR48" i="17" s="1"/>
  <c r="BS48" i="17" s="1"/>
  <c r="BT48" i="17" s="1"/>
  <c r="BU48" i="17" s="1"/>
  <c r="BV48" i="17" s="1"/>
  <c r="BW48" i="17" s="1"/>
  <c r="BX48" i="17" s="1"/>
  <c r="BY48" i="17" s="1"/>
  <c r="BZ48" i="17" s="1"/>
  <c r="CA48" i="17" s="1"/>
  <c r="CB48" i="17" s="1"/>
  <c r="CC48" i="17" s="1"/>
  <c r="CD48" i="17" s="1"/>
  <c r="CE48" i="17" s="1"/>
  <c r="CF48" i="17" s="1"/>
  <c r="CG48" i="17" s="1"/>
  <c r="CH48" i="17" s="1"/>
  <c r="CI48" i="17" s="1"/>
  <c r="CJ48" i="17" s="1"/>
  <c r="CK48" i="17" s="1"/>
  <c r="CL48" i="17" s="1"/>
  <c r="CM48" i="17" s="1"/>
  <c r="CN48" i="17" s="1"/>
  <c r="CO48" i="17" s="1"/>
  <c r="CP48" i="17" s="1"/>
  <c r="CQ48" i="17" s="1"/>
  <c r="CR48" i="17" s="1"/>
  <c r="CS48" i="17" s="1"/>
  <c r="CT48" i="17" s="1"/>
  <c r="CU48" i="17" s="1"/>
  <c r="CV48" i="17" s="1"/>
  <c r="CW48" i="17" s="1"/>
  <c r="CX48" i="17" s="1"/>
  <c r="CY48" i="17" s="1"/>
  <c r="CZ48" i="17" s="1"/>
  <c r="DA48" i="17" s="1"/>
  <c r="DB48" i="17" s="1"/>
  <c r="DC48" i="17" s="1"/>
  <c r="DD48" i="17" s="1"/>
  <c r="DE48" i="17" s="1"/>
  <c r="DF48" i="17" s="1"/>
  <c r="DG48" i="17" s="1"/>
  <c r="DH48" i="17" s="1"/>
  <c r="DI48" i="17" s="1"/>
  <c r="DJ48" i="17" s="1"/>
  <c r="DK48" i="17" s="1"/>
  <c r="DL48" i="17" s="1"/>
  <c r="AP265" i="17"/>
  <c r="AQ265" i="17" s="1"/>
  <c r="AR265" i="17" s="1"/>
  <c r="AS265" i="17" s="1"/>
  <c r="AT265" i="17" s="1"/>
  <c r="AU265" i="17" s="1"/>
  <c r="AV265" i="17" s="1"/>
  <c r="AW265" i="17" s="1"/>
  <c r="AX265" i="17" s="1"/>
  <c r="AY265" i="17" s="1"/>
  <c r="AZ265" i="17" s="1"/>
  <c r="BA265" i="17" s="1"/>
  <c r="BB265" i="17" s="1"/>
  <c r="BC265" i="17" s="1"/>
  <c r="BD265" i="17" s="1"/>
  <c r="BE265" i="17" s="1"/>
  <c r="BF265" i="17" s="1"/>
  <c r="AP146" i="17"/>
  <c r="AQ146" i="17" s="1"/>
  <c r="AR146" i="17" s="1"/>
  <c r="AS146" i="17" s="1"/>
  <c r="AT146" i="17" s="1"/>
  <c r="AU146" i="17" s="1"/>
  <c r="AV146" i="17" s="1"/>
  <c r="AW146" i="17" s="1"/>
  <c r="AX146" i="17" s="1"/>
  <c r="AY146" i="17" s="1"/>
  <c r="AZ146" i="17" s="1"/>
  <c r="BA146" i="17" s="1"/>
  <c r="BB146" i="17" s="1"/>
  <c r="BC146" i="17" s="1"/>
  <c r="BD146" i="17" s="1"/>
  <c r="BE146" i="17" s="1"/>
  <c r="BF146" i="17" s="1"/>
  <c r="BG146" i="17" s="1"/>
  <c r="BH146" i="17" s="1"/>
  <c r="BI146" i="17" s="1"/>
  <c r="BJ146" i="17" s="1"/>
  <c r="BK146" i="17" s="1"/>
  <c r="BL146" i="17" s="1"/>
  <c r="BM146" i="17" s="1"/>
  <c r="BN146" i="17" s="1"/>
  <c r="BO146" i="17" s="1"/>
  <c r="AI212" i="17"/>
  <c r="BP146" i="17" l="1"/>
  <c r="AJ212" i="17"/>
  <c r="BG265" i="17"/>
  <c r="BH265" i="17" s="1"/>
  <c r="BI265" i="17" s="1"/>
  <c r="BJ265" i="17" s="1"/>
  <c r="BK265" i="17" s="1"/>
  <c r="BL265" i="17" s="1"/>
  <c r="BM265" i="17" s="1"/>
  <c r="BN265" i="17" s="1"/>
  <c r="BO265" i="17" s="1"/>
  <c r="BP265" i="17" s="1"/>
  <c r="BQ265" i="17" s="1"/>
  <c r="BR265" i="17" s="1"/>
  <c r="BS265" i="17" s="1"/>
  <c r="BT265" i="17" s="1"/>
  <c r="BU265" i="17" s="1"/>
  <c r="BV265" i="17" s="1"/>
  <c r="BW265" i="17" s="1"/>
  <c r="BX265" i="17" s="1"/>
  <c r="BY265" i="17" s="1"/>
  <c r="BZ265" i="17" s="1"/>
  <c r="CA265" i="17" s="1"/>
  <c r="CB265" i="17" s="1"/>
  <c r="CC265" i="17" s="1"/>
  <c r="CD265" i="17" s="1"/>
  <c r="CE265" i="17" s="1"/>
  <c r="CF265" i="17" s="1"/>
  <c r="CG265" i="17" s="1"/>
  <c r="CH265" i="17" s="1"/>
  <c r="CI265" i="17" s="1"/>
  <c r="CJ265" i="17" s="1"/>
  <c r="CK265" i="17" s="1"/>
  <c r="CL265" i="17" s="1"/>
  <c r="CM265" i="17" s="1"/>
  <c r="CN265" i="17" s="1"/>
  <c r="CO265" i="17" s="1"/>
  <c r="CP265" i="17" s="1"/>
  <c r="CQ265" i="17" s="1"/>
  <c r="CR265" i="17" s="1"/>
  <c r="CS265" i="17" s="1"/>
  <c r="CT265" i="17" s="1"/>
  <c r="CU265" i="17" s="1"/>
  <c r="CV265" i="17" s="1"/>
  <c r="CW265" i="17" s="1"/>
  <c r="CX265" i="17" s="1"/>
  <c r="CY265" i="17" s="1"/>
  <c r="CZ265" i="17" s="1"/>
  <c r="DA265" i="17" s="1"/>
  <c r="DB265" i="17" s="1"/>
  <c r="DC265" i="17" s="1"/>
  <c r="DD265" i="17" s="1"/>
  <c r="DE265" i="17" s="1"/>
  <c r="DF265" i="17" s="1"/>
  <c r="DG265" i="17" s="1"/>
  <c r="DH265" i="17" s="1"/>
  <c r="DI265" i="17" s="1"/>
  <c r="DJ265" i="17" s="1"/>
  <c r="DK265" i="17" s="1"/>
  <c r="DL265" i="17" s="1"/>
  <c r="BQ146" i="17" l="1"/>
  <c r="BR146" i="17" s="1"/>
  <c r="BS146" i="17" s="1"/>
  <c r="BT146" i="17" s="1"/>
  <c r="BU146" i="17" s="1"/>
  <c r="BV146" i="17" s="1"/>
  <c r="BW146" i="17" s="1"/>
  <c r="AK212" i="17"/>
  <c r="AL212" i="17" s="1"/>
  <c r="AM212" i="17" s="1"/>
  <c r="AN212" i="17" s="1"/>
  <c r="AO212" i="17" s="1"/>
  <c r="AP212" i="17" s="1"/>
  <c r="AQ212" i="17" s="1"/>
  <c r="AR212" i="17" s="1"/>
  <c r="AS212" i="17" s="1"/>
  <c r="AT212" i="17" s="1"/>
  <c r="AU212" i="17" s="1"/>
  <c r="AV212" i="17" s="1"/>
  <c r="AW212" i="17" s="1"/>
  <c r="AX212" i="17" s="1"/>
  <c r="AY212" i="17" s="1"/>
  <c r="AZ212" i="17" s="1"/>
  <c r="BA212" i="17" s="1"/>
  <c r="BB212" i="17" s="1"/>
  <c r="BC212" i="17" s="1"/>
  <c r="BD212" i="17" s="1"/>
  <c r="BE212" i="17" s="1"/>
  <c r="BF212" i="17" s="1"/>
  <c r="BG212" i="17" s="1"/>
  <c r="BH212" i="17" s="1"/>
  <c r="BI212" i="17" s="1"/>
  <c r="BJ212" i="17" l="1"/>
  <c r="BK212" i="17" s="1"/>
  <c r="BL212" i="17" s="1"/>
  <c r="BM212" i="17" s="1"/>
  <c r="BN212" i="17" s="1"/>
  <c r="BO212" i="17" s="1"/>
  <c r="BP212" i="17" s="1"/>
  <c r="BQ212" i="17" s="1"/>
  <c r="BR212" i="17" s="1"/>
  <c r="BS212" i="17" s="1"/>
  <c r="BT212" i="17" s="1"/>
  <c r="BU212" i="17" s="1"/>
  <c r="BV212" i="17" s="1"/>
  <c r="BW212" i="17" s="1"/>
  <c r="BX212" i="17" s="1"/>
  <c r="BY212" i="17" s="1"/>
  <c r="BZ212" i="17" s="1"/>
  <c r="CA212" i="17" s="1"/>
  <c r="CB212" i="17" s="1"/>
  <c r="CC212" i="17" s="1"/>
  <c r="CD212" i="17" s="1"/>
  <c r="CE212" i="17" s="1"/>
  <c r="CF212" i="17" s="1"/>
  <c r="CG212" i="17" s="1"/>
  <c r="CH212" i="17" s="1"/>
  <c r="CI212" i="17" s="1"/>
  <c r="CJ212" i="17" s="1"/>
  <c r="CK212" i="17" s="1"/>
  <c r="CL212" i="17" s="1"/>
  <c r="CM212" i="17" s="1"/>
  <c r="CN212" i="17" s="1"/>
  <c r="CO212" i="17" s="1"/>
  <c r="CP212" i="17" s="1"/>
  <c r="CQ212" i="17" s="1"/>
  <c r="CR212" i="17" s="1"/>
  <c r="CS212" i="17" s="1"/>
  <c r="CT212" i="17" s="1"/>
  <c r="CU212" i="17" s="1"/>
  <c r="CV212" i="17" s="1"/>
  <c r="CW212" i="17" s="1"/>
  <c r="CX212" i="17" s="1"/>
  <c r="CY212" i="17" s="1"/>
  <c r="CZ212" i="17" s="1"/>
  <c r="DA212" i="17" s="1"/>
  <c r="DB212" i="17" s="1"/>
  <c r="DC212" i="17" s="1"/>
  <c r="DD212" i="17" s="1"/>
  <c r="DE212" i="17" s="1"/>
  <c r="DF212" i="17" s="1"/>
  <c r="DG212" i="17" s="1"/>
  <c r="DH212" i="17" s="1"/>
  <c r="DI212" i="17" s="1"/>
  <c r="DJ212" i="17" s="1"/>
  <c r="DK212" i="17" s="1"/>
  <c r="DL212" i="17" s="1"/>
  <c r="BX146" i="17"/>
  <c r="BY146" i="17" s="1"/>
  <c r="BZ146" i="17" s="1"/>
  <c r="CA146" i="17" s="1"/>
  <c r="CB146" i="17" s="1"/>
  <c r="CC146" i="17" s="1"/>
  <c r="CD146" i="17" s="1"/>
  <c r="CE146" i="17" s="1"/>
  <c r="CF146" i="17" s="1"/>
  <c r="CG146" i="17" s="1"/>
  <c r="CH146" i="17" s="1"/>
  <c r="CI146" i="17" s="1"/>
  <c r="CJ146" i="17" s="1"/>
  <c r="CK146" i="17" s="1"/>
  <c r="CL146" i="17" s="1"/>
  <c r="CM146" i="17" s="1"/>
  <c r="CN146" i="17" s="1"/>
  <c r="CO146" i="17" s="1"/>
  <c r="CP146" i="17" s="1"/>
  <c r="CQ146" i="17" s="1"/>
  <c r="CR146" i="17" s="1"/>
  <c r="CS146" i="17" s="1"/>
  <c r="CT146" i="17" s="1"/>
  <c r="CU146" i="17" s="1"/>
  <c r="CV146" i="17" s="1"/>
  <c r="CW146" i="17" s="1"/>
  <c r="CX146" i="17" s="1"/>
  <c r="CY146" i="17" s="1"/>
  <c r="CZ146" i="17" s="1"/>
  <c r="DA146" i="17" s="1"/>
  <c r="DB146" i="17" s="1"/>
  <c r="DC146" i="17" s="1"/>
  <c r="DD146" i="17" s="1"/>
  <c r="DE146" i="17" s="1"/>
  <c r="DF146" i="17" s="1"/>
  <c r="DG146" i="17" s="1"/>
  <c r="DH146" i="17" s="1"/>
  <c r="DI146" i="17" s="1"/>
  <c r="DJ146" i="17" s="1"/>
  <c r="DK146" i="17" s="1"/>
  <c r="DL146"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tc={67D8F3F7-1E1E-4DD3-AEFF-110B731379DA}</author>
    <author>tc={3567BFA3-492A-46BD-AF19-EE08D69B40A2}</author>
    <author>tc={6DC9DDAA-26BE-4E82-B4BB-8FE70459B834}</author>
  </authors>
  <commentList>
    <comment ref="C2" authorId="0" shapeId="0" xr:uid="{67D8F3F7-1E1E-4DD3-AEFF-110B731379DA}">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D2" authorId="1" shapeId="0" xr:uid="{3567BFA3-492A-46BD-AF19-EE08D69B40A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E2" authorId="2" shapeId="0" xr:uid="{6DC9DDAA-26BE-4E82-B4BB-8FE70459B834}">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tc={1C93ED8B-BAB8-4367-ADCF-81EF9D99DC7F}</author>
    <author>tc={35617C1F-C247-449F-9830-E557EEAE542A}</author>
    <author>tc={B3BE067D-76A6-4684-979C-C30ED4026244}</author>
    <author>tc={2E5E6D01-6247-441B-A27F-6BD51FF97014}</author>
    <author>tc={F1D92E77-6503-4713-8DC1-F2B98C5EF176}</author>
  </authors>
  <commentList>
    <comment ref="C2" authorId="0" shapeId="0" xr:uid="{1C93ED8B-BAB8-4367-ADCF-81EF9D99DC7F}">
      <text>
        <t>[Comentário encadeado]
Sua versão do Excel permite que você leia este comentário encadeado, no entanto, as edições serão removidas se o arquivo for aberto em uma versão mais recente do Excel. Saiba mais: https://go.microsoft.com/fwlink/?linkid=870924
Comentário:
    Release Sprint, que o roadmap deve iniciar</t>
      </text>
    </comment>
    <comment ref="F2" authorId="1" shapeId="0" xr:uid="{35617C1F-C247-449F-9830-E557EEAE542A}">
      <text>
        <t>[Comentário encadeado]
Sua versão do Excel permite que você leia este comentário encadeado, no entanto, as edições serão removidas se o arquivo for aberto em uma versão mais recente do Excel. Saiba mais: https://go.microsoft.com/fwlink/?linkid=870924
Comentário:
    Duração da Sprint em Semanas</t>
      </text>
    </comment>
    <comment ref="D3" authorId="2" shapeId="0" xr:uid="{B3BE067D-76A6-4684-979C-C30ED4026244}">
      <text>
        <t>[Comentário encadeado]
Sua versão do Excel permite que você leia este comentário encadeado, no entanto, as edições serão removidas se o arquivo for aberto em uma versão mais recente do Excel. Saiba mais: https://go.microsoft.com/fwlink/?linkid=870924
Comentário:
    Data de inicio do Roadmap</t>
      </text>
    </comment>
    <comment ref="F3" authorId="3" shapeId="0" xr:uid="{2E5E6D01-6247-441B-A27F-6BD51FF97014}">
      <text>
        <t>[Comentário encadeado]
Sua versão do Excel permite que você leia este comentário encadeado, no entanto, as edições serão removidas se o arquivo for aberto em uma versão mais recente do Excel. Saiba mais: https://go.microsoft.com/fwlink/?linkid=870924
Comentário:
    Quantidade de dias de Release Planning. No Itaú, é chamada de Sprint 0 (geralmente de 1 semana)</t>
      </text>
    </comment>
    <comment ref="D5" authorId="4" shapeId="0" xr:uid="{F1D92E77-6503-4713-8DC1-F2B98C5EF176}">
      <text>
        <t>[Comentário encadeado]
Sua versão do Excel permite que você leia este comentário encadeado, no entanto, as edições serão removidas se o arquivo for aberto em uma versão mais recente do Excel. Saiba mais: https://go.microsoft.com/fwlink/?linkid=870924
Comentário:
    Preenchido com o nome do desenvolvedor
F: Full Time
P: Party Time
(X% significa o percentual de Party Time)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tc={91DC2554-BB94-4BC4-8DBB-8182766088F6}</author>
  </authors>
  <commentList>
    <comment ref="C6" authorId="0" shapeId="0" xr:uid="{91DC2554-BB94-4BC4-8DBB-8182766088F6}">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tc={D6C6EFFB-4394-4F36-9090-367F88FC215F}</author>
    <author>tc={7E0D14FC-533E-472D-9F1F-9CE74FD8FE18}</author>
    <author>tc={E0014E2C-8238-4AEC-9266-F6F0AB21C35C}</author>
    <author>tc={52C68DA6-26B5-4A18-86F5-95FDF163F615}</author>
    <author>tc={7CCA9FE0-1246-4E88-9001-B9A5483A3960}</author>
    <author>tc={6E647F42-8444-40E7-859C-3D68F464B6BA}</author>
    <author>tc={9011E011-A360-4823-91B8-34C5E2F8CB03}</author>
    <author>tc={9D4D17D3-99A2-4AA8-B604-A3D97B94CC3F}</author>
    <author>tc={70411FB2-C73C-4C62-80E4-D2FFD6B8D5D3}</author>
    <author>tc={E7D1D783-F291-4A04-8E37-384584CABCF7}</author>
    <author>tc={3CFEF2AB-82C1-4ABB-BEF4-8E8A3849C223}</author>
    <author>tc={85C80C83-87C7-4C5C-9AC0-6D4E701928B2}</author>
    <author>tc={EBE022CF-3B48-46AF-9ED1-70874DE7F244}</author>
    <author>tc={90689032-EA02-4BEE-8A7C-1471CF6E6185}</author>
    <author>tc={FE34339A-490F-4ED1-9B0D-5935DE42BC9F}</author>
  </authors>
  <commentList>
    <comment ref="B6" authorId="0" shapeId="0" xr:uid="{D6C6EFFB-4394-4F36-9090-367F88FC215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Define se a iniciativa representa uma escolha ativa ou uma renúncia consciente. Ajuda na priorização e alinhamento com a capacidade do time. </t>
      </text>
    </comment>
    <comment ref="C6" authorId="1" shapeId="0" xr:uid="{7E0D14FC-533E-472D-9F1F-9CE74FD8FE18}">
      <text>
        <t>[Comentário encadeado]
Sua versão do Excel permite que você leia este comentário encadeado, no entanto, as edições serão removidas se o arquivo for aberto em uma versão mais recente do Excel. Saiba mais: https://go.microsoft.com/fwlink/?linkid=870924
Comentário:
    Grau de urgência ou impacto da iniciativa. Pode ser usada para guiar alocação de esforços e tomada de decisão.</t>
      </text>
    </comment>
    <comment ref="D6" authorId="2" shapeId="0" xr:uid="{E0014E2C-8238-4AEC-9266-F6F0AB21C35C}">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E6" authorId="3" shapeId="0" xr:uid="{52C68DA6-26B5-4A18-86F5-95FDF163F61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F6" authorId="4" shapeId="0" xr:uid="{7CCA9FE0-1246-4E88-9001-B9A5483A3960}">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I6" authorId="5" shapeId="0" xr:uid="{6E647F42-8444-40E7-859C-3D68F464B6BA}">
      <text>
        <t>[Comentário encadeado]
Sua versão do Excel permite que você leia este comentário encadeado, no entanto, as edições serão removidas se o arquivo for aberto em uma versão mais recente do Excel. Saiba mais: https://go.microsoft.com/fwlink/?linkid=870924
Comentário:
    Indica se a linha se refere à fase de Discovery ou Delivery.</t>
      </text>
    </comment>
    <comment ref="R6" authorId="6" shapeId="0" xr:uid="{9011E011-A360-4823-91B8-34C5E2F8CB0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Marca o planejamento inicial da fase. Serve como base para medir previsibilidade e cumprimento de plano. </t>
      </text>
    </comment>
    <comment ref="S6" authorId="7" shapeId="0" xr:uid="{9D4D17D3-99A2-4AA8-B604-A3D97B94CC3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desvios no início (gap entre planejado e real). Indica possíveis bloqueios ou problemas de kick-off. </t>
      </text>
    </comment>
    <comment ref="T6" authorId="8" shapeId="0" xr:uid="{70411FB2-C73C-4C62-80E4-D2FFD6B8D5D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Planejamento de encerramento. Usada para avaliar planejamento de capacidade e escopo. </t>
      </text>
    </comment>
    <comment ref="U6" authorId="9" shapeId="0" xr:uid="{E7D1D783-F291-4A04-8E37-384584CABCF7}">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o real ciclo de vida da fase. Base para Lead Time e Cycle Time. </t>
      </text>
    </comment>
    <comment ref="V6" authorId="10" shapeId="0" xr:uid="{3CFEF2AB-82C1-4ABB-BEF4-8E8A3849C22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Quantidade planejada de sprints para a fase. Ajuda a definir expectativa de entrega e capacidade do time. </t>
      </text>
    </comment>
    <comment ref="W6" authorId="11" shapeId="0" xr:uid="{85C80C83-87C7-4C5C-9AC0-6D4E701928B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Gap entre o planejamento e o que foi realmente entregue. Mede previsibilidade de entrega. </t>
      </text>
    </comment>
    <comment ref="X7" authorId="12" shapeId="0" xr:uid="{EBE022CF-3B48-46AF-9ED1-70874DE7F244}">
      <text>
        <t>[Comentário encadeado]
Sua versão do Excel permite que você leia este comentário encadeado, no entanto, as edições serão removidas se o arquivo for aberto em uma versão mais recente do Excel. Saiba mais: https://go.microsoft.com/fwlink/?linkid=870924
Comentário:
    Medida real de esforço, útil para cálculo de Lead Time por fase e velocidade média por tipo de entrega.</t>
      </text>
    </comment>
    <comment ref="AE16" authorId="13" shapeId="0" xr:uid="{90689032-EA02-4BEE-8A7C-1471CF6E6185}">
      <text>
        <t>[Comentário encadeado]
Sua versão do Excel permite que você leia este comentário encadeado, no entanto, as edições serão removidas se o arquivo for aberto em uma versão mais recente do Excel. Saiba mais: https://go.microsoft.com/fwlink/?linkid=870924
Comentário:
    Metas para: 60 dias após o lançamento da democratização.</t>
      </text>
    </comment>
    <comment ref="AE17" authorId="14" shapeId="0" xr:uid="{FE34339A-490F-4ED1-9B0D-5935DE42BC9F}">
      <text>
        <t>[Comentário encadeado]
Sua versão do Excel permite que você leia este comentário encadeado, no entanto, as edições serão removidas se o arquivo for aberto em uma versão mais recente do Excel. Saiba mais: https://go.microsoft.com/fwlink/?linkid=870924
Comentário:
    Metas para: 60 dias após o lançamento da democratização.</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tc={A646BDEB-9821-4DCA-96B2-D176F75DAD2A}</author>
    <author>tc={C1889F8E-4D1A-4D31-A095-FBB4C92C7D03}</author>
    <author>tc={E287E045-C5F8-40E3-9B48-1398ACFE4425}</author>
    <author>tc={591F68E6-1E6D-40C9-A3F1-6D42B517BDA9}</author>
    <author>tc={5DE8D6D9-A3DE-4ECA-9B2A-3A9285E2A32F}</author>
    <author>tc={B085FAC2-733C-41BC-9071-D9DAFAD73A26}</author>
    <author>tc={B4BD046F-A117-4018-9FE8-BE38B8EBF132}</author>
    <author>tc={5838B9EF-1A5B-4751-B0C6-C3E7D32D58A1}</author>
    <author>tc={E54F1EA5-1F0B-4923-AADA-807ADBC6A4F6}</author>
    <author>tc={0FDDEDA6-F666-4CF6-8770-A838F934119A}</author>
    <author>tc={85BBF3A9-5929-4FAF-9AAD-E06BB68D04B6}</author>
    <author>tc={954D94A9-6964-48F5-8310-20AB0B06FEF8}</author>
    <author>tc={E91656F1-4DC3-4903-B413-C2F70C25BAF0}</author>
  </authors>
  <commentList>
    <comment ref="C6" authorId="0" shapeId="0" xr:uid="{A646BDEB-9821-4DCA-96B2-D176F75DAD2A}">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D6" authorId="1" shapeId="0" xr:uid="{C1889F8E-4D1A-4D31-A095-FBB4C92C7D0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E6" authorId="2" shapeId="0" xr:uid="{E287E045-C5F8-40E3-9B48-1398ACFE442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Define se a iniciativa representa uma escolha ativa ou uma renúncia consciente. Ajuda na priorização e alinhamento com a capacidade do time. </t>
      </text>
    </comment>
    <comment ref="F6" authorId="3" shapeId="0" xr:uid="{591F68E6-1E6D-40C9-A3F1-6D42B517BDA9}">
      <text>
        <t>[Comentário encadeado]
Sua versão do Excel permite que você leia este comentário encadeado, no entanto, as edições serão removidas se o arquivo for aberto em uma versão mais recente do Excel. Saiba mais: https://go.microsoft.com/fwlink/?linkid=870924
Comentário:
    Grau de urgência ou impacto da iniciativa. Pode ser usada para guiar alocação de esforços e tomada de decisão.</t>
      </text>
    </comment>
    <comment ref="G6" authorId="4" shapeId="0" xr:uid="{5DE8D6D9-A3DE-4ECA-9B2A-3A9285E2A32F}">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J6" authorId="5" shapeId="0" xr:uid="{B085FAC2-733C-41BC-9071-D9DAFAD73A26}">
      <text>
        <t>[Comentário encadeado]
Sua versão do Excel permite que você leia este comentário encadeado, no entanto, as edições serão removidas se o arquivo for aberto em uma versão mais recente do Excel. Saiba mais: https://go.microsoft.com/fwlink/?linkid=870924
Comentário:
    Indica se a linha se refere à fase de Discovery ou Delivery.</t>
      </text>
    </comment>
    <comment ref="W6" authorId="6" shapeId="0" xr:uid="{B4BD046F-A117-4018-9FE8-BE38B8EBF13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Marca o planejamento inicial da fase. Serve como base para medir previsibilidade e cumprimento de plano. </t>
      </text>
    </comment>
    <comment ref="X6" authorId="7" shapeId="0" xr:uid="{5838B9EF-1A5B-4751-B0C6-C3E7D32D58A1}">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desvios no início (gap entre planejado e real). Indica possíveis bloqueios ou problemas de kick-off. </t>
      </text>
    </comment>
    <comment ref="Y6" authorId="8" shapeId="0" xr:uid="{E54F1EA5-1F0B-4923-AADA-807ADBC6A4F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Planejamento de encerramento. Usada para avaliar planejamento de capacidade e escopo. </t>
      </text>
    </comment>
    <comment ref="Z6" authorId="9" shapeId="0" xr:uid="{0FDDEDA6-F666-4CF6-8770-A838F934119A}">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o real ciclo de vida da fase. Base para Lead Time e Cycle Time. </t>
      </text>
    </comment>
    <comment ref="AA6" authorId="10" shapeId="0" xr:uid="{85BBF3A9-5929-4FAF-9AAD-E06BB68D04B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Quantidade planejada de sprints para a fase. Ajuda a definir expectativa de entrega e capacidade do time. </t>
      </text>
    </comment>
    <comment ref="AB6" authorId="11" shapeId="0" xr:uid="{954D94A9-6964-48F5-8310-20AB0B06FEF8}">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Gap entre o planejamento e o que foi realmente entregue. Mede previsibilidade de entrega. </t>
      </text>
    </comment>
    <comment ref="AC7" authorId="12" shapeId="0" xr:uid="{E91656F1-4DC3-4903-B413-C2F70C25BAF0}">
      <text>
        <t>[Comentário encadeado]
Sua versão do Excel permite que você leia este comentário encadeado, no entanto, as edições serão removidas se o arquivo for aberto em uma versão mais recente do Excel. Saiba mais: https://go.microsoft.com/fwlink/?linkid=870924
Comentário:
    Medida real de esforço, útil para cálculo de Lead Time por fase e velocidade média por tipo de entrega.</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<sst xmlns="http://schemas.openxmlformats.org/spreadsheetml/2006/main" count="2472" uniqueCount="618">
  <si>
    <t>Desenvolver produtos de dados fortalecendo o reuso, com o objetivo de democratizar, tornar acessível  e escalável qualquer solução de dados e analytics.</t>
  </si>
  <si>
    <t>Escolha ou Renúncia</t>
  </si>
  <si>
    <t>Criticidade</t>
  </si>
  <si>
    <t>Produto</t>
  </si>
  <si>
    <t>Épico</t>
  </si>
  <si>
    <t>Iniciativa</t>
  </si>
  <si>
    <t>Classificação da Torre</t>
  </si>
  <si>
    <t>Frente Prioritária</t>
  </si>
  <si>
    <t>Discovery/Delivery</t>
  </si>
  <si>
    <t>Orquestrado/Envolvido</t>
  </si>
  <si>
    <t>Sinaleiro</t>
  </si>
  <si>
    <t>Status</t>
  </si>
  <si>
    <t>Outcome (Benefício Qualitativo)</t>
  </si>
  <si>
    <t>Data Captura</t>
  </si>
  <si>
    <t>KRs Estratégico</t>
  </si>
  <si>
    <t>Dores</t>
  </si>
  <si>
    <t>Resultados</t>
  </si>
  <si>
    <t>Riscos</t>
  </si>
  <si>
    <t>Riscos/Impedimentos/Dependência</t>
  </si>
  <si>
    <t>Impacto</t>
  </si>
  <si>
    <t>Probabilidade de acontecer</t>
  </si>
  <si>
    <t>Escolha</t>
  </si>
  <si>
    <t>Renúncia</t>
  </si>
  <si>
    <t>Baixa</t>
  </si>
  <si>
    <t>Média</t>
  </si>
  <si>
    <t>Alta</t>
  </si>
  <si>
    <t>IBS 360</t>
  </si>
  <si>
    <t>Gestão do Parque</t>
  </si>
  <si>
    <t>Geocompasso</t>
  </si>
  <si>
    <t>Score de Agências</t>
  </si>
  <si>
    <t>Scorefy</t>
  </si>
  <si>
    <t>Radar Imobiliário</t>
  </si>
  <si>
    <t>Inteligência Imobiliária - Planejamento de Negociação</t>
  </si>
  <si>
    <t>Inteligência Imobiliária - Hórus 3.0</t>
  </si>
  <si>
    <t>Evolução da Plataforma</t>
  </si>
  <si>
    <t>Evolução do Negócio</t>
  </si>
  <si>
    <t>Estruturante</t>
  </si>
  <si>
    <t>Feature</t>
  </si>
  <si>
    <t>Discovery</t>
  </si>
  <si>
    <t>Delivery</t>
  </si>
  <si>
    <t>Risco Operacional</t>
  </si>
  <si>
    <t>Risco Regulatório</t>
  </si>
  <si>
    <t>Suporte Aplicação</t>
  </si>
  <si>
    <t>Orquestrado</t>
  </si>
  <si>
    <t>Envolvido</t>
  </si>
  <si>
    <t>Ruim</t>
  </si>
  <si>
    <t>Médio</t>
  </si>
  <si>
    <t>Bom</t>
  </si>
  <si>
    <t>Excelente</t>
  </si>
  <si>
    <t>Planejamento de Pessoas</t>
  </si>
  <si>
    <t>Ideia</t>
  </si>
  <si>
    <t>Em Discovery</t>
  </si>
  <si>
    <t>Em Delivery</t>
  </si>
  <si>
    <t>Entregue</t>
  </si>
  <si>
    <t>Com impedimentos</t>
  </si>
  <si>
    <t>Cancelado</t>
  </si>
  <si>
    <t>Não mensurável</t>
  </si>
  <si>
    <t>Baixo</t>
  </si>
  <si>
    <t>Alto</t>
  </si>
  <si>
    <t>Muito Alto</t>
  </si>
  <si>
    <t>Melhoria experiência do usuário</t>
  </si>
  <si>
    <t>Página Inicial</t>
  </si>
  <si>
    <t>2. Para cada fase, preencha os campos conforme abaixo:</t>
  </si>
  <si>
    <r>
      <t>Produto</t>
    </r>
    <r>
      <rPr>
        <sz val="11"/>
        <color theme="1"/>
        <rFont val="Calibri"/>
        <family val="2"/>
        <scheme val="minor"/>
      </rPr>
      <t>: nome do produto impactado (ex: IBS 360, Scorefy).</t>
    </r>
  </si>
  <si>
    <r>
      <t>Épico</t>
    </r>
    <r>
      <rPr>
        <sz val="11"/>
        <color theme="1"/>
        <rFont val="Calibri"/>
        <family val="2"/>
        <scheme val="minor"/>
      </rPr>
      <t>: objetivo estratégico ao qual a iniciativa está ligada.</t>
    </r>
  </si>
  <si>
    <r>
      <t>Iniciativa</t>
    </r>
    <r>
      <rPr>
        <sz val="11"/>
        <color theme="1"/>
        <rFont val="Calibri"/>
        <family val="2"/>
        <scheme val="minor"/>
      </rPr>
      <t>: nome claro e específico da entrega.</t>
    </r>
  </si>
  <si>
    <r>
      <t>Discovery/Delivery</t>
    </r>
    <r>
      <rPr>
        <sz val="11"/>
        <color theme="1"/>
        <rFont val="Calibri"/>
        <family val="2"/>
        <scheme val="minor"/>
      </rPr>
      <t>: indique se a linha se refere à fase de Discovery ou Delivery.</t>
    </r>
  </si>
  <si>
    <r>
      <t>Status</t>
    </r>
    <r>
      <rPr>
        <sz val="11"/>
        <color theme="1"/>
        <rFont val="Calibri"/>
        <family val="2"/>
        <scheme val="minor"/>
      </rPr>
      <t>: use 'Em Andamento', 'Entregue', 'Cancelado' etc.</t>
    </r>
  </si>
  <si>
    <t>Data Inicio</t>
  </si>
  <si>
    <t>Data Fim</t>
  </si>
  <si>
    <t>Data Início Desejado</t>
  </si>
  <si>
    <t>Data Fim Desejado</t>
  </si>
  <si>
    <t>Data Início Real</t>
  </si>
  <si>
    <t>Data Fim Real</t>
  </si>
  <si>
    <t>Datas (Desejado x Real)</t>
  </si>
  <si>
    <t>1. Cada linha representa uma fase da iniciativa (Discovery ou Delivery).</t>
  </si>
  <si>
    <t>4. Utilize a coluna Sinaleiro para indicar a saúde da fase: Ruim, Médio, Bom ou Excelente.</t>
  </si>
  <si>
    <t>5. As colunas Outcome, KRs Estratégico e Dores ajudam a alinhar com OKRs e justificar prioridade.</t>
  </si>
  <si>
    <r>
      <t>6. Não delete linhas antigas</t>
    </r>
    <r>
      <rPr>
        <sz val="12"/>
        <color theme="1"/>
        <rFont val="Calibri"/>
        <family val="2"/>
        <scheme val="minor"/>
      </rPr>
      <t>: use-as para cálculo de lead time e geração de histórico.</t>
    </r>
  </si>
  <si>
    <t>📘 Instruções de Preenchimento do Roadmap</t>
  </si>
  <si>
    <r>
      <t>Data Início Desejado</t>
    </r>
    <r>
      <rPr>
        <sz val="11"/>
        <color theme="1"/>
        <rFont val="Calibri"/>
        <family val="2"/>
        <scheme val="minor"/>
      </rPr>
      <t>: quando idealmente a fase deveria começar.</t>
    </r>
  </si>
  <si>
    <r>
      <t>Data Início Real</t>
    </r>
    <r>
      <rPr>
        <sz val="11"/>
        <color theme="1"/>
        <rFont val="Calibri"/>
        <family val="2"/>
        <scheme val="minor"/>
      </rPr>
      <t>: quando a fase realmente começou.</t>
    </r>
  </si>
  <si>
    <r>
      <t>Data Fim Desejado</t>
    </r>
    <r>
      <rPr>
        <sz val="11"/>
        <color theme="1"/>
        <rFont val="Calibri"/>
        <family val="2"/>
        <scheme val="minor"/>
      </rPr>
      <t>: previsão inicial de término.</t>
    </r>
  </si>
  <si>
    <r>
      <t>Data Fim Real</t>
    </r>
    <r>
      <rPr>
        <sz val="11"/>
        <color theme="1"/>
        <rFont val="Calibri"/>
        <family val="2"/>
        <scheme val="minor"/>
      </rPr>
      <t>: quando a fase foi de fato concluída (preencher se Status = Entregue).</t>
    </r>
  </si>
  <si>
    <t>3. Datas para controle de planejamento e execução:</t>
  </si>
  <si>
    <r>
      <t>Criticidade, Impacto, Probabilidade</t>
    </r>
    <r>
      <rPr>
        <sz val="11"/>
        <color theme="1"/>
        <rFont val="Calibri"/>
        <family val="2"/>
        <scheme val="minor"/>
      </rPr>
      <t>: utilize os combos pré-definidos na aba Auxiliares.</t>
    </r>
  </si>
  <si>
    <r>
      <t>Sinaleiro</t>
    </r>
    <r>
      <rPr>
        <sz val="11"/>
        <color theme="1"/>
        <rFont val="Calibri"/>
        <family val="2"/>
        <scheme val="minor"/>
      </rPr>
      <t>: saúde qualitativa da fase (Ruim, Médio, Bom ou Excelente).</t>
    </r>
  </si>
  <si>
    <r>
      <t>Outcome, KRs Estratégico, Dores</t>
    </r>
    <r>
      <rPr>
        <sz val="11"/>
        <color theme="1"/>
        <rFont val="Calibri"/>
        <family val="2"/>
        <scheme val="minor"/>
      </rPr>
      <t>: campos para conectar a entrega com valor gerado, indicadores e problemas resolvidos.</t>
    </r>
  </si>
  <si>
    <r>
      <t xml:space="preserve">🔴 </t>
    </r>
    <r>
      <rPr>
        <b/>
        <sz val="11"/>
        <color theme="1"/>
        <rFont val="Calibri"/>
        <family val="2"/>
        <scheme val="minor"/>
      </rPr>
      <t>Ruim</t>
    </r>
  </si>
  <si>
    <r>
      <t xml:space="preserve">🟠 </t>
    </r>
    <r>
      <rPr>
        <b/>
        <sz val="11"/>
        <color theme="1"/>
        <rFont val="Calibri"/>
        <family val="2"/>
        <scheme val="minor"/>
      </rPr>
      <t>Médio</t>
    </r>
  </si>
  <si>
    <r>
      <t xml:space="preserve">🟢 </t>
    </r>
    <r>
      <rPr>
        <b/>
        <sz val="11"/>
        <color theme="1"/>
        <rFont val="Calibri"/>
        <family val="2"/>
        <scheme val="minor"/>
      </rPr>
      <t>Bom</t>
    </r>
  </si>
  <si>
    <t>Sinaleiro - Ícone</t>
  </si>
  <si>
    <t>Definição</t>
  </si>
  <si>
    <t>Critérios Práticos</t>
  </si>
  <si>
    <t>A fase está em risco crítico e precisa de intervenção imediata.</t>
  </si>
  <si>
    <t>A fase apresenta riscos ou desvios controláveis, mas exige atenção.</t>
  </si>
  <si>
    <t>A fase está dentro do esperado, com riscos mínimos e entregas previstas.</t>
  </si>
  <si>
    <r>
      <t xml:space="preserve">🌟 </t>
    </r>
    <r>
      <rPr>
        <b/>
        <sz val="11"/>
        <color theme="1"/>
        <rFont val="Calibri"/>
        <family val="2"/>
        <scheme val="minor"/>
      </rPr>
      <t>Excelente</t>
    </r>
  </si>
  <si>
    <t>A fase está fluindo com excelência, gerando valor antecipado ou com sinergia excepcional.</t>
  </si>
  <si>
    <t>- Atraso relevante sem previsão de recuperação
- Impedimentos não endereçados
- Falta de alinhamento com stakeholders
- Time desmotivado ou sem foco</t>
  </si>
  <si>
    <t>- Atrasos moderados
- Impedimentos sendo tratados
- Escopo pouco claro ou em redefinição
- Falta de comunicação recorrente</t>
  </si>
  <si>
    <t>- Dentro do prazo ou com pequeno atraso aceitável
- Escopo claro
- Comunicação fluindo- Times engajados</t>
  </si>
  <si>
    <t>- Adiantada ou concluída antes do previsto
- Feedbacks positivos
- Riscos nulos ou mitigados
- Alinhamento forte com estratégia e áreas envolvidas</t>
  </si>
  <si>
    <t>Visualizar instruções detalhadas</t>
  </si>
  <si>
    <t>Calendário 2025</t>
  </si>
  <si>
    <t>Release</t>
  </si>
  <si>
    <t>Sprint</t>
  </si>
  <si>
    <t>R1</t>
  </si>
  <si>
    <t>S0</t>
  </si>
  <si>
    <t>S1</t>
  </si>
  <si>
    <t>S2</t>
  </si>
  <si>
    <t>S3</t>
  </si>
  <si>
    <t>S4</t>
  </si>
  <si>
    <t>R2</t>
  </si>
  <si>
    <t>31/04</t>
  </si>
  <si>
    <t>R3</t>
  </si>
  <si>
    <t>R4</t>
  </si>
  <si>
    <t>Tag</t>
  </si>
  <si>
    <t>R1 S3 2025</t>
  </si>
  <si>
    <t>R1 S4 2025</t>
  </si>
  <si>
    <t>R2 S1 2025</t>
  </si>
  <si>
    <t>Duração em Sprints (Inicio Desejado x Fim Real)</t>
  </si>
  <si>
    <t>Duração em Sprints (Inicio Real x Fim Real)</t>
  </si>
  <si>
    <t>Arquitetura</t>
  </si>
  <si>
    <t>AutoScaling</t>
  </si>
  <si>
    <t>Cookies</t>
  </si>
  <si>
    <t>Público Alvo</t>
  </si>
  <si>
    <t>Cliente</t>
  </si>
  <si>
    <t>Todos os usuários do IBS 360:
Gestão do Parque
Geocompasso
Scorefy
Radar Imobiliário</t>
  </si>
  <si>
    <t>Métricas</t>
  </si>
  <si>
    <t>Go To Market</t>
  </si>
  <si>
    <t>Lançamento Oficial do Produto</t>
  </si>
  <si>
    <t>ID</t>
  </si>
  <si>
    <t xml:space="preserve">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
</t>
  </si>
  <si>
    <t>Garantia de alta disponibilidade e performance da plataforma durante picos de uso
Otimização de custo com uso sob demanda de recursos computacionais
Redução do tempo de resposta e falhas relacionadas à infraestrutura
Ganho de confiança do usuário na estabilidade da aplicação</t>
  </si>
  <si>
    <t>Uptime médio da plataforma &gt; 95,0%
Tempo de resposta médio &lt; 3s em 95% das requisições
Redução de custo por requisição em comparação ao provisionamento fixo
Erro por timeout ou falha de infraestrutura &lt; 5%</t>
  </si>
  <si>
    <t xml:space="preserve">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
</t>
  </si>
  <si>
    <t>Sessões mais estáveis e resilientes, com menos interrupções
Redução de logins repetidos e reconexões frustradas
Melhoria na retenção do contexto de navegação
Conformidade com políticas de privacidade (LGPD, autenticação segura)</t>
  </si>
  <si>
    <t xml:space="preserve"> Diminuição nas falhas de sessão relatadas via suporte
Melhoria no NPS relacionado à experiência de navegação</t>
  </si>
  <si>
    <t>Todos os usuários do IBS 360:
Gestão do Parque
Geocompasso
Scorefy
Radar Imobiliário
CICF, SETA, Folhas, Logística, SISR</t>
  </si>
  <si>
    <t>R2 S2 2025</t>
  </si>
  <si>
    <t>Duração em Sprints (Inicio Desejado x Fim Desejado)</t>
  </si>
  <si>
    <t>ID Tático</t>
  </si>
  <si>
    <t>História</t>
  </si>
  <si>
    <t>ID Estratégico</t>
  </si>
  <si>
    <t>Protótipo Página Inicial</t>
  </si>
  <si>
    <t>Desenvolvimento da Página Inicial</t>
  </si>
  <si>
    <t>AutoScaling - Configuração AWS</t>
  </si>
  <si>
    <t>Desenvolvimento Cookies</t>
  </si>
  <si>
    <t>Redução de Pendência no IUConfia - AutoScaling</t>
  </si>
  <si>
    <t>O IUConfia exige a configuração do AutoScaling para conformidade com padrões internos de governança.</t>
  </si>
  <si>
    <t>IUConfia</t>
  </si>
  <si>
    <t>Redução de não conformidade do IUConfia</t>
  </si>
  <si>
    <t>Redução do percentual de não conformidade técnica do IUConfia</t>
  </si>
  <si>
    <t>Testes Alfa</t>
  </si>
  <si>
    <t>Desenvolvedores do IBS 360</t>
  </si>
  <si>
    <t>- Realização de um conjunto de melhorias, dentre elas:
    - AutoScaling
    - Cookies
    - Otimização do Geocompasso e Frame de Agências
    - Ajuste de rota para páginas que o usuário não possui acesso</t>
  </si>
  <si>
    <t>Testes Beta Aberto com Recrutamento via Formulário</t>
  </si>
  <si>
    <t>Todos os usuários do IBS 360 que se inscreveram através do formulário do Beta Aberto</t>
  </si>
  <si>
    <t>86 inscritos, x usuários acessaram o IBS</t>
  </si>
  <si>
    <t>Pouco engajamento dos usuários nas etapas de inscrição ou teste real.</t>
  </si>
  <si>
    <t>Ajustes Finais do IBS 360 Pós-Alfa e Beta Testes</t>
  </si>
  <si>
    <t>- Melhoria das páginas internas, quando o usuário não possui o acesso, indica qual o acesso ele deve solicitar.
- Inclusão do FAQ</t>
  </si>
  <si>
    <t>Lançamento Oficial</t>
  </si>
  <si>
    <t>Agenda de 1h. Lançamento com a participação de 266 pessoas e um tempo médio de permanência de 42 min</t>
  </si>
  <si>
    <t>📘 Roadmap Estratégico x Roadmap Tático</t>
  </si>
  <si>
    <t>Nível</t>
  </si>
  <si>
    <t>Visão</t>
  </si>
  <si>
    <t>Elemento</t>
  </si>
  <si>
    <t>Descrição</t>
  </si>
  <si>
    <t>Estratégico</t>
  </si>
  <si>
    <t>Longo prazo (trimestres/semestres)</t>
  </si>
  <si>
    <t>Épicos &amp; Iniciativas</t>
  </si>
  <si>
    <t>Agrupam grandes entregas e objetivos de negócio. Ex: "Reduzir custo de manutenção das agências", "Melhorar experiência dos gestores com planejamento de pessoas".</t>
  </si>
  <si>
    <t>Tático</t>
  </si>
  <si>
    <t>Curto prazo (sprints)</t>
  </si>
  <si>
    <t>Histórias de usuário / Features</t>
  </si>
  <si>
    <t>Representam entregas incrementais e testáveis. Ex: "Adicionar notificação de movimentação no app de planejamento", "Criar filtro de agências críticas no Scorefy".</t>
  </si>
  <si>
    <t>Operacional</t>
  </si>
  <si>
    <t>Execução diária</t>
  </si>
  <si>
    <t>Tasks &amp; Bugs</t>
  </si>
  <si>
    <t>Unidades de trabalho concretas e técnicas. Ex: "Criar endpoint para movimentações futuras", "Ajustar query do filtro de reincidência".</t>
  </si>
  <si>
    <t>Visualizar comparativo entre roadmaps</t>
  </si>
  <si>
    <t>🎯 Vantagens dessa abordagem:</t>
  </si>
  <si>
    <r>
      <t>1. Clareza de propósito</t>
    </r>
    <r>
      <rPr>
        <sz val="11"/>
        <color theme="1"/>
        <rFont val="Calibri"/>
        <family val="2"/>
        <scheme val="minor"/>
      </rPr>
      <t xml:space="preserve"> – Ajuda o time a entender como suas entregas se conectam à estratégia do banco.</t>
    </r>
  </si>
  <si>
    <r>
      <t>2. Transparência com stakeholders</t>
    </r>
    <r>
      <rPr>
        <sz val="11"/>
        <color theme="1"/>
        <rFont val="Calibri"/>
        <family val="2"/>
        <scheme val="minor"/>
      </rPr>
      <t xml:space="preserve"> – Permite comunicar valor agregado em níveis diferentes: metas de negócio (épicos), entregas intermediárias (histórias).</t>
    </r>
  </si>
  <si>
    <r>
      <t>3. Melhor priorização</t>
    </r>
    <r>
      <rPr>
        <sz val="11"/>
        <color theme="1"/>
        <rFont val="Calibri"/>
        <family val="2"/>
        <scheme val="minor"/>
      </rPr>
      <t xml:space="preserve"> – Facilita o uso de frameworks como RICE ou Opportunity Solution Tree em nível estratégico, e Story Mapping em nível tático.</t>
    </r>
  </si>
  <si>
    <r>
      <t>4. Governança ágil</t>
    </r>
    <r>
      <rPr>
        <sz val="11"/>
        <color theme="1"/>
        <rFont val="Calibri"/>
        <family val="2"/>
        <scheme val="minor"/>
      </rPr>
      <t xml:space="preserve"> – Combina visão executiva com práticas ágeis na execução (dual track ágil).</t>
    </r>
  </si>
  <si>
    <t>Esteira</t>
  </si>
  <si>
    <t>Etapa</t>
  </si>
  <si>
    <t>Objetivo</t>
  </si>
  <si>
    <t>Frameworks</t>
  </si>
  <si>
    <t>Responsáveis</t>
  </si>
  <si>
    <t>Backlog de Ideias</t>
  </si>
  <si>
    <t>Coletar oportunidades, problemas e insights</t>
  </si>
  <si>
    <t>Opportunity Solution Tree, ICE Score, RICE Framework</t>
  </si>
  <si>
    <t>PM, UX Designer, Dev Team</t>
  </si>
  <si>
    <t>Pesquisa &amp; Benchmark</t>
  </si>
  <si>
    <t>Validar hipóteses com dados e feedbacks</t>
  </si>
  <si>
    <t>JTBD (Jobs-To-Be-Done), Data-Driven Decision Making</t>
  </si>
  <si>
    <t>PM, UX Designer</t>
  </si>
  <si>
    <t>Wireframes &amp; Fluxos</t>
  </si>
  <si>
    <t>Criar estrutura da solução antes de desenvolver</t>
  </si>
  <si>
    <t>Design Thinking, Story Mapping, Crazy 8’s</t>
  </si>
  <si>
    <t>UX/UI Designer, PM</t>
  </si>
  <si>
    <t>Protótipos &amp; Testes</t>
  </si>
  <si>
    <t>Construir protótipos e validar com usuários</t>
  </si>
  <si>
    <t>Design Sprint, Testes de Usabilidade, Card Sorting</t>
  </si>
  <si>
    <t>UX/UI Designer, UX Research</t>
  </si>
  <si>
    <t>Validação Técnica</t>
  </si>
  <si>
    <t>Avaliar viabilidade técnica e riscos</t>
  </si>
  <si>
    <t>Tech Spike, Proof of Concept (PoC), Event Storming</t>
  </si>
  <si>
    <t>Tech Lead, Dev Team</t>
  </si>
  <si>
    <t>Aprovação &amp; Priorização</t>
  </si>
  <si>
    <t>Refinamento final e passagem para desenvolvimento</t>
  </si>
  <si>
    <t>RICE, MoSCoW Prioritization</t>
  </si>
  <si>
    <t>PM, UX Designer, Tech Lead, Dev Team</t>
  </si>
  <si>
    <t>Backlog de Desenvolvimento</t>
  </si>
  <si>
    <t>Organizar e priorizar itens prontos para dev</t>
  </si>
  <si>
    <t>Scrum Backlog Refinement, Kanban</t>
  </si>
  <si>
    <t>PM, Tech Lead, Dev Team</t>
  </si>
  <si>
    <t>Desenvolvimento em Andamento</t>
  </si>
  <si>
    <t>Construir e integrar código com qualidade</t>
  </si>
  <si>
    <t>Test-Driven Development, Pair Programming, CI/CD</t>
  </si>
  <si>
    <t>Dev Team</t>
  </si>
  <si>
    <t>Homologação &amp; Ajustes</t>
  </si>
  <si>
    <t>Validar funcionalidade e corrigir erros</t>
  </si>
  <si>
    <t>Beta Testing, A/B Testing, Exploratory Testing</t>
  </si>
  <si>
    <t>QA, Tech Lead, PM, UX</t>
  </si>
  <si>
    <t>Pronto para Deploy</t>
  </si>
  <si>
    <t>Preparar para lançamento em produção</t>
  </si>
  <si>
    <t>Feature Toggle, Canary Releases, Blue-Green Deployment</t>
  </si>
  <si>
    <t>Tech Lead, DevOps, Dev Team</t>
  </si>
  <si>
    <t>Deploy &amp; Monitoramento</t>
  </si>
  <si>
    <t>Acompanhar impacto e corrigir rapidamente</t>
  </si>
  <si>
    <t>Observability</t>
  </si>
  <si>
    <t>DevOps, Dev Team, Tech Lead, PM, UX</t>
  </si>
  <si>
    <t>Story Points</t>
  </si>
  <si>
    <t>Horas Estimadas</t>
  </si>
  <si>
    <t>Descrição do Esforço</t>
  </si>
  <si>
    <t>Exemplos Práticos no Dia a Dia</t>
  </si>
  <si>
    <t>1 SP</t>
  </si>
  <si>
    <t>1 a 2 horas</t>
  </si>
  <si>
    <t>Tarefa pontual, de ajuste ou correção local.</t>
  </si>
  <si>
    <t>- Corrigir label ou ordenação em gráfico no Streamlit. 
- Alterar nome de coluna em view no Athena.</t>
  </si>
  <si>
    <t>2 SP</t>
  </si>
  <si>
    <t>2 a 4 horas</t>
  </si>
  <si>
    <t>Atividade simples, sem incerteza técnica ou dependência.</t>
  </si>
  <si>
    <t>- Adicionar filtro dropdown no app. 
- Escrever alerta no CloudWatch para função já existente.</t>
  </si>
  <si>
    <t>3 SP</t>
  </si>
  <si>
    <t>4 a 8 horas</t>
  </si>
  <si>
    <t>Demanda com impacto visual ou técnico moderado, mas com escopo bem definido.</t>
  </si>
  <si>
    <t>- Ajustar visualização no frontend com base em nova lógica de negócio. 
- Criar bucket e política simples no S3.</t>
  </si>
  <si>
    <t>5 SP</t>
  </si>
  <si>
    <t>8 a 16 horas</t>
  </si>
  <si>
    <t>Feature de porte médio com lógica e testes. Possível dependência de dados.</t>
  </si>
  <si>
    <t>- Criar nova visualização com múltiplos filtros no Streamlit. 
- Ingerir CSV do S3 no Athena e criar query agregada.</t>
  </si>
  <si>
    <t>8 SP</t>
  </si>
  <si>
    <t>16 a 24 horas</t>
  </si>
  <si>
    <t>Desenvolvimento completo com backend + frontend + validações ou integração AWS.</t>
  </si>
  <si>
    <t>- Desenvolver feature com chamada de API + exibição no frontend. 
- Criar Lambda que processa dados e grava em S3 + CloudWatch Logs.</t>
  </si>
  <si>
    <t>13 SP</t>
  </si>
  <si>
    <t>24 a 40 horas (3-5 d)</t>
  </si>
  <si>
    <t>Arquitetura nova, reestruturação, uso de serviço novo, análise exploratória grande.</t>
  </si>
  <si>
    <t>- Reestruturar modelo analítico para suportar múltiplos dashboards. 
- Implementar CI/CD com GitHub Actions para Streamlit + deploy em EC2 ou container AWS.</t>
  </si>
  <si>
    <t>21 SP</t>
  </si>
  <si>
    <t>&gt; 40 horas (1+ semana)</t>
  </si>
  <si>
    <t>Projeto ou módulo completo. Envolve fatiamento, coordenação e entregas parciais.</t>
  </si>
  <si>
    <t>- Criar dashboard completo com ingestão automatizada de dados, camada de transformação (dbt/Athena), backend e frontend. 
- Criar módulo de exportação de dados com fila SQS + Lambda + API Gateway para orquestração.</t>
  </si>
  <si>
    <t>Pesquisa</t>
  </si>
  <si>
    <t>Pesquisa de Satisfação</t>
  </si>
  <si>
    <t>Todos os usuários do IBS 360:
Gestão do Parque
Geocompasso
Scorefy
Radar Imobiliário
Foco em quem já usou a plataforma</t>
  </si>
  <si>
    <t>CSAT (Likert)</t>
  </si>
  <si>
    <t>Não conseguir implementar a pesquisa dentro do próprio IBS.</t>
  </si>
  <si>
    <t>Tamanho Impacto</t>
  </si>
  <si>
    <t>S1
06/01 à 24/01</t>
  </si>
  <si>
    <t>S2
27/01 à 14/02</t>
  </si>
  <si>
    <t>S3
17/02 à 07/03</t>
  </si>
  <si>
    <t>S4
10/03 à 28/03</t>
  </si>
  <si>
    <t>S1
07/04 à 25/04</t>
  </si>
  <si>
    <t>S2
28/04 à 16/05</t>
  </si>
  <si>
    <t>S3
19/05 à 06/06</t>
  </si>
  <si>
    <t>S4
09/06 à 27/06</t>
  </si>
  <si>
    <t>Etapas Dual Track</t>
  </si>
  <si>
    <t>Esteira + Etapa</t>
  </si>
  <si>
    <t>Delivery - Desenvolvimento em Andamento</t>
  </si>
  <si>
    <t>Delivery - Homologação &amp; Ajustes</t>
  </si>
  <si>
    <t>Delivery - Deploy &amp; Monitoramento</t>
  </si>
  <si>
    <t>Entrega, sem necessidade de monitoramento</t>
  </si>
  <si>
    <t>-</t>
  </si>
  <si>
    <t>Entrega</t>
  </si>
  <si>
    <t>Delivery - Entrega</t>
  </si>
  <si>
    <t>Discovery - Pesquisa &amp; Benchmark</t>
  </si>
  <si>
    <t>Base 360</t>
  </si>
  <si>
    <t>Democratização dos dados</t>
  </si>
  <si>
    <t>Discovery - Protótipos &amp; Testes</t>
  </si>
  <si>
    <t>Métricas de Produto</t>
  </si>
  <si>
    <t>Todos os usuários que desejávamos que estivessem utilizando e os usuários que já estão utilizando.</t>
  </si>
  <si>
    <t>Times de dados precisam dos dados democratizados para uso em seus estudos e produtos de dados.</t>
  </si>
  <si>
    <t>Discovery - Validação Técnica</t>
  </si>
  <si>
    <t>Definição da pesquisa de satisfação</t>
  </si>
  <si>
    <t>Desenvolvimento da pesquisa de satisfação dentro do IBS</t>
  </si>
  <si>
    <t>Discovery - Backlog de Ideias</t>
  </si>
  <si>
    <t>Delivery - Backlog de Desenvolvimento</t>
  </si>
  <si>
    <t>Discovery - Aprovação &amp; Priorização</t>
  </si>
  <si>
    <t>Discovery - Wireframes &amp; Fluxos</t>
  </si>
  <si>
    <t>Base 360 - Democratização dos Dados - Definição Técnica</t>
  </si>
  <si>
    <t>Base 360 - Democratização - Execução</t>
  </si>
  <si>
    <t>Atualização Periódica de Dados de Clientes, Informações Financeiras e Quadro de Funcionários</t>
  </si>
  <si>
    <t>Rótulos de Coluna</t>
  </si>
  <si>
    <t>Total Geral</t>
  </si>
  <si>
    <t>Rótulos de Linha</t>
  </si>
  <si>
    <t>Contagem de ID Tático</t>
  </si>
  <si>
    <t>Contagem de ID</t>
  </si>
  <si>
    <t>Base 360 - Desenho do Fluxo de Dados</t>
  </si>
  <si>
    <t>Atualização da Fonte de Dados da Base de Caixas Eletrônicos Itaú (CEIS)</t>
  </si>
  <si>
    <t>Os dados atuais estão desatualizados, pois buscam de uma base desatualizada.</t>
  </si>
  <si>
    <t>O dado atual (desatualizado), ser utilizado para alguma decisão estratégica.</t>
  </si>
  <si>
    <t>Atualização da Fonte de Dados da Base de Obras</t>
  </si>
  <si>
    <t>Ponto Focal</t>
  </si>
  <si>
    <t>Desenvolvedor 1</t>
  </si>
  <si>
    <t>Desenvolvedor 2</t>
  </si>
  <si>
    <t>Equipe</t>
  </si>
  <si>
    <t>Gui</t>
  </si>
  <si>
    <t>Guto</t>
  </si>
  <si>
    <t>Everton</t>
  </si>
  <si>
    <t>Chris</t>
  </si>
  <si>
    <t>Gabs</t>
  </si>
  <si>
    <t>Ronald</t>
  </si>
  <si>
    <t>Gi</t>
  </si>
  <si>
    <t>Mari</t>
  </si>
  <si>
    <t>Triz</t>
  </si>
  <si>
    <t>Naiara</t>
  </si>
  <si>
    <t>Izadora</t>
  </si>
  <si>
    <t>Time Murillo</t>
  </si>
  <si>
    <t>Time Advanced</t>
  </si>
  <si>
    <t>Outros</t>
  </si>
  <si>
    <t>Andrea</t>
  </si>
  <si>
    <t>Todos SCD</t>
  </si>
  <si>
    <t>TechLead Atuante</t>
  </si>
  <si>
    <t>Designer Atuante</t>
  </si>
  <si>
    <t>Cálculo de Distância entre Agências</t>
  </si>
  <si>
    <t>Cálculo de Distância</t>
  </si>
  <si>
    <t>Usamos o Dual Track?</t>
  </si>
  <si>
    <t>Dual Track</t>
  </si>
  <si>
    <t>Fizemos pesquisa com o usuário?</t>
  </si>
  <si>
    <t>Fizemos protótipo?</t>
  </si>
  <si>
    <t>Não</t>
  </si>
  <si>
    <t>Sim</t>
  </si>
  <si>
    <t>Não se aplica</t>
  </si>
  <si>
    <t>Técnica de Pesquisa</t>
  </si>
  <si>
    <t>Card Sorting</t>
  </si>
  <si>
    <t>Reach</t>
  </si>
  <si>
    <t>Impact</t>
  </si>
  <si>
    <t>Confidence</t>
  </si>
  <si>
    <t>Effort</t>
  </si>
  <si>
    <t>Observações</t>
  </si>
  <si>
    <t>Discovery Geocompasso</t>
  </si>
  <si>
    <t>Necessidade de saber com exatidão qual a distância entre duas ou mais agências.</t>
  </si>
  <si>
    <t>SQUAD Estratégia de Ocupação, Folhas.</t>
  </si>
  <si>
    <t>Novo Geocompasso com Visualização Aprimorada, Filtros Otimizados e Cálculo de Distância</t>
  </si>
  <si>
    <t>Lançamento Radar Imobiliário na QE6</t>
  </si>
  <si>
    <t>Transposição do Radar Imobiliário para a QE6</t>
  </si>
  <si>
    <t>GPT Enterprise</t>
  </si>
  <si>
    <t>Público que utiliza o Score de Agências</t>
  </si>
  <si>
    <t>GPT Enterprise (Usuário Guto)</t>
  </si>
  <si>
    <t>Score Insight</t>
  </si>
  <si>
    <t>R1 S1 2025</t>
  </si>
  <si>
    <t>R2 S3 2025</t>
  </si>
  <si>
    <t>R2 S4 2025</t>
  </si>
  <si>
    <t>Outcome (Benefício Quantitativo)</t>
  </si>
  <si>
    <t>R$ 213MM (SQUAD Estratégia de Ocupação)</t>
  </si>
  <si>
    <t>R$ 50MM e 360hrs/ano desoneradas, quando o conjunto de produtos de inteligência imobiliária (do qual o Radar Imobiliário faz parte) ser entregue</t>
  </si>
  <si>
    <t>R3 S2 2025</t>
  </si>
  <si>
    <t>Book Wave</t>
  </si>
  <si>
    <t>Transposição de código do Radar Imobiliário para o IBS em Produção na Sigla QE6</t>
  </si>
  <si>
    <t>Governança Atuante</t>
  </si>
  <si>
    <t>Score Insight - GPT Enterprise</t>
  </si>
  <si>
    <t>Score Insight - Envolvimento Time Clarissa</t>
  </si>
  <si>
    <t>Todos os usuários do IBS, com ênfase nos usuários do Score de Agências.</t>
  </si>
  <si>
    <t>Obter os principais insights sobre as agências de forma rápida</t>
  </si>
  <si>
    <t>Dependência da priorização com time de Advanced Analytics - Clarissa</t>
  </si>
  <si>
    <t>IBS 360 - Integração com Hórus 3.0</t>
  </si>
  <si>
    <t>Hórus 3.0 -  Desenho de Arquitetura</t>
  </si>
  <si>
    <t>Hórus 3.0 - MVP Streamlit</t>
  </si>
  <si>
    <t>Necessidade de expandir a busca por imóveis para qualquer endereço/cep, além da busca por agências, já existente no Hórus 1.0</t>
  </si>
  <si>
    <t>SETA - GPA</t>
  </si>
  <si>
    <t>Radar Imobiliário - Testes Unitários</t>
  </si>
  <si>
    <t>Inicialmente: SETA - GPA.
Futuro: Possível escalar para IGA e Garantias.</t>
  </si>
  <si>
    <t>Discovery - Com impedimentos</t>
  </si>
  <si>
    <t>Soluções Cross Dados - Roadmap Estratégico</t>
  </si>
  <si>
    <t>Soluções Cross Dados - Roadmap Tático</t>
  </si>
  <si>
    <t>Soluções Cross Dados - Sprint Goals</t>
  </si>
  <si>
    <t>Release/Sprint</t>
  </si>
  <si>
    <t>Métricas de Sucesso</t>
  </si>
  <si>
    <t>OKR - Saúde das Agências</t>
  </si>
  <si>
    <t>Fornecimento do OKR da Comunidade</t>
  </si>
  <si>
    <t>CICF - OKR: Saúde das Agências</t>
  </si>
  <si>
    <t>Reduzir o percentual de agências críticas em relação à disponibilidade</t>
  </si>
  <si>
    <t>Planejamento de Negociação - Criação Arquitetura na AWS</t>
  </si>
  <si>
    <t>Planejamento de Negociação - Desenho de Arquitetura</t>
  </si>
  <si>
    <t>Planejamento de Negociação - Front End</t>
  </si>
  <si>
    <t>Dependência dos dados democratizados pelo ETL 1 (Murillo) para que o FrontEnd utilize dados reais. O desenvolvimento será feito usando uma batch local.</t>
  </si>
  <si>
    <t>Time de Produtos - SCD</t>
  </si>
  <si>
    <t>Estruturação de Logs - Código</t>
  </si>
  <si>
    <t>Reincidência</t>
  </si>
  <si>
    <t>Recorrência de Agências Críticas</t>
  </si>
  <si>
    <t>Visão limitada ao momento atual: O Score de Agências mostra apenas o status da semana corrente, sem histórico contextualizado.
Dificuldade em diferenciar casos pontuais de problemas crônicos: Gestores tratam agências críticas da mesma forma, sem saber se é uma recorrência ou um caso isolado.
Priorização ineficiente: Falta de visibilidade sobre a persistência das agências críticas pode levar à alocação errada de esforços.</t>
  </si>
  <si>
    <t>Todos os usuários do Score de Agências</t>
  </si>
  <si>
    <t>Decisões mais inteligentes e proativas baseadas em recorrência, não apenas no status da semana.</t>
  </si>
  <si>
    <t>% de usuários que consideram útil a funcionalidade após sessões de validação (meta &gt; 80%).
Número de decisões documentadas (ações ou priorizações) baseadas na nova funcionalidade.</t>
  </si>
  <si>
    <t>Sobrecarga de informações no painel, tornando a experiência confusa.
Percepção de "entrega incompleta" caso a janela fixa de 3 semanas seja vista como insuficiente, sem um roadmap claro para evolução.</t>
  </si>
  <si>
    <t>Entrega Esperada (Output)</t>
  </si>
  <si>
    <t>Status da Entrega</t>
  </si>
  <si>
    <t>Data Quality</t>
  </si>
  <si>
    <t>Mapeamento Fontes de Dados - Base 360</t>
  </si>
  <si>
    <t>Execução do Data Quality</t>
  </si>
  <si>
    <t>Risco de atualização da Base 360 com dados corrompidos ou incompletos.
Ausência de uma etapa formal e automática de verificação da qualidade das fontes.
Baixa rastreabilidade das falhas em fontes que impactam o consumo da base.
Dependência de validações manuais, sujeitas a erro ou esquecimento.
Impacto na confiança e credibilidade da Base 360, o que pode comprometer decisões baseadas nesses dados.</t>
  </si>
  <si>
    <t>Todos os usuários do IBS 360</t>
  </si>
  <si>
    <t>Maior segurança e confiança nos dados da Base 360 por parte das áreas consumidoras.
Melhoria na governança e rastreabilidade, com logs claros sobre falhas e bloqueios.
Fortalecimento da Base 360 como referência confiável, consolidando sua adoção no banco.</t>
  </si>
  <si>
    <t>Regras de validação mal definidas podem gerar falsos positivos e impedir ingestões válidas.</t>
  </si>
  <si>
    <t>Feriados</t>
  </si>
  <si>
    <t>Data</t>
  </si>
  <si>
    <t>Dia</t>
  </si>
  <si>
    <t>Release - Sprint</t>
  </si>
  <si>
    <t>#</t>
  </si>
  <si>
    <t>Inicio</t>
  </si>
  <si>
    <t>Fim</t>
  </si>
  <si>
    <t>Dias</t>
  </si>
  <si>
    <t>% Feito</t>
  </si>
  <si>
    <t>Base 360 - Data Quality - Impedir atualizar dados problemáticos</t>
  </si>
  <si>
    <t>Ronald (F), Everton (F), Nai (30% P)</t>
  </si>
  <si>
    <t>Radar Imobiliário disponível na QE6 - Homolog</t>
  </si>
  <si>
    <t>Chris (F), Gabs (P)</t>
  </si>
  <si>
    <t>Separação dos Outputs da Base 360 em Ambientes Dev, Homologação e Produção</t>
  </si>
  <si>
    <t>Risco de publicação acidental de dados não validados, que podem ser consumidos como se estivessem prontos para produção.
Dificuldade em garantir a integridade e segurança dos dados consumidos por áreas de negócio.</t>
  </si>
  <si>
    <t>Radar Imobiliário estável na QE6 - Homolog</t>
  </si>
  <si>
    <t>Desenvolvedores do IBS</t>
  </si>
  <si>
    <t>Definition of Done</t>
  </si>
  <si>
    <t>IDS Estratégicos</t>
  </si>
  <si>
    <t>Quicksight</t>
  </si>
  <si>
    <t>Reincidência de Agências Críticas</t>
  </si>
  <si>
    <t>29, 30</t>
  </si>
  <si>
    <t>Duração da Sprint (Semanas)</t>
  </si>
  <si>
    <t>Data de inicio da Sprint:</t>
  </si>
  <si>
    <t>Release Planning (Dias)</t>
  </si>
  <si>
    <t>Sprints</t>
  </si>
  <si>
    <t>Start</t>
  </si>
  <si>
    <t>End</t>
  </si>
  <si>
    <t>Base 360 - Democratização</t>
  </si>
  <si>
    <t>Base 360 - Rodando sem internveção manual</t>
  </si>
  <si>
    <t>Desenvolvedor 3</t>
  </si>
  <si>
    <t>Desenvolvedores (Adicionais)</t>
  </si>
  <si>
    <t>Soluções para melhorar a identificação de agências críticas</t>
  </si>
  <si>
    <t>Dependência de exportação para Excel para realizar filtros e cálculos básicos.
Dificuldade em identificar rapidamente agências críticas dentro da própria plataforma.
Retrabalho recorrente para calcular representatividade de agências críticas sobre o total.
Perda de tempo operacional, reduzindo a eficiência do time.
Desmotivação de uso da plataforma, por não resolver o problema ponta-a-ponta.</t>
  </si>
  <si>
    <t>Do Delivery desejado:
% de usuários que declaram conseguir realizar as análises diretamente na plataforma (meta &gt; 80% após entregas futuras).
Redução do número de exportações para Excel (medido por analytics da plataforma).
% de usuários que declaram conseguir realizar as análises diretamente na plataforma (meta &gt; 80% após entregas futuras).
Redução do número de exportações para Excel (medido por analytics da plataforma).
Quantidade de sessões de discovery realizadas e número de participantes engajados.
Número de ideias priorizadas e documentadas para o backlog.
Tempo médio de execução das análises diretamente na plataforma (pós-implementação das soluções).
Do Discovery:
Quantidade de sessões de discovery realizadas e número de participantes engajados.
Número de ideias priorizadas e documentadas para o backlog.</t>
  </si>
  <si>
    <t>Do Delivery desejado:
Melhor experiência do usuário, com menos etapas para chegar ao insight desejado.
Maior fluidez na análise, sem necessidade de ferramentas externas.
Fortalecimento da percepção da plataforma como ferramenta estratégica e completa.
Do Discovery:
Aproximação do time técnico das dores reais dos usuários, gerando maior empatia e foco em valor.
Engajamento dos usuários nas definições do produto, aumentando a aderência das futuras entregas.</t>
  </si>
  <si>
    <t>CICF: 3.1 Saúde das Agências</t>
  </si>
  <si>
    <t>Soluções para melhorar a identificação de agências críticas - Realização de sessão de Discovery (BrainStorm + Prioritization Idea)</t>
  </si>
  <si>
    <t>Soluções para melhorar a identificação de agências críticas -  Delivery</t>
  </si>
  <si>
    <t>16, 17</t>
  </si>
  <si>
    <t>Times de Dados que utilizam dados de Agências</t>
  </si>
  <si>
    <t>Baixa participação ou representatividade de usuários nas sessões de discovery, comprometendo a validade do diagnóstico.
Expectativas elevadas criadas nos usuários durante o discovery, que podem gerar frustração se as soluções demorarem a ser entregues.
Risco de o discovery gerar apenas soluções inviáveis ou com baixo impacto real.</t>
  </si>
  <si>
    <t>Descobrir que o problema é mais complexo do que aparenta, exigindo soluções técnicas pesadas ou com alto esforço.</t>
  </si>
  <si>
    <t>Andrea, Time SCD</t>
  </si>
  <si>
    <t>Base 360 reconhecida como referência única e confiável de dados de agências no banco.
Melhor experiência para squads consumidoras, com acesso seguro e direto aos dados.
Fortalecimento da cultura de dados e da colaboração entre áreas técnicas e de negócio.
Maior transparência sobre o uso da base, promovendo controle e confiança na governança.
Redução da fragmentação dos dados de agências em diferentes repositórios não oficiais.</t>
  </si>
  <si>
    <t>Número de squads com acesso formalizado à Base 360.
Aumento na quantidade de consultas à Base 360 em ambiente compartilhado.
Redução do número de bases paralelas mapeadas nos times de negócio.
% de feedbacks positivos sobre facilidade de acesso e integração (meta &gt; 80% dos primeiros usuários).</t>
  </si>
  <si>
    <t>Métricas de Adoção
✅ Nº de squads com acesso ativo à Base 360 no ambiente compartilhado (meta: pelo menos 5 squads no primeiro trimestre após liberação).
Métricas de Valor Percebido
✅ % de feedbacks positivos em fóruns ou pesquisas internas sobre o valor e facilidade de acesso da base (meta: &gt; 80%).
✅ Número de casos de uso documentados por squads que passaram a utilizar a Base 360 em análises ou produtos (meta: pelo menos 3 casos documentados no primeiro ciclo).
Métricas de Governança e Segurança
✅ 100% dos dados sensíveis protegidos por regras específicas de acesso, validadas em testes controlados.
✅ Registro e auditoria de acessos controlados, demonstrando conformidade com políticas do banco.
Métricas de Eficiência Operacional
✅ Redução na quantidade de bases paralelas identificadas nas squads (meta: eliminação de pelo menos 2 repositórios paralelos no primeiro ciclo).</t>
  </si>
  <si>
    <t>% de tabelas cobertas por regras de qualidade formalizadas.
Aumento da taxa de ingestões bem-sucedidas na primeira tentativa.
Redução do número de incidentes reportados pelas áreas consumidoras.
Número de logs gerados por execução, garantindo rastreabilidade completa.
Tempo médio para correção de fontes bloqueadas reduzido após o monitoramento estruturado.</t>
  </si>
  <si>
    <t>Governança e Rastreabilidade
✅ Cobertura de 100% das tabelas prioritárias com regras de validação implementadas.
✅ 100% das execuções gerando logs estruturados, documentando o resultado de cada validação.
✅ Logs disponíveis em ambiente monitorado (ex: CloudWatch) para consulta e auditoria.
Efetividade da Qualidade
✅ % de ingestões validadas com sucesso na primeira tentativa (meta &gt; 90% após estabilização das regras).
✅ Número de bloqueios por não conformidade, com análise da evolução mês a mês.
Impacto no Consumo da Base
✅ % de feedbacks positivos das áreas consumidoras sobre a confiança nos dados (meta &gt; 80%).
✅ Redução no número de retrabalhos e reprocessamentos identificados (meta de redução contínua).
Eficiência Operacional
✅ Tempo médio de execução do processo de validação compatível com o SLA da base (meta definida conforme o ciclo de atualização).</t>
  </si>
  <si>
    <t>Baixo engajamento das áreas produtoras para revisar regras críticas
Equívocos na priorização das regras mais críticas, gerando foco excessivo em validações de pouco impacto</t>
  </si>
  <si>
    <t>Fontes com alta taxa de falhas, gerando bloqueios frequentes e sobrecarga no time de suporte
Performance degradada caso o processo de validação aumente o tempo total do pipeline
Dependência da infraestrutura de monitoramento (ex: CloudWatch) estar configurada corretamente</t>
  </si>
  <si>
    <t>Legado Sigla DE0:
O Radar ainda opera em ambiente legado, fora da arquitetura oficial do IBS 360.
Testes Unitários:
Parte do código não possui testes unitários, comprometendo a qualidade e estabilidade do produto.
Cobertura abaixo de 90% impede passagem fluida pela esteira de CI/CD.
Funções críticas não testadas geram risco elevado de falhas em produção.
Débito técnico herdado da squad anterior com limitação técnica.
Melhorias de Usabilidade:
Lentidão na leitura dos dados, prejudicando a usabilidade e experiência dos usuários finais.</t>
  </si>
  <si>
    <t>Estabilidade operacional e previsibilidade, com o produto rodando na arquitetura oficial.
Usabilidade aprimorada com redução de tempo de carregamento e travamentos.
Redução dos atritos técnicos, com pipelines padronizados e infraestrutura robusta.
Abertura para futuras evoluções integradas ao IBS 360, como conexão com Scorefy, Compasso, etc.</t>
  </si>
  <si>
    <t>✅ Tempo de carregamento de dados reduzido em ao menos 40%
✅ Nenhum incidente crítico de acesso ou falha funcional após transposição
✅ ≥ 95,0% de disponibilidade monitorada via logs e métricas
✅ Redução dos chamados relacionados a lentidão ou erros técnicos</t>
  </si>
  <si>
    <t>Meta Wave - Produto:
R$ 50MM e 360hrs/ano desoneradas, quando o conjunto de produtos de inteligência imobiliária (do qual o Radar Imobiliário faz parte) ser entregue.
Meta entrega:
Módulos de Pesquisa Inteligente e Painel de Agências publicados com sucesso na QE6
Aumento do percentual das funcionalidades com rastreabilidade ativa (logs, métricas, alertas)
Redução no tempo médio de carregamento dos dados no Radar (meta: melhoria ≥ 40%).
Redução dos incidentes técnicos reportados pelos usuários (meta: -80% no trimestre após deploy).
Disponibilidade ≥ 95,0% no ambiente QE6 após estabilização.
Aumento na taxa de uso do Radar dentro da plataforma IBS 360 (meta: +20%).</t>
  </si>
  <si>
    <t>Migração sem melhorias pode frustrar expectativas dos usuários quanto à performance	
Lentidão atual pode persistir se não houver ajustes estruturais na arquitetura de leitura
Migração sem melhorias pode frustrar expectativas dos usuários quanto à performance</t>
  </si>
  <si>
    <t>Legado Sigla DE0:
O Radar ainda opera em ambiente legado, fora da arquitetura oficial do IBS 360.
Testes Unitários:
Parte do código não possui testes unitários, comprometendo a qualidade e estabilidade do produto.
Cobertura abaixo de 90% impede passagem fluida pela esteira de CI/CD.
Funções críticas não testadas geram risco elevado de falhas em produção.
Débito técnico herdado da squad anterior com limitação técnica.</t>
  </si>
  <si>
    <t>Legado Sigla DE0:
O Radar ainda opera em ambiente legado, fora da arquitetura oficial do IBS 360.
Melhorias de Usabilidade:
Lentidão na leitura dos dados, prejudicando a usabilidade e experiência dos usuários finais.</t>
  </si>
  <si>
    <t>Meta Wave - Produto:
R$ 50MM e 360hrs/ano desoneradas, quando o conjunto de produtos de inteligência imobiliária (do qual o Radar Imobiliário faz parte) ser entregue.
Meta entrega:
Módulos de Pesquisa Inteligente e Painel de Agências publicados com sucesso na QE6
Aumento do percentual das funcionalidades com rastreabilidade ativa (logs, métricas, alertas)
Redução dos incidentes técnicos reportados pelos usuários (meta: -80% no trimestre após deploy).</t>
  </si>
  <si>
    <t>✅ Nenhum incidente crítico de acesso ou falha funcional após transposição
✅ ≥ 95,0% de disponibilidade monitorada via logs e métricas
✅ Redução dos chamados relacionados a lentidão ou erros técnicos</t>
  </si>
  <si>
    <t>Migração sem melhorias pode frustrar expectativas dos usuários quanto à performance</t>
  </si>
  <si>
    <t>12, 13</t>
  </si>
  <si>
    <t>Histórias por Track</t>
  </si>
  <si>
    <t>(Tudo)</t>
  </si>
  <si>
    <t>1. Para acompanhamento Estratégico: Produtos e suas Iniciativas</t>
  </si>
  <si>
    <t>2. Para acompanhamento das Histórias e os responsáveis que estão atuando nelas</t>
  </si>
  <si>
    <t>3. Para visualizar os Sprint Goals</t>
  </si>
  <si>
    <t>5. Para as discussões de priorização</t>
  </si>
  <si>
    <t>[Delivery] Base 360 - Data Quality</t>
  </si>
  <si>
    <t>Aumento da taxa de ingestões bem-sucedidas na primeira tentativa.
Redução do número de incidentes reportados pelas áreas consumidoras.
Redução do tempo médio para correção de fontes bloqueadas reduzido após o monitoramento estruturado.</t>
  </si>
  <si>
    <t>[Delivery] Base 360 - Democratização de Dados</t>
  </si>
  <si>
    <t>Base 360 reconhecida como referência  confiável de dados de agências no banco.
Melhor experiência para squads consumidoras, com acesso seguro e direto aos dados.
Fortalecimento da cultura de dados e da colaboração entre áreas técnicas e de negócio.
Maior transparência sobre o uso da base, promovendo controle e confiança na governança.
Redução da fragmentação dos dados de agências em diferentes repositórios não oficiais.</t>
  </si>
  <si>
    <t>Aumento na quantidade de consultas à Base 360 em ambiente compartilhado.
Redução do número de bases paralelas mapeadas nos times de negócio.</t>
  </si>
  <si>
    <t>[Delivery] Transposição do Radar Imobiliário para a QE6</t>
  </si>
  <si>
    <t>27, 28</t>
  </si>
  <si>
    <t>[Delivery/Discovery] Pesquisa de Satisfação</t>
  </si>
  <si>
    <t>Melhor alinhamento entre produto e voz do usuário, com feedbacks capturados no momento certo.
Maior aceitação da pesquisa de satisfação, por meio de abordagens inteligentes.
Aumento da legitimidade das decisões de evolução da plataforma, com base em percepções reais.
Cultura de melhoria contínua orientada por evidências e não suposições.</t>
  </si>
  <si>
    <t>Ausência de canal contínuo e estruturado para escuta ativa dos usuários da plataforma.
Dificuldade em captar feedbacks acionáveis com qualidade e volume suficientes.
Risco de baixa taxa de resposta se o formato e momento de exibição forem mal calibrados.
Possível rejeição do usuário se a pesquisa for percebida como intrusiva ou repetitiva.</t>
  </si>
  <si>
    <t>CSAT (Likert)
Taxa de resposta esperada: 40%
Meta ambiciosa (best case): 50% a 60%
Mínimo aceitável (baseline): 20%</t>
  </si>
  <si>
    <t>Aumento significativo da base de usuários que ativamente fornecem feedback sobre o IBS 360, por meio da integração da pesquisa de satisfação dentro da jornada da plataforma.</t>
  </si>
  <si>
    <t xml:space="preserve">Não conseguir implementar a pesquisa dentro do próprio IBS.
Problemas no armazenamento e rastreabilidade das respostas (ex: perda de UUID)	
Dependência da infraestrutura de backend (especialmente banco de dados) para receber e armazenar os dados da pesquisa	</t>
  </si>
  <si>
    <t>[Delivery] Reincidência de Agências Críticas</t>
  </si>
  <si>
    <t>Canal Único de Ocorrências</t>
  </si>
  <si>
    <t>Entrevista Exploratória</t>
  </si>
  <si>
    <t>Automatização da Atualização da Dashboard no QuickSight</t>
  </si>
  <si>
    <t>R3 S1 2025</t>
  </si>
  <si>
    <t>O processo atual de atualização manual da dashboard consome tempo e está sujeito a erro humano.
Inconsistência nos horários de atualização gera desconfiança nos dados.
O time de produto depende de intervenção técnica recorrente para manter o painel atualizado.</t>
  </si>
  <si>
    <t>SCD - Time de Produtos</t>
  </si>
  <si>
    <t>Maior confiabilidade dos dados apresentados no dashboard, fortalecendo a tomada de decisão.
Eficiência operacional, com menor dependência de tarefas manuais.</t>
  </si>
  <si>
    <t>% de execuções automáticas bem-sucedidas: ≥ 98% por semana
Tempo de esforço manual reduzido a 0</t>
  </si>
  <si>
    <t>Falha na execução do Glue ou na consulta do Athena, causando dados desatualizados no painel</t>
  </si>
  <si>
    <t>Os logs da plataforma estão armazenados, mas não são exploráveis analiticamente de forma estruturada.
Falta de visibilidade sobre o comportamento do usuário, erros recorrentes e fluxo de uso.
Decisões de produto ainda são pouco embasadas em evidências extraídas de logs.
A ausência de uma camada analítica sobre logs dificulta a detecção proativa de falhas e oportunidades.</t>
  </si>
  <si>
    <t>Capacidade de analisar jornadas e interações dos usuários com base em dados reais.
Maior rastreabilidade de erros e eventos críticos, com insights acionáveis.
Fortalecimento da governança analítica da plataforma.
Empoderamento de times de produto, engenharia e design com dados para decisões mais rápidas e precisas.
Relação direta entre logs de navegação e hipóteses de melhoria da experiência do usuário.</t>
  </si>
  <si>
    <t>Transformação de logs técnicos em dados analíticos com rastreabilidade e valor estratégico para o produto:
≥ 5 hipóteses validadas com base em padrões de uso e fricções visíveis nos logs no primeiro trimestre.</t>
  </si>
  <si>
    <t>Redução de esforço operacional e aumento da frequência e estabilidade das atualizações dos dados:
% de redução da necessidade de atualização manual, com processos automatizados via Glue + Athena.
✅ Dados atualizados ao menos 1 vez por dia útil.
✅ Redução do percentual de mensagens pedindo atualização manual.</t>
  </si>
  <si>
    <t>Schema dos logs pode ser inconsistente entre serviços ou versões antigas do código</t>
  </si>
  <si>
    <t>(vazio)</t>
  </si>
  <si>
    <t>Adequação dos Logs do IBS 360</t>
  </si>
  <si>
    <t>Quicksight - Adequação dos Logs do IBS 360</t>
  </si>
  <si>
    <t>Quicksight - Automatização da Atualização da Dashboard no QuickSight</t>
  </si>
  <si>
    <t>4. Roadmap - Visão Timeline</t>
  </si>
  <si>
    <t>Finalizada de cada aba do arquivo</t>
  </si>
  <si>
    <t>Score de Agências - Performance</t>
  </si>
  <si>
    <t>Estrutura</t>
  </si>
  <si>
    <t>Quantidade de pessoas</t>
  </si>
  <si>
    <t>SETA - GIMEA</t>
  </si>
  <si>
    <t>Liderança</t>
  </si>
  <si>
    <t>Jackeline de Caldas Horta</t>
  </si>
  <si>
    <t>Barbara Vizentin Goncalves</t>
  </si>
  <si>
    <t>CICF - RT Dados &amp; Numerário - Analytics AutoAtendimento</t>
  </si>
  <si>
    <t>CICF - RT Dados &amp; Numerário - Planejamento e Governança</t>
  </si>
  <si>
    <t>Leandro Urbinati</t>
  </si>
  <si>
    <t>Leandro Paixão Petruccelli</t>
  </si>
  <si>
    <t>CICF - RT Dados &amp; Numerário - Analytics Ab E Segurança</t>
  </si>
  <si>
    <t>CICF - Infra E Agencias - Gestão de Controle do K7 Cei</t>
  </si>
  <si>
    <t>Karen Roberta Real</t>
  </si>
  <si>
    <t>CICF - Infra E Agencias - Usabilidade e Navegação Cei</t>
  </si>
  <si>
    <t>CICF - Infra E Agencias - Integração Física e Lógica</t>
  </si>
  <si>
    <t>CICF - Infra E Agencias - Otimização Operacional Cei e Tecban</t>
  </si>
  <si>
    <t>CICF - Infra E Agencias - Plataforma e Controle Ab</t>
  </si>
  <si>
    <t>Mariana dos Santos Rodrigues</t>
  </si>
  <si>
    <t>CICF - Infra E Agencias - Soluções Ab</t>
  </si>
  <si>
    <t>CICF - Infra E Agencias - Solucoes para Gestão de Ativos</t>
  </si>
  <si>
    <t>CICF - Infra E Agencias - Workflows Aa e Ab</t>
  </si>
  <si>
    <t>Score de Agências - EcoEficiência</t>
  </si>
  <si>
    <t>SETA - ESG</t>
  </si>
  <si>
    <t>Raquel de Abreu Pereira Uhr</t>
  </si>
  <si>
    <t>Aprimoramento de usabilidade</t>
  </si>
  <si>
    <t>Performance &amp; EcoEficiência</t>
  </si>
  <si>
    <t>Cost of Delay</t>
  </si>
  <si>
    <t>Score Final</t>
  </si>
  <si>
    <t>Canal Único de Ocorrências - Manutenção Infra Civil</t>
  </si>
  <si>
    <t>SETA - Gerência de Operação Infra de Agências</t>
  </si>
  <si>
    <t>Marcos Della Barba</t>
  </si>
  <si>
    <t>SETA - Gerência Gestão e Planejamento Ops</t>
  </si>
  <si>
    <t>Mariana Rufino de Andrade</t>
  </si>
  <si>
    <t>Pieri Ferri</t>
  </si>
  <si>
    <t>Manutenção - Infra Civil</t>
  </si>
  <si>
    <t>MVP do Painel para visualização das ocorrências de manutenção - Infra Civil</t>
  </si>
  <si>
    <t>Bruno Mokarzel</t>
  </si>
  <si>
    <t>CICF - Infra E Agencias - Workflow Infra e Segurança</t>
  </si>
  <si>
    <t>Integração com o modelo</t>
  </si>
  <si>
    <t>Iniciar MVP utilizando a proposta aprovada em arquitetura AWS, integrando com modelo de Advanced Analytics</t>
  </si>
  <si>
    <t>Eugenio Antonio Comparini Neto</t>
  </si>
  <si>
    <t>Murillo Henrique Mendes Bezerra</t>
  </si>
  <si>
    <t>CICF - RT Dados &amp; Numerário - Analytics Patrimônio, Regulatório e Parcediro</t>
  </si>
  <si>
    <t>Projeto</t>
  </si>
  <si>
    <t>Quantidade de colaboradores</t>
  </si>
  <si>
    <t>Esforço</t>
  </si>
  <si>
    <t>Cargo</t>
  </si>
  <si>
    <t>Estagiário(a)</t>
  </si>
  <si>
    <t>Analista</t>
  </si>
  <si>
    <t>Nível de Esforço de cada colaborador</t>
  </si>
  <si>
    <t>Médio: até 1 sprint</t>
  </si>
  <si>
    <t>Esforço Numérico</t>
  </si>
  <si>
    <t>Muito baixo: &lt; 3 dias de uma pessoa</t>
  </si>
  <si>
    <t>Baixo: até 1 semana de uma pessoa</t>
  </si>
  <si>
    <t>Alto: até 2 sprints</t>
  </si>
  <si>
    <t>Product Designer</t>
  </si>
  <si>
    <t>Elevado: até 3 sprints</t>
  </si>
  <si>
    <t>Muito Elevado: até 4 sprints</t>
  </si>
  <si>
    <t>TechLead</t>
  </si>
  <si>
    <t>Governança</t>
  </si>
  <si>
    <t>Duplicar Esforço por</t>
  </si>
  <si>
    <t xml:space="preserve">COPF - Gestão de Ativos </t>
  </si>
  <si>
    <t>MVP do Painel para visualização das ocorrências de ativos obtidas do ItaúMon.</t>
  </si>
  <si>
    <t>Desenvolvedor Adicionais</t>
  </si>
  <si>
    <t>Chris, Mari</t>
  </si>
  <si>
    <t>Acompanhamento de Esteiras</t>
  </si>
  <si>
    <t>AWSCloudBridge</t>
  </si>
  <si>
    <t>Alocação - R2 S4 2025</t>
  </si>
  <si>
    <t>Alocação - R3 S1 2025</t>
  </si>
  <si>
    <t>Alocação - R3 S2 2025</t>
  </si>
  <si>
    <t>Outputs</t>
  </si>
  <si>
    <t>Base 360 - Redução de Manualidades</t>
  </si>
  <si>
    <t>Inicio do Desenvolvimento do FrontEnd</t>
  </si>
  <si>
    <t>Incrementos do produto com baixa/média complexidade</t>
  </si>
  <si>
    <t>Continuação da transposição até a QE6</t>
  </si>
  <si>
    <t>Continuação do desenvolvimento do backend</t>
  </si>
  <si>
    <t>Renúncia pelo time de Advanced (Impedimento Arquitetura)</t>
  </si>
  <si>
    <t>BAU Base 360</t>
  </si>
  <si>
    <t>Finalização do FrontEnd</t>
  </si>
  <si>
    <t>BAU Score Eco, BAU Score Performance. Incrementar novas melhorias.</t>
  </si>
  <si>
    <t>Desenvolvimento</t>
  </si>
  <si>
    <t>Inicio do desenvolvimento (BackEnd e FrontEnd)</t>
  </si>
  <si>
    <t>Melhorias Visuais. Adição de novas métricas.</t>
  </si>
  <si>
    <t>Melhorias incrementais no produto</t>
  </si>
  <si>
    <t>Alocação - R3 S3 2025</t>
  </si>
  <si>
    <t>Acompanhamento do que já está entregue</t>
  </si>
  <si>
    <t xml:space="preserve">BAU Score Eco, BAU Score Performance. Incrementar novas melhorias. </t>
  </si>
  <si>
    <t>Alocação - R3 S4 2025</t>
  </si>
  <si>
    <t>Homologação com o cliente</t>
  </si>
  <si>
    <t>Alocação - R4 S1 2025</t>
  </si>
  <si>
    <t>Colocar o produto em produção</t>
  </si>
  <si>
    <t>Versão AWS</t>
  </si>
  <si>
    <t>OKR Alignment</t>
  </si>
  <si>
    <t>RICE Adaptado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</si>
</sst>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409]d\-mmm\-yy;@"/>
    <numFmt numFmtId="165" formatCode="yyyy"/>
    <numFmt numFmtId="166" formatCode="mmm"/>
    <numFmt numFmtId="167" formatCode="dd\-mmm\-yy"/>
    <numFmt numFmtId="168" formatCode="d\ mmm"/>
    <numFmt numFmtId="169" formatCode="0.0"/>
  </numFmts>
  <fonts count="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4"/>
      <color rgb="FFFF6200"/>
      <name val="Calibri"/>
      <family val="2"/>
      <scheme val="minor"/>
    </font>
    <font>
      <u/>
      <sz val="12"/>
      <color rgb="FF000D3C"/>
      <name val="Calibri"/>
      <family val="2"/>
      <scheme val="minor"/>
    </font>
    <font>
      <b/>
      <sz val="12"/>
      <color theme="0"/>
      <name val="Calibri"/>
      <family val="2"/>
      <scheme val="minor"/>
    </font>
    <font>
      <b/>
      <sz val="12"/>
      <color theme="1"/>
      <name val="Calibri"/>
      <family val="2"/>
      <scheme val="minor"/>
    </font>
    <font>
      <u/>
      <sz val="11"/>
      <color theme="10"/>
      <name val="Calibri"/>
      <family val="2"/>
      <scheme val="minor"/>
    </font>
    <font>
      <b/>
      <sz val="13.5"/>
      <color theme="1"/>
      <name val="Calibri"/>
      <family val="2"/>
      <scheme val="minor"/>
    </font>
    <font>
      <sz val="12"/>
      <color theme="1"/>
      <name val="Calibri"/>
      <family val="2"/>
      <scheme val="minor"/>
    </font>
    <font>
      <b/>
      <sz val="16"/>
      <color theme="0"/>
      <name val="Calibri"/>
      <family val="2"/>
      <scheme val="minor"/>
    </font>
    <font>
      <b/>
      <sz val="14"/>
      <color theme="1"/>
      <name val="Calibri"/>
      <family val="2"/>
      <scheme val="minor"/>
    </font>
    <font>
      <b/>
      <sz val="11"/>
      <color rgb="FF000000"/>
      <name val="Calibri"/>
      <family val="2"/>
    </font>
    <font>
      <sz val="8"/>
      <name val="Calibri"/>
      <family val="2"/>
      <scheme val="minor"/>
    </font>
    <font>
      <sz val="11"/>
      <color theme="0"/>
      <name val="Calibri"/>
      <family val="2"/>
      <scheme val="minor"/>
    </font>
    <font>
      <sz val="10"/>
      <color theme="1"/>
      <name val="Calibri"/>
      <family val="2"/>
      <scheme val="minor"/>
    </font>
    <font>
      <sz val="10"/>
      <name val="Calibri"/>
      <family val="2"/>
      <scheme val="minor"/>
    </font>
    <font>
      <b/>
      <sz val="10"/>
      <name val="Calibri"/>
      <family val="2"/>
      <scheme val="minor"/>
    </font>
    <font>
      <i/>
      <sz val="18"/>
      <color theme="1" tint="0.499984740745262"/>
      <name val="Calibri"/>
      <family val="2"/>
      <scheme val="minor"/>
    </font>
    <font>
      <b/>
      <sz val="10"/>
      <color theme="1"/>
      <name val="Calibri"/>
      <family val="2"/>
      <scheme val="minor"/>
    </font>
    <font>
      <sz val="10"/>
      <color theme="3"/>
      <name val="Arial"/>
      <family val="2"/>
    </font>
    <font>
      <b/>
      <sz val="9"/>
      <name val="Calibri"/>
      <family val="2"/>
      <scheme val="minor"/>
    </font>
    <font>
      <b/>
      <sz val="11"/>
      <name val="Calibri"/>
      <family val="2"/>
      <scheme val="minor"/>
    </font>
    <font>
      <sz val="11"/>
      <name val="Calibri"/>
      <family val="2"/>
      <scheme val="minor"/>
    </font>
    <font>
      <sz val="9"/>
      <color theme="1"/>
      <name val="Calibri"/>
      <family val="2"/>
      <scheme val="minor"/>
    </font>
    <font>
      <i/>
      <sz val="18"/>
      <color theme="0"/>
      <name val="Calibri"/>
      <family val="2"/>
      <scheme val="minor"/>
    </font>
    <font>
      <sz val="14"/>
      <color theme="0"/>
      <name val="Calibri"/>
      <family val="2"/>
      <scheme val="minor"/>
    </font>
    <font>
      <sz val="9"/>
      <color theme="0"/>
      <name val="Calibri"/>
      <family val="2"/>
      <scheme val="minor"/>
    </font>
    <font>
      <b/>
      <sz val="14"/>
      <name val="Calibri"/>
      <family val="2"/>
      <scheme val="minor"/>
    </font>
    <font>
      <b/>
      <sz val="14"/>
      <color theme="0" tint="-4.9989318521683403E-2"/>
      <name val="Calibri"/>
      <family val="2"/>
      <scheme val="minor"/>
    </font>
    <font>
      <b/>
      <sz val="9"/>
      <color theme="1" tint="0.249977111117893"/>
      <name val="Calibri"/>
      <family val="2"/>
      <scheme val="minor"/>
    </font>
    <font>
      <sz val="10"/>
      <name val="Wingdings"/>
      <charset val="2"/>
    </font>
    <font>
      <b/>
      <sz val="16"/>
      <color theme="1"/>
      <name val="Calibri"/>
      <family val="2"/>
      <scheme val="minor"/>
    </font>
    <font>
      <b/>
      <u/>
      <sz val="11"/>
      <color theme="1"/>
      <name val="Calibri"/>
      <family val="2"/>
      <scheme val="minor"/>
    </font>
    <font>
      <sz val="12"/>
      <color theme="0"/>
      <name val="Calibri"/>
      <family val="2"/>
      <scheme val="minor"/>
    </font>
  </fonts>
  <fills count="23">
    <fill>
      <patternFill patternType="none"/>
    </fill>
    <fill>
      <patternFill patternType="gray125"/>
    </fill>
    <fill>
      <patternFill patternType="solid">
        <fgColor rgb="FF0A3A00"/>
        <bgColor indexed="64"/>
      </patternFill>
    </fill>
    <fill>
      <patternFill patternType="solid">
        <fgColor theme="2" tint="-9.9978637043366805E-2"/>
        <bgColor indexed="64"/>
      </patternFill>
    </fill>
    <fill>
      <patternFill patternType="solid">
        <fgColor rgb="FFC00000"/>
        <bgColor indexed="64"/>
      </patternFill>
    </fill>
    <fill>
      <patternFill patternType="solid">
        <fgColor theme="0"/>
        <bgColor indexed="64"/>
      </patternFill>
    </fill>
    <fill>
      <patternFill patternType="solid">
        <fgColor rgb="FF000D3C"/>
        <bgColor indexed="64"/>
      </patternFill>
    </fill>
    <fill>
      <patternFill patternType="solid">
        <fgColor rgb="FFFF6200"/>
        <bgColor indexed="64"/>
      </patternFill>
    </fill>
    <fill>
      <patternFill patternType="solid">
        <fgColor rgb="FF0070C0"/>
        <bgColor indexed="64"/>
      </patternFill>
    </fill>
    <fill>
      <patternFill patternType="solid">
        <fgColor rgb="FFD0CECE"/>
        <bgColor rgb="FF000000"/>
      </patternFill>
    </fill>
    <fill>
      <patternFill patternType="solid">
        <fgColor theme="5"/>
        <bgColor theme="5"/>
      </patternFill>
    </fill>
    <fill>
      <patternFill patternType="solid">
        <fgColor theme="1" tint="4.9989318521683403E-2"/>
        <bgColor indexed="64"/>
      </patternFill>
    </fill>
    <fill>
      <patternFill patternType="solid">
        <fgColor rgb="FFC6E0DD"/>
        <bgColor indexed="64"/>
      </patternFill>
    </fill>
    <fill>
      <patternFill patternType="solid">
        <fgColor theme="0" tint="-4.9989318521683403E-2"/>
        <bgColor indexed="64"/>
      </patternFill>
    </fill>
    <fill>
      <patternFill patternType="solid">
        <fgColor rgb="FF6B8A96"/>
        <bgColor indexed="64"/>
      </patternFill>
    </fill>
    <fill>
      <patternFill patternType="solid">
        <fgColor rgb="FF002060"/>
        <bgColor indexed="64"/>
      </patternFill>
    </fill>
    <fill>
      <patternFill patternType="solid">
        <fgColor theme="9" tint="0.39997558519241921"/>
        <bgColor indexed="64"/>
      </patternFill>
    </fill>
    <fill>
      <patternFill patternType="solid">
        <fgColor rgb="FFDFE8F7"/>
        <bgColor indexed="64"/>
      </patternFill>
    </fill>
    <fill>
      <patternFill patternType="solid">
        <fgColor rgb="FF31456D"/>
        <bgColor indexed="64"/>
      </patternFill>
    </fill>
    <fill>
      <patternFill patternType="solid">
        <fgColor rgb="FF00B050"/>
        <bgColor theme="5"/>
      </patternFill>
    </fill>
    <fill>
      <patternFill patternType="solid">
        <fgColor rgb="FF000D3C"/>
        <bgColor theme="4" tint="0.79998168889431442"/>
      </patternFill>
    </fill>
    <fill>
      <patternFill patternType="solid">
        <fgColor rgb="FF00B050"/>
        <bgColor theme="4" tint="0.79998168889431442"/>
      </patternFill>
    </fill>
    <fill>
      <patternFill patternType="solid">
        <fgColor rgb="FFFF0000"/>
        <bgColor indexed="64"/>
      </patternFill>
    </fill>
  </fills>
  <borders count="37">
    <border>
      <left/>
      <right/>
      <top/>
      <bottom/>
      <diagonal/>
    </border>
    <border>
      <left/>
      <right/>
      <top style="thin">
        <color theme="5"/>
      </top>
      <bottom/>
      <diagonal/>
    </border>
    <border>
      <left/>
      <right/>
      <top style="thin">
        <color theme="5"/>
      </top>
      <bottom style="thin">
        <color theme="5"/>
      </bottom>
      <diagonal/>
    </border>
    <border>
      <left/>
      <right/>
      <top/>
      <bottom style="thin">
        <color theme="0" tint="-0.14996795556505021"/>
      </bottom>
      <diagonal/>
    </border>
    <border>
      <left/>
      <right/>
      <top style="thin">
        <color theme="0" tint="-0.14993743705557422"/>
      </top>
      <bottom style="thin">
        <color theme="0" tint="-0.14993743705557422"/>
      </bottom>
      <diagonal/>
    </border>
    <border>
      <left style="thin">
        <color indexed="64"/>
      </left>
      <right style="thin">
        <color indexed="64"/>
      </right>
      <top style="thin">
        <color indexed="64"/>
      </top>
      <bottom style="thin">
        <color indexed="64"/>
      </bottom>
      <diagonal/>
    </border>
    <border>
      <left/>
      <right/>
      <top style="thin">
        <color theme="0" tint="-0.14990691854609822"/>
      </top>
      <bottom style="thin">
        <color theme="0" tint="-0.14999847407452621"/>
      </bottom>
      <diagonal/>
    </border>
    <border>
      <left/>
      <right style="thin">
        <color theme="0" tint="-0.14999847407452621"/>
      </right>
      <top style="thin">
        <color theme="0" tint="-0.14990691854609822"/>
      </top>
      <bottom style="thin">
        <color theme="0" tint="-0.14999847407452621"/>
      </bottom>
      <diagonal/>
    </border>
    <border>
      <left/>
      <right/>
      <top/>
      <bottom style="thin">
        <color theme="0" tint="-0.14999847407452621"/>
      </bottom>
      <diagonal/>
    </border>
    <border>
      <left/>
      <right style="thin">
        <color theme="0" tint="-0.14993743705557422"/>
      </right>
      <top style="thin">
        <color theme="0" tint="-0.1498458815271462"/>
      </top>
      <bottom style="thin">
        <color theme="0" tint="-0.14999847407452621"/>
      </bottom>
      <diagonal/>
    </border>
    <border>
      <left/>
      <right style="thin">
        <color theme="0" tint="-0.14996795556505021"/>
      </right>
      <top style="thin">
        <color theme="0" tint="-0.14999847407452621"/>
      </top>
      <bottom style="thin">
        <color theme="0" tint="-0.14999847407452621"/>
      </bottom>
      <diagonal/>
    </border>
    <border>
      <left/>
      <right/>
      <top style="thin">
        <color theme="0" tint="-0.14999847407452621"/>
      </top>
      <bottom style="thin">
        <color theme="0" tint="-0.14996795556505021"/>
      </bottom>
      <diagonal/>
    </border>
    <border>
      <left/>
      <right style="thin">
        <color theme="0" tint="-0.14999847407452621"/>
      </right>
      <top/>
      <bottom/>
      <diagonal/>
    </border>
    <border>
      <left style="thin">
        <color theme="0" tint="-0.14999847407452621"/>
      </left>
      <right style="thin">
        <color theme="0" tint="-0.14999847407452621"/>
      </right>
      <top/>
      <bottom style="thin">
        <color theme="0" tint="-0.14999847407452621"/>
      </bottom>
      <diagonal/>
    </border>
    <border>
      <left/>
      <right/>
      <top style="thin">
        <color theme="0" tint="-0.14996795556505021"/>
      </top>
      <bottom style="thin">
        <color theme="0" tint="-0.14996795556505021"/>
      </bottom>
      <diagonal/>
    </border>
    <border>
      <left/>
      <right style="thin">
        <color theme="0" tint="-0.14996795556505021"/>
      </right>
      <top/>
      <bottom style="thin">
        <color theme="0" tint="-0.14999847407452621"/>
      </bottom>
      <diagonal/>
    </border>
    <border>
      <left/>
      <right style="thin">
        <color theme="0" tint="-0.14996795556505021"/>
      </right>
      <top/>
      <bottom/>
      <diagonal/>
    </border>
    <border>
      <left/>
      <right style="thin">
        <color theme="0" tint="-0.14996795556505021"/>
      </right>
      <top style="thin">
        <color theme="0" tint="-0.1498764000366222"/>
      </top>
      <bottom style="thin">
        <color theme="0" tint="-0.14999847407452621"/>
      </bottom>
      <diagonal/>
    </border>
    <border>
      <left style="thin">
        <color theme="0" tint="-0.14999847407452621"/>
      </left>
      <right/>
      <top style="thin">
        <color theme="0" tint="-0.14999847407452621"/>
      </top>
      <bottom style="thin">
        <color theme="0" tint="-0.14993743705557422"/>
      </bottom>
      <diagonal/>
    </border>
    <border>
      <left/>
      <right/>
      <top style="thin">
        <color theme="0" tint="-0.14999847407452621"/>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theme="0" tint="-0.14996795556505021"/>
      </left>
      <right/>
      <top style="thin">
        <color theme="0" tint="-0.14993743705557422"/>
      </top>
      <bottom style="thin">
        <color theme="0" tint="-0.14993743705557422"/>
      </bottom>
      <diagonal/>
    </border>
    <border>
      <left/>
      <right style="thin">
        <color theme="0" tint="-0.14999847407452621"/>
      </right>
      <top style="thin">
        <color theme="0" tint="-0.14993743705557422"/>
      </top>
      <bottom style="thin">
        <color theme="0" tint="-0.14993743705557422"/>
      </bottom>
      <diagonal/>
    </border>
    <border>
      <left style="thin">
        <color theme="0" tint="-0.14993743705557422"/>
      </left>
      <right style="thin">
        <color theme="0" tint="-0.14990691854609822"/>
      </right>
      <top style="thin">
        <color theme="0" tint="-0.14993743705557422"/>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4">
    <xf numFmtId="0" fontId="0" fillId="0" borderId="0"/>
    <xf numFmtId="9" fontId="1" fillId="0" borderId="0" applyFont="0" applyFill="0" applyBorder="0" applyAlignment="0" applyProtection="0"/>
    <xf numFmtId="0" fontId="8" fillId="0" borderId="0" applyNumberFormat="0" applyFill="0" applyBorder="0" applyAlignment="0" applyProtection="0"/>
    <xf numFmtId="164" fontId="1" fillId="0" borderId="0"/>
  </cellStyleXfs>
  <cellXfs count="167">
    <xf numFmtId="0" fontId="0" fillId="0" borderId="0" xfId="0"/>
    <xf numFmtId="0" fontId="0" fillId="0" borderId="0" xfId="0" applyAlignment="1">
      <alignment horizontal="center"/>
    </xf>
    <xf numFmtId="0" fontId="6" fillId="2" borderId="0" xfId="0" applyFont="1" applyFill="1" applyAlignment="1">
      <alignment horizontal="center" vertical="center"/>
    </xf>
    <xf numFmtId="0" fontId="0" fillId="5" borderId="0" xfId="0" applyFill="1"/>
    <xf numFmtId="0" fontId="3" fillId="3" borderId="0" xfId="0" applyFont="1" applyFill="1" applyAlignment="1">
      <alignment horizontal="center" vertical="center"/>
    </xf>
    <xf numFmtId="0" fontId="0" fillId="0" borderId="0" xfId="0" applyAlignment="1">
      <alignment vertical="center"/>
    </xf>
    <xf numFmtId="0" fontId="3" fillId="0" borderId="0" xfId="0" applyFont="1" applyAlignment="1">
      <alignment horizontal="center" vertical="center"/>
    </xf>
    <xf numFmtId="0" fontId="0" fillId="0" borderId="0" xfId="0" applyAlignment="1">
      <alignment horizontal="center" vertical="center"/>
    </xf>
    <xf numFmtId="0" fontId="3" fillId="3" borderId="0" xfId="0" applyFont="1" applyFill="1" applyAlignment="1">
      <alignment horizontal="center" vertical="center" wrapText="1"/>
    </xf>
    <xf numFmtId="9" fontId="0" fillId="0" borderId="0" xfId="1" applyFont="1" applyAlignment="1">
      <alignment horizontal="center"/>
    </xf>
    <xf numFmtId="0" fontId="9" fillId="0" borderId="0" xfId="0" applyFont="1" applyAlignment="1">
      <alignment horizontal="center" vertical="center"/>
    </xf>
    <xf numFmtId="0" fontId="7" fillId="0" borderId="0" xfId="0" applyFont="1" applyAlignment="1">
      <alignment horizontal="center" vertical="center"/>
    </xf>
    <xf numFmtId="0" fontId="7" fillId="7" borderId="0" xfId="0" applyFont="1" applyFill="1" applyAlignment="1">
      <alignment horizontal="center" vertical="center"/>
    </xf>
    <xf numFmtId="0" fontId="11" fillId="6" borderId="0" xfId="0" applyFont="1" applyFill="1" applyAlignment="1">
      <alignment horizontal="center" vertical="center"/>
    </xf>
    <xf numFmtId="0" fontId="3" fillId="0" borderId="0" xfId="0" applyFont="1" applyAlignment="1">
      <alignment horizontal="center"/>
    </xf>
    <xf numFmtId="0" fontId="3" fillId="0" borderId="0" xfId="0" applyFont="1" applyAlignment="1">
      <alignment horizontal="center" vertical="center" wrapText="1"/>
    </xf>
    <xf numFmtId="0" fontId="0" fillId="0" borderId="0" xfId="0" applyAlignment="1">
      <alignment horizontal="center" vertical="center" wrapText="1"/>
    </xf>
    <xf numFmtId="0" fontId="3" fillId="7" borderId="0" xfId="0" applyFont="1" applyFill="1" applyAlignment="1">
      <alignment horizontal="center" wrapText="1"/>
    </xf>
    <xf numFmtId="0" fontId="0" fillId="0" borderId="0" xfId="0" quotePrefix="1" applyAlignment="1">
      <alignment horizontal="center" vertical="center" wrapText="1"/>
    </xf>
    <xf numFmtId="0" fontId="8" fillId="0" borderId="0" xfId="2" applyAlignment="1">
      <alignment horizontal="center" vertical="center"/>
    </xf>
    <xf numFmtId="16" fontId="0" fillId="0" borderId="0" xfId="0" applyNumberFormat="1" applyAlignment="1">
      <alignment horizontal="center"/>
    </xf>
    <xf numFmtId="0" fontId="3" fillId="3" borderId="0" xfId="0" quotePrefix="1" applyFont="1" applyFill="1" applyAlignment="1">
      <alignment horizontal="center" vertical="center" wrapText="1"/>
    </xf>
    <xf numFmtId="0" fontId="6" fillId="8" borderId="0" xfId="0" applyFont="1" applyFill="1" applyAlignment="1">
      <alignment horizontal="center" vertical="center"/>
    </xf>
    <xf numFmtId="9" fontId="3" fillId="3" borderId="0" xfId="1" applyFont="1" applyFill="1" applyAlignment="1">
      <alignment horizontal="center" vertical="center" wrapText="1"/>
    </xf>
    <xf numFmtId="14" fontId="3" fillId="3" borderId="0" xfId="0" applyNumberFormat="1" applyFont="1" applyFill="1" applyAlignment="1">
      <alignment horizontal="center" vertical="center" wrapText="1"/>
    </xf>
    <xf numFmtId="0" fontId="3" fillId="3" borderId="2"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3" fillId="7" borderId="0" xfId="0" applyFont="1" applyFill="1" applyAlignment="1">
      <alignment horizontal="center" vertical="center" wrapText="1"/>
    </xf>
    <xf numFmtId="0" fontId="8" fillId="0" borderId="0" xfId="2" applyAlignment="1">
      <alignment horizontal="center"/>
    </xf>
    <xf numFmtId="0" fontId="13" fillId="9" borderId="0" xfId="0" applyFont="1" applyFill="1" applyAlignment="1">
      <alignment horizontal="center" vertical="center" wrapText="1"/>
    </xf>
    <xf numFmtId="9" fontId="3" fillId="3" borderId="0" xfId="1"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3" fillId="7" borderId="0" xfId="0" applyFont="1" applyFill="1" applyAlignment="1">
      <alignment horizontal="center" vertical="center"/>
    </xf>
    <xf numFmtId="0" fontId="2" fillId="10" borderId="0" xfId="0" applyFont="1" applyFill="1" applyAlignment="1">
      <alignment horizontal="center" vertical="center"/>
    </xf>
    <xf numFmtId="0" fontId="6" fillId="11" borderId="0" xfId="0" applyFont="1" applyFill="1" applyAlignment="1">
      <alignment horizontal="center" vertical="center"/>
    </xf>
    <xf numFmtId="14" fontId="0" fillId="0" borderId="0" xfId="0" applyNumberFormat="1" applyAlignment="1">
      <alignment horizontal="center"/>
    </xf>
    <xf numFmtId="0" fontId="16" fillId="0" borderId="0" xfId="0" applyFont="1" applyAlignment="1">
      <alignment vertical="center"/>
    </xf>
    <xf numFmtId="164" fontId="16" fillId="0" borderId="0" xfId="3" applyFont="1" applyAlignment="1">
      <alignment horizontal="left" vertical="center" wrapText="1"/>
    </xf>
    <xf numFmtId="0" fontId="17" fillId="0" borderId="0" xfId="0" applyFont="1" applyAlignment="1">
      <alignment vertical="center"/>
    </xf>
    <xf numFmtId="164" fontId="17" fillId="0" borderId="0" xfId="3" applyFont="1" applyAlignment="1">
      <alignment horizontal="left" vertical="center" wrapText="1"/>
    </xf>
    <xf numFmtId="164" fontId="18" fillId="0" borderId="0" xfId="3" applyFont="1" applyAlignment="1">
      <alignment horizontal="right" vertical="center" wrapText="1" indent="1"/>
    </xf>
    <xf numFmtId="164" fontId="17" fillId="0" borderId="0" xfId="3" applyFont="1" applyAlignment="1">
      <alignment horizontal="center" vertical="center" wrapText="1"/>
    </xf>
    <xf numFmtId="164" fontId="20" fillId="0" borderId="0" xfId="3" applyFont="1" applyAlignment="1">
      <alignment horizontal="right" vertical="center" wrapText="1" indent="1"/>
    </xf>
    <xf numFmtId="14" fontId="17" fillId="12" borderId="5" xfId="3" applyNumberFormat="1" applyFont="1" applyFill="1" applyBorder="1" applyAlignment="1">
      <alignment horizontal="center" vertical="center" wrapText="1"/>
    </xf>
    <xf numFmtId="164" fontId="18" fillId="0" borderId="0" xfId="3" applyFont="1" applyAlignment="1">
      <alignment horizontal="left" vertical="center" wrapText="1"/>
    </xf>
    <xf numFmtId="164" fontId="14" fillId="0" borderId="3" xfId="3" applyFont="1" applyBorder="1" applyAlignment="1">
      <alignment horizontal="right" vertical="top" wrapText="1"/>
    </xf>
    <xf numFmtId="0" fontId="16" fillId="0" borderId="0" xfId="0" applyFont="1" applyAlignment="1">
      <alignment vertical="center" wrapText="1"/>
    </xf>
    <xf numFmtId="16" fontId="18" fillId="13" borderId="9" xfId="3" applyNumberFormat="1" applyFont="1" applyFill="1" applyBorder="1" applyAlignment="1">
      <alignment horizontal="center" vertical="center" wrapText="1"/>
    </xf>
    <xf numFmtId="0" fontId="16" fillId="0" borderId="10" xfId="0" applyFont="1" applyBorder="1" applyAlignment="1">
      <alignment horizontal="right" vertical="center" wrapText="1" indent="1"/>
    </xf>
    <xf numFmtId="0" fontId="16" fillId="0" borderId="3" xfId="0" applyFont="1" applyBorder="1" applyAlignment="1">
      <alignment horizontal="left" vertical="center" wrapText="1" indent="1"/>
    </xf>
    <xf numFmtId="15" fontId="16" fillId="0" borderId="3" xfId="0" applyNumberFormat="1" applyFont="1" applyBorder="1" applyAlignment="1">
      <alignment horizontal="center" vertical="center" wrapText="1"/>
    </xf>
    <xf numFmtId="15" fontId="18" fillId="0" borderId="12" xfId="3" applyNumberFormat="1" applyFont="1" applyBorder="1" applyAlignment="1">
      <alignment horizontal="center" vertical="center" wrapText="1"/>
    </xf>
    <xf numFmtId="0" fontId="16" fillId="0" borderId="14" xfId="0" applyFont="1" applyBorder="1" applyAlignment="1">
      <alignment horizontal="left" vertical="center" wrapText="1" indent="1"/>
    </xf>
    <xf numFmtId="15" fontId="18" fillId="0" borderId="0" xfId="3" applyNumberFormat="1" applyFont="1" applyAlignment="1">
      <alignment horizontal="center" vertical="center" wrapText="1"/>
    </xf>
    <xf numFmtId="16" fontId="18" fillId="0" borderId="0" xfId="3" applyNumberFormat="1" applyFont="1" applyAlignment="1">
      <alignment horizontal="left" vertical="center"/>
    </xf>
    <xf numFmtId="16" fontId="18" fillId="0" borderId="0" xfId="3" applyNumberFormat="1" applyFont="1" applyAlignment="1">
      <alignment vertical="center"/>
    </xf>
    <xf numFmtId="0" fontId="13" fillId="3" borderId="0" xfId="0" applyFont="1" applyFill="1" applyAlignment="1">
      <alignment horizontal="center" vertical="center" wrapText="1"/>
    </xf>
    <xf numFmtId="164" fontId="16" fillId="0" borderId="0" xfId="3" applyFont="1" applyAlignment="1">
      <alignment horizontal="right" vertical="center" wrapText="1"/>
    </xf>
    <xf numFmtId="164" fontId="16" fillId="0" borderId="0" xfId="3" applyFont="1" applyAlignment="1">
      <alignment vertical="center" wrapText="1"/>
    </xf>
    <xf numFmtId="164" fontId="20" fillId="0" borderId="0" xfId="3" applyFont="1" applyAlignment="1">
      <alignment horizontal="left" vertical="center" wrapText="1"/>
    </xf>
    <xf numFmtId="0" fontId="25" fillId="0" borderId="0" xfId="0" applyFont="1" applyAlignment="1">
      <alignment vertical="center"/>
    </xf>
    <xf numFmtId="0" fontId="27" fillId="15" borderId="0" xfId="3" applyNumberFormat="1" applyFont="1" applyFill="1" applyAlignment="1">
      <alignment horizontal="center" vertical="center" wrapText="1"/>
    </xf>
    <xf numFmtId="0" fontId="21" fillId="0" borderId="0" xfId="3" applyNumberFormat="1" applyFont="1" applyAlignment="1">
      <alignment horizontal="center" vertical="center" wrapText="1"/>
    </xf>
    <xf numFmtId="0" fontId="16" fillId="16" borderId="0" xfId="3" applyNumberFormat="1" applyFont="1" applyFill="1" applyAlignment="1">
      <alignment horizontal="center" vertical="center" wrapText="1"/>
    </xf>
    <xf numFmtId="166" fontId="22" fillId="17" borderId="20" xfId="3" applyNumberFormat="1" applyFont="1" applyFill="1" applyBorder="1" applyAlignment="1">
      <alignment vertical="center" wrapText="1"/>
    </xf>
    <xf numFmtId="166" fontId="22" fillId="17" borderId="4" xfId="3" applyNumberFormat="1" applyFont="1" applyFill="1" applyBorder="1" applyAlignment="1">
      <alignment vertical="center" wrapText="1"/>
    </xf>
    <xf numFmtId="164" fontId="14" fillId="0" borderId="3" xfId="3" applyFont="1" applyBorder="1" applyAlignment="1">
      <alignment horizontal="right" vertical="center" wrapText="1"/>
    </xf>
    <xf numFmtId="16" fontId="23" fillId="13" borderId="6" xfId="3" applyNumberFormat="1" applyFont="1" applyFill="1" applyBorder="1" applyAlignment="1">
      <alignment horizontal="center" vertical="center" wrapText="1"/>
    </xf>
    <xf numFmtId="16" fontId="29" fillId="13" borderId="7" xfId="3" applyNumberFormat="1" applyFont="1" applyFill="1" applyBorder="1" applyAlignment="1">
      <alignment horizontal="right" vertical="center" wrapText="1" indent="1"/>
    </xf>
    <xf numFmtId="16" fontId="29" fillId="13" borderId="8" xfId="3" applyNumberFormat="1" applyFont="1" applyFill="1" applyBorder="1" applyAlignment="1">
      <alignment horizontal="center" vertical="center" wrapText="1"/>
    </xf>
    <xf numFmtId="16" fontId="30" fillId="13" borderId="8" xfId="3" applyNumberFormat="1" applyFont="1" applyFill="1" applyBorder="1" applyAlignment="1">
      <alignment horizontal="center" vertical="center" wrapText="1"/>
    </xf>
    <xf numFmtId="168" fontId="31" fillId="13" borderId="24" xfId="3" applyNumberFormat="1" applyFont="1" applyFill="1" applyBorder="1" applyAlignment="1">
      <alignment horizontal="center" vertical="center" wrapText="1"/>
    </xf>
    <xf numFmtId="0" fontId="23" fillId="0" borderId="8" xfId="3" applyNumberFormat="1" applyFont="1" applyBorder="1" applyAlignment="1">
      <alignment horizontal="center" vertical="center" wrapText="1"/>
    </xf>
    <xf numFmtId="15" fontId="0" fillId="0" borderId="3" xfId="0" applyNumberFormat="1" applyBorder="1" applyAlignment="1">
      <alignment horizontal="center" vertical="center" wrapText="1"/>
    </xf>
    <xf numFmtId="0" fontId="15" fillId="14" borderId="3" xfId="0" applyFont="1" applyFill="1" applyBorder="1" applyAlignment="1">
      <alignment horizontal="center" vertical="center" wrapText="1"/>
    </xf>
    <xf numFmtId="0" fontId="0" fillId="0" borderId="3" xfId="0" applyBorder="1" applyAlignment="1">
      <alignment horizontal="center" vertical="center" wrapText="1"/>
    </xf>
    <xf numFmtId="9" fontId="0" fillId="0" borderId="11" xfId="1" applyFont="1" applyFill="1" applyBorder="1" applyAlignment="1">
      <alignment horizontal="center" vertical="center" wrapText="1"/>
    </xf>
    <xf numFmtId="15" fontId="32" fillId="5" borderId="13" xfId="3" applyNumberFormat="1" applyFont="1" applyFill="1" applyBorder="1" applyAlignment="1">
      <alignment horizontal="center" vertical="center" wrapText="1"/>
    </xf>
    <xf numFmtId="0" fontId="0" fillId="0" borderId="10" xfId="0" applyBorder="1" applyAlignment="1">
      <alignment horizontal="right" vertical="center" wrapText="1" indent="1"/>
    </xf>
    <xf numFmtId="167" fontId="0" fillId="0" borderId="3" xfId="0" applyNumberFormat="1" applyBorder="1" applyAlignment="1">
      <alignment horizontal="center" vertical="center" wrapText="1"/>
    </xf>
    <xf numFmtId="167" fontId="24" fillId="0" borderId="3" xfId="3" applyNumberFormat="1" applyFont="1" applyBorder="1" applyAlignment="1">
      <alignment horizontal="center" vertical="center" wrapText="1"/>
    </xf>
    <xf numFmtId="0" fontId="24" fillId="0" borderId="15" xfId="3" applyNumberFormat="1" applyFont="1" applyBorder="1" applyAlignment="1">
      <alignment horizontal="right" vertical="center" wrapText="1" indent="1"/>
    </xf>
    <xf numFmtId="0" fontId="24" fillId="0" borderId="14" xfId="3" applyNumberFormat="1" applyFont="1" applyBorder="1" applyAlignment="1">
      <alignment horizontal="left" vertical="center" wrapText="1" indent="1"/>
    </xf>
    <xf numFmtId="9" fontId="24" fillId="0" borderId="14" xfId="1" applyFont="1" applyFill="1" applyBorder="1" applyAlignment="1">
      <alignment horizontal="center" vertical="center" wrapText="1"/>
    </xf>
    <xf numFmtId="164" fontId="24" fillId="0" borderId="16" xfId="3" applyFont="1" applyBorder="1" applyAlignment="1">
      <alignment horizontal="right" vertical="center" wrapText="1" indent="1"/>
    </xf>
    <xf numFmtId="164" fontId="24" fillId="0" borderId="14" xfId="3" applyFont="1" applyBorder="1" applyAlignment="1">
      <alignment horizontal="left" vertical="center" indent="1"/>
    </xf>
    <xf numFmtId="167" fontId="24" fillId="0" borderId="3" xfId="3" applyNumberFormat="1" applyFont="1" applyBorder="1" applyAlignment="1">
      <alignment horizontal="center" vertical="center"/>
    </xf>
    <xf numFmtId="9" fontId="24" fillId="0" borderId="14" xfId="1" applyFont="1" applyFill="1" applyBorder="1" applyAlignment="1">
      <alignment horizontal="center" vertical="center"/>
    </xf>
    <xf numFmtId="164" fontId="24" fillId="0" borderId="17" xfId="3" applyFont="1" applyBorder="1" applyAlignment="1">
      <alignment horizontal="right" vertical="center" wrapText="1" indent="1"/>
    </xf>
    <xf numFmtId="164" fontId="24" fillId="0" borderId="14" xfId="3" applyFont="1" applyBorder="1" applyAlignment="1">
      <alignment horizontal="left" vertical="center" wrapText="1" indent="1"/>
    </xf>
    <xf numFmtId="164" fontId="24" fillId="0" borderId="15" xfId="3" applyFont="1" applyBorder="1" applyAlignment="1">
      <alignment horizontal="right" vertical="center" wrapText="1" indent="1"/>
    </xf>
    <xf numFmtId="16" fontId="24" fillId="0" borderId="16" xfId="3" applyNumberFormat="1" applyFont="1" applyBorder="1" applyAlignment="1">
      <alignment horizontal="right" vertical="center" wrapText="1" indent="1"/>
    </xf>
    <xf numFmtId="16" fontId="24" fillId="0" borderId="14" xfId="3" applyNumberFormat="1" applyFont="1" applyBorder="1" applyAlignment="1">
      <alignment horizontal="left" vertical="center" indent="1"/>
    </xf>
    <xf numFmtId="9" fontId="23" fillId="0" borderId="14" xfId="1" applyFont="1" applyFill="1" applyBorder="1" applyAlignment="1">
      <alignment horizontal="center" vertical="center"/>
    </xf>
    <xf numFmtId="164" fontId="24" fillId="0" borderId="10" xfId="3" applyFont="1" applyBorder="1" applyAlignment="1">
      <alignment horizontal="right" vertical="center" wrapText="1" indent="1"/>
    </xf>
    <xf numFmtId="167" fontId="24" fillId="0" borderId="0" xfId="3" applyNumberFormat="1" applyFont="1" applyAlignment="1">
      <alignment horizontal="center" vertical="center" wrapText="1"/>
    </xf>
    <xf numFmtId="0" fontId="25" fillId="0" borderId="0" xfId="0" applyFont="1"/>
    <xf numFmtId="0" fontId="2" fillId="6" borderId="0" xfId="0" applyFont="1" applyFill="1" applyAlignment="1">
      <alignment horizontal="center"/>
    </xf>
    <xf numFmtId="15" fontId="3" fillId="3" borderId="0" xfId="0" applyNumberFormat="1" applyFont="1" applyFill="1" applyAlignment="1">
      <alignment horizontal="center" vertical="center" wrapText="1"/>
    </xf>
    <xf numFmtId="0" fontId="7" fillId="0" borderId="0" xfId="0" applyFont="1"/>
    <xf numFmtId="0" fontId="7" fillId="0" borderId="0" xfId="0" applyFont="1" applyAlignment="1">
      <alignment horizontal="center"/>
    </xf>
    <xf numFmtId="0" fontId="7" fillId="0" borderId="0" xfId="0" applyFont="1" applyAlignment="1">
      <alignment vertical="center"/>
    </xf>
    <xf numFmtId="0" fontId="7" fillId="0" borderId="0" xfId="0" applyFont="1" applyAlignment="1">
      <alignment vertical="center" wrapText="1"/>
    </xf>
    <xf numFmtId="0" fontId="2" fillId="6" borderId="0" xfId="0" applyFont="1" applyFill="1" applyAlignment="1">
      <alignment horizontal="center" vertical="center"/>
    </xf>
    <xf numFmtId="0" fontId="34" fillId="3" borderId="0" xfId="0" applyFont="1" applyFill="1" applyAlignment="1">
      <alignment horizontal="center" vertical="center" wrapText="1"/>
    </xf>
    <xf numFmtId="0" fontId="2" fillId="15" borderId="0" xfId="0" applyFont="1" applyFill="1" applyAlignment="1">
      <alignment horizontal="center"/>
    </xf>
    <xf numFmtId="0" fontId="2" fillId="19" borderId="0" xfId="0" applyFont="1" applyFill="1" applyAlignment="1">
      <alignment horizontal="center" vertical="center"/>
    </xf>
    <xf numFmtId="0" fontId="2" fillId="15" borderId="0" xfId="0" applyFont="1" applyFill="1" applyAlignment="1">
      <alignment horizontal="center" vertical="center"/>
    </xf>
    <xf numFmtId="0" fontId="2" fillId="15" borderId="0" xfId="0" applyFont="1" applyFill="1" applyAlignment="1">
      <alignment horizontal="center" vertical="center" wrapText="1"/>
    </xf>
    <xf numFmtId="0" fontId="0" fillId="0" borderId="0" xfId="0" applyAlignment="1">
      <alignment horizontal="center" wrapText="1"/>
    </xf>
    <xf numFmtId="9" fontId="3" fillId="3" borderId="1" xfId="1" applyFont="1" applyFill="1" applyBorder="1" applyAlignment="1">
      <alignment horizontal="center" vertical="center" wrapText="1"/>
    </xf>
    <xf numFmtId="169" fontId="3" fillId="3" borderId="1" xfId="0" applyNumberFormat="1" applyFont="1" applyFill="1" applyBorder="1" applyAlignment="1">
      <alignment horizontal="center" vertical="center" wrapText="1"/>
    </xf>
    <xf numFmtId="0" fontId="2" fillId="10" borderId="0" xfId="0" applyFont="1" applyFill="1" applyAlignment="1">
      <alignment horizontal="center" vertical="center" wrapText="1"/>
    </xf>
    <xf numFmtId="0" fontId="3" fillId="0" borderId="25" xfId="0" applyFont="1" applyBorder="1" applyAlignment="1">
      <alignment horizontal="center" vertical="center"/>
    </xf>
    <xf numFmtId="0" fontId="3" fillId="0" borderId="26" xfId="0" applyFont="1" applyBorder="1" applyAlignment="1">
      <alignment horizontal="center" vertical="center"/>
    </xf>
    <xf numFmtId="0" fontId="3" fillId="0" borderId="27" xfId="0" applyFont="1" applyBorder="1" applyAlignment="1">
      <alignment horizontal="center" vertical="center"/>
    </xf>
    <xf numFmtId="0" fontId="2" fillId="7" borderId="28" xfId="0" applyFont="1" applyFill="1" applyBorder="1" applyAlignment="1">
      <alignment horizontal="center" vertical="center"/>
    </xf>
    <xf numFmtId="0" fontId="2" fillId="20" borderId="0" xfId="0" applyFont="1" applyFill="1" applyAlignment="1">
      <alignment horizontal="center" vertical="center"/>
    </xf>
    <xf numFmtId="9" fontId="0" fillId="0" borderId="0" xfId="1" applyFont="1" applyBorder="1" applyAlignment="1">
      <alignment horizontal="center" vertical="center"/>
    </xf>
    <xf numFmtId="9" fontId="0" fillId="0" borderId="29" xfId="1" applyFont="1" applyBorder="1" applyAlignment="1">
      <alignment horizontal="center" vertical="center"/>
    </xf>
    <xf numFmtId="0" fontId="2" fillId="20" borderId="30" xfId="0" applyFont="1" applyFill="1" applyBorder="1" applyAlignment="1">
      <alignment horizontal="center" vertical="center"/>
    </xf>
    <xf numFmtId="0" fontId="2" fillId="6" borderId="30" xfId="0" applyFont="1" applyFill="1" applyBorder="1" applyAlignment="1">
      <alignment horizontal="center" vertical="center"/>
    </xf>
    <xf numFmtId="0" fontId="2" fillId="20" borderId="31" xfId="0" applyFont="1" applyFill="1" applyBorder="1" applyAlignment="1">
      <alignment horizontal="center" vertical="center"/>
    </xf>
    <xf numFmtId="9" fontId="0" fillId="0" borderId="32" xfId="1" applyFont="1" applyBorder="1" applyAlignment="1">
      <alignment horizontal="center" vertical="center"/>
    </xf>
    <xf numFmtId="9" fontId="0" fillId="0" borderId="33" xfId="1" applyFont="1" applyBorder="1" applyAlignment="1">
      <alignment horizontal="center" vertical="center"/>
    </xf>
    <xf numFmtId="9" fontId="0" fillId="0" borderId="34" xfId="1" applyFont="1" applyBorder="1" applyAlignment="1">
      <alignment horizontal="center" vertical="center"/>
    </xf>
    <xf numFmtId="0" fontId="2" fillId="7" borderId="35" xfId="0" applyFont="1" applyFill="1" applyBorder="1" applyAlignment="1">
      <alignment horizontal="center" vertical="center"/>
    </xf>
    <xf numFmtId="9" fontId="0" fillId="0" borderId="30" xfId="1" applyFont="1" applyBorder="1" applyAlignment="1">
      <alignment horizontal="center" vertical="center"/>
    </xf>
    <xf numFmtId="9" fontId="0" fillId="0" borderId="31" xfId="1" applyFont="1" applyBorder="1" applyAlignment="1">
      <alignment horizontal="center" vertical="center"/>
    </xf>
    <xf numFmtId="0" fontId="2" fillId="21" borderId="0" xfId="0" applyFont="1" applyFill="1" applyAlignment="1">
      <alignment horizontal="center" vertical="center"/>
    </xf>
    <xf numFmtId="9" fontId="0" fillId="0" borderId="35" xfId="1" applyFont="1" applyBorder="1" applyAlignment="1">
      <alignment horizontal="center" vertical="center"/>
    </xf>
    <xf numFmtId="9" fontId="0" fillId="0" borderId="29" xfId="1" applyFont="1" applyBorder="1" applyAlignment="1">
      <alignment horizontal="center" vertical="center" wrapText="1"/>
    </xf>
    <xf numFmtId="9" fontId="0" fillId="22" borderId="29" xfId="1" applyFont="1" applyFill="1" applyBorder="1" applyAlignment="1">
      <alignment horizontal="center" vertical="center"/>
    </xf>
    <xf numFmtId="9" fontId="0" fillId="22" borderId="36" xfId="1" applyFont="1" applyFill="1" applyBorder="1" applyAlignment="1">
      <alignment horizontal="center" vertical="center"/>
    </xf>
    <xf numFmtId="9" fontId="15" fillId="2" borderId="29" xfId="1" applyFont="1" applyFill="1" applyBorder="1" applyAlignment="1">
      <alignment horizontal="center" vertical="center"/>
    </xf>
    <xf numFmtId="0" fontId="4" fillId="0" borderId="0" xfId="0" applyFont="1" applyAlignment="1">
      <alignment horizontal="left" vertical="center" indent="7"/>
    </xf>
    <xf numFmtId="0" fontId="5" fillId="0" borderId="0" xfId="0" applyFont="1" applyAlignment="1">
      <alignment horizontal="left" vertical="center" indent="7"/>
    </xf>
    <xf numFmtId="0" fontId="33" fillId="7" borderId="0" xfId="0" applyFont="1" applyFill="1" applyAlignment="1">
      <alignment horizontal="center" vertical="center"/>
    </xf>
    <xf numFmtId="0" fontId="2" fillId="6" borderId="0" xfId="0" applyFont="1" applyFill="1" applyAlignment="1">
      <alignment horizontal="center"/>
    </xf>
    <xf numFmtId="0" fontId="3" fillId="7" borderId="0" xfId="0" applyFont="1" applyFill="1" applyAlignment="1">
      <alignment horizontal="center" vertical="center"/>
    </xf>
    <xf numFmtId="0" fontId="7" fillId="7" borderId="0" xfId="0" applyFont="1" applyFill="1" applyAlignment="1">
      <alignment horizontal="center"/>
    </xf>
    <xf numFmtId="0" fontId="35" fillId="11" borderId="0" xfId="0" applyFont="1" applyFill="1" applyAlignment="1">
      <alignment horizontal="center" vertical="center" wrapText="1"/>
    </xf>
    <xf numFmtId="0" fontId="28" fillId="18" borderId="22" xfId="3" applyNumberFormat="1" applyFont="1" applyFill="1" applyBorder="1" applyAlignment="1">
      <alignment horizontal="center" vertical="center" wrapText="1"/>
    </xf>
    <xf numFmtId="0" fontId="28" fillId="18" borderId="4" xfId="3" applyNumberFormat="1" applyFont="1" applyFill="1" applyBorder="1" applyAlignment="1">
      <alignment horizontal="center" vertical="center" wrapText="1"/>
    </xf>
    <xf numFmtId="0" fontId="28" fillId="18" borderId="23" xfId="3" applyNumberFormat="1" applyFont="1" applyFill="1" applyBorder="1" applyAlignment="1">
      <alignment horizontal="center" vertical="center" wrapText="1"/>
    </xf>
    <xf numFmtId="166" fontId="22" fillId="17" borderId="20" xfId="3" applyNumberFormat="1" applyFont="1" applyFill="1" applyBorder="1" applyAlignment="1">
      <alignment horizontal="center" vertical="center" wrapText="1"/>
    </xf>
    <xf numFmtId="166" fontId="22" fillId="17" borderId="4" xfId="3" applyNumberFormat="1" applyFont="1" applyFill="1" applyBorder="1" applyAlignment="1">
      <alignment horizontal="center" vertical="center" wrapText="1"/>
    </xf>
    <xf numFmtId="166" fontId="22" fillId="17" borderId="21" xfId="3" applyNumberFormat="1" applyFont="1" applyFill="1" applyBorder="1" applyAlignment="1">
      <alignment horizontal="center" vertical="center" wrapText="1"/>
    </xf>
    <xf numFmtId="164" fontId="19" fillId="0" borderId="3" xfId="3" applyFont="1" applyBorder="1" applyAlignment="1">
      <alignment horizontal="left" vertical="center" wrapText="1"/>
    </xf>
    <xf numFmtId="164" fontId="19" fillId="0" borderId="0" xfId="3" applyFont="1" applyAlignment="1">
      <alignment horizontal="left" vertical="center" wrapText="1"/>
    </xf>
    <xf numFmtId="165" fontId="22" fillId="13" borderId="18" xfId="3" applyNumberFormat="1" applyFont="1" applyFill="1" applyBorder="1" applyAlignment="1">
      <alignment horizontal="center" vertical="center" wrapText="1"/>
    </xf>
    <xf numFmtId="165" fontId="22" fillId="13" borderId="19" xfId="3" applyNumberFormat="1" applyFont="1" applyFill="1" applyBorder="1" applyAlignment="1">
      <alignment horizontal="center" vertical="center" wrapText="1"/>
    </xf>
    <xf numFmtId="164" fontId="18" fillId="0" borderId="0" xfId="3" applyFont="1" applyAlignment="1">
      <alignment horizontal="center" vertical="center" wrapText="1"/>
    </xf>
    <xf numFmtId="164" fontId="26" fillId="15" borderId="0" xfId="3" applyFont="1" applyFill="1" applyAlignment="1">
      <alignment horizontal="center" vertical="center" wrapText="1"/>
    </xf>
    <xf numFmtId="0" fontId="2" fillId="7" borderId="0" xfId="0" applyFont="1" applyFill="1" applyAlignment="1">
      <alignment horizontal="center" vertical="center"/>
    </xf>
    <xf numFmtId="0" fontId="2" fillId="6" borderId="0" xfId="0" applyFont="1" applyFill="1" applyAlignment="1">
      <alignment horizontal="center" vertical="center"/>
    </xf>
    <xf numFmtId="0" fontId="0" fillId="3" borderId="0" xfId="0" applyFill="1" applyAlignment="1">
      <alignment horizontal="center" vertical="center"/>
    </xf>
    <xf numFmtId="0" fontId="6" fillId="4" borderId="0" xfId="0" applyFont="1" applyFill="1" applyAlignment="1">
      <alignment horizontal="center" vertical="center"/>
    </xf>
    <xf numFmtId="0" fontId="6" fillId="2" borderId="0" xfId="0" applyFont="1" applyFill="1" applyAlignment="1">
      <alignment horizontal="center" vertical="center"/>
    </xf>
    <xf numFmtId="0" fontId="3" fillId="0" borderId="0" xfId="0" applyFont="1" applyAlignment="1">
      <alignment horizontal="center"/>
    </xf>
    <xf numFmtId="0" fontId="3" fillId="7" borderId="0" xfId="0" applyFont="1" applyFill="1" applyAlignment="1">
      <alignment horizontal="center"/>
    </xf>
    <xf numFmtId="0" fontId="12" fillId="7" borderId="0" xfId="0" applyFont="1" applyFill="1" applyAlignment="1">
      <alignment horizontal="center"/>
    </xf>
    <xf numFmtId="0" fontId="3" fillId="3" borderId="1" xfId="0" applyNumberFormat="1" applyFont="1" applyFill="1" applyBorder="1" applyAlignment="1">
      <alignment horizontal="center" vertical="center" wrapText="1"/>
    </xf>
    <xf numFmtId="0" fontId="2" fillId="2" borderId="0" xfId="0" applyFont="1" applyFill="1" applyAlignment="1">
      <alignment horizontal="center"/>
    </xf>
  </cellXfs>
  <cellStyles count="4">
    <cellStyle name="Hiperlink" xfId="2" builtinId="8"/>
    <cellStyle name="Normal" xfId="0" builtinId="0"/>
    <cellStyle name="Normal 6 4" xfId="3" xr:uid="{5880DD7B-FD28-43C8-B2B0-9114FC185CA2}"/>
    <cellStyle name="Porcentagem" xfId="1" builtinId="5"/>
  </cellStyles>
  <dxfs count="239">
    <dxf>
      <font>
        <b/>
        <i val="0"/>
        <strike val="0"/>
        <condense val="0"/>
        <extend val="0"/>
        <outline val="0"/>
        <shadow val="0"/>
        <u val="none"/>
        <vertAlign val="baseline"/>
        <sz val="11"/>
        <color theme="1"/>
        <name val="Calibri"/>
        <family val="2"/>
        <scheme val="minor"/>
      </font>
      <numFmt numFmtId="169" formatCode="0.0"/>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rgb="FFEAF2EF"/>
        </patternFill>
      </fill>
    </dxf>
    <dxf>
      <fill>
        <patternFill>
          <bgColor rgb="FFC6E0DD"/>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bgColor rgb="FFFF0000"/>
        </patternFill>
      </fill>
    </dxf>
    <dxf>
      <fill>
        <patternFill>
          <bgColor theme="5" tint="0.59996337778862885"/>
        </patternFill>
      </fill>
    </dxf>
    <dxf>
      <fill>
        <patternFill>
          <bgColor rgb="FFFFF4CC"/>
        </patternFill>
      </fill>
    </dxf>
    <dxf>
      <border>
        <left style="thin">
          <color rgb="FF008000"/>
        </left>
        <vertical/>
        <horizontal/>
      </border>
    </dxf>
    <dxf>
      <font>
        <b/>
        <i val="0"/>
        <color rgb="FFFFC000"/>
      </font>
    </dxf>
    <dxf>
      <font>
        <b/>
        <i val="0"/>
        <color rgb="FFFF0000"/>
      </font>
    </dxf>
    <dxf>
      <font>
        <b/>
        <i val="0"/>
        <color rgb="FF00B050"/>
      </font>
    </dxf>
    <dxf>
      <font>
        <b/>
        <i val="0"/>
        <color rgb="FFFFC000"/>
      </font>
    </dxf>
    <dxf>
      <font>
        <b/>
        <i val="0"/>
        <color rgb="FFFF0000"/>
      </font>
    </dxf>
    <dxf>
      <font>
        <b/>
        <i val="0"/>
        <color rgb="FF00B050"/>
      </font>
    </dxf>
    <dxf>
      <fill>
        <patternFill>
          <bgColor theme="5" tint="0.79998168889431442"/>
        </patternFill>
      </fill>
    </dxf>
    <dxf>
      <fill>
        <patternFill>
          <bgColor rgb="FFFF0000"/>
        </patternFill>
      </fill>
    </dxf>
    <dxf>
      <fill>
        <patternFill>
          <bgColor rgb="FF00B050"/>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7" formatCode="dd\-mmm\-yy"/>
      <alignment horizontal="center" vertical="center" textRotation="0" wrapText="1" indent="0" justifyLastLine="0" shrinkToFit="0" readingOrder="0"/>
      <border diagonalUp="0" diagonalDown="0">
        <left/>
        <right/>
        <top/>
        <bottom style="thin">
          <color theme="0" tint="-0.14996795556505021"/>
        </bottom>
        <vertical/>
        <horizontal/>
      </border>
    </dxf>
    <dxf>
      <font>
        <b val="0"/>
        <i val="0"/>
        <strike val="0"/>
        <condense val="0"/>
        <extend val="0"/>
        <outline val="0"/>
        <shadow val="0"/>
        <u val="none"/>
        <vertAlign val="baseline"/>
        <sz val="11"/>
        <color auto="1"/>
        <name val="Calibri"/>
        <family val="2"/>
        <scheme val="minor"/>
      </font>
      <numFmt numFmtId="167" formatCode="dd\-mmm\-yy"/>
      <alignment horizontal="center" vertical="center" textRotation="0" wrapText="1" indent="0" justifyLastLine="0" shrinkToFit="0" readingOrder="0"/>
      <border diagonalUp="0" diagonalDown="0">
        <left/>
        <right/>
        <top/>
        <bottom style="thin">
          <color theme="0" tint="-0.14996795556505021"/>
        </bottom>
        <vertical/>
        <horizontal/>
      </border>
    </dxf>
    <dxf>
      <border outline="0">
        <top style="thin">
          <color rgb="FFD9D9D9"/>
        </top>
        <bottom style="thin">
          <color rgb="FFD9D9D9"/>
        </bottom>
      </border>
    </dxf>
    <dxf>
      <font>
        <b val="0"/>
        <i val="0"/>
        <strike val="0"/>
        <condense val="0"/>
        <extend val="0"/>
        <outline val="0"/>
        <shadow val="0"/>
        <u val="none"/>
        <vertAlign val="baseline"/>
        <sz val="11"/>
        <color auto="1"/>
        <name val="Calibri"/>
        <family val="2"/>
        <scheme val="none"/>
      </font>
      <alignment horizontal="center" vertical="center" textRotation="0" wrapText="1" indent="0" justifyLastLine="0" shrinkToFit="0" readingOrder="0"/>
    </dxf>
    <dxf>
      <border outline="0">
        <bottom style="thin">
          <color rgb="FFD9D9D9"/>
        </bottom>
      </border>
    </dxf>
    <dxf>
      <font>
        <b/>
        <i val="0"/>
        <strike val="0"/>
        <condense val="0"/>
        <extend val="0"/>
        <outline val="0"/>
        <shadow val="0"/>
        <u val="none"/>
        <vertAlign val="baseline"/>
        <sz val="14"/>
        <color auto="1"/>
        <name val="Calibri"/>
        <family val="2"/>
        <scheme val="minor"/>
      </font>
      <numFmt numFmtId="170" formatCode="d\-mmm"/>
      <fill>
        <patternFill patternType="solid">
          <fgColor indexed="64"/>
          <bgColor theme="0" tint="-4.9989318521683403E-2"/>
        </patternFill>
      </fill>
      <alignment horizontal="center" vertical="center" textRotation="0" wrapText="1"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style="thin">
          <color theme="5"/>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border outline="0">
        <left style="thin">
          <color theme="5"/>
        </left>
        <top style="thin">
          <color theme="5"/>
        </top>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5"/>
          <bgColor theme="5"/>
        </patternFill>
      </fill>
      <alignment horizontal="center" vertical="center" textRotation="0" wrapText="0" indent="0" justifyLastLine="0" shrinkToFit="0" readingOrder="0"/>
    </dxf>
  </dxfs>
  <tableStyles count="0" defaultTableStyle="TableStyleMedium2" defaultPivotStyle="PivotStyleLight16"/>
  <colors>
    <mruColors>
      <color rgb="FF0A3A00"/>
      <color rgb="FFFF6200"/>
      <color rgb="FF000D3C"/>
      <color rgb="FFEAF2EF"/>
      <color rgb="FFC6E0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23/09/relationships/Python" Target="python.xml"/></Relationships>
</file>

<file path=xl/drawings/_rels/drawing1.xml.rels><?xml version="1.0" encoding="UTF-8" standalone="yes"?>
<Relationships xmlns="http://schemas.openxmlformats.org/package/2006/relationships"><Relationship Id="rId8" Type="http://schemas.openxmlformats.org/officeDocument/2006/relationships/hyperlink" Target="#Prioriza&#231;&#227;o!A1"/><Relationship Id="rId3" Type="http://schemas.microsoft.com/office/2007/relationships/hdphoto" Target="../media/hdphoto1.wdp"/><Relationship Id="rId7" Type="http://schemas.openxmlformats.org/officeDocument/2006/relationships/hyperlink" Target="#'Roadmap - Vis&#227;o Timeline'!A1"/><Relationship Id="rId2" Type="http://schemas.openxmlformats.org/officeDocument/2006/relationships/image" Target="../media/image1.png"/><Relationship Id="rId1" Type="http://schemas.openxmlformats.org/officeDocument/2006/relationships/hyperlink" Target="#'Roadmap Estrat&#233;gico'!A1"/><Relationship Id="rId6" Type="http://schemas.openxmlformats.org/officeDocument/2006/relationships/hyperlink" Target="#'Sprint Goals'!A1"/><Relationship Id="rId5" Type="http://schemas.openxmlformats.org/officeDocument/2006/relationships/hyperlink" Target="#'Analytics Roadmap T&#225;tico'!A1"/><Relationship Id="rId4" Type="http://schemas.openxmlformats.org/officeDocument/2006/relationships/hyperlink" Target="#'Roadmap T&#225;tico'!A1"/></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285750</xdr:colOff>
      <xdr:row>7</xdr:row>
      <xdr:rowOff>0</xdr:rowOff>
    </xdr:from>
    <xdr:to>
      <xdr:col>5</xdr:col>
      <xdr:colOff>400050</xdr:colOff>
      <xdr:row>7</xdr:row>
      <xdr:rowOff>354330</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855E7B8-EEFF-CDB4-3ED6-43B8EBFBD245}"/>
            </a:ext>
          </a:extLst>
        </xdr:cNvPr>
        <xdr:cNvSpPr/>
      </xdr:nvSpPr>
      <xdr:spPr>
        <a:xfrm>
          <a:off x="5648325" y="1371600"/>
          <a:ext cx="1943100" cy="35433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Roadmap Estratégico</a:t>
          </a:r>
        </a:p>
      </xdr:txBody>
    </xdr:sp>
    <xdr:clientData/>
  </xdr:twoCellAnchor>
  <xdr:twoCellAnchor>
    <xdr:from>
      <xdr:col>0</xdr:col>
      <xdr:colOff>929640</xdr:colOff>
      <xdr:row>3</xdr:row>
      <xdr:rowOff>160020</xdr:rowOff>
    </xdr:from>
    <xdr:to>
      <xdr:col>61</xdr:col>
      <xdr:colOff>305640</xdr:colOff>
      <xdr:row>4</xdr:row>
      <xdr:rowOff>13140</xdr:rowOff>
    </xdr:to>
    <xdr:cxnSp macro="">
      <xdr:nvCxnSpPr>
        <xdr:cNvPr id="8" name="Conector reto 7">
          <a:extLst>
            <a:ext uri="{FF2B5EF4-FFF2-40B4-BE49-F238E27FC236}">
              <a16:creationId xmlns:a16="http://schemas.microsoft.com/office/drawing/2014/main" id="{68B3809B-4E45-4F16-A099-5221217CB072}"/>
            </a:ext>
          </a:extLst>
        </xdr:cNvPr>
        <xdr:cNvCxnSpPr/>
      </xdr:nvCxnSpPr>
      <xdr:spPr>
        <a:xfrm>
          <a:off x="929640" y="708660"/>
          <a:ext cx="7718382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1</xdr:col>
      <xdr:colOff>64193</xdr:colOff>
      <xdr:row>3</xdr:row>
      <xdr:rowOff>119270</xdr:rowOff>
    </xdr:to>
    <xdr:pic>
      <xdr:nvPicPr>
        <xdr:cNvPr id="9" name="Imagem 8">
          <a:extLst>
            <a:ext uri="{FF2B5EF4-FFF2-40B4-BE49-F238E27FC236}">
              <a16:creationId xmlns:a16="http://schemas.microsoft.com/office/drawing/2014/main" id="{E72B1213-1A5F-4434-B0DF-B23D852DF59D}"/>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3974" cy="618214"/>
        </a:xfrm>
        <a:prstGeom prst="rect">
          <a:avLst/>
        </a:prstGeom>
      </xdr:spPr>
    </xdr:pic>
    <xdr:clientData/>
  </xdr:twoCellAnchor>
  <xdr:twoCellAnchor>
    <xdr:from>
      <xdr:col>5</xdr:col>
      <xdr:colOff>514350</xdr:colOff>
      <xdr:row>7</xdr:row>
      <xdr:rowOff>0</xdr:rowOff>
    </xdr:from>
    <xdr:to>
      <xdr:col>10</xdr:col>
      <xdr:colOff>390525</xdr:colOff>
      <xdr:row>7</xdr:row>
      <xdr:rowOff>352425</xdr:rowOff>
    </xdr:to>
    <xdr:sp macro="" textlink="">
      <xdr:nvSpPr>
        <xdr:cNvPr id="7" name="Retângulo 6">
          <a:hlinkClick xmlns:r="http://schemas.openxmlformats.org/officeDocument/2006/relationships" r:id="rId4"/>
          <a:extLst>
            <a:ext uri="{FF2B5EF4-FFF2-40B4-BE49-F238E27FC236}">
              <a16:creationId xmlns:a16="http://schemas.microsoft.com/office/drawing/2014/main" id="{44264E77-127D-07AA-5958-57BDEB9EAE7F}"/>
            </a:ext>
          </a:extLst>
        </xdr:cNvPr>
        <xdr:cNvSpPr/>
      </xdr:nvSpPr>
      <xdr:spPr>
        <a:xfrm>
          <a:off x="7705725" y="1371600"/>
          <a:ext cx="2924175"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Analytics do Roadmap Estratégico</a:t>
          </a:r>
        </a:p>
      </xdr:txBody>
    </xdr:sp>
    <xdr:clientData/>
  </xdr:twoCellAnchor>
  <xdr:twoCellAnchor>
    <xdr:from>
      <xdr:col>2</xdr:col>
      <xdr:colOff>285750</xdr:colOff>
      <xdr:row>8</xdr:row>
      <xdr:rowOff>0</xdr:rowOff>
    </xdr:from>
    <xdr:to>
      <xdr:col>5</xdr:col>
      <xdr:colOff>400050</xdr:colOff>
      <xdr:row>8</xdr:row>
      <xdr:rowOff>352425</xdr:rowOff>
    </xdr:to>
    <xdr:sp macro="" textlink="">
      <xdr:nvSpPr>
        <xdr:cNvPr id="10" name="Retângulo 9">
          <a:hlinkClick xmlns:r="http://schemas.openxmlformats.org/officeDocument/2006/relationships" r:id="rId1"/>
          <a:extLst>
            <a:ext uri="{FF2B5EF4-FFF2-40B4-BE49-F238E27FC236}">
              <a16:creationId xmlns:a16="http://schemas.microsoft.com/office/drawing/2014/main" id="{8C053C07-B4B0-B831-8F63-FD22BD2072DF}"/>
            </a:ext>
          </a:extLst>
        </xdr:cNvPr>
        <xdr:cNvSpPr/>
      </xdr:nvSpPr>
      <xdr:spPr>
        <a:xfrm>
          <a:off x="5648325" y="1876425"/>
          <a:ext cx="1943100"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Roadmap Tático</a:t>
          </a:r>
        </a:p>
      </xdr:txBody>
    </xdr:sp>
    <xdr:clientData/>
  </xdr:twoCellAnchor>
  <xdr:twoCellAnchor>
    <xdr:from>
      <xdr:col>5</xdr:col>
      <xdr:colOff>514350</xdr:colOff>
      <xdr:row>8</xdr:row>
      <xdr:rowOff>0</xdr:rowOff>
    </xdr:from>
    <xdr:to>
      <xdr:col>10</xdr:col>
      <xdr:colOff>396240</xdr:colOff>
      <xdr:row>8</xdr:row>
      <xdr:rowOff>352425</xdr:rowOff>
    </xdr:to>
    <xdr:sp macro="" textlink="">
      <xdr:nvSpPr>
        <xdr:cNvPr id="11" name="Retângulo 10">
          <a:hlinkClick xmlns:r="http://schemas.openxmlformats.org/officeDocument/2006/relationships" r:id="rId5"/>
          <a:extLst>
            <a:ext uri="{FF2B5EF4-FFF2-40B4-BE49-F238E27FC236}">
              <a16:creationId xmlns:a16="http://schemas.microsoft.com/office/drawing/2014/main" id="{3B9DF075-8501-C6CF-ED69-06066FFE0A0D}"/>
            </a:ext>
          </a:extLst>
        </xdr:cNvPr>
        <xdr:cNvSpPr/>
      </xdr:nvSpPr>
      <xdr:spPr>
        <a:xfrm>
          <a:off x="7705725" y="1876425"/>
          <a:ext cx="2929890"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Analytics do Roadmap Tático</a:t>
          </a:r>
        </a:p>
      </xdr:txBody>
    </xdr:sp>
    <xdr:clientData/>
  </xdr:twoCellAnchor>
  <xdr:twoCellAnchor>
    <xdr:from>
      <xdr:col>2</xdr:col>
      <xdr:colOff>281940</xdr:colOff>
      <xdr:row>9</xdr:row>
      <xdr:rowOff>18098</xdr:rowOff>
    </xdr:from>
    <xdr:to>
      <xdr:col>5</xdr:col>
      <xdr:colOff>396240</xdr:colOff>
      <xdr:row>9</xdr:row>
      <xdr:rowOff>370523</xdr:rowOff>
    </xdr:to>
    <xdr:sp macro="" textlink="">
      <xdr:nvSpPr>
        <xdr:cNvPr id="12" name="Retângulo 11">
          <a:hlinkClick xmlns:r="http://schemas.openxmlformats.org/officeDocument/2006/relationships" r:id="rId6"/>
          <a:extLst>
            <a:ext uri="{FF2B5EF4-FFF2-40B4-BE49-F238E27FC236}">
              <a16:creationId xmlns:a16="http://schemas.microsoft.com/office/drawing/2014/main" id="{B5E4D86C-4881-85FD-A4B7-5814308EDA4A}"/>
            </a:ext>
          </a:extLst>
        </xdr:cNvPr>
        <xdr:cNvSpPr/>
      </xdr:nvSpPr>
      <xdr:spPr>
        <a:xfrm>
          <a:off x="5644515" y="2399348"/>
          <a:ext cx="1943100"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Sprint</a:t>
          </a:r>
          <a:r>
            <a:rPr lang="pt-BR" sz="1000" b="1" baseline="0">
              <a:latin typeface="Segoe UI" panose="020B0502040204020203" pitchFamily="34" charset="0"/>
              <a:cs typeface="Segoe UI" panose="020B0502040204020203" pitchFamily="34" charset="0"/>
            </a:rPr>
            <a:t> Goals</a:t>
          </a:r>
          <a:endParaRPr lang="pt-BR" sz="1000" b="1">
            <a:latin typeface="Segoe UI" panose="020B0502040204020203" pitchFamily="34" charset="0"/>
            <a:cs typeface="Segoe UI" panose="020B0502040204020203" pitchFamily="34" charset="0"/>
          </a:endParaRPr>
        </a:p>
      </xdr:txBody>
    </xdr:sp>
    <xdr:clientData/>
  </xdr:twoCellAnchor>
  <xdr:twoCellAnchor>
    <xdr:from>
      <xdr:col>2</xdr:col>
      <xdr:colOff>281940</xdr:colOff>
      <xdr:row>10</xdr:row>
      <xdr:rowOff>23337</xdr:rowOff>
    </xdr:from>
    <xdr:to>
      <xdr:col>5</xdr:col>
      <xdr:colOff>396240</xdr:colOff>
      <xdr:row>10</xdr:row>
      <xdr:rowOff>373857</xdr:rowOff>
    </xdr:to>
    <xdr:sp macro="" textlink="">
      <xdr:nvSpPr>
        <xdr:cNvPr id="14" name="Retângulo 13">
          <a:hlinkClick xmlns:r="http://schemas.openxmlformats.org/officeDocument/2006/relationships" r:id="rId7"/>
          <a:extLst>
            <a:ext uri="{FF2B5EF4-FFF2-40B4-BE49-F238E27FC236}">
              <a16:creationId xmlns:a16="http://schemas.microsoft.com/office/drawing/2014/main" id="{1F3BB3AE-8894-41BE-B9EA-ACE7669ECCC0}"/>
            </a:ext>
          </a:extLst>
        </xdr:cNvPr>
        <xdr:cNvSpPr/>
      </xdr:nvSpPr>
      <xdr:spPr>
        <a:xfrm>
          <a:off x="5644515" y="2909412"/>
          <a:ext cx="1943100" cy="35052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Timeline</a:t>
          </a:r>
        </a:p>
      </xdr:txBody>
    </xdr:sp>
    <xdr:clientData/>
  </xdr:twoCellAnchor>
  <xdr:twoCellAnchor>
    <xdr:from>
      <xdr:col>2</xdr:col>
      <xdr:colOff>285750</xdr:colOff>
      <xdr:row>11</xdr:row>
      <xdr:rowOff>28575</xdr:rowOff>
    </xdr:from>
    <xdr:to>
      <xdr:col>5</xdr:col>
      <xdr:colOff>400050</xdr:colOff>
      <xdr:row>11</xdr:row>
      <xdr:rowOff>392430</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CFC3D557-1616-0F51-32BE-FAABE9174175}"/>
            </a:ext>
          </a:extLst>
        </xdr:cNvPr>
        <xdr:cNvSpPr/>
      </xdr:nvSpPr>
      <xdr:spPr>
        <a:xfrm>
          <a:off x="5648325" y="3419475"/>
          <a:ext cx="1943100" cy="36385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Priorização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61</xdr:col>
      <xdr:colOff>305640</xdr:colOff>
      <xdr:row>4</xdr:row>
      <xdr:rowOff>13140</xdr:rowOff>
    </xdr:to>
    <xdr:cxnSp macro="">
      <xdr:nvCxnSpPr>
        <xdr:cNvPr id="2" name="Conector reto 1">
          <a:extLst>
            <a:ext uri="{FF2B5EF4-FFF2-40B4-BE49-F238E27FC236}">
              <a16:creationId xmlns:a16="http://schemas.microsoft.com/office/drawing/2014/main" id="{9F5B69F6-3C92-4C3A-A443-A36ED9D79C78}"/>
            </a:ext>
          </a:extLst>
        </xdr:cNvPr>
        <xdr:cNvCxnSpPr/>
      </xdr:nvCxnSpPr>
      <xdr:spPr>
        <a:xfrm>
          <a:off x="632460" y="708660"/>
          <a:ext cx="6865704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0</xdr:col>
      <xdr:colOff>673793</xdr:colOff>
      <xdr:row>3</xdr:row>
      <xdr:rowOff>119270</xdr:rowOff>
    </xdr:to>
    <xdr:pic>
      <xdr:nvPicPr>
        <xdr:cNvPr id="3" name="Imagem 2">
          <a:extLst>
            <a:ext uri="{FF2B5EF4-FFF2-40B4-BE49-F238E27FC236}">
              <a16:creationId xmlns:a16="http://schemas.microsoft.com/office/drawing/2014/main" id="{643AB22F-F7E2-46C6-A575-2A7D17D8009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3974" cy="6182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57</xdr:col>
      <xdr:colOff>305640</xdr:colOff>
      <xdr:row>4</xdr:row>
      <xdr:rowOff>13140</xdr:rowOff>
    </xdr:to>
    <xdr:cxnSp macro="">
      <xdr:nvCxnSpPr>
        <xdr:cNvPr id="3" name="Conector reto 2">
          <a:extLst>
            <a:ext uri="{FF2B5EF4-FFF2-40B4-BE49-F238E27FC236}">
              <a16:creationId xmlns:a16="http://schemas.microsoft.com/office/drawing/2014/main" id="{25D30973-E80B-5FA2-0B49-3CE0CDBC3802}"/>
            </a:ext>
          </a:extLst>
        </xdr:cNvPr>
        <xdr:cNvCxnSpPr/>
      </xdr:nvCxnSpPr>
      <xdr:spPr>
        <a:xfrm>
          <a:off x="929640" y="708660"/>
          <a:ext cx="4664286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1</xdr:col>
      <xdr:colOff>41333</xdr:colOff>
      <xdr:row>3</xdr:row>
      <xdr:rowOff>134510</xdr:rowOff>
    </xdr:to>
    <xdr:pic>
      <xdr:nvPicPr>
        <xdr:cNvPr id="6" name="Imagem 5">
          <a:extLst>
            <a:ext uri="{FF2B5EF4-FFF2-40B4-BE49-F238E27FC236}">
              <a16:creationId xmlns:a16="http://schemas.microsoft.com/office/drawing/2014/main" id="{7003ED6A-C52A-BA1D-DA4E-14D2D217AA9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0992" cy="6261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59</xdr:col>
      <xdr:colOff>305640</xdr:colOff>
      <xdr:row>4</xdr:row>
      <xdr:rowOff>13140</xdr:rowOff>
    </xdr:to>
    <xdr:cxnSp macro="">
      <xdr:nvCxnSpPr>
        <xdr:cNvPr id="2" name="Conector reto 1">
          <a:extLst>
            <a:ext uri="{FF2B5EF4-FFF2-40B4-BE49-F238E27FC236}">
              <a16:creationId xmlns:a16="http://schemas.microsoft.com/office/drawing/2014/main" id="{3C5A3184-5479-4EA1-A101-BD25F0EBF91C}"/>
            </a:ext>
          </a:extLst>
        </xdr:cNvPr>
        <xdr:cNvCxnSpPr/>
      </xdr:nvCxnSpPr>
      <xdr:spPr>
        <a:xfrm>
          <a:off x="632460" y="708660"/>
          <a:ext cx="5102436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38100</xdr:colOff>
      <xdr:row>0</xdr:row>
      <xdr:rowOff>53340</xdr:rowOff>
    </xdr:from>
    <xdr:to>
      <xdr:col>1</xdr:col>
      <xdr:colOff>58062</xdr:colOff>
      <xdr:row>3</xdr:row>
      <xdr:rowOff>130865</xdr:rowOff>
    </xdr:to>
    <xdr:pic>
      <xdr:nvPicPr>
        <xdr:cNvPr id="3" name="Imagem 2">
          <a:extLst>
            <a:ext uri="{FF2B5EF4-FFF2-40B4-BE49-F238E27FC236}">
              <a16:creationId xmlns:a16="http://schemas.microsoft.com/office/drawing/2014/main" id="{BFE116E6-3854-4DE7-976F-5D1146590CCF}"/>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38100" y="53340"/>
          <a:ext cx="640992" cy="62616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 Emerson R." id="{1AB07DAC-6FFA-42F5-A98B-F2412B7653AF}" userId="7e66243f108409f2"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 Emerson R." refreshedDate="45797.300314930559" createdVersion="8" refreshedVersion="8" minRefreshableVersion="3" recordCount="36" xr:uid="{22AE7A5F-62DA-442C-9C4D-BCA79BCF3440}">
  <cacheSource type="worksheet">
    <worksheetSource name="tbRoadMapTatico"/>
  </cacheSource>
  <cacheFields count="46">
    <cacheField name="ID Tático" numFmtId="0">
      <sharedItems containsSemiMixedTypes="0" containsString="0" containsNumber="1" containsInteger="1" minValue="7" maxValue="42"/>
    </cacheField>
    <cacheField name="ID Estratégico" numFmtId="0">
      <sharedItems containsSemiMixedTypes="0" containsString="0" containsNumber="1" containsInteger="1" minValue="7" maxValue="32"/>
    </cacheField>
    <cacheField name="Produto" numFmtId="0">
      <sharedItems count="8">
        <s v="IBS 360"/>
        <s v="Gestão do Parque"/>
        <s v="Geocompasso"/>
        <s v="Radar Imobiliário"/>
        <s v="Inteligência Imobiliária - Planejamento de Negociação"/>
        <s v="Inteligência Imobiliária - Hórus 3.0"/>
        <s v="Scorefy"/>
        <s v="Score de Agências"/>
      </sharedItems>
    </cacheField>
    <cacheField name="Épico" numFmtId="0">
      <sharedItems count="12">
        <s v="Melhoria experiência do usuário"/>
        <s v="Arquitetura"/>
        <s v="Go To Market"/>
        <s v="Pesquisa"/>
        <s v="Métricas"/>
        <s v="Base 360"/>
        <s v="Novo Geocompasso com Visualização Aprimorada, Filtros Otimizados e Cálculo de Distância"/>
        <s v="Lançamento Radar Imobiliário na QE6"/>
        <s v="Inteligência Imobiliária - Planejamento de Negociação"/>
        <s v="IBS 360 - Integração com Hórus 3.0"/>
        <s v="Score Insight"/>
        <s v="Reincidência"/>
      </sharedItems>
    </cacheField>
    <cacheField name="Escolha ou Renúncia" numFmtId="0">
      <sharedItems count="2">
        <s v="Escolha"/>
        <s v="Renúncia"/>
      </sharedItems>
    </cacheField>
    <cacheField name="Criticidade" numFmtId="0">
      <sharedItems count="3">
        <s v="Alta"/>
        <s v="Média"/>
        <s v="Baixa"/>
      </sharedItems>
    </cacheField>
    <cacheField name="História" numFmtId="0">
      <sharedItems count="38">
        <s v="Protótipo Página Inicial"/>
        <s v="Desenvolvimento da Página Inicial"/>
        <s v="AutoScaling - Configuração AWS"/>
        <s v="Redução de Pendência no IUConfia - AutoScaling"/>
        <s v="Desenvolvimento Cookies"/>
        <s v="Testes Alfa"/>
        <s v="Testes Beta Aberto com Recrutamento via Formulário"/>
        <s v="Ajustes Finais do IBS 360 Pós-Alfa e Beta Testes"/>
        <s v="Lançamento Oficial"/>
        <s v="Definição da pesquisa de satisfação"/>
        <s v="Estruturação de Logs - Código"/>
        <s v="Desenvolvimento da pesquisa de satisfação dentro do IBS"/>
        <s v="Base 360 - Democratização dos Dados - Definição Técnica"/>
        <s v="Base 360 - Democratização - Execução"/>
        <s v="Atualização Periódica de Dados de Clientes, Informações Financeiras e Quadro de Funcionários"/>
        <s v="Base 360 - Desenho do Fluxo de Dados"/>
        <s v="Atualização da Fonte de Dados da Base de Caixas Eletrônicos Itaú (CEIS)"/>
        <s v="Atualização da Fonte de Dados da Base de Obras"/>
        <s v="Discovery Geocompasso"/>
        <s v="Cálculo de Distância entre Agências"/>
        <s v="Radar Imobiliário - Testes Unitários"/>
        <s v="Transposição de código do Radar Imobiliário para o IBS em Produção na Sigla QE6"/>
        <s v="Planejamento de Negociação - Desenho de Arquitetura"/>
        <s v="Planejamento de Negociação - Criação Arquitetura na AWS"/>
        <s v="Planejamento de Negociação - Front End"/>
        <s v="Hórus 3.0 -  Desenho de Arquitetura"/>
        <s v="Hórus 3.0 - MVP Streamlit"/>
        <s v="Score Insight - GPT Enterprise"/>
        <s v="Score Insight - Envolvimento Time Clarissa"/>
        <s v="Mapeamento Fontes de Dados - Base 360"/>
        <s v="Execução do Data Quality"/>
        <s v="Separação dos Outputs da Base 360 em Ambientes Dev, Homologação e Produção"/>
        <s v="Reincidência de Agências Críticas"/>
        <s v="Soluções para melhorar a identificação de agências críticas - Realização de sessão de Discovery (BrainStorm + Prioritization Idea)"/>
        <s v="Soluções para melhorar a identificação de agências críticas -  Delivery"/>
        <s v="Novo Geocompasso com Visualização Aprimorada, Filtros Otimizados e Cálculo de Distância" u="1"/>
        <s v="Testes Unitários" u="1"/>
        <s v="Transposição do Radar Imobiliário para o IBS em Produção na Sigla QE6" u="1"/>
      </sharedItems>
    </cacheField>
    <cacheField name="Classificação da Torre" numFmtId="0">
      <sharedItems/>
    </cacheField>
    <cacheField name="Frente Prioritária" numFmtId="0">
      <sharedItems/>
    </cacheField>
    <cacheField name="Discovery/Delivery" numFmtId="0">
      <sharedItems count="2">
        <s v="Discovery"/>
        <s v="Delivery"/>
      </sharedItems>
    </cacheField>
    <cacheField name="Orquestrado/Envolvido" numFmtId="0">
      <sharedItems/>
    </cacheField>
    <cacheField name="Sinaleiro" numFmtId="0">
      <sharedItems containsBlank="1" count="5">
        <s v="Médio"/>
        <s v="Ruim"/>
        <s v="Bom"/>
        <s v="Excelente"/>
        <m/>
      </sharedItems>
    </cacheField>
    <cacheField name="Sinaleiro - Ícone" numFmtId="0">
      <sharedItems containsMixedTypes="1" containsNumber="1" containsInteger="1" minValue="1" maxValue="4"/>
    </cacheField>
    <cacheField name="Status" numFmtId="0">
      <sharedItems count="5">
        <s v="Entregue"/>
        <s v="Em Delivery"/>
        <s v="Ideia"/>
        <s v="Em Discovery"/>
        <s v="Com impedimentos"/>
      </sharedItems>
    </cacheField>
    <cacheField name="Ponto Focal" numFmtId="0">
      <sharedItems count="8">
        <s v="Gabs"/>
        <s v="Everton"/>
        <s v="Todos SCD"/>
        <s v="Andrea"/>
        <s v="Chris"/>
        <s v="Ronald"/>
        <s v="Izadora"/>
        <s v="Naiara"/>
      </sharedItems>
    </cacheField>
    <cacheField name="Desenvolvedor 1" numFmtId="0">
      <sharedItems containsBlank="1" count="8">
        <s v="Gabs"/>
        <s v="Everton"/>
        <s v="Todos SCD"/>
        <m/>
        <s v="Chris"/>
        <s v="Ronald"/>
        <s v="Time Advanced"/>
        <s v="Izadora"/>
      </sharedItems>
    </cacheField>
    <cacheField name="Desenvolvedor 2" numFmtId="0">
      <sharedItems containsBlank="1" count="11">
        <s v="Chris"/>
        <s v="Guto"/>
        <m/>
        <s v="Gabs"/>
        <s v="Everton"/>
        <s v="Naiara"/>
        <s v="Triz"/>
        <s v="Time Murillo"/>
        <s v="Izadora"/>
        <s v="Ronald"/>
        <s v="Mari"/>
      </sharedItems>
    </cacheField>
    <cacheField name="Desenvolvedor 3" numFmtId="0">
      <sharedItems containsBlank="1" count="4">
        <m/>
        <s v="Chris"/>
        <s v="Gabs"/>
        <s v="Naiara"/>
      </sharedItems>
    </cacheField>
    <cacheField name="Desenvolvedores (Adicionais)" numFmtId="0">
      <sharedItems containsBlank="1" count="2">
        <m/>
        <s v="Triz"/>
      </sharedItems>
    </cacheField>
    <cacheField name="Designer Atuante" numFmtId="0">
      <sharedItems containsBlank="1" count="2">
        <s v="Andrea"/>
        <m/>
      </sharedItems>
    </cacheField>
    <cacheField name="TechLead Atuante" numFmtId="0">
      <sharedItems containsBlank="1" count="2">
        <m/>
        <s v="Gui"/>
      </sharedItems>
    </cacheField>
    <cacheField name="Governança Atuante" numFmtId="0">
      <sharedItems containsBlank="1" count="2">
        <m/>
        <s v="Guto"/>
      </sharedItems>
    </cacheField>
    <cacheField name="Data Início Desejado" numFmtId="0">
      <sharedItems containsBlank="1"/>
    </cacheField>
    <cacheField name="Data Início Real" numFmtId="0">
      <sharedItems containsBlank="1"/>
    </cacheField>
    <cacheField name="Data Fim Desejado" numFmtId="0">
      <sharedItems containsBlank="1"/>
    </cacheField>
    <cacheField name="Data Fim Real" numFmtId="0">
      <sharedItems containsBlank="1"/>
    </cacheField>
    <cacheField name="Duração em Sprints (Inicio Desejado x Fim Desejado)" numFmtId="0">
      <sharedItems/>
    </cacheField>
    <cacheField name="Duração em Sprints (Inicio Desejado x Fim Real)" numFmtId="0">
      <sharedItems/>
    </cacheField>
    <cacheField name="Duração em Sprints (Inicio Real x Fim Real)" numFmtId="0">
      <sharedItems/>
    </cacheField>
    <cacheField name="Dores" numFmtId="0">
      <sharedItems containsBlank="1" longText="1"/>
    </cacheField>
    <cacheField name="Público Alvo" numFmtId="0">
      <sharedItems containsBlank="1"/>
    </cacheField>
    <cacheField name="Outcome (Benefício Qualitativo)" numFmtId="0">
      <sharedItems containsBlank="1" longText="1"/>
    </cacheField>
    <cacheField name="Outcome (Benefício Quantitativo)" numFmtId="0">
      <sharedItems containsBlank="1" longText="1"/>
    </cacheField>
    <cacheField name="Métricas" numFmtId="0">
      <sharedItems containsBlank="1" longText="1"/>
    </cacheField>
    <cacheField name="Riscos/Impedimentos/Dependência" numFmtId="0">
      <sharedItems containsBlank="1" longText="1"/>
    </cacheField>
    <cacheField name="Impacto" numFmtId="0">
      <sharedItems containsBlank="1"/>
    </cacheField>
    <cacheField name="Probabilidade de acontecer" numFmtId="9">
      <sharedItems containsString="0" containsBlank="1" containsNumber="1" minValue="0.5" maxValue="0.5"/>
    </cacheField>
    <cacheField name="Observações" numFmtId="9">
      <sharedItems containsNonDate="0" containsString="0" containsBlank="1"/>
    </cacheField>
    <cacheField name="S1_x000a_06/01 à 24/01" numFmtId="0">
      <sharedItems containsBlank="1"/>
    </cacheField>
    <cacheField name="S2_x000a_27/01 à 14/02" numFmtId="0">
      <sharedItems containsBlank="1"/>
    </cacheField>
    <cacheField name="S3_x000a_17/02 à 07/03" numFmtId="0">
      <sharedItems containsBlank="1"/>
    </cacheField>
    <cacheField name="S4_x000a_10/03 à 28/03" numFmtId="0">
      <sharedItems containsBlank="1"/>
    </cacheField>
    <cacheField name="S1_x000a_07/04 à 25/04" numFmtId="0">
      <sharedItems containsBlank="1"/>
    </cacheField>
    <cacheField name="S2_x000a_28/04 à 16/05" numFmtId="0">
      <sharedItems containsBlank="1"/>
    </cacheField>
    <cacheField name="S3_x000a_19/05 à 06/06" numFmtId="0">
      <sharedItems containsBlank="1"/>
    </cacheField>
    <cacheField name="S4_x000a_09/06 à 27/06"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 Emerson R." refreshedDate="45805.937793287034" createdVersion="8" refreshedVersion="8" minRefreshableVersion="3" recordCount="28" xr:uid="{3331658B-99C8-4830-B03D-6229F4FF24B6}">
  <cacheSource type="worksheet">
    <worksheetSource name="tbRoadMap"/>
  </cacheSource>
  <cacheFields count="44">
    <cacheField name="ID" numFmtId="0">
      <sharedItems containsSemiMixedTypes="0" containsString="0" containsNumber="1" containsInteger="1" minValue="7" maxValue="70"/>
    </cacheField>
    <cacheField name="Escolha ou Renúncia" numFmtId="0">
      <sharedItems count="2">
        <s v="Escolha"/>
        <s v="Renúncia"/>
      </sharedItems>
    </cacheField>
    <cacheField name="Criticidade" numFmtId="0">
      <sharedItems count="3">
        <s v="Alta"/>
        <s v="Média"/>
        <s v="Baixa"/>
      </sharedItems>
    </cacheField>
    <cacheField name="Produto" numFmtId="0">
      <sharedItems count="9">
        <s v="IBS 360"/>
        <s v="Gestão do Parque"/>
        <s v="Geocompasso"/>
        <s v="Radar Imobiliário"/>
        <s v="Inteligência Imobiliária - Planejamento de Negociação"/>
        <s v="Inteligência Imobiliária - Hórus 3.0"/>
        <s v="Scorefy"/>
        <s v="Score de Agências"/>
        <s v="Quicksight"/>
      </sharedItems>
    </cacheField>
    <cacheField name="Épico" numFmtId="0">
      <sharedItems count="15">
        <s v="Melhoria experiência do usuário"/>
        <s v="Arquitetura"/>
        <s v="Go To Market"/>
        <s v="Pesquisa"/>
        <s v="Métricas"/>
        <s v="Base 360"/>
        <s v="Novo Geocompasso com Visualização Aprimorada, Filtros Otimizados e Cálculo de Distância"/>
        <s v="Lançamento Radar Imobiliário na QE6"/>
        <s v="Inteligência Imobiliária - Planejamento de Negociação"/>
        <s v="IBS 360 - Integração com Hórus 3.0"/>
        <s v="Score Insight"/>
        <s v="OKR - Saúde das Agências"/>
        <s v="Reincidência"/>
        <s v="Quicksight"/>
        <s v="Cálculo de Distância" u="1"/>
      </sharedItems>
    </cacheField>
    <cacheField name="Iniciativa" numFmtId="0">
      <sharedItems containsBlank="1" count="21">
        <s v="Página Inicial"/>
        <s v="AutoScaling"/>
        <s v="Cookies"/>
        <s v="Lançamento Oficial do Produto"/>
        <s v="Pesquisa de Satisfação"/>
        <s v="Métricas de Produto"/>
        <s v="Democratização dos dados"/>
        <s v="Cálculo de Distância"/>
        <s v="Transposição do Radar Imobiliário para a QE6"/>
        <s v="Inteligência Imobiliária - Planejamento de Negociação"/>
        <s v="IBS 360 - Integração com Hórus 3.0"/>
        <s v="GPT Enterprise"/>
        <s v="Fornecimento do OKR da Comunidade"/>
        <s v="Recorrência de Agências Críticas"/>
        <s v="Reincidência de Agências Críticas"/>
        <s v="Data Quality"/>
        <s v="Soluções para melhorar a identificação de agências críticas"/>
        <m/>
        <s v="Automatização da Atualização da Dashboard no QuickSight"/>
        <s v="Separação dos Outputs da Base 360 em Ambientes Dev, Homologação e Produção" u="1"/>
        <s v="Cálculo de Distância entre Agências" u="1"/>
      </sharedItems>
    </cacheField>
    <cacheField name="Classificação da Torre" numFmtId="0">
      <sharedItems/>
    </cacheField>
    <cacheField name="Frente Prioritária" numFmtId="0">
      <sharedItems/>
    </cacheField>
    <cacheField name="Discovery/Delivery" numFmtId="0">
      <sharedItems count="2">
        <s v="Discovery"/>
        <s v="Delivery"/>
      </sharedItems>
    </cacheField>
    <cacheField name="Orquestrado/Envolvido" numFmtId="0">
      <sharedItems/>
    </cacheField>
    <cacheField name="Sinaleiro" numFmtId="0">
      <sharedItems containsBlank="1" count="5">
        <s v="Médio"/>
        <s v="Ruim"/>
        <s v="Bom"/>
        <s v="Excelente"/>
        <m u="1"/>
      </sharedItems>
    </cacheField>
    <cacheField name="Sinaleiro - Ícone" numFmtId="0">
      <sharedItems containsSemiMixedTypes="0" containsString="0" containsNumber="1" containsInteger="1" minValue="1" maxValue="4"/>
    </cacheField>
    <cacheField name="Status" numFmtId="0">
      <sharedItems count="6">
        <s v="Entregue"/>
        <s v="Ideia"/>
        <s v="Em Discovery"/>
        <s v="Em Delivery"/>
        <s v="Com impedimentos"/>
        <s v="Cancelado"/>
      </sharedItems>
    </cacheField>
    <cacheField name="Usamos o Dual Track?" numFmtId="0">
      <sharedItems containsBlank="1" count="4">
        <s v="Não"/>
        <s v="Não se aplica"/>
        <s v="Sim"/>
        <m/>
      </sharedItems>
    </cacheField>
    <cacheField name="Fizemos protótipo?" numFmtId="0">
      <sharedItems containsBlank="1" count="4">
        <s v="Sim"/>
        <s v="Não se aplica"/>
        <s v="Não"/>
        <m/>
      </sharedItems>
    </cacheField>
    <cacheField name="Fizemos pesquisa com o usuário?" numFmtId="0">
      <sharedItems containsBlank="1" count="4">
        <s v="Não"/>
        <s v="Não se aplica"/>
        <s v="Sim"/>
        <m/>
      </sharedItems>
    </cacheField>
    <cacheField name="Técnica de Pesquisa" numFmtId="0">
      <sharedItems containsBlank="1"/>
    </cacheField>
    <cacheField name="Data Início Desejado" numFmtId="0">
      <sharedItems/>
    </cacheField>
    <cacheField name="Data Início Real" numFmtId="0">
      <sharedItems containsBlank="1"/>
    </cacheField>
    <cacheField name="Data Fim Desejado" numFmtId="0">
      <sharedItems containsBlank="1"/>
    </cacheField>
    <cacheField name="Data Fim Real" numFmtId="0">
      <sharedItems containsBlank="1"/>
    </cacheField>
    <cacheField name="Duração em Sprints (Inicio Desejado x Fim Desejado)" numFmtId="0">
      <sharedItems/>
    </cacheField>
    <cacheField name="Duração em Sprints (Inicio Desejado x Fim Real)" numFmtId="0">
      <sharedItems/>
    </cacheField>
    <cacheField name="Duração em Sprints (Inicio Real x Fim Real)" numFmtId="0">
      <sharedItems/>
    </cacheField>
    <cacheField name="Dores" numFmtId="0">
      <sharedItems containsBlank="1" longText="1"/>
    </cacheField>
    <cacheField name="Público Alvo" numFmtId="0">
      <sharedItems containsBlank="1"/>
    </cacheField>
    <cacheField name="Outcome (Benefício Qualitativo)" numFmtId="0">
      <sharedItems containsBlank="1" longText="1"/>
    </cacheField>
    <cacheField name="Outcome (Benefício Quantitativo)" numFmtId="0">
      <sharedItems containsBlank="1" longText="1"/>
    </cacheField>
    <cacheField name="Book Wave" numFmtId="0">
      <sharedItems containsBlank="1" count="2">
        <m/>
        <s v="Sim"/>
      </sharedItems>
    </cacheField>
    <cacheField name="Data Captura" numFmtId="0">
      <sharedItems containsNonDate="0" containsDate="1" containsString="0" containsBlank="1" minDate="2025-04-30T00:00:00" maxDate="2025-07-01T00:00:00"/>
    </cacheField>
    <cacheField name="KRs Estratégico" numFmtId="0">
      <sharedItems containsDate="1" containsBlank="1" containsMixedTypes="1" minDate="2025-08-05T00:00:00" maxDate="2025-08-06T00:00:00" count="3">
        <m/>
        <d v="2025-08-05T00:00:00"/>
        <s v="CICF: 3.1 Saúde das Agências"/>
      </sharedItems>
    </cacheField>
    <cacheField name="Métricas" numFmtId="0">
      <sharedItems containsBlank="1" longText="1"/>
    </cacheField>
    <cacheField name="Riscos/Impedimentos/Dependência" numFmtId="0">
      <sharedItems containsBlank="1" longText="1"/>
    </cacheField>
    <cacheField name="Tamanho Impacto" numFmtId="0">
      <sharedItems containsBlank="1"/>
    </cacheField>
    <cacheField name="Probabilidade de acontecer" numFmtId="9">
      <sharedItems containsNonDate="0" containsString="0" containsBlank="1"/>
    </cacheField>
    <cacheField name="Observações" numFmtId="9">
      <sharedItems containsBlank="1"/>
    </cacheField>
    <cacheField name="S1_x000a_06/01 à 24/01" numFmtId="0">
      <sharedItems containsBlank="1"/>
    </cacheField>
    <cacheField name="S2_x000a_27/01 à 14/02" numFmtId="0">
      <sharedItems containsBlank="1"/>
    </cacheField>
    <cacheField name="S3_x000a_17/02 à 07/03" numFmtId="0">
      <sharedItems containsBlank="1"/>
    </cacheField>
    <cacheField name="S4_x000a_10/03 à 28/03" numFmtId="0">
      <sharedItems containsBlank="1"/>
    </cacheField>
    <cacheField name="S1_x000a_07/04 à 25/04" numFmtId="0">
      <sharedItems containsBlank="1"/>
    </cacheField>
    <cacheField name="S2_x000a_28/04 à 16/05" numFmtId="0">
      <sharedItems containsBlank="1"/>
    </cacheField>
    <cacheField name="S3_x000a_19/05 à 06/06" numFmtId="0">
      <sharedItems containsBlank="1"/>
    </cacheField>
    <cacheField name="S4_x000a_09/06 à 27/06"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n v="7"/>
    <n v="7"/>
    <x v="0"/>
    <x v="0"/>
    <x v="0"/>
    <x v="0"/>
    <x v="0"/>
    <s v="Evolução da Plataforma"/>
    <s v="Estruturante"/>
    <x v="0"/>
    <s v="Orquestrado"/>
    <x v="0"/>
    <n v="2"/>
    <x v="0"/>
    <x v="0"/>
    <x v="0"/>
    <x v="0"/>
    <x v="0"/>
    <x v="0"/>
    <x v="0"/>
    <x v="0"/>
    <x v="0"/>
    <s v="R1 S3 2025"/>
    <s v="R1 S4 2025"/>
    <s v="R1 S3 2025"/>
    <s v="R2 S1 2025"/>
    <s v="1 sprint"/>
    <s v="3 sprints"/>
    <s v="2 sprints"/>
    <m/>
    <m/>
    <m/>
    <m/>
    <m/>
    <m/>
    <m/>
    <m/>
    <m/>
    <m/>
    <m/>
    <m/>
    <m/>
    <m/>
    <m/>
    <m/>
    <m/>
  </r>
  <r>
    <n v="8"/>
    <n v="8"/>
    <x v="0"/>
    <x v="0"/>
    <x v="0"/>
    <x v="0"/>
    <x v="1"/>
    <s v="Evolução da Plataforma"/>
    <s v="Estruturante"/>
    <x v="1"/>
    <s v="Orquestrado"/>
    <x v="1"/>
    <n v="1"/>
    <x v="0"/>
    <x v="0"/>
    <x v="0"/>
    <x v="0"/>
    <x v="0"/>
    <x v="0"/>
    <x v="0"/>
    <x v="0"/>
    <x v="0"/>
    <m/>
    <m/>
    <m/>
    <m/>
    <s v=""/>
    <s v=""/>
    <s v=""/>
    <m/>
    <m/>
    <m/>
    <m/>
    <m/>
    <m/>
    <m/>
    <m/>
    <m/>
    <m/>
    <m/>
    <m/>
    <m/>
    <m/>
    <m/>
    <m/>
    <m/>
  </r>
  <r>
    <n v="9"/>
    <n v="9"/>
    <x v="0"/>
    <x v="1"/>
    <x v="0"/>
    <x v="0"/>
    <x v="2"/>
    <s v="Evolução da Plataforma"/>
    <s v="Estruturante"/>
    <x v="1"/>
    <s v="Orquestrado"/>
    <x v="1"/>
    <n v="1"/>
    <x v="0"/>
    <x v="1"/>
    <x v="1"/>
    <x v="1"/>
    <x v="1"/>
    <x v="0"/>
    <x v="1"/>
    <x v="0"/>
    <x v="0"/>
    <s v="R1 S3 2025"/>
    <s v="R1 S4 2025"/>
    <s v="R1 S3 2025"/>
    <s v="R2 S1 2025"/>
    <s v="1 sprint"/>
    <s v="3 sprints"/>
    <s v="2 sprints"/>
    <s v="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_x000a_"/>
    <s v="Todos os usuários do IBS 360:_x000a__x000a_Gestão do Parque_x000a_Geocompasso_x000a_Scorefy_x000a_Radar Imobiliário"/>
    <s v="Garantia de alta disponibilidade e performance da plataforma durante picos de uso_x000a__x000a_Otimização de custo com uso sob demanda de recursos computacionais_x000a__x000a_Redução do tempo de resposta e falhas relacionadas à infraestrutura_x000a__x000a_Ganho de confiança do usuário na estabilidade da aplicação"/>
    <m/>
    <s v="Uptime médio da plataforma &gt; 95,0%_x000a__x000a_Tempo de resposta médio &lt; 3s em 95% das requisições_x000a__x000a_Redução de custo por requisição em comparação ao provisionamento fixo_x000a__x000a_Erro por timeout ou falha de infraestrutura &lt; 5%"/>
    <m/>
    <m/>
    <m/>
    <m/>
    <m/>
    <m/>
    <m/>
    <s v="Delivery - Desenvolvimento em Andamento"/>
    <s v="Delivery - Homologação &amp; Ajustes"/>
    <s v="Delivery - Deploy &amp; Monitoramento"/>
    <m/>
    <m/>
  </r>
  <r>
    <n v="10"/>
    <n v="9"/>
    <x v="0"/>
    <x v="1"/>
    <x v="0"/>
    <x v="0"/>
    <x v="3"/>
    <s v="Evolução da Plataforma"/>
    <s v="Estruturante"/>
    <x v="1"/>
    <s v="Orquestrado"/>
    <x v="1"/>
    <n v="1"/>
    <x v="0"/>
    <x v="1"/>
    <x v="1"/>
    <x v="1"/>
    <x v="0"/>
    <x v="0"/>
    <x v="1"/>
    <x v="0"/>
    <x v="0"/>
    <s v="R1 S3 2025"/>
    <s v="R1 S4 2025"/>
    <s v="R1 S3 2025"/>
    <s v="R2 S1 2025"/>
    <s v="1 sprint"/>
    <s v="3 sprints"/>
    <s v="2 sprints"/>
    <s v="O IUConfia exige a configuração do AutoScaling para conformidade com padrões internos de governança."/>
    <s v="IUConfia"/>
    <s v="Redução de não conformidade do IUConfia"/>
    <m/>
    <s v="Redução do percentual de não conformidade técnica do IUConfia"/>
    <m/>
    <m/>
    <m/>
    <m/>
    <m/>
    <m/>
    <m/>
    <m/>
    <m/>
    <s v="Delivery - Entrega"/>
    <m/>
    <m/>
  </r>
  <r>
    <n v="11"/>
    <n v="10"/>
    <x v="0"/>
    <x v="1"/>
    <x v="0"/>
    <x v="1"/>
    <x v="4"/>
    <s v="Evolução da Plataforma"/>
    <s v="Estruturante"/>
    <x v="1"/>
    <s v="Orquestrado"/>
    <x v="2"/>
    <n v="3"/>
    <x v="0"/>
    <x v="0"/>
    <x v="0"/>
    <x v="0"/>
    <x v="0"/>
    <x v="0"/>
    <x v="1"/>
    <x v="0"/>
    <x v="0"/>
    <s v="R2 S1 2025"/>
    <s v="R2 S1 2025"/>
    <s v="R2 S1 2025"/>
    <s v="R2 S1 2025"/>
    <s v="1 sprint"/>
    <s v="1 sprint"/>
    <s v="1 sprint"/>
    <s v="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_x000a_"/>
    <s v="Todos os usuários do IBS 360:_x000a__x000a_Gestão do Parque_x000a_Geocompasso_x000a_Scorefy_x000a_Radar Imobiliário"/>
    <s v="Sessões mais estáveis e resilientes, com menos interrupções_x000a__x000a_Redução de logins repetidos e reconexões frustradas_x000a__x000a_Melhoria na retenção do contexto de navegação_x000a__x000a_Conformidade com políticas de privacidade (LGPD, autenticação segura)"/>
    <m/>
    <s v=" Diminuição nas falhas de sessão relatadas via suporte_x000a__x000a_Melhoria no NPS relacionado à experiência de navegação"/>
    <m/>
    <m/>
    <m/>
    <m/>
    <m/>
    <m/>
    <m/>
    <m/>
    <s v="Delivery - Deploy &amp; Monitoramento"/>
    <m/>
    <m/>
    <m/>
  </r>
  <r>
    <n v="12"/>
    <n v="11"/>
    <x v="0"/>
    <x v="2"/>
    <x v="0"/>
    <x v="0"/>
    <x v="5"/>
    <s v="Evolução da Plataforma"/>
    <s v="Estruturante"/>
    <x v="0"/>
    <s v="Orquestrado"/>
    <x v="1"/>
    <n v="1"/>
    <x v="0"/>
    <x v="2"/>
    <x v="2"/>
    <x v="2"/>
    <x v="0"/>
    <x v="0"/>
    <x v="0"/>
    <x v="0"/>
    <x v="0"/>
    <s v="R1 S4 2025"/>
    <s v="R1 S4 2025"/>
    <s v="R1 S4 2025"/>
    <s v="R2 S1 2025"/>
    <s v="1 sprint"/>
    <s v="2 sprints"/>
    <s v="2 sprints"/>
    <m/>
    <s v="Desenvolvedores do IBS 360"/>
    <s v="- Realização de um conjunto de melhorias, dentre elas:_x000a_    - AutoScaling_x000a_    - Cookies_x000a_    - Otimização do Geocompasso e Frame de Agências_x000a_    - Ajuste de rota para páginas que o usuário não possui acesso"/>
    <m/>
    <m/>
    <m/>
    <m/>
    <m/>
    <m/>
    <m/>
    <m/>
    <m/>
    <s v="Discovery - Protótipos &amp; Testes"/>
    <s v="Delivery - Entrega"/>
    <m/>
    <m/>
    <m/>
  </r>
  <r>
    <n v="13"/>
    <n v="11"/>
    <x v="0"/>
    <x v="2"/>
    <x v="0"/>
    <x v="0"/>
    <x v="6"/>
    <s v="Evolução da Plataforma"/>
    <s v="Estruturante"/>
    <x v="0"/>
    <s v="Orquestrado"/>
    <x v="0"/>
    <n v="2"/>
    <x v="0"/>
    <x v="2"/>
    <x v="2"/>
    <x v="2"/>
    <x v="0"/>
    <x v="0"/>
    <x v="0"/>
    <x v="0"/>
    <x v="0"/>
    <s v="R2 S1 2025"/>
    <s v="R2 S1 2025"/>
    <s v="R2 S1 2025"/>
    <s v="R2 S2 2025"/>
    <s v="1 sprint"/>
    <s v="2 sprints"/>
    <s v="2 sprints"/>
    <m/>
    <s v="Todos os usuários do IBS 360 que se inscreveram através do formulário do Beta Aberto"/>
    <s v="86 inscritos, x usuários acessaram o IBS"/>
    <m/>
    <m/>
    <s v="Pouco engajamento dos usuários nas etapas de inscrição ou teste real."/>
    <s v="Médio"/>
    <m/>
    <m/>
    <m/>
    <m/>
    <m/>
    <m/>
    <s v="Discovery - Protótipos &amp; Testes"/>
    <s v="Delivery - Entrega"/>
    <m/>
    <m/>
  </r>
  <r>
    <n v="14"/>
    <n v="11"/>
    <x v="0"/>
    <x v="2"/>
    <x v="0"/>
    <x v="0"/>
    <x v="7"/>
    <s v="Evolução da Plataforma"/>
    <s v="Estruturante"/>
    <x v="1"/>
    <s v="Orquestrado"/>
    <x v="2"/>
    <n v="3"/>
    <x v="0"/>
    <x v="0"/>
    <x v="0"/>
    <x v="2"/>
    <x v="0"/>
    <x v="0"/>
    <x v="0"/>
    <x v="0"/>
    <x v="0"/>
    <s v="R1 S4 2025"/>
    <s v="R2 S2 2025"/>
    <s v="R1 S4 2025"/>
    <s v="R2 S2 2025"/>
    <s v="1 sprint"/>
    <s v="3 sprints"/>
    <s v="1 sprint"/>
    <m/>
    <s v="Todos os usuários do IBS 360:_x000a__x000a_Gestão do Parque_x000a_Geocompasso_x000a_Scorefy_x000a_Radar Imobiliário"/>
    <s v="- Melhoria das páginas internas, quando o usuário não possui o acesso, indica qual o acesso ele deve solicitar._x000a__x000a_- Inclusão do FAQ"/>
    <m/>
    <m/>
    <m/>
    <m/>
    <m/>
    <m/>
    <m/>
    <m/>
    <m/>
    <m/>
    <m/>
    <s v="Delivery - Entrega"/>
    <m/>
    <m/>
  </r>
  <r>
    <n v="15"/>
    <n v="11"/>
    <x v="0"/>
    <x v="2"/>
    <x v="0"/>
    <x v="0"/>
    <x v="8"/>
    <s v="Evolução da Plataforma"/>
    <s v="Estruturante"/>
    <x v="1"/>
    <s v="Orquestrado"/>
    <x v="1"/>
    <n v="1"/>
    <x v="0"/>
    <x v="2"/>
    <x v="2"/>
    <x v="2"/>
    <x v="0"/>
    <x v="0"/>
    <x v="1"/>
    <x v="0"/>
    <x v="0"/>
    <s v="R2 S1 2025"/>
    <s v="R2 S1 2025"/>
    <s v="R2 S1 2025"/>
    <s v="R2 S2 2025"/>
    <s v="1 sprint"/>
    <s v="2 sprints"/>
    <s v="2 sprints"/>
    <m/>
    <s v="Todos os usuários do IBS 360:_x000a__x000a_Gestão do Parque_x000a_Geocompasso_x000a_Scorefy_x000a_Radar Imobiliário"/>
    <m/>
    <m/>
    <s v="Agenda de 1h. Lançamento com a participação de 266 pessoas e um tempo médio de permanência de 42 min"/>
    <m/>
    <m/>
    <m/>
    <m/>
    <m/>
    <m/>
    <m/>
    <m/>
    <s v="Discovery - Protótipos &amp; Testes"/>
    <s v="Delivery - Entrega"/>
    <m/>
    <m/>
  </r>
  <r>
    <n v="16"/>
    <n v="12"/>
    <x v="0"/>
    <x v="3"/>
    <x v="0"/>
    <x v="0"/>
    <x v="9"/>
    <s v="Evolução da Plataforma"/>
    <s v="Estruturante"/>
    <x v="0"/>
    <s v="Orquestrado"/>
    <x v="0"/>
    <n v="2"/>
    <x v="0"/>
    <x v="3"/>
    <x v="3"/>
    <x v="2"/>
    <x v="0"/>
    <x v="0"/>
    <x v="0"/>
    <x v="0"/>
    <x v="0"/>
    <s v="R2 S1 2025"/>
    <s v="R2 S1 2025"/>
    <s v="R2 S1 2025"/>
    <s v="R2 S1 2025"/>
    <s v="1 sprint"/>
    <s v="1 sprint"/>
    <s v="1 sprint"/>
    <m/>
    <s v="Todos os usuários do IBS 360:_x000a__x000a_Gestão do Parque_x000a_Geocompasso_x000a_Scorefy_x000a_Radar Imobiliário_x000a__x000a_Foco em quem já usou a plataforma"/>
    <m/>
    <m/>
    <s v="CSAT (Likert)"/>
    <m/>
    <m/>
    <m/>
    <m/>
    <m/>
    <m/>
    <m/>
    <m/>
    <m/>
    <s v="Discovery - Aprovação &amp; Priorização"/>
    <m/>
    <m/>
  </r>
  <r>
    <n v="17"/>
    <n v="15"/>
    <x v="0"/>
    <x v="4"/>
    <x v="0"/>
    <x v="0"/>
    <x v="10"/>
    <s v="Evolução da Plataforma"/>
    <s v="Estruturante"/>
    <x v="1"/>
    <s v="Orquestrado"/>
    <x v="0"/>
    <n v="2"/>
    <x v="1"/>
    <x v="4"/>
    <x v="4"/>
    <x v="3"/>
    <x v="0"/>
    <x v="0"/>
    <x v="0"/>
    <x v="1"/>
    <x v="1"/>
    <s v="R2 S1 2025"/>
    <s v="R2 S1 2025"/>
    <s v="R2 S1 2025"/>
    <s v="R2 S2 2025"/>
    <s v="1 sprint"/>
    <s v="2 sprints"/>
    <s v="2 sprints"/>
    <m/>
    <s v="Time de Produtos - SCD"/>
    <m/>
    <m/>
    <m/>
    <m/>
    <m/>
    <m/>
    <m/>
    <m/>
    <m/>
    <m/>
    <m/>
    <s v="Delivery - Backlog de Desenvolvimento"/>
    <s v="Delivery - Homologação &amp; Ajustes"/>
    <m/>
    <m/>
  </r>
  <r>
    <n v="18"/>
    <n v="13"/>
    <x v="0"/>
    <x v="3"/>
    <x v="0"/>
    <x v="0"/>
    <x v="11"/>
    <s v="Evolução da Plataforma"/>
    <s v="Estruturante"/>
    <x v="1"/>
    <s v="Orquestrado"/>
    <x v="0"/>
    <n v="2"/>
    <x v="2"/>
    <x v="0"/>
    <x v="0"/>
    <x v="2"/>
    <x v="0"/>
    <x v="0"/>
    <x v="0"/>
    <x v="0"/>
    <x v="0"/>
    <s v="R2 S1 2025"/>
    <m/>
    <s v="R2 S1 2025"/>
    <m/>
    <s v="1 sprint"/>
    <s v=""/>
    <s v=""/>
    <m/>
    <s v="Todos os usuários do IBS 360:_x000a__x000a_Gestão do Parque_x000a_Geocompasso_x000a_Scorefy_x000a_Radar Imobiliário_x000a__x000a_Foco em quem já usou a plataforma"/>
    <m/>
    <m/>
    <s v="CSAT (Likert)"/>
    <s v="Não conseguir implementar a pesquisa dentro do próprio IBS."/>
    <s v="Médio"/>
    <m/>
    <m/>
    <m/>
    <m/>
    <m/>
    <m/>
    <s v="Delivery - Backlog de Desenvolvimento"/>
    <s v="Delivery - Backlog de Desenvolvimento"/>
    <m/>
    <m/>
  </r>
  <r>
    <n v="19"/>
    <n v="16"/>
    <x v="1"/>
    <x v="5"/>
    <x v="0"/>
    <x v="0"/>
    <x v="12"/>
    <s v="Evolução do Negócio"/>
    <s v="Feature"/>
    <x v="0"/>
    <s v="Orquestrado"/>
    <x v="1"/>
    <n v="1"/>
    <x v="3"/>
    <x v="5"/>
    <x v="5"/>
    <x v="4"/>
    <x v="1"/>
    <x v="0"/>
    <x v="1"/>
    <x v="1"/>
    <x v="1"/>
    <s v="R1 S3 2025"/>
    <s v="R1 S3 2025"/>
    <s v="R1 S4 2025"/>
    <m/>
    <s v="2 sprints"/>
    <s v=""/>
    <s v=""/>
    <m/>
    <s v="Times de dados precisam dos dados democratizados para uso em seus estudos e produtos de dados."/>
    <m/>
    <m/>
    <m/>
    <m/>
    <m/>
    <m/>
    <m/>
    <m/>
    <m/>
    <s v="Discovery - Validação Técnica"/>
    <s v="Discovery - Validação Técnica"/>
    <s v="Discovery - Validação Técnica"/>
    <s v="Discovery - Validação Técnica"/>
    <m/>
    <m/>
  </r>
  <r>
    <n v="20"/>
    <n v="17"/>
    <x v="1"/>
    <x v="5"/>
    <x v="0"/>
    <x v="0"/>
    <x v="13"/>
    <s v="Evolução do Negócio"/>
    <s v="Feature"/>
    <x v="1"/>
    <s v="Orquestrado"/>
    <x v="1"/>
    <n v="1"/>
    <x v="2"/>
    <x v="5"/>
    <x v="5"/>
    <x v="4"/>
    <x v="1"/>
    <x v="0"/>
    <x v="1"/>
    <x v="1"/>
    <x v="1"/>
    <s v="R1 S3 2025"/>
    <s v="R1 S3 2025"/>
    <s v="R1 S4 2025"/>
    <m/>
    <s v="2 sprints"/>
    <s v=""/>
    <s v=""/>
    <m/>
    <s v="Times de dados precisam dos dados democratizados para uso em seus estudos e produtos de dados."/>
    <m/>
    <m/>
    <m/>
    <m/>
    <m/>
    <m/>
    <m/>
    <m/>
    <m/>
    <s v="Discovery - Validação Técnica"/>
    <s v="Discovery - Validação Técnica"/>
    <s v="Discovery - Validação Técnica"/>
    <s v="Discovery - Validação Técnica"/>
    <m/>
    <m/>
  </r>
  <r>
    <n v="21"/>
    <n v="16"/>
    <x v="1"/>
    <x v="5"/>
    <x v="0"/>
    <x v="1"/>
    <x v="14"/>
    <s v="Risco Operacional"/>
    <s v="Estruturante"/>
    <x v="0"/>
    <s v="Orquestrado"/>
    <x v="1"/>
    <n v="1"/>
    <x v="2"/>
    <x v="5"/>
    <x v="5"/>
    <x v="5"/>
    <x v="0"/>
    <x v="0"/>
    <x v="1"/>
    <x v="1"/>
    <x v="1"/>
    <s v="R1 S4 2025"/>
    <s v="R1 S4 2025"/>
    <s v="R2 S1 2025"/>
    <m/>
    <s v="2 sprints"/>
    <s v=""/>
    <s v=""/>
    <m/>
    <m/>
    <m/>
    <m/>
    <m/>
    <m/>
    <m/>
    <m/>
    <m/>
    <m/>
    <m/>
    <m/>
    <s v="Discovery - Backlog de Ideias"/>
    <s v="Discovery - Backlog de Ideias"/>
    <s v="Discovery - Backlog de Ideias"/>
    <m/>
    <m/>
  </r>
  <r>
    <n v="22"/>
    <n v="16"/>
    <x v="1"/>
    <x v="5"/>
    <x v="0"/>
    <x v="0"/>
    <x v="15"/>
    <s v="Suporte Aplicação"/>
    <s v="Estruturante"/>
    <x v="0"/>
    <s v="Orquestrado"/>
    <x v="0"/>
    <n v="2"/>
    <x v="3"/>
    <x v="5"/>
    <x v="5"/>
    <x v="5"/>
    <x v="0"/>
    <x v="0"/>
    <x v="1"/>
    <x v="1"/>
    <x v="1"/>
    <s v="R2 S2 2025"/>
    <s v="R2 S2 2025"/>
    <m/>
    <m/>
    <s v=""/>
    <s v=""/>
    <s v=""/>
    <m/>
    <m/>
    <m/>
    <m/>
    <m/>
    <m/>
    <m/>
    <m/>
    <m/>
    <m/>
    <m/>
    <m/>
    <m/>
    <m/>
    <s v="Discovery - Pesquisa &amp; Benchmark"/>
    <m/>
    <m/>
  </r>
  <r>
    <n v="23"/>
    <n v="16"/>
    <x v="1"/>
    <x v="5"/>
    <x v="0"/>
    <x v="0"/>
    <x v="16"/>
    <s v="Risco Operacional"/>
    <s v="Estruturante"/>
    <x v="1"/>
    <s v="Orquestrado"/>
    <x v="1"/>
    <n v="1"/>
    <x v="1"/>
    <x v="5"/>
    <x v="5"/>
    <x v="5"/>
    <x v="0"/>
    <x v="0"/>
    <x v="1"/>
    <x v="1"/>
    <x v="1"/>
    <s v="R2 S1 2025"/>
    <s v="R2 S1 2025"/>
    <s v="R2 S2 2025"/>
    <m/>
    <s v="2 sprints"/>
    <s v=""/>
    <s v=""/>
    <s v="Os dados atuais estão desatualizados, pois buscam de uma base desatualizada."/>
    <m/>
    <m/>
    <m/>
    <m/>
    <s v="O dado atual (desatualizado), ser utilizado para alguma decisão estratégica."/>
    <s v="Alto"/>
    <n v="0.5"/>
    <m/>
    <m/>
    <m/>
    <m/>
    <m/>
    <s v="Discovery - Pesquisa &amp; Benchmark"/>
    <s v="Delivery - Backlog de Desenvolvimento"/>
    <m/>
    <m/>
  </r>
  <r>
    <n v="24"/>
    <n v="16"/>
    <x v="1"/>
    <x v="5"/>
    <x v="0"/>
    <x v="0"/>
    <x v="17"/>
    <s v="Risco Operacional"/>
    <s v="Estruturante"/>
    <x v="1"/>
    <s v="Orquestrado"/>
    <x v="0"/>
    <n v="2"/>
    <x v="1"/>
    <x v="5"/>
    <x v="5"/>
    <x v="5"/>
    <x v="0"/>
    <x v="0"/>
    <x v="1"/>
    <x v="1"/>
    <x v="1"/>
    <m/>
    <m/>
    <m/>
    <m/>
    <s v=""/>
    <s v=""/>
    <s v=""/>
    <m/>
    <m/>
    <m/>
    <m/>
    <m/>
    <m/>
    <m/>
    <m/>
    <m/>
    <m/>
    <m/>
    <m/>
    <m/>
    <m/>
    <s v="Discovery - Validação Técnica"/>
    <m/>
    <m/>
  </r>
  <r>
    <n v="25"/>
    <n v="18"/>
    <x v="2"/>
    <x v="6"/>
    <x v="0"/>
    <x v="0"/>
    <x v="18"/>
    <s v="Evolução da Plataforma"/>
    <s v="Feature"/>
    <x v="0"/>
    <s v="Orquestrado"/>
    <x v="1"/>
    <n v="1"/>
    <x v="3"/>
    <x v="5"/>
    <x v="5"/>
    <x v="6"/>
    <x v="0"/>
    <x v="0"/>
    <x v="0"/>
    <x v="0"/>
    <x v="0"/>
    <s v="R1 S4 2025"/>
    <s v="R2 S1 2025"/>
    <s v="R2 S1 2025"/>
    <m/>
    <s v="2 sprints"/>
    <s v=""/>
    <s v=""/>
    <s v="Necessidade de saber com exatidão qual a distância entre duas ou mais agências."/>
    <s v="SQUAD Estratégia de Ocupação, Folhas."/>
    <m/>
    <m/>
    <m/>
    <m/>
    <m/>
    <m/>
    <m/>
    <m/>
    <m/>
    <m/>
    <s v="Discovery - Pesquisa &amp; Benchmark"/>
    <s v="Discovery - Protótipos &amp; Testes"/>
    <s v="Discovery - Protótipos &amp; Testes"/>
    <m/>
    <m/>
  </r>
  <r>
    <n v="26"/>
    <n v="19"/>
    <x v="2"/>
    <x v="6"/>
    <x v="0"/>
    <x v="0"/>
    <x v="19"/>
    <s v="Evolução da Plataforma"/>
    <s v="Feature"/>
    <x v="1"/>
    <s v="Orquestrado"/>
    <x v="1"/>
    <n v="1"/>
    <x v="2"/>
    <x v="5"/>
    <x v="5"/>
    <x v="6"/>
    <x v="0"/>
    <x v="0"/>
    <x v="0"/>
    <x v="1"/>
    <x v="0"/>
    <s v="R1 S4 2025"/>
    <m/>
    <s v="R2 S1 2025"/>
    <m/>
    <s v="2 sprints"/>
    <s v=""/>
    <s v=""/>
    <s v="Necessidade de saber com exatidão qual a distância entre duas ou mais agências."/>
    <s v="SQUAD Estratégia de Ocupação, Folhas."/>
    <m/>
    <m/>
    <m/>
    <m/>
    <m/>
    <m/>
    <m/>
    <m/>
    <m/>
    <m/>
    <s v="Discovery - Pesquisa &amp; Benchmark"/>
    <s v="Discovery - Protótipos &amp; Testes"/>
    <s v="Discovery - Protótipos &amp; Testes"/>
    <m/>
    <m/>
  </r>
  <r>
    <n v="27"/>
    <n v="20"/>
    <x v="3"/>
    <x v="7"/>
    <x v="0"/>
    <x v="0"/>
    <x v="20"/>
    <s v="Suporte Aplicação"/>
    <s v="Estruturante"/>
    <x v="1"/>
    <s v="Envolvido"/>
    <x v="1"/>
    <n v="1"/>
    <x v="1"/>
    <x v="4"/>
    <x v="4"/>
    <x v="7"/>
    <x v="2"/>
    <x v="0"/>
    <x v="1"/>
    <x v="0"/>
    <x v="0"/>
    <s v="R1 S1 2025"/>
    <s v="R1 S3 2025"/>
    <s v="R1 S4 2025"/>
    <m/>
    <s v="4 sprints"/>
    <s v=""/>
    <s v=""/>
    <s v="Legado Sigla DE0:_x000a_O Radar ainda opera em ambiente legado, fora da arquitetura oficial do IBS 360._x000a__x000a_Testes Unitários:_x000a_Parte do código não possui testes unitários, comprometendo a qualidade e estabilidade do produto._x000a__x000a_Cobertura abaixo de 90% impede passagem fluida pela esteira de CI/CD._x000a__x000a_Funções críticas não testadas geram risco elevado de falhas em produção._x000a__x000a_Débito técnico herdado da squad anterior com limitação técnica."/>
    <m/>
    <m/>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dos incidentes técnicos reportados pelos usuários (meta: -80% no trimestre após deploy)."/>
    <s v="✅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
    <s v="Alto"/>
    <m/>
    <m/>
    <s v="Delivery - Backlog de Desenvolvimento"/>
    <s v="Delivery - Backlog de Desenvolvimento"/>
    <s v="Delivery - Desenvolvimento em Andamento"/>
    <s v="Delivery - Desenvolvimento em Andamento"/>
    <s v="Delivery - Desenvolvimento em Andamento"/>
    <s v="Delivery - Desenvolvimento em Andamento"/>
    <s v="Delivery - Desenvolvimento em Andamento"/>
    <m/>
  </r>
  <r>
    <n v="28"/>
    <n v="20"/>
    <x v="3"/>
    <x v="7"/>
    <x v="0"/>
    <x v="0"/>
    <x v="21"/>
    <s v="Suporte Aplicação"/>
    <s v="Estruturante"/>
    <x v="1"/>
    <s v="Envolvido"/>
    <x v="2"/>
    <n v="3"/>
    <x v="1"/>
    <x v="0"/>
    <x v="0"/>
    <x v="7"/>
    <x v="1"/>
    <x v="0"/>
    <x v="1"/>
    <x v="1"/>
    <x v="1"/>
    <s v="R2 S3 2025"/>
    <s v="R2 S2 2025"/>
    <s v="R2 S4 2025"/>
    <m/>
    <s v="2 sprints"/>
    <s v=""/>
    <s v=""/>
    <s v="Legado Sigla DE0:_x000a_O Radar ainda opera em ambiente legado, fora da arquitetura oficial do IBS 360._x000a__x000a_Melhorias de Usabilidade:_x000a_Lentidão na leitura dos dados, prejudicando a usabilidade e experiência dos usuários finais."/>
    <s v="Inicialmente: SETA - GPA._x000a_Futuro: Possível escalar para IGA e Garantias."/>
    <s v="Estabilidade operacional e previsibilidade, com o produto rodando na arquitetura oficial._x000a__x000a_Usabilidade aprimorada com redução de tempo de carregamento e travamentos._x000a__x000a_Redução dos atritos técnicos, com pipelines padronizados e infraestrutura robusta._x000a__x000a_Abertura para futuras evoluções integradas ao IBS 360, como conexão com Scorefy, Compasso, etc."/>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no tempo médio de carregamento dos dados no Radar (meta: melhoria ≥ 40%)._x000a__x000a_Redução dos incidentes técnicos reportados pelos usuários (meta: -80% no trimestre após deploy)._x000a__x000a_Disponibilidade ≥ 95,0% no ambiente QE6 após estabilização._x000a__x000a_Aumento na taxa de uso do Radar dentro da plataforma IBS 360 (meta: +20%)."/>
    <s v="✅ Tempo de carregamento de dados reduzido em ao menos 40%_x000a__x000a_✅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_x0009__x000a__x000a_Lentidão atual pode persistir se não houver ajustes estruturais na arquitetura de leitura_x000a__x000a_Migração sem melhorias pode frustrar expectativas dos usuários quanto à performance"/>
    <s v="Alto"/>
    <m/>
    <m/>
    <m/>
    <m/>
    <m/>
    <m/>
    <m/>
    <s v="Delivery - Desenvolvimento em Andamento"/>
    <s v="Delivery - Desenvolvimento em Andamento"/>
    <m/>
  </r>
  <r>
    <n v="29"/>
    <n v="21"/>
    <x v="4"/>
    <x v="8"/>
    <x v="0"/>
    <x v="0"/>
    <x v="22"/>
    <s v="Evolução do Negócio"/>
    <s v="Estruturante"/>
    <x v="0"/>
    <s v="Orquestrado"/>
    <x v="2"/>
    <n v="3"/>
    <x v="0"/>
    <x v="1"/>
    <x v="1"/>
    <x v="0"/>
    <x v="2"/>
    <x v="0"/>
    <x v="1"/>
    <x v="1"/>
    <x v="1"/>
    <s v="R1 S3 2025"/>
    <s v="R1 S3 2025"/>
    <s v="R2 S2 2025"/>
    <s v="R2 S2 2025"/>
    <s v="4 sprints"/>
    <s v="4 sprints"/>
    <s v="4 sprints"/>
    <m/>
    <m/>
    <m/>
    <s v="R$ 50MM e 360hrs/ano desoneradas, quando o conjunto de produtos de inteligência imobiliária (do qual o Radar Imobiliário faz parte) ser entregue"/>
    <m/>
    <m/>
    <m/>
    <m/>
    <m/>
    <m/>
    <m/>
    <s v="Discovery - Validação Técnica"/>
    <s v="Discovery - Validação Técnica"/>
    <s v="Discovery - Validação Técnica"/>
    <m/>
    <m/>
    <m/>
  </r>
  <r>
    <n v="30"/>
    <n v="21"/>
    <x v="4"/>
    <x v="8"/>
    <x v="0"/>
    <x v="0"/>
    <x v="23"/>
    <s v="Evolução do Negócio"/>
    <s v="Feature"/>
    <x v="1"/>
    <s v="Orquestrado"/>
    <x v="2"/>
    <n v="3"/>
    <x v="1"/>
    <x v="1"/>
    <x v="1"/>
    <x v="0"/>
    <x v="2"/>
    <x v="0"/>
    <x v="1"/>
    <x v="1"/>
    <x v="1"/>
    <s v="R2 S2 2025"/>
    <s v="R2 S2 2025"/>
    <s v="R3 S2 2025"/>
    <m/>
    <s v="5 sprints"/>
    <s v=""/>
    <s v=""/>
    <m/>
    <m/>
    <m/>
    <s v="R$ 50MM e 360hrs/ano desoneradas, quando o conjunto de produtos de inteligência imobiliária (do qual o Radar Imobiliário faz parte) ser entregue"/>
    <m/>
    <m/>
    <m/>
    <m/>
    <m/>
    <m/>
    <m/>
    <m/>
    <m/>
    <m/>
    <s v="Delivery - Desenvolvimento em Andamento"/>
    <s v="Discovery - Com impedimentos"/>
    <m/>
  </r>
  <r>
    <n v="31"/>
    <n v="21"/>
    <x v="4"/>
    <x v="8"/>
    <x v="0"/>
    <x v="0"/>
    <x v="24"/>
    <s v="Evolução do Negócio"/>
    <s v="Feature"/>
    <x v="0"/>
    <s v="Orquestrado"/>
    <x v="0"/>
    <n v="2"/>
    <x v="3"/>
    <x v="4"/>
    <x v="4"/>
    <x v="3"/>
    <x v="0"/>
    <x v="0"/>
    <x v="1"/>
    <x v="1"/>
    <x v="0"/>
    <s v="R1 S3 2025"/>
    <s v="R1 S3 2025"/>
    <s v="R2 S3 2025"/>
    <m/>
    <s v="5 sprints"/>
    <s v=""/>
    <s v=""/>
    <m/>
    <s v="SETA - GPA"/>
    <m/>
    <s v="R$ 50MM e 360hrs/ano desoneradas, quando o conjunto de produtos de inteligência imobiliária (do qual o Radar Imobiliário faz parte) ser entregue"/>
    <m/>
    <s v="Dependência dos dados democratizados pelo ETL 1 (Murillo) para que o FrontEnd utilize dados reais. O desenvolvimento será feito usando uma batch local."/>
    <s v="Alto"/>
    <m/>
    <m/>
    <m/>
    <m/>
    <s v="Discovery - Pesquisa &amp; Benchmark"/>
    <s v="Discovery - Wireframes &amp; Fluxos"/>
    <s v="Discovery - Wireframes &amp; Fluxos"/>
    <s v="Discovery - Protótipos &amp; Testes"/>
    <m/>
    <m/>
  </r>
  <r>
    <n v="32"/>
    <n v="21"/>
    <x v="4"/>
    <x v="8"/>
    <x v="0"/>
    <x v="0"/>
    <x v="24"/>
    <s v="Evolução do Negócio"/>
    <s v="Feature"/>
    <x v="1"/>
    <s v="Orquestrado"/>
    <x v="0"/>
    <n v="2"/>
    <x v="2"/>
    <x v="4"/>
    <x v="4"/>
    <x v="3"/>
    <x v="0"/>
    <x v="0"/>
    <x v="1"/>
    <x v="1"/>
    <x v="0"/>
    <s v="R2 S2 2025"/>
    <m/>
    <s v="R2 S3 2025"/>
    <m/>
    <s v="2 sprints"/>
    <s v=""/>
    <s v=""/>
    <m/>
    <s v="SETA - GPA"/>
    <m/>
    <s v="R$ 50MM e 360hrs/ano desoneradas, quando o conjunto de produtos de inteligência imobiliária (do qual o Radar Imobiliário faz parte) ser entregue"/>
    <m/>
    <s v="Dependência dos dados democratizados pelo ETL 1 (Murillo) para que o FrontEnd utilize dados reais. O desenvolvimento será feito usando uma batch local."/>
    <s v="Alto"/>
    <m/>
    <m/>
    <m/>
    <m/>
    <m/>
    <m/>
    <m/>
    <s v="Delivery - Backlog de Desenvolvimento"/>
    <m/>
    <m/>
  </r>
  <r>
    <n v="33"/>
    <n v="23"/>
    <x v="5"/>
    <x v="9"/>
    <x v="0"/>
    <x v="2"/>
    <x v="25"/>
    <s v="Evolução do Negócio"/>
    <s v="Estruturante"/>
    <x v="0"/>
    <s v="Envolvido"/>
    <x v="3"/>
    <n v="4"/>
    <x v="0"/>
    <x v="1"/>
    <x v="1"/>
    <x v="0"/>
    <x v="2"/>
    <x v="0"/>
    <x v="1"/>
    <x v="1"/>
    <x v="1"/>
    <s v="R1 S3 2025"/>
    <s v="R1 S3 2025"/>
    <s v="R2 S2 2025"/>
    <s v="R2 S2 2025"/>
    <s v="4 sprints"/>
    <s v="4 sprints"/>
    <s v="4 sprints"/>
    <m/>
    <m/>
    <m/>
    <m/>
    <m/>
    <m/>
    <m/>
    <m/>
    <m/>
    <m/>
    <m/>
    <s v="Discovery - Validação Técnica"/>
    <s v="Discovery - Validação Técnica"/>
    <s v="Discovery - Validação Técnica"/>
    <m/>
    <m/>
    <m/>
  </r>
  <r>
    <n v="34"/>
    <n v="23"/>
    <x v="5"/>
    <x v="9"/>
    <x v="1"/>
    <x v="2"/>
    <x v="26"/>
    <s v="Evolução do Negócio"/>
    <s v="Feature"/>
    <x v="1"/>
    <s v="Envolvido"/>
    <x v="0"/>
    <n v="2"/>
    <x v="4"/>
    <x v="4"/>
    <x v="4"/>
    <x v="3"/>
    <x v="0"/>
    <x v="0"/>
    <x v="1"/>
    <x v="1"/>
    <x v="1"/>
    <s v="R2 S2 2025"/>
    <s v="R2 S2 2025"/>
    <m/>
    <m/>
    <s v=""/>
    <s v=""/>
    <s v=""/>
    <m/>
    <s v="Inicialmente: SETA - GPA._x000a_Futuro: Possível escalar para IGA e Garantias."/>
    <m/>
    <m/>
    <m/>
    <m/>
    <m/>
    <m/>
    <m/>
    <m/>
    <m/>
    <m/>
    <m/>
    <m/>
    <s v="Discovery - Com impedimentos"/>
    <m/>
    <m/>
  </r>
  <r>
    <n v="35"/>
    <n v="24"/>
    <x v="6"/>
    <x v="10"/>
    <x v="0"/>
    <x v="2"/>
    <x v="27"/>
    <s v="Evolução do Negócio"/>
    <s v="Feature"/>
    <x v="1"/>
    <s v="Envolvido"/>
    <x v="2"/>
    <n v="3"/>
    <x v="1"/>
    <x v="6"/>
    <x v="6"/>
    <x v="8"/>
    <x v="0"/>
    <x v="0"/>
    <x v="1"/>
    <x v="0"/>
    <x v="1"/>
    <s v="R2 S1 2025"/>
    <s v="R2 S1 2025"/>
    <m/>
    <m/>
    <s v=""/>
    <s v=""/>
    <s v=""/>
    <s v="Obter os principais insights sobre as agências de forma rápida"/>
    <s v="Todos os usuários do IBS, com ênfase nos usuários do Score de Agências."/>
    <m/>
    <m/>
    <m/>
    <m/>
    <m/>
    <m/>
    <m/>
    <m/>
    <m/>
    <m/>
    <m/>
    <s v="Discovery - Backlog de Ideias"/>
    <s v="Discovery - Pesquisa &amp; Benchmark"/>
    <m/>
    <m/>
  </r>
  <r>
    <n v="36"/>
    <n v="24"/>
    <x v="6"/>
    <x v="10"/>
    <x v="0"/>
    <x v="2"/>
    <x v="28"/>
    <s v="Evolução do Negócio"/>
    <s v="Feature"/>
    <x v="0"/>
    <s v="Envolvido"/>
    <x v="2"/>
    <n v="3"/>
    <x v="3"/>
    <x v="6"/>
    <x v="6"/>
    <x v="8"/>
    <x v="0"/>
    <x v="0"/>
    <x v="1"/>
    <x v="0"/>
    <x v="1"/>
    <s v="R2 S1 2025"/>
    <s v="R2 S1 2025"/>
    <m/>
    <m/>
    <s v=""/>
    <s v=""/>
    <s v=""/>
    <s v="Obter os principais insights sobre as agências de forma rápida"/>
    <s v="Todos os usuários do IBS, com ênfase nos usuários do Score de Agências."/>
    <m/>
    <m/>
    <m/>
    <s v="Dependência da priorização com time de Advanced Analytics - Clarissa"/>
    <m/>
    <m/>
    <m/>
    <m/>
    <m/>
    <m/>
    <m/>
    <s v="Discovery - Backlog de Ideias"/>
    <s v="Discovery - Pesquisa &amp; Benchmark"/>
    <m/>
    <m/>
  </r>
  <r>
    <n v="37"/>
    <n v="29"/>
    <x v="1"/>
    <x v="5"/>
    <x v="0"/>
    <x v="1"/>
    <x v="29"/>
    <s v="Risco Operacional"/>
    <s v="Estruturante"/>
    <x v="0"/>
    <s v="Envolvido"/>
    <x v="3"/>
    <n v="4"/>
    <x v="3"/>
    <x v="5"/>
    <x v="5"/>
    <x v="5"/>
    <x v="0"/>
    <x v="0"/>
    <x v="1"/>
    <x v="1"/>
    <x v="1"/>
    <s v="R2 S2 2025"/>
    <s v="R2 S2 2025"/>
    <s v="R2 S2 2025"/>
    <m/>
    <s v="1 sprint"/>
    <s v=""/>
    <s v=""/>
    <m/>
    <s v="Todos os usuários do IBS 360"/>
    <m/>
    <m/>
    <m/>
    <m/>
    <s v="Baixo"/>
    <m/>
    <m/>
    <m/>
    <s v="Discovery - Protótipos &amp; Testes"/>
    <m/>
    <m/>
    <m/>
    <m/>
    <m/>
    <m/>
  </r>
  <r>
    <n v="38"/>
    <n v="30"/>
    <x v="1"/>
    <x v="5"/>
    <x v="0"/>
    <x v="1"/>
    <x v="30"/>
    <s v="Risco Operacional"/>
    <s v="Estruturante"/>
    <x v="1"/>
    <s v="Envolvido"/>
    <x v="3"/>
    <n v="4"/>
    <x v="2"/>
    <x v="1"/>
    <x v="5"/>
    <x v="5"/>
    <x v="0"/>
    <x v="0"/>
    <x v="1"/>
    <x v="1"/>
    <x v="1"/>
    <s v="R2 S2 2025"/>
    <s v="R2 S2 2025"/>
    <s v="R2 S2 2025"/>
    <m/>
    <s v="1 sprint"/>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Regras de validação mal definidas podem gerar falsos positivos e impedir ingestões válidas."/>
    <s v="Baixo"/>
    <m/>
    <m/>
    <m/>
    <s v="Delivery - Backlog de Desenvolvimento"/>
    <m/>
    <m/>
    <m/>
    <m/>
    <m/>
    <m/>
  </r>
  <r>
    <n v="39"/>
    <n v="30"/>
    <x v="1"/>
    <x v="5"/>
    <x v="0"/>
    <x v="0"/>
    <x v="31"/>
    <s v="Risco Operacional"/>
    <s v="Estruturante"/>
    <x v="1"/>
    <s v="Orquestrado"/>
    <x v="4"/>
    <s v=""/>
    <x v="2"/>
    <x v="1"/>
    <x v="1"/>
    <x v="9"/>
    <x v="0"/>
    <x v="0"/>
    <x v="1"/>
    <x v="1"/>
    <x v="1"/>
    <s v="R2 S3 2025"/>
    <m/>
    <m/>
    <m/>
    <s v=""/>
    <s v=""/>
    <s v=""/>
    <s v="Risco de publicação acidental de dados não validados, que podem ser consumidos como se estivessem prontos para produção._x000a__x000a_Dificuldade em garantir a integridade e segurança dos dados consumidos por áreas de negócio."/>
    <s v="Desenvolvedores do IBS"/>
    <m/>
    <m/>
    <m/>
    <m/>
    <m/>
    <m/>
    <m/>
    <m/>
    <m/>
    <m/>
    <m/>
    <m/>
    <m/>
    <m/>
    <m/>
  </r>
  <r>
    <n v="40"/>
    <n v="28"/>
    <x v="6"/>
    <x v="11"/>
    <x v="0"/>
    <x v="0"/>
    <x v="32"/>
    <s v="Evolução do Negócio"/>
    <s v="Feature"/>
    <x v="0"/>
    <s v="Orquestrado"/>
    <x v="1"/>
    <n v="1"/>
    <x v="0"/>
    <x v="6"/>
    <x v="7"/>
    <x v="3"/>
    <x v="0"/>
    <x v="0"/>
    <x v="1"/>
    <x v="0"/>
    <x v="0"/>
    <m/>
    <m/>
    <m/>
    <m/>
    <s v=""/>
    <s v=""/>
    <s v=""/>
    <m/>
    <m/>
    <m/>
    <m/>
    <m/>
    <m/>
    <m/>
    <m/>
    <m/>
    <m/>
    <m/>
    <m/>
    <m/>
    <m/>
    <m/>
    <m/>
    <m/>
  </r>
  <r>
    <n v="41"/>
    <n v="31"/>
    <x v="7"/>
    <x v="11"/>
    <x v="0"/>
    <x v="0"/>
    <x v="33"/>
    <s v="Evolução da Plataforma"/>
    <s v="Feature"/>
    <x v="0"/>
    <s v="Orquestrado"/>
    <x v="4"/>
    <s v=""/>
    <x v="2"/>
    <x v="7"/>
    <x v="3"/>
    <x v="2"/>
    <x v="0"/>
    <x v="0"/>
    <x v="0"/>
    <x v="1"/>
    <x v="1"/>
    <s v="R2 S3 2025"/>
    <m/>
    <s v="R2 S3 2025"/>
    <m/>
    <s v="1 sprint"/>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m/>
    <m/>
    <m/>
    <m/>
    <m/>
    <m/>
    <m/>
    <m/>
    <m/>
    <m/>
    <m/>
    <m/>
    <m/>
  </r>
  <r>
    <n v="42"/>
    <n v="32"/>
    <x v="7"/>
    <x v="11"/>
    <x v="0"/>
    <x v="0"/>
    <x v="34"/>
    <s v="Evolução da Plataforma"/>
    <s v="Feature"/>
    <x v="1"/>
    <s v="Orquestrado"/>
    <x v="4"/>
    <s v=""/>
    <x v="2"/>
    <x v="0"/>
    <x v="0"/>
    <x v="10"/>
    <x v="3"/>
    <x v="1"/>
    <x v="0"/>
    <x v="1"/>
    <x v="1"/>
    <s v="R2 S3 2025"/>
    <m/>
    <s v="R2 S4 2025"/>
    <m/>
    <s v="2 sprints"/>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
  <r>
    <n v="7"/>
    <x v="0"/>
    <x v="0"/>
    <x v="0"/>
    <x v="0"/>
    <x v="0"/>
    <s v="Evolução da Plataforma"/>
    <s v="Estruturante"/>
    <x v="0"/>
    <s v="Orquestrado"/>
    <x v="0"/>
    <n v="2"/>
    <x v="0"/>
    <x v="0"/>
    <x v="0"/>
    <x v="0"/>
    <m/>
    <s v="R1 S3 2025"/>
    <s v="R1 S4 2025"/>
    <s v="R1 S3 2025"/>
    <s v="R2 S1 2025"/>
    <s v="1 sprint"/>
    <s v="3 sprints"/>
    <s v="2 sprints"/>
    <m/>
    <m/>
    <m/>
    <m/>
    <x v="0"/>
    <m/>
    <x v="0"/>
    <m/>
    <m/>
    <m/>
    <m/>
    <m/>
    <m/>
    <m/>
    <m/>
    <m/>
    <m/>
    <m/>
    <m/>
    <m/>
  </r>
  <r>
    <n v="8"/>
    <x v="0"/>
    <x v="0"/>
    <x v="0"/>
    <x v="0"/>
    <x v="0"/>
    <s v="Evolução da Plataforma"/>
    <s v="Estruturante"/>
    <x v="1"/>
    <s v="Orquestrado"/>
    <x v="1"/>
    <n v="1"/>
    <x v="0"/>
    <x v="0"/>
    <x v="0"/>
    <x v="0"/>
    <m/>
    <s v="R1 S3 2025"/>
    <s v="R1 S4 2025"/>
    <s v="R1 S3 2025"/>
    <s v="R2 S1 2025"/>
    <s v="1 sprint"/>
    <s v="3 sprints"/>
    <s v="2 sprints"/>
    <m/>
    <m/>
    <m/>
    <m/>
    <x v="0"/>
    <m/>
    <x v="0"/>
    <m/>
    <m/>
    <m/>
    <m/>
    <m/>
    <m/>
    <m/>
    <m/>
    <m/>
    <m/>
    <m/>
    <m/>
    <m/>
  </r>
  <r>
    <n v="9"/>
    <x v="0"/>
    <x v="0"/>
    <x v="0"/>
    <x v="1"/>
    <x v="1"/>
    <s v="Evolução da Plataforma"/>
    <s v="Estruturante"/>
    <x v="1"/>
    <s v="Orquestrado"/>
    <x v="1"/>
    <n v="1"/>
    <x v="0"/>
    <x v="1"/>
    <x v="1"/>
    <x v="1"/>
    <m/>
    <s v="R1 S3 2025"/>
    <s v="R1 S4 2025"/>
    <s v="R1 S3 2025"/>
    <s v="R2 S1 2025"/>
    <s v="1 sprint"/>
    <s v="3 sprints"/>
    <s v="2 sprints"/>
    <s v="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_x000a_"/>
    <s v="Todos os usuários do IBS 360:_x000a__x000a_Gestão do Parque_x000a_Geocompasso_x000a_Scorefy_x000a_Radar Imobiliário"/>
    <s v="Garantia de alta disponibilidade e performance da plataforma durante picos de uso_x000a__x000a_Otimização de custo com uso sob demanda de recursos computacionais_x000a__x000a_Redução do tempo de resposta e falhas relacionadas à infraestrutura_x000a__x000a_Ganho de confiança do usuário na estabilidade da aplicação"/>
    <m/>
    <x v="0"/>
    <m/>
    <x v="0"/>
    <s v="Uptime médio da plataforma &gt; 95,0%_x000a__x000a_Tempo de resposta médio &lt; 3s em 95% das requisições_x000a__x000a_Redução de custo por requisição em comparação ao provisionamento fixo_x000a__x000a_Erro por timeout ou falha de infraestrutura &lt; 5%"/>
    <m/>
    <m/>
    <m/>
    <m/>
    <m/>
    <m/>
    <m/>
    <s v="Delivery - Desenvolvimento em Andamento"/>
    <s v="Delivery - Homologação &amp; Ajustes"/>
    <s v="Delivery - Deploy &amp; Monitoramento"/>
    <m/>
    <m/>
  </r>
  <r>
    <n v="10"/>
    <x v="0"/>
    <x v="1"/>
    <x v="0"/>
    <x v="1"/>
    <x v="2"/>
    <s v="Evolução da Plataforma"/>
    <s v="Estruturante"/>
    <x v="1"/>
    <s v="Orquestrado"/>
    <x v="2"/>
    <n v="3"/>
    <x v="0"/>
    <x v="1"/>
    <x v="1"/>
    <x v="0"/>
    <m/>
    <s v="R2 S1 2025"/>
    <s v="R2 S1 2025"/>
    <s v="R2 S1 2025"/>
    <s v="R2 S1 2025"/>
    <s v="1 sprint"/>
    <s v="1 sprint"/>
    <s v="1 sprint"/>
    <s v="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_x000a_"/>
    <s v="Todos os usuários do IBS 360:_x000a__x000a_Gestão do Parque_x000a_Geocompasso_x000a_Scorefy_x000a_Radar Imobiliário"/>
    <s v="Sessões mais estáveis e resilientes, com menos interrupções_x000a__x000a_Redução de logins repetidos e reconexões frustradas_x000a__x000a_Melhoria na retenção do contexto de navegação_x000a__x000a_Conformidade com políticas de privacidade (LGPD, autenticação segura)"/>
    <m/>
    <x v="0"/>
    <m/>
    <x v="0"/>
    <s v=" Diminuição nas falhas de sessão relatadas via suporte_x000a__x000a_Melhoria no NPS relacionado à experiência de navegação"/>
    <m/>
    <m/>
    <m/>
    <m/>
    <m/>
    <m/>
    <m/>
    <m/>
    <s v="Delivery - Deploy &amp; Monitoramento"/>
    <m/>
    <m/>
    <m/>
  </r>
  <r>
    <n v="11"/>
    <x v="0"/>
    <x v="0"/>
    <x v="0"/>
    <x v="2"/>
    <x v="3"/>
    <s v="Evolução da Plataforma"/>
    <s v="Feature"/>
    <x v="1"/>
    <s v="Orquestrado"/>
    <x v="1"/>
    <n v="1"/>
    <x v="0"/>
    <x v="1"/>
    <x v="1"/>
    <x v="1"/>
    <m/>
    <s v="R2 S1 2025"/>
    <s v="R2 S1 2025"/>
    <s v="R2 S1 2025"/>
    <s v="R2 S2 2025"/>
    <s v="1 sprint"/>
    <s v="2 sprints"/>
    <s v="2 sprints"/>
    <m/>
    <s v="Todos os usuários do IBS 360:_x000a__x000a_Gestão do Parque_x000a_Geocompasso_x000a_Scorefy_x000a_Radar Imobiliário_x000a__x000a_CICF, SETA, Folhas, Logística, SISR"/>
    <m/>
    <m/>
    <x v="0"/>
    <d v="2025-04-30T00:00:00"/>
    <x v="0"/>
    <m/>
    <m/>
    <m/>
    <m/>
    <m/>
    <m/>
    <m/>
    <m/>
    <m/>
    <s v="Delivery - Desenvolvimento em Andamento"/>
    <s v="Delivery - Entrega"/>
    <m/>
    <m/>
  </r>
  <r>
    <n v="12"/>
    <x v="0"/>
    <x v="0"/>
    <x v="0"/>
    <x v="3"/>
    <x v="4"/>
    <s v="Evolução da Plataforma"/>
    <s v="Estruturante"/>
    <x v="0"/>
    <s v="Orquestrado"/>
    <x v="0"/>
    <n v="2"/>
    <x v="0"/>
    <x v="1"/>
    <x v="1"/>
    <x v="1"/>
    <m/>
    <s v="R2 S1 2025"/>
    <s v="R2 S2 2025"/>
    <s v="R2 S1 2025"/>
    <s v="R2 S3 2025"/>
    <s v="1 sprint"/>
    <s v="3 sprints"/>
    <s v="2 sprints"/>
    <s v="Ausência de canal contínuo e estruturado para escuta ativa dos usuários da plataforma._x000a__x000a_Dificuldade em captar feedbacks acionáveis com qualidade e volume suficientes._x000a__x000a_Risco de baixa taxa de resposta se o formato e momento de exibição forem mal calibrados._x000a__x000a_Possível rejeição do usuário se a pesquisa for percebida como intrusiva ou repetitiva."/>
    <s v="Todos os usuários do IBS 360:_x000a__x000a_Gestão do Parque_x000a_Geocompasso_x000a_Scorefy_x000a_Radar Imobiliário_x000a__x000a_Foco em quem já usou a plataforma"/>
    <s v="Melhor alinhamento entre produto e voz do usuário, com feedbacks capturados no momento certo._x000a__x000a_Maior aceitação da pesquisa de satisfação, por meio de abordagens inteligentes._x000a__x000a_Aumento da legitimidade das decisões de evolução da plataforma, com base em percepções reais._x000a__x000a_Cultura de melhoria contínua orientada por evidências e não suposições."/>
    <s v="Aumento significativo da base de usuários que ativamente fornecem feedback sobre o IBS 360, por meio da integração da pesquisa de satisfação dentro da jornada da plataforma."/>
    <x v="0"/>
    <m/>
    <x v="0"/>
    <s v="CSAT (Likert)_x000a__x000a_Taxa de resposta esperada: 40%_x000a_Meta ambiciosa (best case): 50% a 60%_x000a_Mínimo aceitável (baseline): 20%"/>
    <m/>
    <m/>
    <m/>
    <m/>
    <m/>
    <m/>
    <m/>
    <m/>
    <m/>
    <s v="Discovery - Pesquisa &amp; Benchmark"/>
    <s v="Discovery - Validação Técnica"/>
    <m/>
  </r>
  <r>
    <n v="13"/>
    <x v="0"/>
    <x v="0"/>
    <x v="0"/>
    <x v="3"/>
    <x v="4"/>
    <s v="Evolução da Plataforma"/>
    <s v="Estruturante"/>
    <x v="1"/>
    <s v="Orquestrado"/>
    <x v="0"/>
    <n v="2"/>
    <x v="1"/>
    <x v="1"/>
    <x v="1"/>
    <x v="1"/>
    <m/>
    <s v="R2 S1 2025"/>
    <m/>
    <s v="R2 S1 2025"/>
    <m/>
    <s v="1 sprint"/>
    <s v=""/>
    <s v=""/>
    <s v="Ausência de canal contínuo e estruturado para escuta ativa dos usuários da plataforma._x000a__x000a_Dificuldade em captar feedbacks acionáveis com qualidade e volume suficientes._x000a__x000a_Risco de baixa taxa de resposta se o formato e momento de exibição forem mal calibrados._x000a__x000a_Possível rejeição do usuário se a pesquisa for percebida como intrusiva ou repetitiva."/>
    <s v="Todos os usuários do IBS 360:_x000a__x000a_Gestão do Parque_x000a_Geocompasso_x000a_Scorefy_x000a_Radar Imobiliário_x000a__x000a_Foco em quem já usou a plataforma"/>
    <s v="Melhor alinhamento entre produto e voz do usuário, com feedbacks capturados no momento certo._x000a__x000a_Maior aceitação da pesquisa de satisfação, por meio de abordagens inteligentes._x000a__x000a_Aumento da legitimidade das decisões de evolução da plataforma, com base em percepções reais._x000a__x000a_Cultura de melhoria contínua orientada por evidências e não suposições."/>
    <s v="Aumento significativo da base de usuários que ativamente fornecem feedback sobre o IBS 360, por meio da integração da pesquisa de satisfação dentro da jornada da plataforma."/>
    <x v="0"/>
    <m/>
    <x v="0"/>
    <s v="CSAT (Likert)_x000a__x000a_Taxa de resposta esperada: 40%_x000a_Meta ambiciosa (best case): 50% a 60%_x000a_Mínimo aceitável (baseline): 20%"/>
    <s v="Não conseguir implementar a pesquisa dentro do próprio IBS._x000a__x000a_Problemas no armazenamento e rastreabilidade das respostas (ex: perda de UUID)_x0009__x000a__x000a_Dependência da infraestrutura de backend (especialmente banco de dados) para receber e armazenar os dados da pesquisa_x0009_"/>
    <s v="Alto"/>
    <m/>
    <m/>
    <m/>
    <m/>
    <m/>
    <m/>
    <m/>
    <m/>
    <m/>
    <m/>
  </r>
  <r>
    <n v="14"/>
    <x v="0"/>
    <x v="0"/>
    <x v="0"/>
    <x v="4"/>
    <x v="5"/>
    <s v="Evolução da Plataforma"/>
    <s v="Estruturante"/>
    <x v="0"/>
    <s v="Orquestrado"/>
    <x v="0"/>
    <n v="2"/>
    <x v="2"/>
    <x v="1"/>
    <x v="1"/>
    <x v="1"/>
    <m/>
    <s v="R2 S1 2025"/>
    <s v="R2 S1 2025"/>
    <s v="R2 S1 2025"/>
    <m/>
    <s v="1 sprint"/>
    <s v=""/>
    <s v=""/>
    <m/>
    <s v="Todos os usuários que desejávamos que estivessem utilizando e os usuários que já estão utilizando."/>
    <m/>
    <m/>
    <x v="0"/>
    <m/>
    <x v="0"/>
    <m/>
    <m/>
    <m/>
    <m/>
    <m/>
    <m/>
    <m/>
    <m/>
    <m/>
    <s v="Discovery - Wireframes &amp; Fluxos"/>
    <s v="Discovery - Validação Técnica"/>
    <m/>
    <m/>
  </r>
  <r>
    <n v="15"/>
    <x v="0"/>
    <x v="0"/>
    <x v="0"/>
    <x v="4"/>
    <x v="5"/>
    <s v="Evolução da Plataforma"/>
    <s v="Estruturante"/>
    <x v="1"/>
    <s v="Orquestrado"/>
    <x v="0"/>
    <n v="2"/>
    <x v="3"/>
    <x v="1"/>
    <x v="1"/>
    <x v="1"/>
    <m/>
    <s v="R2 S1 2025"/>
    <s v="R2 S2 2025"/>
    <s v="R2 S1 2025"/>
    <m/>
    <s v="1 sprint"/>
    <s v=""/>
    <s v=""/>
    <m/>
    <s v="Todos os usuários que desejávamos que estivessem utilizando e os usuários que já estão utilizando."/>
    <m/>
    <m/>
    <x v="0"/>
    <m/>
    <x v="0"/>
    <m/>
    <m/>
    <m/>
    <m/>
    <m/>
    <m/>
    <m/>
    <m/>
    <m/>
    <s v="Discovery - Validação Técnica"/>
    <s v="Delivery - Desenvolvimento em Andamento"/>
    <m/>
    <m/>
  </r>
  <r>
    <n v="16"/>
    <x v="0"/>
    <x v="0"/>
    <x v="1"/>
    <x v="5"/>
    <x v="6"/>
    <s v="Evolução do Negócio"/>
    <s v="Feature"/>
    <x v="0"/>
    <s v="Orquestrado"/>
    <x v="1"/>
    <n v="1"/>
    <x v="2"/>
    <x v="0"/>
    <x v="2"/>
    <x v="0"/>
    <m/>
    <s v="R1 S3 2025"/>
    <s v="R1 S3 2025"/>
    <s v="R1 S4 2025"/>
    <m/>
    <s v="2 sprints"/>
    <s v=""/>
    <s v=""/>
    <s v="Times de dados precisam dos dados democratizados para uso em seus estudos e produtos de dados."/>
    <s v="Times de Dados que utilizam dados de Agências"/>
    <s v="Base 360 reconhecida como referência única e confiável de dados de agências no banco._x000a__x000a_Melhor experiência para squads consumidoras, com acesso seguro e direto aos dados._x000a__x000a_Fortalecimento da cultura de dados e da colaboração entre áreas técnicas e de negócio._x000a__x000a_Maior transparência sobre o uso da base, promovendo controle e confiança na governança._x000a__x000a_Redução da fragmentação dos dados de agências em diferentes repositórios não oficiais."/>
    <s v="Número de squads com acesso formalizado à Base 360._x000a__x000a_Aumento na quantidade de consultas à Base 360 em ambiente compartilhado._x000a__x000a_Redução do número de bases paralelas mapeadas nos times de negócio._x000a__x000a_% de feedbacks positivos sobre facilidade de acesso e integração (meta &gt; 80% dos primeiros usuários)."/>
    <x v="0"/>
    <m/>
    <x v="1"/>
    <s v="Métricas de Adoção_x000a_✅ Nº de squads com acesso ativo à Base 360 no ambiente compartilhado (meta: pelo menos 5 squads no primeiro trimestre após liberação)._x000a__x000a_Métricas de Valor Percebido_x000a_✅ % de feedbacks positivos em fóruns ou pesquisas internas sobre o valor e facilidade de acesso da base (meta: &gt; 80%)._x000a__x000a_✅ Número de casos de uso documentados por squads que passaram a utilizar a Base 360 em análises ou produtos (meta: pelo menos 3 casos documentados no primeiro ciclo)._x000a__x000a_Métricas de Governança e Segurança_x000a_✅ 100% dos dados sensíveis protegidos por regras específicas de acesso, validadas em testes controlados._x000a__x000a_✅ Registro e auditoria de acessos controlados, demonstrando conformidade com políticas do banco._x000a__x000a_Métricas de Eficiência Operacional_x000a_✅ Redução na quantidade de bases paralelas identificadas nas squads (meta: eliminação de pelo menos 2 repositórios paralelos no primeiro ciclo)."/>
    <m/>
    <m/>
    <m/>
    <m/>
    <m/>
    <m/>
    <s v="Discovery - Validação Técnica"/>
    <s v="Discovery - Validação Técnica"/>
    <s v="Discovery - Validação Técnica"/>
    <s v="Discovery - Validação Técnica"/>
    <m/>
    <m/>
  </r>
  <r>
    <n v="17"/>
    <x v="0"/>
    <x v="0"/>
    <x v="1"/>
    <x v="5"/>
    <x v="6"/>
    <s v="Evolução do Negócio"/>
    <s v="Feature"/>
    <x v="1"/>
    <s v="Orquestrado"/>
    <x v="1"/>
    <n v="1"/>
    <x v="1"/>
    <x v="0"/>
    <x v="2"/>
    <x v="0"/>
    <m/>
    <s v="R1 S3 2025"/>
    <s v="R1 S3 2025"/>
    <s v="R1 S4 2025"/>
    <m/>
    <s v="2 sprints"/>
    <s v=""/>
    <s v=""/>
    <s v="Times de dados precisam dos dados democratizados para uso em seus estudos e produtos de dados."/>
    <s v="Times de Dados que utilizam dados de Agências"/>
    <s v="Base 360 reconhecida como referência única e confiável de dados de agências no banco._x000a__x000a_Melhor experiência para squads consumidoras, com acesso seguro e direto aos dados._x000a__x000a_Fortalecimento da cultura de dados e da colaboração entre áreas técnicas e de negócio._x000a__x000a_Maior transparência sobre o uso da base, promovendo controle e confiança na governança._x000a__x000a_Redução da fragmentação dos dados de agências em diferentes repositórios não oficiais."/>
    <s v="Número de squads com acesso formalizado à Base 360._x000a__x000a_Aumento na quantidade de consultas à Base 360 em ambiente compartilhado._x000a__x000a_Redução do número de bases paralelas mapeadas nos times de negócio._x000a__x000a_% de feedbacks positivos sobre facilidade de acesso e integração (meta &gt; 80% dos primeiros usuários)."/>
    <x v="0"/>
    <m/>
    <x v="1"/>
    <s v="Métricas de Adoção_x000a_✅ Nº de squads com acesso ativo à Base 360 no ambiente compartilhado (meta: pelo menos 5 squads no primeiro trimestre após liberação)._x000a__x000a_Métricas de Valor Percebido_x000a_✅ % de feedbacks positivos em fóruns ou pesquisas internas sobre o valor e facilidade de acesso da base (meta: &gt; 80%)._x000a__x000a_✅ Número de casos de uso documentados por squads que passaram a utilizar a Base 360 em análises ou produtos (meta: pelo menos 3 casos documentados no primeiro ciclo)._x000a__x000a_Métricas de Governança e Segurança_x000a_✅ 100% dos dados sensíveis protegidos por regras específicas de acesso, validadas em testes controlados._x000a__x000a_✅ Registro e auditoria de acessos controlados, demonstrando conformidade com políticas do banco._x000a__x000a_Métricas de Eficiência Operacional_x000a_✅ Redução na quantidade de bases paralelas identificadas nas squads (meta: eliminação de pelo menos 2 repositórios paralelos no primeiro ciclo)."/>
    <m/>
    <m/>
    <m/>
    <m/>
    <m/>
    <m/>
    <s v="Discovery - Validação Técnica"/>
    <s v="Discovery - Validação Técnica"/>
    <s v="Discovery - Validação Técnica"/>
    <s v="Discovery - Validação Técnica"/>
    <m/>
    <m/>
  </r>
  <r>
    <n v="18"/>
    <x v="0"/>
    <x v="0"/>
    <x v="2"/>
    <x v="6"/>
    <x v="7"/>
    <s v="Evolução da Plataforma"/>
    <s v="Feature"/>
    <x v="0"/>
    <s v="Orquestrado"/>
    <x v="1"/>
    <n v="1"/>
    <x v="2"/>
    <x v="2"/>
    <x v="0"/>
    <x v="2"/>
    <s v="Card Sorting"/>
    <s v="R1 S4 2025"/>
    <s v="R2 S1 2025"/>
    <s v="R2 S1 2025"/>
    <m/>
    <s v="2 sprints"/>
    <s v=""/>
    <s v=""/>
    <s v="Necessidade de saber com exatidão qual a distância entre duas ou mais agências."/>
    <s v="SQUAD Estratégia de Ocupação, Folhas."/>
    <m/>
    <m/>
    <x v="0"/>
    <m/>
    <x v="0"/>
    <m/>
    <m/>
    <m/>
    <m/>
    <m/>
    <m/>
    <m/>
    <m/>
    <s v="Discovery - Pesquisa &amp; Benchmark"/>
    <s v="Discovery - Protótipos &amp; Testes"/>
    <s v="Discovery - Protótipos &amp; Testes"/>
    <m/>
    <m/>
  </r>
  <r>
    <n v="19"/>
    <x v="0"/>
    <x v="0"/>
    <x v="2"/>
    <x v="6"/>
    <x v="7"/>
    <s v="Evolução da Plataforma"/>
    <s v="Feature"/>
    <x v="1"/>
    <s v="Orquestrado"/>
    <x v="1"/>
    <n v="1"/>
    <x v="1"/>
    <x v="2"/>
    <x v="0"/>
    <x v="2"/>
    <m/>
    <s v="R1 S4 2025"/>
    <m/>
    <s v="R2 S1 2025"/>
    <m/>
    <s v="2 sprints"/>
    <s v=""/>
    <s v=""/>
    <s v="Necessidade de saber com exatidão qual a distância entre duas ou mais agências."/>
    <s v="SQUAD Estratégia de Ocupação, Folhas."/>
    <m/>
    <s v="R$ 213MM (SQUAD Estratégia de Ocupação)"/>
    <x v="0"/>
    <d v="2025-04-30T00:00:00"/>
    <x v="0"/>
    <m/>
    <m/>
    <m/>
    <m/>
    <m/>
    <m/>
    <m/>
    <m/>
    <s v="Discovery - Pesquisa &amp; Benchmark"/>
    <s v="Discovery - Protótipos &amp; Testes"/>
    <s v="Discovery - Protótipos &amp; Testes"/>
    <m/>
    <m/>
  </r>
  <r>
    <n v="20"/>
    <x v="0"/>
    <x v="0"/>
    <x v="3"/>
    <x v="7"/>
    <x v="8"/>
    <s v="Evolução da Plataforma"/>
    <s v="Estruturante"/>
    <x v="1"/>
    <s v="Orquestrado"/>
    <x v="1"/>
    <n v="1"/>
    <x v="3"/>
    <x v="0"/>
    <x v="2"/>
    <x v="0"/>
    <m/>
    <s v="R1 S1 2025"/>
    <s v="R1 S3 2025"/>
    <s v="R2 S4 2025"/>
    <m/>
    <s v="8 sprints"/>
    <s v=""/>
    <s v=""/>
    <s v="Legado Sigla DE0:_x000a_O Radar ainda opera em ambiente legado, fora da arquitetura oficial do IBS 360._x000a__x000a_Testes Unitários:_x000a_Parte do código não possui testes unitários, comprometendo a qualidade e estabilidade do produto._x000a__x000a_Cobertura abaixo de 90% impede passagem fluida pela esteira de CI/CD._x000a__x000a_Funções críticas não testadas geram risco elevado de falhas em produção._x000a__x000a_Débito técnico herdado da squad anterior com limitação técnica._x000a__x000a_Melhorias de Usabilidade:_x000a_Lentidão na leitura dos dados, prejudicando a usabilidade e experiência dos usuários finais."/>
    <s v="Inicialmente: SETA - GPA._x000a_Futuro: Possível escalar para IGA e Garantias."/>
    <s v="Estabilidade operacional e previsibilidade, com o produto rodando na arquitetura oficial._x000a__x000a_Usabilidade aprimorada com redução de tempo de carregamento e travamentos._x000a__x000a_Redução dos atritos técnicos, com pipelines padronizados e infraestrutura robusta._x000a__x000a_Abertura para futuras evoluções integradas ao IBS 360, como conexão com Scorefy, Compasso, etc."/>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no tempo médio de carregamento dos dados no Radar (meta: melhoria ≥ 40%)._x000a__x000a_Redução dos incidentes técnicos reportados pelos usuários (meta: -80% no trimestre após deploy)._x000a__x000a_Disponibilidade ≥ 95,0% no ambiente QE6 após estabilização._x000a__x000a_Aumento na taxa de uso do Radar dentro da plataforma IBS 360 (meta: +20%)."/>
    <x v="1"/>
    <d v="2025-06-30T00:00:00"/>
    <x v="0"/>
    <s v="✅ Tempo de carregamento de dados reduzido em ao menos 40%_x000a__x000a_✅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_x0009__x000a__x000a_Lentidão atual pode persistir se não houver ajustes estruturais na arquitetura de leitura_x000a__x000a_Migração sem melhorias pode frustrar expectativas dos usuários quanto à performance"/>
    <s v="Alto"/>
    <m/>
    <m/>
    <s v="Delivery - Backlog de Desenvolvimento"/>
    <s v="Delivery - Backlog de Desenvolvimento"/>
    <s v="Delivery - Desenvolvimento em Andamento"/>
    <s v="Delivery - Desenvolvimento em Andamento"/>
    <s v="Delivery - Desenvolvimento em Andamento"/>
    <s v="Delivery - Desenvolvimento em Andamento"/>
    <m/>
    <m/>
  </r>
  <r>
    <n v="21"/>
    <x v="0"/>
    <x v="1"/>
    <x v="4"/>
    <x v="8"/>
    <x v="9"/>
    <s v="Evolução do Negócio"/>
    <s v="Feature"/>
    <x v="0"/>
    <s v="Envolvido"/>
    <x v="2"/>
    <n v="3"/>
    <x v="0"/>
    <x v="0"/>
    <x v="2"/>
    <x v="0"/>
    <m/>
    <s v="R1 S3 2025"/>
    <s v="R1 S3 2025"/>
    <s v="R2 S2 2025"/>
    <s v="R2 S2 2025"/>
    <s v="4 sprints"/>
    <s v="4 sprints"/>
    <s v="4 sprints"/>
    <m/>
    <m/>
    <m/>
    <s v="R$ 50MM e 360hrs/ano desoneradas, quando o conjunto de produtos de inteligência imobiliária (do qual o Radar Imobiliário faz parte) ser entregue"/>
    <x v="1"/>
    <m/>
    <x v="0"/>
    <m/>
    <m/>
    <m/>
    <m/>
    <m/>
    <m/>
    <m/>
    <s v="Discovery - Validação Técnica"/>
    <s v="Discovery - Validação Técnica"/>
    <s v="Discovery - Validação Técnica"/>
    <m/>
    <m/>
    <m/>
  </r>
  <r>
    <n v="22"/>
    <x v="0"/>
    <x v="1"/>
    <x v="4"/>
    <x v="8"/>
    <x v="9"/>
    <s v="Evolução do Negócio"/>
    <s v="Feature"/>
    <x v="1"/>
    <s v="Envolvido"/>
    <x v="2"/>
    <n v="3"/>
    <x v="3"/>
    <x v="0"/>
    <x v="2"/>
    <x v="0"/>
    <m/>
    <s v="R2 S2 2025"/>
    <s v="R2 S2 2025"/>
    <s v="R3 S2 2025"/>
    <m/>
    <s v="5 sprints"/>
    <s v=""/>
    <s v=""/>
    <m/>
    <s v="SETA - GPA"/>
    <m/>
    <s v="R$ 50MM e 360hrs/ano desoneradas, quando o conjunto de produtos de inteligência imobiliária (do qual o Radar Imobiliário faz parte) ser entregue"/>
    <x v="1"/>
    <m/>
    <x v="0"/>
    <m/>
    <m/>
    <m/>
    <m/>
    <m/>
    <m/>
    <m/>
    <m/>
    <m/>
    <m/>
    <s v="Delivery - Desenvolvimento em Andamento"/>
    <m/>
    <m/>
  </r>
  <r>
    <n v="23"/>
    <x v="1"/>
    <x v="2"/>
    <x v="5"/>
    <x v="9"/>
    <x v="10"/>
    <s v="Evolução do Negócio"/>
    <s v="Feature"/>
    <x v="0"/>
    <s v="Envolvido"/>
    <x v="0"/>
    <n v="2"/>
    <x v="4"/>
    <x v="0"/>
    <x v="2"/>
    <x v="0"/>
    <m/>
    <s v="R1 S3 2025"/>
    <s v="R1 S3 2025"/>
    <m/>
    <m/>
    <s v=""/>
    <s v=""/>
    <s v=""/>
    <s v="Necessidade de expandir a busca por imóveis para qualquer endereço/cep, além da busca por agências, já existente no Hórus 1.0"/>
    <s v="Inicialmente: SETA - GPA._x000a_Futuro: Possível escalar para IGA e Garantias."/>
    <m/>
    <s v="R$ 50MM e 360hrs/ano desoneradas, quando o conjunto de produtos de inteligência imobiliária (do qual o Radar Imobiliário faz parte) ser entregue"/>
    <x v="1"/>
    <m/>
    <x v="0"/>
    <m/>
    <m/>
    <m/>
    <m/>
    <m/>
    <m/>
    <m/>
    <s v="Discovery - Validação Técnica"/>
    <s v="Discovery - Validação Técnica"/>
    <s v="Discovery - Validação Técnica"/>
    <s v="Discovery - Com impedimentos"/>
    <m/>
    <m/>
  </r>
  <r>
    <n v="24"/>
    <x v="0"/>
    <x v="1"/>
    <x v="6"/>
    <x v="10"/>
    <x v="11"/>
    <s v="Evolução do Negócio"/>
    <s v="Feature"/>
    <x v="0"/>
    <s v="Orquestrado"/>
    <x v="2"/>
    <n v="3"/>
    <x v="2"/>
    <x v="0"/>
    <x v="2"/>
    <x v="0"/>
    <m/>
    <s v="R2 S1 2025"/>
    <s v="R2 S1 2025"/>
    <m/>
    <m/>
    <s v=""/>
    <s v=""/>
    <s v=""/>
    <m/>
    <s v="Público que utiliza o Score de Agências"/>
    <m/>
    <m/>
    <x v="0"/>
    <m/>
    <x v="0"/>
    <m/>
    <m/>
    <m/>
    <m/>
    <s v="GPT Enterprise (Usuário Guto)"/>
    <m/>
    <m/>
    <m/>
    <m/>
    <s v="Discovery - Backlog de Ideias"/>
    <s v="Discovery - Pesquisa &amp; Benchmark"/>
    <m/>
    <m/>
  </r>
  <r>
    <n v="25"/>
    <x v="0"/>
    <x v="0"/>
    <x v="7"/>
    <x v="11"/>
    <x v="12"/>
    <s v="Evolução do Negócio"/>
    <s v="Feature"/>
    <x v="0"/>
    <s v="Orquestrado"/>
    <x v="0"/>
    <n v="2"/>
    <x v="0"/>
    <x v="0"/>
    <x v="2"/>
    <x v="0"/>
    <m/>
    <s v="R1 S4 2025"/>
    <s v="R1 S4 2025"/>
    <s v="R2 S1 2025"/>
    <s v="R2 S1 2025"/>
    <s v="2 sprints"/>
    <s v="2 sprints"/>
    <s v="2 sprints"/>
    <m/>
    <s v="CICF - OKR: Saúde das Agências"/>
    <m/>
    <s v="Reduzir o percentual de agências críticas em relação à disponibilidade"/>
    <x v="0"/>
    <m/>
    <x v="0"/>
    <m/>
    <m/>
    <m/>
    <m/>
    <m/>
    <m/>
    <m/>
    <m/>
    <m/>
    <m/>
    <m/>
    <m/>
    <m/>
  </r>
  <r>
    <n v="26"/>
    <x v="0"/>
    <x v="0"/>
    <x v="7"/>
    <x v="11"/>
    <x v="12"/>
    <s v="Evolução do Negócio"/>
    <s v="Feature"/>
    <x v="1"/>
    <s v="Orquestrado"/>
    <x v="1"/>
    <n v="1"/>
    <x v="5"/>
    <x v="0"/>
    <x v="2"/>
    <x v="0"/>
    <m/>
    <s v="R2 S1 2025"/>
    <s v="R2 S1 2025"/>
    <s v="R2 S2 2025"/>
    <s v="R2 S2 2025"/>
    <s v="2 sprints"/>
    <s v="2 sprints"/>
    <s v="2 sprints"/>
    <m/>
    <s v="CICF - OKR: Saúde das Agências"/>
    <m/>
    <s v="Reduzir o percentual de agências críticas em relação à disponibilidade"/>
    <x v="0"/>
    <m/>
    <x v="0"/>
    <m/>
    <m/>
    <m/>
    <m/>
    <m/>
    <m/>
    <m/>
    <m/>
    <m/>
    <m/>
    <m/>
    <m/>
    <m/>
  </r>
  <r>
    <n v="27"/>
    <x v="0"/>
    <x v="0"/>
    <x v="6"/>
    <x v="12"/>
    <x v="13"/>
    <s v="Evolução do Negócio"/>
    <s v="Feature"/>
    <x v="0"/>
    <s v="Orquestrado"/>
    <x v="1"/>
    <n v="1"/>
    <x v="0"/>
    <x v="0"/>
    <x v="2"/>
    <x v="0"/>
    <m/>
    <s v="R1 S4 2025"/>
    <s v="R1 S4 2025"/>
    <s v="R2 S2 2025"/>
    <m/>
    <s v="3 sprints"/>
    <s v=""/>
    <s v=""/>
    <s v="Visão limitada ao momento atual: O Score de Agências mostra apenas o status da semana corrente, sem histórico contextualizado._x000a__x000a_Dificuldade em diferenciar casos pontuais de problemas crônicos: Gestores tratam agências críticas da mesma forma, sem saber se é uma recorrência ou um caso isolado._x000a__x000a_Priorização ineficiente: Falta de visibilidade sobre a persistência das agências críticas pode levar à alocação errada de esforços."/>
    <s v="Todos os usuários do Score de Agências"/>
    <s v="Decisões mais inteligentes e proativas baseadas em recorrência, não apenas no status da semana."/>
    <s v="% de usuários que consideram útil a funcionalidade após sessões de validação (meta &gt; 80%)._x000a__x000a_Número de decisões documentadas (ações ou priorizações) baseadas na nova funcionalidade."/>
    <x v="0"/>
    <m/>
    <x v="0"/>
    <m/>
    <s v="Sobrecarga de informações no painel, tornando a experiência confusa._x000a__x000a_Percepção de &quot;entrega incompleta&quot; caso a janela fixa de 3 semanas seja vista como insuficiente, sem um roadmap claro para evolução."/>
    <s v="Baixo"/>
    <m/>
    <m/>
    <m/>
    <m/>
    <m/>
    <m/>
    <m/>
    <s v="Discovery - Protótipos &amp; Testes"/>
    <m/>
    <m/>
  </r>
  <r>
    <n v="28"/>
    <x v="0"/>
    <x v="0"/>
    <x v="6"/>
    <x v="12"/>
    <x v="14"/>
    <s v="Evolução do Negócio"/>
    <s v="Feature"/>
    <x v="1"/>
    <s v="Orquestrado"/>
    <x v="1"/>
    <n v="1"/>
    <x v="3"/>
    <x v="0"/>
    <x v="2"/>
    <x v="0"/>
    <m/>
    <s v="R2 S1 2025"/>
    <s v="R2 S1 2025"/>
    <s v="R2 S2 2025"/>
    <m/>
    <s v="2 sprints"/>
    <s v=""/>
    <s v=""/>
    <s v="Visão limitada ao momento atual: O Score de Agências mostra apenas o status da semana corrente, sem histórico contextualizado._x000a__x000a_Dificuldade em diferenciar casos pontuais de problemas crônicos: Gestores tratam agências críticas da mesma forma, sem saber se é uma recorrência ou um caso isolado._x000a__x000a_Priorização ineficiente: Falta de visibilidade sobre a persistência das agências críticas pode levar à alocação errada de esforços."/>
    <s v="Todos os usuários do Score de Agências"/>
    <s v="Decisões mais inteligentes e proativas baseadas em recorrência, não apenas no status da semana."/>
    <s v="% de usuários que consideram útil a funcionalidade após sessões de validação (meta &gt; 80%)._x000a__x000a_Número de decisões documentadas (ações ou priorizações) baseadas na nova funcionalidade."/>
    <x v="0"/>
    <m/>
    <x v="0"/>
    <m/>
    <s v="Sobrecarga de informações no painel, tornando a experiência confusa._x000a__x000a_Percepção de &quot;entrega incompleta&quot; caso a janela fixa de 3 semanas seja vista como insuficiente, sem um roadmap claro para evolução."/>
    <s v="Baixo"/>
    <m/>
    <m/>
    <m/>
    <m/>
    <m/>
    <m/>
    <m/>
    <s v="Delivery - Desenvolvimento em Andamento"/>
    <s v="Delivery - Desenvolvimento em Andamento"/>
    <m/>
  </r>
  <r>
    <n v="29"/>
    <x v="0"/>
    <x v="0"/>
    <x v="1"/>
    <x v="5"/>
    <x v="15"/>
    <s v="Risco Operacional"/>
    <s v="Estruturante"/>
    <x v="0"/>
    <s v="Orquestrado"/>
    <x v="3"/>
    <n v="4"/>
    <x v="0"/>
    <x v="1"/>
    <x v="1"/>
    <x v="1"/>
    <m/>
    <s v="R2 S2 2025"/>
    <s v="R2 S2 2025"/>
    <s v="R2 S2 2025"/>
    <s v="R2 S3 2025"/>
    <s v="1 sprint"/>
    <s v="2 sprints"/>
    <s v="2 sprints"/>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x v="0"/>
    <d v="2025-05-26T00:00:00"/>
    <x v="0"/>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Baixo engajamento das áreas produtoras para revisar regras críticas_x000a__x000a_Equívocos na priorização das regras mais críticas, gerando foco excessivo em validações de pouco impacto"/>
    <s v="Alto"/>
    <m/>
    <m/>
    <m/>
    <m/>
    <m/>
    <m/>
    <m/>
    <s v="Discovery - Validação Técnica"/>
    <m/>
    <m/>
  </r>
  <r>
    <n v="30"/>
    <x v="0"/>
    <x v="0"/>
    <x v="1"/>
    <x v="5"/>
    <x v="15"/>
    <s v="Risco Operacional"/>
    <s v="Estruturante"/>
    <x v="1"/>
    <s v="Orquestrado"/>
    <x v="3"/>
    <n v="4"/>
    <x v="3"/>
    <x v="1"/>
    <x v="1"/>
    <x v="1"/>
    <m/>
    <s v="R2 S2 2025"/>
    <s v="R2 S3 2025"/>
    <s v="R2 S3 2025"/>
    <m/>
    <s v="2 sprints"/>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x v="0"/>
    <d v="2025-05-26T00:00:00"/>
    <x v="0"/>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Fontes com alta taxa de falhas, gerando bloqueios frequentes e sobrecarga no time de suporte_x000a__x000a_Performance degradada caso o processo de validação aumente o tempo total do pipeline_x000a__x000a_Dependência da infraestrutura de monitoramento (ex: CloudWatch) estar configurada corretamente"/>
    <s v="Alto"/>
    <m/>
    <m/>
    <m/>
    <m/>
    <m/>
    <m/>
    <m/>
    <s v="Discovery - Validação Técnica"/>
    <s v="Delivery - Backlog de Desenvolvimento"/>
    <m/>
  </r>
  <r>
    <n v="31"/>
    <x v="0"/>
    <x v="0"/>
    <x v="7"/>
    <x v="12"/>
    <x v="16"/>
    <s v="Evolução da Plataforma"/>
    <s v="Feature"/>
    <x v="0"/>
    <s v="Orquestrado"/>
    <x v="2"/>
    <n v="3"/>
    <x v="0"/>
    <x v="2"/>
    <x v="0"/>
    <x v="2"/>
    <s v="Entrevista Exploratória"/>
    <s v="R2 S3 2025"/>
    <m/>
    <s v="R2 S3 2025"/>
    <m/>
    <s v="1 sprint"/>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x v="0"/>
    <m/>
    <x v="2"/>
    <m/>
    <s v="Baixa participação ou representatividade de usuários nas sessões de discovery, comprometendo a validade do diagnóstico._x000a__x000a_Expectativas elevadas criadas nos usuários durante o discovery, que podem gerar frustração se as soluções demorarem a ser entregues._x000a__x000a_Risco de o discovery gerar apenas soluções inviáveis ou com baixo impacto real."/>
    <s v="Médio"/>
    <m/>
    <m/>
    <m/>
    <m/>
    <m/>
    <m/>
    <m/>
    <s v="Discovery - Pesquisa &amp; Benchmark"/>
    <s v="Discovery - Validação Técnica"/>
    <m/>
  </r>
  <r>
    <n v="32"/>
    <x v="0"/>
    <x v="0"/>
    <x v="7"/>
    <x v="12"/>
    <x v="16"/>
    <s v="Evolução da Plataforma"/>
    <s v="Feature"/>
    <x v="1"/>
    <s v="Orquestrado"/>
    <x v="2"/>
    <n v="3"/>
    <x v="3"/>
    <x v="3"/>
    <x v="3"/>
    <x v="3"/>
    <m/>
    <s v="R2 S3 2025"/>
    <m/>
    <s v="R2 S4 2025"/>
    <m/>
    <s v="2 sprints"/>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x v="0"/>
    <m/>
    <x v="2"/>
    <m/>
    <s v="Descobrir que o problema é mais complexo do que aparenta, exigindo soluções técnicas pesadas ou com alto esforço."/>
    <s v="Alto"/>
    <m/>
    <m/>
    <m/>
    <m/>
    <m/>
    <m/>
    <m/>
    <m/>
    <s v="Delivery - Desenvolvimento em Andamento"/>
    <m/>
  </r>
  <r>
    <n v="70"/>
    <x v="0"/>
    <x v="2"/>
    <x v="8"/>
    <x v="13"/>
    <x v="17"/>
    <s v="Suporte Aplicação"/>
    <s v="Estruturante"/>
    <x v="1"/>
    <s v="Orquestrado"/>
    <x v="2"/>
    <n v="3"/>
    <x v="3"/>
    <x v="1"/>
    <x v="1"/>
    <x v="1"/>
    <m/>
    <s v="R2 S3 2025"/>
    <s v="R2 S3 2025"/>
    <s v="R2 S3 2025"/>
    <m/>
    <s v="1 sprint"/>
    <s v=""/>
    <s v=""/>
    <s v="Os logs da plataforma estão armazenados, mas não são exploráveis analiticamente de forma estruturada._x000a__x000a_Falta de visibilidade sobre o comportamento do usuário, erros recorrentes e fluxo de uso._x000a__x000a_Decisões de produto ainda são pouco embasadas em evidências extraídas de logs._x000a__x000a_A ausência de uma camada analítica sobre logs dificulta a detecção proativa de falhas e oportunidades."/>
    <s v="SCD - Time de Produtos"/>
    <s v="Capacidade de analisar jornadas e interações dos usuários com base em dados reais._x000a__x000a_Maior rastreabilidade de erros e eventos críticos, com insights acionáveis._x000a__x000a_Fortalecimento da governança analítica da plataforma._x000a__x000a_Empoderamento de times de produto, engenharia e design com dados para decisões mais rápidas e precisas._x000a__x000a_Relação direta entre logs de navegação e hipóteses de melhoria da experiência do usuário."/>
    <s v="Transformação de logs técnicos em dados analíticos com rastreabilidade e valor estratégico para o produto:_x000a__x000a_≥ 5 hipóteses validadas com base em padrões de uso e fricções visíveis nos logs no primeiro trimestre."/>
    <x v="0"/>
    <m/>
    <x v="0"/>
    <m/>
    <s v="Schema dos logs pode ser inconsistente entre serviços ou versões antigas do código"/>
    <s v="Baixo"/>
    <m/>
    <m/>
    <m/>
    <m/>
    <m/>
    <m/>
    <m/>
    <m/>
    <s v="Delivery - Desenvolvimento em Andamento"/>
    <m/>
  </r>
  <r>
    <n v="34"/>
    <x v="0"/>
    <x v="2"/>
    <x v="8"/>
    <x v="13"/>
    <x v="18"/>
    <s v="Suporte Aplicação"/>
    <s v="Estruturante"/>
    <x v="1"/>
    <s v="Orquestrado"/>
    <x v="2"/>
    <n v="3"/>
    <x v="3"/>
    <x v="1"/>
    <x v="1"/>
    <x v="1"/>
    <m/>
    <s v="R2 S3 2025"/>
    <s v="R2 S3 2025"/>
    <s v="R3 S1 2025"/>
    <m/>
    <s v="3 sprints"/>
    <s v=""/>
    <s v=""/>
    <s v="O processo atual de atualização manual da dashboard consome tempo e está sujeito a erro humano._x000a__x000a_Inconsistência nos horários de atualização gera desconfiança nos dados._x000a__x000a_O time de produto depende de intervenção técnica recorrente para manter o painel atualizado."/>
    <s v="SCD - Time de Produtos"/>
    <s v="Maior confiabilidade dos dados apresentados no dashboard, fortalecendo a tomada de decisão._x000a__x000a_Eficiência operacional, com menor dependência de tarefas manuais."/>
    <s v="Redução de esforço operacional e aumento da frequência e estabilidade das atualizações dos dados:_x000a__x000a_% de redução da necessidade de atualização manual, com processos automatizados via Glue + Athena._x000a__x000a_✅ Dados atualizados ao menos 1 vez por dia útil._x000a__x000a_✅ Redução do percentual de mensagens pedindo atualização manual."/>
    <x v="0"/>
    <m/>
    <x v="0"/>
    <s v="% de execuções automáticas bem-sucedidas: ≥ 98% por semana_x000a__x000a_Tempo de esforço manual reduzido a 0"/>
    <s v="Falha na execução do Glue ou na consulta do Athena, causando dados desatualizados no painel"/>
    <s v="Baixo"/>
    <m/>
    <m/>
    <m/>
    <m/>
    <m/>
    <m/>
    <m/>
    <m/>
    <s v="Delivery - Desenvolvimento em Andamento"/>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9A3A1E-A41E-4753-B1BE-2F02C4BC5E4B}" name="Tabela dinâmica2" cacheId="1" applyNumberFormats="0" applyBorderFormats="0" applyFontFormats="0" applyPatternFormats="0" applyAlignmentFormats="0" applyWidthHeightFormats="1" dataCaption="Valores" updatedVersion="8" minRefreshableVersion="3" useAutoFormatting="1" itemPrintTitles="1" createdVersion="8" indent="0" multipleFieldFilters="0">
  <location ref="A13:E45" firstHeaderRow="1" firstDataRow="2" firstDataCol="1" rowPageCount="9" colPageCount="1"/>
  <pivotFields count="44">
    <pivotField dataField="1" showAll="0"/>
    <pivotField axis="axisPage" showAll="0">
      <items count="3">
        <item x="0"/>
        <item x="1"/>
        <item t="default"/>
      </items>
    </pivotField>
    <pivotField axis="axisPage" showAll="0">
      <items count="4">
        <item x="0"/>
        <item x="2"/>
        <item x="1"/>
        <item t="default"/>
      </items>
    </pivotField>
    <pivotField axis="axisRow" showAll="0">
      <items count="10">
        <item x="1"/>
        <item x="0"/>
        <item x="2"/>
        <item x="3"/>
        <item x="4"/>
        <item x="5"/>
        <item x="6"/>
        <item x="7"/>
        <item x="8"/>
        <item t="default"/>
      </items>
    </pivotField>
    <pivotField axis="axisRow" showAll="0">
      <items count="16">
        <item x="1"/>
        <item x="5"/>
        <item x="2"/>
        <item x="0"/>
        <item x="4"/>
        <item x="3"/>
        <item m="1" x="14"/>
        <item x="6"/>
        <item x="7"/>
        <item x="8"/>
        <item x="9"/>
        <item x="10"/>
        <item x="11"/>
        <item x="12"/>
        <item x="13"/>
        <item t="default"/>
      </items>
    </pivotField>
    <pivotField axis="axisRow" showAll="0">
      <items count="22">
        <item x="1"/>
        <item x="2"/>
        <item x="6"/>
        <item x="3"/>
        <item x="5"/>
        <item x="0"/>
        <item x="4"/>
        <item m="1" x="20"/>
        <item x="7"/>
        <item x="8"/>
        <item x="9"/>
        <item x="10"/>
        <item x="11"/>
        <item x="12"/>
        <item x="13"/>
        <item x="15"/>
        <item m="1" x="19"/>
        <item x="14"/>
        <item x="16"/>
        <item x="17"/>
        <item x="18"/>
        <item t="default"/>
      </items>
    </pivotField>
    <pivotField showAll="0"/>
    <pivotField showAll="0"/>
    <pivotField axis="axisPage" showAll="0">
      <items count="3">
        <item x="1"/>
        <item x="0"/>
        <item t="default"/>
      </items>
    </pivotField>
    <pivotField showAll="0"/>
    <pivotField axis="axisPage" showAll="0">
      <items count="6">
        <item x="2"/>
        <item x="0"/>
        <item x="1"/>
        <item x="3"/>
        <item m="1" x="4"/>
        <item t="default"/>
      </items>
    </pivotField>
    <pivotField showAll="0"/>
    <pivotField axis="axisCol" showAll="0">
      <items count="7">
        <item x="3"/>
        <item x="2"/>
        <item h="1" x="0"/>
        <item x="1"/>
        <item h="1" x="4"/>
        <item h="1" x="5"/>
        <item t="default"/>
      </items>
    </pivotField>
    <pivotField axis="axisPage" showAll="0">
      <items count="5">
        <item x="0"/>
        <item x="1"/>
        <item x="2"/>
        <item x="3"/>
        <item t="default"/>
      </items>
    </pivotField>
    <pivotField axis="axisPage" showAll="0">
      <items count="5">
        <item x="2"/>
        <item x="1"/>
        <item x="0"/>
        <item x="3"/>
        <item t="default"/>
      </items>
    </pivotField>
    <pivotField axis="axisPage"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x="1"/>
        <item x="0"/>
        <item t="default"/>
      </items>
    </pivotField>
    <pivotField showAll="0"/>
    <pivotField axis="axisPage"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3"/>
    <field x="4"/>
    <field x="5"/>
  </rowFields>
  <rowItems count="31">
    <i>
      <x/>
    </i>
    <i r="1">
      <x v="1"/>
    </i>
    <i r="2">
      <x v="2"/>
    </i>
    <i r="2">
      <x v="15"/>
    </i>
    <i>
      <x v="1"/>
    </i>
    <i r="1">
      <x v="4"/>
    </i>
    <i r="2">
      <x v="4"/>
    </i>
    <i r="1">
      <x v="5"/>
    </i>
    <i r="2">
      <x v="6"/>
    </i>
    <i>
      <x v="2"/>
    </i>
    <i r="1">
      <x v="7"/>
    </i>
    <i r="2">
      <x v="8"/>
    </i>
    <i>
      <x v="3"/>
    </i>
    <i r="1">
      <x v="8"/>
    </i>
    <i r="2">
      <x v="9"/>
    </i>
    <i>
      <x v="4"/>
    </i>
    <i r="1">
      <x v="9"/>
    </i>
    <i r="2">
      <x v="10"/>
    </i>
    <i>
      <x v="6"/>
    </i>
    <i r="1">
      <x v="11"/>
    </i>
    <i r="2">
      <x v="12"/>
    </i>
    <i r="1">
      <x v="13"/>
    </i>
    <i r="2">
      <x v="17"/>
    </i>
    <i>
      <x v="7"/>
    </i>
    <i r="1">
      <x v="13"/>
    </i>
    <i r="2">
      <x v="18"/>
    </i>
    <i>
      <x v="8"/>
    </i>
    <i r="1">
      <x v="14"/>
    </i>
    <i r="2">
      <x v="19"/>
    </i>
    <i r="2">
      <x v="20"/>
    </i>
    <i t="grand">
      <x/>
    </i>
  </rowItems>
  <colFields count="1">
    <field x="12"/>
  </colFields>
  <colItems count="4">
    <i>
      <x/>
    </i>
    <i>
      <x v="1"/>
    </i>
    <i>
      <x v="3"/>
    </i>
    <i t="grand">
      <x/>
    </i>
  </colItems>
  <pageFields count="9">
    <pageField fld="10" hier="-1"/>
    <pageField fld="2" hier="-1"/>
    <pageField fld="1" hier="-1"/>
    <pageField fld="8" hier="-1"/>
    <pageField fld="13" hier="-1"/>
    <pageField fld="14" hier="-1"/>
    <pageField fld="15" hier="-1"/>
    <pageField fld="28" hier="-1"/>
    <pageField fld="30" hier="-1"/>
  </pageFields>
  <dataFields count="1">
    <dataField name="Contagem de ID" fld="0" subtotal="count"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C03E626-BF22-4C28-B0DA-319D6B15C5F4}" name="Tabela dinâmica3" cacheId="0" applyNumberFormats="0" applyBorderFormats="0" applyFontFormats="0" applyPatternFormats="0" applyAlignmentFormats="0" applyWidthHeightFormats="1" dataCaption="Valores" updatedVersion="8" minRefreshableVersion="3" useAutoFormatting="1" itemPrintTitles="1" createdVersion="8" indent="0" multipleFieldFilters="0">
  <location ref="A16:E54" firstHeaderRow="1" firstDataRow="2" firstDataCol="1" rowPageCount="12" colPageCount="1"/>
  <pivotFields count="46">
    <pivotField dataField="1" showAll="0"/>
    <pivotField showAll="0"/>
    <pivotField axis="axisRow" showAll="0">
      <items count="9">
        <item x="2"/>
        <item x="1"/>
        <item x="0"/>
        <item x="5"/>
        <item x="4"/>
        <item x="3"/>
        <item x="7"/>
        <item x="6"/>
        <item t="default"/>
      </items>
    </pivotField>
    <pivotField axis="axisRow" showAll="0">
      <items count="13">
        <item x="1"/>
        <item x="5"/>
        <item x="2"/>
        <item x="9"/>
        <item x="8"/>
        <item x="7"/>
        <item x="0"/>
        <item x="4"/>
        <item x="6"/>
        <item x="3"/>
        <item x="11"/>
        <item x="10"/>
        <item t="default"/>
      </items>
    </pivotField>
    <pivotField axis="axisPage" showAll="0">
      <items count="3">
        <item x="0"/>
        <item x="1"/>
        <item t="default"/>
      </items>
    </pivotField>
    <pivotField axis="axisPage" showAll="0">
      <items count="4">
        <item x="0"/>
        <item x="1"/>
        <item x="2"/>
        <item t="default"/>
      </items>
    </pivotField>
    <pivotField axis="axisRow" showAll="0" defaultSubtotal="0">
      <items count="38">
        <item x="7"/>
        <item x="14"/>
        <item x="2"/>
        <item x="13"/>
        <item x="12"/>
        <item x="9"/>
        <item x="4"/>
        <item x="1"/>
        <item x="11"/>
        <item x="8"/>
        <item x="0"/>
        <item x="3"/>
        <item x="5"/>
        <item x="6"/>
        <item x="15"/>
        <item x="16"/>
        <item x="17"/>
        <item x="18"/>
        <item m="1" x="35"/>
        <item m="1" x="36"/>
        <item m="1" x="37"/>
        <item x="10"/>
        <item x="19"/>
        <item x="20"/>
        <item x="21"/>
        <item x="22"/>
        <item x="23"/>
        <item x="24"/>
        <item x="25"/>
        <item x="26"/>
        <item x="27"/>
        <item x="28"/>
        <item x="29"/>
        <item x="30"/>
        <item x="31"/>
        <item x="32"/>
        <item x="33"/>
        <item x="34"/>
      </items>
    </pivotField>
    <pivotField showAll="0"/>
    <pivotField showAll="0"/>
    <pivotField axis="axisPage" showAll="0">
      <items count="3">
        <item x="1"/>
        <item x="0"/>
        <item t="default"/>
      </items>
    </pivotField>
    <pivotField showAll="0"/>
    <pivotField axis="axisPage" showAll="0">
      <items count="6">
        <item x="2"/>
        <item x="3"/>
        <item x="0"/>
        <item x="1"/>
        <item x="4"/>
        <item t="default"/>
      </items>
    </pivotField>
    <pivotField showAll="0"/>
    <pivotField axis="axisCol" multipleItemSelectionAllowed="1" showAll="0">
      <items count="6">
        <item x="3"/>
        <item h="1" x="0"/>
        <item x="2"/>
        <item x="1"/>
        <item h="1" x="4"/>
        <item t="default"/>
      </items>
    </pivotField>
    <pivotField axis="axisPage" showAll="0">
      <items count="9">
        <item x="3"/>
        <item x="4"/>
        <item x="1"/>
        <item x="0"/>
        <item x="6"/>
        <item x="7"/>
        <item x="5"/>
        <item x="2"/>
        <item t="default"/>
      </items>
    </pivotField>
    <pivotField axis="axisPage" showAll="0">
      <items count="9">
        <item x="4"/>
        <item x="1"/>
        <item x="0"/>
        <item x="7"/>
        <item x="5"/>
        <item x="6"/>
        <item x="2"/>
        <item x="3"/>
        <item t="default"/>
      </items>
    </pivotField>
    <pivotField axis="axisPage" showAll="0">
      <items count="12">
        <item x="0"/>
        <item x="4"/>
        <item x="3"/>
        <item x="1"/>
        <item x="8"/>
        <item x="10"/>
        <item x="5"/>
        <item x="9"/>
        <item x="7"/>
        <item x="6"/>
        <item x="2"/>
        <item t="default"/>
      </items>
    </pivotField>
    <pivotField axis="axisPage" showAll="0">
      <items count="5">
        <item x="1"/>
        <item x="2"/>
        <item x="3"/>
        <item x="0"/>
        <item t="default"/>
      </items>
    </pivotField>
    <pivotField axis="axisPage" showAll="0">
      <items count="3">
        <item x="1"/>
        <item x="0"/>
        <item t="default"/>
      </items>
    </pivotField>
    <pivotField axis="axisPage" showAll="0">
      <items count="3">
        <item x="0"/>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2"/>
    <field x="3"/>
    <field x="6"/>
  </rowFields>
  <rowItems count="37">
    <i>
      <x/>
    </i>
    <i r="1">
      <x v="8"/>
    </i>
    <i r="2">
      <x v="17"/>
    </i>
    <i r="2">
      <x v="22"/>
    </i>
    <i>
      <x v="1"/>
    </i>
    <i r="1">
      <x v="1"/>
    </i>
    <i r="2">
      <x v="1"/>
    </i>
    <i r="2">
      <x v="3"/>
    </i>
    <i r="2">
      <x v="4"/>
    </i>
    <i r="2">
      <x v="14"/>
    </i>
    <i r="2">
      <x v="15"/>
    </i>
    <i r="2">
      <x v="16"/>
    </i>
    <i r="2">
      <x v="32"/>
    </i>
    <i r="2">
      <x v="33"/>
    </i>
    <i r="2">
      <x v="34"/>
    </i>
    <i>
      <x v="2"/>
    </i>
    <i r="1">
      <x v="7"/>
    </i>
    <i r="2">
      <x v="21"/>
    </i>
    <i r="1">
      <x v="9"/>
    </i>
    <i r="2">
      <x v="8"/>
    </i>
    <i>
      <x v="4"/>
    </i>
    <i r="1">
      <x v="4"/>
    </i>
    <i r="2">
      <x v="26"/>
    </i>
    <i r="2">
      <x v="27"/>
    </i>
    <i>
      <x v="5"/>
    </i>
    <i r="1">
      <x v="5"/>
    </i>
    <i r="2">
      <x v="23"/>
    </i>
    <i r="2">
      <x v="24"/>
    </i>
    <i>
      <x v="6"/>
    </i>
    <i r="1">
      <x v="10"/>
    </i>
    <i r="2">
      <x v="36"/>
    </i>
    <i r="2">
      <x v="37"/>
    </i>
    <i>
      <x v="7"/>
    </i>
    <i r="1">
      <x v="11"/>
    </i>
    <i r="2">
      <x v="30"/>
    </i>
    <i r="2">
      <x v="31"/>
    </i>
    <i t="grand">
      <x/>
    </i>
  </rowItems>
  <colFields count="1">
    <field x="13"/>
  </colFields>
  <colItems count="4">
    <i>
      <x/>
    </i>
    <i>
      <x v="2"/>
    </i>
    <i>
      <x v="3"/>
    </i>
    <i t="grand">
      <x/>
    </i>
  </colItems>
  <pageFields count="12">
    <pageField fld="11" hier="-1"/>
    <pageField fld="5" hier="-1"/>
    <pageField fld="4" hier="-1"/>
    <pageField fld="9" hier="-1"/>
    <pageField fld="14" hier="-1"/>
    <pageField fld="15" hier="-1"/>
    <pageField fld="16" hier="-1"/>
    <pageField fld="17" hier="-1"/>
    <pageField fld="18" hier="-1"/>
    <pageField fld="19" hier="-1"/>
    <pageField fld="20" hier="-1"/>
    <pageField fld="21" hier="-1"/>
  </pageFields>
  <dataFields count="1">
    <dataField name="Contagem de ID Tático" fld="0" subtotal="count"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F80A26C-76A8-4D35-838E-42700DDABB3A}" name="tbPriorizacao" displayName="tbPriorizacao" ref="A2:T7" totalsRowShown="0" headerRowDxfId="238" dataDxfId="237" tableBorderDxfId="236">
  <autoFilter ref="A2:T7" xr:uid="{6F80A26C-76A8-4D35-838E-42700DDABB3A}"/>
  <tableColumns count="20">
    <tableColumn id="1" xr3:uid="{115F88A5-0470-45C1-AA24-E7C52EF917E1}" name="ID Tático" dataDxfId="235"/>
    <tableColumn id="2" xr3:uid="{2D2AD7DC-40EB-42B3-B6EB-5680616D5BB0}" name="ID Estratégico" dataDxfId="234"/>
    <tableColumn id="3" xr3:uid="{59F5D3E9-A704-4BB2-B625-906F420FAB74}" name="Produto" dataDxfId="233"/>
    <tableColumn id="4" xr3:uid="{EA6BF80D-E2B0-483A-81B7-512CCB41E039}" name="Épico" dataDxfId="232"/>
    <tableColumn id="5" xr3:uid="{D9DF7B2A-5335-493F-9462-00BB765D0335}" name="Iniciativa" dataDxfId="231"/>
    <tableColumn id="7" xr3:uid="{72DE16DE-5EBD-4E64-AF55-795564CF67EA}" name="Ponto Focal" dataDxfId="230"/>
    <tableColumn id="8" xr3:uid="{0DE02A18-44E9-4148-A796-5B1AE2DAFBAE}" name="Desenvolvedor 1" dataDxfId="229"/>
    <tableColumn id="9" xr3:uid="{F4128E2A-CB69-4FE4-90A5-9BCCED9115A2}" name="Desenvolvedor 2" dataDxfId="228"/>
    <tableColumn id="6" xr3:uid="{B63BCE19-8950-4458-8DAF-8D27ACF5C483}" name="Desenvolvedor 3" dataDxfId="227"/>
    <tableColumn id="20" xr3:uid="{F72FCA9B-D3CA-414F-9519-FE93755986E3}" name="Desenvolvedor Adicionais"/>
    <tableColumn id="10" xr3:uid="{24D00D9E-0E17-449F-8D76-BD7634D5709B}" name="Designer Atuante" dataDxfId="226"/>
    <tableColumn id="11" xr3:uid="{5CAA37CE-AA15-43E1-9277-59D1693BAB3F}" name="TechLead Atuante" dataDxfId="225"/>
    <tableColumn id="17" xr3:uid="{75A0469F-1153-4984-AE7C-4A31FBF72414}" name="Governança Atuante" dataDxfId="224"/>
    <tableColumn id="12" xr3:uid="{BCC8F7C4-F051-4171-B59A-8A758AF015EE}" name="Reach" dataDxfId="223">
      <calculatedColumnFormula>SUM('Priorização - Impacto'!C3:C14,'Priorização - Impacto'!C18)</calculatedColumnFormula>
    </tableColumn>
    <tableColumn id="13" xr3:uid="{A2EC69C6-AD01-471E-BA49-738D9F39E09B}" name="Impact" dataDxfId="222"/>
    <tableColumn id="14" xr3:uid="{F81A34CB-E506-4A8A-AADC-AE0BD0D15049}" name="Confidence" dataDxfId="221" dataCellStyle="Porcentagem"/>
    <tableColumn id="15" xr3:uid="{E1BE5337-B4A7-46A3-9A84-E7BA1AC0985D}" name="Effort" dataDxfId="220"/>
    <tableColumn id="18" xr3:uid="{61A889FF-EF6E-44CD-9772-053DF3DE471D}" name="Cost of Delay" dataDxfId="219"/>
    <tableColumn id="16" xr3:uid="{56A37474-61FA-4751-8373-1F66A5B2D1BC}" name="OKR Alignment" dataDxfId="1"/>
    <tableColumn id="19" xr3:uid="{C05E9922-825F-4740-9D6A-AAF6C16E20D5}" name="Score Final" dataDxfId="0">
      <calculatedColumnFormula>IFERROR(((tbPriorizacao[[#This Row],[Reach]]*tbPriorizacao[[#This Row],[Impact]]*tbPriorizacao[[#This Row],[Confidence]])/tbPriorizacao[[#This Row],[Effort]])*tbPriorizacao[[#This Row],[Cost of Delay]]*tbPriorizacao[[#This Row],[OKR Alignment]],"")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7C7213D-8333-48BA-BEFD-5E9C97201475}" name="tblPriorizacaoEffort" displayName="tblPriorizacaoEffort" ref="A1:F15" totalsRowShown="0" headerRowDxfId="218" dataDxfId="217">
  <autoFilter ref="A1:F15" xr:uid="{47C7213D-8333-48BA-BEFD-5E9C97201475}"/>
  <tableColumns count="6">
    <tableColumn id="1" xr3:uid="{04815FE4-658E-47E4-954D-821529F386BB}" name="Projeto" dataDxfId="216"/>
    <tableColumn id="2" xr3:uid="{4E0FA37D-805F-449E-BC0A-25D3B9BFD0F9}" name="Quantidade de colaboradores" dataDxfId="215"/>
    <tableColumn id="3" xr3:uid="{1D6A2DE6-06AE-4322-90B5-2A18DAE4FA72}" name="Cargo" dataDxfId="214"/>
    <tableColumn id="7" xr3:uid="{7CB7B757-4EC2-4EE9-A89F-A4E13AC2553D}" name="Duplicar Esforço por" dataDxfId="213"/>
    <tableColumn id="4" xr3:uid="{F1B19B92-1F08-458E-9D71-D197265A4846}" name="Nível de Esforço de cada colaborador" dataDxfId="212"/>
    <tableColumn id="5" xr3:uid="{6087C7B0-1663-482F-AE40-E8DEFE0BC81B}" name="Esforço" dataDxfId="211">
      <calculatedColumnFormula>VLOOKUP(E2,Auxiliares!AC:AD,2,0)*B2*tblPriorizacaoEffort[[#This Row],[Duplicar Esforço por]]</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7FA9559-D740-4BD6-B9FE-CFDD93085007}" name="Table1316" displayName="Table1316" ref="G5:H305" totalsRowShown="0" headerRowDxfId="210" dataDxfId="208" headerRowBorderDxfId="209" tableBorderDxfId="207" headerRowCellStyle="Normal 6 4" dataCellStyle="Normal 6 4">
  <autoFilter ref="G5:H305" xr:uid="{972E8234-95B8-4E9C-A9E0-DCAD992EAC7A}"/>
  <tableColumns count="2">
    <tableColumn id="1" xr3:uid="{E217D63E-2549-4572-BA51-F79206F9185A}" name="Start" dataDxfId="206" dataCellStyle="Normal 6 4">
      <calculatedColumnFormula>IF(E6="","",IF(WEEKDAY($D$3, 2) - WEEKDAY(E6, 2) &lt;= 0, E6 + (WEEKDAY($D$3,2) - WEEKDAY(E6,2)), E6 - (7 - (WEEKDAY($D$3,2) - WEEKDAY(E6,2)))))</calculatedColumnFormula>
    </tableColumn>
    <tableColumn id="2" xr3:uid="{3291BF73-248A-4A2C-8971-EB6BA787BC5C}" name="End" dataDxfId="205" dataCellStyle="Normal 6 4">
      <calculatedColumnFormula>IF(F6="","",IF(WEEKDAY($D$3, 2) - WEEKDAY(F6, 2) &lt;= 0, F6 + (WEEKDAY($D$3,2) - WEEKDAY(F6,2)), F6 - (7 - (WEEKDAY($D$3,2) - WEEKDAY(F6,2)))))</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E58935D-8423-4ACD-94BB-B86F91540236}" name="tbRoadMap17" displayName="tbRoadMap17" ref="A6:I11" insertRowShift="1" totalsRowShown="0" headerRowDxfId="204" dataDxfId="203">
  <autoFilter ref="A6:I11" xr:uid="{6BA32154-0D50-4B89-B7B1-385104020260}"/>
  <tableColumns count="9">
    <tableColumn id="30" xr3:uid="{6B5EE5E2-FD9D-4DCE-832D-4166561CBE1E}" name="Release/Sprint" dataDxfId="202"/>
    <tableColumn id="3" xr3:uid="{AE17FE07-0D67-4FA4-903D-46D1CD3A4243}" name="IDS Estratégicos" dataDxfId="201"/>
    <tableColumn id="2" xr3:uid="{61E14223-25F4-4753-80B8-B092D116A364}" name="Produto" dataDxfId="200"/>
    <tableColumn id="1" xr3:uid="{32CBEE87-6E72-4E6F-A4CC-13C86DD66F85}" name="Entrega Esperada (Output)" dataDxfId="199"/>
    <tableColumn id="4" xr3:uid="{CA47A50A-E164-433A-925E-98B5090D4B79}" name="Definition of Done" dataDxfId="198"/>
    <tableColumn id="9" xr3:uid="{821A8710-BA16-4428-A134-5B066A693357}" name="Outcome (Benefício Qualitativo)" dataDxfId="197"/>
    <tableColumn id="8" xr3:uid="{CDAC6621-68BC-4D17-8E2D-1EDE798489A0}" name="Outcome (Benefício Quantitativo)" dataDxfId="196"/>
    <tableColumn id="5" xr3:uid="{99D55A8A-FA6F-4693-BB41-F72BF7BD31BB}" name="Métricas de Sucesso" dataDxfId="195"/>
    <tableColumn id="7" xr3:uid="{86CE438B-681A-4976-8FA6-AEA4FEB5BA93}" name="Status da Entrega" dataDxfId="194"/>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BA32154-0D50-4B89-B7B1-385104020260}" name="tbRoadMap" displayName="tbRoadMap" ref="A6:AR34" insertRowShift="1" totalsRowShown="0" headerRowDxfId="193" dataDxfId="192">
  <autoFilter ref="A6:AR34" xr:uid="{6BA32154-0D50-4B89-B7B1-385104020260}"/>
  <tableColumns count="44">
    <tableColumn id="30" xr3:uid="{0E56E67E-8737-4233-BA2C-797377C2E454}" name="ID" dataDxfId="191">
      <calculatedColumnFormula>ROW()</calculatedColumnFormula>
    </tableColumn>
    <tableColumn id="1" xr3:uid="{8AC0F2DC-0B1B-4118-81F1-AE559173DBF2}" name="Escolha ou Renúncia" dataDxfId="190"/>
    <tableColumn id="2" xr3:uid="{7F27EAE6-969C-4CBA-9D16-486E1D41AADC}" name="Criticidade" dataDxfId="189"/>
    <tableColumn id="3" xr3:uid="{CCEED094-FEC1-445E-BABC-FADFC06A28E4}" name="Produto" dataDxfId="188"/>
    <tableColumn id="4" xr3:uid="{967D085F-622E-405E-AD79-9BDF413D3CA6}" name="Épico" dataDxfId="187"/>
    <tableColumn id="5" xr3:uid="{2279D44A-C222-4B35-A843-D8F9184A6609}" name="Iniciativa" dataDxfId="186"/>
    <tableColumn id="6" xr3:uid="{943070F8-15D4-4758-818D-31CFC4258FAC}" name="Classificação da Torre" dataDxfId="185"/>
    <tableColumn id="7" xr3:uid="{DD2A737D-B661-4FAB-8E10-75D3CDC7439E}" name="Frente Prioritária" dataDxfId="184"/>
    <tableColumn id="8" xr3:uid="{B0A65E94-070E-4DD5-B9F7-31AF7B2D62A3}" name="Discovery/Delivery" dataDxfId="183"/>
    <tableColumn id="9" xr3:uid="{B75D5C62-4D31-44F9-91E9-F7D7DCD45012}" name="Orquestrado/Envolvido" dataDxfId="182"/>
    <tableColumn id="10" xr3:uid="{47B87414-AEF6-4913-8269-F59DDF1D184D}" name="Sinaleiro" dataDxfId="181"/>
    <tableColumn id="24" xr3:uid="{D9397D15-854D-4AC6-8A69-FC1A0CC738F2}" name="Sinaleiro - Ícone" dataDxfId="180">
      <calculatedColumnFormula>IF(K7="Ruim",1,IF(K7="Médio",2,IF(K7="Bom",3,IF(K7="Excelente",4,""))))</calculatedColumnFormula>
    </tableColumn>
    <tableColumn id="11" xr3:uid="{A3D06573-42AF-439F-8978-7EBCC7B70B7D}" name="Status" dataDxfId="179"/>
    <tableColumn id="15" xr3:uid="{A54099E6-08D4-4A9D-8A10-F1DCE5F5835D}" name="Usamos o Dual Track?" dataDxfId="178"/>
    <tableColumn id="32" xr3:uid="{600EA50E-6025-4BEE-A66B-F3B7D4CEDCE5}" name="Fizemos protótipo?" dataDxfId="177"/>
    <tableColumn id="23" xr3:uid="{051C96F6-7D34-4C90-B07C-EE8D2226FA74}" name="Fizemos pesquisa com o usuário?" dataDxfId="176"/>
    <tableColumn id="33" xr3:uid="{5085B780-B842-4940-867D-2D45198882E3}" name="Técnica de Pesquisa" dataDxfId="175"/>
    <tableColumn id="20" xr3:uid="{17CC5FD0-48B8-4456-8E72-560731EC73F4}" name="Data Início Desejado" dataDxfId="174"/>
    <tableColumn id="21" xr3:uid="{0FD5A5BD-4BC3-426D-BFD6-F8DF99472854}" name="Data Início Real" dataDxfId="173"/>
    <tableColumn id="19" xr3:uid="{709D0704-AE53-43C6-BAC0-2865D52B7529}" name="Data Fim Desejado" dataDxfId="172"/>
    <tableColumn id="22" xr3:uid="{A209C5C8-7939-439C-B870-F6EBEF8E3B29}" name="Data Fim Real" dataDxfId="171"/>
    <tableColumn id="31" xr3:uid="{DD12A6BD-9806-4685-AF50-3A33B37D3A9F}" name="Duração em Sprints (Inicio Desejado x Fim Desejado)" dataDxfId="170">
      <calculatedColumnFormula>IF(AND(R7&lt;&gt;"",T7&lt;&gt;""),
    _xlfn.LET(
        _xlpm.ini,SUBSTITUTE(LEFT(R7,SEARCH("S",R7)+1)," ",""),
        _xlpm.fim,SUBSTITUTE(LEFT(T7,SEARCH("S",T7)+1)," ",""),
        _xlpm.rIni,VALUE(MID(_xlpm.ini,2,1)),
        _xlpm.sIni,VALUE(RIGHT(_xlpm.ini,1)),
        _xlpm.rFim,VALUE(MID(_xlpm.fim,2,1)),
        _xlpm.sFim,VALUE(RIGHT(_xlpm.fim,1)),
        _xlpm.total,((_xlpm.rFim-1)*4 + _xlpm.sFim) - ((_xlpm.rIni-1)*4 + _xlpm.sIni) + 1,
        _xlpm.total &amp; " sprint" &amp; IF(_xlpm.total&gt;1,"s","")
    ),
"")</calculatedColumnFormula>
    </tableColumn>
    <tableColumn id="25" xr3:uid="{ADDA50AD-7835-4DD5-AAA7-68164905B7A9}" name="Duração em Sprints (Inicio Desejado x Fim Real)" dataDxfId="169">
      <calculatedColumnFormula>IF(AND(R7&lt;&gt;"",U7&lt;&gt;""),
    _xlfn.LET(
        _xlpm.ini,SUBSTITUTE(LEFT(R7,SEARCH("S",R7)+1)," ",""),
        _xlpm.fim,SUBSTITUTE(LEFT(U7,SEARCH("S",U7)+1)," ",""),
        _xlpm.rIni,VALUE(MID(_xlpm.ini,2,1)),
        _xlpm.sIni,VALUE(RIGHT(_xlpm.ini,1)),
        _xlpm.rFim,VALUE(MID(_xlpm.fim,2,1)),
        _xlpm.sFim,VALUE(RIGHT(_xlpm.fim,1)),
        _xlpm.total,((_xlpm.rFim-1)*4 + _xlpm.sFim) - ((_xlpm.rIni-1)*4 + _xlpm.sIni) + 1,
        _xlpm.total &amp; " sprint" &amp; IF(_xlpm.total&gt;1,"s","")
    ),
"")</calculatedColumnFormula>
    </tableColumn>
    <tableColumn id="26" xr3:uid="{2338FC3E-1923-4C6A-8087-08359C4BA888}" name="Duração em Sprints (Inicio Real x Fim Real)" dataDxfId="168">
      <calculatedColumnFormula>IF(AND(S7&lt;&gt;"",U7&lt;&gt;""),
    _xlfn.LET(
        _xlpm.ini,SUBSTITUTE(LEFT(S7,SEARCH("S",S7)+1)," ",""),
        _xlpm.fim,SUBSTITUTE(LEFT(U7,SEARCH("S",U7)+1)," ",""),
        _xlpm.rIni,VALUE(MID(_xlpm.ini,2,1)),
        _xlpm.sIni,VALUE(RIGHT(_xlpm.ini,1)),
        _xlpm.rFim,VALUE(MID(_xlpm.fim,2,1)),
        _xlpm.sFim,VALUE(RIGHT(_xlpm.fim,1)),
        _xlpm.total,((_xlpm.rFim-1)*4 + _xlpm.sFim) - ((_xlpm.rIni-1)*4 + _xlpm.sIni) + 1,
        _xlpm.total &amp; " sprint" &amp; IF(_xlpm.total&gt;1,"s","")
    ),
"")</calculatedColumnFormula>
    </tableColumn>
    <tableColumn id="28" xr3:uid="{69713C8A-8AA1-499F-ACD6-86505F0669A1}" name="Dores" dataDxfId="167"/>
    <tableColumn id="27" xr3:uid="{2D9BDBEB-14C6-4F92-8742-7B726F621527}" name="Público Alvo" dataDxfId="166"/>
    <tableColumn id="12" xr3:uid="{8BBA324D-F6D0-40D3-B647-654D1D60BD24}" name="Outcome (Benefício Qualitativo)" dataDxfId="165"/>
    <tableColumn id="43" xr3:uid="{A2687CC9-A0B5-45F8-9F21-D580B702A5A6}" name="Outcome (Benefício Quantitativo)" dataDxfId="164"/>
    <tableColumn id="44" xr3:uid="{D9D725A6-3FE4-422D-9858-0440DDD08E9A}" name="Book Wave" dataDxfId="163"/>
    <tableColumn id="13" xr3:uid="{298BD868-6FFF-44BE-8270-A68244128F73}" name="Data Captura" dataDxfId="162"/>
    <tableColumn id="14" xr3:uid="{612577E3-761D-491C-B17F-DB3D9B261AD6}" name="KRs Estratégico" dataDxfId="161"/>
    <tableColumn id="29" xr3:uid="{5B2F67F7-EC77-48CC-9CF8-980ED664A8A7}" name="Métricas" dataDxfId="160"/>
    <tableColumn id="16" xr3:uid="{2FD32F0F-1BBB-4E15-ACD9-C4E7A4526764}" name="Riscos/Impedimentos/Dependência" dataDxfId="159"/>
    <tableColumn id="17" xr3:uid="{5B8CC24F-CF05-4968-9F1D-70C538425E5D}" name="Tamanho Impacto" dataDxfId="158"/>
    <tableColumn id="18" xr3:uid="{6EC2050A-C610-4EF5-96DB-2C4485927D05}" name="Probabilidade de acontecer" dataDxfId="157" dataCellStyle="Porcentagem"/>
    <tableColumn id="42" xr3:uid="{250CD5EF-877D-4D90-AAC1-35ABF8B5212A}" name="Observações" dataDxfId="156" dataCellStyle="Porcentagem"/>
    <tableColumn id="34" xr3:uid="{B8751BC0-53E3-4AFF-8568-9F44E558F3B6}" name="S1_x000a_06/01 à 24/01" dataDxfId="155"/>
    <tableColumn id="35" xr3:uid="{BF7DD851-4D12-41C1-A9E8-137912475C86}" name="S2_x000a_27/01 à 14/02" dataDxfId="154"/>
    <tableColumn id="36" xr3:uid="{48E139B4-601D-4F4F-8CCC-FC8231C98C04}" name="S3_x000a_17/02 à 07/03" dataDxfId="153"/>
    <tableColumn id="37" xr3:uid="{139B45EE-546D-4C1B-842D-B394C8818B7A}" name="S4_x000a_10/03 à 28/03" dataDxfId="152"/>
    <tableColumn id="38" xr3:uid="{9BD91145-A43F-436C-B6BF-8B8843A59670}" name="S1_x000a_07/04 à 25/04" dataDxfId="151"/>
    <tableColumn id="39" xr3:uid="{F4CB1DF1-5187-4101-BC97-EB36E3C814D4}" name="S2_x000a_28/04 à 16/05" dataDxfId="150"/>
    <tableColumn id="40" xr3:uid="{C18BB2F9-5896-450D-87C9-D267CC9CCFCA}" name="S3_x000a_19/05 à 06/06" dataDxfId="149"/>
    <tableColumn id="41" xr3:uid="{06D39BE1-C1BB-4041-9DFD-91F4C48CB48A}" name="S4_x000a_09/06 à 27/06" dataDxfId="148"/>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CCB0AA7-9672-43F8-BD35-ECFB855ACD26}" name="tbRoadMapTatico" displayName="tbRoadMapTatico" ref="A6:AT44" insertRowShift="1" totalsRowShown="0" headerRowDxfId="147" dataDxfId="146">
  <autoFilter ref="A6:AT44" xr:uid="{6BA32154-0D50-4B89-B7B1-385104020260}">
    <filterColumn colId="1">
      <filters>
        <filter val="29"/>
        <filter val="30"/>
      </filters>
    </filterColumn>
  </autoFilter>
  <tableColumns count="46">
    <tableColumn id="30" xr3:uid="{B56D968F-A32C-4C89-B514-50DAECA39148}" name="ID Tático" dataDxfId="145">
      <calculatedColumnFormula>ROW()</calculatedColumnFormula>
    </tableColumn>
    <tableColumn id="33" xr3:uid="{60907C6A-16F9-43A7-8B60-39F0236F6A8C}" name="ID Estratégico" dataDxfId="144"/>
    <tableColumn id="32" xr3:uid="{BB6D5314-335F-4C9A-A231-C8BB6780D934}" name="Produto" dataDxfId="143">
      <calculatedColumnFormula>VLOOKUP(tbRoadMapTatico[[#This Row],[ID Estratégico]],'Roadmap Estratégico'!A:BE,4,0)</calculatedColumnFormula>
    </tableColumn>
    <tableColumn id="23" xr3:uid="{4169D703-9525-4BFB-B382-AA4FC003C0E8}" name="Épico" dataDxfId="142">
      <calculatedColumnFormula>VLOOKUP(tbRoadMapTatico[[#This Row],[ID Estratégico]],'Roadmap Estratégico'!A:BE,5,0)</calculatedColumnFormula>
    </tableColumn>
    <tableColumn id="1" xr3:uid="{52FC966A-8FEA-4B57-8B22-DE5C831C0000}" name="Escolha ou Renúncia" dataDxfId="141"/>
    <tableColumn id="2" xr3:uid="{7B9DC637-C8ED-41AD-A8AC-7B24FF679BAE}" name="Criticidade" dataDxfId="140"/>
    <tableColumn id="5" xr3:uid="{78E0CBA9-0962-430A-94A4-C2CAE6897B61}" name="História" dataDxfId="139"/>
    <tableColumn id="6" xr3:uid="{43422C44-158E-41BF-8599-821290A6EE0A}" name="Classificação da Torre" dataDxfId="138"/>
    <tableColumn id="7" xr3:uid="{99FEC7A3-4E3C-4E5A-B20B-17D5AB726D7A}" name="Frente Prioritária" dataDxfId="137"/>
    <tableColumn id="8" xr3:uid="{5E49F8EC-67E8-47E3-B04F-59B45C756805}" name="Discovery/Delivery" dataDxfId="136"/>
    <tableColumn id="9" xr3:uid="{D2A99BD3-82E5-4B56-89C2-B692EBE84017}" name="Orquestrado/Envolvido" dataDxfId="135"/>
    <tableColumn id="10" xr3:uid="{F29536F2-ADAE-4C7A-9412-9328072998B2}" name="Sinaleiro" dataDxfId="134"/>
    <tableColumn id="24" xr3:uid="{EE3DD426-0B76-4499-9D5A-1A51F6B6C1D2}" name="Sinaleiro - Ícone" dataDxfId="133">
      <calculatedColumnFormula>IF(L7="Ruim",1,IF(L7="Médio",2,IF(L7="Bom",3,IF(L7="Excelente",4,""))))</calculatedColumnFormula>
    </tableColumn>
    <tableColumn id="11" xr3:uid="{CC4303A3-B401-40D8-8E33-5607A9779B9C}" name="Status" dataDxfId="132"/>
    <tableColumn id="42" xr3:uid="{756832C3-80BD-44B2-B695-9FEF6FA6BF3A}" name="Ponto Focal" dataDxfId="131"/>
    <tableColumn id="44" xr3:uid="{97DA0706-4C85-4D6E-83F2-C17B7D2C2F08}" name="Desenvolvedor 1" dataDxfId="130"/>
    <tableColumn id="47" xr3:uid="{F6967205-A2FD-469F-B427-BEE99EC8BB75}" name="Desenvolvedor 2" dataDxfId="129"/>
    <tableColumn id="14" xr3:uid="{E0F95F48-1437-442A-B7BF-C2E57BF3766A}" name="Desenvolvedor 3" dataDxfId="128"/>
    <tableColumn id="15" xr3:uid="{F9CDCB82-D0FA-427C-A182-57568C9C9999}" name="Desenvolvedores (Adicionais)" dataDxfId="127"/>
    <tableColumn id="46" xr3:uid="{8316D2A6-A4CB-4A20-8FDC-0F69315FFDFD}" name="Designer Atuante" dataDxfId="126"/>
    <tableColumn id="43" xr3:uid="{F11166D1-1979-4496-91EF-D1C415566070}" name="TechLead Atuante" dataDxfId="125"/>
    <tableColumn id="3" xr3:uid="{AC553164-1496-40C9-9BAF-6D54F8CCFC28}" name="Governança Atuante" dataDxfId="124"/>
    <tableColumn id="20" xr3:uid="{B1C8B6C1-895F-4435-AEF0-315383BDA264}" name="Data Início Desejado" dataDxfId="123"/>
    <tableColumn id="21" xr3:uid="{5F70BD49-7E22-4433-92B6-F620CB961729}" name="Data Início Real" dataDxfId="122"/>
    <tableColumn id="19" xr3:uid="{2B9D60C8-47A2-40B2-814E-D98AB2C3C833}" name="Data Fim Desejado" dataDxfId="121"/>
    <tableColumn id="22" xr3:uid="{AACBECF5-1878-4622-AD50-649CA690A085}" name="Data Fim Real" dataDxfId="120"/>
    <tableColumn id="31" xr3:uid="{0436528C-3E80-406A-BA8E-B39858BE5EB7}" name="Duração em Sprints (Inicio Desejado x Fim Desejado)" dataDxfId="119">
      <calculatedColumnFormula>IF(AND(W7&lt;&gt;"",Y7&lt;&gt;""),
    _xlfn.LET(
        _xlpm.ini,SUBSTITUTE(LEFT(W7,SEARCH("S",W7)+1)," ",""),
        _xlpm.fim,SUBSTITUTE(LEFT(Y7,SEARCH("S",Y7)+1)," ",""),
        _xlpm.rIni,VALUE(MID(_xlpm.ini,2,1)),
        _xlpm.sIni,VALUE(RIGHT(_xlpm.ini,1)),
        _xlpm.rFim,VALUE(MID(_xlpm.fim,2,1)),
        _xlpm.sFim,VALUE(RIGHT(_xlpm.fim,1)),
        _xlpm.total,((_xlpm.rFim-1)*4 + _xlpm.sFim) - ((_xlpm.rIni-1)*4 + _xlpm.sIni) + 1,
        _xlpm.total &amp; " sprint" &amp; IF(_xlpm.total&gt;1,"s","")
    ),
"")</calculatedColumnFormula>
    </tableColumn>
    <tableColumn id="25" xr3:uid="{88BEF220-EF03-43AC-B525-E4D435B03AC8}" name="Duração em Sprints (Inicio Desejado x Fim Real)" dataDxfId="118">
      <calculatedColumnFormula>IF(AND(W7&lt;&gt;"",Z7&lt;&gt;""),
    _xlfn.LET(
        _xlpm.ini,SUBSTITUTE(LEFT(W7,SEARCH("S",W7)+1)," ",""),
        _xlpm.fim,SUBSTITUTE(LEFT(Z7,SEARCH("S",Z7)+1)," ",""),
        _xlpm.rIni,VALUE(MID(_xlpm.ini,2,1)),
        _xlpm.sIni,VALUE(RIGHT(_xlpm.ini,1)),
        _xlpm.rFim,VALUE(MID(_xlpm.fim,2,1)),
        _xlpm.sFim,VALUE(RIGHT(_xlpm.fim,1)),
        _xlpm.total,((_xlpm.rFim-1)*4 + _xlpm.sFim) - ((_xlpm.rIni-1)*4 + _xlpm.sIni) + 1,
        _xlpm.total &amp; " sprint" &amp; IF(_xlpm.total&gt;1,"s","")
    ),
"")</calculatedColumnFormula>
    </tableColumn>
    <tableColumn id="26" xr3:uid="{B51FC29E-2E0B-4D60-9ADC-2B994C994C91}" name="Duração em Sprints (Inicio Real x Fim Real)" dataDxfId="117">
      <calculatedColumnFormula>IF(AND(X7&lt;&gt;"",Z7&lt;&gt;""),
    _xlfn.LET(
        _xlpm.ini,SUBSTITUTE(LEFT(X7,SEARCH("S",X7)+1)," ",""),
        _xlpm.fim,SUBSTITUTE(LEFT(Z7,SEARCH("S",Z7)+1)," ",""),
        _xlpm.rIni,VALUE(MID(_xlpm.ini,2,1)),
        _xlpm.sIni,VALUE(RIGHT(_xlpm.ini,1)),
        _xlpm.rFim,VALUE(MID(_xlpm.fim,2,1)),
        _xlpm.sFim,VALUE(RIGHT(_xlpm.fim,1)),
        _xlpm.total,((_xlpm.rFim-1)*4 + _xlpm.sFim) - ((_xlpm.rIni-1)*4 + _xlpm.sIni) + 1,
        _xlpm.total &amp; " sprint" &amp; IF(_xlpm.total&gt;1,"s","")
    ),
"")</calculatedColumnFormula>
    </tableColumn>
    <tableColumn id="28" xr3:uid="{E7CC6754-7A9D-4390-AE18-CEF5B01C2955}" name="Dores" dataDxfId="116"/>
    <tableColumn id="27" xr3:uid="{EB798511-1DB6-487E-96D8-684CA3F1D275}" name="Público Alvo" dataDxfId="115"/>
    <tableColumn id="12" xr3:uid="{ADEB9D19-C085-47A7-956C-BED12C8A8F27}" name="Outcome (Benefício Qualitativo)" dataDxfId="114"/>
    <tableColumn id="13" xr3:uid="{872FC513-E199-4911-8064-2B7F7789A231}" name="Outcome (Benefício Quantitativo)" dataDxfId="113"/>
    <tableColumn id="29" xr3:uid="{9754B748-F73A-4DE1-B662-66E2F279C1A2}" name="Métricas" dataDxfId="112"/>
    <tableColumn id="16" xr3:uid="{25E3857B-2B32-4DBA-849A-712F82B39FF3}" name="Riscos/Impedimentos/Dependência" dataDxfId="111"/>
    <tableColumn id="17" xr3:uid="{5FCC81CB-A5F3-47F7-82E6-F28C521EB721}" name="Impacto" dataDxfId="110"/>
    <tableColumn id="18" xr3:uid="{7273EDA0-8F5E-41C9-89CB-CEAFE2BE789D}" name="Probabilidade de acontecer" dataDxfId="109" dataCellStyle="Porcentagem"/>
    <tableColumn id="4" xr3:uid="{8327C63C-0D75-4CC5-AE0D-64DB26C618E3}" name="Observações" dataDxfId="108" dataCellStyle="Porcentagem"/>
    <tableColumn id="34" xr3:uid="{B390D4A0-F1F8-4402-82B7-7477D81492BB}" name="S1_x000a_06/01 à 24/01" dataDxfId="107"/>
    <tableColumn id="35" xr3:uid="{5A85E98F-7C65-4611-AF89-66E725572FA7}" name="S2_x000a_27/01 à 14/02" dataDxfId="106"/>
    <tableColumn id="36" xr3:uid="{86278F46-BA54-4F24-B167-1F9F688982DA}" name="S3_x000a_17/02 à 07/03" dataDxfId="105"/>
    <tableColumn id="37" xr3:uid="{99DA3A12-2B65-49E9-A658-5936B382F201}" name="S4_x000a_10/03 à 28/03" dataDxfId="104"/>
    <tableColumn id="38" xr3:uid="{69870856-5F7C-442E-913E-11EBAE492628}" name="S1_x000a_07/04 à 25/04" dataDxfId="103"/>
    <tableColumn id="39" xr3:uid="{FA2A891F-A45D-41E0-B8D2-4AB70BF87BC7}" name="S2_x000a_28/04 à 16/05" dataDxfId="102"/>
    <tableColumn id="40" xr3:uid="{2FD3DC18-0B1C-401F-8454-3AB01FA98162}" name="S3_x000a_19/05 à 06/06" dataDxfId="101"/>
    <tableColumn id="41" xr3:uid="{6FB0D2FF-CE25-4FA1-B276-33DB9A164536}" name="S4_x000a_09/06 à 27/06" dataDxfId="100"/>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A757599-37F3-4D96-B4E6-84A9362620EC}" name="tbEscolhaRenuncia" displayName="tbEscolhaRenuncia" ref="A1:A3" totalsRowShown="0" headerRowDxfId="99" dataDxfId="98">
  <autoFilter ref="A1:A3" xr:uid="{AA757599-37F3-4D96-B4E6-84A9362620EC}"/>
  <tableColumns count="1">
    <tableColumn id="1" xr3:uid="{A3B2C8E4-B0A9-40C0-AF2B-417D3873E985}" name="Escolha ou Renúncia" dataDxfId="9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A890CE-6FEC-4122-98C9-94CB23CB8EA2}" name="tbCriticidade" displayName="tbCriticidade" ref="B1:B4" totalsRowShown="0" headerRowDxfId="96" dataDxfId="95">
  <autoFilter ref="B1:B4" xr:uid="{2BA890CE-6FEC-4122-98C9-94CB23CB8EA2}"/>
  <tableColumns count="1">
    <tableColumn id="1" xr3:uid="{496BB293-208F-426B-BAC3-E1B6A79778D3}" name="Criticidade" dataDxfId="9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474AD2F-FE54-4B31-86D1-D5B1C3F0661B}" name="tbProdutos" displayName="tbProdutos" ref="C1:C12" totalsRowShown="0" headerRowDxfId="93" dataDxfId="92">
  <autoFilter ref="C1:C12" xr:uid="{3474AD2F-FE54-4B31-86D1-D5B1C3F0661B}"/>
  <tableColumns count="1">
    <tableColumn id="1" xr3:uid="{12DDF75B-7B06-4B8F-952F-32A4752B8EFB}" name="Produto" dataDxfId="9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49A7E32-B887-4370-9254-4080768AE400}" name="tbClassificacaoTorre" displayName="tbClassificacaoTorre" ref="F1:F6" totalsRowShown="0" headerRowDxfId="90" dataDxfId="89">
  <autoFilter ref="F1:F6" xr:uid="{C49A7E32-B887-4370-9254-4080768AE400}"/>
  <tableColumns count="1">
    <tableColumn id="1" xr3:uid="{9C4F0D3F-743C-4308-9AE7-023E770654B1}" name="Classificação da Torre" dataDxfId="8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0D03D59-06C8-4701-9250-31D4979C91D6}" name="tbFrentePrioritaria" displayName="tbFrentePrioritaria" ref="G1:G3" totalsRowShown="0" headerRowDxfId="87" dataDxfId="86">
  <autoFilter ref="G1:G3" xr:uid="{80D03D59-06C8-4701-9250-31D4979C91D6}"/>
  <tableColumns count="1">
    <tableColumn id="1" xr3:uid="{3DB0E3A7-5132-4FB0-9863-28BF24D51AA0}" name="Frente Prioritária" dataDxfId="8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183CB18-2A6D-490B-98D5-DFCFF79E614D}" name="tbDiscovery_Delivery" displayName="tbDiscovery_Delivery" ref="H1:H3" totalsRowShown="0" headerRowDxfId="84" dataDxfId="83">
  <autoFilter ref="H1:H3" xr:uid="{3183CB18-2A6D-490B-98D5-DFCFF79E614D}"/>
  <tableColumns count="1">
    <tableColumn id="1" xr3:uid="{60F45FD6-D3E5-4F7D-B915-B7908D596601}" name="Discovery/Delivery" dataDxfId="8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6EA76FF-2B35-49E3-A9AF-9A92FE2A8F38}" name="tbOrquestrado_Envolvido" displayName="tbOrquestrado_Envolvido" ref="I1:I3" totalsRowShown="0" headerRowDxfId="81" dataDxfId="80">
  <autoFilter ref="I1:I3" xr:uid="{A6EA76FF-2B35-49E3-A9AF-9A92FE2A8F38}"/>
  <tableColumns count="1">
    <tableColumn id="1" xr3:uid="{3749DB2D-5B10-460B-A576-40BEC8D69206}" name="Orquestrado/Envolvido" dataDxfId="7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9A1713A-22D6-4B48-BDA0-AD080856E06A}" name="tbSinaleiro" displayName="tbSinaleiro" ref="J1:J5" totalsRowShown="0" headerRowDxfId="78" dataDxfId="77">
  <autoFilter ref="J1:J5" xr:uid="{F9A1713A-22D6-4B48-BDA0-AD080856E06A}"/>
  <tableColumns count="1">
    <tableColumn id="1" xr3:uid="{18EC6CDD-9C46-4804-A30E-18ABAA56A538}" name="Sinaleiro" dataDxfId="7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B5AB5D4-22B2-4C2C-B63F-F53F352073E0}" name="tbStatus" displayName="tbStatus" ref="K1:K7" totalsRowShown="0" headerRowDxfId="75" dataDxfId="74">
  <autoFilter ref="K1:K7" xr:uid="{3B5AB5D4-22B2-4C2C-B63F-F53F352073E0}"/>
  <tableColumns count="1">
    <tableColumn id="1" xr3:uid="{6FF1CB66-05E5-4EF8-BA1E-CE4F440C0DEE}" name="Status" dataDxfId="7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43BAD48-2B24-4DD7-A931-7B9E796E78C3}" name="tbImpacto" displayName="tbImpacto" ref="Q1:Q6" totalsRowShown="0" headerRowDxfId="72" dataDxfId="71">
  <autoFilter ref="Q1:Q6" xr:uid="{743BAD48-2B24-4DD7-A931-7B9E796E78C3}"/>
  <tableColumns count="1">
    <tableColumn id="1" xr3:uid="{9FD2FB11-BB5A-4837-B98C-291B80B1BBA0}" name="Impacto" dataDxfId="7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A6C76AE-E964-4860-B24B-8483730B4379}" name="tbDualTrack" displayName="tbDualTrack" ref="T2:V18" totalsRowShown="0" headerRowDxfId="69">
  <autoFilter ref="T2:V18" xr:uid="{9A6C76AE-E964-4860-B24B-8483730B4379}"/>
  <tableColumns count="3">
    <tableColumn id="1" xr3:uid="{E23F665F-D240-4C10-99D8-5C0D8D0A5895}" name="Esteira" dataDxfId="68"/>
    <tableColumn id="2" xr3:uid="{0681C7AE-CD5F-40BE-A33E-21B1BB461AAD}" name="Etapa" dataDxfId="67"/>
    <tableColumn id="3" xr3:uid="{0303A983-E11B-4508-A6BA-A03DE92D214C}" name="Esteira + Etapa" dataDxfId="66">
      <calculatedColumnFormula>_xlfn.CONCAT(T3, " - ",U3)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F3B3FB5-9BCF-48F0-A145-53D9910BEFC7}" name="tbEquipe" displayName="tbEquipe" ref="X1:X17" totalsRowShown="0" headerRowDxfId="65" dataDxfId="64">
  <autoFilter ref="X1:X17" xr:uid="{9F3B3FB5-9BCF-48F0-A145-53D9910BEFC7}"/>
  <tableColumns count="1">
    <tableColumn id="1" xr3:uid="{8A196F51-CF94-4665-9C36-E46DB8679DA4}" name="Equipe" dataDxfId="63"/>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9395C44-2E44-404F-B6B3-AEF8CDF714DB}" name="tblFeriados" displayName="tblFeriados" ref="Z2:AA6" insertRowShift="1" totalsRowShown="0" headerRowDxfId="62" dataDxfId="61">
  <autoFilter ref="Z2:AA6" xr:uid="{A9395C44-2E44-404F-B6B3-AEF8CDF714DB}"/>
  <tableColumns count="2">
    <tableColumn id="1" xr3:uid="{0BE9C450-1933-46F2-9145-F7F52733023C}" name="Data" dataDxfId="60"/>
    <tableColumn id="2" xr3:uid="{1D24A32E-5826-42FD-BB14-6011A1892419}" name="Dia" dataDxfId="59">
      <calculatedColumnFormula>CHOOSE(WEEKDAY(Z3,2),"Segunda","Terça","Quarta","Quinta","Sexta","Sábado","Domingo")</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61EEE50-35E6-4CA2-AF50-A6CFADB01666}" name="tblEffort" displayName="tblEffort" ref="AC2:AD8" totalsRowShown="0" headerRowDxfId="58" dataDxfId="57">
  <autoFilter ref="AC2:AD8" xr:uid="{061EEE50-35E6-4CA2-AF50-A6CFADB01666}"/>
  <tableColumns count="2">
    <tableColumn id="1" xr3:uid="{EA7D152C-3A84-4A93-ACB6-E84EED916E44}" name="Nível de Esforço de cada colaborador" dataDxfId="56"/>
    <tableColumn id="2" xr3:uid="{0841FA88-C065-4F0B-B1DE-568D09BBCB34}" name="Esforço Numérico" dataDxfId="5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2" dT="2025-05-05T01:46:22.51" personId="{1AB07DAC-6FFA-42F5-A98B-F2412B7653AF}" id="{67D8F3F7-1E1E-4DD3-AEFF-110B731379DA}">
    <text>Produto principal impactado ou responsável pela iniciativa.</text>
  </threadedComment>
  <threadedComment ref="D2" dT="2025-05-05T02:12:58.57" personId="{1AB07DAC-6FFA-42F5-A98B-F2412B7653AF}" id="{3567BFA3-492A-46BD-AF19-EE08D69B40A2}">
    <text>Um grande objetivo estratégico ou tema de valor, geralmente ligado a OKRs ou narrativas amplas.</text>
  </threadedComment>
  <threadedComment ref="D2" dT="2025-05-05T02:13:33.54" personId="{1AB07DAC-6FFA-42F5-A98B-F2412B7653AF}" id="{23A6ED5A-1869-4650-8076-A441F423B636}" parentId="{3567BFA3-492A-46BD-AF19-EE08D69B40A2}">
    <text xml:space="preserve">Ex: “Operações Eficientes”, “Decisões Baseadas em Dados” </text>
  </threadedComment>
  <threadedComment ref="E2" dT="2025-05-05T02:13:53.02" personId="{1AB07DAC-6FFA-42F5-A98B-F2412B7653AF}" id="{6DC9DDAA-26BE-4E82-B4BB-8FE70459B834}">
    <text>Um esforço mais delimitado que entrega parte de um épico. Pode envolver uma ou mais histórias.</text>
  </threadedComment>
  <threadedComment ref="E2" dT="2025-05-05T02:14:07.76" personId="{1AB07DAC-6FFA-42F5-A98B-F2412B7653AF}" id="{B43B2291-51F6-4A9D-8E9B-D839D2ACD516}" parentId="{6DC9DDAA-26BE-4E82-B4BB-8FE70459B834}">
    <text>Ex: “Score de Ecoeficiência”, “Painel de Agências no Radar Imobiliário”</text>
  </threadedComment>
</ThreadedComments>
</file>

<file path=xl/threadedComments/threadedComment2.xml><?xml version="1.0" encoding="utf-8"?>
<ThreadedComments xmlns="http://schemas.microsoft.com/office/spreadsheetml/2018/threadedcomments" xmlns:x="http://schemas.openxmlformats.org/spreadsheetml/2006/main">
  <threadedComment ref="C2" dT="2025-05-17T21:27:32.84" personId="{1AB07DAC-6FFA-42F5-A98B-F2412B7653AF}" id="{1C93ED8B-BAB8-4367-ADCF-81EF9D99DC7F}">
    <text>Release Sprint, que o roadmap deve iniciar</text>
  </threadedComment>
  <threadedComment ref="F2" dT="2025-05-17T21:27:55.39" personId="{1AB07DAC-6FFA-42F5-A98B-F2412B7653AF}" id="{35617C1F-C247-449F-9830-E557EEAE542A}">
    <text>Duração da Sprint em Semanas</text>
  </threadedComment>
  <threadedComment ref="D3" dT="2025-05-17T21:27:47.82" personId="{1AB07DAC-6FFA-42F5-A98B-F2412B7653AF}" id="{B3BE067D-76A6-4684-979C-C30ED4026244}">
    <text>Data de inicio do Roadmap</text>
  </threadedComment>
  <threadedComment ref="F3" dT="2025-05-17T21:28:27.11" personId="{1AB07DAC-6FFA-42F5-A98B-F2412B7653AF}" id="{2E5E6D01-6247-441B-A27F-6BD51FF97014}">
    <text>Quantidade de dias de Release Planning. No Itaú, é chamada de Sprint 0 (geralmente de 1 semana)</text>
  </threadedComment>
  <threadedComment ref="D5" dT="2025-05-17T22:16:23.53" personId="{1AB07DAC-6FFA-42F5-A98B-F2412B7653AF}" id="{F1D92E77-6503-4713-8DC1-F2B98C5EF176}">
    <text>Preenchido com o nome do desenvolvedor
F: Full Time
P: Party Time
(X% significa o percentual de Party Time)</text>
  </threadedComment>
</ThreadedComments>
</file>

<file path=xl/threadedComments/threadedComment3.xml><?xml version="1.0" encoding="utf-8"?>
<ThreadedComments xmlns="http://schemas.microsoft.com/office/spreadsheetml/2018/threadedcomments" xmlns:x="http://schemas.openxmlformats.org/spreadsheetml/2006/main">
  <threadedComment ref="C6" dT="2025-05-17T22:20:22.22" personId="{1AB07DAC-6FFA-42F5-A98B-F2412B7653AF}" id="{91DC2554-BB94-4BC4-8DBB-8182766088F6}">
    <text>Produto principal impactado ou responsável pela iniciativa.</text>
  </threadedComment>
</ThreadedComments>
</file>

<file path=xl/threadedComments/threadedComment4.xml><?xml version="1.0" encoding="utf-8"?>
<ThreadedComments xmlns="http://schemas.microsoft.com/office/spreadsheetml/2018/threadedcomments" xmlns:x="http://schemas.openxmlformats.org/spreadsheetml/2006/main">
  <threadedComment ref="B6" dT="2025-05-04T20:52:31.48" personId="{1AB07DAC-6FFA-42F5-A98B-F2412B7653AF}" id="{D6C6EFFB-4394-4F36-9090-367F88FC215F}">
    <text xml:space="preserve">Define se a iniciativa representa uma escolha ativa ou uma renúncia consciente. Ajuda na priorização e alinhamento com a capacidade do time. </text>
  </threadedComment>
  <threadedComment ref="C6" dT="2025-05-05T01:45:54.11" personId="{1AB07DAC-6FFA-42F5-A98B-F2412B7653AF}" id="{7E0D14FC-533E-472D-9F1F-9CE74FD8FE18}">
    <text>Grau de urgência ou impacto da iniciativa. Pode ser usada para guiar alocação de esforços e tomada de decisão.</text>
  </threadedComment>
  <threadedComment ref="D6" dT="2025-05-05T01:46:22.51" personId="{1AB07DAC-6FFA-42F5-A98B-F2412B7653AF}" id="{E0014E2C-8238-4AEC-9266-F6F0AB21C35C}">
    <text>Produto principal impactado ou responsável pela iniciativa.</text>
  </threadedComment>
  <threadedComment ref="E6" dT="2025-05-05T02:12:58.57" personId="{1AB07DAC-6FFA-42F5-A98B-F2412B7653AF}" id="{52C68DA6-26B5-4A18-86F5-95FDF163F615}">
    <text>Um grande objetivo estratégico ou tema de valor, geralmente ligado a OKRs ou narrativas amplas.</text>
  </threadedComment>
  <threadedComment ref="E6" dT="2025-05-05T02:13:33.54" personId="{1AB07DAC-6FFA-42F5-A98B-F2412B7653AF}" id="{2E972327-DEA8-4FCF-9180-DC36CF38ADF9}" parentId="{52C68DA6-26B5-4A18-86F5-95FDF163F615}">
    <text xml:space="preserve">Ex: “Operações Eficientes”, “Decisões Baseadas em Dados” </text>
  </threadedComment>
  <threadedComment ref="F6" dT="2025-05-05T02:13:53.02" personId="{1AB07DAC-6FFA-42F5-A98B-F2412B7653AF}" id="{7CCA9FE0-1246-4E88-9001-B9A5483A3960}">
    <text>Um esforço mais delimitado que entrega parte de um épico. Pode envolver uma ou mais histórias.</text>
  </threadedComment>
  <threadedComment ref="F6" dT="2025-05-05T02:14:07.76" personId="{1AB07DAC-6FFA-42F5-A98B-F2412B7653AF}" id="{08355E08-F169-4B43-B64C-BAE1EA19EB7A}" parentId="{7CCA9FE0-1246-4E88-9001-B9A5483A3960}">
    <text>Ex: “Score de Ecoeficiência”, “Painel de Agências no Radar Imobiliário”</text>
  </threadedComment>
  <threadedComment ref="I6" dT="2025-05-05T08:00:42.58" personId="{1AB07DAC-6FFA-42F5-A98B-F2412B7653AF}" id="{6E647F42-8444-40E7-859C-3D68F464B6BA}">
    <text>Indica se a linha se refere à fase de Discovery ou Delivery.</text>
  </threadedComment>
  <threadedComment ref="R6" dT="2025-05-05T20:35:23.34" personId="{1AB07DAC-6FFA-42F5-A98B-F2412B7653AF}" id="{9011E011-A360-4823-91B8-34C5E2F8CB03}">
    <text xml:space="preserve">Marca o planejamento inicial da fase. Serve como base para medir previsibilidade e cumprimento de plano. </text>
  </threadedComment>
  <threadedComment ref="S6" dT="2025-05-05T20:35:44.60" personId="{1AB07DAC-6FFA-42F5-A98B-F2412B7653AF}" id="{9D4D17D3-99A2-4AA8-B604-A3D97B94CC3F}">
    <text xml:space="preserve">Usada para medir desvios no início (gap entre planejado e real). Indica possíveis bloqueios ou problemas de kick-off. </text>
  </threadedComment>
  <threadedComment ref="T6" dT="2025-05-05T20:37:41.53" personId="{1AB07DAC-6FFA-42F5-A98B-F2412B7653AF}" id="{70411FB2-C73C-4C62-80E4-D2FFD6B8D5D3}">
    <text xml:space="preserve">Planejamento de encerramento. Usada para avaliar planejamento de capacidade e escopo. </text>
  </threadedComment>
  <threadedComment ref="U6" dT="2025-05-05T20:37:55.20" personId="{1AB07DAC-6FFA-42F5-A98B-F2412B7653AF}" id="{E7D1D783-F291-4A04-8E37-384584CABCF7}">
    <text xml:space="preserve">Usada para medir o real ciclo de vida da fase. Base para Lead Time e Cycle Time. </text>
  </threadedComment>
  <threadedComment ref="V6" dT="2025-05-05T20:38:15.16" personId="{1AB07DAC-6FFA-42F5-A98B-F2412B7653AF}" id="{3CFEF2AB-82C1-4ABB-BEF4-8E8A3849C223}">
    <text xml:space="preserve">Quantidade planejada de sprints para a fase. Ajuda a definir expectativa de entrega e capacidade do time. </text>
  </threadedComment>
  <threadedComment ref="W6" dT="2025-05-05T20:38:32.59" personId="{1AB07DAC-6FFA-42F5-A98B-F2412B7653AF}" id="{85C80C83-87C7-4C5C-9AC0-6D4E701928B2}">
    <text xml:space="preserve">Gap entre o planejamento e o que foi realmente entregue. Mede previsibilidade de entrega. </text>
  </threadedComment>
  <threadedComment ref="X7" dT="2025-05-05T20:38:49.57" personId="{1AB07DAC-6FFA-42F5-A98B-F2412B7653AF}" id="{EBE022CF-3B48-46AF-9ED1-70874DE7F244}">
    <text>Medida real de esforço, útil para cálculo de Lead Time por fase e velocidade média por tipo de entrega.</text>
  </threadedComment>
  <threadedComment ref="AE16" dT="2025-05-20T06:25:38.98" personId="{1AB07DAC-6FFA-42F5-A98B-F2412B7653AF}" id="{90689032-EA02-4BEE-8A7C-1471CF6E6185}">
    <text>Metas para: 60 dias após o lançamento da democratização.</text>
  </threadedComment>
  <threadedComment ref="AE17" dT="2025-05-20T06:25:38.98" personId="{1AB07DAC-6FFA-42F5-A98B-F2412B7653AF}" id="{FE34339A-490F-4ED1-9B0D-5935DE42BC9F}">
    <text>Metas para: 60 dias após o lançamento da democratização.</text>
  </threadedComment>
</ThreadedComments>
</file>

<file path=xl/threadedComments/threadedComment5.xml><?xml version="1.0" encoding="utf-8"?>
<ThreadedComments xmlns="http://schemas.microsoft.com/office/spreadsheetml/2018/threadedcomments" xmlns:x="http://schemas.openxmlformats.org/spreadsheetml/2006/main">
  <threadedComment ref="C6" dT="2025-05-05T01:46:22.51" personId="{1AB07DAC-6FFA-42F5-A98B-F2412B7653AF}" id="{A646BDEB-9821-4DCA-96B2-D176F75DAD2A}">
    <text>Produto principal impactado ou responsável pela iniciativa.</text>
  </threadedComment>
  <threadedComment ref="D6" dT="2025-05-05T02:12:58.57" personId="{1AB07DAC-6FFA-42F5-A98B-F2412B7653AF}" id="{C1889F8E-4D1A-4D31-A095-FBB4C92C7D03}">
    <text>Um grande objetivo estratégico ou tema de valor, geralmente ligado a OKRs ou narrativas amplas.</text>
  </threadedComment>
  <threadedComment ref="D6" dT="2025-05-05T02:13:33.54" personId="{1AB07DAC-6FFA-42F5-A98B-F2412B7653AF}" id="{5686C58B-BCC7-4214-9AC1-D7F7F7A161CF}" parentId="{C1889F8E-4D1A-4D31-A095-FBB4C92C7D03}">
    <text xml:space="preserve">Ex: “Operações Eficientes”, “Decisões Baseadas em Dados” </text>
  </threadedComment>
  <threadedComment ref="E6" dT="2025-05-04T20:52:31.48" personId="{1AB07DAC-6FFA-42F5-A98B-F2412B7653AF}" id="{E287E045-C5F8-40E3-9B48-1398ACFE4425}">
    <text xml:space="preserve">Define se a iniciativa representa uma escolha ativa ou uma renúncia consciente. Ajuda na priorização e alinhamento com a capacidade do time. </text>
  </threadedComment>
  <threadedComment ref="F6" dT="2025-05-05T01:45:54.11" personId="{1AB07DAC-6FFA-42F5-A98B-F2412B7653AF}" id="{591F68E6-1E6D-40C9-A3F1-6D42B517BDA9}">
    <text>Grau de urgência ou impacto da iniciativa. Pode ser usada para guiar alocação de esforços e tomada de decisão.</text>
  </threadedComment>
  <threadedComment ref="G6" dT="2025-05-05T02:13:53.02" personId="{1AB07DAC-6FFA-42F5-A98B-F2412B7653AF}" id="{5DE8D6D9-A3DE-4ECA-9B2A-3A9285E2A32F}">
    <text>Um esforço mais delimitado que entrega parte de um épico. Pode envolver uma ou mais histórias.</text>
  </threadedComment>
  <threadedComment ref="G6" dT="2025-05-05T02:14:07.76" personId="{1AB07DAC-6FFA-42F5-A98B-F2412B7653AF}" id="{4A6CBC88-0700-4CE1-B89E-537E104BB2E9}" parentId="{5DE8D6D9-A3DE-4ECA-9B2A-3A9285E2A32F}">
    <text>Ex: “Score de Ecoeficiência”, “Painel de Agências no Radar Imobiliário”</text>
  </threadedComment>
  <threadedComment ref="J6" dT="2025-05-05T08:00:42.58" personId="{1AB07DAC-6FFA-42F5-A98B-F2412B7653AF}" id="{B085FAC2-733C-41BC-9071-D9DAFAD73A26}">
    <text>Indica se a linha se refere à fase de Discovery ou Delivery.</text>
  </threadedComment>
  <threadedComment ref="W6" dT="2025-05-05T20:35:23.34" personId="{1AB07DAC-6FFA-42F5-A98B-F2412B7653AF}" id="{B4BD046F-A117-4018-9FE8-BE38B8EBF132}">
    <text xml:space="preserve">Marca o planejamento inicial da fase. Serve como base para medir previsibilidade e cumprimento de plano. </text>
  </threadedComment>
  <threadedComment ref="X6" dT="2025-05-05T20:35:44.60" personId="{1AB07DAC-6FFA-42F5-A98B-F2412B7653AF}" id="{5838B9EF-1A5B-4751-B0C6-C3E7D32D58A1}">
    <text xml:space="preserve">Usada para medir desvios no início (gap entre planejado e real). Indica possíveis bloqueios ou problemas de kick-off. </text>
  </threadedComment>
  <threadedComment ref="Y6" dT="2025-05-05T20:37:41.53" personId="{1AB07DAC-6FFA-42F5-A98B-F2412B7653AF}" id="{E54F1EA5-1F0B-4923-AADA-807ADBC6A4F6}">
    <text xml:space="preserve">Planejamento de encerramento. Usada para avaliar planejamento de capacidade e escopo. </text>
  </threadedComment>
  <threadedComment ref="Z6" dT="2025-05-05T20:37:55.20" personId="{1AB07DAC-6FFA-42F5-A98B-F2412B7653AF}" id="{0FDDEDA6-F666-4CF6-8770-A838F934119A}">
    <text xml:space="preserve">Usada para medir o real ciclo de vida da fase. Base para Lead Time e Cycle Time. </text>
  </threadedComment>
  <threadedComment ref="AA6" dT="2025-05-05T20:38:15.16" personId="{1AB07DAC-6FFA-42F5-A98B-F2412B7653AF}" id="{85BBF3A9-5929-4FAF-9AAD-E06BB68D04B6}">
    <text xml:space="preserve">Quantidade planejada de sprints para a fase. Ajuda a definir expectativa de entrega e capacidade do time. </text>
  </threadedComment>
  <threadedComment ref="AB6" dT="2025-05-05T20:38:32.59" personId="{1AB07DAC-6FFA-42F5-A98B-F2412B7653AF}" id="{954D94A9-6964-48F5-8310-20AB0B06FEF8}">
    <text xml:space="preserve">Gap entre o planejamento e o que foi realmente entregue. Mede previsibilidade de entrega. </text>
  </threadedComment>
  <threadedComment ref="AC7" dT="2025-05-05T20:38:49.57" personId="{1AB07DAC-6FFA-42F5-A98B-F2412B7653AF}" id="{E91656F1-4DC3-4903-B413-C2F70C25BAF0}">
    <text>Medida real de esforço, útil para cálculo de Lead Time por fase e velocidade média por tipo de entrega.</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4.xml"/><Relationship Id="rId5" Type="http://schemas.openxmlformats.org/officeDocument/2006/relationships/comments" Target="../comments4.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microsoft.com/office/2017/10/relationships/threadedComment" Target="../threadedComments/threadedComment5.xml"/><Relationship Id="rId5" Type="http://schemas.openxmlformats.org/officeDocument/2006/relationships/comments" Target="../comments5.xml"/><Relationship Id="rId4"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4.xml"/><Relationship Id="rId13" Type="http://schemas.openxmlformats.org/officeDocument/2006/relationships/table" Target="../tables/table19.xml"/><Relationship Id="rId3" Type="http://schemas.openxmlformats.org/officeDocument/2006/relationships/table" Target="../tables/table9.xml"/><Relationship Id="rId7" Type="http://schemas.openxmlformats.org/officeDocument/2006/relationships/table" Target="../tables/table13.xml"/><Relationship Id="rId12" Type="http://schemas.openxmlformats.org/officeDocument/2006/relationships/table" Target="../tables/table18.xml"/><Relationship Id="rId2" Type="http://schemas.openxmlformats.org/officeDocument/2006/relationships/table" Target="../tables/table8.xml"/><Relationship Id="rId1" Type="http://schemas.openxmlformats.org/officeDocument/2006/relationships/table" Target="../tables/table7.xml"/><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D6626-36F0-4ACB-A3AD-94059CCCAF79}">
  <sheetPr codeName="Planilha1"/>
  <dimension ref="A1:BI12"/>
  <sheetViews>
    <sheetView showGridLines="0" workbookViewId="0">
      <selection activeCell="B8" sqref="B8"/>
    </sheetView>
  </sheetViews>
  <sheetFormatPr defaultRowHeight="14.4" x14ac:dyDescent="0.3"/>
  <cols>
    <col min="2" max="2" width="69.33203125" bestFit="1" customWidth="1"/>
  </cols>
  <sheetData>
    <row r="1" spans="1:61" ht="14.4" customHeight="1" x14ac:dyDescent="0.3">
      <c r="A1" s="138" t="s">
        <v>392</v>
      </c>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row>
    <row r="2" spans="1:61" ht="14.4" customHeight="1" x14ac:dyDescent="0.3">
      <c r="A2" s="138"/>
      <c r="B2" s="138"/>
      <c r="C2" s="138"/>
      <c r="D2" s="138"/>
      <c r="E2" s="138"/>
      <c r="F2" s="138"/>
      <c r="G2" s="138"/>
      <c r="H2" s="138"/>
      <c r="I2" s="138"/>
      <c r="J2" s="138"/>
      <c r="K2" s="138"/>
      <c r="L2" s="138"/>
      <c r="M2" s="138"/>
      <c r="N2" s="138"/>
      <c r="O2" s="138"/>
      <c r="P2" s="138"/>
      <c r="Q2" s="138"/>
      <c r="R2" s="138"/>
      <c r="S2" s="138"/>
      <c r="T2" s="138"/>
      <c r="U2" s="138"/>
      <c r="V2" s="138"/>
      <c r="W2" s="138"/>
      <c r="X2" s="138"/>
      <c r="Y2" s="138"/>
      <c r="Z2" s="138"/>
      <c r="AA2" s="138"/>
      <c r="AB2" s="138"/>
      <c r="AC2" s="138"/>
      <c r="AD2" s="138"/>
      <c r="AE2" s="138"/>
      <c r="AF2" s="138"/>
      <c r="AG2" s="138"/>
      <c r="AH2" s="138"/>
      <c r="AI2" s="138"/>
      <c r="AJ2" s="138"/>
      <c r="AK2" s="138"/>
      <c r="AL2" s="138"/>
      <c r="AM2" s="138"/>
      <c r="AN2" s="138"/>
      <c r="AO2" s="138"/>
      <c r="AP2" s="138"/>
      <c r="AQ2" s="138"/>
      <c r="AR2" s="138"/>
      <c r="AS2" s="138"/>
      <c r="AT2" s="138"/>
      <c r="AU2" s="138"/>
      <c r="AV2" s="138"/>
      <c r="AW2" s="138"/>
      <c r="AX2" s="138"/>
      <c r="AY2" s="138"/>
      <c r="AZ2" s="138"/>
      <c r="BA2" s="138"/>
      <c r="BB2" s="138"/>
      <c r="BC2" s="138"/>
      <c r="BD2" s="138"/>
      <c r="BE2" s="138"/>
      <c r="BF2" s="138"/>
      <c r="BG2" s="138"/>
      <c r="BH2" s="138"/>
      <c r="BI2" s="138"/>
    </row>
    <row r="3" spans="1:61" ht="14.4" customHeight="1" x14ac:dyDescent="0.3">
      <c r="A3" s="139" t="s">
        <v>0</v>
      </c>
      <c r="B3" s="139"/>
      <c r="C3" s="139"/>
      <c r="D3" s="139"/>
      <c r="E3" s="139"/>
      <c r="F3" s="139"/>
      <c r="G3" s="139"/>
      <c r="H3" s="139"/>
      <c r="I3" s="139"/>
      <c r="J3" s="139"/>
      <c r="K3" s="139"/>
      <c r="L3" s="139"/>
      <c r="M3" s="139"/>
      <c r="N3" s="139"/>
      <c r="O3" s="139"/>
      <c r="P3" s="139"/>
      <c r="Q3" s="139"/>
      <c r="R3" s="139"/>
      <c r="S3" s="139"/>
      <c r="T3" s="139"/>
      <c r="U3" s="139"/>
      <c r="V3" s="139"/>
      <c r="W3" s="139"/>
      <c r="X3" s="139"/>
      <c r="Y3" s="139"/>
      <c r="Z3" s="139"/>
      <c r="AA3" s="139"/>
      <c r="AB3" s="139"/>
      <c r="AC3" s="139"/>
      <c r="AD3" s="139"/>
      <c r="AE3" s="139"/>
      <c r="AF3" s="139"/>
      <c r="AG3" s="139"/>
      <c r="AH3" s="139"/>
      <c r="AI3" s="139"/>
      <c r="AJ3" s="139"/>
      <c r="AK3" s="139"/>
      <c r="AL3" s="139"/>
      <c r="AM3" s="139"/>
      <c r="AN3" s="139"/>
      <c r="AO3" s="139"/>
      <c r="AP3" s="139"/>
      <c r="AQ3" s="139"/>
      <c r="AR3" s="139"/>
      <c r="AS3" s="139"/>
      <c r="AT3" s="139"/>
      <c r="AU3" s="139"/>
      <c r="AV3" s="139"/>
      <c r="AW3" s="139"/>
      <c r="AX3" s="139"/>
      <c r="AY3" s="139"/>
      <c r="AZ3" s="139"/>
      <c r="BA3" s="139"/>
      <c r="BB3" s="139"/>
      <c r="BC3" s="139"/>
      <c r="BD3" s="139"/>
      <c r="BE3" s="139"/>
      <c r="BF3" s="139"/>
      <c r="BG3" s="139"/>
      <c r="BH3" s="139"/>
    </row>
    <row r="4" spans="1:61" ht="14.4" customHeight="1" x14ac:dyDescent="0.3">
      <c r="A4" s="139"/>
      <c r="B4" s="139"/>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c r="AC4" s="139"/>
      <c r="AD4" s="139"/>
      <c r="AE4" s="139"/>
      <c r="AF4" s="139"/>
      <c r="AG4" s="139"/>
      <c r="AH4" s="139"/>
      <c r="AI4" s="139"/>
      <c r="AJ4" s="139"/>
      <c r="AK4" s="139"/>
      <c r="AL4" s="139"/>
      <c r="AM4" s="139"/>
      <c r="AN4" s="139"/>
      <c r="AO4" s="139"/>
      <c r="AP4" s="139"/>
      <c r="AQ4" s="139"/>
      <c r="AR4" s="139"/>
      <c r="AS4" s="139"/>
      <c r="AT4" s="139"/>
      <c r="AU4" s="139"/>
      <c r="AV4" s="139"/>
      <c r="AW4" s="139"/>
      <c r="AX4" s="139"/>
      <c r="AY4" s="139"/>
      <c r="AZ4" s="139"/>
      <c r="BA4" s="139"/>
      <c r="BB4" s="139"/>
      <c r="BC4" s="139"/>
      <c r="BD4" s="139"/>
      <c r="BE4" s="139"/>
      <c r="BF4" s="139"/>
      <c r="BG4" s="139"/>
      <c r="BH4" s="139"/>
    </row>
    <row r="6" spans="1:61" ht="22.8" customHeight="1" x14ac:dyDescent="0.3">
      <c r="A6" s="140" t="s">
        <v>522</v>
      </c>
      <c r="B6" s="140"/>
      <c r="C6" s="140"/>
      <c r="D6" s="140"/>
      <c r="E6" s="140"/>
      <c r="F6" s="140"/>
      <c r="G6" s="140"/>
      <c r="H6" s="140"/>
      <c r="I6" s="140"/>
      <c r="J6" s="140"/>
      <c r="K6" s="140"/>
      <c r="L6" s="140"/>
      <c r="M6" s="140"/>
      <c r="N6" s="140"/>
      <c r="O6" s="140"/>
      <c r="P6" s="140"/>
    </row>
    <row r="8" spans="1:61" s="5" customFormat="1" ht="40.049999999999997" customHeight="1" x14ac:dyDescent="0.3">
      <c r="B8" s="104" t="s">
        <v>485</v>
      </c>
    </row>
    <row r="9" spans="1:61" ht="40.049999999999997" customHeight="1" x14ac:dyDescent="0.3">
      <c r="B9" s="105" t="s">
        <v>486</v>
      </c>
    </row>
    <row r="10" spans="1:61" ht="40.049999999999997" customHeight="1" x14ac:dyDescent="0.3">
      <c r="B10" s="104" t="s">
        <v>487</v>
      </c>
    </row>
    <row r="11" spans="1:61" ht="40.049999999999997" customHeight="1" x14ac:dyDescent="0.3">
      <c r="B11" s="104" t="s">
        <v>521</v>
      </c>
    </row>
    <row r="12" spans="1:61" ht="40.049999999999997" customHeight="1" x14ac:dyDescent="0.3">
      <c r="B12" s="104" t="s">
        <v>488</v>
      </c>
    </row>
  </sheetData>
  <mergeCells count="3">
    <mergeCell ref="A1:BI2"/>
    <mergeCell ref="A3:BH4"/>
    <mergeCell ref="A6:P6"/>
  </mergeCell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4AC9C-9C00-4F38-8700-569EF27E8D8E}">
  <sheetPr codeName="Planilha2"/>
  <dimension ref="A1:T7"/>
  <sheetViews>
    <sheetView topLeftCell="C1" workbookViewId="0">
      <pane xSplit="3" ySplit="2" topLeftCell="F3" activePane="bottomRight" state="frozen"/>
      <selection activeCell="C1" sqref="C1"/>
      <selection pane="topRight" activeCell="F1" sqref="F1"/>
      <selection pane="bottomLeft" activeCell="C3" sqref="C3"/>
      <selection pane="bottomRight" activeCell="H7" sqref="H7"/>
    </sheetView>
  </sheetViews>
  <sheetFormatPr defaultRowHeight="14.4" outlineLevelCol="1" x14ac:dyDescent="0.3"/>
  <cols>
    <col min="1" max="2" width="19" hidden="1" customWidth="1"/>
    <col min="3" max="5" width="19" customWidth="1"/>
    <col min="6" max="6" width="12.77734375" customWidth="1" outlineLevel="1"/>
    <col min="7" max="9" width="16.88671875" customWidth="1" outlineLevel="1"/>
    <col min="10" max="10" width="16.21875" bestFit="1" customWidth="1" outlineLevel="1"/>
    <col min="11" max="11" width="17.33203125" customWidth="1" outlineLevel="1"/>
    <col min="12" max="12" width="18.109375" customWidth="1" outlineLevel="1"/>
    <col min="13" max="13" width="23" customWidth="1" outlineLevel="1"/>
    <col min="14" max="16" width="11.21875" customWidth="1"/>
    <col min="17" max="20" width="16.77734375" customWidth="1"/>
  </cols>
  <sheetData>
    <row r="1" spans="1:20" x14ac:dyDescent="0.3">
      <c r="C1" s="166" t="s">
        <v>5</v>
      </c>
      <c r="D1" s="166"/>
      <c r="E1" s="166"/>
      <c r="F1" s="142" t="s">
        <v>192</v>
      </c>
      <c r="G1" s="142"/>
      <c r="H1" s="142"/>
      <c r="I1" s="142"/>
      <c r="J1" s="142"/>
      <c r="K1" s="142"/>
      <c r="L1" s="142"/>
      <c r="M1" s="142"/>
      <c r="N1" s="141" t="s">
        <v>617</v>
      </c>
      <c r="O1" s="141"/>
      <c r="P1" s="141"/>
      <c r="Q1" s="141"/>
      <c r="R1" s="141"/>
      <c r="S1" s="141"/>
      <c r="T1" s="100"/>
    </row>
    <row r="2" spans="1:20" s="7" customFormat="1" ht="28.8" x14ac:dyDescent="0.3">
      <c r="A2" s="36" t="s">
        <v>142</v>
      </c>
      <c r="B2" s="36" t="s">
        <v>144</v>
      </c>
      <c r="C2" s="36" t="s">
        <v>3</v>
      </c>
      <c r="D2" s="36" t="s">
        <v>4</v>
      </c>
      <c r="E2" s="36" t="s">
        <v>5</v>
      </c>
      <c r="F2" s="36" t="s">
        <v>319</v>
      </c>
      <c r="G2" s="36" t="s">
        <v>320</v>
      </c>
      <c r="H2" s="36" t="s">
        <v>321</v>
      </c>
      <c r="I2" s="36" t="s">
        <v>451</v>
      </c>
      <c r="J2" s="115" t="s">
        <v>587</v>
      </c>
      <c r="K2" s="36" t="s">
        <v>340</v>
      </c>
      <c r="L2" s="36" t="s">
        <v>339</v>
      </c>
      <c r="M2" s="36" t="s">
        <v>376</v>
      </c>
      <c r="N2" s="36" t="s">
        <v>352</v>
      </c>
      <c r="O2" s="36" t="s">
        <v>353</v>
      </c>
      <c r="P2" s="36" t="s">
        <v>354</v>
      </c>
      <c r="Q2" s="36" t="s">
        <v>355</v>
      </c>
      <c r="R2" s="36" t="s">
        <v>550</v>
      </c>
      <c r="S2" s="36" t="s">
        <v>616</v>
      </c>
      <c r="T2" s="109" t="s">
        <v>551</v>
      </c>
    </row>
    <row r="3" spans="1:20" ht="28.8" x14ac:dyDescent="0.3">
      <c r="A3" s="26"/>
      <c r="B3" s="26"/>
      <c r="C3" s="26" t="s">
        <v>29</v>
      </c>
      <c r="D3" s="26" t="s">
        <v>549</v>
      </c>
      <c r="E3" s="26" t="s">
        <v>548</v>
      </c>
      <c r="F3" s="26" t="s">
        <v>332</v>
      </c>
      <c r="G3" s="26" t="s">
        <v>332</v>
      </c>
      <c r="H3" s="26" t="s">
        <v>331</v>
      </c>
      <c r="I3" s="26"/>
      <c r="J3" s="8"/>
      <c r="K3" s="8" t="s">
        <v>337</v>
      </c>
      <c r="L3" s="8" t="s">
        <v>323</v>
      </c>
      <c r="M3" s="25" t="s">
        <v>324</v>
      </c>
      <c r="N3" s="26">
        <v>152</v>
      </c>
      <c r="O3" s="26">
        <v>3</v>
      </c>
      <c r="P3" s="113">
        <v>0.8</v>
      </c>
      <c r="Q3" s="26">
        <v>8</v>
      </c>
      <c r="R3" s="26">
        <v>5</v>
      </c>
      <c r="S3" s="26">
        <v>8</v>
      </c>
      <c r="T3" s="114">
        <f>IFERROR(((tbPriorizacao[[#This Row],[Reach]]*tbPriorizacao[[#This Row],[Impact]]*tbPriorizacao[[#This Row],[Confidence]])/tbPriorizacao[[#This Row],[Effort]])*tbPriorizacao[[#This Row],[Cost of Delay]]*tbPriorizacao[[#This Row],[OKR Alignment]],"")</f>
        <v>1824</v>
      </c>
    </row>
    <row r="4" spans="1:20" ht="72" x14ac:dyDescent="0.3">
      <c r="A4" s="26"/>
      <c r="B4" s="26"/>
      <c r="C4" s="26" t="s">
        <v>503</v>
      </c>
      <c r="D4" s="26" t="s">
        <v>558</v>
      </c>
      <c r="E4" s="26" t="s">
        <v>559</v>
      </c>
      <c r="F4" s="26" t="s">
        <v>328</v>
      </c>
      <c r="G4" s="26" t="s">
        <v>328</v>
      </c>
      <c r="H4" s="26" t="s">
        <v>327</v>
      </c>
      <c r="I4" s="26" t="s">
        <v>325</v>
      </c>
      <c r="J4" s="8"/>
      <c r="K4" s="8" t="s">
        <v>337</v>
      </c>
      <c r="L4" s="8" t="s">
        <v>323</v>
      </c>
      <c r="M4" s="25" t="s">
        <v>324</v>
      </c>
      <c r="N4" s="26">
        <v>112.5</v>
      </c>
      <c r="O4" s="26">
        <v>75</v>
      </c>
      <c r="P4" s="113">
        <v>0.3</v>
      </c>
      <c r="Q4" s="26">
        <v>40</v>
      </c>
      <c r="R4" s="26">
        <v>5</v>
      </c>
      <c r="S4" s="26">
        <v>8</v>
      </c>
      <c r="T4" s="114">
        <f>IFERROR(((tbPriorizacao[[#This Row],[Reach]]*tbPriorizacao[[#This Row],[Impact]]*tbPriorizacao[[#This Row],[Confidence]])/tbPriorizacao[[#This Row],[Effort]])*tbPriorizacao[[#This Row],[Cost of Delay]]*tbPriorizacao[[#This Row],[OKR Alignment]],"")</f>
        <v>2531.25</v>
      </c>
    </row>
    <row r="5" spans="1:20" ht="100.8" x14ac:dyDescent="0.3">
      <c r="A5" s="26"/>
      <c r="B5" s="26"/>
      <c r="C5" s="26" t="s">
        <v>32</v>
      </c>
      <c r="D5" s="26" t="s">
        <v>562</v>
      </c>
      <c r="E5" s="26" t="s">
        <v>563</v>
      </c>
      <c r="F5" s="26" t="s">
        <v>325</v>
      </c>
      <c r="G5" s="26" t="s">
        <v>325</v>
      </c>
      <c r="H5" s="26" t="s">
        <v>326</v>
      </c>
      <c r="I5" s="26" t="s">
        <v>327</v>
      </c>
      <c r="J5" s="8"/>
      <c r="K5" s="8" t="s">
        <v>337</v>
      </c>
      <c r="L5" s="8" t="s">
        <v>323</v>
      </c>
      <c r="M5" s="25" t="s">
        <v>324</v>
      </c>
      <c r="N5" s="26">
        <v>1.5</v>
      </c>
      <c r="O5" s="26">
        <v>120</v>
      </c>
      <c r="P5" s="113">
        <v>0.8</v>
      </c>
      <c r="Q5" s="26">
        <v>18</v>
      </c>
      <c r="R5" s="26">
        <v>3</v>
      </c>
      <c r="S5" s="26">
        <v>2</v>
      </c>
      <c r="T5" s="114">
        <f>IFERROR(((tbPriorizacao[[#This Row],[Reach]]*tbPriorizacao[[#This Row],[Impact]]*tbPriorizacao[[#This Row],[Confidence]])/tbPriorizacao[[#This Row],[Effort]])*tbPriorizacao[[#This Row],[Cost of Delay]]*tbPriorizacao[[#This Row],[OKR Alignment]],"")</f>
        <v>48</v>
      </c>
    </row>
    <row r="6" spans="1:20" ht="28.8" x14ac:dyDescent="0.3">
      <c r="A6" s="26"/>
      <c r="B6" s="26"/>
      <c r="C6" s="26" t="s">
        <v>49</v>
      </c>
      <c r="D6" s="26" t="s">
        <v>615</v>
      </c>
      <c r="E6" s="26" t="s">
        <v>615</v>
      </c>
      <c r="F6" s="26" t="s">
        <v>328</v>
      </c>
      <c r="G6" s="26" t="s">
        <v>328</v>
      </c>
      <c r="H6" s="26" t="s">
        <v>330</v>
      </c>
      <c r="I6" s="26" t="s">
        <v>325</v>
      </c>
      <c r="J6" s="8"/>
      <c r="K6" s="26"/>
      <c r="L6" s="26" t="s">
        <v>323</v>
      </c>
      <c r="M6" s="25" t="s">
        <v>324</v>
      </c>
      <c r="N6" s="165">
        <v>47.5</v>
      </c>
      <c r="O6" s="26">
        <v>5</v>
      </c>
      <c r="P6" s="113">
        <v>0.5</v>
      </c>
      <c r="Q6" s="26">
        <v>24</v>
      </c>
      <c r="R6" s="26">
        <v>2</v>
      </c>
      <c r="S6" s="26">
        <v>1</v>
      </c>
      <c r="T6" s="114">
        <f>IFERROR(((tbPriorizacao[[#This Row],[Reach]]*tbPriorizacao[[#This Row],[Impact]]*tbPriorizacao[[#This Row],[Confidence]])/tbPriorizacao[[#This Row],[Effort]])*tbPriorizacao[[#This Row],[Cost of Delay]]*tbPriorizacao[[#This Row],[OKR Alignment]],"")</f>
        <v>9.8958333333333339</v>
      </c>
    </row>
    <row r="7" spans="1:20" ht="72" x14ac:dyDescent="0.3">
      <c r="A7" s="26"/>
      <c r="B7" s="26"/>
      <c r="C7" s="26" t="s">
        <v>503</v>
      </c>
      <c r="D7" s="26" t="s">
        <v>585</v>
      </c>
      <c r="E7" s="26" t="s">
        <v>586</v>
      </c>
      <c r="F7" s="26"/>
      <c r="G7" s="26" t="s">
        <v>327</v>
      </c>
      <c r="H7" s="26" t="s">
        <v>328</v>
      </c>
      <c r="I7" s="26" t="s">
        <v>325</v>
      </c>
      <c r="J7" s="26" t="s">
        <v>588</v>
      </c>
      <c r="K7" s="8" t="s">
        <v>337</v>
      </c>
      <c r="L7" s="8" t="s">
        <v>323</v>
      </c>
      <c r="M7" s="25" t="s">
        <v>324</v>
      </c>
      <c r="N7" s="26">
        <v>180</v>
      </c>
      <c r="O7" s="26">
        <v>125</v>
      </c>
      <c r="P7" s="113">
        <v>0.8</v>
      </c>
      <c r="Q7" s="26">
        <v>40</v>
      </c>
      <c r="R7" s="26">
        <v>5</v>
      </c>
      <c r="S7" s="26">
        <v>8</v>
      </c>
      <c r="T7" s="114">
        <f>IFERROR(((tbPriorizacao[[#This Row],[Reach]]*tbPriorizacao[[#This Row],[Impact]]*tbPriorizacao[[#This Row],[Confidence]])/tbPriorizacao[[#This Row],[Effort]])*tbPriorizacao[[#This Row],[Cost of Delay]]*tbPriorizacao[[#This Row],[OKR Alignment]],"")</f>
        <v>18000</v>
      </c>
    </row>
  </sheetData>
  <mergeCells count="3">
    <mergeCell ref="F1:M1"/>
    <mergeCell ref="N1:S1"/>
    <mergeCell ref="C1:E1"/>
  </mergeCells>
  <phoneticPr fontId="14" type="noConversion"/>
  <dataValidations count="2">
    <dataValidation type="list" allowBlank="1" showInputMessage="1" showErrorMessage="1" sqref="F3:M7" xr:uid="{B297DB4E-0D9E-45B9-B48E-47AB2A450F65}">
      <formula1>ListaEquipe</formula1>
    </dataValidation>
    <dataValidation type="list" allowBlank="1" showInputMessage="1" showErrorMessage="1" sqref="C3:C7" xr:uid="{D6542F6F-B2E3-4546-A1C4-76E9D9F6D501}">
      <formula1>Lista_Produtos</formula1>
    </dataValidation>
  </dataValidations>
  <pageMargins left="0.511811024" right="0.511811024" top="0.78740157499999996" bottom="0.78740157499999996" header="0.31496062000000002" footer="0.31496062000000002"/>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217D68E-B98C-4350-B8EE-518F84C088BE}">
          <x14:formula1>
            <xm:f>'Roadmap Estratégico'!$A$7:$A$503</xm:f>
          </x14:formula1>
          <xm:sqref>B3:B7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1175C-2BBA-4ABD-A14E-B5E77D335989}">
  <sheetPr codeName="Planilha16"/>
  <dimension ref="A1:C30"/>
  <sheetViews>
    <sheetView workbookViewId="0">
      <selection sqref="A1:C1"/>
    </sheetView>
  </sheetViews>
  <sheetFormatPr defaultRowHeight="14.4" outlineLevelRow="1" x14ac:dyDescent="0.3"/>
  <cols>
    <col min="1" max="3" width="51.88671875" style="1" customWidth="1"/>
  </cols>
  <sheetData>
    <row r="1" spans="1:3" ht="15.6" x14ac:dyDescent="0.3">
      <c r="A1" s="143" t="s">
        <v>523</v>
      </c>
      <c r="B1" s="143"/>
      <c r="C1" s="143"/>
    </row>
    <row r="2" spans="1:3" x14ac:dyDescent="0.3">
      <c r="A2" s="108" t="s">
        <v>524</v>
      </c>
      <c r="B2" s="108" t="s">
        <v>527</v>
      </c>
      <c r="C2" s="108" t="s">
        <v>525</v>
      </c>
    </row>
    <row r="3" spans="1:3" outlineLevel="1" x14ac:dyDescent="0.3">
      <c r="A3" s="1" t="s">
        <v>526</v>
      </c>
      <c r="B3" s="1" t="s">
        <v>528</v>
      </c>
      <c r="C3" s="1">
        <v>7</v>
      </c>
    </row>
    <row r="4" spans="1:3" outlineLevel="1" x14ac:dyDescent="0.3">
      <c r="A4" s="1" t="s">
        <v>531</v>
      </c>
      <c r="B4" s="1" t="s">
        <v>529</v>
      </c>
      <c r="C4" s="1">
        <v>5</v>
      </c>
    </row>
    <row r="5" spans="1:3" outlineLevel="1" x14ac:dyDescent="0.3">
      <c r="A5" s="1" t="s">
        <v>530</v>
      </c>
      <c r="B5" s="1" t="s">
        <v>532</v>
      </c>
      <c r="C5" s="1">
        <v>15</v>
      </c>
    </row>
    <row r="6" spans="1:3" outlineLevel="1" x14ac:dyDescent="0.3">
      <c r="A6" s="1" t="s">
        <v>534</v>
      </c>
      <c r="B6" s="1" t="s">
        <v>533</v>
      </c>
      <c r="C6" s="1">
        <v>16</v>
      </c>
    </row>
    <row r="7" spans="1:3" outlineLevel="1" x14ac:dyDescent="0.3">
      <c r="A7" s="1" t="s">
        <v>535</v>
      </c>
      <c r="B7" s="1" t="s">
        <v>536</v>
      </c>
      <c r="C7" s="1">
        <v>10</v>
      </c>
    </row>
    <row r="8" spans="1:3" outlineLevel="1" x14ac:dyDescent="0.3">
      <c r="A8" s="1" t="s">
        <v>537</v>
      </c>
      <c r="B8" s="1" t="s">
        <v>536</v>
      </c>
      <c r="C8" s="1">
        <v>13</v>
      </c>
    </row>
    <row r="9" spans="1:3" outlineLevel="1" x14ac:dyDescent="0.3">
      <c r="A9" s="1" t="s">
        <v>538</v>
      </c>
      <c r="B9" s="1" t="s">
        <v>536</v>
      </c>
      <c r="C9" s="1">
        <v>12</v>
      </c>
    </row>
    <row r="10" spans="1:3" outlineLevel="1" x14ac:dyDescent="0.3">
      <c r="A10" s="1" t="s">
        <v>539</v>
      </c>
      <c r="B10" s="1" t="s">
        <v>536</v>
      </c>
      <c r="C10" s="1">
        <v>10</v>
      </c>
    </row>
    <row r="11" spans="1:3" outlineLevel="1" x14ac:dyDescent="0.3">
      <c r="A11" s="1" t="s">
        <v>540</v>
      </c>
      <c r="B11" s="1" t="s">
        <v>541</v>
      </c>
      <c r="C11" s="1">
        <v>6</v>
      </c>
    </row>
    <row r="12" spans="1:3" outlineLevel="1" x14ac:dyDescent="0.3">
      <c r="A12" s="1" t="s">
        <v>542</v>
      </c>
      <c r="B12" s="1" t="s">
        <v>541</v>
      </c>
      <c r="C12" s="1">
        <v>6</v>
      </c>
    </row>
    <row r="13" spans="1:3" outlineLevel="1" x14ac:dyDescent="0.3">
      <c r="A13" s="1" t="s">
        <v>543</v>
      </c>
      <c r="B13" s="1" t="s">
        <v>541</v>
      </c>
      <c r="C13" s="1">
        <v>7</v>
      </c>
    </row>
    <row r="14" spans="1:3" outlineLevel="1" x14ac:dyDescent="0.3">
      <c r="A14" s="1" t="s">
        <v>544</v>
      </c>
      <c r="B14" s="1" t="s">
        <v>541</v>
      </c>
      <c r="C14" s="1">
        <v>4</v>
      </c>
    </row>
    <row r="16" spans="1:3" ht="15.6" x14ac:dyDescent="0.3">
      <c r="A16" s="143" t="s">
        <v>545</v>
      </c>
      <c r="B16" s="143"/>
      <c r="C16" s="143"/>
    </row>
    <row r="17" spans="1:3" x14ac:dyDescent="0.3">
      <c r="A17" s="108" t="s">
        <v>524</v>
      </c>
      <c r="B17" s="108" t="s">
        <v>527</v>
      </c>
      <c r="C17" s="108" t="s">
        <v>525</v>
      </c>
    </row>
    <row r="18" spans="1:3" outlineLevel="1" x14ac:dyDescent="0.3">
      <c r="A18" s="1" t="s">
        <v>546</v>
      </c>
      <c r="B18" s="1" t="s">
        <v>547</v>
      </c>
      <c r="C18" s="1">
        <v>8</v>
      </c>
    </row>
    <row r="20" spans="1:3" ht="15.6" x14ac:dyDescent="0.3">
      <c r="A20" s="143" t="s">
        <v>552</v>
      </c>
      <c r="B20" s="143"/>
      <c r="C20" s="143"/>
    </row>
    <row r="21" spans="1:3" x14ac:dyDescent="0.3">
      <c r="A21" s="108" t="s">
        <v>524</v>
      </c>
      <c r="B21" s="108" t="s">
        <v>527</v>
      </c>
      <c r="C21" s="108" t="s">
        <v>525</v>
      </c>
    </row>
    <row r="22" spans="1:3" outlineLevel="1" x14ac:dyDescent="0.3">
      <c r="A22" s="1" t="s">
        <v>553</v>
      </c>
      <c r="B22" s="1" t="s">
        <v>554</v>
      </c>
      <c r="C22" s="1">
        <f>4+11+6+8</f>
        <v>29</v>
      </c>
    </row>
    <row r="23" spans="1:3" outlineLevel="1" x14ac:dyDescent="0.3">
      <c r="A23" s="1" t="s">
        <v>555</v>
      </c>
      <c r="B23" s="1" t="s">
        <v>556</v>
      </c>
      <c r="C23" s="1">
        <v>19</v>
      </c>
    </row>
    <row r="24" spans="1:3" outlineLevel="1" x14ac:dyDescent="0.3">
      <c r="A24" s="1" t="s">
        <v>555</v>
      </c>
      <c r="B24" s="1" t="s">
        <v>557</v>
      </c>
      <c r="C24" s="1">
        <f>12+14</f>
        <v>26</v>
      </c>
    </row>
    <row r="25" spans="1:3" outlineLevel="1" x14ac:dyDescent="0.3">
      <c r="A25" s="1" t="s">
        <v>561</v>
      </c>
      <c r="B25" s="1" t="s">
        <v>560</v>
      </c>
      <c r="C25" s="1">
        <v>9</v>
      </c>
    </row>
    <row r="27" spans="1:3" ht="15.6" x14ac:dyDescent="0.3">
      <c r="A27" s="143" t="s">
        <v>552</v>
      </c>
      <c r="B27" s="143"/>
      <c r="C27" s="143"/>
    </row>
    <row r="28" spans="1:3" x14ac:dyDescent="0.3">
      <c r="A28" s="108" t="s">
        <v>524</v>
      </c>
      <c r="B28" s="108" t="s">
        <v>527</v>
      </c>
      <c r="C28" s="108" t="s">
        <v>525</v>
      </c>
    </row>
    <row r="29" spans="1:3" outlineLevel="1" x14ac:dyDescent="0.3">
      <c r="A29" s="1" t="s">
        <v>32</v>
      </c>
      <c r="B29" s="1" t="s">
        <v>564</v>
      </c>
      <c r="C29" s="1">
        <v>9</v>
      </c>
    </row>
    <row r="30" spans="1:3" ht="28.8" outlineLevel="1" x14ac:dyDescent="0.3">
      <c r="A30" s="112" t="s">
        <v>566</v>
      </c>
      <c r="B30" s="1" t="s">
        <v>565</v>
      </c>
      <c r="C30" s="1">
        <v>5</v>
      </c>
    </row>
  </sheetData>
  <mergeCells count="4">
    <mergeCell ref="A1:C1"/>
    <mergeCell ref="A16:C16"/>
    <mergeCell ref="A20:C20"/>
    <mergeCell ref="A27:C27"/>
  </mergeCell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C3528-F644-406B-89AE-8CD060F15370}">
  <sheetPr codeName="Planilha17"/>
  <dimension ref="A1:F15"/>
  <sheetViews>
    <sheetView workbookViewId="0">
      <selection activeCell="C7" sqref="C7"/>
    </sheetView>
  </sheetViews>
  <sheetFormatPr defaultRowHeight="14.4" x14ac:dyDescent="0.3"/>
  <cols>
    <col min="1" max="1" width="28.109375" style="7" bestFit="1" customWidth="1"/>
    <col min="2" max="2" width="52.6640625" style="7" bestFit="1" customWidth="1"/>
    <col min="3" max="3" width="21" style="7" customWidth="1"/>
    <col min="4" max="4" width="13" style="7" customWidth="1"/>
    <col min="5" max="5" width="34" style="7" customWidth="1"/>
    <col min="6" max="6" width="21.33203125" style="7" bestFit="1" customWidth="1"/>
  </cols>
  <sheetData>
    <row r="1" spans="1:6" s="5" customFormat="1" ht="28.8" x14ac:dyDescent="0.3">
      <c r="A1" s="110" t="s">
        <v>567</v>
      </c>
      <c r="B1" s="110" t="s">
        <v>568</v>
      </c>
      <c r="C1" s="110" t="s">
        <v>570</v>
      </c>
      <c r="D1" s="111" t="s">
        <v>584</v>
      </c>
      <c r="E1" s="111" t="s">
        <v>573</v>
      </c>
      <c r="F1" s="110" t="s">
        <v>569</v>
      </c>
    </row>
    <row r="2" spans="1:6" x14ac:dyDescent="0.3">
      <c r="A2" s="7" t="s">
        <v>29</v>
      </c>
      <c r="B2" s="7">
        <v>2</v>
      </c>
      <c r="C2" s="7" t="s">
        <v>572</v>
      </c>
      <c r="D2" s="7">
        <v>1</v>
      </c>
      <c r="E2" s="7" t="s">
        <v>578</v>
      </c>
      <c r="F2" s="7">
        <f>VLOOKUP(E2,Auxiliares!AC:AD,2,0)*B2*tblPriorizacaoEffort[[#This Row],[Duplicar Esforço por]]</f>
        <v>8</v>
      </c>
    </row>
    <row r="3" spans="1:6" x14ac:dyDescent="0.3">
      <c r="A3" s="7" t="s">
        <v>29</v>
      </c>
      <c r="B3" s="7">
        <v>1</v>
      </c>
      <c r="C3" s="7" t="s">
        <v>579</v>
      </c>
      <c r="D3" s="7">
        <v>1</v>
      </c>
      <c r="E3" s="7" t="s">
        <v>577</v>
      </c>
      <c r="F3" s="7">
        <f>VLOOKUP(E3,Auxiliares!AC:AD,2,0)*B3*tblPriorizacaoEffort[[#This Row],[Duplicar Esforço por]]</f>
        <v>1</v>
      </c>
    </row>
    <row r="4" spans="1:6" x14ac:dyDescent="0.3">
      <c r="A4" s="7" t="s">
        <v>503</v>
      </c>
      <c r="B4" s="7">
        <v>1</v>
      </c>
      <c r="C4" s="7" t="s">
        <v>571</v>
      </c>
      <c r="D4" s="7">
        <v>1</v>
      </c>
      <c r="E4" s="7" t="s">
        <v>578</v>
      </c>
      <c r="F4" s="7">
        <f>VLOOKUP(E4,Auxiliares!AC:AD,2,0)*B4*tblPriorizacaoEffort[[#This Row],[Duplicar Esforço por]]</f>
        <v>4</v>
      </c>
    </row>
    <row r="5" spans="1:6" x14ac:dyDescent="0.3">
      <c r="A5" s="7" t="s">
        <v>503</v>
      </c>
      <c r="B5" s="7">
        <v>1</v>
      </c>
      <c r="C5" s="7" t="s">
        <v>572</v>
      </c>
      <c r="D5" s="7">
        <v>1</v>
      </c>
      <c r="E5" s="7" t="s">
        <v>578</v>
      </c>
      <c r="F5" s="7">
        <f>VLOOKUP(E5,Auxiliares!AC:AD,2,0)*B5*tblPriorizacaoEffort[[#This Row],[Duplicar Esforço por]]</f>
        <v>4</v>
      </c>
    </row>
    <row r="6" spans="1:6" x14ac:dyDescent="0.3">
      <c r="A6" s="7" t="s">
        <v>503</v>
      </c>
      <c r="B6" s="7">
        <v>1</v>
      </c>
      <c r="C6" s="7" t="s">
        <v>572</v>
      </c>
      <c r="D6" s="7">
        <v>1</v>
      </c>
      <c r="E6" s="7" t="s">
        <v>580</v>
      </c>
      <c r="F6" s="7">
        <f>VLOOKUP(E6,Auxiliares!AC:AD,2,0)*B6*tblPriorizacaoEffort[[#This Row],[Duplicar Esforço por]]</f>
        <v>6</v>
      </c>
    </row>
    <row r="7" spans="1:6" x14ac:dyDescent="0.3">
      <c r="A7" s="7" t="s">
        <v>503</v>
      </c>
      <c r="B7" s="7">
        <v>2</v>
      </c>
      <c r="C7" s="7" t="s">
        <v>572</v>
      </c>
      <c r="D7" s="7">
        <v>1</v>
      </c>
      <c r="E7" s="7" t="s">
        <v>581</v>
      </c>
      <c r="F7" s="7">
        <f>VLOOKUP(E7,Auxiliares!AC:AD,2,0)*B7*tblPriorizacaoEffort[[#This Row],[Duplicar Esforço por]]</f>
        <v>16</v>
      </c>
    </row>
    <row r="8" spans="1:6" x14ac:dyDescent="0.3">
      <c r="A8" s="7" t="s">
        <v>503</v>
      </c>
      <c r="B8" s="7">
        <v>1</v>
      </c>
      <c r="C8" s="7" t="s">
        <v>582</v>
      </c>
      <c r="D8" s="7">
        <v>6</v>
      </c>
      <c r="E8" s="7" t="s">
        <v>577</v>
      </c>
      <c r="F8" s="7">
        <f>VLOOKUP(E8,Auxiliares!AC:AD,2,0)*B8*tblPriorizacaoEffort[[#This Row],[Duplicar Esforço por]]</f>
        <v>6</v>
      </c>
    </row>
    <row r="9" spans="1:6" x14ac:dyDescent="0.3">
      <c r="A9" s="7" t="s">
        <v>503</v>
      </c>
      <c r="B9" s="7">
        <v>1</v>
      </c>
      <c r="C9" s="7" t="s">
        <v>582</v>
      </c>
      <c r="D9" s="7">
        <v>6</v>
      </c>
      <c r="E9" s="7" t="s">
        <v>577</v>
      </c>
      <c r="F9" s="7">
        <f>VLOOKUP(E9,Auxiliares!AC:AD,2,0)*B9*tblPriorizacaoEffort[[#This Row],[Duplicar Esforço por]]</f>
        <v>6</v>
      </c>
    </row>
    <row r="10" spans="1:6" x14ac:dyDescent="0.3">
      <c r="A10" s="7" t="s">
        <v>503</v>
      </c>
      <c r="B10" s="7">
        <v>1</v>
      </c>
      <c r="C10" s="7" t="s">
        <v>583</v>
      </c>
      <c r="D10" s="7">
        <v>6</v>
      </c>
      <c r="E10" s="7" t="s">
        <v>577</v>
      </c>
      <c r="F10" s="7">
        <f>VLOOKUP(E10,Auxiliares!AC:AD,2,0)*B10*tblPriorizacaoEffort[[#This Row],[Duplicar Esforço por]]</f>
        <v>6</v>
      </c>
    </row>
    <row r="11" spans="1:6" ht="28.8" x14ac:dyDescent="0.3">
      <c r="A11" s="16" t="s">
        <v>32</v>
      </c>
      <c r="B11" s="7">
        <v>1</v>
      </c>
      <c r="C11" s="7" t="s">
        <v>572</v>
      </c>
      <c r="D11" s="7">
        <v>1</v>
      </c>
      <c r="E11" s="7" t="s">
        <v>574</v>
      </c>
      <c r="F11" s="7">
        <f>VLOOKUP(E11,Auxiliares!AC:AD,2,0)*B11*tblPriorizacaoEffort[[#This Row],[Duplicar Esforço por]]</f>
        <v>2</v>
      </c>
    </row>
    <row r="12" spans="1:6" ht="28.8" x14ac:dyDescent="0.3">
      <c r="A12" s="16" t="s">
        <v>32</v>
      </c>
      <c r="B12" s="7">
        <v>1</v>
      </c>
      <c r="C12" s="7" t="s">
        <v>572</v>
      </c>
      <c r="D12" s="7">
        <v>3</v>
      </c>
      <c r="E12" s="7" t="s">
        <v>574</v>
      </c>
      <c r="F12" s="7">
        <f>VLOOKUP(E12,Auxiliares!AC:AD,2,0)*B12*tblPriorizacaoEffort[[#This Row],[Duplicar Esforço por]]</f>
        <v>6</v>
      </c>
    </row>
    <row r="13" spans="1:6" ht="28.8" x14ac:dyDescent="0.3">
      <c r="A13" s="16" t="s">
        <v>32</v>
      </c>
      <c r="B13" s="7">
        <v>1</v>
      </c>
      <c r="C13" s="7" t="s">
        <v>579</v>
      </c>
      <c r="D13" s="7">
        <v>2</v>
      </c>
      <c r="E13" s="7" t="s">
        <v>577</v>
      </c>
      <c r="F13" s="7">
        <f>VLOOKUP(E13,Auxiliares!AC:AD,2,0)*B13*tblPriorizacaoEffort[[#This Row],[Duplicar Esforço por]]</f>
        <v>2</v>
      </c>
    </row>
    <row r="14" spans="1:6" ht="28.8" x14ac:dyDescent="0.3">
      <c r="A14" s="16" t="s">
        <v>32</v>
      </c>
      <c r="B14" s="7">
        <v>1</v>
      </c>
      <c r="C14" s="7" t="s">
        <v>582</v>
      </c>
      <c r="D14" s="7">
        <v>2</v>
      </c>
      <c r="E14" s="7" t="s">
        <v>574</v>
      </c>
      <c r="F14" s="7">
        <f>VLOOKUP(E14,Auxiliares!AC:AD,2,0)*B14*tblPriorizacaoEffort[[#This Row],[Duplicar Esforço por]]</f>
        <v>4</v>
      </c>
    </row>
    <row r="15" spans="1:6" ht="28.8" x14ac:dyDescent="0.3">
      <c r="A15" s="16" t="s">
        <v>32</v>
      </c>
      <c r="B15" s="7">
        <v>1</v>
      </c>
      <c r="C15" s="7" t="s">
        <v>582</v>
      </c>
      <c r="D15" s="7">
        <v>2</v>
      </c>
      <c r="E15" s="7" t="s">
        <v>574</v>
      </c>
      <c r="F15" s="7">
        <f>VLOOKUP(E15,Auxiliares!AC:AD,2,0)*B15*tblPriorizacaoEffort[[#This Row],[Duplicar Esforço por]]</f>
        <v>4</v>
      </c>
    </row>
  </sheetData>
  <dataValidations count="5">
    <dataValidation type="whole" allowBlank="1" showInputMessage="1" showErrorMessage="1" sqref="B2:B15" xr:uid="{E2C1F63D-BCCE-4069-B990-EC004031E7DA}">
      <formula1>0</formula1>
      <formula2>100</formula2>
    </dataValidation>
    <dataValidation type="list" allowBlank="1" showInputMessage="1" showErrorMessage="1" sqref="C2:C15" xr:uid="{B6FA9BE5-022B-4B51-B1E0-CE0D16C8EC74}">
      <formula1>"Estagiário(a),Analista,Product Designer,TechLead,Governança"</formula1>
    </dataValidation>
    <dataValidation type="list" allowBlank="1" showInputMessage="1" showErrorMessage="1" sqref="E2:E15" xr:uid="{0056306B-2B8F-4B19-A003-99030AC1C96B}">
      <formula1>ListaEffort</formula1>
    </dataValidation>
    <dataValidation type="list" allowBlank="1" showInputMessage="1" showErrorMessage="1" sqref="A4:A10" xr:uid="{ED283518-DEA5-4C98-B0BC-49EEC952FD58}">
      <formula1>Lista_Produtos</formula1>
    </dataValidation>
    <dataValidation type="whole" allowBlank="1" showInputMessage="1" showErrorMessage="1" sqref="D2:D15" xr:uid="{9026299E-CABD-4CC0-A82D-6F2DE114E9AD}">
      <formula1>0</formula1>
      <formula2>30</formula2>
    </dataValidation>
  </dataValidations>
  <pageMargins left="0.511811024" right="0.511811024" top="0.78740157499999996" bottom="0.78740157499999996" header="0.31496062000000002" footer="0.31496062000000002"/>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3B792-AAA4-40FC-A6D8-D3B6E2B767C2}">
  <sheetPr codeName="Planilha18"/>
  <dimension ref="A1:M89"/>
  <sheetViews>
    <sheetView showGridLines="0" tabSelected="1" workbookViewId="0">
      <pane xSplit="1" ySplit="2" topLeftCell="B3" activePane="bottomRight" state="frozen"/>
      <selection pane="topRight" activeCell="B1" sqref="B1"/>
      <selection pane="bottomLeft" activeCell="A3" sqref="A3"/>
      <selection pane="bottomRight" activeCell="A3" sqref="A3"/>
    </sheetView>
  </sheetViews>
  <sheetFormatPr defaultRowHeight="14.4" outlineLevelRow="1" x14ac:dyDescent="0.3"/>
  <cols>
    <col min="1" max="1" width="48.5546875" style="7" bestFit="1" customWidth="1"/>
    <col min="2" max="7" width="12.33203125" style="7" customWidth="1"/>
    <col min="8" max="10" width="12.33203125" customWidth="1"/>
    <col min="13" max="13" width="54.6640625" style="7" bestFit="1" customWidth="1"/>
  </cols>
  <sheetData>
    <row r="1" spans="1:13" ht="15.6" x14ac:dyDescent="0.3">
      <c r="A1" s="144" t="s">
        <v>591</v>
      </c>
      <c r="B1" s="144"/>
      <c r="C1" s="144"/>
      <c r="D1" s="144"/>
      <c r="E1" s="144"/>
      <c r="F1" s="144"/>
      <c r="G1" s="144"/>
      <c r="H1" s="144"/>
      <c r="I1" s="144"/>
      <c r="J1" s="144"/>
      <c r="K1" s="144"/>
      <c r="L1" s="144"/>
      <c r="M1" s="144"/>
    </row>
    <row r="2" spans="1:13" ht="32.4" customHeight="1" outlineLevel="1" x14ac:dyDescent="0.3">
      <c r="A2" s="129" t="s">
        <v>3</v>
      </c>
      <c r="B2" s="120" t="s">
        <v>325</v>
      </c>
      <c r="C2" s="106" t="s">
        <v>326</v>
      </c>
      <c r="D2" s="120" t="s">
        <v>327</v>
      </c>
      <c r="E2" s="106" t="s">
        <v>328</v>
      </c>
      <c r="F2" s="120" t="s">
        <v>329</v>
      </c>
      <c r="G2" s="106" t="s">
        <v>330</v>
      </c>
      <c r="H2" s="120" t="s">
        <v>331</v>
      </c>
      <c r="I2" s="106" t="s">
        <v>332</v>
      </c>
      <c r="J2" s="106" t="s">
        <v>337</v>
      </c>
      <c r="K2" s="106" t="s">
        <v>323</v>
      </c>
      <c r="L2" s="120" t="s">
        <v>324</v>
      </c>
      <c r="M2" s="132" t="s">
        <v>594</v>
      </c>
    </row>
    <row r="3" spans="1:13" outlineLevel="1" x14ac:dyDescent="0.3">
      <c r="A3" s="116" t="s">
        <v>26</v>
      </c>
      <c r="B3" s="130"/>
      <c r="C3" s="130"/>
      <c r="D3" s="130"/>
      <c r="E3" s="130"/>
      <c r="F3" s="130"/>
      <c r="G3" s="130"/>
      <c r="H3" s="130"/>
      <c r="I3" s="130"/>
      <c r="J3" s="130"/>
      <c r="K3" s="130"/>
      <c r="L3" s="131"/>
      <c r="M3" s="133"/>
    </row>
    <row r="4" spans="1:13" outlineLevel="1" x14ac:dyDescent="0.3">
      <c r="A4" s="117" t="s">
        <v>27</v>
      </c>
      <c r="B4" s="121"/>
      <c r="C4" s="121"/>
      <c r="D4" s="121"/>
      <c r="E4" s="121">
        <v>1</v>
      </c>
      <c r="F4" s="121"/>
      <c r="G4" s="121"/>
      <c r="H4" s="121"/>
      <c r="I4" s="121">
        <v>0.2</v>
      </c>
      <c r="J4" s="121"/>
      <c r="K4" s="121">
        <v>0.3</v>
      </c>
      <c r="L4" s="126">
        <v>0.3</v>
      </c>
      <c r="M4" s="134" t="s">
        <v>595</v>
      </c>
    </row>
    <row r="5" spans="1:13" outlineLevel="1" x14ac:dyDescent="0.3">
      <c r="A5" s="117" t="s">
        <v>589</v>
      </c>
      <c r="B5" s="122"/>
      <c r="C5" s="121"/>
      <c r="D5" s="121"/>
      <c r="E5" s="121"/>
      <c r="F5" s="121"/>
      <c r="G5" s="121">
        <v>1</v>
      </c>
      <c r="H5" s="121"/>
      <c r="I5" s="121"/>
      <c r="J5" s="121">
        <v>0.4</v>
      </c>
      <c r="K5" s="121">
        <v>0.2</v>
      </c>
      <c r="L5" s="126">
        <v>0.2</v>
      </c>
      <c r="M5" s="122" t="s">
        <v>596</v>
      </c>
    </row>
    <row r="6" spans="1:13" outlineLevel="1" x14ac:dyDescent="0.3">
      <c r="A6" s="117" t="s">
        <v>28</v>
      </c>
      <c r="B6" s="121"/>
      <c r="C6" s="121"/>
      <c r="D6" s="121"/>
      <c r="E6" s="121"/>
      <c r="F6" s="121"/>
      <c r="G6" s="121"/>
      <c r="H6" s="121">
        <v>0.5</v>
      </c>
      <c r="I6" s="121"/>
      <c r="J6" s="121"/>
      <c r="K6" s="121"/>
      <c r="L6" s="126"/>
      <c r="M6" s="134" t="s">
        <v>597</v>
      </c>
    </row>
    <row r="7" spans="1:13" outlineLevel="1" x14ac:dyDescent="0.3">
      <c r="A7" s="117" t="s">
        <v>29</v>
      </c>
      <c r="B7" s="121"/>
      <c r="C7" s="121"/>
      <c r="D7" s="121">
        <v>0.5</v>
      </c>
      <c r="E7" s="121"/>
      <c r="F7" s="121"/>
      <c r="G7" s="121"/>
      <c r="H7" s="121">
        <v>0.5</v>
      </c>
      <c r="I7" s="121">
        <v>0.8</v>
      </c>
      <c r="J7" s="121">
        <v>0.1</v>
      </c>
      <c r="K7" s="121">
        <v>0.2</v>
      </c>
      <c r="L7" s="126">
        <v>0.2</v>
      </c>
      <c r="M7" s="134" t="s">
        <v>597</v>
      </c>
    </row>
    <row r="8" spans="1:13" outlineLevel="1" x14ac:dyDescent="0.3">
      <c r="A8" s="117" t="s">
        <v>31</v>
      </c>
      <c r="B8" s="121"/>
      <c r="C8" s="121">
        <v>1</v>
      </c>
      <c r="D8" s="121">
        <v>0.5</v>
      </c>
      <c r="E8" s="121"/>
      <c r="F8" s="121"/>
      <c r="G8" s="121"/>
      <c r="H8" s="121"/>
      <c r="I8" s="121"/>
      <c r="J8" s="121"/>
      <c r="K8" s="121"/>
      <c r="L8" s="126"/>
      <c r="M8" s="122" t="s">
        <v>598</v>
      </c>
    </row>
    <row r="9" spans="1:13" outlineLevel="1" x14ac:dyDescent="0.3">
      <c r="A9" s="117" t="s">
        <v>32</v>
      </c>
      <c r="B9" s="121">
        <v>0.5</v>
      </c>
      <c r="C9" s="121"/>
      <c r="D9" s="121"/>
      <c r="E9" s="121"/>
      <c r="F9" s="121"/>
      <c r="G9" s="121"/>
      <c r="H9" s="121"/>
      <c r="I9" s="121"/>
      <c r="J9" s="121"/>
      <c r="K9" s="121"/>
      <c r="L9" s="126"/>
      <c r="M9" s="122" t="s">
        <v>599</v>
      </c>
    </row>
    <row r="10" spans="1:13" outlineLevel="1" x14ac:dyDescent="0.3">
      <c r="A10" s="117" t="s">
        <v>33</v>
      </c>
      <c r="B10" s="121"/>
      <c r="C10" s="121"/>
      <c r="D10" s="121"/>
      <c r="E10" s="121"/>
      <c r="F10" s="121"/>
      <c r="G10" s="121"/>
      <c r="H10" s="121"/>
      <c r="I10" s="121"/>
      <c r="J10" s="121"/>
      <c r="K10" s="121"/>
      <c r="L10" s="126"/>
      <c r="M10" s="135" t="s">
        <v>600</v>
      </c>
    </row>
    <row r="11" spans="1:13" outlineLevel="1" x14ac:dyDescent="0.3">
      <c r="A11" s="117" t="s">
        <v>49</v>
      </c>
      <c r="B11" s="121"/>
      <c r="C11" s="121"/>
      <c r="D11" s="121"/>
      <c r="E11" s="121"/>
      <c r="F11" s="121"/>
      <c r="G11" s="121"/>
      <c r="H11" s="121"/>
      <c r="I11" s="121"/>
      <c r="J11" s="121"/>
      <c r="K11" s="121"/>
      <c r="L11" s="126"/>
      <c r="M11" s="135" t="s">
        <v>22</v>
      </c>
    </row>
    <row r="12" spans="1:13" outlineLevel="1" x14ac:dyDescent="0.3">
      <c r="A12" s="117" t="s">
        <v>440</v>
      </c>
      <c r="B12" s="121"/>
      <c r="C12" s="121"/>
      <c r="D12" s="121"/>
      <c r="E12" s="121"/>
      <c r="F12" s="121">
        <v>1</v>
      </c>
      <c r="G12" s="121"/>
      <c r="H12" s="121"/>
      <c r="I12" s="121"/>
      <c r="J12" s="121"/>
      <c r="K12" s="121"/>
      <c r="L12" s="126"/>
      <c r="M12" s="122" t="s">
        <v>606</v>
      </c>
    </row>
    <row r="13" spans="1:13" outlineLevel="1" x14ac:dyDescent="0.3">
      <c r="A13" s="117" t="s">
        <v>552</v>
      </c>
      <c r="B13" s="121"/>
      <c r="C13" s="121"/>
      <c r="D13" s="121"/>
      <c r="E13" s="121"/>
      <c r="F13" s="121"/>
      <c r="G13" s="121"/>
      <c r="H13" s="121"/>
      <c r="I13" s="121"/>
      <c r="J13" s="121">
        <v>0.5</v>
      </c>
      <c r="K13" s="121">
        <v>0.3</v>
      </c>
      <c r="L13" s="126">
        <v>0.3</v>
      </c>
      <c r="M13" s="122" t="s">
        <v>38</v>
      </c>
    </row>
    <row r="14" spans="1:13" outlineLevel="1" x14ac:dyDescent="0.3">
      <c r="A14" s="118" t="s">
        <v>590</v>
      </c>
      <c r="B14" s="127">
        <v>0.5</v>
      </c>
      <c r="C14" s="127"/>
      <c r="D14" s="127"/>
      <c r="E14" s="127"/>
      <c r="F14" s="127"/>
      <c r="G14" s="127"/>
      <c r="H14" s="127"/>
      <c r="I14" s="127"/>
      <c r="J14" s="127"/>
      <c r="K14" s="127"/>
      <c r="L14" s="128"/>
      <c r="M14" s="136" t="s">
        <v>22</v>
      </c>
    </row>
    <row r="16" spans="1:13" ht="15.6" x14ac:dyDescent="0.3">
      <c r="A16" s="144" t="s">
        <v>592</v>
      </c>
      <c r="B16" s="144"/>
      <c r="C16" s="144"/>
      <c r="D16" s="144"/>
      <c r="E16" s="144"/>
      <c r="F16" s="144"/>
      <c r="G16" s="144"/>
      <c r="H16" s="144"/>
      <c r="I16" s="144"/>
      <c r="J16" s="144"/>
      <c r="K16" s="144"/>
      <c r="L16" s="144"/>
      <c r="M16" s="144"/>
    </row>
    <row r="17" spans="1:13" outlineLevel="1" x14ac:dyDescent="0.3">
      <c r="A17" s="119" t="s">
        <v>3</v>
      </c>
      <c r="B17" s="123" t="s">
        <v>325</v>
      </c>
      <c r="C17" s="124" t="s">
        <v>326</v>
      </c>
      <c r="D17" s="123" t="s">
        <v>327</v>
      </c>
      <c r="E17" s="124" t="s">
        <v>328</v>
      </c>
      <c r="F17" s="123" t="s">
        <v>329</v>
      </c>
      <c r="G17" s="124" t="s">
        <v>330</v>
      </c>
      <c r="H17" s="123" t="s">
        <v>331</v>
      </c>
      <c r="I17" s="124" t="s">
        <v>332</v>
      </c>
      <c r="J17" s="124" t="s">
        <v>337</v>
      </c>
      <c r="K17" s="124" t="s">
        <v>323</v>
      </c>
      <c r="L17" s="125" t="s">
        <v>324</v>
      </c>
      <c r="M17" s="132" t="s">
        <v>594</v>
      </c>
    </row>
    <row r="18" spans="1:13" outlineLevel="1" x14ac:dyDescent="0.3">
      <c r="A18" s="116" t="s">
        <v>26</v>
      </c>
      <c r="B18" s="121"/>
      <c r="C18" s="121"/>
      <c r="D18" s="121"/>
      <c r="E18" s="121"/>
      <c r="F18" s="121"/>
      <c r="G18" s="121"/>
      <c r="H18" s="121"/>
      <c r="I18" s="121"/>
      <c r="J18" s="121"/>
      <c r="K18" s="121"/>
      <c r="L18" s="126"/>
      <c r="M18" s="133"/>
    </row>
    <row r="19" spans="1:13" outlineLevel="1" x14ac:dyDescent="0.3">
      <c r="A19" s="117" t="s">
        <v>27</v>
      </c>
      <c r="B19" s="121"/>
      <c r="C19" s="121"/>
      <c r="D19" s="121"/>
      <c r="E19" s="121"/>
      <c r="F19" s="121"/>
      <c r="G19" s="121"/>
      <c r="H19" s="121"/>
      <c r="I19" s="121">
        <v>0.2</v>
      </c>
      <c r="J19" s="121"/>
      <c r="K19" s="121"/>
      <c r="L19" s="126"/>
      <c r="M19" s="122" t="s">
        <v>601</v>
      </c>
    </row>
    <row r="20" spans="1:13" outlineLevel="1" x14ac:dyDescent="0.3">
      <c r="A20" s="117" t="s">
        <v>589</v>
      </c>
      <c r="B20" s="121"/>
      <c r="C20" s="121"/>
      <c r="D20" s="121"/>
      <c r="E20" s="121"/>
      <c r="F20" s="121"/>
      <c r="G20" s="121">
        <v>1</v>
      </c>
      <c r="H20" s="121"/>
      <c r="I20" s="121"/>
      <c r="J20" s="121"/>
      <c r="K20" s="121"/>
      <c r="L20" s="126"/>
      <c r="M20" s="122" t="s">
        <v>602</v>
      </c>
    </row>
    <row r="21" spans="1:13" outlineLevel="1" x14ac:dyDescent="0.3">
      <c r="A21" s="117" t="s">
        <v>28</v>
      </c>
      <c r="B21" s="121"/>
      <c r="C21" s="121"/>
      <c r="D21" s="121"/>
      <c r="E21" s="121"/>
      <c r="F21" s="121"/>
      <c r="G21" s="121"/>
      <c r="H21" s="121">
        <v>0.8</v>
      </c>
      <c r="I21" s="121"/>
      <c r="J21" s="121"/>
      <c r="K21" s="121"/>
      <c r="L21" s="126"/>
      <c r="M21" s="122" t="s">
        <v>607</v>
      </c>
    </row>
    <row r="22" spans="1:13" ht="28.8" outlineLevel="1" x14ac:dyDescent="0.3">
      <c r="A22" s="117" t="s">
        <v>29</v>
      </c>
      <c r="B22" s="121"/>
      <c r="C22" s="121"/>
      <c r="D22" s="121"/>
      <c r="E22" s="121"/>
      <c r="F22" s="121"/>
      <c r="G22" s="121"/>
      <c r="H22" s="121">
        <v>0.2</v>
      </c>
      <c r="I22" s="121">
        <v>0.8</v>
      </c>
      <c r="J22" s="121"/>
      <c r="K22" s="121"/>
      <c r="L22" s="126"/>
      <c r="M22" s="134" t="s">
        <v>603</v>
      </c>
    </row>
    <row r="23" spans="1:13" outlineLevel="1" x14ac:dyDescent="0.3">
      <c r="A23" s="117" t="s">
        <v>31</v>
      </c>
      <c r="B23" s="121"/>
      <c r="C23" s="121"/>
      <c r="D23" s="121"/>
      <c r="E23" s="121"/>
      <c r="F23" s="121"/>
      <c r="G23" s="121"/>
      <c r="H23" s="121"/>
      <c r="I23" s="121"/>
      <c r="J23" s="121"/>
      <c r="K23" s="121"/>
      <c r="L23" s="126"/>
      <c r="M23" s="137" t="s">
        <v>53</v>
      </c>
    </row>
    <row r="24" spans="1:13" outlineLevel="1" x14ac:dyDescent="0.3">
      <c r="A24" s="117" t="s">
        <v>32</v>
      </c>
      <c r="B24" s="121">
        <v>0.5</v>
      </c>
      <c r="C24" s="121"/>
      <c r="D24" s="121"/>
      <c r="E24" s="121"/>
      <c r="F24" s="121"/>
      <c r="G24" s="121"/>
      <c r="H24" s="121"/>
      <c r="I24" s="121"/>
      <c r="J24" s="121"/>
      <c r="K24" s="121"/>
      <c r="L24" s="126"/>
      <c r="M24" s="122" t="s">
        <v>599</v>
      </c>
    </row>
    <row r="25" spans="1:13" outlineLevel="1" x14ac:dyDescent="0.3">
      <c r="A25" s="117" t="s">
        <v>33</v>
      </c>
      <c r="B25" s="121"/>
      <c r="C25" s="121"/>
      <c r="D25" s="121"/>
      <c r="E25" s="121"/>
      <c r="F25" s="121"/>
      <c r="G25" s="121"/>
      <c r="H25" s="121"/>
      <c r="I25" s="121"/>
      <c r="J25" s="121"/>
      <c r="K25" s="121"/>
      <c r="L25" s="126"/>
      <c r="M25" s="135" t="s">
        <v>600</v>
      </c>
    </row>
    <row r="26" spans="1:13" outlineLevel="1" x14ac:dyDescent="0.3">
      <c r="A26" s="117" t="s">
        <v>49</v>
      </c>
      <c r="B26" s="121"/>
      <c r="C26" s="121"/>
      <c r="D26" s="121"/>
      <c r="E26" s="121"/>
      <c r="F26" s="121"/>
      <c r="G26" s="121"/>
      <c r="H26" s="121"/>
      <c r="I26" s="121"/>
      <c r="J26" s="121"/>
      <c r="K26" s="121"/>
      <c r="L26" s="126"/>
      <c r="M26" s="135" t="s">
        <v>22</v>
      </c>
    </row>
    <row r="27" spans="1:13" outlineLevel="1" x14ac:dyDescent="0.3">
      <c r="A27" s="117" t="s">
        <v>440</v>
      </c>
      <c r="B27" s="121"/>
      <c r="C27" s="121"/>
      <c r="D27" s="121"/>
      <c r="E27" s="121"/>
      <c r="F27" s="121">
        <v>1</v>
      </c>
      <c r="G27" s="121"/>
      <c r="H27" s="121"/>
      <c r="I27" s="121"/>
      <c r="J27" s="121"/>
      <c r="K27" s="121"/>
      <c r="L27" s="126"/>
      <c r="M27" s="122" t="s">
        <v>606</v>
      </c>
    </row>
    <row r="28" spans="1:13" outlineLevel="1" x14ac:dyDescent="0.3">
      <c r="A28" s="117" t="s">
        <v>552</v>
      </c>
      <c r="B28" s="121">
        <v>0.5</v>
      </c>
      <c r="C28" s="121">
        <v>1</v>
      </c>
      <c r="D28" s="121">
        <v>1</v>
      </c>
      <c r="E28" s="121">
        <v>1</v>
      </c>
      <c r="F28" s="121"/>
      <c r="G28" s="121"/>
      <c r="H28" s="121"/>
      <c r="I28" s="121"/>
      <c r="J28" s="121">
        <v>1</v>
      </c>
      <c r="K28" s="121">
        <v>1</v>
      </c>
      <c r="L28" s="126">
        <v>1</v>
      </c>
      <c r="M28" s="122" t="s">
        <v>605</v>
      </c>
    </row>
    <row r="29" spans="1:13" outlineLevel="1" x14ac:dyDescent="0.3">
      <c r="A29" s="118" t="s">
        <v>590</v>
      </c>
      <c r="B29" s="127"/>
      <c r="C29" s="127"/>
      <c r="D29" s="127"/>
      <c r="E29" s="127"/>
      <c r="F29" s="127"/>
      <c r="G29" s="127"/>
      <c r="H29" s="127"/>
      <c r="I29" s="127"/>
      <c r="J29" s="127"/>
      <c r="K29" s="127"/>
      <c r="L29" s="128"/>
      <c r="M29" s="135" t="s">
        <v>22</v>
      </c>
    </row>
    <row r="31" spans="1:13" ht="15.6" x14ac:dyDescent="0.3">
      <c r="A31" s="144" t="s">
        <v>593</v>
      </c>
      <c r="B31" s="144"/>
      <c r="C31" s="144"/>
      <c r="D31" s="144"/>
      <c r="E31" s="144"/>
      <c r="F31" s="144"/>
      <c r="G31" s="144"/>
      <c r="H31" s="144"/>
      <c r="I31" s="144"/>
      <c r="J31" s="144"/>
      <c r="K31" s="144"/>
      <c r="L31" s="144"/>
      <c r="M31" s="144"/>
    </row>
    <row r="32" spans="1:13" ht="14.4" customHeight="1" outlineLevel="1" x14ac:dyDescent="0.3">
      <c r="A32" s="119" t="s">
        <v>3</v>
      </c>
      <c r="B32" s="123" t="s">
        <v>325</v>
      </c>
      <c r="C32" s="124" t="s">
        <v>326</v>
      </c>
      <c r="D32" s="123" t="s">
        <v>327</v>
      </c>
      <c r="E32" s="124" t="s">
        <v>328</v>
      </c>
      <c r="F32" s="123" t="s">
        <v>329</v>
      </c>
      <c r="G32" s="124" t="s">
        <v>330</v>
      </c>
      <c r="H32" s="123" t="s">
        <v>331</v>
      </c>
      <c r="I32" s="124" t="s">
        <v>332</v>
      </c>
      <c r="J32" s="124" t="s">
        <v>337</v>
      </c>
      <c r="K32" s="124" t="s">
        <v>323</v>
      </c>
      <c r="L32" s="125" t="s">
        <v>324</v>
      </c>
      <c r="M32" s="132" t="s">
        <v>594</v>
      </c>
    </row>
    <row r="33" spans="1:13" outlineLevel="1" x14ac:dyDescent="0.3">
      <c r="A33" s="116" t="s">
        <v>26</v>
      </c>
      <c r="B33" s="121"/>
      <c r="C33" s="121"/>
      <c r="D33" s="121"/>
      <c r="E33" s="121"/>
      <c r="F33" s="121"/>
      <c r="G33" s="121"/>
      <c r="H33" s="121"/>
      <c r="I33" s="121"/>
      <c r="J33" s="121"/>
      <c r="K33" s="121"/>
      <c r="L33" s="121"/>
      <c r="M33" s="121"/>
    </row>
    <row r="34" spans="1:13" outlineLevel="1" x14ac:dyDescent="0.3">
      <c r="A34" s="117" t="s">
        <v>27</v>
      </c>
      <c r="C34" s="121"/>
      <c r="D34" s="121"/>
      <c r="E34" s="121"/>
      <c r="F34" s="121"/>
      <c r="G34" s="121"/>
      <c r="H34" s="121"/>
      <c r="I34" s="121">
        <v>0.2</v>
      </c>
      <c r="J34" s="121"/>
      <c r="K34" s="121"/>
      <c r="L34" s="121"/>
      <c r="M34" s="121" t="s">
        <v>601</v>
      </c>
    </row>
    <row r="35" spans="1:13" outlineLevel="1" x14ac:dyDescent="0.3">
      <c r="A35" s="117" t="s">
        <v>589</v>
      </c>
      <c r="B35" s="121"/>
      <c r="C35" s="121"/>
      <c r="D35" s="121"/>
      <c r="E35" s="121"/>
      <c r="F35" s="121"/>
      <c r="G35" s="121"/>
      <c r="H35" s="121"/>
      <c r="I35" s="121"/>
      <c r="J35" s="121"/>
      <c r="K35" s="121"/>
      <c r="L35" s="121"/>
      <c r="M35" s="137" t="s">
        <v>53</v>
      </c>
    </row>
    <row r="36" spans="1:13" outlineLevel="1" x14ac:dyDescent="0.3">
      <c r="A36" s="117" t="s">
        <v>28</v>
      </c>
      <c r="B36" s="121"/>
      <c r="C36" s="121"/>
      <c r="D36" s="121"/>
      <c r="E36" s="121"/>
      <c r="F36" s="121"/>
      <c r="G36" s="121"/>
      <c r="H36" s="121">
        <v>0.5</v>
      </c>
      <c r="I36" s="121"/>
      <c r="J36" s="121"/>
      <c r="K36" s="121"/>
      <c r="L36" s="121"/>
      <c r="M36" s="122" t="s">
        <v>607</v>
      </c>
    </row>
    <row r="37" spans="1:13" ht="28.8" outlineLevel="1" x14ac:dyDescent="0.3">
      <c r="A37" s="117" t="s">
        <v>29</v>
      </c>
      <c r="B37" s="121"/>
      <c r="C37" s="121"/>
      <c r="D37" s="121"/>
      <c r="E37" s="121"/>
      <c r="F37" s="121"/>
      <c r="G37" s="121"/>
      <c r="H37" s="121">
        <v>0.5</v>
      </c>
      <c r="I37" s="121">
        <v>0.8</v>
      </c>
      <c r="J37" s="121"/>
      <c r="K37" s="121"/>
      <c r="L37" s="121"/>
      <c r="M37" s="134" t="s">
        <v>603</v>
      </c>
    </row>
    <row r="38" spans="1:13" outlineLevel="1" x14ac:dyDescent="0.3">
      <c r="A38" s="117" t="s">
        <v>31</v>
      </c>
      <c r="B38" s="121"/>
      <c r="C38" s="121"/>
      <c r="D38" s="121"/>
      <c r="E38" s="121"/>
      <c r="F38" s="121"/>
      <c r="G38" s="121"/>
      <c r="H38" s="121"/>
      <c r="I38" s="121"/>
      <c r="J38" s="121"/>
      <c r="K38" s="121"/>
      <c r="L38" s="121"/>
      <c r="M38" s="137" t="s">
        <v>53</v>
      </c>
    </row>
    <row r="39" spans="1:13" outlineLevel="1" x14ac:dyDescent="0.3">
      <c r="A39" s="117" t="s">
        <v>32</v>
      </c>
      <c r="B39" s="121"/>
      <c r="C39" s="121"/>
      <c r="D39" s="121"/>
      <c r="E39" s="121"/>
      <c r="F39" s="121"/>
      <c r="G39" s="121"/>
      <c r="H39" s="121"/>
      <c r="I39" s="121"/>
      <c r="J39" s="121"/>
      <c r="K39" s="121">
        <v>0.3</v>
      </c>
      <c r="L39" s="121">
        <v>0.3</v>
      </c>
      <c r="M39" s="137" t="s">
        <v>53</v>
      </c>
    </row>
    <row r="40" spans="1:13" outlineLevel="1" x14ac:dyDescent="0.3">
      <c r="A40" s="117" t="s">
        <v>33</v>
      </c>
      <c r="B40" s="121"/>
      <c r="C40" s="121"/>
      <c r="D40" s="121"/>
      <c r="E40" s="121"/>
      <c r="F40" s="121"/>
      <c r="G40" s="121"/>
      <c r="H40" s="121"/>
      <c r="I40" s="121"/>
      <c r="J40" s="121"/>
      <c r="K40" s="121"/>
      <c r="L40" s="121"/>
      <c r="M40" s="135" t="s">
        <v>600</v>
      </c>
    </row>
    <row r="41" spans="1:13" outlineLevel="1" x14ac:dyDescent="0.3">
      <c r="A41" s="117" t="s">
        <v>49</v>
      </c>
      <c r="B41" s="121"/>
      <c r="C41" s="121"/>
      <c r="D41" s="121"/>
      <c r="E41" s="121"/>
      <c r="F41" s="121"/>
      <c r="G41" s="121"/>
      <c r="H41" s="121"/>
      <c r="I41" s="121"/>
      <c r="J41" s="121"/>
      <c r="K41" s="121"/>
      <c r="L41" s="121"/>
      <c r="M41" s="135" t="s">
        <v>22</v>
      </c>
    </row>
    <row r="42" spans="1:13" outlineLevel="1" x14ac:dyDescent="0.3">
      <c r="A42" s="117" t="s">
        <v>440</v>
      </c>
      <c r="B42" s="121"/>
      <c r="C42" s="121"/>
      <c r="D42" s="121"/>
      <c r="E42" s="121"/>
      <c r="F42" s="121">
        <v>1</v>
      </c>
      <c r="G42" s="121"/>
      <c r="H42" s="121"/>
      <c r="I42" s="121"/>
      <c r="J42" s="121"/>
      <c r="K42" s="121"/>
      <c r="L42" s="121"/>
      <c r="M42" s="121"/>
    </row>
    <row r="43" spans="1:13" outlineLevel="1" x14ac:dyDescent="0.3">
      <c r="A43" s="117" t="s">
        <v>552</v>
      </c>
      <c r="B43" s="121">
        <v>1</v>
      </c>
      <c r="C43" s="121">
        <v>1</v>
      </c>
      <c r="D43" s="121">
        <v>1</v>
      </c>
      <c r="E43" s="121"/>
      <c r="F43" s="121"/>
      <c r="G43" s="121">
        <v>1</v>
      </c>
      <c r="H43" s="121"/>
      <c r="I43" s="121"/>
      <c r="J43" s="121">
        <v>1</v>
      </c>
      <c r="K43" s="121">
        <v>0.7</v>
      </c>
      <c r="L43" s="121">
        <v>0.7</v>
      </c>
      <c r="M43" s="121" t="s">
        <v>604</v>
      </c>
    </row>
    <row r="44" spans="1:13" outlineLevel="1" x14ac:dyDescent="0.3">
      <c r="A44" s="117" t="s">
        <v>590</v>
      </c>
      <c r="B44" s="121"/>
      <c r="C44" s="121"/>
      <c r="D44" s="121"/>
      <c r="E44" s="121"/>
      <c r="F44" s="121"/>
      <c r="G44" s="121"/>
      <c r="H44" s="121"/>
      <c r="I44" s="121"/>
      <c r="J44" s="121"/>
      <c r="K44" s="121"/>
      <c r="L44" s="121"/>
      <c r="M44" s="121"/>
    </row>
    <row r="46" spans="1:13" ht="15.6" x14ac:dyDescent="0.3">
      <c r="A46" s="144" t="s">
        <v>608</v>
      </c>
      <c r="B46" s="144"/>
      <c r="C46" s="144"/>
      <c r="D46" s="144"/>
      <c r="E46" s="144"/>
      <c r="F46" s="144"/>
      <c r="G46" s="144"/>
      <c r="H46" s="144"/>
      <c r="I46" s="144"/>
      <c r="J46" s="144"/>
      <c r="K46" s="144"/>
      <c r="L46" s="144"/>
      <c r="M46" s="144"/>
    </row>
    <row r="47" spans="1:13" x14ac:dyDescent="0.3">
      <c r="A47" s="119" t="s">
        <v>3</v>
      </c>
      <c r="B47" s="123" t="s">
        <v>325</v>
      </c>
      <c r="C47" s="124" t="s">
        <v>326</v>
      </c>
      <c r="D47" s="123" t="s">
        <v>327</v>
      </c>
      <c r="E47" s="124" t="s">
        <v>328</v>
      </c>
      <c r="F47" s="123" t="s">
        <v>329</v>
      </c>
      <c r="G47" s="124" t="s">
        <v>330</v>
      </c>
      <c r="H47" s="123" t="s">
        <v>331</v>
      </c>
      <c r="I47" s="124" t="s">
        <v>332</v>
      </c>
      <c r="J47" s="124" t="s">
        <v>337</v>
      </c>
      <c r="K47" s="124" t="s">
        <v>323</v>
      </c>
      <c r="L47" s="125" t="s">
        <v>324</v>
      </c>
      <c r="M47" s="132" t="s">
        <v>594</v>
      </c>
    </row>
    <row r="48" spans="1:13" x14ac:dyDescent="0.3">
      <c r="A48" s="116" t="s">
        <v>26</v>
      </c>
      <c r="B48" s="121"/>
      <c r="C48" s="121"/>
      <c r="D48" s="121"/>
      <c r="E48" s="121"/>
      <c r="F48" s="121"/>
      <c r="G48" s="121"/>
      <c r="H48" s="121"/>
      <c r="I48" s="121"/>
      <c r="J48" s="121"/>
      <c r="K48" s="121"/>
      <c r="L48" s="121"/>
      <c r="M48" s="121"/>
    </row>
    <row r="49" spans="1:13" x14ac:dyDescent="0.3">
      <c r="A49" s="117" t="s">
        <v>27</v>
      </c>
      <c r="C49" s="121"/>
      <c r="D49" s="121"/>
      <c r="E49" s="121"/>
      <c r="F49" s="121"/>
      <c r="G49" s="121"/>
      <c r="H49" s="121"/>
      <c r="I49" s="121">
        <v>0.2</v>
      </c>
      <c r="J49" s="121"/>
      <c r="K49" s="121"/>
      <c r="L49" s="121"/>
      <c r="M49" s="121" t="s">
        <v>601</v>
      </c>
    </row>
    <row r="50" spans="1:13" x14ac:dyDescent="0.3">
      <c r="A50" s="117" t="s">
        <v>589</v>
      </c>
      <c r="B50" s="121"/>
      <c r="C50" s="121"/>
      <c r="D50" s="121"/>
      <c r="E50" s="121"/>
      <c r="F50" s="121"/>
      <c r="G50" s="121"/>
      <c r="H50" s="121"/>
      <c r="I50" s="121"/>
      <c r="J50" s="121"/>
      <c r="K50" s="121"/>
      <c r="L50" s="121"/>
      <c r="M50" s="137" t="s">
        <v>53</v>
      </c>
    </row>
    <row r="51" spans="1:13" x14ac:dyDescent="0.3">
      <c r="A51" s="117" t="s">
        <v>28</v>
      </c>
      <c r="B51" s="121"/>
      <c r="C51" s="121"/>
      <c r="D51" s="121"/>
      <c r="E51" s="121"/>
      <c r="F51" s="121">
        <v>0.5</v>
      </c>
      <c r="G51" s="121"/>
      <c r="H51" s="121"/>
      <c r="I51" s="121"/>
      <c r="J51" s="121"/>
      <c r="K51" s="121"/>
      <c r="L51" s="121"/>
      <c r="M51" s="122" t="s">
        <v>609</v>
      </c>
    </row>
    <row r="52" spans="1:13" ht="28.8" x14ac:dyDescent="0.3">
      <c r="A52" s="117" t="s">
        <v>29</v>
      </c>
      <c r="B52" s="121"/>
      <c r="C52" s="121"/>
      <c r="D52" s="121"/>
      <c r="E52" s="121"/>
      <c r="F52" s="121">
        <v>0.5</v>
      </c>
      <c r="G52" s="121"/>
      <c r="H52" s="121"/>
      <c r="I52" s="121">
        <v>0.8</v>
      </c>
      <c r="J52" s="121"/>
      <c r="K52" s="121"/>
      <c r="L52" s="121"/>
      <c r="M52" s="134" t="s">
        <v>610</v>
      </c>
    </row>
    <row r="53" spans="1:13" x14ac:dyDescent="0.3">
      <c r="A53" s="117" t="s">
        <v>31</v>
      </c>
      <c r="B53" s="121"/>
      <c r="C53" s="121"/>
      <c r="D53" s="121"/>
      <c r="E53" s="121"/>
      <c r="F53" s="121"/>
      <c r="G53" s="121"/>
      <c r="H53" s="121"/>
      <c r="I53" s="121"/>
      <c r="J53" s="121"/>
      <c r="K53" s="121"/>
      <c r="L53" s="121"/>
      <c r="M53" s="137" t="s">
        <v>53</v>
      </c>
    </row>
    <row r="54" spans="1:13" x14ac:dyDescent="0.3">
      <c r="A54" s="117" t="s">
        <v>32</v>
      </c>
      <c r="B54" s="121"/>
      <c r="C54" s="121"/>
      <c r="D54" s="121"/>
      <c r="E54" s="121"/>
      <c r="F54" s="121"/>
      <c r="G54" s="121"/>
      <c r="H54" s="121"/>
      <c r="I54" s="121"/>
      <c r="J54" s="121"/>
      <c r="K54" s="121"/>
      <c r="L54" s="121"/>
      <c r="M54" s="137" t="s">
        <v>53</v>
      </c>
    </row>
    <row r="55" spans="1:13" x14ac:dyDescent="0.3">
      <c r="A55" s="117" t="s">
        <v>33</v>
      </c>
      <c r="B55" s="121"/>
      <c r="C55" s="121"/>
      <c r="D55" s="121"/>
      <c r="E55" s="121"/>
      <c r="F55" s="121"/>
      <c r="G55" s="121"/>
      <c r="H55" s="121"/>
      <c r="I55" s="121"/>
      <c r="J55" s="121"/>
      <c r="K55" s="121"/>
      <c r="L55" s="121"/>
      <c r="M55" s="135" t="s">
        <v>600</v>
      </c>
    </row>
    <row r="56" spans="1:13" x14ac:dyDescent="0.3">
      <c r="A56" s="117" t="s">
        <v>49</v>
      </c>
      <c r="B56" s="121"/>
      <c r="C56" s="121"/>
      <c r="D56" s="121"/>
      <c r="E56" s="121"/>
      <c r="F56" s="121"/>
      <c r="G56" s="121"/>
      <c r="H56" s="121"/>
      <c r="I56" s="121"/>
      <c r="J56" s="121"/>
      <c r="K56" s="121"/>
      <c r="L56" s="121"/>
      <c r="M56" s="135" t="s">
        <v>22</v>
      </c>
    </row>
    <row r="57" spans="1:13" x14ac:dyDescent="0.3">
      <c r="A57" s="117" t="s">
        <v>440</v>
      </c>
      <c r="B57" s="121"/>
      <c r="C57" s="121"/>
      <c r="D57" s="121"/>
      <c r="E57" s="121"/>
      <c r="F57" s="121"/>
      <c r="G57" s="121"/>
      <c r="H57" s="121"/>
      <c r="I57" s="121"/>
      <c r="J57" s="121"/>
      <c r="K57" s="121"/>
      <c r="L57" s="121"/>
      <c r="M57" s="121"/>
    </row>
    <row r="58" spans="1:13" x14ac:dyDescent="0.3">
      <c r="A58" s="117" t="s">
        <v>552</v>
      </c>
      <c r="B58" s="121">
        <v>1</v>
      </c>
      <c r="C58" s="121">
        <v>1</v>
      </c>
      <c r="D58" s="121">
        <v>1</v>
      </c>
      <c r="E58" s="121">
        <v>1</v>
      </c>
      <c r="F58" s="121"/>
      <c r="G58" s="121">
        <v>1</v>
      </c>
      <c r="H58" s="121">
        <v>1</v>
      </c>
      <c r="I58" s="121"/>
      <c r="J58" s="121">
        <v>1</v>
      </c>
      <c r="K58" s="121">
        <v>1</v>
      </c>
      <c r="L58" s="121">
        <v>1</v>
      </c>
      <c r="M58" s="121" t="s">
        <v>604</v>
      </c>
    </row>
    <row r="59" spans="1:13" x14ac:dyDescent="0.3">
      <c r="A59" s="117" t="s">
        <v>590</v>
      </c>
      <c r="B59" s="121"/>
      <c r="C59" s="121"/>
      <c r="D59" s="121"/>
      <c r="E59" s="121"/>
      <c r="F59" s="121"/>
      <c r="G59" s="121"/>
      <c r="H59" s="121"/>
      <c r="I59" s="121"/>
      <c r="J59" s="121"/>
      <c r="K59" s="121"/>
      <c r="L59" s="121"/>
      <c r="M59" s="121"/>
    </row>
    <row r="61" spans="1:13" ht="15.6" x14ac:dyDescent="0.3">
      <c r="A61" s="144" t="s">
        <v>611</v>
      </c>
      <c r="B61" s="144"/>
      <c r="C61" s="144"/>
      <c r="D61" s="144"/>
      <c r="E61" s="144"/>
      <c r="F61" s="144"/>
      <c r="G61" s="144"/>
      <c r="H61" s="144"/>
      <c r="I61" s="144"/>
      <c r="J61" s="144"/>
      <c r="K61" s="144"/>
      <c r="L61" s="144"/>
      <c r="M61" s="144"/>
    </row>
    <row r="62" spans="1:13" x14ac:dyDescent="0.3">
      <c r="A62" s="119" t="s">
        <v>3</v>
      </c>
      <c r="B62" s="123" t="s">
        <v>325</v>
      </c>
      <c r="C62" s="124" t="s">
        <v>326</v>
      </c>
      <c r="D62" s="123" t="s">
        <v>327</v>
      </c>
      <c r="E62" s="124" t="s">
        <v>328</v>
      </c>
      <c r="F62" s="123" t="s">
        <v>329</v>
      </c>
      <c r="G62" s="124" t="s">
        <v>330</v>
      </c>
      <c r="H62" s="123" t="s">
        <v>331</v>
      </c>
      <c r="I62" s="124" t="s">
        <v>332</v>
      </c>
      <c r="J62" s="124" t="s">
        <v>337</v>
      </c>
      <c r="K62" s="124" t="s">
        <v>323</v>
      </c>
      <c r="L62" s="125" t="s">
        <v>324</v>
      </c>
      <c r="M62" s="132" t="s">
        <v>594</v>
      </c>
    </row>
    <row r="63" spans="1:13" x14ac:dyDescent="0.3">
      <c r="A63" s="116" t="s">
        <v>26</v>
      </c>
      <c r="B63" s="121"/>
      <c r="C63" s="121"/>
      <c r="D63" s="121"/>
      <c r="E63" s="121"/>
      <c r="F63" s="121"/>
      <c r="G63" s="121"/>
      <c r="H63" s="121"/>
      <c r="I63" s="121"/>
      <c r="J63" s="121"/>
      <c r="K63" s="121"/>
      <c r="L63" s="121"/>
      <c r="M63" s="121"/>
    </row>
    <row r="64" spans="1:13" x14ac:dyDescent="0.3">
      <c r="A64" s="117" t="s">
        <v>27</v>
      </c>
      <c r="C64" s="121"/>
      <c r="D64" s="121"/>
      <c r="E64" s="121"/>
      <c r="G64" s="121"/>
      <c r="H64" s="121"/>
      <c r="I64" s="121">
        <v>0.2</v>
      </c>
      <c r="J64" s="121"/>
      <c r="K64" s="121"/>
      <c r="L64" s="121"/>
      <c r="M64" s="121" t="s">
        <v>601</v>
      </c>
    </row>
    <row r="65" spans="1:13" x14ac:dyDescent="0.3">
      <c r="A65" s="117" t="s">
        <v>589</v>
      </c>
      <c r="B65" s="121"/>
      <c r="C65" s="121"/>
      <c r="D65" s="121"/>
      <c r="E65" s="121"/>
      <c r="F65" s="121"/>
      <c r="G65" s="121"/>
      <c r="H65" s="121"/>
      <c r="I65" s="121"/>
      <c r="J65" s="121"/>
      <c r="K65" s="121"/>
      <c r="L65" s="121"/>
      <c r="M65" s="137" t="s">
        <v>53</v>
      </c>
    </row>
    <row r="66" spans="1:13" x14ac:dyDescent="0.3">
      <c r="A66" s="117" t="s">
        <v>28</v>
      </c>
      <c r="B66" s="121"/>
      <c r="C66" s="121"/>
      <c r="D66" s="121"/>
      <c r="E66" s="121"/>
      <c r="F66" s="121"/>
      <c r="G66" s="121"/>
      <c r="H66" s="121"/>
      <c r="I66" s="121"/>
      <c r="J66" s="121"/>
      <c r="K66" s="121"/>
      <c r="L66" s="121"/>
      <c r="M66" s="122" t="s">
        <v>609</v>
      </c>
    </row>
    <row r="67" spans="1:13" ht="28.8" x14ac:dyDescent="0.3">
      <c r="A67" s="117" t="s">
        <v>29</v>
      </c>
      <c r="B67" s="121"/>
      <c r="C67" s="121"/>
      <c r="D67" s="121"/>
      <c r="E67" s="121"/>
      <c r="F67" s="121"/>
      <c r="G67" s="121"/>
      <c r="H67" s="121"/>
      <c r="I67" s="121">
        <v>0.8</v>
      </c>
      <c r="J67" s="121"/>
      <c r="K67" s="121"/>
      <c r="L67" s="121"/>
      <c r="M67" s="134" t="s">
        <v>610</v>
      </c>
    </row>
    <row r="68" spans="1:13" x14ac:dyDescent="0.3">
      <c r="A68" s="117" t="s">
        <v>31</v>
      </c>
      <c r="B68" s="121"/>
      <c r="C68" s="121"/>
      <c r="D68" s="121"/>
      <c r="E68" s="121"/>
      <c r="F68" s="121"/>
      <c r="G68" s="121"/>
      <c r="H68" s="121"/>
      <c r="I68" s="121"/>
      <c r="J68" s="121"/>
      <c r="K68" s="121"/>
      <c r="L68" s="121"/>
      <c r="M68" s="137" t="s">
        <v>53</v>
      </c>
    </row>
    <row r="69" spans="1:13" x14ac:dyDescent="0.3">
      <c r="A69" s="117" t="s">
        <v>32</v>
      </c>
      <c r="B69" s="121"/>
      <c r="C69" s="121"/>
      <c r="D69" s="121"/>
      <c r="E69" s="121"/>
      <c r="F69" s="121"/>
      <c r="G69" s="121"/>
      <c r="H69" s="121"/>
      <c r="I69" s="121"/>
      <c r="J69" s="121"/>
      <c r="K69" s="121"/>
      <c r="L69" s="121"/>
      <c r="M69" s="137" t="s">
        <v>53</v>
      </c>
    </row>
    <row r="70" spans="1:13" x14ac:dyDescent="0.3">
      <c r="A70" s="117" t="s">
        <v>33</v>
      </c>
      <c r="B70" s="121"/>
      <c r="C70" s="121"/>
      <c r="D70" s="121"/>
      <c r="E70" s="121"/>
      <c r="F70" s="121"/>
      <c r="G70" s="121"/>
      <c r="H70" s="121"/>
      <c r="I70" s="121"/>
      <c r="J70" s="121"/>
      <c r="K70" s="121"/>
      <c r="L70" s="121"/>
      <c r="M70" s="135" t="s">
        <v>600</v>
      </c>
    </row>
    <row r="71" spans="1:13" x14ac:dyDescent="0.3">
      <c r="A71" s="117" t="s">
        <v>49</v>
      </c>
      <c r="B71" s="121"/>
      <c r="C71" s="121"/>
      <c r="D71" s="121"/>
      <c r="E71" s="121"/>
      <c r="F71" s="121"/>
      <c r="G71" s="121"/>
      <c r="H71" s="121"/>
      <c r="I71" s="121"/>
      <c r="J71" s="121"/>
      <c r="K71" s="121"/>
      <c r="L71" s="121"/>
      <c r="M71" s="135" t="s">
        <v>22</v>
      </c>
    </row>
    <row r="72" spans="1:13" x14ac:dyDescent="0.3">
      <c r="A72" s="117" t="s">
        <v>440</v>
      </c>
      <c r="B72" s="121"/>
      <c r="C72" s="121"/>
      <c r="D72" s="121"/>
      <c r="E72" s="121"/>
      <c r="F72" s="121"/>
      <c r="G72" s="121"/>
      <c r="H72" s="121"/>
      <c r="I72" s="121"/>
      <c r="J72" s="121"/>
      <c r="K72" s="121"/>
      <c r="L72" s="121"/>
      <c r="M72" s="121"/>
    </row>
    <row r="73" spans="1:13" x14ac:dyDescent="0.3">
      <c r="A73" s="117" t="s">
        <v>552</v>
      </c>
      <c r="B73" s="121"/>
      <c r="C73" s="121"/>
      <c r="D73" s="121"/>
      <c r="E73" s="121"/>
      <c r="F73" s="121"/>
      <c r="G73" s="121"/>
      <c r="H73" s="121"/>
      <c r="I73" s="121"/>
      <c r="J73" s="121">
        <v>1</v>
      </c>
      <c r="K73" s="121">
        <v>1</v>
      </c>
      <c r="L73" s="121">
        <v>1</v>
      </c>
      <c r="M73" s="121" t="s">
        <v>612</v>
      </c>
    </row>
    <row r="74" spans="1:13" x14ac:dyDescent="0.3">
      <c r="A74" s="117" t="s">
        <v>590</v>
      </c>
      <c r="B74" s="121"/>
      <c r="C74" s="121"/>
      <c r="D74" s="121"/>
      <c r="E74" s="121"/>
      <c r="F74" s="121"/>
      <c r="G74" s="121"/>
      <c r="H74" s="121"/>
      <c r="I74" s="121"/>
      <c r="J74" s="121"/>
      <c r="K74" s="121"/>
      <c r="L74" s="121"/>
      <c r="M74" s="121"/>
    </row>
    <row r="76" spans="1:13" ht="15.6" x14ac:dyDescent="0.3">
      <c r="A76" s="144" t="s">
        <v>613</v>
      </c>
      <c r="B76" s="144"/>
      <c r="C76" s="144"/>
      <c r="D76" s="144"/>
      <c r="E76" s="144"/>
      <c r="F76" s="144"/>
      <c r="G76" s="144"/>
      <c r="H76" s="144"/>
      <c r="I76" s="144"/>
      <c r="J76" s="144"/>
      <c r="K76" s="144"/>
      <c r="L76" s="144"/>
      <c r="M76" s="144"/>
    </row>
    <row r="77" spans="1:13" x14ac:dyDescent="0.3">
      <c r="A77" s="119" t="s">
        <v>3</v>
      </c>
      <c r="B77" s="123" t="s">
        <v>325</v>
      </c>
      <c r="C77" s="124" t="s">
        <v>326</v>
      </c>
      <c r="D77" s="123" t="s">
        <v>327</v>
      </c>
      <c r="E77" s="124" t="s">
        <v>328</v>
      </c>
      <c r="F77" s="123" t="s">
        <v>329</v>
      </c>
      <c r="G77" s="124" t="s">
        <v>330</v>
      </c>
      <c r="H77" s="123" t="s">
        <v>331</v>
      </c>
      <c r="I77" s="124" t="s">
        <v>332</v>
      </c>
      <c r="J77" s="124" t="s">
        <v>337</v>
      </c>
      <c r="K77" s="124" t="s">
        <v>323</v>
      </c>
      <c r="L77" s="125" t="s">
        <v>324</v>
      </c>
      <c r="M77" s="132" t="s">
        <v>594</v>
      </c>
    </row>
    <row r="78" spans="1:13" x14ac:dyDescent="0.3">
      <c r="A78" s="116" t="s">
        <v>26</v>
      </c>
      <c r="B78" s="121"/>
      <c r="C78" s="121"/>
      <c r="D78" s="121"/>
      <c r="E78" s="121"/>
      <c r="F78" s="121"/>
      <c r="G78" s="121"/>
      <c r="H78" s="121"/>
      <c r="I78" s="121"/>
      <c r="J78" s="121"/>
      <c r="K78" s="121"/>
      <c r="L78" s="121"/>
      <c r="M78" s="121"/>
    </row>
    <row r="79" spans="1:13" x14ac:dyDescent="0.3">
      <c r="A79" s="117" t="s">
        <v>27</v>
      </c>
      <c r="C79" s="121"/>
      <c r="D79" s="121"/>
      <c r="E79" s="121"/>
      <c r="G79" s="121"/>
      <c r="H79" s="121"/>
      <c r="I79" s="121"/>
      <c r="J79" s="121"/>
      <c r="K79" s="121"/>
      <c r="L79" s="121"/>
      <c r="M79" s="121" t="s">
        <v>601</v>
      </c>
    </row>
    <row r="80" spans="1:13" x14ac:dyDescent="0.3">
      <c r="A80" s="117" t="s">
        <v>589</v>
      </c>
      <c r="B80" s="121"/>
      <c r="C80" s="121"/>
      <c r="D80" s="121"/>
      <c r="E80" s="121"/>
      <c r="F80" s="121"/>
      <c r="G80" s="121"/>
      <c r="H80" s="121"/>
      <c r="I80" s="121"/>
      <c r="J80" s="121"/>
      <c r="K80" s="121"/>
      <c r="L80" s="121"/>
      <c r="M80" s="137" t="s">
        <v>53</v>
      </c>
    </row>
    <row r="81" spans="1:13" x14ac:dyDescent="0.3">
      <c r="A81" s="117" t="s">
        <v>28</v>
      </c>
      <c r="B81" s="121"/>
      <c r="C81" s="121"/>
      <c r="D81" s="121"/>
      <c r="E81" s="121"/>
      <c r="F81" s="121"/>
      <c r="G81" s="121"/>
      <c r="H81" s="121"/>
      <c r="I81" s="121"/>
      <c r="J81" s="121"/>
      <c r="K81" s="121"/>
      <c r="L81" s="121"/>
      <c r="M81" s="122" t="s">
        <v>609</v>
      </c>
    </row>
    <row r="82" spans="1:13" ht="28.8" x14ac:dyDescent="0.3">
      <c r="A82" s="117" t="s">
        <v>29</v>
      </c>
      <c r="B82" s="121"/>
      <c r="C82" s="121"/>
      <c r="D82" s="121"/>
      <c r="E82" s="121"/>
      <c r="F82" s="121"/>
      <c r="G82" s="121"/>
      <c r="H82" s="121"/>
      <c r="I82" s="121"/>
      <c r="J82" s="121"/>
      <c r="K82" s="121"/>
      <c r="L82" s="121"/>
      <c r="M82" s="134" t="s">
        <v>610</v>
      </c>
    </row>
    <row r="83" spans="1:13" x14ac:dyDescent="0.3">
      <c r="A83" s="117" t="s">
        <v>31</v>
      </c>
      <c r="B83" s="121"/>
      <c r="C83" s="121"/>
      <c r="D83" s="121"/>
      <c r="E83" s="121"/>
      <c r="F83" s="121"/>
      <c r="G83" s="121"/>
      <c r="H83" s="121"/>
      <c r="I83" s="121"/>
      <c r="J83" s="121"/>
      <c r="K83" s="121"/>
      <c r="L83" s="121"/>
      <c r="M83" s="137" t="s">
        <v>53</v>
      </c>
    </row>
    <row r="84" spans="1:13" x14ac:dyDescent="0.3">
      <c r="A84" s="117" t="s">
        <v>32</v>
      </c>
      <c r="B84" s="121"/>
      <c r="C84" s="121"/>
      <c r="D84" s="121"/>
      <c r="E84" s="121"/>
      <c r="F84" s="121"/>
      <c r="G84" s="121"/>
      <c r="H84" s="121"/>
      <c r="I84" s="121"/>
      <c r="J84" s="121"/>
      <c r="K84" s="121"/>
      <c r="L84" s="121"/>
      <c r="M84" s="137" t="s">
        <v>53</v>
      </c>
    </row>
    <row r="85" spans="1:13" x14ac:dyDescent="0.3">
      <c r="A85" s="117" t="s">
        <v>33</v>
      </c>
      <c r="B85" s="121"/>
      <c r="C85" s="121"/>
      <c r="D85" s="121"/>
      <c r="E85" s="121"/>
      <c r="F85" s="121"/>
      <c r="G85" s="121"/>
      <c r="H85" s="121"/>
      <c r="I85" s="121"/>
      <c r="J85" s="121"/>
      <c r="K85" s="121"/>
      <c r="L85" s="121"/>
      <c r="M85" s="135" t="s">
        <v>600</v>
      </c>
    </row>
    <row r="86" spans="1:13" x14ac:dyDescent="0.3">
      <c r="A86" s="117" t="s">
        <v>49</v>
      </c>
      <c r="B86" s="121"/>
      <c r="C86" s="121"/>
      <c r="D86" s="121"/>
      <c r="E86" s="121"/>
      <c r="F86" s="121"/>
      <c r="G86" s="121"/>
      <c r="H86" s="121"/>
      <c r="I86" s="121"/>
      <c r="J86" s="121"/>
      <c r="K86" s="121"/>
      <c r="L86" s="121"/>
      <c r="M86" s="135" t="s">
        <v>22</v>
      </c>
    </row>
    <row r="87" spans="1:13" x14ac:dyDescent="0.3">
      <c r="A87" s="117" t="s">
        <v>440</v>
      </c>
      <c r="B87" s="121"/>
      <c r="C87" s="121"/>
      <c r="D87" s="121"/>
      <c r="E87" s="121"/>
      <c r="F87" s="121"/>
      <c r="G87" s="121"/>
      <c r="H87" s="121"/>
      <c r="I87" s="121"/>
      <c r="J87" s="121"/>
      <c r="K87" s="121"/>
      <c r="L87" s="121"/>
      <c r="M87" s="121"/>
    </row>
    <row r="88" spans="1:13" x14ac:dyDescent="0.3">
      <c r="A88" s="117" t="s">
        <v>552</v>
      </c>
      <c r="B88" s="121">
        <v>1</v>
      </c>
      <c r="C88" s="121">
        <v>1</v>
      </c>
      <c r="D88" s="121"/>
      <c r="E88" s="121"/>
      <c r="F88" s="121"/>
      <c r="G88" s="121"/>
      <c r="H88" s="121"/>
      <c r="I88" s="121"/>
      <c r="J88" s="121">
        <v>0.5</v>
      </c>
      <c r="K88" s="121">
        <v>0.5</v>
      </c>
      <c r="L88" s="121">
        <v>0.5</v>
      </c>
      <c r="M88" s="121" t="s">
        <v>614</v>
      </c>
    </row>
    <row r="89" spans="1:13" x14ac:dyDescent="0.3">
      <c r="A89" s="117" t="s">
        <v>590</v>
      </c>
      <c r="B89" s="121"/>
      <c r="C89" s="121"/>
      <c r="D89" s="121"/>
      <c r="E89" s="121"/>
      <c r="F89" s="121"/>
      <c r="G89" s="121"/>
      <c r="H89" s="121"/>
      <c r="I89" s="121"/>
      <c r="J89" s="121"/>
      <c r="K89" s="121"/>
      <c r="L89" s="121"/>
      <c r="M89" s="121"/>
    </row>
  </sheetData>
  <mergeCells count="6">
    <mergeCell ref="A76:M76"/>
    <mergeCell ref="A31:M31"/>
    <mergeCell ref="A16:M16"/>
    <mergeCell ref="A1:M1"/>
    <mergeCell ref="A46:M46"/>
    <mergeCell ref="A61:M61"/>
  </mergeCells>
  <conditionalFormatting sqref="B3:M11 B13:M14 B12:L12">
    <cfRule type="dataBar" priority="156">
      <dataBar>
        <cfvo type="min"/>
        <cfvo type="max"/>
        <color rgb="FF638EC6"/>
      </dataBar>
      <extLst>
        <ext xmlns:x14="http://schemas.microsoft.com/office/spreadsheetml/2009/9/main" uri="{B025F937-C7B1-47D3-B67F-A62EFF666E3E}">
          <x14:id>{110BA819-02E1-4C14-A658-F8C52DF4A28D}</x14:id>
        </ext>
      </extLst>
    </cfRule>
  </conditionalFormatting>
  <conditionalFormatting sqref="B18:M23 B28:M28 B29:L29 B24:L27">
    <cfRule type="dataBar" priority="47">
      <dataBar>
        <cfvo type="min"/>
        <cfvo type="max"/>
        <color rgb="FF638EC6"/>
      </dataBar>
      <extLst>
        <ext xmlns:x14="http://schemas.microsoft.com/office/spreadsheetml/2009/9/main" uri="{B025F937-C7B1-47D3-B67F-A62EFF666E3E}">
          <x14:id>{2EB043EB-40F8-4702-BF6C-4CDDDAB0D942}</x14:id>
        </ext>
      </extLst>
    </cfRule>
  </conditionalFormatting>
  <conditionalFormatting sqref="C34:M34 B33:M33 B43:M44 B35:L41 B42:E42 G42:M42">
    <cfRule type="dataBar" priority="46">
      <dataBar>
        <cfvo type="min"/>
        <cfvo type="max"/>
        <color rgb="FF638EC6"/>
      </dataBar>
      <extLst>
        <ext xmlns:x14="http://schemas.microsoft.com/office/spreadsheetml/2009/9/main" uri="{B025F937-C7B1-47D3-B67F-A62EFF666E3E}">
          <x14:id>{4D2FD1E6-75EE-40C0-B273-F84D07D469CF}</x14:id>
        </ext>
      </extLst>
    </cfRule>
  </conditionalFormatting>
  <conditionalFormatting sqref="A3:A14">
    <cfRule type="expression" dxfId="54" priority="45">
      <formula>ISEVEN(ROW())</formula>
    </cfRule>
  </conditionalFormatting>
  <conditionalFormatting sqref="A18:A29">
    <cfRule type="expression" dxfId="53" priority="44">
      <formula>ISEVEN(ROW())</formula>
    </cfRule>
  </conditionalFormatting>
  <conditionalFormatting sqref="A34:A44">
    <cfRule type="expression" dxfId="52" priority="43">
      <formula>ISEVEN(ROW())</formula>
    </cfRule>
  </conditionalFormatting>
  <conditionalFormatting sqref="M25">
    <cfRule type="dataBar" priority="42">
      <dataBar>
        <cfvo type="min"/>
        <cfvo type="max"/>
        <color rgb="FF638EC6"/>
      </dataBar>
      <extLst>
        <ext xmlns:x14="http://schemas.microsoft.com/office/spreadsheetml/2009/9/main" uri="{B025F937-C7B1-47D3-B67F-A62EFF666E3E}">
          <x14:id>{8BB3EE1C-E149-415A-975B-8DC745B0ED36}</x14:id>
        </ext>
      </extLst>
    </cfRule>
  </conditionalFormatting>
  <conditionalFormatting sqref="M26">
    <cfRule type="dataBar" priority="41">
      <dataBar>
        <cfvo type="min"/>
        <cfvo type="max"/>
        <color rgb="FF638EC6"/>
      </dataBar>
      <extLst>
        <ext xmlns:x14="http://schemas.microsoft.com/office/spreadsheetml/2009/9/main" uri="{B025F937-C7B1-47D3-B67F-A62EFF666E3E}">
          <x14:id>{88104747-C9AB-4136-A181-72992CA098E5}</x14:id>
        </ext>
      </extLst>
    </cfRule>
  </conditionalFormatting>
  <conditionalFormatting sqref="M29">
    <cfRule type="dataBar" priority="40">
      <dataBar>
        <cfvo type="min"/>
        <cfvo type="max"/>
        <color rgb="FF638EC6"/>
      </dataBar>
      <extLst>
        <ext xmlns:x14="http://schemas.microsoft.com/office/spreadsheetml/2009/9/main" uri="{B025F937-C7B1-47D3-B67F-A62EFF666E3E}">
          <x14:id>{F87E5BAC-6FF2-4922-B5B0-A86AADACA620}</x14:id>
        </ext>
      </extLst>
    </cfRule>
  </conditionalFormatting>
  <conditionalFormatting sqref="M27">
    <cfRule type="dataBar" priority="38">
      <dataBar>
        <cfvo type="min"/>
        <cfvo type="max"/>
        <color rgb="FF638EC6"/>
      </dataBar>
      <extLst>
        <ext xmlns:x14="http://schemas.microsoft.com/office/spreadsheetml/2009/9/main" uri="{B025F937-C7B1-47D3-B67F-A62EFF666E3E}">
          <x14:id>{A8239143-58DE-4F0C-8833-EC6EF2F7F95E}</x14:id>
        </ext>
      </extLst>
    </cfRule>
  </conditionalFormatting>
  <conditionalFormatting sqref="M24">
    <cfRule type="dataBar" priority="37">
      <dataBar>
        <cfvo type="min"/>
        <cfvo type="max"/>
        <color rgb="FF638EC6"/>
      </dataBar>
      <extLst>
        <ext xmlns:x14="http://schemas.microsoft.com/office/spreadsheetml/2009/9/main" uri="{B025F937-C7B1-47D3-B67F-A62EFF666E3E}">
          <x14:id>{81EE92B9-9AD8-4D33-AC27-C650B82CC835}</x14:id>
        </ext>
      </extLst>
    </cfRule>
  </conditionalFormatting>
  <conditionalFormatting sqref="M40">
    <cfRule type="dataBar" priority="36">
      <dataBar>
        <cfvo type="min"/>
        <cfvo type="max"/>
        <color rgb="FF638EC6"/>
      </dataBar>
      <extLst>
        <ext xmlns:x14="http://schemas.microsoft.com/office/spreadsheetml/2009/9/main" uri="{B025F937-C7B1-47D3-B67F-A62EFF666E3E}">
          <x14:id>{4FC10B96-FD04-4AB3-A25D-74C308953AC2}</x14:id>
        </ext>
      </extLst>
    </cfRule>
  </conditionalFormatting>
  <conditionalFormatting sqref="M41">
    <cfRule type="dataBar" priority="35">
      <dataBar>
        <cfvo type="min"/>
        <cfvo type="max"/>
        <color rgb="FF638EC6"/>
      </dataBar>
      <extLst>
        <ext xmlns:x14="http://schemas.microsoft.com/office/spreadsheetml/2009/9/main" uri="{B025F937-C7B1-47D3-B67F-A62EFF666E3E}">
          <x14:id>{611AD00C-67EB-463C-9515-FDAC77AEB4E6}</x14:id>
        </ext>
      </extLst>
    </cfRule>
  </conditionalFormatting>
  <conditionalFormatting sqref="M12">
    <cfRule type="dataBar" priority="34">
      <dataBar>
        <cfvo type="min"/>
        <cfvo type="max"/>
        <color rgb="FF638EC6"/>
      </dataBar>
      <extLst>
        <ext xmlns:x14="http://schemas.microsoft.com/office/spreadsheetml/2009/9/main" uri="{B025F937-C7B1-47D3-B67F-A62EFF666E3E}">
          <x14:id>{EA20EEDF-1DC6-41D4-B07F-8F9B36853FDF}</x14:id>
        </ext>
      </extLst>
    </cfRule>
  </conditionalFormatting>
  <conditionalFormatting sqref="M38">
    <cfRule type="dataBar" priority="33">
      <dataBar>
        <cfvo type="min"/>
        <cfvo type="max"/>
        <color rgb="FF638EC6"/>
      </dataBar>
      <extLst>
        <ext xmlns:x14="http://schemas.microsoft.com/office/spreadsheetml/2009/9/main" uri="{B025F937-C7B1-47D3-B67F-A62EFF666E3E}">
          <x14:id>{DE71267B-DA48-49D3-917C-E85DCE0A39BC}</x14:id>
        </ext>
      </extLst>
    </cfRule>
  </conditionalFormatting>
  <conditionalFormatting sqref="M39">
    <cfRule type="dataBar" priority="32">
      <dataBar>
        <cfvo type="min"/>
        <cfvo type="max"/>
        <color rgb="FF638EC6"/>
      </dataBar>
      <extLst>
        <ext xmlns:x14="http://schemas.microsoft.com/office/spreadsheetml/2009/9/main" uri="{B025F937-C7B1-47D3-B67F-A62EFF666E3E}">
          <x14:id>{E31BCE8C-4659-4A40-BC56-16A153978835}</x14:id>
        </ext>
      </extLst>
    </cfRule>
  </conditionalFormatting>
  <conditionalFormatting sqref="M37">
    <cfRule type="dataBar" priority="31">
      <dataBar>
        <cfvo type="min"/>
        <cfvo type="max"/>
        <color rgb="FF638EC6"/>
      </dataBar>
      <extLst>
        <ext xmlns:x14="http://schemas.microsoft.com/office/spreadsheetml/2009/9/main" uri="{B025F937-C7B1-47D3-B67F-A62EFF666E3E}">
          <x14:id>{1BCA8C87-4657-485B-A4A3-B23EB4579ED2}</x14:id>
        </ext>
      </extLst>
    </cfRule>
  </conditionalFormatting>
  <conditionalFormatting sqref="M36">
    <cfRule type="dataBar" priority="30">
      <dataBar>
        <cfvo type="min"/>
        <cfvo type="max"/>
        <color rgb="FF638EC6"/>
      </dataBar>
      <extLst>
        <ext xmlns:x14="http://schemas.microsoft.com/office/spreadsheetml/2009/9/main" uri="{B025F937-C7B1-47D3-B67F-A62EFF666E3E}">
          <x14:id>{19D5ABB0-5E36-449C-A053-73F2E8E5CF1A}</x14:id>
        </ext>
      </extLst>
    </cfRule>
  </conditionalFormatting>
  <conditionalFormatting sqref="M35">
    <cfRule type="dataBar" priority="29">
      <dataBar>
        <cfvo type="min"/>
        <cfvo type="max"/>
        <color rgb="FF638EC6"/>
      </dataBar>
      <extLst>
        <ext xmlns:x14="http://schemas.microsoft.com/office/spreadsheetml/2009/9/main" uri="{B025F937-C7B1-47D3-B67F-A62EFF666E3E}">
          <x14:id>{9BA35AF7-6E39-4074-A932-FBB25803DCBA}</x14:id>
        </ext>
      </extLst>
    </cfRule>
  </conditionalFormatting>
  <conditionalFormatting sqref="C49:M49 B48:M48 B57:M59 B50:L56">
    <cfRule type="dataBar" priority="28">
      <dataBar>
        <cfvo type="min"/>
        <cfvo type="max"/>
        <color rgb="FF638EC6"/>
      </dataBar>
      <extLst>
        <ext xmlns:x14="http://schemas.microsoft.com/office/spreadsheetml/2009/9/main" uri="{B025F937-C7B1-47D3-B67F-A62EFF666E3E}">
          <x14:id>{D4DE7DFA-653C-4E6B-B561-B8EDB55A7F4F}</x14:id>
        </ext>
      </extLst>
    </cfRule>
  </conditionalFormatting>
  <conditionalFormatting sqref="A49:A59">
    <cfRule type="expression" dxfId="51" priority="27">
      <formula>ISEVEN(ROW())</formula>
    </cfRule>
  </conditionalFormatting>
  <conditionalFormatting sqref="M55">
    <cfRule type="dataBar" priority="26">
      <dataBar>
        <cfvo type="min"/>
        <cfvo type="max"/>
        <color rgb="FF638EC6"/>
      </dataBar>
      <extLst>
        <ext xmlns:x14="http://schemas.microsoft.com/office/spreadsheetml/2009/9/main" uri="{B025F937-C7B1-47D3-B67F-A62EFF666E3E}">
          <x14:id>{DAFFF849-69D6-4069-BE9D-1A986C554DC2}</x14:id>
        </ext>
      </extLst>
    </cfRule>
  </conditionalFormatting>
  <conditionalFormatting sqref="M56">
    <cfRule type="dataBar" priority="25">
      <dataBar>
        <cfvo type="min"/>
        <cfvo type="max"/>
        <color rgb="FF638EC6"/>
      </dataBar>
      <extLst>
        <ext xmlns:x14="http://schemas.microsoft.com/office/spreadsheetml/2009/9/main" uri="{B025F937-C7B1-47D3-B67F-A62EFF666E3E}">
          <x14:id>{08FE16EC-DAA2-4956-9143-B92CC3225E30}</x14:id>
        </ext>
      </extLst>
    </cfRule>
  </conditionalFormatting>
  <conditionalFormatting sqref="M53">
    <cfRule type="dataBar" priority="24">
      <dataBar>
        <cfvo type="min"/>
        <cfvo type="max"/>
        <color rgb="FF638EC6"/>
      </dataBar>
      <extLst>
        <ext xmlns:x14="http://schemas.microsoft.com/office/spreadsheetml/2009/9/main" uri="{B025F937-C7B1-47D3-B67F-A62EFF666E3E}">
          <x14:id>{6B054156-AC34-49E1-B2BA-5EDFDC3CEB4F}</x14:id>
        </ext>
      </extLst>
    </cfRule>
  </conditionalFormatting>
  <conditionalFormatting sqref="M54">
    <cfRule type="dataBar" priority="23">
      <dataBar>
        <cfvo type="min"/>
        <cfvo type="max"/>
        <color rgb="FF638EC6"/>
      </dataBar>
      <extLst>
        <ext xmlns:x14="http://schemas.microsoft.com/office/spreadsheetml/2009/9/main" uri="{B025F937-C7B1-47D3-B67F-A62EFF666E3E}">
          <x14:id>{ECC37D74-AB55-4CF0-9D65-4F7ACDBC4936}</x14:id>
        </ext>
      </extLst>
    </cfRule>
  </conditionalFormatting>
  <conditionalFormatting sqref="M52">
    <cfRule type="dataBar" priority="22">
      <dataBar>
        <cfvo type="min"/>
        <cfvo type="max"/>
        <color rgb="FF638EC6"/>
      </dataBar>
      <extLst>
        <ext xmlns:x14="http://schemas.microsoft.com/office/spreadsheetml/2009/9/main" uri="{B025F937-C7B1-47D3-B67F-A62EFF666E3E}">
          <x14:id>{B75810FD-B3C9-4E24-BEC3-D4D8746A2B4C}</x14:id>
        </ext>
      </extLst>
    </cfRule>
  </conditionalFormatting>
  <conditionalFormatting sqref="M51">
    <cfRule type="dataBar" priority="21">
      <dataBar>
        <cfvo type="min"/>
        <cfvo type="max"/>
        <color rgb="FF638EC6"/>
      </dataBar>
      <extLst>
        <ext xmlns:x14="http://schemas.microsoft.com/office/spreadsheetml/2009/9/main" uri="{B025F937-C7B1-47D3-B67F-A62EFF666E3E}">
          <x14:id>{914D965B-B4E0-4674-B6D2-46D341C8F0D2}</x14:id>
        </ext>
      </extLst>
    </cfRule>
  </conditionalFormatting>
  <conditionalFormatting sqref="M50">
    <cfRule type="dataBar" priority="20">
      <dataBar>
        <cfvo type="min"/>
        <cfvo type="max"/>
        <color rgb="FF638EC6"/>
      </dataBar>
      <extLst>
        <ext xmlns:x14="http://schemas.microsoft.com/office/spreadsheetml/2009/9/main" uri="{B025F937-C7B1-47D3-B67F-A62EFF666E3E}">
          <x14:id>{BF14D715-35B2-4AB7-AA2E-66DE1CCFA1EB}</x14:id>
        </ext>
      </extLst>
    </cfRule>
  </conditionalFormatting>
  <conditionalFormatting sqref="F42">
    <cfRule type="dataBar" priority="19">
      <dataBar>
        <cfvo type="min"/>
        <cfvo type="max"/>
        <color rgb="FF638EC6"/>
      </dataBar>
      <extLst>
        <ext xmlns:x14="http://schemas.microsoft.com/office/spreadsheetml/2009/9/main" uri="{B025F937-C7B1-47D3-B67F-A62EFF666E3E}">
          <x14:id>{662A6F64-CD99-41B3-9ABA-2C3FA2B3BADB}</x14:id>
        </ext>
      </extLst>
    </cfRule>
  </conditionalFormatting>
  <conditionalFormatting sqref="C64:E64 I65:L71 I72:M74 I63:M64 G64:H64 B63:H63 B65:H74">
    <cfRule type="dataBar" priority="18">
      <dataBar>
        <cfvo type="min"/>
        <cfvo type="max"/>
        <color rgb="FF638EC6"/>
      </dataBar>
      <extLst>
        <ext xmlns:x14="http://schemas.microsoft.com/office/spreadsheetml/2009/9/main" uri="{B025F937-C7B1-47D3-B67F-A62EFF666E3E}">
          <x14:id>{D7AF9082-268B-4B13-B10F-5FDCA66240F1}</x14:id>
        </ext>
      </extLst>
    </cfRule>
  </conditionalFormatting>
  <conditionalFormatting sqref="A64:A74">
    <cfRule type="expression" dxfId="50" priority="17">
      <formula>ISEVEN(ROW())</formula>
    </cfRule>
  </conditionalFormatting>
  <conditionalFormatting sqref="M70">
    <cfRule type="dataBar" priority="16">
      <dataBar>
        <cfvo type="min"/>
        <cfvo type="max"/>
        <color rgb="FF638EC6"/>
      </dataBar>
      <extLst>
        <ext xmlns:x14="http://schemas.microsoft.com/office/spreadsheetml/2009/9/main" uri="{B025F937-C7B1-47D3-B67F-A62EFF666E3E}">
          <x14:id>{4E8D4E71-6E35-49F1-AC2D-1906623A0D94}</x14:id>
        </ext>
      </extLst>
    </cfRule>
  </conditionalFormatting>
  <conditionalFormatting sqref="M71">
    <cfRule type="dataBar" priority="15">
      <dataBar>
        <cfvo type="min"/>
        <cfvo type="max"/>
        <color rgb="FF638EC6"/>
      </dataBar>
      <extLst>
        <ext xmlns:x14="http://schemas.microsoft.com/office/spreadsheetml/2009/9/main" uri="{B025F937-C7B1-47D3-B67F-A62EFF666E3E}">
          <x14:id>{B7FB06A7-E343-4881-BDF2-772695735D75}</x14:id>
        </ext>
      </extLst>
    </cfRule>
  </conditionalFormatting>
  <conditionalFormatting sqref="M68">
    <cfRule type="dataBar" priority="14">
      <dataBar>
        <cfvo type="min"/>
        <cfvo type="max"/>
        <color rgb="FF638EC6"/>
      </dataBar>
      <extLst>
        <ext xmlns:x14="http://schemas.microsoft.com/office/spreadsheetml/2009/9/main" uri="{B025F937-C7B1-47D3-B67F-A62EFF666E3E}">
          <x14:id>{FD7159A0-1409-4C8D-87C0-5F70355A7DE3}</x14:id>
        </ext>
      </extLst>
    </cfRule>
  </conditionalFormatting>
  <conditionalFormatting sqref="M69">
    <cfRule type="dataBar" priority="13">
      <dataBar>
        <cfvo type="min"/>
        <cfvo type="max"/>
        <color rgb="FF638EC6"/>
      </dataBar>
      <extLst>
        <ext xmlns:x14="http://schemas.microsoft.com/office/spreadsheetml/2009/9/main" uri="{B025F937-C7B1-47D3-B67F-A62EFF666E3E}">
          <x14:id>{097EF5E5-BDA4-4B90-A457-A4DE2EDCD79E}</x14:id>
        </ext>
      </extLst>
    </cfRule>
  </conditionalFormatting>
  <conditionalFormatting sqref="M67">
    <cfRule type="dataBar" priority="12">
      <dataBar>
        <cfvo type="min"/>
        <cfvo type="max"/>
        <color rgb="FF638EC6"/>
      </dataBar>
      <extLst>
        <ext xmlns:x14="http://schemas.microsoft.com/office/spreadsheetml/2009/9/main" uri="{B025F937-C7B1-47D3-B67F-A62EFF666E3E}">
          <x14:id>{CDE38F28-5834-41C9-965B-E8A4B041A370}</x14:id>
        </ext>
      </extLst>
    </cfRule>
  </conditionalFormatting>
  <conditionalFormatting sqref="M66">
    <cfRule type="dataBar" priority="11">
      <dataBar>
        <cfvo type="min"/>
        <cfvo type="max"/>
        <color rgb="FF638EC6"/>
      </dataBar>
      <extLst>
        <ext xmlns:x14="http://schemas.microsoft.com/office/spreadsheetml/2009/9/main" uri="{B025F937-C7B1-47D3-B67F-A62EFF666E3E}">
          <x14:id>{0F371997-27A0-4CF4-85AB-A2636C5FB54A}</x14:id>
        </ext>
      </extLst>
    </cfRule>
  </conditionalFormatting>
  <conditionalFormatting sqref="M65">
    <cfRule type="dataBar" priority="10">
      <dataBar>
        <cfvo type="min"/>
        <cfvo type="max"/>
        <color rgb="FF638EC6"/>
      </dataBar>
      <extLst>
        <ext xmlns:x14="http://schemas.microsoft.com/office/spreadsheetml/2009/9/main" uri="{B025F937-C7B1-47D3-B67F-A62EFF666E3E}">
          <x14:id>{0FEEC030-284E-4787-BF92-9EAF5659535D}</x14:id>
        </ext>
      </extLst>
    </cfRule>
  </conditionalFormatting>
  <conditionalFormatting sqref="C79:E79 I83:L86 I87:M89 G79:H79 B78:M78 B80:H89 J79:M79 J80:L82 I79:I82">
    <cfRule type="dataBar" priority="9">
      <dataBar>
        <cfvo type="min"/>
        <cfvo type="max"/>
        <color rgb="FF638EC6"/>
      </dataBar>
      <extLst>
        <ext xmlns:x14="http://schemas.microsoft.com/office/spreadsheetml/2009/9/main" uri="{B025F937-C7B1-47D3-B67F-A62EFF666E3E}">
          <x14:id>{3E511246-5EDA-4B3B-B443-C3E29F87A44C}</x14:id>
        </ext>
      </extLst>
    </cfRule>
  </conditionalFormatting>
  <conditionalFormatting sqref="A79:A89">
    <cfRule type="expression" dxfId="49" priority="8">
      <formula>ISEVEN(ROW())</formula>
    </cfRule>
  </conditionalFormatting>
  <conditionalFormatting sqref="M85">
    <cfRule type="dataBar" priority="7">
      <dataBar>
        <cfvo type="min"/>
        <cfvo type="max"/>
        <color rgb="FF638EC6"/>
      </dataBar>
      <extLst>
        <ext xmlns:x14="http://schemas.microsoft.com/office/spreadsheetml/2009/9/main" uri="{B025F937-C7B1-47D3-B67F-A62EFF666E3E}">
          <x14:id>{FD19ECD7-D4C6-4D2D-AE8C-3268C60987EE}</x14:id>
        </ext>
      </extLst>
    </cfRule>
  </conditionalFormatting>
  <conditionalFormatting sqref="M86">
    <cfRule type="dataBar" priority="6">
      <dataBar>
        <cfvo type="min"/>
        <cfvo type="max"/>
        <color rgb="FF638EC6"/>
      </dataBar>
      <extLst>
        <ext xmlns:x14="http://schemas.microsoft.com/office/spreadsheetml/2009/9/main" uri="{B025F937-C7B1-47D3-B67F-A62EFF666E3E}">
          <x14:id>{509A64BA-E502-40A5-98A3-ECEFDEAE6533}</x14:id>
        </ext>
      </extLst>
    </cfRule>
  </conditionalFormatting>
  <conditionalFormatting sqref="M83">
    <cfRule type="dataBar" priority="5">
      <dataBar>
        <cfvo type="min"/>
        <cfvo type="max"/>
        <color rgb="FF638EC6"/>
      </dataBar>
      <extLst>
        <ext xmlns:x14="http://schemas.microsoft.com/office/spreadsheetml/2009/9/main" uri="{B025F937-C7B1-47D3-B67F-A62EFF666E3E}">
          <x14:id>{79CA0384-B958-443B-AB34-484BEAE43247}</x14:id>
        </ext>
      </extLst>
    </cfRule>
  </conditionalFormatting>
  <conditionalFormatting sqref="M84">
    <cfRule type="dataBar" priority="4">
      <dataBar>
        <cfvo type="min"/>
        <cfvo type="max"/>
        <color rgb="FF638EC6"/>
      </dataBar>
      <extLst>
        <ext xmlns:x14="http://schemas.microsoft.com/office/spreadsheetml/2009/9/main" uri="{B025F937-C7B1-47D3-B67F-A62EFF666E3E}">
          <x14:id>{6FA7ECBA-370B-4F53-9599-91E4068B0AA4}</x14:id>
        </ext>
      </extLst>
    </cfRule>
  </conditionalFormatting>
  <conditionalFormatting sqref="M82">
    <cfRule type="dataBar" priority="3">
      <dataBar>
        <cfvo type="min"/>
        <cfvo type="max"/>
        <color rgb="FF638EC6"/>
      </dataBar>
      <extLst>
        <ext xmlns:x14="http://schemas.microsoft.com/office/spreadsheetml/2009/9/main" uri="{B025F937-C7B1-47D3-B67F-A62EFF666E3E}">
          <x14:id>{B2D01E22-D7C6-4524-85BD-7F78719AB924}</x14:id>
        </ext>
      </extLst>
    </cfRule>
  </conditionalFormatting>
  <conditionalFormatting sqref="M81">
    <cfRule type="dataBar" priority="2">
      <dataBar>
        <cfvo type="min"/>
        <cfvo type="max"/>
        <color rgb="FF638EC6"/>
      </dataBar>
      <extLst>
        <ext xmlns:x14="http://schemas.microsoft.com/office/spreadsheetml/2009/9/main" uri="{B025F937-C7B1-47D3-B67F-A62EFF666E3E}">
          <x14:id>{F6FEF3CA-D627-41DB-83B2-E91FD8304E51}</x14:id>
        </ext>
      </extLst>
    </cfRule>
  </conditionalFormatting>
  <conditionalFormatting sqref="M80">
    <cfRule type="dataBar" priority="1">
      <dataBar>
        <cfvo type="min"/>
        <cfvo type="max"/>
        <color rgb="FF638EC6"/>
      </dataBar>
      <extLst>
        <ext xmlns:x14="http://schemas.microsoft.com/office/spreadsheetml/2009/9/main" uri="{B025F937-C7B1-47D3-B67F-A62EFF666E3E}">
          <x14:id>{1794D752-7915-4BE8-9B8B-EFB2CC10EDD2}</x14:id>
        </ext>
      </extLst>
    </cfRule>
  </conditionalFormatting>
  <pageMargins left="0.511811024" right="0.511811024" top="0.78740157499999996" bottom="0.78740157499999996" header="0.31496062000000002" footer="0.31496062000000002"/>
  <extLst>
    <ext xmlns:x14="http://schemas.microsoft.com/office/spreadsheetml/2009/9/main" uri="{78C0D931-6437-407d-A8EE-F0AAD7539E65}">
      <x14:conditionalFormattings>
        <x14:conditionalFormatting xmlns:xm="http://schemas.microsoft.com/office/excel/2006/main">
          <x14:cfRule type="dataBar" id="{110BA819-02E1-4C14-A658-F8C52DF4A28D}">
            <x14:dataBar minLength="0" maxLength="100">
              <x14:cfvo type="autoMin"/>
              <x14:cfvo type="autoMax"/>
              <x14:negativeFillColor rgb="FFFF0000"/>
              <x14:axisColor rgb="FF000000"/>
            </x14:dataBar>
          </x14:cfRule>
          <xm:sqref>B3:M11 B13:M14 B12:L12</xm:sqref>
        </x14:conditionalFormatting>
        <x14:conditionalFormatting xmlns:xm="http://schemas.microsoft.com/office/excel/2006/main">
          <x14:cfRule type="dataBar" id="{2EB043EB-40F8-4702-BF6C-4CDDDAB0D942}">
            <x14:dataBar minLength="0" maxLength="100">
              <x14:cfvo type="autoMin"/>
              <x14:cfvo type="autoMax"/>
              <x14:negativeFillColor rgb="FFFF0000"/>
              <x14:axisColor rgb="FF000000"/>
            </x14:dataBar>
          </x14:cfRule>
          <xm:sqref>B18:M23 B28:M28 B29:L29 B24:L27</xm:sqref>
        </x14:conditionalFormatting>
        <x14:conditionalFormatting xmlns:xm="http://schemas.microsoft.com/office/excel/2006/main">
          <x14:cfRule type="dataBar" id="{4D2FD1E6-75EE-40C0-B273-F84D07D469CF}">
            <x14:dataBar minLength="0" maxLength="100">
              <x14:cfvo type="autoMin"/>
              <x14:cfvo type="autoMax"/>
              <x14:negativeFillColor rgb="FFFF0000"/>
              <x14:axisColor rgb="FF000000"/>
            </x14:dataBar>
          </x14:cfRule>
          <xm:sqref>C34:M34 B33:M33 B43:M44 B35:L41 B42:E42 G42:M42</xm:sqref>
        </x14:conditionalFormatting>
        <x14:conditionalFormatting xmlns:xm="http://schemas.microsoft.com/office/excel/2006/main">
          <x14:cfRule type="dataBar" id="{8BB3EE1C-E149-415A-975B-8DC745B0ED36}">
            <x14:dataBar minLength="0" maxLength="100">
              <x14:cfvo type="autoMin"/>
              <x14:cfvo type="autoMax"/>
              <x14:negativeFillColor rgb="FFFF0000"/>
              <x14:axisColor rgb="FF000000"/>
            </x14:dataBar>
          </x14:cfRule>
          <xm:sqref>M25</xm:sqref>
        </x14:conditionalFormatting>
        <x14:conditionalFormatting xmlns:xm="http://schemas.microsoft.com/office/excel/2006/main">
          <x14:cfRule type="dataBar" id="{88104747-C9AB-4136-A181-72992CA098E5}">
            <x14:dataBar minLength="0" maxLength="100">
              <x14:cfvo type="autoMin"/>
              <x14:cfvo type="autoMax"/>
              <x14:negativeFillColor rgb="FFFF0000"/>
              <x14:axisColor rgb="FF000000"/>
            </x14:dataBar>
          </x14:cfRule>
          <xm:sqref>M26</xm:sqref>
        </x14:conditionalFormatting>
        <x14:conditionalFormatting xmlns:xm="http://schemas.microsoft.com/office/excel/2006/main">
          <x14:cfRule type="dataBar" id="{F87E5BAC-6FF2-4922-B5B0-A86AADACA620}">
            <x14:dataBar minLength="0" maxLength="100">
              <x14:cfvo type="autoMin"/>
              <x14:cfvo type="autoMax"/>
              <x14:negativeFillColor rgb="FFFF0000"/>
              <x14:axisColor rgb="FF000000"/>
            </x14:dataBar>
          </x14:cfRule>
          <xm:sqref>M29</xm:sqref>
        </x14:conditionalFormatting>
        <x14:conditionalFormatting xmlns:xm="http://schemas.microsoft.com/office/excel/2006/main">
          <x14:cfRule type="dataBar" id="{A8239143-58DE-4F0C-8833-EC6EF2F7F95E}">
            <x14:dataBar minLength="0" maxLength="100">
              <x14:cfvo type="autoMin"/>
              <x14:cfvo type="autoMax"/>
              <x14:negativeFillColor rgb="FFFF0000"/>
              <x14:axisColor rgb="FF000000"/>
            </x14:dataBar>
          </x14:cfRule>
          <xm:sqref>M27</xm:sqref>
        </x14:conditionalFormatting>
        <x14:conditionalFormatting xmlns:xm="http://schemas.microsoft.com/office/excel/2006/main">
          <x14:cfRule type="dataBar" id="{81EE92B9-9AD8-4D33-AC27-C650B82CC835}">
            <x14:dataBar minLength="0" maxLength="100">
              <x14:cfvo type="autoMin"/>
              <x14:cfvo type="autoMax"/>
              <x14:negativeFillColor rgb="FFFF0000"/>
              <x14:axisColor rgb="FF000000"/>
            </x14:dataBar>
          </x14:cfRule>
          <xm:sqref>M24</xm:sqref>
        </x14:conditionalFormatting>
        <x14:conditionalFormatting xmlns:xm="http://schemas.microsoft.com/office/excel/2006/main">
          <x14:cfRule type="dataBar" id="{4FC10B96-FD04-4AB3-A25D-74C308953AC2}">
            <x14:dataBar minLength="0" maxLength="100">
              <x14:cfvo type="autoMin"/>
              <x14:cfvo type="autoMax"/>
              <x14:negativeFillColor rgb="FFFF0000"/>
              <x14:axisColor rgb="FF000000"/>
            </x14:dataBar>
          </x14:cfRule>
          <xm:sqref>M40</xm:sqref>
        </x14:conditionalFormatting>
        <x14:conditionalFormatting xmlns:xm="http://schemas.microsoft.com/office/excel/2006/main">
          <x14:cfRule type="dataBar" id="{611AD00C-67EB-463C-9515-FDAC77AEB4E6}">
            <x14:dataBar minLength="0" maxLength="100">
              <x14:cfvo type="autoMin"/>
              <x14:cfvo type="autoMax"/>
              <x14:negativeFillColor rgb="FFFF0000"/>
              <x14:axisColor rgb="FF000000"/>
            </x14:dataBar>
          </x14:cfRule>
          <xm:sqref>M41</xm:sqref>
        </x14:conditionalFormatting>
        <x14:conditionalFormatting xmlns:xm="http://schemas.microsoft.com/office/excel/2006/main">
          <x14:cfRule type="dataBar" id="{EA20EEDF-1DC6-41D4-B07F-8F9B36853FDF}">
            <x14:dataBar minLength="0" maxLength="100">
              <x14:cfvo type="autoMin"/>
              <x14:cfvo type="autoMax"/>
              <x14:negativeFillColor rgb="FFFF0000"/>
              <x14:axisColor rgb="FF000000"/>
            </x14:dataBar>
          </x14:cfRule>
          <xm:sqref>M12</xm:sqref>
        </x14:conditionalFormatting>
        <x14:conditionalFormatting xmlns:xm="http://schemas.microsoft.com/office/excel/2006/main">
          <x14:cfRule type="dataBar" id="{DE71267B-DA48-49D3-917C-E85DCE0A39BC}">
            <x14:dataBar minLength="0" maxLength="100">
              <x14:cfvo type="autoMin"/>
              <x14:cfvo type="autoMax"/>
              <x14:negativeFillColor rgb="FFFF0000"/>
              <x14:axisColor rgb="FF000000"/>
            </x14:dataBar>
          </x14:cfRule>
          <xm:sqref>M38</xm:sqref>
        </x14:conditionalFormatting>
        <x14:conditionalFormatting xmlns:xm="http://schemas.microsoft.com/office/excel/2006/main">
          <x14:cfRule type="dataBar" id="{E31BCE8C-4659-4A40-BC56-16A153978835}">
            <x14:dataBar minLength="0" maxLength="100">
              <x14:cfvo type="autoMin"/>
              <x14:cfvo type="autoMax"/>
              <x14:negativeFillColor rgb="FFFF0000"/>
              <x14:axisColor rgb="FF000000"/>
            </x14:dataBar>
          </x14:cfRule>
          <xm:sqref>M39</xm:sqref>
        </x14:conditionalFormatting>
        <x14:conditionalFormatting xmlns:xm="http://schemas.microsoft.com/office/excel/2006/main">
          <x14:cfRule type="dataBar" id="{1BCA8C87-4657-485B-A4A3-B23EB4579ED2}">
            <x14:dataBar minLength="0" maxLength="100">
              <x14:cfvo type="autoMin"/>
              <x14:cfvo type="autoMax"/>
              <x14:negativeFillColor rgb="FFFF0000"/>
              <x14:axisColor rgb="FF000000"/>
            </x14:dataBar>
          </x14:cfRule>
          <xm:sqref>M37</xm:sqref>
        </x14:conditionalFormatting>
        <x14:conditionalFormatting xmlns:xm="http://schemas.microsoft.com/office/excel/2006/main">
          <x14:cfRule type="dataBar" id="{19D5ABB0-5E36-449C-A053-73F2E8E5CF1A}">
            <x14:dataBar minLength="0" maxLength="100">
              <x14:cfvo type="autoMin"/>
              <x14:cfvo type="autoMax"/>
              <x14:negativeFillColor rgb="FFFF0000"/>
              <x14:axisColor rgb="FF000000"/>
            </x14:dataBar>
          </x14:cfRule>
          <xm:sqref>M36</xm:sqref>
        </x14:conditionalFormatting>
        <x14:conditionalFormatting xmlns:xm="http://schemas.microsoft.com/office/excel/2006/main">
          <x14:cfRule type="dataBar" id="{9BA35AF7-6E39-4074-A932-FBB25803DCBA}">
            <x14:dataBar minLength="0" maxLength="100">
              <x14:cfvo type="autoMin"/>
              <x14:cfvo type="autoMax"/>
              <x14:negativeFillColor rgb="FFFF0000"/>
              <x14:axisColor rgb="FF000000"/>
            </x14:dataBar>
          </x14:cfRule>
          <xm:sqref>M35</xm:sqref>
        </x14:conditionalFormatting>
        <x14:conditionalFormatting xmlns:xm="http://schemas.microsoft.com/office/excel/2006/main">
          <x14:cfRule type="dataBar" id="{D4DE7DFA-653C-4E6B-B561-B8EDB55A7F4F}">
            <x14:dataBar minLength="0" maxLength="100">
              <x14:cfvo type="autoMin"/>
              <x14:cfvo type="autoMax"/>
              <x14:negativeFillColor rgb="FFFF0000"/>
              <x14:axisColor rgb="FF000000"/>
            </x14:dataBar>
          </x14:cfRule>
          <xm:sqref>C49:M49 B48:M48 B57:M59 B50:L56</xm:sqref>
        </x14:conditionalFormatting>
        <x14:conditionalFormatting xmlns:xm="http://schemas.microsoft.com/office/excel/2006/main">
          <x14:cfRule type="dataBar" id="{DAFFF849-69D6-4069-BE9D-1A986C554DC2}">
            <x14:dataBar minLength="0" maxLength="100">
              <x14:cfvo type="autoMin"/>
              <x14:cfvo type="autoMax"/>
              <x14:negativeFillColor rgb="FFFF0000"/>
              <x14:axisColor rgb="FF000000"/>
            </x14:dataBar>
          </x14:cfRule>
          <xm:sqref>M55</xm:sqref>
        </x14:conditionalFormatting>
        <x14:conditionalFormatting xmlns:xm="http://schemas.microsoft.com/office/excel/2006/main">
          <x14:cfRule type="dataBar" id="{08FE16EC-DAA2-4956-9143-B92CC3225E30}">
            <x14:dataBar minLength="0" maxLength="100">
              <x14:cfvo type="autoMin"/>
              <x14:cfvo type="autoMax"/>
              <x14:negativeFillColor rgb="FFFF0000"/>
              <x14:axisColor rgb="FF000000"/>
            </x14:dataBar>
          </x14:cfRule>
          <xm:sqref>M56</xm:sqref>
        </x14:conditionalFormatting>
        <x14:conditionalFormatting xmlns:xm="http://schemas.microsoft.com/office/excel/2006/main">
          <x14:cfRule type="dataBar" id="{6B054156-AC34-49E1-B2BA-5EDFDC3CEB4F}">
            <x14:dataBar minLength="0" maxLength="100">
              <x14:cfvo type="autoMin"/>
              <x14:cfvo type="autoMax"/>
              <x14:negativeFillColor rgb="FFFF0000"/>
              <x14:axisColor rgb="FF000000"/>
            </x14:dataBar>
          </x14:cfRule>
          <xm:sqref>M53</xm:sqref>
        </x14:conditionalFormatting>
        <x14:conditionalFormatting xmlns:xm="http://schemas.microsoft.com/office/excel/2006/main">
          <x14:cfRule type="dataBar" id="{ECC37D74-AB55-4CF0-9D65-4F7ACDBC4936}">
            <x14:dataBar minLength="0" maxLength="100">
              <x14:cfvo type="autoMin"/>
              <x14:cfvo type="autoMax"/>
              <x14:negativeFillColor rgb="FFFF0000"/>
              <x14:axisColor rgb="FF000000"/>
            </x14:dataBar>
          </x14:cfRule>
          <xm:sqref>M54</xm:sqref>
        </x14:conditionalFormatting>
        <x14:conditionalFormatting xmlns:xm="http://schemas.microsoft.com/office/excel/2006/main">
          <x14:cfRule type="dataBar" id="{B75810FD-B3C9-4E24-BEC3-D4D8746A2B4C}">
            <x14:dataBar minLength="0" maxLength="100">
              <x14:cfvo type="autoMin"/>
              <x14:cfvo type="autoMax"/>
              <x14:negativeFillColor rgb="FFFF0000"/>
              <x14:axisColor rgb="FF000000"/>
            </x14:dataBar>
          </x14:cfRule>
          <xm:sqref>M52</xm:sqref>
        </x14:conditionalFormatting>
        <x14:conditionalFormatting xmlns:xm="http://schemas.microsoft.com/office/excel/2006/main">
          <x14:cfRule type="dataBar" id="{914D965B-B4E0-4674-B6D2-46D341C8F0D2}">
            <x14:dataBar minLength="0" maxLength="100">
              <x14:cfvo type="autoMin"/>
              <x14:cfvo type="autoMax"/>
              <x14:negativeFillColor rgb="FFFF0000"/>
              <x14:axisColor rgb="FF000000"/>
            </x14:dataBar>
          </x14:cfRule>
          <xm:sqref>M51</xm:sqref>
        </x14:conditionalFormatting>
        <x14:conditionalFormatting xmlns:xm="http://schemas.microsoft.com/office/excel/2006/main">
          <x14:cfRule type="dataBar" id="{BF14D715-35B2-4AB7-AA2E-66DE1CCFA1EB}">
            <x14:dataBar minLength="0" maxLength="100">
              <x14:cfvo type="autoMin"/>
              <x14:cfvo type="autoMax"/>
              <x14:negativeFillColor rgb="FFFF0000"/>
              <x14:axisColor rgb="FF000000"/>
            </x14:dataBar>
          </x14:cfRule>
          <xm:sqref>M50</xm:sqref>
        </x14:conditionalFormatting>
        <x14:conditionalFormatting xmlns:xm="http://schemas.microsoft.com/office/excel/2006/main">
          <x14:cfRule type="dataBar" id="{662A6F64-CD99-41B3-9ABA-2C3FA2B3BADB}">
            <x14:dataBar minLength="0" maxLength="100">
              <x14:cfvo type="autoMin"/>
              <x14:cfvo type="autoMax"/>
              <x14:negativeFillColor rgb="FFFF0000"/>
              <x14:axisColor rgb="FF000000"/>
            </x14:dataBar>
          </x14:cfRule>
          <xm:sqref>F42</xm:sqref>
        </x14:conditionalFormatting>
        <x14:conditionalFormatting xmlns:xm="http://schemas.microsoft.com/office/excel/2006/main">
          <x14:cfRule type="dataBar" id="{D7AF9082-268B-4B13-B10F-5FDCA66240F1}">
            <x14:dataBar minLength="0" maxLength="100">
              <x14:cfvo type="autoMin"/>
              <x14:cfvo type="autoMax"/>
              <x14:negativeFillColor rgb="FFFF0000"/>
              <x14:axisColor rgb="FF000000"/>
            </x14:dataBar>
          </x14:cfRule>
          <xm:sqref>C64:E64 I65:L71 I72:M74 I63:M64 G64:H64 B63:H63 B65:H74</xm:sqref>
        </x14:conditionalFormatting>
        <x14:conditionalFormatting xmlns:xm="http://schemas.microsoft.com/office/excel/2006/main">
          <x14:cfRule type="dataBar" id="{4E8D4E71-6E35-49F1-AC2D-1906623A0D94}">
            <x14:dataBar minLength="0" maxLength="100">
              <x14:cfvo type="autoMin"/>
              <x14:cfvo type="autoMax"/>
              <x14:negativeFillColor rgb="FFFF0000"/>
              <x14:axisColor rgb="FF000000"/>
            </x14:dataBar>
          </x14:cfRule>
          <xm:sqref>M70</xm:sqref>
        </x14:conditionalFormatting>
        <x14:conditionalFormatting xmlns:xm="http://schemas.microsoft.com/office/excel/2006/main">
          <x14:cfRule type="dataBar" id="{B7FB06A7-E343-4881-BDF2-772695735D75}">
            <x14:dataBar minLength="0" maxLength="100">
              <x14:cfvo type="autoMin"/>
              <x14:cfvo type="autoMax"/>
              <x14:negativeFillColor rgb="FFFF0000"/>
              <x14:axisColor rgb="FF000000"/>
            </x14:dataBar>
          </x14:cfRule>
          <xm:sqref>M71</xm:sqref>
        </x14:conditionalFormatting>
        <x14:conditionalFormatting xmlns:xm="http://schemas.microsoft.com/office/excel/2006/main">
          <x14:cfRule type="dataBar" id="{FD7159A0-1409-4C8D-87C0-5F70355A7DE3}">
            <x14:dataBar minLength="0" maxLength="100">
              <x14:cfvo type="autoMin"/>
              <x14:cfvo type="autoMax"/>
              <x14:negativeFillColor rgb="FFFF0000"/>
              <x14:axisColor rgb="FF000000"/>
            </x14:dataBar>
          </x14:cfRule>
          <xm:sqref>M68</xm:sqref>
        </x14:conditionalFormatting>
        <x14:conditionalFormatting xmlns:xm="http://schemas.microsoft.com/office/excel/2006/main">
          <x14:cfRule type="dataBar" id="{097EF5E5-BDA4-4B90-A457-A4DE2EDCD79E}">
            <x14:dataBar minLength="0" maxLength="100">
              <x14:cfvo type="autoMin"/>
              <x14:cfvo type="autoMax"/>
              <x14:negativeFillColor rgb="FFFF0000"/>
              <x14:axisColor rgb="FF000000"/>
            </x14:dataBar>
          </x14:cfRule>
          <xm:sqref>M69</xm:sqref>
        </x14:conditionalFormatting>
        <x14:conditionalFormatting xmlns:xm="http://schemas.microsoft.com/office/excel/2006/main">
          <x14:cfRule type="dataBar" id="{CDE38F28-5834-41C9-965B-E8A4B041A370}">
            <x14:dataBar minLength="0" maxLength="100">
              <x14:cfvo type="autoMin"/>
              <x14:cfvo type="autoMax"/>
              <x14:negativeFillColor rgb="FFFF0000"/>
              <x14:axisColor rgb="FF000000"/>
            </x14:dataBar>
          </x14:cfRule>
          <xm:sqref>M67</xm:sqref>
        </x14:conditionalFormatting>
        <x14:conditionalFormatting xmlns:xm="http://schemas.microsoft.com/office/excel/2006/main">
          <x14:cfRule type="dataBar" id="{0F371997-27A0-4CF4-85AB-A2636C5FB54A}">
            <x14:dataBar minLength="0" maxLength="100">
              <x14:cfvo type="autoMin"/>
              <x14:cfvo type="autoMax"/>
              <x14:negativeFillColor rgb="FFFF0000"/>
              <x14:axisColor rgb="FF000000"/>
            </x14:dataBar>
          </x14:cfRule>
          <xm:sqref>M66</xm:sqref>
        </x14:conditionalFormatting>
        <x14:conditionalFormatting xmlns:xm="http://schemas.microsoft.com/office/excel/2006/main">
          <x14:cfRule type="dataBar" id="{0FEEC030-284E-4787-BF92-9EAF5659535D}">
            <x14:dataBar minLength="0" maxLength="100">
              <x14:cfvo type="autoMin"/>
              <x14:cfvo type="autoMax"/>
              <x14:negativeFillColor rgb="FFFF0000"/>
              <x14:axisColor rgb="FF000000"/>
            </x14:dataBar>
          </x14:cfRule>
          <xm:sqref>M65</xm:sqref>
        </x14:conditionalFormatting>
        <x14:conditionalFormatting xmlns:xm="http://schemas.microsoft.com/office/excel/2006/main">
          <x14:cfRule type="dataBar" id="{3E511246-5EDA-4B3B-B443-C3E29F87A44C}">
            <x14:dataBar minLength="0" maxLength="100">
              <x14:cfvo type="autoMin"/>
              <x14:cfvo type="autoMax"/>
              <x14:negativeFillColor rgb="FFFF0000"/>
              <x14:axisColor rgb="FF000000"/>
            </x14:dataBar>
          </x14:cfRule>
          <xm:sqref>C79:E79 I83:L86 I87:M89 G79:H79 B78:M78 B80:H89 J79:M79 J80:L82 I79:I82</xm:sqref>
        </x14:conditionalFormatting>
        <x14:conditionalFormatting xmlns:xm="http://schemas.microsoft.com/office/excel/2006/main">
          <x14:cfRule type="dataBar" id="{FD19ECD7-D4C6-4D2D-AE8C-3268C60987EE}">
            <x14:dataBar minLength="0" maxLength="100">
              <x14:cfvo type="autoMin"/>
              <x14:cfvo type="autoMax"/>
              <x14:negativeFillColor rgb="FFFF0000"/>
              <x14:axisColor rgb="FF000000"/>
            </x14:dataBar>
          </x14:cfRule>
          <xm:sqref>M85</xm:sqref>
        </x14:conditionalFormatting>
        <x14:conditionalFormatting xmlns:xm="http://schemas.microsoft.com/office/excel/2006/main">
          <x14:cfRule type="dataBar" id="{509A64BA-E502-40A5-98A3-ECEFDEAE6533}">
            <x14:dataBar minLength="0" maxLength="100">
              <x14:cfvo type="autoMin"/>
              <x14:cfvo type="autoMax"/>
              <x14:negativeFillColor rgb="FFFF0000"/>
              <x14:axisColor rgb="FF000000"/>
            </x14:dataBar>
          </x14:cfRule>
          <xm:sqref>M86</xm:sqref>
        </x14:conditionalFormatting>
        <x14:conditionalFormatting xmlns:xm="http://schemas.microsoft.com/office/excel/2006/main">
          <x14:cfRule type="dataBar" id="{79CA0384-B958-443B-AB34-484BEAE43247}">
            <x14:dataBar minLength="0" maxLength="100">
              <x14:cfvo type="autoMin"/>
              <x14:cfvo type="autoMax"/>
              <x14:negativeFillColor rgb="FFFF0000"/>
              <x14:axisColor rgb="FF000000"/>
            </x14:dataBar>
          </x14:cfRule>
          <xm:sqref>M83</xm:sqref>
        </x14:conditionalFormatting>
        <x14:conditionalFormatting xmlns:xm="http://schemas.microsoft.com/office/excel/2006/main">
          <x14:cfRule type="dataBar" id="{6FA7ECBA-370B-4F53-9599-91E4068B0AA4}">
            <x14:dataBar minLength="0" maxLength="100">
              <x14:cfvo type="autoMin"/>
              <x14:cfvo type="autoMax"/>
              <x14:negativeFillColor rgb="FFFF0000"/>
              <x14:axisColor rgb="FF000000"/>
            </x14:dataBar>
          </x14:cfRule>
          <xm:sqref>M84</xm:sqref>
        </x14:conditionalFormatting>
        <x14:conditionalFormatting xmlns:xm="http://schemas.microsoft.com/office/excel/2006/main">
          <x14:cfRule type="dataBar" id="{B2D01E22-D7C6-4524-85BD-7F78719AB924}">
            <x14:dataBar minLength="0" maxLength="100">
              <x14:cfvo type="autoMin"/>
              <x14:cfvo type="autoMax"/>
              <x14:negativeFillColor rgb="FFFF0000"/>
              <x14:axisColor rgb="FF000000"/>
            </x14:dataBar>
          </x14:cfRule>
          <xm:sqref>M82</xm:sqref>
        </x14:conditionalFormatting>
        <x14:conditionalFormatting xmlns:xm="http://schemas.microsoft.com/office/excel/2006/main">
          <x14:cfRule type="dataBar" id="{F6FEF3CA-D627-41DB-83B2-E91FD8304E51}">
            <x14:dataBar minLength="0" maxLength="100">
              <x14:cfvo type="autoMin"/>
              <x14:cfvo type="autoMax"/>
              <x14:negativeFillColor rgb="FFFF0000"/>
              <x14:axisColor rgb="FF000000"/>
            </x14:dataBar>
          </x14:cfRule>
          <xm:sqref>M81</xm:sqref>
        </x14:conditionalFormatting>
        <x14:conditionalFormatting xmlns:xm="http://schemas.microsoft.com/office/excel/2006/main">
          <x14:cfRule type="dataBar" id="{1794D752-7915-4BE8-9B8B-EFB2CC10EDD2}">
            <x14:dataBar minLength="0" maxLength="100">
              <x14:cfvo type="autoMin"/>
              <x14:cfvo type="autoMax"/>
              <x14:negativeFillColor rgb="FFFF0000"/>
              <x14:axisColor rgb="FF000000"/>
            </x14:dataBar>
          </x14:cfRule>
          <xm:sqref>M80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655F9-5F76-458D-9B3F-FD3D87B5CC9E}">
  <sheetPr codeName="Planilha15"/>
  <dimension ref="A1:DL307"/>
  <sheetViews>
    <sheetView showGridLines="0" zoomScale="85" zoomScaleNormal="85" workbookViewId="0">
      <pane xSplit="12" ySplit="5" topLeftCell="AG6" activePane="bottomRight" state="frozen"/>
      <selection pane="topRight" activeCell="K1" sqref="K1"/>
      <selection pane="bottomLeft" activeCell="A6" sqref="A6"/>
      <selection pane="bottomRight" activeCell="M4" sqref="M4:AZ4"/>
    </sheetView>
  </sheetViews>
  <sheetFormatPr defaultRowHeight="14.4" x14ac:dyDescent="0.3"/>
  <cols>
    <col min="1" max="1" width="1.6640625" customWidth="1"/>
    <col min="2" max="2" width="4" bestFit="1" customWidth="1"/>
    <col min="3" max="3" width="37.21875" customWidth="1"/>
    <col min="4" max="4" width="17.33203125" customWidth="1"/>
    <col min="5" max="5" width="10.33203125" customWidth="1"/>
    <col min="6" max="6" width="9.44140625" bestFit="1" customWidth="1"/>
    <col min="7" max="7" width="11.6640625" hidden="1" customWidth="1"/>
    <col min="8" max="8" width="10.5546875" hidden="1" customWidth="1"/>
    <col min="9" max="9" width="7.88671875" customWidth="1"/>
    <col min="10" max="10" width="12.21875" bestFit="1" customWidth="1"/>
    <col min="11" max="11" width="9.33203125" customWidth="1"/>
    <col min="12" max="12" width="1.44140625" customWidth="1"/>
    <col min="13" max="39" width="5.44140625" style="99" customWidth="1"/>
    <col min="40" max="40" width="6" style="99" bestFit="1" customWidth="1"/>
    <col min="41" max="65" width="5.44140625" style="99" customWidth="1"/>
    <col min="66" max="68" width="6" style="99" bestFit="1" customWidth="1"/>
    <col min="69" max="116" width="5.44140625" style="99" customWidth="1"/>
  </cols>
  <sheetData>
    <row r="1" spans="1:116" ht="8.4" customHeight="1" x14ac:dyDescent="0.3">
      <c r="A1" s="39"/>
      <c r="B1" s="40"/>
      <c r="C1" s="60"/>
      <c r="D1" s="61"/>
      <c r="E1" s="61"/>
      <c r="F1" s="62"/>
      <c r="G1" s="40"/>
      <c r="H1" s="40"/>
      <c r="I1" s="40"/>
      <c r="J1" s="40"/>
      <c r="K1" s="40"/>
      <c r="L1" s="40"/>
      <c r="M1" s="63"/>
      <c r="N1" s="63"/>
      <c r="O1" s="63"/>
      <c r="P1" s="63"/>
      <c r="Q1" s="63"/>
      <c r="R1" s="63"/>
      <c r="S1" s="63"/>
      <c r="T1" s="63"/>
      <c r="U1" s="63"/>
      <c r="V1" s="63"/>
      <c r="W1" s="63"/>
      <c r="X1" s="63"/>
      <c r="Y1" s="63"/>
      <c r="Z1" s="63"/>
      <c r="AA1" s="63"/>
      <c r="AB1" s="63"/>
      <c r="AC1" s="63"/>
      <c r="AD1" s="63"/>
      <c r="AE1" s="63"/>
      <c r="AF1" s="63"/>
      <c r="AG1" s="63"/>
      <c r="AH1" s="63"/>
      <c r="AI1" s="63"/>
      <c r="AJ1" s="63"/>
      <c r="AK1" s="63"/>
      <c r="AL1" s="63"/>
      <c r="AM1" s="63"/>
      <c r="AN1" s="63"/>
      <c r="AO1" s="63"/>
      <c r="AP1" s="63"/>
      <c r="AQ1" s="63"/>
      <c r="AR1" s="63"/>
      <c r="AS1" s="63"/>
      <c r="AT1" s="63"/>
      <c r="AU1" s="63"/>
      <c r="AV1" s="63"/>
      <c r="AW1" s="63"/>
      <c r="AX1" s="63"/>
      <c r="AY1" s="63"/>
      <c r="AZ1" s="63"/>
      <c r="BA1" s="63"/>
      <c r="BB1" s="63"/>
      <c r="BC1" s="63"/>
      <c r="BD1" s="63"/>
      <c r="BE1" s="63"/>
      <c r="BF1" s="63"/>
      <c r="BG1" s="63"/>
      <c r="BH1" s="63"/>
      <c r="BI1" s="63"/>
      <c r="BJ1" s="63"/>
      <c r="BK1" s="63"/>
      <c r="BL1" s="63"/>
      <c r="BM1" s="63"/>
      <c r="BN1" s="63"/>
      <c r="BO1" s="63"/>
      <c r="BP1" s="63"/>
      <c r="BQ1" s="63"/>
      <c r="BR1" s="63"/>
      <c r="BS1" s="63"/>
      <c r="BT1" s="63"/>
      <c r="BU1" s="63"/>
      <c r="BV1" s="63"/>
      <c r="BW1" s="63"/>
      <c r="BX1" s="63"/>
      <c r="BY1" s="63"/>
      <c r="BZ1" s="63"/>
      <c r="CA1" s="63"/>
      <c r="CB1" s="63"/>
      <c r="CC1" s="63"/>
      <c r="CD1" s="63"/>
      <c r="CE1" s="63"/>
      <c r="CF1" s="63"/>
      <c r="CG1" s="63"/>
      <c r="CH1" s="63"/>
      <c r="CI1" s="63"/>
      <c r="CJ1" s="63"/>
      <c r="CK1" s="63"/>
      <c r="CL1" s="63"/>
      <c r="CM1" s="63"/>
      <c r="CN1" s="63"/>
      <c r="CO1" s="63"/>
      <c r="CP1" s="63"/>
      <c r="CQ1" s="63"/>
      <c r="CR1" s="63"/>
      <c r="CS1" s="63"/>
      <c r="CT1" s="63"/>
      <c r="CU1" s="63"/>
      <c r="CV1" s="63"/>
      <c r="CW1" s="63"/>
      <c r="CX1" s="63"/>
      <c r="CY1" s="63"/>
      <c r="CZ1" s="63"/>
      <c r="DA1" s="63"/>
      <c r="DB1" s="63"/>
      <c r="DC1" s="63"/>
      <c r="DD1" s="63"/>
      <c r="DE1" s="63"/>
      <c r="DF1" s="63"/>
      <c r="DG1" s="63"/>
      <c r="DH1" s="63"/>
      <c r="DI1" s="63"/>
      <c r="DJ1" s="63"/>
      <c r="DK1" s="63"/>
      <c r="DL1" s="63"/>
    </row>
    <row r="2" spans="1:116" ht="23.4" x14ac:dyDescent="0.3">
      <c r="A2" s="41"/>
      <c r="B2" s="42"/>
      <c r="C2" s="43" t="s">
        <v>424</v>
      </c>
      <c r="D2" s="156" t="s">
        <v>368</v>
      </c>
      <c r="E2" s="156"/>
      <c r="F2" s="155" t="s">
        <v>443</v>
      </c>
      <c r="G2" s="155"/>
      <c r="H2" s="155"/>
      <c r="I2" s="155"/>
      <c r="J2" s="64">
        <v>3</v>
      </c>
      <c r="K2" s="40"/>
      <c r="L2" s="44"/>
      <c r="M2" s="153">
        <f>M3</f>
        <v>45814</v>
      </c>
      <c r="N2" s="154"/>
      <c r="O2" s="154"/>
      <c r="P2" s="154"/>
      <c r="Q2" s="153">
        <f>Q3</f>
        <v>45835</v>
      </c>
      <c r="R2" s="154"/>
      <c r="S2" s="154"/>
      <c r="T2" s="154"/>
      <c r="U2" s="153">
        <f t="shared" ref="U2" si="0">U3</f>
        <v>45863</v>
      </c>
      <c r="V2" s="154"/>
      <c r="W2" s="154"/>
      <c r="X2" s="154"/>
      <c r="Y2" s="153">
        <f t="shared" ref="Y2" si="1">Y3</f>
        <v>45884</v>
      </c>
      <c r="Z2" s="154"/>
      <c r="AA2" s="154"/>
      <c r="AB2" s="154"/>
      <c r="AC2" s="153">
        <f t="shared" ref="AC2" si="2">AC3</f>
        <v>45905</v>
      </c>
      <c r="AD2" s="154"/>
      <c r="AE2" s="154"/>
      <c r="AF2" s="154"/>
      <c r="AG2" s="153">
        <f t="shared" ref="AG2" si="3">AG3</f>
        <v>45926</v>
      </c>
      <c r="AH2" s="154"/>
      <c r="AI2" s="154"/>
      <c r="AJ2" s="154"/>
      <c r="AK2" s="153">
        <f t="shared" ref="AK2" si="4">AK3</f>
        <v>45954</v>
      </c>
      <c r="AL2" s="154"/>
      <c r="AM2" s="154"/>
      <c r="AN2" s="154"/>
      <c r="AO2" s="153">
        <f t="shared" ref="AO2" si="5">AO3</f>
        <v>45975</v>
      </c>
      <c r="AP2" s="154"/>
      <c r="AQ2" s="154"/>
      <c r="AR2" s="154"/>
      <c r="AS2" s="153">
        <f t="shared" ref="AS2" si="6">AS3</f>
        <v>45996</v>
      </c>
      <c r="AT2" s="154"/>
      <c r="AU2" s="154"/>
      <c r="AV2" s="154"/>
      <c r="AW2" s="153">
        <f t="shared" ref="AW2" si="7">AW3</f>
        <v>46017</v>
      </c>
      <c r="AX2" s="154"/>
      <c r="AY2" s="154"/>
      <c r="AZ2" s="154"/>
      <c r="BA2" s="153">
        <f t="shared" ref="BA2" si="8">BA3</f>
        <v>46045</v>
      </c>
      <c r="BB2" s="154"/>
      <c r="BC2" s="154"/>
      <c r="BD2" s="154"/>
      <c r="BE2" s="153">
        <f t="shared" ref="BE2" si="9">BE3</f>
        <v>46066</v>
      </c>
      <c r="BF2" s="154"/>
      <c r="BG2" s="154"/>
      <c r="BH2" s="154"/>
      <c r="BI2" s="153">
        <f t="shared" ref="BI2" si="10">BI3</f>
        <v>46087</v>
      </c>
      <c r="BJ2" s="154"/>
      <c r="BK2" s="154"/>
      <c r="BL2" s="154"/>
      <c r="BM2" s="153">
        <f t="shared" ref="BM2" si="11">BM3</f>
        <v>46108</v>
      </c>
      <c r="BN2" s="154"/>
      <c r="BO2" s="154"/>
      <c r="BP2" s="154"/>
      <c r="BQ2" s="153">
        <f t="shared" ref="BQ2" si="12">BQ3</f>
        <v>46136</v>
      </c>
      <c r="BR2" s="154"/>
      <c r="BS2" s="154"/>
      <c r="BT2" s="154"/>
      <c r="BU2" s="153">
        <f t="shared" ref="BU2" si="13">BU3</f>
        <v>46157</v>
      </c>
      <c r="BV2" s="154"/>
      <c r="BW2" s="154"/>
      <c r="BX2" s="154"/>
      <c r="BY2" s="153">
        <f t="shared" ref="BY2" si="14">BY3</f>
        <v>46178</v>
      </c>
      <c r="BZ2" s="154"/>
      <c r="CA2" s="154"/>
      <c r="CB2" s="154"/>
      <c r="CC2" s="153">
        <f t="shared" ref="CC2" si="15">CC3</f>
        <v>46199</v>
      </c>
      <c r="CD2" s="154"/>
      <c r="CE2" s="154"/>
      <c r="CF2" s="154"/>
      <c r="CG2" s="153">
        <f t="shared" ref="CG2" si="16">CG3</f>
        <v>46227</v>
      </c>
      <c r="CH2" s="154"/>
      <c r="CI2" s="154"/>
      <c r="CJ2" s="154"/>
      <c r="CK2" s="153">
        <f t="shared" ref="CK2" si="17">CK3</f>
        <v>46248</v>
      </c>
      <c r="CL2" s="154"/>
      <c r="CM2" s="154"/>
      <c r="CN2" s="154"/>
      <c r="CO2" s="153">
        <f t="shared" ref="CO2" si="18">CO3</f>
        <v>46269</v>
      </c>
      <c r="CP2" s="154"/>
      <c r="CQ2" s="154"/>
      <c r="CR2" s="154"/>
      <c r="CS2" s="153">
        <f t="shared" ref="CS2" si="19">CS3</f>
        <v>46290</v>
      </c>
      <c r="CT2" s="154"/>
      <c r="CU2" s="154"/>
      <c r="CV2" s="154"/>
      <c r="CW2" s="153">
        <f t="shared" ref="CW2" si="20">CW3</f>
        <v>46318</v>
      </c>
      <c r="CX2" s="154"/>
      <c r="CY2" s="154"/>
      <c r="CZ2" s="154"/>
      <c r="DA2" s="153">
        <f t="shared" ref="DA2" si="21">DA3</f>
        <v>46339</v>
      </c>
      <c r="DB2" s="154"/>
      <c r="DC2" s="154"/>
      <c r="DD2" s="154"/>
      <c r="DE2" s="153">
        <f t="shared" ref="DE2" si="22">DE3</f>
        <v>46360</v>
      </c>
      <c r="DF2" s="154"/>
      <c r="DG2" s="154"/>
      <c r="DH2" s="154"/>
      <c r="DI2" s="153">
        <f t="shared" ref="DI2" si="23">DI3</f>
        <v>46381</v>
      </c>
      <c r="DJ2" s="154"/>
      <c r="DK2" s="154"/>
      <c r="DL2" s="154"/>
    </row>
    <row r="3" spans="1:116" x14ac:dyDescent="0.3">
      <c r="A3" s="39"/>
      <c r="B3" s="40"/>
      <c r="C3" s="45" t="s">
        <v>444</v>
      </c>
      <c r="D3" s="46">
        <v>45796</v>
      </c>
      <c r="E3" s="65"/>
      <c r="F3" s="155" t="s">
        <v>445</v>
      </c>
      <c r="G3" s="155"/>
      <c r="H3" s="155"/>
      <c r="I3" s="155"/>
      <c r="J3" s="66">
        <v>5</v>
      </c>
      <c r="K3" s="40"/>
      <c r="L3" s="47"/>
      <c r="M3" s="148">
        <f>P5</f>
        <v>45814</v>
      </c>
      <c r="N3" s="149"/>
      <c r="O3" s="149"/>
      <c r="P3" s="149"/>
      <c r="Q3" s="148">
        <f>T5</f>
        <v>45835</v>
      </c>
      <c r="R3" s="149"/>
      <c r="S3" s="149"/>
      <c r="T3" s="149"/>
      <c r="U3" s="148">
        <f>X5</f>
        <v>45863</v>
      </c>
      <c r="V3" s="149"/>
      <c r="W3" s="149"/>
      <c r="X3" s="149"/>
      <c r="Y3" s="148">
        <f>AB5</f>
        <v>45884</v>
      </c>
      <c r="Z3" s="149"/>
      <c r="AA3" s="149"/>
      <c r="AB3" s="149"/>
      <c r="AC3" s="148">
        <f t="shared" ref="AC3" si="24">AF5</f>
        <v>45905</v>
      </c>
      <c r="AD3" s="149"/>
      <c r="AE3" s="149"/>
      <c r="AF3" s="149"/>
      <c r="AG3" s="148">
        <f t="shared" ref="AG3" si="25">AJ5</f>
        <v>45926</v>
      </c>
      <c r="AH3" s="149"/>
      <c r="AI3" s="149"/>
      <c r="AJ3" s="149"/>
      <c r="AK3" s="148">
        <f t="shared" ref="AK3" si="26">AN5</f>
        <v>45954</v>
      </c>
      <c r="AL3" s="149"/>
      <c r="AM3" s="149"/>
      <c r="AN3" s="149"/>
      <c r="AO3" s="148">
        <f t="shared" ref="AO3" si="27">AR5</f>
        <v>45975</v>
      </c>
      <c r="AP3" s="149"/>
      <c r="AQ3" s="149"/>
      <c r="AR3" s="149"/>
      <c r="AS3" s="148">
        <f>AV5</f>
        <v>45996</v>
      </c>
      <c r="AT3" s="149"/>
      <c r="AU3" s="149"/>
      <c r="AV3" s="149"/>
      <c r="AW3" s="148">
        <f>AZ5</f>
        <v>46017</v>
      </c>
      <c r="AX3" s="149"/>
      <c r="AY3" s="149"/>
      <c r="AZ3" s="149"/>
      <c r="BA3" s="148">
        <f t="shared" ref="BA3" si="28">BD5</f>
        <v>46045</v>
      </c>
      <c r="BB3" s="149"/>
      <c r="BC3" s="149"/>
      <c r="BD3" s="149"/>
      <c r="BE3" s="148">
        <f t="shared" ref="BE3" si="29">BH5</f>
        <v>46066</v>
      </c>
      <c r="BF3" s="149"/>
      <c r="BG3" s="149"/>
      <c r="BH3" s="149"/>
      <c r="BI3" s="148">
        <f t="shared" ref="BI3" si="30">BL5</f>
        <v>46087</v>
      </c>
      <c r="BJ3" s="149"/>
      <c r="BK3" s="149"/>
      <c r="BL3" s="150"/>
      <c r="BM3" s="148">
        <f t="shared" ref="BM3" si="31">BP5</f>
        <v>46108</v>
      </c>
      <c r="BN3" s="149"/>
      <c r="BO3" s="149"/>
      <c r="BP3" s="149"/>
      <c r="BQ3" s="148">
        <f t="shared" ref="BQ3" si="32">BT5</f>
        <v>46136</v>
      </c>
      <c r="BR3" s="149"/>
      <c r="BS3" s="149"/>
      <c r="BT3" s="149"/>
      <c r="BU3" s="148">
        <f t="shared" ref="BU3" si="33">BX5</f>
        <v>46157</v>
      </c>
      <c r="BV3" s="149"/>
      <c r="BW3" s="149"/>
      <c r="BX3" s="150"/>
      <c r="BY3" s="148">
        <f t="shared" ref="BY3" si="34">CB5</f>
        <v>46178</v>
      </c>
      <c r="BZ3" s="149"/>
      <c r="CA3" s="149"/>
      <c r="CB3" s="149"/>
      <c r="CC3" s="148">
        <f t="shared" ref="CC3" si="35">CF5</f>
        <v>46199</v>
      </c>
      <c r="CD3" s="149"/>
      <c r="CE3" s="149"/>
      <c r="CF3" s="149"/>
      <c r="CG3" s="148">
        <f t="shared" ref="CG3" si="36">CJ5</f>
        <v>46227</v>
      </c>
      <c r="CH3" s="149"/>
      <c r="CI3" s="149"/>
      <c r="CJ3" s="150"/>
      <c r="CK3" s="148">
        <f t="shared" ref="CK3" si="37">CN5</f>
        <v>46248</v>
      </c>
      <c r="CL3" s="149"/>
      <c r="CM3" s="149"/>
      <c r="CN3" s="149"/>
      <c r="CO3" s="148">
        <f t="shared" ref="CO3" si="38">CR5</f>
        <v>46269</v>
      </c>
      <c r="CP3" s="149"/>
      <c r="CQ3" s="149"/>
      <c r="CR3" s="149"/>
      <c r="CS3" s="67">
        <f t="shared" ref="CS3" si="39">CV5</f>
        <v>46290</v>
      </c>
      <c r="CT3" s="68"/>
      <c r="CU3" s="68"/>
      <c r="CV3" s="68"/>
      <c r="CW3" s="148">
        <f t="shared" ref="CW3" si="40">CZ5</f>
        <v>46318</v>
      </c>
      <c r="CX3" s="149"/>
      <c r="CY3" s="149"/>
      <c r="CZ3" s="149"/>
      <c r="DA3" s="148">
        <f t="shared" ref="DA3" si="41">DD5</f>
        <v>46339</v>
      </c>
      <c r="DB3" s="149"/>
      <c r="DC3" s="149"/>
      <c r="DD3" s="149"/>
      <c r="DE3" s="148">
        <f t="shared" ref="DE3" si="42">DH5</f>
        <v>46360</v>
      </c>
      <c r="DF3" s="149"/>
      <c r="DG3" s="149"/>
      <c r="DH3" s="150"/>
      <c r="DI3" s="148">
        <f t="shared" ref="DI3" si="43">DL5</f>
        <v>46381</v>
      </c>
      <c r="DJ3" s="149"/>
      <c r="DK3" s="149"/>
      <c r="DL3" s="149"/>
    </row>
    <row r="4" spans="1:116" ht="23.4" x14ac:dyDescent="0.3">
      <c r="A4" s="39"/>
      <c r="B4" s="47"/>
      <c r="C4" s="43"/>
      <c r="D4" s="151"/>
      <c r="E4" s="151"/>
      <c r="F4" s="151"/>
      <c r="G4" s="152"/>
      <c r="H4" s="152"/>
      <c r="I4" s="151"/>
      <c r="J4" s="48"/>
      <c r="K4" s="69" t="s">
        <v>446</v>
      </c>
      <c r="L4" s="47"/>
      <c r="M4" s="145" t="str" cm="1">
        <f t="array" ref="M4">NomeSprintDinamico(QUOTIENT(COLUMN()-COLUMN($M$4),4)+1,$D$2)</f>
        <v>R2 S3</v>
      </c>
      <c r="N4" s="146"/>
      <c r="O4" s="146"/>
      <c r="P4" s="147"/>
      <c r="Q4" s="145" t="str" cm="1">
        <f t="array" ref="Q4">NomeSprintDinamico(QUOTIENT(COLUMN()-COLUMN($M$4),4)+1,$D$2)</f>
        <v>R2 S4</v>
      </c>
      <c r="R4" s="146"/>
      <c r="S4" s="146"/>
      <c r="T4" s="147"/>
      <c r="U4" s="145" t="str" cm="1">
        <f t="array" ref="U4">NomeSprintDinamico(QUOTIENT(COLUMN()-COLUMN($M$4),4)+1,$D$2)</f>
        <v>R3 S1</v>
      </c>
      <c r="V4" s="146"/>
      <c r="W4" s="146"/>
      <c r="X4" s="147"/>
      <c r="Y4" s="145" t="str" cm="1">
        <f t="array" ref="Y4">NomeSprintDinamico(QUOTIENT(COLUMN()-COLUMN($M$4),4)+1,$D$2)</f>
        <v>R3 S2</v>
      </c>
      <c r="Z4" s="146"/>
      <c r="AA4" s="146"/>
      <c r="AB4" s="147"/>
      <c r="AC4" s="145" t="str" cm="1">
        <f t="array" ref="AC4">NomeSprintDinamico(QUOTIENT(COLUMN()-COLUMN($M$4),4)+1,$D$2)</f>
        <v>R3 S3</v>
      </c>
      <c r="AD4" s="146"/>
      <c r="AE4" s="146"/>
      <c r="AF4" s="147"/>
      <c r="AG4" s="145" t="str" cm="1">
        <f t="array" ref="AG4">NomeSprintDinamico(QUOTIENT(COLUMN()-COLUMN($M$4),4)+1,$D$2)</f>
        <v>R3 S4</v>
      </c>
      <c r="AH4" s="146"/>
      <c r="AI4" s="146"/>
      <c r="AJ4" s="147"/>
      <c r="AK4" s="145" t="str" cm="1">
        <f t="array" ref="AK4">NomeSprintDinamico(QUOTIENT(COLUMN()-COLUMN($M$4),4)+1,$D$2)</f>
        <v>R4 S1</v>
      </c>
      <c r="AL4" s="146"/>
      <c r="AM4" s="146"/>
      <c r="AN4" s="147"/>
      <c r="AO4" s="145" t="str" cm="1">
        <f t="array" ref="AO4">NomeSprintDinamico(QUOTIENT(COLUMN()-COLUMN($M$4),4)+1,$D$2)</f>
        <v>R4 S2</v>
      </c>
      <c r="AP4" s="146"/>
      <c r="AQ4" s="146"/>
      <c r="AR4" s="147"/>
      <c r="AS4" s="145" t="str" cm="1">
        <f t="array" ref="AS4">NomeSprintDinamico(QUOTIENT(COLUMN()-COLUMN($M$4),4)+1,$D$2)</f>
        <v>R4 S3</v>
      </c>
      <c r="AT4" s="146"/>
      <c r="AU4" s="146"/>
      <c r="AV4" s="147"/>
      <c r="AW4" s="145" t="str" cm="1">
        <f t="array" ref="AW4">NomeSprintDinamico(QUOTIENT(COLUMN()-COLUMN($M$4),4)+1,$D$2)</f>
        <v>R4 S4</v>
      </c>
      <c r="AX4" s="146"/>
      <c r="AY4" s="146"/>
      <c r="AZ4" s="147"/>
      <c r="BA4" s="145" t="str" cm="1">
        <f t="array" ref="BA4">NomeSprintDinamico(QUOTIENT(COLUMN()-COLUMN($M$4),4)+1,$D$2)</f>
        <v>R1 S1</v>
      </c>
      <c r="BB4" s="146"/>
      <c r="BC4" s="146"/>
      <c r="BD4" s="147"/>
      <c r="BE4" s="145" t="str" cm="1">
        <f t="array" ref="BE4">NomeSprintDinamico(QUOTIENT(COLUMN()-COLUMN($M$4),4)+1,$D$2)</f>
        <v>R1 S2</v>
      </c>
      <c r="BF4" s="146"/>
      <c r="BG4" s="146"/>
      <c r="BH4" s="147"/>
      <c r="BI4" s="145" t="str" cm="1">
        <f t="array" ref="BI4">NomeSprintDinamico(QUOTIENT(COLUMN()-COLUMN($M$4),4)+1,$D$2)</f>
        <v>R1 S3</v>
      </c>
      <c r="BJ4" s="146"/>
      <c r="BK4" s="146"/>
      <c r="BL4" s="147"/>
      <c r="BM4" s="145" t="str" cm="1">
        <f t="array" ref="BM4">NomeSprintDinamico(QUOTIENT(COLUMN()-COLUMN($M$4),4)+1,$D$2)</f>
        <v>R1 S4</v>
      </c>
      <c r="BN4" s="146"/>
      <c r="BO4" s="146"/>
      <c r="BP4" s="147"/>
      <c r="BQ4" s="145" t="str" cm="1">
        <f t="array" ref="BQ4">NomeSprintDinamico(QUOTIENT(COLUMN()-COLUMN($M$4),4)+1,$D$2)</f>
        <v>R2 S1</v>
      </c>
      <c r="BR4" s="146"/>
      <c r="BS4" s="146"/>
      <c r="BT4" s="147"/>
      <c r="BU4" s="145" t="str" cm="1">
        <f t="array" ref="BU4">NomeSprintDinamico(QUOTIENT(COLUMN()-COLUMN($M$4),4)+1,$D$2)</f>
        <v>R2 S2</v>
      </c>
      <c r="BV4" s="146"/>
      <c r="BW4" s="146"/>
      <c r="BX4" s="147"/>
      <c r="BY4" s="145" t="str" cm="1">
        <f t="array" ref="BY4">NomeSprintDinamico(QUOTIENT(COLUMN()-COLUMN($M$4),4)+1,$D$2)</f>
        <v>R2 S3</v>
      </c>
      <c r="BZ4" s="146"/>
      <c r="CA4" s="146"/>
      <c r="CB4" s="147"/>
      <c r="CC4" s="145" t="str" cm="1">
        <f t="array" ref="CC4">NomeSprintDinamico(QUOTIENT(COLUMN()-COLUMN($M$4),4)+1,$D$2)</f>
        <v>R2 S4</v>
      </c>
      <c r="CD4" s="146"/>
      <c r="CE4" s="146"/>
      <c r="CF4" s="147"/>
      <c r="CG4" s="145" t="str" cm="1">
        <f t="array" ref="CG4">NomeSprintDinamico(QUOTIENT(COLUMN()-COLUMN($M$4),4)+1,$D$2)</f>
        <v>R3 S1</v>
      </c>
      <c r="CH4" s="146"/>
      <c r="CI4" s="146"/>
      <c r="CJ4" s="147"/>
      <c r="CK4" s="145" t="str" cm="1">
        <f t="array" ref="CK4">NomeSprintDinamico(QUOTIENT(COLUMN()-COLUMN($M$4),4)+1,$D$2)</f>
        <v>R3 S2</v>
      </c>
      <c r="CL4" s="146"/>
      <c r="CM4" s="146"/>
      <c r="CN4" s="147"/>
      <c r="CO4" s="145" t="str" cm="1">
        <f t="array" ref="CO4">NomeSprintDinamico(QUOTIENT(COLUMN()-COLUMN($M$4),4)+1,$D$2)</f>
        <v>R3 S3</v>
      </c>
      <c r="CP4" s="146"/>
      <c r="CQ4" s="146"/>
      <c r="CR4" s="147"/>
      <c r="CS4" s="145" t="str" cm="1">
        <f t="array" ref="CS4">NomeSprintDinamico(QUOTIENT(COLUMN()-COLUMN($M$4),4)+1,$D$2)</f>
        <v>R3 S4</v>
      </c>
      <c r="CT4" s="146"/>
      <c r="CU4" s="146"/>
      <c r="CV4" s="147"/>
      <c r="CW4" s="145" t="str" cm="1">
        <f t="array" ref="CW4">NomeSprintDinamico(QUOTIENT(COLUMN()-COLUMN($M$4),4)+1,$D$2)</f>
        <v>R4 S1</v>
      </c>
      <c r="CX4" s="146"/>
      <c r="CY4" s="146"/>
      <c r="CZ4" s="147"/>
      <c r="DA4" s="145" t="str" cm="1">
        <f t="array" ref="DA4">NomeSprintDinamico(QUOTIENT(COLUMN()-COLUMN($M$4),4)+1,$D$2)</f>
        <v>R4 S2</v>
      </c>
      <c r="DB4" s="146"/>
      <c r="DC4" s="146"/>
      <c r="DD4" s="147"/>
      <c r="DE4" s="145" t="str" cm="1">
        <f t="array" ref="DE4">NomeSprintDinamico(QUOTIENT(COLUMN()-COLUMN($M$4),4)+1,$D$2)</f>
        <v>R4 S3</v>
      </c>
      <c r="DF4" s="146"/>
      <c r="DG4" s="146"/>
      <c r="DH4" s="147"/>
      <c r="DI4" s="145" t="str" cm="1">
        <f t="array" ref="DI4">NomeSprintDinamico(QUOTIENT(COLUMN()-COLUMN($M$4),4)+1,$D$2)</f>
        <v>R4 S4</v>
      </c>
      <c r="DJ4" s="146"/>
      <c r="DK4" s="146"/>
      <c r="DL4" s="147"/>
    </row>
    <row r="5" spans="1:116" ht="19.95" customHeight="1" x14ac:dyDescent="0.3">
      <c r="A5" s="49"/>
      <c r="B5" s="70" t="s">
        <v>425</v>
      </c>
      <c r="C5" s="71" t="s">
        <v>290</v>
      </c>
      <c r="D5" s="72" t="s">
        <v>192</v>
      </c>
      <c r="E5" s="72" t="s">
        <v>426</v>
      </c>
      <c r="F5" s="72" t="s">
        <v>427</v>
      </c>
      <c r="G5" s="73" t="s">
        <v>447</v>
      </c>
      <c r="H5" s="73" t="s">
        <v>448</v>
      </c>
      <c r="I5" s="72" t="s">
        <v>428</v>
      </c>
      <c r="J5" s="72" t="s">
        <v>11</v>
      </c>
      <c r="K5" s="72" t="s">
        <v>429</v>
      </c>
      <c r="L5" s="50"/>
      <c r="M5" s="74" cm="1">
        <f t="array" ref="M5">SprintData(QUOTIENT(COLUMN()-COLUMN($M$4),4)+1,$D$2,$D$3,$J$2,$J$3)</f>
        <v>45796</v>
      </c>
      <c r="N5" s="74" cm="1">
        <f t="array" ref="N5">SprintData(QUOTIENT(COLUMN()-COLUMN($M$4),4)+1,$D$2,$D$3,$J$2,$J$3,FALSE,1)</f>
        <v>45800</v>
      </c>
      <c r="O5" s="74" cm="1">
        <f t="array" ref="O5">SprintData(QUOTIENT(COLUMN()-COLUMN($M$4),4)+1,$D$2,$D$3,$J$2,$J$3,FALSE,2)</f>
        <v>45807</v>
      </c>
      <c r="P5" s="74" cm="1">
        <f t="array" ref="P5">SprintData(QUOTIENT(COLUMN()-COLUMN($M$4),4)+1,$D$2,$D$3,$J$2,$J$3,FALSE,3)</f>
        <v>45814</v>
      </c>
      <c r="Q5" s="74" cm="1">
        <f t="array" ref="Q5">SprintData(QUOTIENT(COLUMN()-COLUMN($M$4),4)+1,$D$2,$D$3,$J$2,$J$3)</f>
        <v>45817</v>
      </c>
      <c r="R5" s="74" cm="1">
        <f t="array" ref="R5">SprintData(QUOTIENT(COLUMN()-COLUMN($M$4),4)+1,$D$2,$D$3,$J$2,$J$3,FALSE,1)</f>
        <v>45821</v>
      </c>
      <c r="S5" s="74" cm="1">
        <f t="array" ref="S5">SprintData(QUOTIENT(COLUMN()-COLUMN($M$4),4)+1,$D$2,$D$3,$J$2,$J$3,FALSE,2)</f>
        <v>45828</v>
      </c>
      <c r="T5" s="74" cm="1">
        <f t="array" ref="T5">SprintData(QUOTIENT(COLUMN()-COLUMN($M$4),4)+1,$D$2,$D$3,$J$2,$J$3,FALSE,3)</f>
        <v>45835</v>
      </c>
      <c r="U5" s="74" cm="1">
        <f t="array" ref="U5">SprintData(QUOTIENT(COLUMN()-COLUMN($M$4),4)+1,$D$2,$D$3,$J$2,$J$3)</f>
        <v>45845</v>
      </c>
      <c r="V5" s="74" cm="1">
        <f t="array" ref="V5">SprintData(QUOTIENT(COLUMN()-COLUMN($M$4),4)+1,$D$2,$D$3,$J$2,$J$3,FALSE,1)</f>
        <v>45849</v>
      </c>
      <c r="W5" s="74" cm="1">
        <f t="array" ref="W5">SprintData(QUOTIENT(COLUMN()-COLUMN($M$4),4)+1,$D$2,$D$3,$J$2,$J$3,FALSE,2)</f>
        <v>45856</v>
      </c>
      <c r="X5" s="74" cm="1">
        <f t="array" ref="X5">SprintData(QUOTIENT(COLUMN()-COLUMN($M$4),4)+1,$D$2,$D$3,$J$2,$J$3,FALSE,3)</f>
        <v>45863</v>
      </c>
      <c r="Y5" s="74" cm="1">
        <f t="array" ref="Y5">SprintData(QUOTIENT(COLUMN()-COLUMN($M$4),4)+1,$D$2,$D$3,$J$2,$J$3)</f>
        <v>45866</v>
      </c>
      <c r="Z5" s="74" cm="1">
        <f t="array" ref="Z5">SprintData(QUOTIENT(COLUMN()-COLUMN($M$4),4)+1,$D$2,$D$3,$J$2,$J$3,FALSE,1)</f>
        <v>45870</v>
      </c>
      <c r="AA5" s="74" cm="1">
        <f t="array" ref="AA5">SprintData(QUOTIENT(COLUMN()-COLUMN($M$4),4)+1,$D$2,$D$3,$J$2,$J$3,FALSE,2)</f>
        <v>45877</v>
      </c>
      <c r="AB5" s="74" cm="1">
        <f t="array" ref="AB5">SprintData(QUOTIENT(COLUMN()-COLUMN($M$4),4)+1,$D$2,$D$3,$J$2,$J$3,FALSE,3)</f>
        <v>45884</v>
      </c>
      <c r="AC5" s="74" cm="1">
        <f t="array" ref="AC5">SprintData(QUOTIENT(COLUMN()-COLUMN($M$4),4)+1,$D$2,$D$3,$J$2,$J$3)</f>
        <v>45887</v>
      </c>
      <c r="AD5" s="74" cm="1">
        <f t="array" ref="AD5">SprintData(QUOTIENT(COLUMN()-COLUMN($M$4),4)+1,$D$2,$D$3,$J$2,$J$3,FALSE,1)</f>
        <v>45891</v>
      </c>
      <c r="AE5" s="74" cm="1">
        <f t="array" ref="AE5">SprintData(QUOTIENT(COLUMN()-COLUMN($M$4),4)+1,$D$2,$D$3,$J$2,$J$3,FALSE,2)</f>
        <v>45898</v>
      </c>
      <c r="AF5" s="74" cm="1">
        <f t="array" ref="AF5">SprintData(QUOTIENT(COLUMN()-COLUMN($M$4),4)+1,$D$2,$D$3,$J$2,$J$3,FALSE,3)</f>
        <v>45905</v>
      </c>
      <c r="AG5" s="74" cm="1">
        <f t="array" ref="AG5">SprintData(QUOTIENT(COLUMN()-COLUMN($M$4),4)+1,$D$2,$D$3,$J$2,$J$3)</f>
        <v>45908</v>
      </c>
      <c r="AH5" s="74" cm="1">
        <f t="array" ref="AH5">SprintData(QUOTIENT(COLUMN()-COLUMN($M$4),4)+1,$D$2,$D$3,$J$2,$J$3,FALSE,1)</f>
        <v>45912</v>
      </c>
      <c r="AI5" s="74" cm="1">
        <f t="array" ref="AI5">SprintData(QUOTIENT(COLUMN()-COLUMN($M$4),4)+1,$D$2,$D$3,$J$2,$J$3,FALSE,2)</f>
        <v>45919</v>
      </c>
      <c r="AJ5" s="74" cm="1">
        <f t="array" ref="AJ5">SprintData(QUOTIENT(COLUMN()-COLUMN($M$4),4)+1,$D$2,$D$3,$J$2,$J$3,FALSE,3)</f>
        <v>45926</v>
      </c>
      <c r="AK5" s="74" cm="1">
        <f t="array" ref="AK5">SprintData(QUOTIENT(COLUMN()-COLUMN($M$4),4)+1,$D$2,$D$3,$J$2,$J$3)</f>
        <v>45936</v>
      </c>
      <c r="AL5" s="74" cm="1">
        <f t="array" ref="AL5">SprintData(QUOTIENT(COLUMN()-COLUMN($M$4),4)+1,$D$2,$D$3,$J$2,$J$3,FALSE,1)</f>
        <v>45940</v>
      </c>
      <c r="AM5" s="74" cm="1">
        <f t="array" ref="AM5">SprintData(QUOTIENT(COLUMN()-COLUMN($M$4),4)+1,$D$2,$D$3,$J$2,$J$3,FALSE,2)</f>
        <v>45947</v>
      </c>
      <c r="AN5" s="74" cm="1">
        <f t="array" ref="AN5">SprintData(QUOTIENT(COLUMN()-COLUMN($M$4),4)+1,$D$2,$D$3,$J$2,$J$3,FALSE,3)</f>
        <v>45954</v>
      </c>
      <c r="AO5" s="74" cm="1">
        <f t="array" ref="AO5">SprintData(QUOTIENT(COLUMN()-COLUMN($M$4),4)+1,$D$2,$D$3,$J$2,$J$3)</f>
        <v>45957</v>
      </c>
      <c r="AP5" s="74" cm="1">
        <f t="array" ref="AP5">SprintData(QUOTIENT(COLUMN()-COLUMN($M$4),4)+1,$D$2,$D$3,$J$2,$J$3,FALSE,1)</f>
        <v>45961</v>
      </c>
      <c r="AQ5" s="74" cm="1">
        <f t="array" ref="AQ5">SprintData(QUOTIENT(COLUMN()-COLUMN($M$4),4)+1,$D$2,$D$3,$J$2,$J$3,FALSE,2)</f>
        <v>45968</v>
      </c>
      <c r="AR5" s="74" cm="1">
        <f t="array" ref="AR5">SprintData(QUOTIENT(COLUMN()-COLUMN($M$4),4)+1,$D$2,$D$3,$J$2,$J$3,FALSE,3)</f>
        <v>45975</v>
      </c>
      <c r="AS5" s="74" cm="1">
        <f t="array" ref="AS5">SprintData(QUOTIENT(COLUMN()-COLUMN($M$4),4)+1,$D$2,$D$3,$J$2,$J$3)</f>
        <v>45978</v>
      </c>
      <c r="AT5" s="74" cm="1">
        <f t="array" ref="AT5">SprintData(QUOTIENT(COLUMN()-COLUMN($M$4),4)+1,$D$2,$D$3,$J$2,$J$3,FALSE,1)</f>
        <v>45982</v>
      </c>
      <c r="AU5" s="74" cm="1">
        <f t="array" ref="AU5">SprintData(QUOTIENT(COLUMN()-COLUMN($M$4),4)+1,$D$2,$D$3,$J$2,$J$3,FALSE,2)</f>
        <v>45989</v>
      </c>
      <c r="AV5" s="74" cm="1">
        <f t="array" ref="AV5">SprintData(QUOTIENT(COLUMN()-COLUMN($M$4),4)+1,$D$2,$D$3,$J$2,$J$3,FALSE,3)</f>
        <v>45996</v>
      </c>
      <c r="AW5" s="74" cm="1">
        <f t="array" ref="AW5">SprintData(QUOTIENT(COLUMN()-COLUMN($M$4),4)+1,$D$2,$D$3,$J$2,$J$3)</f>
        <v>45999</v>
      </c>
      <c r="AX5" s="74" cm="1">
        <f t="array" ref="AX5">SprintData(QUOTIENT(COLUMN()-COLUMN($M$4),4)+1,$D$2,$D$3,$J$2,$J$3,FALSE,1)</f>
        <v>46003</v>
      </c>
      <c r="AY5" s="74" cm="1">
        <f t="array" ref="AY5">SprintData(QUOTIENT(COLUMN()-COLUMN($M$4),4)+1,$D$2,$D$3,$J$2,$J$3,FALSE,2)</f>
        <v>46010</v>
      </c>
      <c r="AZ5" s="74" cm="1">
        <f t="array" ref="AZ5">SprintData(QUOTIENT(COLUMN()-COLUMN($M$4),4)+1,$D$2,$D$3,$J$2,$J$3,FALSE,3)</f>
        <v>46017</v>
      </c>
      <c r="BA5" s="74" cm="1">
        <f t="array" ref="BA5">SprintData(QUOTIENT(COLUMN()-COLUMN($M$4),4)+1,$D$2,$D$3,$J$2,$J$3)</f>
        <v>46027</v>
      </c>
      <c r="BB5" s="74" cm="1">
        <f t="array" ref="BB5">SprintData(QUOTIENT(COLUMN()-COLUMN($M$4),4)+1,$D$2,$D$3,$J$2,$J$3,FALSE,1)</f>
        <v>46031</v>
      </c>
      <c r="BC5" s="74" cm="1">
        <f t="array" ref="BC5">SprintData(QUOTIENT(COLUMN()-COLUMN($M$4),4)+1,$D$2,$D$3,$J$2,$J$3,FALSE,2)</f>
        <v>46038</v>
      </c>
      <c r="BD5" s="74" cm="1">
        <f t="array" ref="BD5">SprintData(QUOTIENT(COLUMN()-COLUMN($M$4),4)+1,$D$2,$D$3,$J$2,$J$3,FALSE,3)</f>
        <v>46045</v>
      </c>
      <c r="BE5" s="74" cm="1">
        <f t="array" ref="BE5">SprintData(QUOTIENT(COLUMN()-COLUMN($M$4),4)+1,$D$2,$D$3,$J$2,$J$3)</f>
        <v>46048</v>
      </c>
      <c r="BF5" s="74" cm="1">
        <f t="array" ref="BF5">SprintData(QUOTIENT(COLUMN()-COLUMN($M$4),4)+1,$D$2,$D$3,$J$2,$J$3,FALSE,1)</f>
        <v>46052</v>
      </c>
      <c r="BG5" s="74" cm="1">
        <f t="array" ref="BG5">SprintData(QUOTIENT(COLUMN()-COLUMN($M$4),4)+1,$D$2,$D$3,$J$2,$J$3,FALSE,2)</f>
        <v>46059</v>
      </c>
      <c r="BH5" s="74" cm="1">
        <f t="array" ref="BH5">SprintData(QUOTIENT(COLUMN()-COLUMN($M$4),4)+1,$D$2,$D$3,$J$2,$J$3,FALSE,3)</f>
        <v>46066</v>
      </c>
      <c r="BI5" s="74" cm="1">
        <f t="array" ref="BI5">SprintData(QUOTIENT(COLUMN()-COLUMN($M$4),4)+1,$D$2,$D$3,$J$2,$J$3)</f>
        <v>46069</v>
      </c>
      <c r="BJ5" s="74" cm="1">
        <f t="array" ref="BJ5">SprintData(QUOTIENT(COLUMN()-COLUMN($M$4),4)+1,$D$2,$D$3,$J$2,$J$3,FALSE,1)</f>
        <v>46073</v>
      </c>
      <c r="BK5" s="74" cm="1">
        <f t="array" ref="BK5">SprintData(QUOTIENT(COLUMN()-COLUMN($M$4),4)+1,$D$2,$D$3,$J$2,$J$3,FALSE,2)</f>
        <v>46080</v>
      </c>
      <c r="BL5" s="74" cm="1">
        <f t="array" ref="BL5">SprintData(QUOTIENT(COLUMN()-COLUMN($M$4),4)+1,$D$2,$D$3,$J$2,$J$3,FALSE,3)</f>
        <v>46087</v>
      </c>
      <c r="BM5" s="74" cm="1">
        <f t="array" ref="BM5">SprintData(QUOTIENT(COLUMN()-COLUMN($M$4),4)+1,$D$2,$D$3,$J$2,$J$3)</f>
        <v>46090</v>
      </c>
      <c r="BN5" s="74" cm="1">
        <f t="array" ref="BN5">SprintData(QUOTIENT(COLUMN()-COLUMN($M$4),4)+1,$D$2,$D$3,$J$2,$J$3,FALSE,1)</f>
        <v>46094</v>
      </c>
      <c r="BO5" s="74" cm="1">
        <f t="array" ref="BO5">SprintData(QUOTIENT(COLUMN()-COLUMN($M$4),4)+1,$D$2,$D$3,$J$2,$J$3,FALSE,2)</f>
        <v>46101</v>
      </c>
      <c r="BP5" s="74" cm="1">
        <f t="array" ref="BP5">SprintData(QUOTIENT(COLUMN()-COLUMN($M$4),4)+1,$D$2,$D$3,$J$2,$J$3,FALSE,3)</f>
        <v>46108</v>
      </c>
      <c r="BQ5" s="74" cm="1">
        <f t="array" ref="BQ5">SprintData(QUOTIENT(COLUMN()-COLUMN($M$4),4)+1,$D$2,$D$3,$J$2,$J$3)</f>
        <v>46118</v>
      </c>
      <c r="BR5" s="74" cm="1">
        <f t="array" ref="BR5">SprintData(QUOTIENT(COLUMN()-COLUMN($M$4),4)+1,$D$2,$D$3,$J$2,$J$3,FALSE,1)</f>
        <v>46122</v>
      </c>
      <c r="BS5" s="74" cm="1">
        <f t="array" ref="BS5">SprintData(QUOTIENT(COLUMN()-COLUMN($M$4),4)+1,$D$2,$D$3,$J$2,$J$3,FALSE,2)</f>
        <v>46129</v>
      </c>
      <c r="BT5" s="74" cm="1">
        <f t="array" ref="BT5">SprintData(QUOTIENT(COLUMN()-COLUMN($M$4),4)+1,$D$2,$D$3,$J$2,$J$3,FALSE,3)</f>
        <v>46136</v>
      </c>
      <c r="BU5" s="74" cm="1">
        <f t="array" ref="BU5">SprintData(QUOTIENT(COLUMN()-COLUMN($M$4),4)+1,$D$2,$D$3,$J$2,$J$3)</f>
        <v>46139</v>
      </c>
      <c r="BV5" s="74" cm="1">
        <f t="array" ref="BV5">SprintData(QUOTIENT(COLUMN()-COLUMN($M$4),4)+1,$D$2,$D$3,$J$2,$J$3,FALSE,1)</f>
        <v>46143</v>
      </c>
      <c r="BW5" s="74" cm="1">
        <f t="array" ref="BW5">SprintData(QUOTIENT(COLUMN()-COLUMN($M$4),4)+1,$D$2,$D$3,$J$2,$J$3,FALSE,2)</f>
        <v>46150</v>
      </c>
      <c r="BX5" s="74" cm="1">
        <f t="array" ref="BX5">SprintData(QUOTIENT(COLUMN()-COLUMN($M$4),4)+1,$D$2,$D$3,$J$2,$J$3,FALSE,3)</f>
        <v>46157</v>
      </c>
      <c r="BY5" s="74" cm="1">
        <f t="array" ref="BY5">SprintData(QUOTIENT(COLUMN()-COLUMN($M$4),4)+1,$D$2,$D$3,$J$2,$J$3)</f>
        <v>46160</v>
      </c>
      <c r="BZ5" s="74" cm="1">
        <f t="array" ref="BZ5">SprintData(QUOTIENT(COLUMN()-COLUMN($M$4),4)+1,$D$2,$D$3,$J$2,$J$3,FALSE,1)</f>
        <v>46164</v>
      </c>
      <c r="CA5" s="74" cm="1">
        <f t="array" ref="CA5">SprintData(QUOTIENT(COLUMN()-COLUMN($M$4),4)+1,$D$2,$D$3,$J$2,$J$3,FALSE,2)</f>
        <v>46171</v>
      </c>
      <c r="CB5" s="74" cm="1">
        <f t="array" ref="CB5">SprintData(QUOTIENT(COLUMN()-COLUMN($M$4),4)+1,$D$2,$D$3,$J$2,$J$3,FALSE,3)</f>
        <v>46178</v>
      </c>
      <c r="CC5" s="74" cm="1">
        <f t="array" ref="CC5">SprintData(QUOTIENT(COLUMN()-COLUMN($M$4),4)+1,$D$2,$D$3,$J$2,$J$3)</f>
        <v>46181</v>
      </c>
      <c r="CD5" s="74" cm="1">
        <f t="array" ref="CD5">SprintData(QUOTIENT(COLUMN()-COLUMN($M$4),4)+1,$D$2,$D$3,$J$2,$J$3,FALSE,1)</f>
        <v>46185</v>
      </c>
      <c r="CE5" s="74" cm="1">
        <f t="array" ref="CE5">SprintData(QUOTIENT(COLUMN()-COLUMN($M$4),4)+1,$D$2,$D$3,$J$2,$J$3,FALSE,2)</f>
        <v>46192</v>
      </c>
      <c r="CF5" s="74" cm="1">
        <f t="array" ref="CF5">SprintData(QUOTIENT(COLUMN()-COLUMN($M$4),4)+1,$D$2,$D$3,$J$2,$J$3,FALSE,3)</f>
        <v>46199</v>
      </c>
      <c r="CG5" s="74" cm="1">
        <f t="array" ref="CG5">SprintData(QUOTIENT(COLUMN()-COLUMN($M$4),4)+1,$D$2,$D$3,$J$2,$J$3)</f>
        <v>46209</v>
      </c>
      <c r="CH5" s="74" cm="1">
        <f t="array" ref="CH5">SprintData(QUOTIENT(COLUMN()-COLUMN($M$4),4)+1,$D$2,$D$3,$J$2,$J$3,FALSE,1)</f>
        <v>46213</v>
      </c>
      <c r="CI5" s="74" cm="1">
        <f t="array" ref="CI5">SprintData(QUOTIENT(COLUMN()-COLUMN($M$4),4)+1,$D$2,$D$3,$J$2,$J$3,FALSE,2)</f>
        <v>46220</v>
      </c>
      <c r="CJ5" s="74" cm="1">
        <f t="array" ref="CJ5">SprintData(QUOTIENT(COLUMN()-COLUMN($M$4),4)+1,$D$2,$D$3,$J$2,$J$3,FALSE,3)</f>
        <v>46227</v>
      </c>
      <c r="CK5" s="74" cm="1">
        <f t="array" ref="CK5">SprintData(QUOTIENT(COLUMN()-COLUMN($M$4),4)+1,$D$2,$D$3,$J$2,$J$3)</f>
        <v>46230</v>
      </c>
      <c r="CL5" s="74" cm="1">
        <f t="array" ref="CL5">SprintData(QUOTIENT(COLUMN()-COLUMN($M$4),4)+1,$D$2,$D$3,$J$2,$J$3,FALSE,1)</f>
        <v>46234</v>
      </c>
      <c r="CM5" s="74" cm="1">
        <f t="array" ref="CM5">SprintData(QUOTIENT(COLUMN()-COLUMN($M$4),4)+1,$D$2,$D$3,$J$2,$J$3,FALSE,2)</f>
        <v>46241</v>
      </c>
      <c r="CN5" s="74" cm="1">
        <f t="array" ref="CN5">SprintData(QUOTIENT(COLUMN()-COLUMN($M$4),4)+1,$D$2,$D$3,$J$2,$J$3,FALSE,3)</f>
        <v>46248</v>
      </c>
      <c r="CO5" s="74" cm="1">
        <f t="array" ref="CO5">SprintData(QUOTIENT(COLUMN()-COLUMN($M$4),4)+1,$D$2,$D$3,$J$2,$J$3)</f>
        <v>46251</v>
      </c>
      <c r="CP5" s="74" cm="1">
        <f t="array" ref="CP5">SprintData(QUOTIENT(COLUMN()-COLUMN($M$4),4)+1,$D$2,$D$3,$J$2,$J$3,FALSE,1)</f>
        <v>46255</v>
      </c>
      <c r="CQ5" s="74" cm="1">
        <f t="array" ref="CQ5">SprintData(QUOTIENT(COLUMN()-COLUMN($M$4),4)+1,$D$2,$D$3,$J$2,$J$3,FALSE,2)</f>
        <v>46262</v>
      </c>
      <c r="CR5" s="74" cm="1">
        <f t="array" ref="CR5">SprintData(QUOTIENT(COLUMN()-COLUMN($M$4),4)+1,$D$2,$D$3,$J$2,$J$3,FALSE,3)</f>
        <v>46269</v>
      </c>
      <c r="CS5" s="74" cm="1">
        <f t="array" ref="CS5">SprintData(QUOTIENT(COLUMN()-COLUMN($M$4),4)+1,$D$2,$D$3,$J$2,$J$3)</f>
        <v>46272</v>
      </c>
      <c r="CT5" s="74" cm="1">
        <f t="array" ref="CT5">SprintData(QUOTIENT(COLUMN()-COLUMN($M$4),4)+1,$D$2,$D$3,$J$2,$J$3,FALSE,1)</f>
        <v>46276</v>
      </c>
      <c r="CU5" s="74" cm="1">
        <f t="array" ref="CU5">SprintData(QUOTIENT(COLUMN()-COLUMN($M$4),4)+1,$D$2,$D$3,$J$2,$J$3,FALSE,2)</f>
        <v>46283</v>
      </c>
      <c r="CV5" s="74" cm="1">
        <f t="array" ref="CV5">SprintData(QUOTIENT(COLUMN()-COLUMN($M$4),4)+1,$D$2,$D$3,$J$2,$J$3,FALSE,3)</f>
        <v>46290</v>
      </c>
      <c r="CW5" s="74" cm="1">
        <f t="array" ref="CW5">SprintData(QUOTIENT(COLUMN()-COLUMN($M$4),4)+1,$D$2,$D$3,$J$2,$J$3)</f>
        <v>46300</v>
      </c>
      <c r="CX5" s="74" cm="1">
        <f t="array" ref="CX5">SprintData(QUOTIENT(COLUMN()-COLUMN($M$4),4)+1,$D$2,$D$3,$J$2,$J$3,FALSE,1)</f>
        <v>46304</v>
      </c>
      <c r="CY5" s="74" cm="1">
        <f t="array" ref="CY5">SprintData(QUOTIENT(COLUMN()-COLUMN($M$4),4)+1,$D$2,$D$3,$J$2,$J$3,FALSE,2)</f>
        <v>46311</v>
      </c>
      <c r="CZ5" s="74" cm="1">
        <f t="array" ref="CZ5">SprintData(QUOTIENT(COLUMN()-COLUMN($M$4),4)+1,$D$2,$D$3,$J$2,$J$3,FALSE,3)</f>
        <v>46318</v>
      </c>
      <c r="DA5" s="74" cm="1">
        <f t="array" ref="DA5">SprintData(QUOTIENT(COLUMN()-COLUMN($M$4),4)+1,$D$2,$D$3,$J$2,$J$3)</f>
        <v>46321</v>
      </c>
      <c r="DB5" s="74" cm="1">
        <f t="array" ref="DB5">SprintData(QUOTIENT(COLUMN()-COLUMN($M$4),4)+1,$D$2,$D$3,$J$2,$J$3,FALSE,1)</f>
        <v>46325</v>
      </c>
      <c r="DC5" s="74" cm="1">
        <f t="array" ref="DC5">SprintData(QUOTIENT(COLUMN()-COLUMN($M$4),4)+1,$D$2,$D$3,$J$2,$J$3,FALSE,2)</f>
        <v>46332</v>
      </c>
      <c r="DD5" s="74" cm="1">
        <f t="array" ref="DD5">SprintData(QUOTIENT(COLUMN()-COLUMN($M$4),4)+1,$D$2,$D$3,$J$2,$J$3,FALSE,3)</f>
        <v>46339</v>
      </c>
      <c r="DE5" s="74" cm="1">
        <f t="array" ref="DE5">SprintData(QUOTIENT(COLUMN()-COLUMN($M$4),4)+1,$D$2,$D$3,$J$2,$J$3)</f>
        <v>46342</v>
      </c>
      <c r="DF5" s="74" cm="1">
        <f t="array" ref="DF5">SprintData(QUOTIENT(COLUMN()-COLUMN($M$4),4)+1,$D$2,$D$3,$J$2,$J$3,FALSE,1)</f>
        <v>46346</v>
      </c>
      <c r="DG5" s="74" cm="1">
        <f t="array" ref="DG5">SprintData(QUOTIENT(COLUMN()-COLUMN($M$4),4)+1,$D$2,$D$3,$J$2,$J$3,FALSE,2)</f>
        <v>46353</v>
      </c>
      <c r="DH5" s="74" cm="1">
        <f t="array" ref="DH5">SprintData(QUOTIENT(COLUMN()-COLUMN($M$4),4)+1,$D$2,$D$3,$J$2,$J$3,FALSE,3)</f>
        <v>46360</v>
      </c>
      <c r="DI5" s="74" cm="1">
        <f t="array" ref="DI5">SprintData(QUOTIENT(COLUMN()-COLUMN($M$4),4)+1,$D$2,$D$3,$J$2,$J$3)</f>
        <v>46363</v>
      </c>
      <c r="DJ5" s="74" cm="1">
        <f t="array" ref="DJ5">SprintData(QUOTIENT(COLUMN()-COLUMN($M$4),4)+1,$D$2,$D$3,$J$2,$J$3,FALSE,1)</f>
        <v>46367</v>
      </c>
      <c r="DK5" s="74" cm="1">
        <f t="array" ref="DK5">SprintData(QUOTIENT(COLUMN()-COLUMN($M$4),4)+1,$D$2,$D$3,$J$2,$J$3,FALSE,2)</f>
        <v>46374</v>
      </c>
      <c r="DL5" s="74" cm="1">
        <f t="array" ref="DL5">SprintData(QUOTIENT(COLUMN()-COLUMN($M$4),4)+1,$D$2,$D$3,$J$2,$J$3,FALSE,3)</f>
        <v>46381</v>
      </c>
    </row>
    <row r="6" spans="1:116" ht="25.05" customHeight="1" x14ac:dyDescent="0.3">
      <c r="A6" s="39"/>
      <c r="B6" s="75">
        <v>1</v>
      </c>
      <c r="C6" s="51" t="s">
        <v>430</v>
      </c>
      <c r="D6" s="52" t="s">
        <v>431</v>
      </c>
      <c r="E6" s="53">
        <v>45796</v>
      </c>
      <c r="F6" s="53">
        <v>45803</v>
      </c>
      <c r="G6" s="76">
        <f t="shared" ref="G6:H21" si="44">IF(E6="","",IF(WEEKDAY($D$3, 2) - WEEKDAY(E6, 2) &lt;= 0, E6 + (WEEKDAY($D$3,2) - WEEKDAY(E6,2)), E6 - (7 - (WEEKDAY($D$3,2) - WEEKDAY(E6,2)))))</f>
        <v>45796</v>
      </c>
      <c r="H6" s="76">
        <f t="shared" si="44"/>
        <v>45803</v>
      </c>
      <c r="I6" s="77">
        <f t="shared" ref="I6:I69" si="45">IF(F6="","",NETWORKDAYS(E6,F6))</f>
        <v>6</v>
      </c>
      <c r="J6" s="78" t="s">
        <v>51</v>
      </c>
      <c r="K6" s="79">
        <v>0.1</v>
      </c>
      <c r="L6" s="54"/>
      <c r="M6" s="80" t="str">
        <f>IF(AND($F6&lt;&gt;"", $F6&gt;=M$5-4, $F6&lt;=M$5), "u", "")</f>
        <v/>
      </c>
      <c r="N6" s="80" t="str">
        <f>IF(AND($F6&lt;&gt;"", $F6&gt;=N$5-4, $F6&lt;=N$5, COUNTIF($M6:M6,"u")=0), "u", "")</f>
        <v/>
      </c>
      <c r="O6" s="80" t="str">
        <f>IF(AND($F6&lt;&gt;"", $F6&gt;=O$5-4, $F6&lt;=O$5, COUNTIF($M6:N6,"u")=0), "u", "")</f>
        <v>u</v>
      </c>
      <c r="P6" s="80" t="str">
        <f>IF(AND($F6&lt;&gt;"", $F6&gt;=P$5-4, $F6&lt;=P$5, COUNTIF($M6:O6,"u")=0), "u", "")</f>
        <v/>
      </c>
      <c r="Q6" s="80" t="str">
        <f>IF(AND($F6&lt;&gt;"", $F6&gt;=Q$5-4, $F6&lt;=Q$5, COUNTIF($M6:P6,"u")=0), "u", "")</f>
        <v/>
      </c>
      <c r="R6" s="80" t="str">
        <f>IF(AND($F6&lt;&gt;"", $F6&gt;=R$5-4, $F6&lt;=R$5, COUNTIF($M6:Q6,"u")=0), "u", "")</f>
        <v/>
      </c>
      <c r="S6" s="80" t="str">
        <f>IF(AND($F6&lt;&gt;"", $F6&gt;=S$5-4, $F6&lt;=S$5, COUNTIF($M6:R6,"u")=0), "u", "")</f>
        <v/>
      </c>
      <c r="T6" s="80" t="str">
        <f>IF(AND($F6&lt;&gt;"", $F6&gt;=T$5-4, $F6&lt;=T$5, COUNTIF($M6:S6,"u")=0), "u", "")</f>
        <v/>
      </c>
      <c r="U6" s="80" t="str">
        <f>IF(AND($F6&lt;&gt;"", $F6&gt;=U$5-4, $F6&lt;=U$5, COUNTIF($M6:T6,"u")=0), "u", "")</f>
        <v/>
      </c>
      <c r="V6" s="80" t="str">
        <f>IF(AND($F6&lt;&gt;"", $F6&gt;=V$5-4, $F6&lt;=V$5, COUNTIF($M6:U6,"u")=0), "u", "")</f>
        <v/>
      </c>
      <c r="W6" s="80" t="str">
        <f>IF(AND($F6&lt;&gt;"", $F6&gt;=W$5-4, $F6&lt;=W$5, COUNTIF($M6:V6,"u")=0), "u", "")</f>
        <v/>
      </c>
      <c r="X6" s="80" t="str">
        <f>IF(AND($F6&lt;&gt;"", $F6&gt;=X$5-4, $F6&lt;=X$5, COUNTIF($M6:W6,"u")=0), "u", "")</f>
        <v/>
      </c>
      <c r="Y6" s="80" t="str">
        <f>IF(AND($F6&lt;&gt;"", $F6&gt;=Y$5-4, $F6&lt;=Y$5, COUNTIF($M6:X6,"u")=0), "u", "")</f>
        <v/>
      </c>
      <c r="Z6" s="80" t="str">
        <f>IF(AND($F6&lt;&gt;"", $F6&gt;=Z$5-4, $F6&lt;=Z$5, COUNTIF($M6:Y6,"u")=0), "u", "")</f>
        <v/>
      </c>
      <c r="AA6" s="80" t="str">
        <f>IF(AND($F6&lt;&gt;"", $F6&gt;=AA$5-4, $F6&lt;=AA$5, COUNTIF($M6:Z6,"u")=0), "u", "")</f>
        <v/>
      </c>
      <c r="AB6" s="80" t="str">
        <f>IF(AND($F6&lt;&gt;"", $F6&gt;=AB$5-4, $F6&lt;=AB$5, COUNTIF($M6:AA6,"u")=0), "u", "")</f>
        <v/>
      </c>
      <c r="AC6" s="80" t="str">
        <f>IF(AND($F6&lt;&gt;"", $F6&gt;=AC$5-4, $F6&lt;=AC$5, COUNTIF($M6:AB6,"u")=0), "u", "")</f>
        <v/>
      </c>
      <c r="AD6" s="80" t="str">
        <f>IF(AND($F6&lt;&gt;"", $F6&gt;=AD$5-4, $F6&lt;=AD$5, COUNTIF($M6:AC6,"u")=0), "u", "")</f>
        <v/>
      </c>
      <c r="AE6" s="80" t="str">
        <f>IF(AND($F6&lt;&gt;"", $F6&gt;=AE$5-4, $F6&lt;=AE$5, COUNTIF($M6:AD6,"u")=0), "u", "")</f>
        <v/>
      </c>
      <c r="AF6" s="80" t="str">
        <f>IF(AND($F6&lt;&gt;"", $F6&gt;=AF$5-4, $F6&lt;=AF$5, COUNTIF($M6:AE6,"u")=0), "u", "")</f>
        <v/>
      </c>
      <c r="AG6" s="80" t="str">
        <f>IF(AND($F6&lt;&gt;"", $F6&gt;=AG$5-4, $F6&lt;=AG$5, COUNTIF($M6:AF6,"u")=0), "u", "")</f>
        <v/>
      </c>
      <c r="AH6" s="80" t="str">
        <f>IF(AND($F6&lt;&gt;"", $F6&gt;=AH$5-4, $F6&lt;=AH$5, COUNTIF($M6:AG6,"u")=0), "u", "")</f>
        <v/>
      </c>
      <c r="AI6" s="80" t="str">
        <f>IF(AND($F6&lt;&gt;"", $F6&gt;=AI$5-4, $F6&lt;=AI$5, COUNTIF($M6:AH6,"u")=0), "u", "")</f>
        <v/>
      </c>
      <c r="AJ6" s="80" t="str">
        <f>IF(AND($F6&lt;&gt;"", $F6&gt;=AJ$5-4, $F6&lt;=AJ$5, COUNTIF($M6:AI6,"u")=0), "u", "")</f>
        <v/>
      </c>
      <c r="AK6" s="80" t="str">
        <f>IF(AND($F6&lt;&gt;"", $F6&gt;=AK$5-4, $F6&lt;=AK$5, COUNTIF($M6:AJ6,"u")=0), "u", "")</f>
        <v/>
      </c>
      <c r="AL6" s="80" t="str">
        <f>IF(AND($F6&lt;&gt;"", $F6&gt;=AL$5-4, $F6&lt;=AL$5, COUNTIF($M6:AK6,"u")=0), "u", "")</f>
        <v/>
      </c>
      <c r="AM6" s="80" t="str">
        <f>IF(AND($F6&lt;&gt;"", $F6&gt;=AM$5-4, $F6&lt;=AM$5, COUNTIF($M6:AL6,"u")=0), "u", "")</f>
        <v/>
      </c>
      <c r="AN6" s="80" t="str">
        <f>IF(AND($F6&lt;&gt;"", $F6&gt;=AN$5-4, $F6&lt;=AN$5, COUNTIF($M6:AM6,"u")=0), "u", "")</f>
        <v/>
      </c>
      <c r="AO6" s="80" t="str">
        <f>IF(AND($F6&lt;&gt;"", $F6&gt;=AO$5-4, $F6&lt;=AO$5, COUNTIF($M6:AN6,"u")=0), "u", "")</f>
        <v/>
      </c>
      <c r="AP6" s="80" t="str">
        <f>IF(AND($F6&lt;&gt;"", $F6&gt;=AP$5-4, $F6&lt;=AP$5, COUNTIF($M6:AO6,"u")=0), "u", "")</f>
        <v/>
      </c>
      <c r="AQ6" s="80" t="str">
        <f>IF(AND($F6&lt;&gt;"", $F6&gt;=AQ$5-4, $F6&lt;=AQ$5, COUNTIF($M6:AP6,"u")=0), "u", "")</f>
        <v/>
      </c>
      <c r="AR6" s="80" t="str">
        <f>IF(AND($F6&lt;&gt;"", $F6&gt;=AR$5-4, $F6&lt;=AR$5, COUNTIF($M6:AQ6,"u")=0), "u", "")</f>
        <v/>
      </c>
      <c r="AS6" s="80" t="str">
        <f>IF(AND($F6&lt;&gt;"", $F6&gt;=AS$5-4, $F6&lt;=AS$5, COUNTIF($M6:AR6,"u")=0), "u", "")</f>
        <v/>
      </c>
      <c r="AT6" s="80" t="str">
        <f>IF(AND($F6&lt;&gt;"", $F6&gt;=AT$5-4, $F6&lt;=AT$5, COUNTIF($M6:AS6,"u")=0), "u", "")</f>
        <v/>
      </c>
      <c r="AU6" s="80" t="str">
        <f>IF(AND($F6&lt;&gt;"", $F6&gt;=AU$5-4, $F6&lt;=AU$5, COUNTIF($M6:AT6,"u")=0), "u", "")</f>
        <v/>
      </c>
      <c r="AV6" s="80" t="str">
        <f>IF(AND($F6&lt;&gt;"", $F6&gt;=AV$5-4, $F6&lt;=AV$5, COUNTIF($M6:AU6,"u")=0), "u", "")</f>
        <v/>
      </c>
      <c r="AW6" s="80" t="str">
        <f>IF(AND($F6&lt;&gt;"", $F6&gt;=AW$5-4, $F6&lt;=AW$5, COUNTIF($M6:AV6,"u")=0), "u", "")</f>
        <v/>
      </c>
      <c r="AX6" s="80" t="str">
        <f>IF(AND($F6&lt;&gt;"", $F6&gt;=AX$5-4, $F6&lt;=AX$5, COUNTIF($M6:AW6,"u")=0), "u", "")</f>
        <v/>
      </c>
      <c r="AY6" s="80" t="str">
        <f>IF(AND($F6&lt;&gt;"", $F6&gt;=AY$5-4, $F6&lt;=AY$5, COUNTIF($M6:AX6,"u")=0), "u", "")</f>
        <v/>
      </c>
      <c r="AZ6" s="80" t="str">
        <f>IF(AND($F6&lt;&gt;"", $F6&gt;=AZ$5-4, $F6&lt;=AZ$5, COUNTIF($M6:AY6,"u")=0), "u", "")</f>
        <v/>
      </c>
      <c r="BA6" s="80" t="str">
        <f>IF(AND($F6&lt;&gt;"", $F6&gt;=BA$5-4, $F6&lt;=BA$5, COUNTIF($M6:AZ6,"u")=0), "u", "")</f>
        <v/>
      </c>
      <c r="BB6" s="80" t="str">
        <f>IF(AND($F6&lt;&gt;"", $F6&gt;=BB$5-4, $F6&lt;=BB$5, COUNTIF($M6:BA6,"u")=0), "u", "")</f>
        <v/>
      </c>
      <c r="BC6" s="80" t="str">
        <f>IF(AND($F6&lt;&gt;"", $F6&gt;=BC$5-4, $F6&lt;=BC$5, COUNTIF($M6:BB6,"u")=0), "u", "")</f>
        <v/>
      </c>
      <c r="BD6" s="80" t="str">
        <f>IF(AND($F6&lt;&gt;"", $F6&gt;=BD$5-4, $F6&lt;=BD$5, COUNTIF($M6:BC6,"u")=0), "u", "")</f>
        <v/>
      </c>
      <c r="BE6" s="80" t="str">
        <f>IF(AND($F6&lt;&gt;"", $F6&gt;=BE$5-4, $F6&lt;=BE$5, COUNTIF($M6:BD6,"u")=0), "u", "")</f>
        <v/>
      </c>
      <c r="BF6" s="80" t="str">
        <f>IF(AND($F6&lt;&gt;"", $F6&gt;=BF$5-4, $F6&lt;=BF$5, COUNTIF($M6:BE6,"u")=0), "u", "")</f>
        <v/>
      </c>
      <c r="BG6" s="80" t="str">
        <f>IF(AND($F6&lt;&gt;"", $F6&gt;=BG$5-4, $F6&lt;=BG$5, COUNTIF($M6:BF6,"u")=0), "u", "")</f>
        <v/>
      </c>
      <c r="BH6" s="80" t="str">
        <f>IF(AND($F6&lt;&gt;"", $F6&gt;=BH$5-4, $F6&lt;=BH$5, COUNTIF($M6:BG6,"u")=0), "u", "")</f>
        <v/>
      </c>
      <c r="BI6" s="80" t="str">
        <f>IF(AND($F6&lt;&gt;"", $F6&gt;=BI$5-4, $F6&lt;=BI$5, COUNTIF($M6:BH6,"u")=0), "u", "")</f>
        <v/>
      </c>
      <c r="BJ6" s="80" t="str">
        <f>IF(AND($F6&lt;&gt;"", $F6&gt;=BJ$5-4, $F6&lt;=BJ$5, COUNTIF($M6:BI6,"u")=0), "u", "")</f>
        <v/>
      </c>
      <c r="BK6" s="80" t="str">
        <f>IF(AND($F6&lt;&gt;"", $F6&gt;=BK$5-4, $F6&lt;=BK$5, COUNTIF($M6:BJ6,"u")=0), "u", "")</f>
        <v/>
      </c>
      <c r="BL6" s="80" t="str">
        <f>IF(AND($F6&lt;&gt;"", $F6&gt;=BL$5-4, $F6&lt;=BL$5, COUNTIF($M6:BK6,"u")=0), "u", "")</f>
        <v/>
      </c>
      <c r="BM6" s="80" t="str">
        <f>IF(AND($F6&lt;&gt;"", $F6&gt;=BM$5-4, $F6&lt;=BM$5, COUNTIF($M6:BL6,"u")=0), "u", "")</f>
        <v/>
      </c>
      <c r="BN6" s="80" t="str">
        <f>IF(AND($F6&lt;&gt;"", $F6&gt;=BN$5-4, $F6&lt;=BN$5, COUNTIF($M6:BM6,"u")=0), "u", "")</f>
        <v/>
      </c>
      <c r="BO6" s="80" t="str">
        <f>IF(AND($F6&lt;&gt;"", $F6&gt;=BO$5-4, $F6&lt;=BO$5, COUNTIF($M6:BN6,"u")=0), "u", "")</f>
        <v/>
      </c>
      <c r="BP6" s="80" t="str">
        <f>IF(AND($F6&lt;&gt;"", $F6&gt;=BP$5-4, $F6&lt;=BP$5, COUNTIF($M6:BO6,"u")=0), "u", "")</f>
        <v/>
      </c>
      <c r="BQ6" s="80" t="str">
        <f>IF(AND($F6&lt;&gt;"", $F6&gt;=BQ$5-4, $F6&lt;=BQ$5, COUNTIF($M6:BP6,"u")=0), "u", "")</f>
        <v/>
      </c>
      <c r="BR6" s="80" t="str">
        <f>IF(AND($F6&lt;&gt;"", $F6&gt;=BR$5-4, $F6&lt;=BR$5, COUNTIF($M6:BQ6,"u")=0), "u", "")</f>
        <v/>
      </c>
      <c r="BS6" s="80" t="str">
        <f>IF(AND($F6&lt;&gt;"", $F6&gt;=BS$5-4, $F6&lt;=BS$5, COUNTIF($M6:BR6,"u")=0), "u", "")</f>
        <v/>
      </c>
      <c r="BT6" s="80" t="str">
        <f>IF(AND($F6&lt;&gt;"", $F6&gt;=BT$5-4, $F6&lt;=BT$5, COUNTIF($M6:BS6,"u")=0), "u", "")</f>
        <v/>
      </c>
      <c r="BU6" s="80" t="str">
        <f>IF(AND($F6&lt;&gt;"", $F6&gt;=BU$5-4, $F6&lt;=BU$5, COUNTIF($M6:BT6,"u")=0), "u", "")</f>
        <v/>
      </c>
      <c r="BV6" s="80" t="str">
        <f>IF(AND($F6&lt;&gt;"", $F6&gt;=BV$5-4, $F6&lt;=BV$5, COUNTIF($M6:BU6,"u")=0), "u", "")</f>
        <v/>
      </c>
      <c r="BW6" s="80" t="str">
        <f>IF(AND($F6&lt;&gt;"", $F6&gt;=BW$5-4, $F6&lt;=BW$5, COUNTIF($M6:BV6,"u")=0), "u", "")</f>
        <v/>
      </c>
      <c r="BX6" s="80" t="str">
        <f>IF(AND($F6&lt;&gt;"", $F6&gt;=BX$5-4, $F6&lt;=BX$5, COUNTIF($M6:BW6,"u")=0), "u", "")</f>
        <v/>
      </c>
      <c r="BY6" s="80" t="str">
        <f>IF(AND($F6&lt;&gt;"", $F6&gt;=BY$5-4, $F6&lt;=BY$5, COUNTIF($M6:BX6,"u")=0), "u", "")</f>
        <v/>
      </c>
      <c r="BZ6" s="80" t="str">
        <f>IF(AND($F6&lt;&gt;"", $F6&gt;=BZ$5-4, $F6&lt;=BZ$5, COUNTIF($M6:BY6,"u")=0), "u", "")</f>
        <v/>
      </c>
      <c r="CA6" s="80" t="str">
        <f>IF(AND($F6&lt;&gt;"", $F6&gt;=CA$5-4, $F6&lt;=CA$5, COUNTIF($M6:BZ6,"u")=0), "u", "")</f>
        <v/>
      </c>
      <c r="CB6" s="80" t="str">
        <f>IF(AND($F6&lt;&gt;"", $F6&gt;=CB$5-4, $F6&lt;=CB$5, COUNTIF($M6:CA6,"u")=0), "u", "")</f>
        <v/>
      </c>
      <c r="CC6" s="80" t="str">
        <f>IF(AND($F6&lt;&gt;"", $F6&gt;=CC$5-4, $F6&lt;=CC$5, COUNTIF($M6:CB6,"u")=0), "u", "")</f>
        <v/>
      </c>
      <c r="CD6" s="80" t="str">
        <f>IF(AND($F6&lt;&gt;"", $F6&gt;=CD$5-4, $F6&lt;=CD$5, COUNTIF($M6:CC6,"u")=0), "u", "")</f>
        <v/>
      </c>
      <c r="CE6" s="80" t="str">
        <f>IF(AND($F6&lt;&gt;"", $F6&gt;=CE$5-4, $F6&lt;=CE$5, COUNTIF($M6:CD6,"u")=0), "u", "")</f>
        <v/>
      </c>
      <c r="CF6" s="80" t="str">
        <f>IF(AND($F6&lt;&gt;"", $F6&gt;=CF$5-4, $F6&lt;=CF$5, COUNTIF($M6:CE6,"u")=0), "u", "")</f>
        <v/>
      </c>
      <c r="CG6" s="80" t="str">
        <f>IF(AND($F6&lt;&gt;"", $F6&gt;=CG$5-4, $F6&lt;=CG$5, COUNTIF($M6:CF6,"u")=0), "u", "")</f>
        <v/>
      </c>
      <c r="CH6" s="80" t="str">
        <f>IF(AND($F6&lt;&gt;"", $F6&gt;=CH$5-4, $F6&lt;=CH$5, COUNTIF($M6:CG6,"u")=0), "u", "")</f>
        <v/>
      </c>
      <c r="CI6" s="80" t="str">
        <f>IF(AND($F6&lt;&gt;"", $F6&gt;=CI$5-4, $F6&lt;=CI$5, COUNTIF($M6:CH6,"u")=0), "u", "")</f>
        <v/>
      </c>
      <c r="CJ6" s="80" t="str">
        <f>IF(AND($F6&lt;&gt;"", $F6&gt;=CJ$5-4, $F6&lt;=CJ$5, COUNTIF($M6:CI6,"u")=0), "u", "")</f>
        <v/>
      </c>
      <c r="CK6" s="80" t="str">
        <f>IF(AND($F6&lt;&gt;"", $F6&gt;=CK$5-4, $F6&lt;=CK$5, COUNTIF($M6:CJ6,"u")=0), "u", "")</f>
        <v/>
      </c>
      <c r="CL6" s="80" t="str">
        <f>IF(AND($F6&lt;&gt;"", $F6&gt;=CL$5-4, $F6&lt;=CL$5, COUNTIF($M6:CK6,"u")=0), "u", "")</f>
        <v/>
      </c>
      <c r="CM6" s="80" t="str">
        <f>IF(AND($F6&lt;&gt;"", $F6&gt;=CM$5-4, $F6&lt;=CM$5, COUNTIF($M6:CL6,"u")=0), "u", "")</f>
        <v/>
      </c>
      <c r="CN6" s="80" t="str">
        <f>IF(AND($F6&lt;&gt;"", $F6&gt;=CN$5-4, $F6&lt;=CN$5, COUNTIF($M6:CM6,"u")=0), "u", "")</f>
        <v/>
      </c>
      <c r="CO6" s="80" t="str">
        <f>IF(AND($F6&lt;&gt;"", $F6&gt;=CO$5-4, $F6&lt;=CO$5, COUNTIF($M6:CN6,"u")=0), "u", "")</f>
        <v/>
      </c>
      <c r="CP6" s="80" t="str">
        <f>IF(AND($F6&lt;&gt;"", $F6&gt;=CP$5-4, $F6&lt;=CP$5, COUNTIF($M6:CO6,"u")=0), "u", "")</f>
        <v/>
      </c>
      <c r="CQ6" s="80" t="str">
        <f>IF(AND($F6&lt;&gt;"", $F6&gt;=CQ$5-4, $F6&lt;=CQ$5, COUNTIF($M6:CP6,"u")=0), "u", "")</f>
        <v/>
      </c>
      <c r="CR6" s="80" t="str">
        <f>IF(AND($F6&lt;&gt;"", $F6&gt;=CR$5-4, $F6&lt;=CR$5, COUNTIF($M6:CQ6,"u")=0), "u", "")</f>
        <v/>
      </c>
      <c r="CS6" s="80" t="str">
        <f>IF(AND($F6&lt;&gt;"", $F6&gt;=CS$5-4, $F6&lt;=CS$5, COUNTIF($M6:CR6,"u")=0), "u", "")</f>
        <v/>
      </c>
      <c r="CT6" s="80" t="str">
        <f>IF(AND($F6&lt;&gt;"", $F6&gt;=CT$5-4, $F6&lt;=CT$5, COUNTIF($M6:CS6,"u")=0), "u", "")</f>
        <v/>
      </c>
      <c r="CU6" s="80" t="str">
        <f>IF(AND($F6&lt;&gt;"", $F6&gt;=CU$5-4, $F6&lt;=CU$5, COUNTIF($M6:CT6,"u")=0), "u", "")</f>
        <v/>
      </c>
      <c r="CV6" s="80" t="str">
        <f>IF(AND($F6&lt;&gt;"", $F6&gt;=CV$5-4, $F6&lt;=CV$5, COUNTIF($M6:CU6,"u")=0), "u", "")</f>
        <v/>
      </c>
      <c r="CW6" s="80" t="str">
        <f>IF(AND($F6&lt;&gt;"", $F6&gt;=CW$5-4, $F6&lt;=CW$5, COUNTIF($M6:CV6,"u")=0), "u", "")</f>
        <v/>
      </c>
      <c r="CX6" s="80" t="str">
        <f>IF(AND($F6&lt;&gt;"", $F6&gt;=CX$5-4, $F6&lt;=CX$5, COUNTIF($M6:CW6,"u")=0), "u", "")</f>
        <v/>
      </c>
      <c r="CY6" s="80" t="str">
        <f>IF(AND($F6&lt;&gt;"", $F6&gt;=CY$5-4, $F6&lt;=CY$5, COUNTIF($M6:CX6,"u")=0), "u", "")</f>
        <v/>
      </c>
      <c r="CZ6" s="80" t="str">
        <f>IF(AND($F6&lt;&gt;"", $F6&gt;=CZ$5-4, $F6&lt;=CZ$5, COUNTIF($M6:CY6,"u")=0), "u", "")</f>
        <v/>
      </c>
      <c r="DA6" s="80" t="str">
        <f>IF(AND($F6&lt;&gt;"", $F6&gt;=DA$5-4, $F6&lt;=DA$5, COUNTIF($M6:CZ6,"u")=0), "u", "")</f>
        <v/>
      </c>
      <c r="DB6" s="80" t="str">
        <f>IF(AND($F6&lt;&gt;"", $F6&gt;=DB$5-4, $F6&lt;=DB$5, COUNTIF($M6:DA6,"u")=0), "u", "")</f>
        <v/>
      </c>
      <c r="DC6" s="80" t="str">
        <f>IF(AND($F6&lt;&gt;"", $F6&gt;=DC$5-4, $F6&lt;=DC$5, COUNTIF($M6:DB6,"u")=0), "u", "")</f>
        <v/>
      </c>
      <c r="DD6" s="80" t="str">
        <f>IF(AND($F6&lt;&gt;"", $F6&gt;=DD$5-4, $F6&lt;=DD$5, COUNTIF($M6:DC6,"u")=0), "u", "")</f>
        <v/>
      </c>
      <c r="DE6" s="80" t="str">
        <f>IF(AND($F6&lt;&gt;"", $F6&gt;=DE$5-4, $F6&lt;=DE$5, COUNTIF($M6:DD6,"u")=0), "u", "")</f>
        <v/>
      </c>
      <c r="DF6" s="80" t="str">
        <f>IF(AND($F6&lt;&gt;"", $F6&gt;=DF$5-4, $F6&lt;=DF$5, COUNTIF($M6:DE6,"u")=0), "u", "")</f>
        <v/>
      </c>
      <c r="DG6" s="80" t="str">
        <f>IF(AND($F6&lt;&gt;"", $F6&gt;=DG$5-4, $F6&lt;=DG$5, COUNTIF($M6:DF6,"u")=0), "u", "")</f>
        <v/>
      </c>
      <c r="DH6" s="80" t="str">
        <f>IF(AND($F6&lt;&gt;"", $F6&gt;=DH$5-4, $F6&lt;=DH$5, COUNTIF($M6:DG6,"u")=0), "u", "")</f>
        <v/>
      </c>
      <c r="DI6" s="80" t="str">
        <f>IF(AND($F6&lt;&gt;"", $F6&gt;=DI$5-4, $F6&lt;=DI$5, COUNTIF($M6:DH6,"u")=0), "u", "")</f>
        <v/>
      </c>
      <c r="DJ6" s="80" t="str">
        <f>IF(AND($F6&lt;&gt;"", $F6&gt;=DJ$5-4, $F6&lt;=DJ$5, COUNTIF($M6:DI6,"u")=0), "u", "")</f>
        <v/>
      </c>
      <c r="DK6" s="80" t="str">
        <f>IF(AND($F6&lt;&gt;"", $F6&gt;=DK$5-4, $F6&lt;=DK$5, COUNTIF($M6:DJ6,"u")=0), "u", "")</f>
        <v/>
      </c>
      <c r="DL6" s="80" t="str">
        <f>IF(AND($F6&lt;&gt;"", $F6&gt;=DL$5-4, $F6&lt;=DL$5, COUNTIF($M6:DK6,"u")=0), "u", "")</f>
        <v/>
      </c>
    </row>
    <row r="7" spans="1:116" ht="25.05" customHeight="1" x14ac:dyDescent="0.3">
      <c r="A7" s="39"/>
      <c r="B7" s="75">
        <v>2</v>
      </c>
      <c r="C7" s="51" t="s">
        <v>432</v>
      </c>
      <c r="D7" s="55" t="s">
        <v>433</v>
      </c>
      <c r="E7" s="53">
        <v>45796</v>
      </c>
      <c r="F7" s="53">
        <v>45798</v>
      </c>
      <c r="G7" s="76">
        <f t="shared" si="44"/>
        <v>45796</v>
      </c>
      <c r="H7" s="76">
        <f t="shared" si="44"/>
        <v>45796</v>
      </c>
      <c r="I7" s="77">
        <f t="shared" si="45"/>
        <v>3</v>
      </c>
      <c r="J7" s="78" t="s">
        <v>52</v>
      </c>
      <c r="K7" s="79">
        <v>0.3</v>
      </c>
      <c r="L7" s="54"/>
      <c r="M7" s="80" t="str">
        <f t="shared" ref="M7:M70" si="46">IF(AND($F7&lt;&gt;"", $F7&gt;=M$5-4, $F7&lt;=M$5), "u", "")</f>
        <v/>
      </c>
      <c r="N7" s="80" t="str">
        <f>IF(AND($F7&lt;&gt;"", $F7&gt;=N$5-4, $F7&lt;=N$5, COUNTIF($M7:M7,"u")=0), "u", "")</f>
        <v>u</v>
      </c>
      <c r="O7" s="80" t="str">
        <f>IF(AND($F7&lt;&gt;"", $F7&gt;=O$5-4, $F7&lt;=O$5, COUNTIF($M7:N7,"u")=0), "u", "")</f>
        <v/>
      </c>
      <c r="P7" s="80" t="str">
        <f>IF(AND($F7&lt;&gt;"", $F7&gt;=P$5-4, $F7&lt;=P$5, COUNTIF($M7:O7,"u")=0), "u", "")</f>
        <v/>
      </c>
      <c r="Q7" s="80" t="str">
        <f>IF(AND($F7&lt;&gt;"", $F7&gt;=Q$5-4, $F7&lt;=Q$5, COUNTIF($M7:P7,"u")=0), "u", "")</f>
        <v/>
      </c>
      <c r="R7" s="80" t="str">
        <f>IF(AND($F7&lt;&gt;"", $F7&gt;=R$5-4, $F7&lt;=R$5, COUNTIF($M7:Q7,"u")=0), "u", "")</f>
        <v/>
      </c>
      <c r="S7" s="80" t="str">
        <f>IF(AND($F7&lt;&gt;"", $F7&gt;=S$5-4, $F7&lt;=S$5, COUNTIF($M7:R7,"u")=0), "u", "")</f>
        <v/>
      </c>
      <c r="T7" s="80" t="str">
        <f>IF(AND($F7&lt;&gt;"", $F7&gt;=T$5-4, $F7&lt;=T$5, COUNTIF($M7:S7,"u")=0), "u", "")</f>
        <v/>
      </c>
      <c r="U7" s="80" t="str">
        <f>IF(AND($F7&lt;&gt;"", $F7&gt;=U$5-4, $F7&lt;=U$5, COUNTIF($M7:T7,"u")=0), "u", "")</f>
        <v/>
      </c>
      <c r="V7" s="80" t="str">
        <f>IF(AND($F7&lt;&gt;"", $F7&gt;=V$5-4, $F7&lt;=V$5, COUNTIF($M7:U7,"u")=0), "u", "")</f>
        <v/>
      </c>
      <c r="W7" s="80" t="str">
        <f>IF(AND($F7&lt;&gt;"", $F7&gt;=W$5-4, $F7&lt;=W$5, COUNTIF($M7:V7,"u")=0), "u", "")</f>
        <v/>
      </c>
      <c r="X7" s="80" t="str">
        <f>IF(AND($F7&lt;&gt;"", $F7&gt;=X$5-4, $F7&lt;=X$5, COUNTIF($M7:W7,"u")=0), "u", "")</f>
        <v/>
      </c>
      <c r="Y7" s="80" t="str">
        <f>IF(AND($F7&lt;&gt;"", $F7&gt;=Y$5-4, $F7&lt;=Y$5, COUNTIF($M7:X7,"u")=0), "u", "")</f>
        <v/>
      </c>
      <c r="Z7" s="80" t="str">
        <f>IF(AND($F7&lt;&gt;"", $F7&gt;=Z$5-4, $F7&lt;=Z$5, COUNTIF($M7:Y7,"u")=0), "u", "")</f>
        <v/>
      </c>
      <c r="AA7" s="80" t="str">
        <f>IF(AND($F7&lt;&gt;"", $F7&gt;=AA$5-4, $F7&lt;=AA$5, COUNTIF($M7:Z7,"u")=0), "u", "")</f>
        <v/>
      </c>
      <c r="AB7" s="80" t="str">
        <f>IF(AND($F7&lt;&gt;"", $F7&gt;=AB$5-4, $F7&lt;=AB$5, COUNTIF($M7:AA7,"u")=0), "u", "")</f>
        <v/>
      </c>
      <c r="AC7" s="80" t="str">
        <f>IF(AND($F7&lt;&gt;"", $F7&gt;=AC$5-4, $F7&lt;=AC$5, COUNTIF($M7:AB7,"u")=0), "u", "")</f>
        <v/>
      </c>
      <c r="AD7" s="80" t="str">
        <f>IF(AND($F7&lt;&gt;"", $F7&gt;=AD$5-4, $F7&lt;=AD$5, COUNTIF($M7:AC7,"u")=0), "u", "")</f>
        <v/>
      </c>
      <c r="AE7" s="80" t="str">
        <f>IF(AND($F7&lt;&gt;"", $F7&gt;=AE$5-4, $F7&lt;=AE$5, COUNTIF($M7:AD7,"u")=0), "u", "")</f>
        <v/>
      </c>
      <c r="AF7" s="80" t="str">
        <f>IF(AND($F7&lt;&gt;"", $F7&gt;=AF$5-4, $F7&lt;=AF$5, COUNTIF($M7:AE7,"u")=0), "u", "")</f>
        <v/>
      </c>
      <c r="AG7" s="80" t="str">
        <f>IF(AND($F7&lt;&gt;"", $F7&gt;=AG$5-4, $F7&lt;=AG$5, COUNTIF($M7:AF7,"u")=0), "u", "")</f>
        <v/>
      </c>
      <c r="AH7" s="80" t="str">
        <f>IF(AND($F7&lt;&gt;"", $F7&gt;=AH$5-4, $F7&lt;=AH$5, COUNTIF($M7:AG7,"u")=0), "u", "")</f>
        <v/>
      </c>
      <c r="AI7" s="80" t="str">
        <f>IF(AND($F7&lt;&gt;"", $F7&gt;=AI$5-4, $F7&lt;=AI$5, COUNTIF($M7:AH7,"u")=0), "u", "")</f>
        <v/>
      </c>
      <c r="AJ7" s="80" t="str">
        <f>IF(AND($F7&lt;&gt;"", $F7&gt;=AJ$5-4, $F7&lt;=AJ$5, COUNTIF($M7:AI7,"u")=0), "u", "")</f>
        <v/>
      </c>
      <c r="AK7" s="80" t="str">
        <f>IF(AND($F7&lt;&gt;"", $F7&gt;=AK$5-4, $F7&lt;=AK$5, COUNTIF($M7:AJ7,"u")=0), "u", "")</f>
        <v/>
      </c>
      <c r="AL7" s="80" t="str">
        <f>IF(AND($F7&lt;&gt;"", $F7&gt;=AL$5-4, $F7&lt;=AL$5, COUNTIF($M7:AK7,"u")=0), "u", "")</f>
        <v/>
      </c>
      <c r="AM7" s="80" t="str">
        <f>IF(AND($F7&lt;&gt;"", $F7&gt;=AM$5-4, $F7&lt;=AM$5, COUNTIF($M7:AL7,"u")=0), "u", "")</f>
        <v/>
      </c>
      <c r="AN7" s="80" t="str">
        <f>IF(AND($F7&lt;&gt;"", $F7&gt;=AN$5-4, $F7&lt;=AN$5, COUNTIF($M7:AM7,"u")=0), "u", "")</f>
        <v/>
      </c>
      <c r="AO7" s="80" t="str">
        <f>IF(AND($F7&lt;&gt;"", $F7&gt;=AO$5-4, $F7&lt;=AO$5, COUNTIF($M7:AN7,"u")=0), "u", "")</f>
        <v/>
      </c>
      <c r="AP7" s="80" t="str">
        <f>IF(AND($F7&lt;&gt;"", $F7&gt;=AP$5-4, $F7&lt;=AP$5, COUNTIF($M7:AO7,"u")=0), "u", "")</f>
        <v/>
      </c>
      <c r="AQ7" s="80" t="str">
        <f>IF(AND($F7&lt;&gt;"", $F7&gt;=AQ$5-4, $F7&lt;=AQ$5, COUNTIF($M7:AP7,"u")=0), "u", "")</f>
        <v/>
      </c>
      <c r="AR7" s="80" t="str">
        <f>IF(AND($F7&lt;&gt;"", $F7&gt;=AR$5-4, $F7&lt;=AR$5, COUNTIF($M7:AQ7,"u")=0), "u", "")</f>
        <v/>
      </c>
      <c r="AS7" s="80" t="str">
        <f>IF(AND($F7&lt;&gt;"", $F7&gt;=AS$5-4, $F7&lt;=AS$5, COUNTIF($M7:AR7,"u")=0), "u", "")</f>
        <v/>
      </c>
      <c r="AT7" s="80" t="str">
        <f>IF(AND($F7&lt;&gt;"", $F7&gt;=AT$5-4, $F7&lt;=AT$5, COUNTIF($M7:AS7,"u")=0), "u", "")</f>
        <v/>
      </c>
      <c r="AU7" s="80" t="str">
        <f>IF(AND($F7&lt;&gt;"", $F7&gt;=AU$5-4, $F7&lt;=AU$5, COUNTIF($M7:AT7,"u")=0), "u", "")</f>
        <v/>
      </c>
      <c r="AV7" s="80" t="str">
        <f>IF(AND($F7&lt;&gt;"", $F7&gt;=AV$5-4, $F7&lt;=AV$5, COUNTIF($M7:AU7,"u")=0), "u", "")</f>
        <v/>
      </c>
      <c r="AW7" s="80" t="str">
        <f>IF(AND($F7&lt;&gt;"", $F7&gt;=AW$5-4, $F7&lt;=AW$5, COUNTIF($M7:AV7,"u")=0), "u", "")</f>
        <v/>
      </c>
      <c r="AX7" s="80" t="str">
        <f>IF(AND($F7&lt;&gt;"", $F7&gt;=AX$5-4, $F7&lt;=AX$5, COUNTIF($M7:AW7,"u")=0), "u", "")</f>
        <v/>
      </c>
      <c r="AY7" s="80" t="str">
        <f>IF(AND($F7&lt;&gt;"", $F7&gt;=AY$5-4, $F7&lt;=AY$5, COUNTIF($M7:AX7,"u")=0), "u", "")</f>
        <v/>
      </c>
      <c r="AZ7" s="80" t="str">
        <f>IF(AND($F7&lt;&gt;"", $F7&gt;=AZ$5-4, $F7&lt;=AZ$5, COUNTIF($M7:AY7,"u")=0), "u", "")</f>
        <v/>
      </c>
      <c r="BA7" s="80" t="str">
        <f>IF(AND($F7&lt;&gt;"", $F7&gt;=BA$5-4, $F7&lt;=BA$5, COUNTIF($M7:AZ7,"u")=0), "u", "")</f>
        <v/>
      </c>
      <c r="BB7" s="80" t="str">
        <f>IF(AND($F7&lt;&gt;"", $F7&gt;=BB$5-4, $F7&lt;=BB$5, COUNTIF($M7:BA7,"u")=0), "u", "")</f>
        <v/>
      </c>
      <c r="BC7" s="80" t="str">
        <f>IF(AND($F7&lt;&gt;"", $F7&gt;=BC$5-4, $F7&lt;=BC$5, COUNTIF($M7:BB7,"u")=0), "u", "")</f>
        <v/>
      </c>
      <c r="BD7" s="80" t="str">
        <f>IF(AND($F7&lt;&gt;"", $F7&gt;=BD$5-4, $F7&lt;=BD$5, COUNTIF($M7:BC7,"u")=0), "u", "")</f>
        <v/>
      </c>
      <c r="BE7" s="80" t="str">
        <f>IF(AND($F7&lt;&gt;"", $F7&gt;=BE$5-4, $F7&lt;=BE$5, COUNTIF($M7:BD7,"u")=0), "u", "")</f>
        <v/>
      </c>
      <c r="BF7" s="80" t="str">
        <f>IF(AND($F7&lt;&gt;"", $F7&gt;=BF$5-4, $F7&lt;=BF$5, COUNTIF($M7:BE7,"u")=0), "u", "")</f>
        <v/>
      </c>
      <c r="BG7" s="80" t="str">
        <f>IF(AND($F7&lt;&gt;"", $F7&gt;=BG$5-4, $F7&lt;=BG$5, COUNTIF($M7:BF7,"u")=0), "u", "")</f>
        <v/>
      </c>
      <c r="BH7" s="80" t="str">
        <f>IF(AND($F7&lt;&gt;"", $F7&gt;=BH$5-4, $F7&lt;=BH$5, COUNTIF($M7:BG7,"u")=0), "u", "")</f>
        <v/>
      </c>
      <c r="BI7" s="80" t="str">
        <f>IF(AND($F7&lt;&gt;"", $F7&gt;=BI$5-4, $F7&lt;=BI$5, COUNTIF($M7:BH7,"u")=0), "u", "")</f>
        <v/>
      </c>
      <c r="BJ7" s="80" t="str">
        <f>IF(AND($F7&lt;&gt;"", $F7&gt;=BJ$5-4, $F7&lt;=BJ$5, COUNTIF($M7:BI7,"u")=0), "u", "")</f>
        <v/>
      </c>
      <c r="BK7" s="80" t="str">
        <f>IF(AND($F7&lt;&gt;"", $F7&gt;=BK$5-4, $F7&lt;=BK$5, COUNTIF($M7:BJ7,"u")=0), "u", "")</f>
        <v/>
      </c>
      <c r="BL7" s="80" t="str">
        <f>IF(AND($F7&lt;&gt;"", $F7&gt;=BL$5-4, $F7&lt;=BL$5, COUNTIF($M7:BK7,"u")=0), "u", "")</f>
        <v/>
      </c>
      <c r="BM7" s="80" t="str">
        <f>IF(AND($F7&lt;&gt;"", $F7&gt;=BM$5-4, $F7&lt;=BM$5, COUNTIF($M7:BL7,"u")=0), "u", "")</f>
        <v/>
      </c>
      <c r="BN7" s="80" t="str">
        <f>IF(AND($F7&lt;&gt;"", $F7&gt;=BN$5-4, $F7&lt;=BN$5, COUNTIF($M7:BM7,"u")=0), "u", "")</f>
        <v/>
      </c>
      <c r="BO7" s="80" t="str">
        <f>IF(AND($F7&lt;&gt;"", $F7&gt;=BO$5-4, $F7&lt;=BO$5, COUNTIF($M7:BN7,"u")=0), "u", "")</f>
        <v/>
      </c>
      <c r="BP7" s="80" t="str">
        <f>IF(AND($F7&lt;&gt;"", $F7&gt;=BP$5-4, $F7&lt;=BP$5, COUNTIF($M7:BO7,"u")=0), "u", "")</f>
        <v/>
      </c>
      <c r="BQ7" s="80" t="str">
        <f>IF(AND($F7&lt;&gt;"", $F7&gt;=BQ$5-4, $F7&lt;=BQ$5, COUNTIF($M7:BP7,"u")=0), "u", "")</f>
        <v/>
      </c>
      <c r="BR7" s="80" t="str">
        <f>IF(AND($F7&lt;&gt;"", $F7&gt;=BR$5-4, $F7&lt;=BR$5, COUNTIF($M7:BQ7,"u")=0), "u", "")</f>
        <v/>
      </c>
      <c r="BS7" s="80" t="str">
        <f>IF(AND($F7&lt;&gt;"", $F7&gt;=BS$5-4, $F7&lt;=BS$5, COUNTIF($M7:BR7,"u")=0), "u", "")</f>
        <v/>
      </c>
      <c r="BT7" s="80" t="str">
        <f>IF(AND($F7&lt;&gt;"", $F7&gt;=BT$5-4, $F7&lt;=BT$5, COUNTIF($M7:BS7,"u")=0), "u", "")</f>
        <v/>
      </c>
      <c r="BU7" s="80" t="str">
        <f>IF(AND($F7&lt;&gt;"", $F7&gt;=BU$5-4, $F7&lt;=BU$5, COUNTIF($M7:BT7,"u")=0), "u", "")</f>
        <v/>
      </c>
      <c r="BV7" s="80" t="str">
        <f>IF(AND($F7&lt;&gt;"", $F7&gt;=BV$5-4, $F7&lt;=BV$5, COUNTIF($M7:BU7,"u")=0), "u", "")</f>
        <v/>
      </c>
      <c r="BW7" s="80" t="str">
        <f>IF(AND($F7&lt;&gt;"", $F7&gt;=BW$5-4, $F7&lt;=BW$5, COUNTIF($M7:BV7,"u")=0), "u", "")</f>
        <v/>
      </c>
      <c r="BX7" s="80" t="str">
        <f>IF(AND($F7&lt;&gt;"", $F7&gt;=BX$5-4, $F7&lt;=BX$5, COUNTIF($M7:BW7,"u")=0), "u", "")</f>
        <v/>
      </c>
      <c r="BY7" s="80" t="str">
        <f>IF(AND($F7&lt;&gt;"", $F7&gt;=BY$5-4, $F7&lt;=BY$5, COUNTIF($M7:BX7,"u")=0), "u", "")</f>
        <v/>
      </c>
      <c r="BZ7" s="80" t="str">
        <f>IF(AND($F7&lt;&gt;"", $F7&gt;=BZ$5-4, $F7&lt;=BZ$5, COUNTIF($M7:BY7,"u")=0), "u", "")</f>
        <v/>
      </c>
      <c r="CA7" s="80" t="str">
        <f>IF(AND($F7&lt;&gt;"", $F7&gt;=CA$5-4, $F7&lt;=CA$5, COUNTIF($M7:BZ7,"u")=0), "u", "")</f>
        <v/>
      </c>
      <c r="CB7" s="80" t="str">
        <f>IF(AND($F7&lt;&gt;"", $F7&gt;=CB$5-4, $F7&lt;=CB$5, COUNTIF($M7:CA7,"u")=0), "u", "")</f>
        <v/>
      </c>
      <c r="CC7" s="80" t="str">
        <f>IF(AND($F7&lt;&gt;"", $F7&gt;=CC$5-4, $F7&lt;=CC$5, COUNTIF($M7:CB7,"u")=0), "u", "")</f>
        <v/>
      </c>
      <c r="CD7" s="80" t="str">
        <f>IF(AND($F7&lt;&gt;"", $F7&gt;=CD$5-4, $F7&lt;=CD$5, COUNTIF($M7:CC7,"u")=0), "u", "")</f>
        <v/>
      </c>
      <c r="CE7" s="80" t="str">
        <f>IF(AND($F7&lt;&gt;"", $F7&gt;=CE$5-4, $F7&lt;=CE$5, COUNTIF($M7:CD7,"u")=0), "u", "")</f>
        <v/>
      </c>
      <c r="CF7" s="80" t="str">
        <f>IF(AND($F7&lt;&gt;"", $F7&gt;=CF$5-4, $F7&lt;=CF$5, COUNTIF($M7:CE7,"u")=0), "u", "")</f>
        <v/>
      </c>
      <c r="CG7" s="80" t="str">
        <f>IF(AND($F7&lt;&gt;"", $F7&gt;=CG$5-4, $F7&lt;=CG$5, COUNTIF($M7:CF7,"u")=0), "u", "")</f>
        <v/>
      </c>
      <c r="CH7" s="80" t="str">
        <f>IF(AND($F7&lt;&gt;"", $F7&gt;=CH$5-4, $F7&lt;=CH$5, COUNTIF($M7:CG7,"u")=0), "u", "")</f>
        <v/>
      </c>
      <c r="CI7" s="80" t="str">
        <f>IF(AND($F7&lt;&gt;"", $F7&gt;=CI$5-4, $F7&lt;=CI$5, COUNTIF($M7:CH7,"u")=0), "u", "")</f>
        <v/>
      </c>
      <c r="CJ7" s="80" t="str">
        <f>IF(AND($F7&lt;&gt;"", $F7&gt;=CJ$5-4, $F7&lt;=CJ$5, COUNTIF($M7:CI7,"u")=0), "u", "")</f>
        <v/>
      </c>
      <c r="CK7" s="80" t="str">
        <f>IF(AND($F7&lt;&gt;"", $F7&gt;=CK$5-4, $F7&lt;=CK$5, COUNTIF($M7:CJ7,"u")=0), "u", "")</f>
        <v/>
      </c>
      <c r="CL7" s="80" t="str">
        <f>IF(AND($F7&lt;&gt;"", $F7&gt;=CL$5-4, $F7&lt;=CL$5, COUNTIF($M7:CK7,"u")=0), "u", "")</f>
        <v/>
      </c>
      <c r="CM7" s="80" t="str">
        <f>IF(AND($F7&lt;&gt;"", $F7&gt;=CM$5-4, $F7&lt;=CM$5, COUNTIF($M7:CL7,"u")=0), "u", "")</f>
        <v/>
      </c>
      <c r="CN7" s="80" t="str">
        <f>IF(AND($F7&lt;&gt;"", $F7&gt;=CN$5-4, $F7&lt;=CN$5, COUNTIF($M7:CM7,"u")=0), "u", "")</f>
        <v/>
      </c>
      <c r="CO7" s="80" t="str">
        <f>IF(AND($F7&lt;&gt;"", $F7&gt;=CO$5-4, $F7&lt;=CO$5, COUNTIF($M7:CN7,"u")=0), "u", "")</f>
        <v/>
      </c>
      <c r="CP7" s="80" t="str">
        <f>IF(AND($F7&lt;&gt;"", $F7&gt;=CP$5-4, $F7&lt;=CP$5, COUNTIF($M7:CO7,"u")=0), "u", "")</f>
        <v/>
      </c>
      <c r="CQ7" s="80" t="str">
        <f>IF(AND($F7&lt;&gt;"", $F7&gt;=CQ$5-4, $F7&lt;=CQ$5, COUNTIF($M7:CP7,"u")=0), "u", "")</f>
        <v/>
      </c>
      <c r="CR7" s="80" t="str">
        <f>IF(AND($F7&lt;&gt;"", $F7&gt;=CR$5-4, $F7&lt;=CR$5, COUNTIF($M7:CQ7,"u")=0), "u", "")</f>
        <v/>
      </c>
      <c r="CS7" s="80" t="str">
        <f>IF(AND($F7&lt;&gt;"", $F7&gt;=CS$5-4, $F7&lt;=CS$5, COUNTIF($M7:CR7,"u")=0), "u", "")</f>
        <v/>
      </c>
      <c r="CT7" s="80" t="str">
        <f>IF(AND($F7&lt;&gt;"", $F7&gt;=CT$5-4, $F7&lt;=CT$5, COUNTIF($M7:CS7,"u")=0), "u", "")</f>
        <v/>
      </c>
      <c r="CU7" s="80" t="str">
        <f>IF(AND($F7&lt;&gt;"", $F7&gt;=CU$5-4, $F7&lt;=CU$5, COUNTIF($M7:CT7,"u")=0), "u", "")</f>
        <v/>
      </c>
      <c r="CV7" s="80" t="str">
        <f>IF(AND($F7&lt;&gt;"", $F7&gt;=CV$5-4, $F7&lt;=CV$5, COUNTIF($M7:CU7,"u")=0), "u", "")</f>
        <v/>
      </c>
      <c r="CW7" s="80" t="str">
        <f>IF(AND($F7&lt;&gt;"", $F7&gt;=CW$5-4, $F7&lt;=CW$5, COUNTIF($M7:CV7,"u")=0), "u", "")</f>
        <v/>
      </c>
      <c r="CX7" s="80" t="str">
        <f>IF(AND($F7&lt;&gt;"", $F7&gt;=CX$5-4, $F7&lt;=CX$5, COUNTIF($M7:CW7,"u")=0), "u", "")</f>
        <v/>
      </c>
      <c r="CY7" s="80" t="str">
        <f>IF(AND($F7&lt;&gt;"", $F7&gt;=CY$5-4, $F7&lt;=CY$5, COUNTIF($M7:CX7,"u")=0), "u", "")</f>
        <v/>
      </c>
      <c r="CZ7" s="80" t="str">
        <f>IF(AND($F7&lt;&gt;"", $F7&gt;=CZ$5-4, $F7&lt;=CZ$5, COUNTIF($M7:CY7,"u")=0), "u", "")</f>
        <v/>
      </c>
      <c r="DA7" s="80" t="str">
        <f>IF(AND($F7&lt;&gt;"", $F7&gt;=DA$5-4, $F7&lt;=DA$5, COUNTIF($M7:CZ7,"u")=0), "u", "")</f>
        <v/>
      </c>
      <c r="DB7" s="80" t="str">
        <f>IF(AND($F7&lt;&gt;"", $F7&gt;=DB$5-4, $F7&lt;=DB$5, COUNTIF($M7:DA7,"u")=0), "u", "")</f>
        <v/>
      </c>
      <c r="DC7" s="80" t="str">
        <f>IF(AND($F7&lt;&gt;"", $F7&gt;=DC$5-4, $F7&lt;=DC$5, COUNTIF($M7:DB7,"u")=0), "u", "")</f>
        <v/>
      </c>
      <c r="DD7" s="80" t="str">
        <f>IF(AND($F7&lt;&gt;"", $F7&gt;=DD$5-4, $F7&lt;=DD$5, COUNTIF($M7:DC7,"u")=0), "u", "")</f>
        <v/>
      </c>
      <c r="DE7" s="80" t="str">
        <f>IF(AND($F7&lt;&gt;"", $F7&gt;=DE$5-4, $F7&lt;=DE$5, COUNTIF($M7:DD7,"u")=0), "u", "")</f>
        <v/>
      </c>
      <c r="DF7" s="80" t="str">
        <f>IF(AND($F7&lt;&gt;"", $F7&gt;=DF$5-4, $F7&lt;=DF$5, COUNTIF($M7:DE7,"u")=0), "u", "")</f>
        <v/>
      </c>
      <c r="DG7" s="80" t="str">
        <f>IF(AND($F7&lt;&gt;"", $F7&gt;=DG$5-4, $F7&lt;=DG$5, COUNTIF($M7:DF7,"u")=0), "u", "")</f>
        <v/>
      </c>
      <c r="DH7" s="80" t="str">
        <f>IF(AND($F7&lt;&gt;"", $F7&gt;=DH$5-4, $F7&lt;=DH$5, COUNTIF($M7:DG7,"u")=0), "u", "")</f>
        <v/>
      </c>
      <c r="DI7" s="80" t="str">
        <f>IF(AND($F7&lt;&gt;"", $F7&gt;=DI$5-4, $F7&lt;=DI$5, COUNTIF($M7:DH7,"u")=0), "u", "")</f>
        <v/>
      </c>
      <c r="DJ7" s="80" t="str">
        <f>IF(AND($F7&lt;&gt;"", $F7&gt;=DJ$5-4, $F7&lt;=DJ$5, COUNTIF($M7:DI7,"u")=0), "u", "")</f>
        <v/>
      </c>
      <c r="DK7" s="80" t="str">
        <f>IF(AND($F7&lt;&gt;"", $F7&gt;=DK$5-4, $F7&lt;=DK$5, COUNTIF($M7:DJ7,"u")=0), "u", "")</f>
        <v/>
      </c>
      <c r="DL7" s="80" t="str">
        <f>IF(AND($F7&lt;&gt;"", $F7&gt;=DL$5-4, $F7&lt;=DL$5, COUNTIF($M7:DK7,"u")=0), "u", "")</f>
        <v/>
      </c>
    </row>
    <row r="8" spans="1:116" ht="25.05" customHeight="1" x14ac:dyDescent="0.3">
      <c r="A8" s="39"/>
      <c r="B8" s="75">
        <v>3</v>
      </c>
      <c r="C8" s="51" t="s">
        <v>436</v>
      </c>
      <c r="D8" s="55" t="s">
        <v>433</v>
      </c>
      <c r="E8" s="53">
        <v>45798</v>
      </c>
      <c r="F8" s="53">
        <v>45803</v>
      </c>
      <c r="G8" s="76">
        <f t="shared" si="44"/>
        <v>45796</v>
      </c>
      <c r="H8" s="76">
        <f t="shared" si="44"/>
        <v>45803</v>
      </c>
      <c r="I8" s="77">
        <f t="shared" si="45"/>
        <v>4</v>
      </c>
      <c r="J8" s="78" t="s">
        <v>50</v>
      </c>
      <c r="K8" s="79">
        <v>0</v>
      </c>
      <c r="L8" s="54"/>
      <c r="M8" s="80" t="str">
        <f t="shared" si="46"/>
        <v/>
      </c>
      <c r="N8" s="80" t="str">
        <f>IF(AND($F8&lt;&gt;"", $F8&gt;=N$5-4, $F8&lt;=N$5, COUNTIF($M8:M8,"u")=0), "u", "")</f>
        <v/>
      </c>
      <c r="O8" s="80" t="str">
        <f>IF(AND($F8&lt;&gt;"", $F8&gt;=O$5-4, $F8&lt;=O$5, COUNTIF($M8:N8,"u")=0), "u", "")</f>
        <v>u</v>
      </c>
      <c r="P8" s="80" t="str">
        <f>IF(AND($F8&lt;&gt;"", $F8&gt;=P$5-4, $F8&lt;=P$5, COUNTIF($M8:O8,"u")=0), "u", "")</f>
        <v/>
      </c>
      <c r="Q8" s="80" t="str">
        <f>IF(AND($F8&lt;&gt;"", $F8&gt;=Q$5-4, $F8&lt;=Q$5, COUNTIF($M8:P8,"u")=0), "u", "")</f>
        <v/>
      </c>
      <c r="R8" s="80" t="str">
        <f>IF(AND($F8&lt;&gt;"", $F8&gt;=R$5-4, $F8&lt;=R$5, COUNTIF($M8:Q8,"u")=0), "u", "")</f>
        <v/>
      </c>
      <c r="S8" s="80" t="str">
        <f>IF(AND($F8&lt;&gt;"", $F8&gt;=S$5-4, $F8&lt;=S$5, COUNTIF($M8:R8,"u")=0), "u", "")</f>
        <v/>
      </c>
      <c r="T8" s="80" t="str">
        <f>IF(AND($F8&lt;&gt;"", $F8&gt;=T$5-4, $F8&lt;=T$5, COUNTIF($M8:S8,"u")=0), "u", "")</f>
        <v/>
      </c>
      <c r="U8" s="80" t="str">
        <f>IF(AND($F8&lt;&gt;"", $F8&gt;=U$5-4, $F8&lt;=U$5, COUNTIF($M8:T8,"u")=0), "u", "")</f>
        <v/>
      </c>
      <c r="V8" s="80" t="str">
        <f>IF(AND($F8&lt;&gt;"", $F8&gt;=V$5-4, $F8&lt;=V$5, COUNTIF($M8:U8,"u")=0), "u", "")</f>
        <v/>
      </c>
      <c r="W8" s="80" t="str">
        <f>IF(AND($F8&lt;&gt;"", $F8&gt;=W$5-4, $F8&lt;=W$5, COUNTIF($M8:V8,"u")=0), "u", "")</f>
        <v/>
      </c>
      <c r="X8" s="80" t="str">
        <f>IF(AND($F8&lt;&gt;"", $F8&gt;=X$5-4, $F8&lt;=X$5, COUNTIF($M8:W8,"u")=0), "u", "")</f>
        <v/>
      </c>
      <c r="Y8" s="80" t="str">
        <f>IF(AND($F8&lt;&gt;"", $F8&gt;=Y$5-4, $F8&lt;=Y$5, COUNTIF($M8:X8,"u")=0), "u", "")</f>
        <v/>
      </c>
      <c r="Z8" s="80" t="str">
        <f>IF(AND($F8&lt;&gt;"", $F8&gt;=Z$5-4, $F8&lt;=Z$5, COUNTIF($M8:Y8,"u")=0), "u", "")</f>
        <v/>
      </c>
      <c r="AA8" s="80" t="str">
        <f>IF(AND($F8&lt;&gt;"", $F8&gt;=AA$5-4, $F8&lt;=AA$5, COUNTIF($M8:Z8,"u")=0), "u", "")</f>
        <v/>
      </c>
      <c r="AB8" s="80" t="str">
        <f>IF(AND($F8&lt;&gt;"", $F8&gt;=AB$5-4, $F8&lt;=AB$5, COUNTIF($M8:AA8,"u")=0), "u", "")</f>
        <v/>
      </c>
      <c r="AC8" s="80" t="str">
        <f>IF(AND($F8&lt;&gt;"", $F8&gt;=AC$5-4, $F8&lt;=AC$5, COUNTIF($M8:AB8,"u")=0), "u", "")</f>
        <v/>
      </c>
      <c r="AD8" s="80" t="str">
        <f>IF(AND($F8&lt;&gt;"", $F8&gt;=AD$5-4, $F8&lt;=AD$5, COUNTIF($M8:AC8,"u")=0), "u", "")</f>
        <v/>
      </c>
      <c r="AE8" s="80" t="str">
        <f>IF(AND($F8&lt;&gt;"", $F8&gt;=AE$5-4, $F8&lt;=AE$5, COUNTIF($M8:AD8,"u")=0), "u", "")</f>
        <v/>
      </c>
      <c r="AF8" s="80" t="str">
        <f>IF(AND($F8&lt;&gt;"", $F8&gt;=AF$5-4, $F8&lt;=AF$5, COUNTIF($M8:AE8,"u")=0), "u", "")</f>
        <v/>
      </c>
      <c r="AG8" s="80" t="str">
        <f>IF(AND($F8&lt;&gt;"", $F8&gt;=AG$5-4, $F8&lt;=AG$5, COUNTIF($M8:AF8,"u")=0), "u", "")</f>
        <v/>
      </c>
      <c r="AH8" s="80" t="str">
        <f>IF(AND($F8&lt;&gt;"", $F8&gt;=AH$5-4, $F8&lt;=AH$5, COUNTIF($M8:AG8,"u")=0), "u", "")</f>
        <v/>
      </c>
      <c r="AI8" s="80" t="str">
        <f>IF(AND($F8&lt;&gt;"", $F8&gt;=AI$5-4, $F8&lt;=AI$5, COUNTIF($M8:AH8,"u")=0), "u", "")</f>
        <v/>
      </c>
      <c r="AJ8" s="80" t="str">
        <f>IF(AND($F8&lt;&gt;"", $F8&gt;=AJ$5-4, $F8&lt;=AJ$5, COUNTIF($M8:AI8,"u")=0), "u", "")</f>
        <v/>
      </c>
      <c r="AK8" s="80" t="str">
        <f>IF(AND($F8&lt;&gt;"", $F8&gt;=AK$5-4, $F8&lt;=AK$5, COUNTIF($M8:AJ8,"u")=0), "u", "")</f>
        <v/>
      </c>
      <c r="AL8" s="80" t="str">
        <f>IF(AND($F8&lt;&gt;"", $F8&gt;=AL$5-4, $F8&lt;=AL$5, COUNTIF($M8:AK8,"u")=0), "u", "")</f>
        <v/>
      </c>
      <c r="AM8" s="80" t="str">
        <f>IF(AND($F8&lt;&gt;"", $F8&gt;=AM$5-4, $F8&lt;=AM$5, COUNTIF($M8:AL8,"u")=0), "u", "")</f>
        <v/>
      </c>
      <c r="AN8" s="80" t="str">
        <f>IF(AND($F8&lt;&gt;"", $F8&gt;=AN$5-4, $F8&lt;=AN$5, COUNTIF($M8:AM8,"u")=0), "u", "")</f>
        <v/>
      </c>
      <c r="AO8" s="80" t="str">
        <f>IF(AND($F8&lt;&gt;"", $F8&gt;=AO$5-4, $F8&lt;=AO$5, COUNTIF($M8:AN8,"u")=0), "u", "")</f>
        <v/>
      </c>
      <c r="AP8" s="80" t="str">
        <f>IF(AND($F8&lt;&gt;"", $F8&gt;=AP$5-4, $F8&lt;=AP$5, COUNTIF($M8:AO8,"u")=0), "u", "")</f>
        <v/>
      </c>
      <c r="AQ8" s="80" t="str">
        <f>IF(AND($F8&lt;&gt;"", $F8&gt;=AQ$5-4, $F8&lt;=AQ$5, COUNTIF($M8:AP8,"u")=0), "u", "")</f>
        <v/>
      </c>
      <c r="AR8" s="80" t="str">
        <f>IF(AND($F8&lt;&gt;"", $F8&gt;=AR$5-4, $F8&lt;=AR$5, COUNTIF($M8:AQ8,"u")=0), "u", "")</f>
        <v/>
      </c>
      <c r="AS8" s="80" t="str">
        <f>IF(AND($F8&lt;&gt;"", $F8&gt;=AS$5-4, $F8&lt;=AS$5, COUNTIF($M8:AR8,"u")=0), "u", "")</f>
        <v/>
      </c>
      <c r="AT8" s="80" t="str">
        <f>IF(AND($F8&lt;&gt;"", $F8&gt;=AT$5-4, $F8&lt;=AT$5, COUNTIF($M8:AS8,"u")=0), "u", "")</f>
        <v/>
      </c>
      <c r="AU8" s="80" t="str">
        <f>IF(AND($F8&lt;&gt;"", $F8&gt;=AU$5-4, $F8&lt;=AU$5, COUNTIF($M8:AT8,"u")=0), "u", "")</f>
        <v/>
      </c>
      <c r="AV8" s="80" t="str">
        <f>IF(AND($F8&lt;&gt;"", $F8&gt;=AV$5-4, $F8&lt;=AV$5, COUNTIF($M8:AU8,"u")=0), "u", "")</f>
        <v/>
      </c>
      <c r="AW8" s="80" t="str">
        <f>IF(AND($F8&lt;&gt;"", $F8&gt;=AW$5-4, $F8&lt;=AW$5, COUNTIF($M8:AV8,"u")=0), "u", "")</f>
        <v/>
      </c>
      <c r="AX8" s="80" t="str">
        <f>IF(AND($F8&lt;&gt;"", $F8&gt;=AX$5-4, $F8&lt;=AX$5, COUNTIF($M8:AW8,"u")=0), "u", "")</f>
        <v/>
      </c>
      <c r="AY8" s="80" t="str">
        <f>IF(AND($F8&lt;&gt;"", $F8&gt;=AY$5-4, $F8&lt;=AY$5, COUNTIF($M8:AX8,"u")=0), "u", "")</f>
        <v/>
      </c>
      <c r="AZ8" s="80" t="str">
        <f>IF(AND($F8&lt;&gt;"", $F8&gt;=AZ$5-4, $F8&lt;=AZ$5, COUNTIF($M8:AY8,"u")=0), "u", "")</f>
        <v/>
      </c>
      <c r="BA8" s="80" t="str">
        <f>IF(AND($F8&lt;&gt;"", $F8&gt;=BA$5-4, $F8&lt;=BA$5, COUNTIF($M8:AZ8,"u")=0), "u", "")</f>
        <v/>
      </c>
      <c r="BB8" s="80" t="str">
        <f>IF(AND($F8&lt;&gt;"", $F8&gt;=BB$5-4, $F8&lt;=BB$5, COUNTIF($M8:BA8,"u")=0), "u", "")</f>
        <v/>
      </c>
      <c r="BC8" s="80" t="str">
        <f>IF(AND($F8&lt;&gt;"", $F8&gt;=BC$5-4, $F8&lt;=BC$5, COUNTIF($M8:BB8,"u")=0), "u", "")</f>
        <v/>
      </c>
      <c r="BD8" s="80" t="str">
        <f>IF(AND($F8&lt;&gt;"", $F8&gt;=BD$5-4, $F8&lt;=BD$5, COUNTIF($M8:BC8,"u")=0), "u", "")</f>
        <v/>
      </c>
      <c r="BE8" s="80" t="str">
        <f>IF(AND($F8&lt;&gt;"", $F8&gt;=BE$5-4, $F8&lt;=BE$5, COUNTIF($M8:BD8,"u")=0), "u", "")</f>
        <v/>
      </c>
      <c r="BF8" s="80" t="str">
        <f>IF(AND($F8&lt;&gt;"", $F8&gt;=BF$5-4, $F8&lt;=BF$5, COUNTIF($M8:BE8,"u")=0), "u", "")</f>
        <v/>
      </c>
      <c r="BG8" s="80" t="str">
        <f>IF(AND($F8&lt;&gt;"", $F8&gt;=BG$5-4, $F8&lt;=BG$5, COUNTIF($M8:BF8,"u")=0), "u", "")</f>
        <v/>
      </c>
      <c r="BH8" s="80" t="str">
        <f>IF(AND($F8&lt;&gt;"", $F8&gt;=BH$5-4, $F8&lt;=BH$5, COUNTIF($M8:BG8,"u")=0), "u", "")</f>
        <v/>
      </c>
      <c r="BI8" s="80" t="str">
        <f>IF(AND($F8&lt;&gt;"", $F8&gt;=BI$5-4, $F8&lt;=BI$5, COUNTIF($M8:BH8,"u")=0), "u", "")</f>
        <v/>
      </c>
      <c r="BJ8" s="80" t="str">
        <f>IF(AND($F8&lt;&gt;"", $F8&gt;=BJ$5-4, $F8&lt;=BJ$5, COUNTIF($M8:BI8,"u")=0), "u", "")</f>
        <v/>
      </c>
      <c r="BK8" s="80" t="str">
        <f>IF(AND($F8&lt;&gt;"", $F8&gt;=BK$5-4, $F8&lt;=BK$5, COUNTIF($M8:BJ8,"u")=0), "u", "")</f>
        <v/>
      </c>
      <c r="BL8" s="80" t="str">
        <f>IF(AND($F8&lt;&gt;"", $F8&gt;=BL$5-4, $F8&lt;=BL$5, COUNTIF($M8:BK8,"u")=0), "u", "")</f>
        <v/>
      </c>
      <c r="BM8" s="80" t="str">
        <f>IF(AND($F8&lt;&gt;"", $F8&gt;=BM$5-4, $F8&lt;=BM$5, COUNTIF($M8:BL8,"u")=0), "u", "")</f>
        <v/>
      </c>
      <c r="BN8" s="80" t="str">
        <f>IF(AND($F8&lt;&gt;"", $F8&gt;=BN$5-4, $F8&lt;=BN$5, COUNTIF($M8:BM8,"u")=0), "u", "")</f>
        <v/>
      </c>
      <c r="BO8" s="80" t="str">
        <f>IF(AND($F8&lt;&gt;"", $F8&gt;=BO$5-4, $F8&lt;=BO$5, COUNTIF($M8:BN8,"u")=0), "u", "")</f>
        <v/>
      </c>
      <c r="BP8" s="80" t="str">
        <f>IF(AND($F8&lt;&gt;"", $F8&gt;=BP$5-4, $F8&lt;=BP$5, COUNTIF($M8:BO8,"u")=0), "u", "")</f>
        <v/>
      </c>
      <c r="BQ8" s="80" t="str">
        <f>IF(AND($F8&lt;&gt;"", $F8&gt;=BQ$5-4, $F8&lt;=BQ$5, COUNTIF($M8:BP8,"u")=0), "u", "")</f>
        <v/>
      </c>
      <c r="BR8" s="80" t="str">
        <f>IF(AND($F8&lt;&gt;"", $F8&gt;=BR$5-4, $F8&lt;=BR$5, COUNTIF($M8:BQ8,"u")=0), "u", "")</f>
        <v/>
      </c>
      <c r="BS8" s="80" t="str">
        <f>IF(AND($F8&lt;&gt;"", $F8&gt;=BS$5-4, $F8&lt;=BS$5, COUNTIF($M8:BR8,"u")=0), "u", "")</f>
        <v/>
      </c>
      <c r="BT8" s="80" t="str">
        <f>IF(AND($F8&lt;&gt;"", $F8&gt;=BT$5-4, $F8&lt;=BT$5, COUNTIF($M8:BS8,"u")=0), "u", "")</f>
        <v/>
      </c>
      <c r="BU8" s="80" t="str">
        <f>IF(AND($F8&lt;&gt;"", $F8&gt;=BU$5-4, $F8&lt;=BU$5, COUNTIF($M8:BT8,"u")=0), "u", "")</f>
        <v/>
      </c>
      <c r="BV8" s="80" t="str">
        <f>IF(AND($F8&lt;&gt;"", $F8&gt;=BV$5-4, $F8&lt;=BV$5, COUNTIF($M8:BU8,"u")=0), "u", "")</f>
        <v/>
      </c>
      <c r="BW8" s="80" t="str">
        <f>IF(AND($F8&lt;&gt;"", $F8&gt;=BW$5-4, $F8&lt;=BW$5, COUNTIF($M8:BV8,"u")=0), "u", "")</f>
        <v/>
      </c>
      <c r="BX8" s="80" t="str">
        <f>IF(AND($F8&lt;&gt;"", $F8&gt;=BX$5-4, $F8&lt;=BX$5, COUNTIF($M8:BW8,"u")=0), "u", "")</f>
        <v/>
      </c>
      <c r="BY8" s="80" t="str">
        <f>IF(AND($F8&lt;&gt;"", $F8&gt;=BY$5-4, $F8&lt;=BY$5, COUNTIF($M8:BX8,"u")=0), "u", "")</f>
        <v/>
      </c>
      <c r="BZ8" s="80" t="str">
        <f>IF(AND($F8&lt;&gt;"", $F8&gt;=BZ$5-4, $F8&lt;=BZ$5, COUNTIF($M8:BY8,"u")=0), "u", "")</f>
        <v/>
      </c>
      <c r="CA8" s="80" t="str">
        <f>IF(AND($F8&lt;&gt;"", $F8&gt;=CA$5-4, $F8&lt;=CA$5, COUNTIF($M8:BZ8,"u")=0), "u", "")</f>
        <v/>
      </c>
      <c r="CB8" s="80" t="str">
        <f>IF(AND($F8&lt;&gt;"", $F8&gt;=CB$5-4, $F8&lt;=CB$5, COUNTIF($M8:CA8,"u")=0), "u", "")</f>
        <v/>
      </c>
      <c r="CC8" s="80" t="str">
        <f>IF(AND($F8&lt;&gt;"", $F8&gt;=CC$5-4, $F8&lt;=CC$5, COUNTIF($M8:CB8,"u")=0), "u", "")</f>
        <v/>
      </c>
      <c r="CD8" s="80" t="str">
        <f>IF(AND($F8&lt;&gt;"", $F8&gt;=CD$5-4, $F8&lt;=CD$5, COUNTIF($M8:CC8,"u")=0), "u", "")</f>
        <v/>
      </c>
      <c r="CE8" s="80" t="str">
        <f>IF(AND($F8&lt;&gt;"", $F8&gt;=CE$5-4, $F8&lt;=CE$5, COUNTIF($M8:CD8,"u")=0), "u", "")</f>
        <v/>
      </c>
      <c r="CF8" s="80" t="str">
        <f>IF(AND($F8&lt;&gt;"", $F8&gt;=CF$5-4, $F8&lt;=CF$5, COUNTIF($M8:CE8,"u")=0), "u", "")</f>
        <v/>
      </c>
      <c r="CG8" s="80" t="str">
        <f>IF(AND($F8&lt;&gt;"", $F8&gt;=CG$5-4, $F8&lt;=CG$5, COUNTIF($M8:CF8,"u")=0), "u", "")</f>
        <v/>
      </c>
      <c r="CH8" s="80" t="str">
        <f>IF(AND($F8&lt;&gt;"", $F8&gt;=CH$5-4, $F8&lt;=CH$5, COUNTIF($M8:CG8,"u")=0), "u", "")</f>
        <v/>
      </c>
      <c r="CI8" s="80" t="str">
        <f>IF(AND($F8&lt;&gt;"", $F8&gt;=CI$5-4, $F8&lt;=CI$5, COUNTIF($M8:CH8,"u")=0), "u", "")</f>
        <v/>
      </c>
      <c r="CJ8" s="80" t="str">
        <f>IF(AND($F8&lt;&gt;"", $F8&gt;=CJ$5-4, $F8&lt;=CJ$5, COUNTIF($M8:CI8,"u")=0), "u", "")</f>
        <v/>
      </c>
      <c r="CK8" s="80" t="str">
        <f>IF(AND($F8&lt;&gt;"", $F8&gt;=CK$5-4, $F8&lt;=CK$5, COUNTIF($M8:CJ8,"u")=0), "u", "")</f>
        <v/>
      </c>
      <c r="CL8" s="80" t="str">
        <f>IF(AND($F8&lt;&gt;"", $F8&gt;=CL$5-4, $F8&lt;=CL$5, COUNTIF($M8:CK8,"u")=0), "u", "")</f>
        <v/>
      </c>
      <c r="CM8" s="80" t="str">
        <f>IF(AND($F8&lt;&gt;"", $F8&gt;=CM$5-4, $F8&lt;=CM$5, COUNTIF($M8:CL8,"u")=0), "u", "")</f>
        <v/>
      </c>
      <c r="CN8" s="80" t="str">
        <f>IF(AND($F8&lt;&gt;"", $F8&gt;=CN$5-4, $F8&lt;=CN$5, COUNTIF($M8:CM8,"u")=0), "u", "")</f>
        <v/>
      </c>
      <c r="CO8" s="80" t="str">
        <f>IF(AND($F8&lt;&gt;"", $F8&gt;=CO$5-4, $F8&lt;=CO$5, COUNTIF($M8:CN8,"u")=0), "u", "")</f>
        <v/>
      </c>
      <c r="CP8" s="80" t="str">
        <f>IF(AND($F8&lt;&gt;"", $F8&gt;=CP$5-4, $F8&lt;=CP$5, COUNTIF($M8:CO8,"u")=0), "u", "")</f>
        <v/>
      </c>
      <c r="CQ8" s="80" t="str">
        <f>IF(AND($F8&lt;&gt;"", $F8&gt;=CQ$5-4, $F8&lt;=CQ$5, COUNTIF($M8:CP8,"u")=0), "u", "")</f>
        <v/>
      </c>
      <c r="CR8" s="80" t="str">
        <f>IF(AND($F8&lt;&gt;"", $F8&gt;=CR$5-4, $F8&lt;=CR$5, COUNTIF($M8:CQ8,"u")=0), "u", "")</f>
        <v/>
      </c>
      <c r="CS8" s="80" t="str">
        <f>IF(AND($F8&lt;&gt;"", $F8&gt;=CS$5-4, $F8&lt;=CS$5, COUNTIF($M8:CR8,"u")=0), "u", "")</f>
        <v/>
      </c>
      <c r="CT8" s="80" t="str">
        <f>IF(AND($F8&lt;&gt;"", $F8&gt;=CT$5-4, $F8&lt;=CT$5, COUNTIF($M8:CS8,"u")=0), "u", "")</f>
        <v/>
      </c>
      <c r="CU8" s="80" t="str">
        <f>IF(AND($F8&lt;&gt;"", $F8&gt;=CU$5-4, $F8&lt;=CU$5, COUNTIF($M8:CT8,"u")=0), "u", "")</f>
        <v/>
      </c>
      <c r="CV8" s="80" t="str">
        <f>IF(AND($F8&lt;&gt;"", $F8&gt;=CV$5-4, $F8&lt;=CV$5, COUNTIF($M8:CU8,"u")=0), "u", "")</f>
        <v/>
      </c>
      <c r="CW8" s="80" t="str">
        <f>IF(AND($F8&lt;&gt;"", $F8&gt;=CW$5-4, $F8&lt;=CW$5, COUNTIF($M8:CV8,"u")=0), "u", "")</f>
        <v/>
      </c>
      <c r="CX8" s="80" t="str">
        <f>IF(AND($F8&lt;&gt;"", $F8&gt;=CX$5-4, $F8&lt;=CX$5, COUNTIF($M8:CW8,"u")=0), "u", "")</f>
        <v/>
      </c>
      <c r="CY8" s="80" t="str">
        <f>IF(AND($F8&lt;&gt;"", $F8&gt;=CY$5-4, $F8&lt;=CY$5, COUNTIF($M8:CX8,"u")=0), "u", "")</f>
        <v/>
      </c>
      <c r="CZ8" s="80" t="str">
        <f>IF(AND($F8&lt;&gt;"", $F8&gt;=CZ$5-4, $F8&lt;=CZ$5, COUNTIF($M8:CY8,"u")=0), "u", "")</f>
        <v/>
      </c>
      <c r="DA8" s="80" t="str">
        <f>IF(AND($F8&lt;&gt;"", $F8&gt;=DA$5-4, $F8&lt;=DA$5, COUNTIF($M8:CZ8,"u")=0), "u", "")</f>
        <v/>
      </c>
      <c r="DB8" s="80" t="str">
        <f>IF(AND($F8&lt;&gt;"", $F8&gt;=DB$5-4, $F8&lt;=DB$5, COUNTIF($M8:DA8,"u")=0), "u", "")</f>
        <v/>
      </c>
      <c r="DC8" s="80" t="str">
        <f>IF(AND($F8&lt;&gt;"", $F8&gt;=DC$5-4, $F8&lt;=DC$5, COUNTIF($M8:DB8,"u")=0), "u", "")</f>
        <v/>
      </c>
      <c r="DD8" s="80" t="str">
        <f>IF(AND($F8&lt;&gt;"", $F8&gt;=DD$5-4, $F8&lt;=DD$5, COUNTIF($M8:DC8,"u")=0), "u", "")</f>
        <v/>
      </c>
      <c r="DE8" s="80" t="str">
        <f>IF(AND($F8&lt;&gt;"", $F8&gt;=DE$5-4, $F8&lt;=DE$5, COUNTIF($M8:DD8,"u")=0), "u", "")</f>
        <v/>
      </c>
      <c r="DF8" s="80" t="str">
        <f>IF(AND($F8&lt;&gt;"", $F8&gt;=DF$5-4, $F8&lt;=DF$5, COUNTIF($M8:DE8,"u")=0), "u", "")</f>
        <v/>
      </c>
      <c r="DG8" s="80" t="str">
        <f>IF(AND($F8&lt;&gt;"", $F8&gt;=DG$5-4, $F8&lt;=DG$5, COUNTIF($M8:DF8,"u")=0), "u", "")</f>
        <v/>
      </c>
      <c r="DH8" s="80" t="str">
        <f>IF(AND($F8&lt;&gt;"", $F8&gt;=DH$5-4, $F8&lt;=DH$5, COUNTIF($M8:DG8,"u")=0), "u", "")</f>
        <v/>
      </c>
      <c r="DI8" s="80" t="str">
        <f>IF(AND($F8&lt;&gt;"", $F8&gt;=DI$5-4, $F8&lt;=DI$5, COUNTIF($M8:DH8,"u")=0), "u", "")</f>
        <v/>
      </c>
      <c r="DJ8" s="80" t="str">
        <f>IF(AND($F8&lt;&gt;"", $F8&gt;=DJ$5-4, $F8&lt;=DJ$5, COUNTIF($M8:DI8,"u")=0), "u", "")</f>
        <v/>
      </c>
      <c r="DK8" s="80" t="str">
        <f>IF(AND($F8&lt;&gt;"", $F8&gt;=DK$5-4, $F8&lt;=DK$5, COUNTIF($M8:DJ8,"u")=0), "u", "")</f>
        <v/>
      </c>
      <c r="DL8" s="80" t="str">
        <f>IF(AND($F8&lt;&gt;"", $F8&gt;=DL$5-4, $F8&lt;=DL$5, COUNTIF($M8:DK8,"u")=0), "u", "")</f>
        <v/>
      </c>
    </row>
    <row r="9" spans="1:116" ht="25.05" customHeight="1" x14ac:dyDescent="0.3">
      <c r="A9" s="39"/>
      <c r="B9" s="75">
        <v>4</v>
      </c>
      <c r="C9" s="51" t="s">
        <v>449</v>
      </c>
      <c r="D9" s="52" t="s">
        <v>431</v>
      </c>
      <c r="E9" s="53">
        <v>45803</v>
      </c>
      <c r="F9" s="53">
        <v>45814</v>
      </c>
      <c r="G9" s="76">
        <f t="shared" si="44"/>
        <v>45803</v>
      </c>
      <c r="H9" s="76">
        <f t="shared" si="44"/>
        <v>45810</v>
      </c>
      <c r="I9" s="77">
        <f t="shared" si="45"/>
        <v>10</v>
      </c>
      <c r="J9" s="78" t="s">
        <v>50</v>
      </c>
      <c r="K9" s="79">
        <v>0</v>
      </c>
      <c r="L9" s="54"/>
      <c r="M9" s="80" t="str">
        <f t="shared" si="46"/>
        <v/>
      </c>
      <c r="N9" s="80" t="str">
        <f>IF(AND($F9&lt;&gt;"", $F9&gt;=N$5-4, $F9&lt;=N$5, COUNTIF($M9:M9,"u")=0), "u", "")</f>
        <v/>
      </c>
      <c r="O9" s="80" t="str">
        <f>IF(AND($F9&lt;&gt;"", $F9&gt;=O$5-4, $F9&lt;=O$5, COUNTIF($M9:N9,"u")=0), "u", "")</f>
        <v/>
      </c>
      <c r="P9" s="80" t="str">
        <f>IF(AND($F9&lt;&gt;"", $F9&gt;=P$5-4, $F9&lt;=P$5, COUNTIF($M9:O9,"u")=0), "u", "")</f>
        <v>u</v>
      </c>
      <c r="Q9" s="80" t="str">
        <f>IF(AND($F9&lt;&gt;"", $F9&gt;=Q$5-4, $F9&lt;=Q$5, COUNTIF($M9:P9,"u")=0), "u", "")</f>
        <v/>
      </c>
      <c r="R9" s="80" t="str">
        <f>IF(AND($F9&lt;&gt;"", $F9&gt;=R$5-4, $F9&lt;=R$5, COUNTIF($M9:Q9,"u")=0), "u", "")</f>
        <v/>
      </c>
      <c r="S9" s="80" t="str">
        <f>IF(AND($F9&lt;&gt;"", $F9&gt;=S$5-4, $F9&lt;=S$5, COUNTIF($M9:R9,"u")=0), "u", "")</f>
        <v/>
      </c>
      <c r="T9" s="80" t="str">
        <f>IF(AND($F9&lt;&gt;"", $F9&gt;=T$5-4, $F9&lt;=T$5, COUNTIF($M9:S9,"u")=0), "u", "")</f>
        <v/>
      </c>
      <c r="U9" s="80" t="str">
        <f>IF(AND($F9&lt;&gt;"", $F9&gt;=U$5-4, $F9&lt;=U$5, COUNTIF($M9:T9,"u")=0), "u", "")</f>
        <v/>
      </c>
      <c r="V9" s="80" t="str">
        <f>IF(AND($F9&lt;&gt;"", $F9&gt;=V$5-4, $F9&lt;=V$5, COUNTIF($M9:U9,"u")=0), "u", "")</f>
        <v/>
      </c>
      <c r="W9" s="80" t="str">
        <f>IF(AND($F9&lt;&gt;"", $F9&gt;=W$5-4, $F9&lt;=W$5, COUNTIF($M9:V9,"u")=0), "u", "")</f>
        <v/>
      </c>
      <c r="X9" s="80" t="str">
        <f>IF(AND($F9&lt;&gt;"", $F9&gt;=X$5-4, $F9&lt;=X$5, COUNTIF($M9:W9,"u")=0), "u", "")</f>
        <v/>
      </c>
      <c r="Y9" s="80" t="str">
        <f>IF(AND($F9&lt;&gt;"", $F9&gt;=Y$5-4, $F9&lt;=Y$5, COUNTIF($M9:X9,"u")=0), "u", "")</f>
        <v/>
      </c>
      <c r="Z9" s="80" t="str">
        <f>IF(AND($F9&lt;&gt;"", $F9&gt;=Z$5-4, $F9&lt;=Z$5, COUNTIF($M9:Y9,"u")=0), "u", "")</f>
        <v/>
      </c>
      <c r="AA9" s="80" t="str">
        <f>IF(AND($F9&lt;&gt;"", $F9&gt;=AA$5-4, $F9&lt;=AA$5, COUNTIF($M9:Z9,"u")=0), "u", "")</f>
        <v/>
      </c>
      <c r="AB9" s="80" t="str">
        <f>IF(AND($F9&lt;&gt;"", $F9&gt;=AB$5-4, $F9&lt;=AB$5, COUNTIF($M9:AA9,"u")=0), "u", "")</f>
        <v/>
      </c>
      <c r="AC9" s="80" t="str">
        <f>IF(AND($F9&lt;&gt;"", $F9&gt;=AC$5-4, $F9&lt;=AC$5, COUNTIF($M9:AB9,"u")=0), "u", "")</f>
        <v/>
      </c>
      <c r="AD9" s="80" t="str">
        <f>IF(AND($F9&lt;&gt;"", $F9&gt;=AD$5-4, $F9&lt;=AD$5, COUNTIF($M9:AC9,"u")=0), "u", "")</f>
        <v/>
      </c>
      <c r="AE9" s="80" t="str">
        <f>IF(AND($F9&lt;&gt;"", $F9&gt;=AE$5-4, $F9&lt;=AE$5, COUNTIF($M9:AD9,"u")=0), "u", "")</f>
        <v/>
      </c>
      <c r="AF9" s="80" t="str">
        <f>IF(AND($F9&lt;&gt;"", $F9&gt;=AF$5-4, $F9&lt;=AF$5, COUNTIF($M9:AE9,"u")=0), "u", "")</f>
        <v/>
      </c>
      <c r="AG9" s="80" t="str">
        <f>IF(AND($F9&lt;&gt;"", $F9&gt;=AG$5-4, $F9&lt;=AG$5, COUNTIF($M9:AF9,"u")=0), "u", "")</f>
        <v/>
      </c>
      <c r="AH9" s="80" t="str">
        <f>IF(AND($F9&lt;&gt;"", $F9&gt;=AH$5-4, $F9&lt;=AH$5, COUNTIF($M9:AG9,"u")=0), "u", "")</f>
        <v/>
      </c>
      <c r="AI9" s="80" t="str">
        <f>IF(AND($F9&lt;&gt;"", $F9&gt;=AI$5-4, $F9&lt;=AI$5, COUNTIF($M9:AH9,"u")=0), "u", "")</f>
        <v/>
      </c>
      <c r="AJ9" s="80" t="str">
        <f>IF(AND($F9&lt;&gt;"", $F9&gt;=AJ$5-4, $F9&lt;=AJ$5, COUNTIF($M9:AI9,"u")=0), "u", "")</f>
        <v/>
      </c>
      <c r="AK9" s="80" t="str">
        <f>IF(AND($F9&lt;&gt;"", $F9&gt;=AK$5-4, $F9&lt;=AK$5, COUNTIF($M9:AJ9,"u")=0), "u", "")</f>
        <v/>
      </c>
      <c r="AL9" s="80" t="str">
        <f>IF(AND($F9&lt;&gt;"", $F9&gt;=AL$5-4, $F9&lt;=AL$5, COUNTIF($M9:AK9,"u")=0), "u", "")</f>
        <v/>
      </c>
      <c r="AM9" s="80" t="str">
        <f>IF(AND($F9&lt;&gt;"", $F9&gt;=AM$5-4, $F9&lt;=AM$5, COUNTIF($M9:AL9,"u")=0), "u", "")</f>
        <v/>
      </c>
      <c r="AN9" s="80" t="str">
        <f>IF(AND($F9&lt;&gt;"", $F9&gt;=AN$5-4, $F9&lt;=AN$5, COUNTIF($M9:AM9,"u")=0), "u", "")</f>
        <v/>
      </c>
      <c r="AO9" s="80" t="str">
        <f>IF(AND($F9&lt;&gt;"", $F9&gt;=AO$5-4, $F9&lt;=AO$5, COUNTIF($M9:AN9,"u")=0), "u", "")</f>
        <v/>
      </c>
      <c r="AP9" s="80" t="str">
        <f>IF(AND($F9&lt;&gt;"", $F9&gt;=AP$5-4, $F9&lt;=AP$5, COUNTIF($M9:AO9,"u")=0), "u", "")</f>
        <v/>
      </c>
      <c r="AQ9" s="80" t="str">
        <f>IF(AND($F9&lt;&gt;"", $F9&gt;=AQ$5-4, $F9&lt;=AQ$5, COUNTIF($M9:AP9,"u")=0), "u", "")</f>
        <v/>
      </c>
      <c r="AR9" s="80" t="str">
        <f>IF(AND($F9&lt;&gt;"", $F9&gt;=AR$5-4, $F9&lt;=AR$5, COUNTIF($M9:AQ9,"u")=0), "u", "")</f>
        <v/>
      </c>
      <c r="AS9" s="80" t="str">
        <f>IF(AND($F9&lt;&gt;"", $F9&gt;=AS$5-4, $F9&lt;=AS$5, COUNTIF($M9:AR9,"u")=0), "u", "")</f>
        <v/>
      </c>
      <c r="AT9" s="80" t="str">
        <f>IF(AND($F9&lt;&gt;"", $F9&gt;=AT$5-4, $F9&lt;=AT$5, COUNTIF($M9:AS9,"u")=0), "u", "")</f>
        <v/>
      </c>
      <c r="AU9" s="80" t="str">
        <f>IF(AND($F9&lt;&gt;"", $F9&gt;=AU$5-4, $F9&lt;=AU$5, COUNTIF($M9:AT9,"u")=0), "u", "")</f>
        <v/>
      </c>
      <c r="AV9" s="80" t="str">
        <f>IF(AND($F9&lt;&gt;"", $F9&gt;=AV$5-4, $F9&lt;=AV$5, COUNTIF($M9:AU9,"u")=0), "u", "")</f>
        <v/>
      </c>
      <c r="AW9" s="80" t="str">
        <f>IF(AND($F9&lt;&gt;"", $F9&gt;=AW$5-4, $F9&lt;=AW$5, COUNTIF($M9:AV9,"u")=0), "u", "")</f>
        <v/>
      </c>
      <c r="AX9" s="80" t="str">
        <f>IF(AND($F9&lt;&gt;"", $F9&gt;=AX$5-4, $F9&lt;=AX$5, COUNTIF($M9:AW9,"u")=0), "u", "")</f>
        <v/>
      </c>
      <c r="AY9" s="80" t="str">
        <f>IF(AND($F9&lt;&gt;"", $F9&gt;=AY$5-4, $F9&lt;=AY$5, COUNTIF($M9:AX9,"u")=0), "u", "")</f>
        <v/>
      </c>
      <c r="AZ9" s="80" t="str">
        <f>IF(AND($F9&lt;&gt;"", $F9&gt;=AZ$5-4, $F9&lt;=AZ$5, COUNTIF($M9:AY9,"u")=0), "u", "")</f>
        <v/>
      </c>
      <c r="BA9" s="80" t="str">
        <f>IF(AND($F9&lt;&gt;"", $F9&gt;=BA$5-4, $F9&lt;=BA$5, COUNTIF($M9:AZ9,"u")=0), "u", "")</f>
        <v/>
      </c>
      <c r="BB9" s="80" t="str">
        <f>IF(AND($F9&lt;&gt;"", $F9&gt;=BB$5-4, $F9&lt;=BB$5, COUNTIF($M9:BA9,"u")=0), "u", "")</f>
        <v/>
      </c>
      <c r="BC9" s="80" t="str">
        <f>IF(AND($F9&lt;&gt;"", $F9&gt;=BC$5-4, $F9&lt;=BC$5, COUNTIF($M9:BB9,"u")=0), "u", "")</f>
        <v/>
      </c>
      <c r="BD9" s="80" t="str">
        <f>IF(AND($F9&lt;&gt;"", $F9&gt;=BD$5-4, $F9&lt;=BD$5, COUNTIF($M9:BC9,"u")=0), "u", "")</f>
        <v/>
      </c>
      <c r="BE9" s="80" t="str">
        <f>IF(AND($F9&lt;&gt;"", $F9&gt;=BE$5-4, $F9&lt;=BE$5, COUNTIF($M9:BD9,"u")=0), "u", "")</f>
        <v/>
      </c>
      <c r="BF9" s="80" t="str">
        <f>IF(AND($F9&lt;&gt;"", $F9&gt;=BF$5-4, $F9&lt;=BF$5, COUNTIF($M9:BE9,"u")=0), "u", "")</f>
        <v/>
      </c>
      <c r="BG9" s="80" t="str">
        <f>IF(AND($F9&lt;&gt;"", $F9&gt;=BG$5-4, $F9&lt;=BG$5, COUNTIF($M9:BF9,"u")=0), "u", "")</f>
        <v/>
      </c>
      <c r="BH9" s="80" t="str">
        <f>IF(AND($F9&lt;&gt;"", $F9&gt;=BH$5-4, $F9&lt;=BH$5, COUNTIF($M9:BG9,"u")=0), "u", "")</f>
        <v/>
      </c>
      <c r="BI9" s="80" t="str">
        <f>IF(AND($F9&lt;&gt;"", $F9&gt;=BI$5-4, $F9&lt;=BI$5, COUNTIF($M9:BH9,"u")=0), "u", "")</f>
        <v/>
      </c>
      <c r="BJ9" s="80" t="str">
        <f>IF(AND($F9&lt;&gt;"", $F9&gt;=BJ$5-4, $F9&lt;=BJ$5, COUNTIF($M9:BI9,"u")=0), "u", "")</f>
        <v/>
      </c>
      <c r="BK9" s="80" t="str">
        <f>IF(AND($F9&lt;&gt;"", $F9&gt;=BK$5-4, $F9&lt;=BK$5, COUNTIF($M9:BJ9,"u")=0), "u", "")</f>
        <v/>
      </c>
      <c r="BL9" s="80" t="str">
        <f>IF(AND($F9&lt;&gt;"", $F9&gt;=BL$5-4, $F9&lt;=BL$5, COUNTIF($M9:BK9,"u")=0), "u", "")</f>
        <v/>
      </c>
      <c r="BM9" s="80" t="str">
        <f>IF(AND($F9&lt;&gt;"", $F9&gt;=BM$5-4, $F9&lt;=BM$5, COUNTIF($M9:BL9,"u")=0), "u", "")</f>
        <v/>
      </c>
      <c r="BN9" s="80" t="str">
        <f>IF(AND($F9&lt;&gt;"", $F9&gt;=BN$5-4, $F9&lt;=BN$5, COUNTIF($M9:BM9,"u")=0), "u", "")</f>
        <v/>
      </c>
      <c r="BO9" s="80" t="str">
        <f>IF(AND($F9&lt;&gt;"", $F9&gt;=BO$5-4, $F9&lt;=BO$5, COUNTIF($M9:BN9,"u")=0), "u", "")</f>
        <v/>
      </c>
      <c r="BP9" s="80" t="str">
        <f>IF(AND($F9&lt;&gt;"", $F9&gt;=BP$5-4, $F9&lt;=BP$5, COUNTIF($M9:BO9,"u")=0), "u", "")</f>
        <v/>
      </c>
      <c r="BQ9" s="80" t="str">
        <f>IF(AND($F9&lt;&gt;"", $F9&gt;=BQ$5-4, $F9&lt;=BQ$5, COUNTIF($M9:BP9,"u")=0), "u", "")</f>
        <v/>
      </c>
      <c r="BR9" s="80" t="str">
        <f>IF(AND($F9&lt;&gt;"", $F9&gt;=BR$5-4, $F9&lt;=BR$5, COUNTIF($M9:BQ9,"u")=0), "u", "")</f>
        <v/>
      </c>
      <c r="BS9" s="80" t="str">
        <f>IF(AND($F9&lt;&gt;"", $F9&gt;=BS$5-4, $F9&lt;=BS$5, COUNTIF($M9:BR9,"u")=0), "u", "")</f>
        <v/>
      </c>
      <c r="BT9" s="80" t="str">
        <f>IF(AND($F9&lt;&gt;"", $F9&gt;=BT$5-4, $F9&lt;=BT$5, COUNTIF($M9:BS9,"u")=0), "u", "")</f>
        <v/>
      </c>
      <c r="BU9" s="80" t="str">
        <f>IF(AND($F9&lt;&gt;"", $F9&gt;=BU$5-4, $F9&lt;=BU$5, COUNTIF($M9:BT9,"u")=0), "u", "")</f>
        <v/>
      </c>
      <c r="BV9" s="80" t="str">
        <f>IF(AND($F9&lt;&gt;"", $F9&gt;=BV$5-4, $F9&lt;=BV$5, COUNTIF($M9:BU9,"u")=0), "u", "")</f>
        <v/>
      </c>
      <c r="BW9" s="80" t="str">
        <f>IF(AND($F9&lt;&gt;"", $F9&gt;=BW$5-4, $F9&lt;=BW$5, COUNTIF($M9:BV9,"u")=0), "u", "")</f>
        <v/>
      </c>
      <c r="BX9" s="80" t="str">
        <f>IF(AND($F9&lt;&gt;"", $F9&gt;=BX$5-4, $F9&lt;=BX$5, COUNTIF($M9:BW9,"u")=0), "u", "")</f>
        <v/>
      </c>
      <c r="BY9" s="80" t="str">
        <f>IF(AND($F9&lt;&gt;"", $F9&gt;=BY$5-4, $F9&lt;=BY$5, COUNTIF($M9:BX9,"u")=0), "u", "")</f>
        <v/>
      </c>
      <c r="BZ9" s="80" t="str">
        <f>IF(AND($F9&lt;&gt;"", $F9&gt;=BZ$5-4, $F9&lt;=BZ$5, COUNTIF($M9:BY9,"u")=0), "u", "")</f>
        <v/>
      </c>
      <c r="CA9" s="80" t="str">
        <f>IF(AND($F9&lt;&gt;"", $F9&gt;=CA$5-4, $F9&lt;=CA$5, COUNTIF($M9:BZ9,"u")=0), "u", "")</f>
        <v/>
      </c>
      <c r="CB9" s="80" t="str">
        <f>IF(AND($F9&lt;&gt;"", $F9&gt;=CB$5-4, $F9&lt;=CB$5, COUNTIF($M9:CA9,"u")=0), "u", "")</f>
        <v/>
      </c>
      <c r="CC9" s="80" t="str">
        <f>IF(AND($F9&lt;&gt;"", $F9&gt;=CC$5-4, $F9&lt;=CC$5, COUNTIF($M9:CB9,"u")=0), "u", "")</f>
        <v/>
      </c>
      <c r="CD9" s="80" t="str">
        <f>IF(AND($F9&lt;&gt;"", $F9&gt;=CD$5-4, $F9&lt;=CD$5, COUNTIF($M9:CC9,"u")=0), "u", "")</f>
        <v/>
      </c>
      <c r="CE9" s="80" t="str">
        <f>IF(AND($F9&lt;&gt;"", $F9&gt;=CE$5-4, $F9&lt;=CE$5, COUNTIF($M9:CD9,"u")=0), "u", "")</f>
        <v/>
      </c>
      <c r="CF9" s="80" t="str">
        <f>IF(AND($F9&lt;&gt;"", $F9&gt;=CF$5-4, $F9&lt;=CF$5, COUNTIF($M9:CE9,"u")=0), "u", "")</f>
        <v/>
      </c>
      <c r="CG9" s="80" t="str">
        <f>IF(AND($F9&lt;&gt;"", $F9&gt;=CG$5-4, $F9&lt;=CG$5, COUNTIF($M9:CF9,"u")=0), "u", "")</f>
        <v/>
      </c>
      <c r="CH9" s="80" t="str">
        <f>IF(AND($F9&lt;&gt;"", $F9&gt;=CH$5-4, $F9&lt;=CH$5, COUNTIF($M9:CG9,"u")=0), "u", "")</f>
        <v/>
      </c>
      <c r="CI9" s="80" t="str">
        <f>IF(AND($F9&lt;&gt;"", $F9&gt;=CI$5-4, $F9&lt;=CI$5, COUNTIF($M9:CH9,"u")=0), "u", "")</f>
        <v/>
      </c>
      <c r="CJ9" s="80" t="str">
        <f>IF(AND($F9&lt;&gt;"", $F9&gt;=CJ$5-4, $F9&lt;=CJ$5, COUNTIF($M9:CI9,"u")=0), "u", "")</f>
        <v/>
      </c>
      <c r="CK9" s="80" t="str">
        <f>IF(AND($F9&lt;&gt;"", $F9&gt;=CK$5-4, $F9&lt;=CK$5, COUNTIF($M9:CJ9,"u")=0), "u", "")</f>
        <v/>
      </c>
      <c r="CL9" s="80" t="str">
        <f>IF(AND($F9&lt;&gt;"", $F9&gt;=CL$5-4, $F9&lt;=CL$5, COUNTIF($M9:CK9,"u")=0), "u", "")</f>
        <v/>
      </c>
      <c r="CM9" s="80" t="str">
        <f>IF(AND($F9&lt;&gt;"", $F9&gt;=CM$5-4, $F9&lt;=CM$5, COUNTIF($M9:CL9,"u")=0), "u", "")</f>
        <v/>
      </c>
      <c r="CN9" s="80" t="str">
        <f>IF(AND($F9&lt;&gt;"", $F9&gt;=CN$5-4, $F9&lt;=CN$5, COUNTIF($M9:CM9,"u")=0), "u", "")</f>
        <v/>
      </c>
      <c r="CO9" s="80" t="str">
        <f>IF(AND($F9&lt;&gt;"", $F9&gt;=CO$5-4, $F9&lt;=CO$5, COUNTIF($M9:CN9,"u")=0), "u", "")</f>
        <v/>
      </c>
      <c r="CP9" s="80" t="str">
        <f>IF(AND($F9&lt;&gt;"", $F9&gt;=CP$5-4, $F9&lt;=CP$5, COUNTIF($M9:CO9,"u")=0), "u", "")</f>
        <v/>
      </c>
      <c r="CQ9" s="80" t="str">
        <f>IF(AND($F9&lt;&gt;"", $F9&gt;=CQ$5-4, $F9&lt;=CQ$5, COUNTIF($M9:CP9,"u")=0), "u", "")</f>
        <v/>
      </c>
      <c r="CR9" s="80" t="str">
        <f>IF(AND($F9&lt;&gt;"", $F9&gt;=CR$5-4, $F9&lt;=CR$5, COUNTIF($M9:CQ9,"u")=0), "u", "")</f>
        <v/>
      </c>
      <c r="CS9" s="80" t="str">
        <f>IF(AND($F9&lt;&gt;"", $F9&gt;=CS$5-4, $F9&lt;=CS$5, COUNTIF($M9:CR9,"u")=0), "u", "")</f>
        <v/>
      </c>
      <c r="CT9" s="80" t="str">
        <f>IF(AND($F9&lt;&gt;"", $F9&gt;=CT$5-4, $F9&lt;=CT$5, COUNTIF($M9:CS9,"u")=0), "u", "")</f>
        <v/>
      </c>
      <c r="CU9" s="80" t="str">
        <f>IF(AND($F9&lt;&gt;"", $F9&gt;=CU$5-4, $F9&lt;=CU$5, COUNTIF($M9:CT9,"u")=0), "u", "")</f>
        <v/>
      </c>
      <c r="CV9" s="80" t="str">
        <f>IF(AND($F9&lt;&gt;"", $F9&gt;=CV$5-4, $F9&lt;=CV$5, COUNTIF($M9:CU9,"u")=0), "u", "")</f>
        <v/>
      </c>
      <c r="CW9" s="80" t="str">
        <f>IF(AND($F9&lt;&gt;"", $F9&gt;=CW$5-4, $F9&lt;=CW$5, COUNTIF($M9:CV9,"u")=0), "u", "")</f>
        <v/>
      </c>
      <c r="CX9" s="80" t="str">
        <f>IF(AND($F9&lt;&gt;"", $F9&gt;=CX$5-4, $F9&lt;=CX$5, COUNTIF($M9:CW9,"u")=0), "u", "")</f>
        <v/>
      </c>
      <c r="CY9" s="80" t="str">
        <f>IF(AND($F9&lt;&gt;"", $F9&gt;=CY$5-4, $F9&lt;=CY$5, COUNTIF($M9:CX9,"u")=0), "u", "")</f>
        <v/>
      </c>
      <c r="CZ9" s="80" t="str">
        <f>IF(AND($F9&lt;&gt;"", $F9&gt;=CZ$5-4, $F9&lt;=CZ$5, COUNTIF($M9:CY9,"u")=0), "u", "")</f>
        <v/>
      </c>
      <c r="DA9" s="80" t="str">
        <f>IF(AND($F9&lt;&gt;"", $F9&gt;=DA$5-4, $F9&lt;=DA$5, COUNTIF($M9:CZ9,"u")=0), "u", "")</f>
        <v/>
      </c>
      <c r="DB9" s="80" t="str">
        <f>IF(AND($F9&lt;&gt;"", $F9&gt;=DB$5-4, $F9&lt;=DB$5, COUNTIF($M9:DA9,"u")=0), "u", "")</f>
        <v/>
      </c>
      <c r="DC9" s="80" t="str">
        <f>IF(AND($F9&lt;&gt;"", $F9&gt;=DC$5-4, $F9&lt;=DC$5, COUNTIF($M9:DB9,"u")=0), "u", "")</f>
        <v/>
      </c>
      <c r="DD9" s="80" t="str">
        <f>IF(AND($F9&lt;&gt;"", $F9&gt;=DD$5-4, $F9&lt;=DD$5, COUNTIF($M9:DC9,"u")=0), "u", "")</f>
        <v/>
      </c>
      <c r="DE9" s="80" t="str">
        <f>IF(AND($F9&lt;&gt;"", $F9&gt;=DE$5-4, $F9&lt;=DE$5, COUNTIF($M9:DD9,"u")=0), "u", "")</f>
        <v/>
      </c>
      <c r="DF9" s="80" t="str">
        <f>IF(AND($F9&lt;&gt;"", $F9&gt;=DF$5-4, $F9&lt;=DF$5, COUNTIF($M9:DE9,"u")=0), "u", "")</f>
        <v/>
      </c>
      <c r="DG9" s="80" t="str">
        <f>IF(AND($F9&lt;&gt;"", $F9&gt;=DG$5-4, $F9&lt;=DG$5, COUNTIF($M9:DF9,"u")=0), "u", "")</f>
        <v/>
      </c>
      <c r="DH9" s="80" t="str">
        <f>IF(AND($F9&lt;&gt;"", $F9&gt;=DH$5-4, $F9&lt;=DH$5, COUNTIF($M9:DG9,"u")=0), "u", "")</f>
        <v/>
      </c>
      <c r="DI9" s="80" t="str">
        <f>IF(AND($F9&lt;&gt;"", $F9&gt;=DI$5-4, $F9&lt;=DI$5, COUNTIF($M9:DH9,"u")=0), "u", "")</f>
        <v/>
      </c>
      <c r="DJ9" s="80" t="str">
        <f>IF(AND($F9&lt;&gt;"", $F9&gt;=DJ$5-4, $F9&lt;=DJ$5, COUNTIF($M9:DI9,"u")=0), "u", "")</f>
        <v/>
      </c>
      <c r="DK9" s="80" t="str">
        <f>IF(AND($F9&lt;&gt;"", $F9&gt;=DK$5-4, $F9&lt;=DK$5, COUNTIF($M9:DJ9,"u")=0), "u", "")</f>
        <v/>
      </c>
      <c r="DL9" s="80" t="str">
        <f>IF(AND($F9&lt;&gt;"", $F9&gt;=DL$5-4, $F9&lt;=DL$5, COUNTIF($M9:DK9,"u")=0), "u", "")</f>
        <v/>
      </c>
    </row>
    <row r="10" spans="1:116" ht="25.05" customHeight="1" x14ac:dyDescent="0.3">
      <c r="A10" s="39"/>
      <c r="B10" s="75">
        <v>5</v>
      </c>
      <c r="C10" s="81" t="s">
        <v>450</v>
      </c>
      <c r="D10" s="52" t="s">
        <v>431</v>
      </c>
      <c r="E10" s="53">
        <v>45817</v>
      </c>
      <c r="F10" s="53">
        <v>45835</v>
      </c>
      <c r="G10" s="76">
        <f t="shared" si="44"/>
        <v>45817</v>
      </c>
      <c r="H10" s="76">
        <f t="shared" si="44"/>
        <v>45831</v>
      </c>
      <c r="I10" s="77">
        <f t="shared" si="45"/>
        <v>15</v>
      </c>
      <c r="J10" s="78" t="s">
        <v>50</v>
      </c>
      <c r="K10" s="79">
        <v>0</v>
      </c>
      <c r="L10" s="56"/>
      <c r="M10" s="80" t="str">
        <f t="shared" si="46"/>
        <v/>
      </c>
      <c r="N10" s="80" t="str">
        <f>IF(AND($F10&lt;&gt;"", $F10&gt;=N$5-4, $F10&lt;=N$5, COUNTIF($M10:M10,"u")=0), "u", "")</f>
        <v/>
      </c>
      <c r="O10" s="80" t="str">
        <f>IF(AND($F10&lt;&gt;"", $F10&gt;=O$5-4, $F10&lt;=O$5, COUNTIF($M10:N10,"u")=0), "u", "")</f>
        <v/>
      </c>
      <c r="P10" s="80" t="str">
        <f>IF(AND($F10&lt;&gt;"", $F10&gt;=P$5-4, $F10&lt;=P$5, COUNTIF($M10:O10,"u")=0), "u", "")</f>
        <v/>
      </c>
      <c r="Q10" s="80" t="str">
        <f>IF(AND($F10&lt;&gt;"", $F10&gt;=Q$5-4, $F10&lt;=Q$5, COUNTIF($M10:P10,"u")=0), "u", "")</f>
        <v/>
      </c>
      <c r="R10" s="80" t="str">
        <f>IF(AND($F10&lt;&gt;"", $F10&gt;=R$5-4, $F10&lt;=R$5, COUNTIF($M10:Q10,"u")=0), "u", "")</f>
        <v/>
      </c>
      <c r="S10" s="80" t="str">
        <f>IF(AND($F10&lt;&gt;"", $F10&gt;=S$5-4, $F10&lt;=S$5, COUNTIF($M10:R10,"u")=0), "u", "")</f>
        <v/>
      </c>
      <c r="T10" s="80" t="str">
        <f>IF(AND($F10&lt;&gt;"", $F10&gt;=T$5-4, $F10&lt;=T$5, COUNTIF($M10:S10,"u")=0), "u", "")</f>
        <v>u</v>
      </c>
      <c r="U10" s="80" t="str">
        <f>IF(AND($F10&lt;&gt;"", $F10&gt;=U$5-4, $F10&lt;=U$5, COUNTIF($M10:T10,"u")=0), "u", "")</f>
        <v/>
      </c>
      <c r="V10" s="80" t="str">
        <f>IF(AND($F10&lt;&gt;"", $F10&gt;=V$5-4, $F10&lt;=V$5, COUNTIF($M10:U10,"u")=0), "u", "")</f>
        <v/>
      </c>
      <c r="W10" s="80" t="str">
        <f>IF(AND($F10&lt;&gt;"", $F10&gt;=W$5-4, $F10&lt;=W$5, COUNTIF($M10:V10,"u")=0), "u", "")</f>
        <v/>
      </c>
      <c r="X10" s="80" t="str">
        <f>IF(AND($F10&lt;&gt;"", $F10&gt;=X$5-4, $F10&lt;=X$5, COUNTIF($M10:W10,"u")=0), "u", "")</f>
        <v/>
      </c>
      <c r="Y10" s="80" t="str">
        <f>IF(AND($F10&lt;&gt;"", $F10&gt;=Y$5-4, $F10&lt;=Y$5, COUNTIF($M10:X10,"u")=0), "u", "")</f>
        <v/>
      </c>
      <c r="Z10" s="80" t="str">
        <f>IF(AND($F10&lt;&gt;"", $F10&gt;=Z$5-4, $F10&lt;=Z$5, COUNTIF($M10:Y10,"u")=0), "u", "")</f>
        <v/>
      </c>
      <c r="AA10" s="80" t="str">
        <f>IF(AND($F10&lt;&gt;"", $F10&gt;=AA$5-4, $F10&lt;=AA$5, COUNTIF($M10:Z10,"u")=0), "u", "")</f>
        <v/>
      </c>
      <c r="AB10" s="80" t="str">
        <f>IF(AND($F10&lt;&gt;"", $F10&gt;=AB$5-4, $F10&lt;=AB$5, COUNTIF($M10:AA10,"u")=0), "u", "")</f>
        <v/>
      </c>
      <c r="AC10" s="80" t="str">
        <f>IF(AND($F10&lt;&gt;"", $F10&gt;=AC$5-4, $F10&lt;=AC$5, COUNTIF($M10:AB10,"u")=0), "u", "")</f>
        <v/>
      </c>
      <c r="AD10" s="80" t="str">
        <f>IF(AND($F10&lt;&gt;"", $F10&gt;=AD$5-4, $F10&lt;=AD$5, COUNTIF($M10:AC10,"u")=0), "u", "")</f>
        <v/>
      </c>
      <c r="AE10" s="80" t="str">
        <f>IF(AND($F10&lt;&gt;"", $F10&gt;=AE$5-4, $F10&lt;=AE$5, COUNTIF($M10:AD10,"u")=0), "u", "")</f>
        <v/>
      </c>
      <c r="AF10" s="80" t="str">
        <f>IF(AND($F10&lt;&gt;"", $F10&gt;=AF$5-4, $F10&lt;=AF$5, COUNTIF($M10:AE10,"u")=0), "u", "")</f>
        <v/>
      </c>
      <c r="AG10" s="80" t="str">
        <f>IF(AND($F10&lt;&gt;"", $F10&gt;=AG$5-4, $F10&lt;=AG$5, COUNTIF($M10:AF10,"u")=0), "u", "")</f>
        <v/>
      </c>
      <c r="AH10" s="80" t="str">
        <f>IF(AND($F10&lt;&gt;"", $F10&gt;=AH$5-4, $F10&lt;=AH$5, COUNTIF($M10:AG10,"u")=0), "u", "")</f>
        <v/>
      </c>
      <c r="AI10" s="80" t="str">
        <f>IF(AND($F10&lt;&gt;"", $F10&gt;=AI$5-4, $F10&lt;=AI$5, COUNTIF($M10:AH10,"u")=0), "u", "")</f>
        <v/>
      </c>
      <c r="AJ10" s="80" t="str">
        <f>IF(AND($F10&lt;&gt;"", $F10&gt;=AJ$5-4, $F10&lt;=AJ$5, COUNTIF($M10:AI10,"u")=0), "u", "")</f>
        <v/>
      </c>
      <c r="AK10" s="80" t="str">
        <f>IF(AND($F10&lt;&gt;"", $F10&gt;=AK$5-4, $F10&lt;=AK$5, COUNTIF($M10:AJ10,"u")=0), "u", "")</f>
        <v/>
      </c>
      <c r="AL10" s="80" t="str">
        <f>IF(AND($F10&lt;&gt;"", $F10&gt;=AL$5-4, $F10&lt;=AL$5, COUNTIF($M10:AK10,"u")=0), "u", "")</f>
        <v/>
      </c>
      <c r="AM10" s="80" t="str">
        <f>IF(AND($F10&lt;&gt;"", $F10&gt;=AM$5-4, $F10&lt;=AM$5, COUNTIF($M10:AL10,"u")=0), "u", "")</f>
        <v/>
      </c>
      <c r="AN10" s="80" t="str">
        <f>IF(AND($F10&lt;&gt;"", $F10&gt;=AN$5-4, $F10&lt;=AN$5, COUNTIF($M10:AM10,"u")=0), "u", "")</f>
        <v/>
      </c>
      <c r="AO10" s="80" t="str">
        <f>IF(AND($F10&lt;&gt;"", $F10&gt;=AO$5-4, $F10&lt;=AO$5, COUNTIF($M10:AN10,"u")=0), "u", "")</f>
        <v/>
      </c>
      <c r="AP10" s="80" t="str">
        <f>IF(AND($F10&lt;&gt;"", $F10&gt;=AP$5-4, $F10&lt;=AP$5, COUNTIF($M10:AO10,"u")=0), "u", "")</f>
        <v/>
      </c>
      <c r="AQ10" s="80" t="str">
        <f>IF(AND($F10&lt;&gt;"", $F10&gt;=AQ$5-4, $F10&lt;=AQ$5, COUNTIF($M10:AP10,"u")=0), "u", "")</f>
        <v/>
      </c>
      <c r="AR10" s="80" t="str">
        <f>IF(AND($F10&lt;&gt;"", $F10&gt;=AR$5-4, $F10&lt;=AR$5, COUNTIF($M10:AQ10,"u")=0), "u", "")</f>
        <v/>
      </c>
      <c r="AS10" s="80" t="str">
        <f>IF(AND($F10&lt;&gt;"", $F10&gt;=AS$5-4, $F10&lt;=AS$5, COUNTIF($M10:AR10,"u")=0), "u", "")</f>
        <v/>
      </c>
      <c r="AT10" s="80" t="str">
        <f>IF(AND($F10&lt;&gt;"", $F10&gt;=AT$5-4, $F10&lt;=AT$5, COUNTIF($M10:AS10,"u")=0), "u", "")</f>
        <v/>
      </c>
      <c r="AU10" s="80" t="str">
        <f>IF(AND($F10&lt;&gt;"", $F10&gt;=AU$5-4, $F10&lt;=AU$5, COUNTIF($M10:AT10,"u")=0), "u", "")</f>
        <v/>
      </c>
      <c r="AV10" s="80" t="str">
        <f>IF(AND($F10&lt;&gt;"", $F10&gt;=AV$5-4, $F10&lt;=AV$5, COUNTIF($M10:AU10,"u")=0), "u", "")</f>
        <v/>
      </c>
      <c r="AW10" s="80" t="str">
        <f>IF(AND($F10&lt;&gt;"", $F10&gt;=AW$5-4, $F10&lt;=AW$5, COUNTIF($M10:AV10,"u")=0), "u", "")</f>
        <v/>
      </c>
      <c r="AX10" s="80" t="str">
        <f>IF(AND($F10&lt;&gt;"", $F10&gt;=AX$5-4, $F10&lt;=AX$5, COUNTIF($M10:AW10,"u")=0), "u", "")</f>
        <v/>
      </c>
      <c r="AY10" s="80" t="str">
        <f>IF(AND($F10&lt;&gt;"", $F10&gt;=AY$5-4, $F10&lt;=AY$5, COUNTIF($M10:AX10,"u")=0), "u", "")</f>
        <v/>
      </c>
      <c r="AZ10" s="80" t="str">
        <f>IF(AND($F10&lt;&gt;"", $F10&gt;=AZ$5-4, $F10&lt;=AZ$5, COUNTIF($M10:AY10,"u")=0), "u", "")</f>
        <v/>
      </c>
      <c r="BA10" s="80" t="str">
        <f>IF(AND($F10&lt;&gt;"", $F10&gt;=BA$5-4, $F10&lt;=BA$5, COUNTIF($M10:AZ10,"u")=0), "u", "")</f>
        <v/>
      </c>
      <c r="BB10" s="80" t="str">
        <f>IF(AND($F10&lt;&gt;"", $F10&gt;=BB$5-4, $F10&lt;=BB$5, COUNTIF($M10:BA10,"u")=0), "u", "")</f>
        <v/>
      </c>
      <c r="BC10" s="80" t="str">
        <f>IF(AND($F10&lt;&gt;"", $F10&gt;=BC$5-4, $F10&lt;=BC$5, COUNTIF($M10:BB10,"u")=0), "u", "")</f>
        <v/>
      </c>
      <c r="BD10" s="80" t="str">
        <f>IF(AND($F10&lt;&gt;"", $F10&gt;=BD$5-4, $F10&lt;=BD$5, COUNTIF($M10:BC10,"u")=0), "u", "")</f>
        <v/>
      </c>
      <c r="BE10" s="80" t="str">
        <f>IF(AND($F10&lt;&gt;"", $F10&gt;=BE$5-4, $F10&lt;=BE$5, COUNTIF($M10:BD10,"u")=0), "u", "")</f>
        <v/>
      </c>
      <c r="BF10" s="80" t="str">
        <f>IF(AND($F10&lt;&gt;"", $F10&gt;=BF$5-4, $F10&lt;=BF$5, COUNTIF($M10:BE10,"u")=0), "u", "")</f>
        <v/>
      </c>
      <c r="BG10" s="80" t="str">
        <f>IF(AND($F10&lt;&gt;"", $F10&gt;=BG$5-4, $F10&lt;=BG$5, COUNTIF($M10:BF10,"u")=0), "u", "")</f>
        <v/>
      </c>
      <c r="BH10" s="80" t="str">
        <f>IF(AND($F10&lt;&gt;"", $F10&gt;=BH$5-4, $F10&lt;=BH$5, COUNTIF($M10:BG10,"u")=0), "u", "")</f>
        <v/>
      </c>
      <c r="BI10" s="80" t="str">
        <f>IF(AND($F10&lt;&gt;"", $F10&gt;=BI$5-4, $F10&lt;=BI$5, COUNTIF($M10:BH10,"u")=0), "u", "")</f>
        <v/>
      </c>
      <c r="BJ10" s="80" t="str">
        <f>IF(AND($F10&lt;&gt;"", $F10&gt;=BJ$5-4, $F10&lt;=BJ$5, COUNTIF($M10:BI10,"u")=0), "u", "")</f>
        <v/>
      </c>
      <c r="BK10" s="80" t="str">
        <f>IF(AND($F10&lt;&gt;"", $F10&gt;=BK$5-4, $F10&lt;=BK$5, COUNTIF($M10:BJ10,"u")=0), "u", "")</f>
        <v/>
      </c>
      <c r="BL10" s="80" t="str">
        <f>IF(AND($F10&lt;&gt;"", $F10&gt;=BL$5-4, $F10&lt;=BL$5, COUNTIF($M10:BK10,"u")=0), "u", "")</f>
        <v/>
      </c>
      <c r="BM10" s="80" t="str">
        <f>IF(AND($F10&lt;&gt;"", $F10&gt;=BM$5-4, $F10&lt;=BM$5, COUNTIF($M10:BL10,"u")=0), "u", "")</f>
        <v/>
      </c>
      <c r="BN10" s="80" t="str">
        <f>IF(AND($F10&lt;&gt;"", $F10&gt;=BN$5-4, $F10&lt;=BN$5, COUNTIF($M10:BM10,"u")=0), "u", "")</f>
        <v/>
      </c>
      <c r="BO10" s="80" t="str">
        <f>IF(AND($F10&lt;&gt;"", $F10&gt;=BO$5-4, $F10&lt;=BO$5, COUNTIF($M10:BN10,"u")=0), "u", "")</f>
        <v/>
      </c>
      <c r="BP10" s="80" t="str">
        <f>IF(AND($F10&lt;&gt;"", $F10&gt;=BP$5-4, $F10&lt;=BP$5, COUNTIF($M10:BO10,"u")=0), "u", "")</f>
        <v/>
      </c>
      <c r="BQ10" s="80" t="str">
        <f>IF(AND($F10&lt;&gt;"", $F10&gt;=BQ$5-4, $F10&lt;=BQ$5, COUNTIF($M10:BP10,"u")=0), "u", "")</f>
        <v/>
      </c>
      <c r="BR10" s="80" t="str">
        <f>IF(AND($F10&lt;&gt;"", $F10&gt;=BR$5-4, $F10&lt;=BR$5, COUNTIF($M10:BQ10,"u")=0), "u", "")</f>
        <v/>
      </c>
      <c r="BS10" s="80" t="str">
        <f>IF(AND($F10&lt;&gt;"", $F10&gt;=BS$5-4, $F10&lt;=BS$5, COUNTIF($M10:BR10,"u")=0), "u", "")</f>
        <v/>
      </c>
      <c r="BT10" s="80" t="str">
        <f>IF(AND($F10&lt;&gt;"", $F10&gt;=BT$5-4, $F10&lt;=BT$5, COUNTIF($M10:BS10,"u")=0), "u", "")</f>
        <v/>
      </c>
      <c r="BU10" s="80" t="str">
        <f>IF(AND($F10&lt;&gt;"", $F10&gt;=BU$5-4, $F10&lt;=BU$5, COUNTIF($M10:BT10,"u")=0), "u", "")</f>
        <v/>
      </c>
      <c r="BV10" s="80" t="str">
        <f>IF(AND($F10&lt;&gt;"", $F10&gt;=BV$5-4, $F10&lt;=BV$5, COUNTIF($M10:BU10,"u")=0), "u", "")</f>
        <v/>
      </c>
      <c r="BW10" s="80" t="str">
        <f>IF(AND($F10&lt;&gt;"", $F10&gt;=BW$5-4, $F10&lt;=BW$5, COUNTIF($M10:BV10,"u")=0), "u", "")</f>
        <v/>
      </c>
      <c r="BX10" s="80" t="str">
        <f>IF(AND($F10&lt;&gt;"", $F10&gt;=BX$5-4, $F10&lt;=BX$5, COUNTIF($M10:BW10,"u")=0), "u", "")</f>
        <v/>
      </c>
      <c r="BY10" s="80" t="str">
        <f>IF(AND($F10&lt;&gt;"", $F10&gt;=BY$5-4, $F10&lt;=BY$5, COUNTIF($M10:BX10,"u")=0), "u", "")</f>
        <v/>
      </c>
      <c r="BZ10" s="80" t="str">
        <f>IF(AND($F10&lt;&gt;"", $F10&gt;=BZ$5-4, $F10&lt;=BZ$5, COUNTIF($M10:BY10,"u")=0), "u", "")</f>
        <v/>
      </c>
      <c r="CA10" s="80" t="str">
        <f>IF(AND($F10&lt;&gt;"", $F10&gt;=CA$5-4, $F10&lt;=CA$5, COUNTIF($M10:BZ10,"u")=0), "u", "")</f>
        <v/>
      </c>
      <c r="CB10" s="80" t="str">
        <f>IF(AND($F10&lt;&gt;"", $F10&gt;=CB$5-4, $F10&lt;=CB$5, COUNTIF($M10:CA10,"u")=0), "u", "")</f>
        <v/>
      </c>
      <c r="CC10" s="80" t="str">
        <f>IF(AND($F10&lt;&gt;"", $F10&gt;=CC$5-4, $F10&lt;=CC$5, COUNTIF($M10:CB10,"u")=0), "u", "")</f>
        <v/>
      </c>
      <c r="CD10" s="80" t="str">
        <f>IF(AND($F10&lt;&gt;"", $F10&gt;=CD$5-4, $F10&lt;=CD$5, COUNTIF($M10:CC10,"u")=0), "u", "")</f>
        <v/>
      </c>
      <c r="CE10" s="80" t="str">
        <f>IF(AND($F10&lt;&gt;"", $F10&gt;=CE$5-4, $F10&lt;=CE$5, COUNTIF($M10:CD10,"u")=0), "u", "")</f>
        <v/>
      </c>
      <c r="CF10" s="80" t="str">
        <f>IF(AND($F10&lt;&gt;"", $F10&gt;=CF$5-4, $F10&lt;=CF$5, COUNTIF($M10:CE10,"u")=0), "u", "")</f>
        <v/>
      </c>
      <c r="CG10" s="80" t="str">
        <f>IF(AND($F10&lt;&gt;"", $F10&gt;=CG$5-4, $F10&lt;=CG$5, COUNTIF($M10:CF10,"u")=0), "u", "")</f>
        <v/>
      </c>
      <c r="CH10" s="80" t="str">
        <f>IF(AND($F10&lt;&gt;"", $F10&gt;=CH$5-4, $F10&lt;=CH$5, COUNTIF($M10:CG10,"u")=0), "u", "")</f>
        <v/>
      </c>
      <c r="CI10" s="80" t="str">
        <f>IF(AND($F10&lt;&gt;"", $F10&gt;=CI$5-4, $F10&lt;=CI$5, COUNTIF($M10:CH10,"u")=0), "u", "")</f>
        <v/>
      </c>
      <c r="CJ10" s="80" t="str">
        <f>IF(AND($F10&lt;&gt;"", $F10&gt;=CJ$5-4, $F10&lt;=CJ$5, COUNTIF($M10:CI10,"u")=0), "u", "")</f>
        <v/>
      </c>
      <c r="CK10" s="80" t="str">
        <f>IF(AND($F10&lt;&gt;"", $F10&gt;=CK$5-4, $F10&lt;=CK$5, COUNTIF($M10:CJ10,"u")=0), "u", "")</f>
        <v/>
      </c>
      <c r="CL10" s="80" t="str">
        <f>IF(AND($F10&lt;&gt;"", $F10&gt;=CL$5-4, $F10&lt;=CL$5, COUNTIF($M10:CK10,"u")=0), "u", "")</f>
        <v/>
      </c>
      <c r="CM10" s="80" t="str">
        <f>IF(AND($F10&lt;&gt;"", $F10&gt;=CM$5-4, $F10&lt;=CM$5, COUNTIF($M10:CL10,"u")=0), "u", "")</f>
        <v/>
      </c>
      <c r="CN10" s="80" t="str">
        <f>IF(AND($F10&lt;&gt;"", $F10&gt;=CN$5-4, $F10&lt;=CN$5, COUNTIF($M10:CM10,"u")=0), "u", "")</f>
        <v/>
      </c>
      <c r="CO10" s="80" t="str">
        <f>IF(AND($F10&lt;&gt;"", $F10&gt;=CO$5-4, $F10&lt;=CO$5, COUNTIF($M10:CN10,"u")=0), "u", "")</f>
        <v/>
      </c>
      <c r="CP10" s="80" t="str">
        <f>IF(AND($F10&lt;&gt;"", $F10&gt;=CP$5-4, $F10&lt;=CP$5, COUNTIF($M10:CO10,"u")=0), "u", "")</f>
        <v/>
      </c>
      <c r="CQ10" s="80" t="str">
        <f>IF(AND($F10&lt;&gt;"", $F10&gt;=CQ$5-4, $F10&lt;=CQ$5, COUNTIF($M10:CP10,"u")=0), "u", "")</f>
        <v/>
      </c>
      <c r="CR10" s="80" t="str">
        <f>IF(AND($F10&lt;&gt;"", $F10&gt;=CR$5-4, $F10&lt;=CR$5, COUNTIF($M10:CQ10,"u")=0), "u", "")</f>
        <v/>
      </c>
      <c r="CS10" s="80" t="str">
        <f>IF(AND($F10&lt;&gt;"", $F10&gt;=CS$5-4, $F10&lt;=CS$5, COUNTIF($M10:CR10,"u")=0), "u", "")</f>
        <v/>
      </c>
      <c r="CT10" s="80" t="str">
        <f>IF(AND($F10&lt;&gt;"", $F10&gt;=CT$5-4, $F10&lt;=CT$5, COUNTIF($M10:CS10,"u")=0), "u", "")</f>
        <v/>
      </c>
      <c r="CU10" s="80" t="str">
        <f>IF(AND($F10&lt;&gt;"", $F10&gt;=CU$5-4, $F10&lt;=CU$5, COUNTIF($M10:CT10,"u")=0), "u", "")</f>
        <v/>
      </c>
      <c r="CV10" s="80" t="str">
        <f>IF(AND($F10&lt;&gt;"", $F10&gt;=CV$5-4, $F10&lt;=CV$5, COUNTIF($M10:CU10,"u")=0), "u", "")</f>
        <v/>
      </c>
      <c r="CW10" s="80" t="str">
        <f>IF(AND($F10&lt;&gt;"", $F10&gt;=CW$5-4, $F10&lt;=CW$5, COUNTIF($M10:CV10,"u")=0), "u", "")</f>
        <v/>
      </c>
      <c r="CX10" s="80" t="str">
        <f>IF(AND($F10&lt;&gt;"", $F10&gt;=CX$5-4, $F10&lt;=CX$5, COUNTIF($M10:CW10,"u")=0), "u", "")</f>
        <v/>
      </c>
      <c r="CY10" s="80" t="str">
        <f>IF(AND($F10&lt;&gt;"", $F10&gt;=CY$5-4, $F10&lt;=CY$5, COUNTIF($M10:CX10,"u")=0), "u", "")</f>
        <v/>
      </c>
      <c r="CZ10" s="80" t="str">
        <f>IF(AND($F10&lt;&gt;"", $F10&gt;=CZ$5-4, $F10&lt;=CZ$5, COUNTIF($M10:CY10,"u")=0), "u", "")</f>
        <v/>
      </c>
      <c r="DA10" s="80" t="str">
        <f>IF(AND($F10&lt;&gt;"", $F10&gt;=DA$5-4, $F10&lt;=DA$5, COUNTIF($M10:CZ10,"u")=0), "u", "")</f>
        <v/>
      </c>
      <c r="DB10" s="80" t="str">
        <f>IF(AND($F10&lt;&gt;"", $F10&gt;=DB$5-4, $F10&lt;=DB$5, COUNTIF($M10:DA10,"u")=0), "u", "")</f>
        <v/>
      </c>
      <c r="DC10" s="80" t="str">
        <f>IF(AND($F10&lt;&gt;"", $F10&gt;=DC$5-4, $F10&lt;=DC$5, COUNTIF($M10:DB10,"u")=0), "u", "")</f>
        <v/>
      </c>
      <c r="DD10" s="80" t="str">
        <f>IF(AND($F10&lt;&gt;"", $F10&gt;=DD$5-4, $F10&lt;=DD$5, COUNTIF($M10:DC10,"u")=0), "u", "")</f>
        <v/>
      </c>
      <c r="DE10" s="80" t="str">
        <f>IF(AND($F10&lt;&gt;"", $F10&gt;=DE$5-4, $F10&lt;=DE$5, COUNTIF($M10:DD10,"u")=0), "u", "")</f>
        <v/>
      </c>
      <c r="DF10" s="80" t="str">
        <f>IF(AND($F10&lt;&gt;"", $F10&gt;=DF$5-4, $F10&lt;=DF$5, COUNTIF($M10:DE10,"u")=0), "u", "")</f>
        <v/>
      </c>
      <c r="DG10" s="80" t="str">
        <f>IF(AND($F10&lt;&gt;"", $F10&gt;=DG$5-4, $F10&lt;=DG$5, COUNTIF($M10:DF10,"u")=0), "u", "")</f>
        <v/>
      </c>
      <c r="DH10" s="80" t="str">
        <f>IF(AND($F10&lt;&gt;"", $F10&gt;=DH$5-4, $F10&lt;=DH$5, COUNTIF($M10:DG10,"u")=0), "u", "")</f>
        <v/>
      </c>
      <c r="DI10" s="80" t="str">
        <f>IF(AND($F10&lt;&gt;"", $F10&gt;=DI$5-4, $F10&lt;=DI$5, COUNTIF($M10:DH10,"u")=0), "u", "")</f>
        <v/>
      </c>
      <c r="DJ10" s="80" t="str">
        <f>IF(AND($F10&lt;&gt;"", $F10&gt;=DJ$5-4, $F10&lt;=DJ$5, COUNTIF($M10:DI10,"u")=0), "u", "")</f>
        <v/>
      </c>
      <c r="DK10" s="80" t="str">
        <f>IF(AND($F10&lt;&gt;"", $F10&gt;=DK$5-4, $F10&lt;=DK$5, COUNTIF($M10:DJ10,"u")=0), "u", "")</f>
        <v/>
      </c>
      <c r="DL10" s="80" t="str">
        <f>IF(AND($F10&lt;&gt;"", $F10&gt;=DL$5-4, $F10&lt;=DL$5, COUNTIF($M10:DK10,"u")=0), "u", "")</f>
        <v/>
      </c>
    </row>
    <row r="11" spans="1:116" ht="25.05" customHeight="1" x14ac:dyDescent="0.3">
      <c r="A11" s="39"/>
      <c r="B11" s="75">
        <v>6</v>
      </c>
      <c r="C11" s="81" t="s">
        <v>458</v>
      </c>
      <c r="D11" s="81" t="s">
        <v>464</v>
      </c>
      <c r="E11" s="53">
        <v>45804</v>
      </c>
      <c r="F11" s="53">
        <v>45804</v>
      </c>
      <c r="G11" s="76">
        <f t="shared" si="44"/>
        <v>45803</v>
      </c>
      <c r="H11" s="76">
        <f t="shared" si="44"/>
        <v>45803</v>
      </c>
      <c r="I11" s="77">
        <f t="shared" si="45"/>
        <v>1</v>
      </c>
      <c r="J11" s="78" t="s">
        <v>50</v>
      </c>
      <c r="K11" s="79">
        <v>0</v>
      </c>
      <c r="L11" s="54"/>
      <c r="M11" s="80" t="str">
        <f t="shared" si="46"/>
        <v/>
      </c>
      <c r="N11" s="80" t="str">
        <f>IF(AND($F11&lt;&gt;"", $F11&gt;=N$5-4, $F11&lt;=N$5, COUNTIF($M11:M11,"u")=0), "u", "")</f>
        <v/>
      </c>
      <c r="O11" s="80" t="str">
        <f>IF(AND($F11&lt;&gt;"", $F11&gt;=O$5-4, $F11&lt;=O$5, COUNTIF($M11:N11,"u")=0), "u", "")</f>
        <v>u</v>
      </c>
      <c r="P11" s="80" t="str">
        <f>IF(AND($F11&lt;&gt;"", $F11&gt;=P$5-4, $F11&lt;=P$5, COUNTIF($M11:O11,"u")=0), "u", "")</f>
        <v/>
      </c>
      <c r="Q11" s="80" t="str">
        <f>IF(AND($F11&lt;&gt;"", $F11&gt;=Q$5-4, $F11&lt;=Q$5, COUNTIF($M11:P11,"u")=0), "u", "")</f>
        <v/>
      </c>
      <c r="R11" s="80" t="str">
        <f>IF(AND($F11&lt;&gt;"", $F11&gt;=R$5-4, $F11&lt;=R$5, COUNTIF($M11:Q11,"u")=0), "u", "")</f>
        <v/>
      </c>
      <c r="S11" s="80" t="str">
        <f>IF(AND($F11&lt;&gt;"", $F11&gt;=S$5-4, $F11&lt;=S$5, COUNTIF($M11:R11,"u")=0), "u", "")</f>
        <v/>
      </c>
      <c r="T11" s="80" t="str">
        <f>IF(AND($F11&lt;&gt;"", $F11&gt;=T$5-4, $F11&lt;=T$5, COUNTIF($M11:S11,"u")=0), "u", "")</f>
        <v/>
      </c>
      <c r="U11" s="80" t="str">
        <f>IF(AND($F11&lt;&gt;"", $F11&gt;=U$5-4, $F11&lt;=U$5, COUNTIF($M11:T11,"u")=0), "u", "")</f>
        <v/>
      </c>
      <c r="V11" s="80" t="str">
        <f>IF(AND($F11&lt;&gt;"", $F11&gt;=V$5-4, $F11&lt;=V$5, COUNTIF($M11:U11,"u")=0), "u", "")</f>
        <v/>
      </c>
      <c r="W11" s="80" t="str">
        <f>IF(AND($F11&lt;&gt;"", $F11&gt;=W$5-4, $F11&lt;=W$5, COUNTIF($M11:V11,"u")=0), "u", "")</f>
        <v/>
      </c>
      <c r="X11" s="80" t="str">
        <f>IF(AND($F11&lt;&gt;"", $F11&gt;=X$5-4, $F11&lt;=X$5, COUNTIF($M11:W11,"u")=0), "u", "")</f>
        <v/>
      </c>
      <c r="Y11" s="80" t="str">
        <f>IF(AND($F11&lt;&gt;"", $F11&gt;=Y$5-4, $F11&lt;=Y$5, COUNTIF($M11:X11,"u")=0), "u", "")</f>
        <v/>
      </c>
      <c r="Z11" s="80" t="str">
        <f>IF(AND($F11&lt;&gt;"", $F11&gt;=Z$5-4, $F11&lt;=Z$5, COUNTIF($M11:Y11,"u")=0), "u", "")</f>
        <v/>
      </c>
      <c r="AA11" s="80" t="str">
        <f>IF(AND($F11&lt;&gt;"", $F11&gt;=AA$5-4, $F11&lt;=AA$5, COUNTIF($M11:Z11,"u")=0), "u", "")</f>
        <v/>
      </c>
      <c r="AB11" s="80" t="str">
        <f>IF(AND($F11&lt;&gt;"", $F11&gt;=AB$5-4, $F11&lt;=AB$5, COUNTIF($M11:AA11,"u")=0), "u", "")</f>
        <v/>
      </c>
      <c r="AC11" s="80" t="str">
        <f>IF(AND($F11&lt;&gt;"", $F11&gt;=AC$5-4, $F11&lt;=AC$5, COUNTIF($M11:AB11,"u")=0), "u", "")</f>
        <v/>
      </c>
      <c r="AD11" s="80" t="str">
        <f>IF(AND($F11&lt;&gt;"", $F11&gt;=AD$5-4, $F11&lt;=AD$5, COUNTIF($M11:AC11,"u")=0), "u", "")</f>
        <v/>
      </c>
      <c r="AE11" s="80" t="str">
        <f>IF(AND($F11&lt;&gt;"", $F11&gt;=AE$5-4, $F11&lt;=AE$5, COUNTIF($M11:AD11,"u")=0), "u", "")</f>
        <v/>
      </c>
      <c r="AF11" s="80" t="str">
        <f>IF(AND($F11&lt;&gt;"", $F11&gt;=AF$5-4, $F11&lt;=AF$5, COUNTIF($M11:AE11,"u")=0), "u", "")</f>
        <v/>
      </c>
      <c r="AG11" s="80" t="str">
        <f>IF(AND($F11&lt;&gt;"", $F11&gt;=AG$5-4, $F11&lt;=AG$5, COUNTIF($M11:AF11,"u")=0), "u", "")</f>
        <v/>
      </c>
      <c r="AH11" s="80" t="str">
        <f>IF(AND($F11&lt;&gt;"", $F11&gt;=AH$5-4, $F11&lt;=AH$5, COUNTIF($M11:AG11,"u")=0), "u", "")</f>
        <v/>
      </c>
      <c r="AI11" s="80" t="str">
        <f>IF(AND($F11&lt;&gt;"", $F11&gt;=AI$5-4, $F11&lt;=AI$5, COUNTIF($M11:AH11,"u")=0), "u", "")</f>
        <v/>
      </c>
      <c r="AJ11" s="80" t="str">
        <f>IF(AND($F11&lt;&gt;"", $F11&gt;=AJ$5-4, $F11&lt;=AJ$5, COUNTIF($M11:AI11,"u")=0), "u", "")</f>
        <v/>
      </c>
      <c r="AK11" s="80" t="str">
        <f>IF(AND($F11&lt;&gt;"", $F11&gt;=AK$5-4, $F11&lt;=AK$5, COUNTIF($M11:AJ11,"u")=0), "u", "")</f>
        <v/>
      </c>
      <c r="AL11" s="80" t="str">
        <f>IF(AND($F11&lt;&gt;"", $F11&gt;=AL$5-4, $F11&lt;=AL$5, COUNTIF($M11:AK11,"u")=0), "u", "")</f>
        <v/>
      </c>
      <c r="AM11" s="80" t="str">
        <f>IF(AND($F11&lt;&gt;"", $F11&gt;=AM$5-4, $F11&lt;=AM$5, COUNTIF($M11:AL11,"u")=0), "u", "")</f>
        <v/>
      </c>
      <c r="AN11" s="80" t="str">
        <f>IF(AND($F11&lt;&gt;"", $F11&gt;=AN$5-4, $F11&lt;=AN$5, COUNTIF($M11:AM11,"u")=0), "u", "")</f>
        <v/>
      </c>
      <c r="AO11" s="80" t="str">
        <f>IF(AND($F11&lt;&gt;"", $F11&gt;=AO$5-4, $F11&lt;=AO$5, COUNTIF($M11:AN11,"u")=0), "u", "")</f>
        <v/>
      </c>
      <c r="AP11" s="80" t="str">
        <f>IF(AND($F11&lt;&gt;"", $F11&gt;=AP$5-4, $F11&lt;=AP$5, COUNTIF($M11:AO11,"u")=0), "u", "")</f>
        <v/>
      </c>
      <c r="AQ11" s="80" t="str">
        <f>IF(AND($F11&lt;&gt;"", $F11&gt;=AQ$5-4, $F11&lt;=AQ$5, COUNTIF($M11:AP11,"u")=0), "u", "")</f>
        <v/>
      </c>
      <c r="AR11" s="80" t="str">
        <f>IF(AND($F11&lt;&gt;"", $F11&gt;=AR$5-4, $F11&lt;=AR$5, COUNTIF($M11:AQ11,"u")=0), "u", "")</f>
        <v/>
      </c>
      <c r="AS11" s="80" t="str">
        <f>IF(AND($F11&lt;&gt;"", $F11&gt;=AS$5-4, $F11&lt;=AS$5, COUNTIF($M11:AR11,"u")=0), "u", "")</f>
        <v/>
      </c>
      <c r="AT11" s="80" t="str">
        <f>IF(AND($F11&lt;&gt;"", $F11&gt;=AT$5-4, $F11&lt;=AT$5, COUNTIF($M11:AS11,"u")=0), "u", "")</f>
        <v/>
      </c>
      <c r="AU11" s="80" t="str">
        <f>IF(AND($F11&lt;&gt;"", $F11&gt;=AU$5-4, $F11&lt;=AU$5, COUNTIF($M11:AT11,"u")=0), "u", "")</f>
        <v/>
      </c>
      <c r="AV11" s="80" t="str">
        <f>IF(AND($F11&lt;&gt;"", $F11&gt;=AV$5-4, $F11&lt;=AV$5, COUNTIF($M11:AU11,"u")=0), "u", "")</f>
        <v/>
      </c>
      <c r="AW11" s="80" t="str">
        <f>IF(AND($F11&lt;&gt;"", $F11&gt;=AW$5-4, $F11&lt;=AW$5, COUNTIF($M11:AV11,"u")=0), "u", "")</f>
        <v/>
      </c>
      <c r="AX11" s="80" t="str">
        <f>IF(AND($F11&lt;&gt;"", $F11&gt;=AX$5-4, $F11&lt;=AX$5, COUNTIF($M11:AW11,"u")=0), "u", "")</f>
        <v/>
      </c>
      <c r="AY11" s="80" t="str">
        <f>IF(AND($F11&lt;&gt;"", $F11&gt;=AY$5-4, $F11&lt;=AY$5, COUNTIF($M11:AX11,"u")=0), "u", "")</f>
        <v/>
      </c>
      <c r="AZ11" s="80" t="str">
        <f>IF(AND($F11&lt;&gt;"", $F11&gt;=AZ$5-4, $F11&lt;=AZ$5, COUNTIF($M11:AY11,"u")=0), "u", "")</f>
        <v/>
      </c>
      <c r="BA11" s="80" t="str">
        <f>IF(AND($F11&lt;&gt;"", $F11&gt;=BA$5-4, $F11&lt;=BA$5, COUNTIF($M11:AZ11,"u")=0), "u", "")</f>
        <v/>
      </c>
      <c r="BB11" s="80" t="str">
        <f>IF(AND($F11&lt;&gt;"", $F11&gt;=BB$5-4, $F11&lt;=BB$5, COUNTIF($M11:BA11,"u")=0), "u", "")</f>
        <v/>
      </c>
      <c r="BC11" s="80" t="str">
        <f>IF(AND($F11&lt;&gt;"", $F11&gt;=BC$5-4, $F11&lt;=BC$5, COUNTIF($M11:BB11,"u")=0), "u", "")</f>
        <v/>
      </c>
      <c r="BD11" s="80" t="str">
        <f>IF(AND($F11&lt;&gt;"", $F11&gt;=BD$5-4, $F11&lt;=BD$5, COUNTIF($M11:BC11,"u")=0), "u", "")</f>
        <v/>
      </c>
      <c r="BE11" s="80" t="str">
        <f>IF(AND($F11&lt;&gt;"", $F11&gt;=BE$5-4, $F11&lt;=BE$5, COUNTIF($M11:BD11,"u")=0), "u", "")</f>
        <v/>
      </c>
      <c r="BF11" s="80" t="str">
        <f>IF(AND($F11&lt;&gt;"", $F11&gt;=BF$5-4, $F11&lt;=BF$5, COUNTIF($M11:BE11,"u")=0), "u", "")</f>
        <v/>
      </c>
      <c r="BG11" s="80" t="str">
        <f>IF(AND($F11&lt;&gt;"", $F11&gt;=BG$5-4, $F11&lt;=BG$5, COUNTIF($M11:BF11,"u")=0), "u", "")</f>
        <v/>
      </c>
      <c r="BH11" s="80" t="str">
        <f>IF(AND($F11&lt;&gt;"", $F11&gt;=BH$5-4, $F11&lt;=BH$5, COUNTIF($M11:BG11,"u")=0), "u", "")</f>
        <v/>
      </c>
      <c r="BI11" s="80" t="str">
        <f>IF(AND($F11&lt;&gt;"", $F11&gt;=BI$5-4, $F11&lt;=BI$5, COUNTIF($M11:BH11,"u")=0), "u", "")</f>
        <v/>
      </c>
      <c r="BJ11" s="80" t="str">
        <f>IF(AND($F11&lt;&gt;"", $F11&gt;=BJ$5-4, $F11&lt;=BJ$5, COUNTIF($M11:BI11,"u")=0), "u", "")</f>
        <v/>
      </c>
      <c r="BK11" s="80" t="str">
        <f>IF(AND($F11&lt;&gt;"", $F11&gt;=BK$5-4, $F11&lt;=BK$5, COUNTIF($M11:BJ11,"u")=0), "u", "")</f>
        <v/>
      </c>
      <c r="BL11" s="80" t="str">
        <f>IF(AND($F11&lt;&gt;"", $F11&gt;=BL$5-4, $F11&lt;=BL$5, COUNTIF($M11:BK11,"u")=0), "u", "")</f>
        <v/>
      </c>
      <c r="BM11" s="80" t="str">
        <f>IF(AND($F11&lt;&gt;"", $F11&gt;=BM$5-4, $F11&lt;=BM$5, COUNTIF($M11:BL11,"u")=0), "u", "")</f>
        <v/>
      </c>
      <c r="BN11" s="80" t="str">
        <f>IF(AND($F11&lt;&gt;"", $F11&gt;=BN$5-4, $F11&lt;=BN$5, COUNTIF($M11:BM11,"u")=0), "u", "")</f>
        <v/>
      </c>
      <c r="BO11" s="80" t="str">
        <f>IF(AND($F11&lt;&gt;"", $F11&gt;=BO$5-4, $F11&lt;=BO$5, COUNTIF($M11:BN11,"u")=0), "u", "")</f>
        <v/>
      </c>
      <c r="BP11" s="80" t="str">
        <f>IF(AND($F11&lt;&gt;"", $F11&gt;=BP$5-4, $F11&lt;=BP$5, COUNTIF($M11:BO11,"u")=0), "u", "")</f>
        <v/>
      </c>
      <c r="BQ11" s="80" t="str">
        <f>IF(AND($F11&lt;&gt;"", $F11&gt;=BQ$5-4, $F11&lt;=BQ$5, COUNTIF($M11:BP11,"u")=0), "u", "")</f>
        <v/>
      </c>
      <c r="BR11" s="80" t="str">
        <f>IF(AND($F11&lt;&gt;"", $F11&gt;=BR$5-4, $F11&lt;=BR$5, COUNTIF($M11:BQ11,"u")=0), "u", "")</f>
        <v/>
      </c>
      <c r="BS11" s="80" t="str">
        <f>IF(AND($F11&lt;&gt;"", $F11&gt;=BS$5-4, $F11&lt;=BS$5, COUNTIF($M11:BR11,"u")=0), "u", "")</f>
        <v/>
      </c>
      <c r="BT11" s="80" t="str">
        <f>IF(AND($F11&lt;&gt;"", $F11&gt;=BT$5-4, $F11&lt;=BT$5, COUNTIF($M11:BS11,"u")=0), "u", "")</f>
        <v/>
      </c>
      <c r="BU11" s="80" t="str">
        <f>IF(AND($F11&lt;&gt;"", $F11&gt;=BU$5-4, $F11&lt;=BU$5, COUNTIF($M11:BT11,"u")=0), "u", "")</f>
        <v/>
      </c>
      <c r="BV11" s="80" t="str">
        <f>IF(AND($F11&lt;&gt;"", $F11&gt;=BV$5-4, $F11&lt;=BV$5, COUNTIF($M11:BU11,"u")=0), "u", "")</f>
        <v/>
      </c>
      <c r="BW11" s="80" t="str">
        <f>IF(AND($F11&lt;&gt;"", $F11&gt;=BW$5-4, $F11&lt;=BW$5, COUNTIF($M11:BV11,"u")=0), "u", "")</f>
        <v/>
      </c>
      <c r="BX11" s="80" t="str">
        <f>IF(AND($F11&lt;&gt;"", $F11&gt;=BX$5-4, $F11&lt;=BX$5, COUNTIF($M11:BW11,"u")=0), "u", "")</f>
        <v/>
      </c>
      <c r="BY11" s="80" t="str">
        <f>IF(AND($F11&lt;&gt;"", $F11&gt;=BY$5-4, $F11&lt;=BY$5, COUNTIF($M11:BX11,"u")=0), "u", "")</f>
        <v/>
      </c>
      <c r="BZ11" s="80" t="str">
        <f>IF(AND($F11&lt;&gt;"", $F11&gt;=BZ$5-4, $F11&lt;=BZ$5, COUNTIF($M11:BY11,"u")=0), "u", "")</f>
        <v/>
      </c>
      <c r="CA11" s="80" t="str">
        <f>IF(AND($F11&lt;&gt;"", $F11&gt;=CA$5-4, $F11&lt;=CA$5, COUNTIF($M11:BZ11,"u")=0), "u", "")</f>
        <v/>
      </c>
      <c r="CB11" s="80" t="str">
        <f>IF(AND($F11&lt;&gt;"", $F11&gt;=CB$5-4, $F11&lt;=CB$5, COUNTIF($M11:CA11,"u")=0), "u", "")</f>
        <v/>
      </c>
      <c r="CC11" s="80" t="str">
        <f>IF(AND($F11&lt;&gt;"", $F11&gt;=CC$5-4, $F11&lt;=CC$5, COUNTIF($M11:CB11,"u")=0), "u", "")</f>
        <v/>
      </c>
      <c r="CD11" s="80" t="str">
        <f>IF(AND($F11&lt;&gt;"", $F11&gt;=CD$5-4, $F11&lt;=CD$5, COUNTIF($M11:CC11,"u")=0), "u", "")</f>
        <v/>
      </c>
      <c r="CE11" s="80" t="str">
        <f>IF(AND($F11&lt;&gt;"", $F11&gt;=CE$5-4, $F11&lt;=CE$5, COUNTIF($M11:CD11,"u")=0), "u", "")</f>
        <v/>
      </c>
      <c r="CF11" s="80" t="str">
        <f>IF(AND($F11&lt;&gt;"", $F11&gt;=CF$5-4, $F11&lt;=CF$5, COUNTIF($M11:CE11,"u")=0), "u", "")</f>
        <v/>
      </c>
      <c r="CG11" s="80" t="str">
        <f>IF(AND($F11&lt;&gt;"", $F11&gt;=CG$5-4, $F11&lt;=CG$5, COUNTIF($M11:CF11,"u")=0), "u", "")</f>
        <v/>
      </c>
      <c r="CH11" s="80" t="str">
        <f>IF(AND($F11&lt;&gt;"", $F11&gt;=CH$5-4, $F11&lt;=CH$5, COUNTIF($M11:CG11,"u")=0), "u", "")</f>
        <v/>
      </c>
      <c r="CI11" s="80" t="str">
        <f>IF(AND($F11&lt;&gt;"", $F11&gt;=CI$5-4, $F11&lt;=CI$5, COUNTIF($M11:CH11,"u")=0), "u", "")</f>
        <v/>
      </c>
      <c r="CJ11" s="80" t="str">
        <f>IF(AND($F11&lt;&gt;"", $F11&gt;=CJ$5-4, $F11&lt;=CJ$5, COUNTIF($M11:CI11,"u")=0), "u", "")</f>
        <v/>
      </c>
      <c r="CK11" s="80" t="str">
        <f>IF(AND($F11&lt;&gt;"", $F11&gt;=CK$5-4, $F11&lt;=CK$5, COUNTIF($M11:CJ11,"u")=0), "u", "")</f>
        <v/>
      </c>
      <c r="CL11" s="80" t="str">
        <f>IF(AND($F11&lt;&gt;"", $F11&gt;=CL$5-4, $F11&lt;=CL$5, COUNTIF($M11:CK11,"u")=0), "u", "")</f>
        <v/>
      </c>
      <c r="CM11" s="80" t="str">
        <f>IF(AND($F11&lt;&gt;"", $F11&gt;=CM$5-4, $F11&lt;=CM$5, COUNTIF($M11:CL11,"u")=0), "u", "")</f>
        <v/>
      </c>
      <c r="CN11" s="80" t="str">
        <f>IF(AND($F11&lt;&gt;"", $F11&gt;=CN$5-4, $F11&lt;=CN$5, COUNTIF($M11:CM11,"u")=0), "u", "")</f>
        <v/>
      </c>
      <c r="CO11" s="80" t="str">
        <f>IF(AND($F11&lt;&gt;"", $F11&gt;=CO$5-4, $F11&lt;=CO$5, COUNTIF($M11:CN11,"u")=0), "u", "")</f>
        <v/>
      </c>
      <c r="CP11" s="80" t="str">
        <f>IF(AND($F11&lt;&gt;"", $F11&gt;=CP$5-4, $F11&lt;=CP$5, COUNTIF($M11:CO11,"u")=0), "u", "")</f>
        <v/>
      </c>
      <c r="CQ11" s="80" t="str">
        <f>IF(AND($F11&lt;&gt;"", $F11&gt;=CQ$5-4, $F11&lt;=CQ$5, COUNTIF($M11:CP11,"u")=0), "u", "")</f>
        <v/>
      </c>
      <c r="CR11" s="80" t="str">
        <f>IF(AND($F11&lt;&gt;"", $F11&gt;=CR$5-4, $F11&lt;=CR$5, COUNTIF($M11:CQ11,"u")=0), "u", "")</f>
        <v/>
      </c>
      <c r="CS11" s="80" t="str">
        <f>IF(AND($F11&lt;&gt;"", $F11&gt;=CS$5-4, $F11&lt;=CS$5, COUNTIF($M11:CR11,"u")=0), "u", "")</f>
        <v/>
      </c>
      <c r="CT11" s="80" t="str">
        <f>IF(AND($F11&lt;&gt;"", $F11&gt;=CT$5-4, $F11&lt;=CT$5, COUNTIF($M11:CS11,"u")=0), "u", "")</f>
        <v/>
      </c>
      <c r="CU11" s="80" t="str">
        <f>IF(AND($F11&lt;&gt;"", $F11&gt;=CU$5-4, $F11&lt;=CU$5, COUNTIF($M11:CT11,"u")=0), "u", "")</f>
        <v/>
      </c>
      <c r="CV11" s="80" t="str">
        <f>IF(AND($F11&lt;&gt;"", $F11&gt;=CV$5-4, $F11&lt;=CV$5, COUNTIF($M11:CU11,"u")=0), "u", "")</f>
        <v/>
      </c>
      <c r="CW11" s="80" t="str">
        <f>IF(AND($F11&lt;&gt;"", $F11&gt;=CW$5-4, $F11&lt;=CW$5, COUNTIF($M11:CV11,"u")=0), "u", "")</f>
        <v/>
      </c>
      <c r="CX11" s="80" t="str">
        <f>IF(AND($F11&lt;&gt;"", $F11&gt;=CX$5-4, $F11&lt;=CX$5, COUNTIF($M11:CW11,"u")=0), "u", "")</f>
        <v/>
      </c>
      <c r="CY11" s="80" t="str">
        <f>IF(AND($F11&lt;&gt;"", $F11&gt;=CY$5-4, $F11&lt;=CY$5, COUNTIF($M11:CX11,"u")=0), "u", "")</f>
        <v/>
      </c>
      <c r="CZ11" s="80" t="str">
        <f>IF(AND($F11&lt;&gt;"", $F11&gt;=CZ$5-4, $F11&lt;=CZ$5, COUNTIF($M11:CY11,"u")=0), "u", "")</f>
        <v/>
      </c>
      <c r="DA11" s="80" t="str">
        <f>IF(AND($F11&lt;&gt;"", $F11&gt;=DA$5-4, $F11&lt;=DA$5, COUNTIF($M11:CZ11,"u")=0), "u", "")</f>
        <v/>
      </c>
      <c r="DB11" s="80" t="str">
        <f>IF(AND($F11&lt;&gt;"", $F11&gt;=DB$5-4, $F11&lt;=DB$5, COUNTIF($M11:DA11,"u")=0), "u", "")</f>
        <v/>
      </c>
      <c r="DC11" s="80" t="str">
        <f>IF(AND($F11&lt;&gt;"", $F11&gt;=DC$5-4, $F11&lt;=DC$5, COUNTIF($M11:DB11,"u")=0), "u", "")</f>
        <v/>
      </c>
      <c r="DD11" s="80" t="str">
        <f>IF(AND($F11&lt;&gt;"", $F11&gt;=DD$5-4, $F11&lt;=DD$5, COUNTIF($M11:DC11,"u")=0), "u", "")</f>
        <v/>
      </c>
      <c r="DE11" s="80" t="str">
        <f>IF(AND($F11&lt;&gt;"", $F11&gt;=DE$5-4, $F11&lt;=DE$5, COUNTIF($M11:DD11,"u")=0), "u", "")</f>
        <v/>
      </c>
      <c r="DF11" s="80" t="str">
        <f>IF(AND($F11&lt;&gt;"", $F11&gt;=DF$5-4, $F11&lt;=DF$5, COUNTIF($M11:DE11,"u")=0), "u", "")</f>
        <v/>
      </c>
      <c r="DG11" s="80" t="str">
        <f>IF(AND($F11&lt;&gt;"", $F11&gt;=DG$5-4, $F11&lt;=DG$5, COUNTIF($M11:DF11,"u")=0), "u", "")</f>
        <v/>
      </c>
      <c r="DH11" s="80" t="str">
        <f>IF(AND($F11&lt;&gt;"", $F11&gt;=DH$5-4, $F11&lt;=DH$5, COUNTIF($M11:DG11,"u")=0), "u", "")</f>
        <v/>
      </c>
      <c r="DI11" s="80" t="str">
        <f>IF(AND($F11&lt;&gt;"", $F11&gt;=DI$5-4, $F11&lt;=DI$5, COUNTIF($M11:DH11,"u")=0), "u", "")</f>
        <v/>
      </c>
      <c r="DJ11" s="80" t="str">
        <f>IF(AND($F11&lt;&gt;"", $F11&gt;=DJ$5-4, $F11&lt;=DJ$5, COUNTIF($M11:DI11,"u")=0), "u", "")</f>
        <v/>
      </c>
      <c r="DK11" s="80" t="str">
        <f>IF(AND($F11&lt;&gt;"", $F11&gt;=DK$5-4, $F11&lt;=DK$5, COUNTIF($M11:DJ11,"u")=0), "u", "")</f>
        <v/>
      </c>
      <c r="DL11" s="80" t="str">
        <f>IF(AND($F11&lt;&gt;"", $F11&gt;=DL$5-4, $F11&lt;=DL$5, COUNTIF($M11:DK11,"u")=0), "u", "")</f>
        <v/>
      </c>
    </row>
    <row r="12" spans="1:116" ht="25.05" customHeight="1" x14ac:dyDescent="0.3">
      <c r="A12" s="39"/>
      <c r="B12" s="75">
        <v>7</v>
      </c>
      <c r="C12" s="81"/>
      <c r="D12" s="81"/>
      <c r="E12" s="53"/>
      <c r="F12" s="53"/>
      <c r="G12" s="82" t="str">
        <f t="shared" si="44"/>
        <v/>
      </c>
      <c r="H12" s="82" t="str">
        <f t="shared" si="44"/>
        <v/>
      </c>
      <c r="I12" s="77" t="str">
        <f>IF(F12="","",NETWORKDAYS(E12,F12))</f>
        <v/>
      </c>
      <c r="J12" s="78" t="s">
        <v>50</v>
      </c>
      <c r="K12" s="79">
        <v>0</v>
      </c>
      <c r="L12" s="54"/>
      <c r="M12" s="80" t="str">
        <f t="shared" si="46"/>
        <v/>
      </c>
      <c r="N12" s="80" t="str">
        <f>IF(AND($F12&lt;&gt;"", $F12&gt;=N$5-4, $F12&lt;=N$5, COUNTIF($M12:M12,"u")=0), "u", "")</f>
        <v/>
      </c>
      <c r="O12" s="80" t="str">
        <f>IF(AND($F12&lt;&gt;"", $F12&gt;=O$5-4, $F12&lt;=O$5, COUNTIF($M12:N12,"u")=0), "u", "")</f>
        <v/>
      </c>
      <c r="P12" s="80" t="str">
        <f>IF(AND($F12&lt;&gt;"", $F12&gt;=P$5-4, $F12&lt;=P$5, COUNTIF($M12:O12,"u")=0), "u", "")</f>
        <v/>
      </c>
      <c r="Q12" s="80" t="str">
        <f>IF(AND($F12&lt;&gt;"", $F12&gt;=Q$5-4, $F12&lt;=Q$5, COUNTIF($M12:P12,"u")=0), "u", "")</f>
        <v/>
      </c>
      <c r="R12" s="80" t="str">
        <f>IF(AND($F12&lt;&gt;"", $F12&gt;=R$5-4, $F12&lt;=R$5, COUNTIF($M12:Q12,"u")=0), "u", "")</f>
        <v/>
      </c>
      <c r="S12" s="80" t="str">
        <f>IF(AND($F12&lt;&gt;"", $F12&gt;=S$5-4, $F12&lt;=S$5, COUNTIF($M12:R12,"u")=0), "u", "")</f>
        <v/>
      </c>
      <c r="T12" s="80" t="str">
        <f>IF(AND($F12&lt;&gt;"", $F12&gt;=T$5-4, $F12&lt;=T$5, COUNTIF($M12:S12,"u")=0), "u", "")</f>
        <v/>
      </c>
      <c r="U12" s="80" t="str">
        <f>IF(AND($F12&lt;&gt;"", $F12&gt;=U$5-4, $F12&lt;=U$5, COUNTIF($M12:T12,"u")=0), "u", "")</f>
        <v/>
      </c>
      <c r="V12" s="80" t="str">
        <f>IF(AND($F12&lt;&gt;"", $F12&gt;=V$5-4, $F12&lt;=V$5, COUNTIF($M12:U12,"u")=0), "u", "")</f>
        <v/>
      </c>
      <c r="W12" s="80" t="str">
        <f>IF(AND($F12&lt;&gt;"", $F12&gt;=W$5-4, $F12&lt;=W$5, COUNTIF($M12:V12,"u")=0), "u", "")</f>
        <v/>
      </c>
      <c r="X12" s="80" t="str">
        <f>IF(AND($F12&lt;&gt;"", $F12&gt;=X$5-4, $F12&lt;=X$5, COUNTIF($M12:W12,"u")=0), "u", "")</f>
        <v/>
      </c>
      <c r="Y12" s="80" t="str">
        <f>IF(AND($F12&lt;&gt;"", $F12&gt;=Y$5-4, $F12&lt;=Y$5, COUNTIF($M12:X12,"u")=0), "u", "")</f>
        <v/>
      </c>
      <c r="Z12" s="80" t="str">
        <f>IF(AND($F12&lt;&gt;"", $F12&gt;=Z$5-4, $F12&lt;=Z$5, COUNTIF($M12:Y12,"u")=0), "u", "")</f>
        <v/>
      </c>
      <c r="AA12" s="80" t="str">
        <f>IF(AND($F12&lt;&gt;"", $F12&gt;=AA$5-4, $F12&lt;=AA$5, COUNTIF($M12:Z12,"u")=0), "u", "")</f>
        <v/>
      </c>
      <c r="AB12" s="80" t="str">
        <f>IF(AND($F12&lt;&gt;"", $F12&gt;=AB$5-4, $F12&lt;=AB$5, COUNTIF($M12:AA12,"u")=0), "u", "")</f>
        <v/>
      </c>
      <c r="AC12" s="80" t="str">
        <f>IF(AND($F12&lt;&gt;"", $F12&gt;=AC$5-4, $F12&lt;=AC$5, COUNTIF($M12:AB12,"u")=0), "u", "")</f>
        <v/>
      </c>
      <c r="AD12" s="80" t="str">
        <f>IF(AND($F12&lt;&gt;"", $F12&gt;=AD$5-4, $F12&lt;=AD$5, COUNTIF($M12:AC12,"u")=0), "u", "")</f>
        <v/>
      </c>
      <c r="AE12" s="80" t="str">
        <f>IF(AND($F12&lt;&gt;"", $F12&gt;=AE$5-4, $F12&lt;=AE$5, COUNTIF($M12:AD12,"u")=0), "u", "")</f>
        <v/>
      </c>
      <c r="AF12" s="80" t="str">
        <f>IF(AND($F12&lt;&gt;"", $F12&gt;=AF$5-4, $F12&lt;=AF$5, COUNTIF($M12:AE12,"u")=0), "u", "")</f>
        <v/>
      </c>
      <c r="AG12" s="80" t="str">
        <f>IF(AND($F12&lt;&gt;"", $F12&gt;=AG$5-4, $F12&lt;=AG$5, COUNTIF($M12:AF12,"u")=0), "u", "")</f>
        <v/>
      </c>
      <c r="AH12" s="80" t="str">
        <f>IF(AND($F12&lt;&gt;"", $F12&gt;=AH$5-4, $F12&lt;=AH$5, COUNTIF($M12:AG12,"u")=0), "u", "")</f>
        <v/>
      </c>
      <c r="AI12" s="80" t="str">
        <f>IF(AND($F12&lt;&gt;"", $F12&gt;=AI$5-4, $F12&lt;=AI$5, COUNTIF($M12:AH12,"u")=0), "u", "")</f>
        <v/>
      </c>
      <c r="AJ12" s="80" t="str">
        <f>IF(AND($F12&lt;&gt;"", $F12&gt;=AJ$5-4, $F12&lt;=AJ$5, COUNTIF($M12:AI12,"u")=0), "u", "")</f>
        <v/>
      </c>
      <c r="AK12" s="80" t="str">
        <f>IF(AND($F12&lt;&gt;"", $F12&gt;=AK$5-4, $F12&lt;=AK$5, COUNTIF($M12:AJ12,"u")=0), "u", "")</f>
        <v/>
      </c>
      <c r="AL12" s="80" t="str">
        <f>IF(AND($F12&lt;&gt;"", $F12&gt;=AL$5-4, $F12&lt;=AL$5, COUNTIF($M12:AK12,"u")=0), "u", "")</f>
        <v/>
      </c>
      <c r="AM12" s="80" t="str">
        <f>IF(AND($F12&lt;&gt;"", $F12&gt;=AM$5-4, $F12&lt;=AM$5, COUNTIF($M12:AL12,"u")=0), "u", "")</f>
        <v/>
      </c>
      <c r="AN12" s="80" t="str">
        <f>IF(AND($F12&lt;&gt;"", $F12&gt;=AN$5-4, $F12&lt;=AN$5, COUNTIF($M12:AM12,"u")=0), "u", "")</f>
        <v/>
      </c>
      <c r="AO12" s="80" t="str">
        <f>IF(AND($F12&lt;&gt;"", $F12&gt;=AO$5-4, $F12&lt;=AO$5, COUNTIF($M12:AN12,"u")=0), "u", "")</f>
        <v/>
      </c>
      <c r="AP12" s="80" t="str">
        <f>IF(AND($F12&lt;&gt;"", $F12&gt;=AP$5-4, $F12&lt;=AP$5, COUNTIF($M12:AO12,"u")=0), "u", "")</f>
        <v/>
      </c>
      <c r="AQ12" s="80" t="str">
        <f>IF(AND($F12&lt;&gt;"", $F12&gt;=AQ$5-4, $F12&lt;=AQ$5, COUNTIF($M12:AP12,"u")=0), "u", "")</f>
        <v/>
      </c>
      <c r="AR12" s="80" t="str">
        <f>IF(AND($F12&lt;&gt;"", $F12&gt;=AR$5-4, $F12&lt;=AR$5, COUNTIF($M12:AQ12,"u")=0), "u", "")</f>
        <v/>
      </c>
      <c r="AS12" s="80" t="str">
        <f>IF(AND($F12&lt;&gt;"", $F12&gt;=AS$5-4, $F12&lt;=AS$5, COUNTIF($M12:AR12,"u")=0), "u", "")</f>
        <v/>
      </c>
      <c r="AT12" s="80" t="str">
        <f>IF(AND($F12&lt;&gt;"", $F12&gt;=AT$5-4, $F12&lt;=AT$5, COUNTIF($M12:AS12,"u")=0), "u", "")</f>
        <v/>
      </c>
      <c r="AU12" s="80" t="str">
        <f>IF(AND($F12&lt;&gt;"", $F12&gt;=AU$5-4, $F12&lt;=AU$5, COUNTIF($M12:AT12,"u")=0), "u", "")</f>
        <v/>
      </c>
      <c r="AV12" s="80" t="str">
        <f>IF(AND($F12&lt;&gt;"", $F12&gt;=AV$5-4, $F12&lt;=AV$5, COUNTIF($M12:AU12,"u")=0), "u", "")</f>
        <v/>
      </c>
      <c r="AW12" s="80" t="str">
        <f>IF(AND($F12&lt;&gt;"", $F12&gt;=AW$5-4, $F12&lt;=AW$5, COUNTIF($M12:AV12,"u")=0), "u", "")</f>
        <v/>
      </c>
      <c r="AX12" s="80" t="str">
        <f>IF(AND($F12&lt;&gt;"", $F12&gt;=AX$5-4, $F12&lt;=AX$5, COUNTIF($M12:AW12,"u")=0), "u", "")</f>
        <v/>
      </c>
      <c r="AY12" s="80" t="str">
        <f>IF(AND($F12&lt;&gt;"", $F12&gt;=AY$5-4, $F12&lt;=AY$5, COUNTIF($M12:AX12,"u")=0), "u", "")</f>
        <v/>
      </c>
      <c r="AZ12" s="80" t="str">
        <f>IF(AND($F12&lt;&gt;"", $F12&gt;=AZ$5-4, $F12&lt;=AZ$5, COUNTIF($M12:AY12,"u")=0), "u", "")</f>
        <v/>
      </c>
      <c r="BA12" s="80" t="str">
        <f>IF(AND($F12&lt;&gt;"", $F12&gt;=BA$5-4, $F12&lt;=BA$5, COUNTIF($M12:AZ12,"u")=0), "u", "")</f>
        <v/>
      </c>
      <c r="BB12" s="80" t="str">
        <f>IF(AND($F12&lt;&gt;"", $F12&gt;=BB$5-4, $F12&lt;=BB$5, COUNTIF($M12:BA12,"u")=0), "u", "")</f>
        <v/>
      </c>
      <c r="BC12" s="80" t="str">
        <f>IF(AND($F12&lt;&gt;"", $F12&gt;=BC$5-4, $F12&lt;=BC$5, COUNTIF($M12:BB12,"u")=0), "u", "")</f>
        <v/>
      </c>
      <c r="BD12" s="80" t="str">
        <f>IF(AND($F12&lt;&gt;"", $F12&gt;=BD$5-4, $F12&lt;=BD$5, COUNTIF($M12:BC12,"u")=0), "u", "")</f>
        <v/>
      </c>
      <c r="BE12" s="80" t="str">
        <f>IF(AND($F12&lt;&gt;"", $F12&gt;=BE$5-4, $F12&lt;=BE$5, COUNTIF($M12:BD12,"u")=0), "u", "")</f>
        <v/>
      </c>
      <c r="BF12" s="80" t="str">
        <f>IF(AND($F12&lt;&gt;"", $F12&gt;=BF$5-4, $F12&lt;=BF$5, COUNTIF($M12:BE12,"u")=0), "u", "")</f>
        <v/>
      </c>
      <c r="BG12" s="80" t="str">
        <f>IF(AND($F12&lt;&gt;"", $F12&gt;=BG$5-4, $F12&lt;=BG$5, COUNTIF($M12:BF12,"u")=0), "u", "")</f>
        <v/>
      </c>
      <c r="BH12" s="80" t="str">
        <f>IF(AND($F12&lt;&gt;"", $F12&gt;=BH$5-4, $F12&lt;=BH$5, COUNTIF($M12:BG12,"u")=0), "u", "")</f>
        <v/>
      </c>
      <c r="BI12" s="80" t="str">
        <f>IF(AND($F12&lt;&gt;"", $F12&gt;=BI$5-4, $F12&lt;=BI$5, COUNTIF($M12:BH12,"u")=0), "u", "")</f>
        <v/>
      </c>
      <c r="BJ12" s="80" t="str">
        <f>IF(AND($F12&lt;&gt;"", $F12&gt;=BJ$5-4, $F12&lt;=BJ$5, COUNTIF($M12:BI12,"u")=0), "u", "")</f>
        <v/>
      </c>
      <c r="BK12" s="80" t="str">
        <f>IF(AND($F12&lt;&gt;"", $F12&gt;=BK$5-4, $F12&lt;=BK$5, COUNTIF($M12:BJ12,"u")=0), "u", "")</f>
        <v/>
      </c>
      <c r="BL12" s="80" t="str">
        <f>IF(AND($F12&lt;&gt;"", $F12&gt;=BL$5-4, $F12&lt;=BL$5, COUNTIF($M12:BK12,"u")=0), "u", "")</f>
        <v/>
      </c>
      <c r="BM12" s="80" t="str">
        <f>IF(AND($F12&lt;&gt;"", $F12&gt;=BM$5-4, $F12&lt;=BM$5, COUNTIF($M12:BL12,"u")=0), "u", "")</f>
        <v/>
      </c>
      <c r="BN12" s="80" t="str">
        <f>IF(AND($F12&lt;&gt;"", $F12&gt;=BN$5-4, $F12&lt;=BN$5, COUNTIF($M12:BM12,"u")=0), "u", "")</f>
        <v/>
      </c>
      <c r="BO12" s="80" t="str">
        <f>IF(AND($F12&lt;&gt;"", $F12&gt;=BO$5-4, $F12&lt;=BO$5, COUNTIF($M12:BN12,"u")=0), "u", "")</f>
        <v/>
      </c>
      <c r="BP12" s="80" t="str">
        <f>IF(AND($F12&lt;&gt;"", $F12&gt;=BP$5-4, $F12&lt;=BP$5, COUNTIF($M12:BO12,"u")=0), "u", "")</f>
        <v/>
      </c>
      <c r="BQ12" s="80" t="str">
        <f>IF(AND($F12&lt;&gt;"", $F12&gt;=BQ$5-4, $F12&lt;=BQ$5, COUNTIF($M12:BP12,"u")=0), "u", "")</f>
        <v/>
      </c>
      <c r="BR12" s="80" t="str">
        <f>IF(AND($F12&lt;&gt;"", $F12&gt;=BR$5-4, $F12&lt;=BR$5, COUNTIF($M12:BQ12,"u")=0), "u", "")</f>
        <v/>
      </c>
      <c r="BS12" s="80" t="str">
        <f>IF(AND($F12&lt;&gt;"", $F12&gt;=BS$5-4, $F12&lt;=BS$5, COUNTIF($M12:BR12,"u")=0), "u", "")</f>
        <v/>
      </c>
      <c r="BT12" s="80" t="str">
        <f>IF(AND($F12&lt;&gt;"", $F12&gt;=BT$5-4, $F12&lt;=BT$5, COUNTIF($M12:BS12,"u")=0), "u", "")</f>
        <v/>
      </c>
      <c r="BU12" s="80" t="str">
        <f>IF(AND($F12&lt;&gt;"", $F12&gt;=BU$5-4, $F12&lt;=BU$5, COUNTIF($M12:BT12,"u")=0), "u", "")</f>
        <v/>
      </c>
      <c r="BV12" s="80" t="str">
        <f>IF(AND($F12&lt;&gt;"", $F12&gt;=BV$5-4, $F12&lt;=BV$5, COUNTIF($M12:BU12,"u")=0), "u", "")</f>
        <v/>
      </c>
      <c r="BW12" s="80" t="str">
        <f>IF(AND($F12&lt;&gt;"", $F12&gt;=BW$5-4, $F12&lt;=BW$5, COUNTIF($M12:BV12,"u")=0), "u", "")</f>
        <v/>
      </c>
      <c r="BX12" s="80" t="str">
        <f>IF(AND($F12&lt;&gt;"", $F12&gt;=BX$5-4, $F12&lt;=BX$5, COUNTIF($M12:BW12,"u")=0), "u", "")</f>
        <v/>
      </c>
      <c r="BY12" s="80" t="str">
        <f>IF(AND($F12&lt;&gt;"", $F12&gt;=BY$5-4, $F12&lt;=BY$5, COUNTIF($M12:BX12,"u")=0), "u", "")</f>
        <v/>
      </c>
      <c r="BZ12" s="80" t="str">
        <f>IF(AND($F12&lt;&gt;"", $F12&gt;=BZ$5-4, $F12&lt;=BZ$5, COUNTIF($M12:BY12,"u")=0), "u", "")</f>
        <v/>
      </c>
      <c r="CA12" s="80" t="str">
        <f>IF(AND($F12&lt;&gt;"", $F12&gt;=CA$5-4, $F12&lt;=CA$5, COUNTIF($M12:BZ12,"u")=0), "u", "")</f>
        <v/>
      </c>
      <c r="CB12" s="80" t="str">
        <f>IF(AND($F12&lt;&gt;"", $F12&gt;=CB$5-4, $F12&lt;=CB$5, COUNTIF($M12:CA12,"u")=0), "u", "")</f>
        <v/>
      </c>
      <c r="CC12" s="80" t="str">
        <f>IF(AND($F12&lt;&gt;"", $F12&gt;=CC$5-4, $F12&lt;=CC$5, COUNTIF($M12:CB12,"u")=0), "u", "")</f>
        <v/>
      </c>
      <c r="CD12" s="80" t="str">
        <f>IF(AND($F12&lt;&gt;"", $F12&gt;=CD$5-4, $F12&lt;=CD$5, COUNTIF($M12:CC12,"u")=0), "u", "")</f>
        <v/>
      </c>
      <c r="CE12" s="80" t="str">
        <f>IF(AND($F12&lt;&gt;"", $F12&gt;=CE$5-4, $F12&lt;=CE$5, COUNTIF($M12:CD12,"u")=0), "u", "")</f>
        <v/>
      </c>
      <c r="CF12" s="80" t="str">
        <f>IF(AND($F12&lt;&gt;"", $F12&gt;=CF$5-4, $F12&lt;=CF$5, COUNTIF($M12:CE12,"u")=0), "u", "")</f>
        <v/>
      </c>
      <c r="CG12" s="80" t="str">
        <f>IF(AND($F12&lt;&gt;"", $F12&gt;=CG$5-4, $F12&lt;=CG$5, COUNTIF($M12:CF12,"u")=0), "u", "")</f>
        <v/>
      </c>
      <c r="CH12" s="80" t="str">
        <f>IF(AND($F12&lt;&gt;"", $F12&gt;=CH$5-4, $F12&lt;=CH$5, COUNTIF($M12:CG12,"u")=0), "u", "")</f>
        <v/>
      </c>
      <c r="CI12" s="80" t="str">
        <f>IF(AND($F12&lt;&gt;"", $F12&gt;=CI$5-4, $F12&lt;=CI$5, COUNTIF($M12:CH12,"u")=0), "u", "")</f>
        <v/>
      </c>
      <c r="CJ12" s="80" t="str">
        <f>IF(AND($F12&lt;&gt;"", $F12&gt;=CJ$5-4, $F12&lt;=CJ$5, COUNTIF($M12:CI12,"u")=0), "u", "")</f>
        <v/>
      </c>
      <c r="CK12" s="80" t="str">
        <f>IF(AND($F12&lt;&gt;"", $F12&gt;=CK$5-4, $F12&lt;=CK$5, COUNTIF($M12:CJ12,"u")=0), "u", "")</f>
        <v/>
      </c>
      <c r="CL12" s="80" t="str">
        <f>IF(AND($F12&lt;&gt;"", $F12&gt;=CL$5-4, $F12&lt;=CL$5, COUNTIF($M12:CK12,"u")=0), "u", "")</f>
        <v/>
      </c>
      <c r="CM12" s="80" t="str">
        <f>IF(AND($F12&lt;&gt;"", $F12&gt;=CM$5-4, $F12&lt;=CM$5, COUNTIF($M12:CL12,"u")=0), "u", "")</f>
        <v/>
      </c>
      <c r="CN12" s="80" t="str">
        <f>IF(AND($F12&lt;&gt;"", $F12&gt;=CN$5-4, $F12&lt;=CN$5, COUNTIF($M12:CM12,"u")=0), "u", "")</f>
        <v/>
      </c>
      <c r="CO12" s="80" t="str">
        <f>IF(AND($F12&lt;&gt;"", $F12&gt;=CO$5-4, $F12&lt;=CO$5, COUNTIF($M12:CN12,"u")=0), "u", "")</f>
        <v/>
      </c>
      <c r="CP12" s="80" t="str">
        <f>IF(AND($F12&lt;&gt;"", $F12&gt;=CP$5-4, $F12&lt;=CP$5, COUNTIF($M12:CO12,"u")=0), "u", "")</f>
        <v/>
      </c>
      <c r="CQ12" s="80" t="str">
        <f>IF(AND($F12&lt;&gt;"", $F12&gt;=CQ$5-4, $F12&lt;=CQ$5, COUNTIF($M12:CP12,"u")=0), "u", "")</f>
        <v/>
      </c>
      <c r="CR12" s="80" t="str">
        <f>IF(AND($F12&lt;&gt;"", $F12&gt;=CR$5-4, $F12&lt;=CR$5, COUNTIF($M12:CQ12,"u")=0), "u", "")</f>
        <v/>
      </c>
      <c r="CS12" s="80" t="str">
        <f>IF(AND($F12&lt;&gt;"", $F12&gt;=CS$5-4, $F12&lt;=CS$5, COUNTIF($M12:CR12,"u")=0), "u", "")</f>
        <v/>
      </c>
      <c r="CT12" s="80" t="str">
        <f>IF(AND($F12&lt;&gt;"", $F12&gt;=CT$5-4, $F12&lt;=CT$5, COUNTIF($M12:CS12,"u")=0), "u", "")</f>
        <v/>
      </c>
      <c r="CU12" s="80" t="str">
        <f>IF(AND($F12&lt;&gt;"", $F12&gt;=CU$5-4, $F12&lt;=CU$5, COUNTIF($M12:CT12,"u")=0), "u", "")</f>
        <v/>
      </c>
      <c r="CV12" s="80" t="str">
        <f>IF(AND($F12&lt;&gt;"", $F12&gt;=CV$5-4, $F12&lt;=CV$5, COUNTIF($M12:CU12,"u")=0), "u", "")</f>
        <v/>
      </c>
      <c r="CW12" s="80" t="str">
        <f>IF(AND($F12&lt;&gt;"", $F12&gt;=CW$5-4, $F12&lt;=CW$5, COUNTIF($M12:CV12,"u")=0), "u", "")</f>
        <v/>
      </c>
      <c r="CX12" s="80" t="str">
        <f>IF(AND($F12&lt;&gt;"", $F12&gt;=CX$5-4, $F12&lt;=CX$5, COUNTIF($M12:CW12,"u")=0), "u", "")</f>
        <v/>
      </c>
      <c r="CY12" s="80" t="str">
        <f>IF(AND($F12&lt;&gt;"", $F12&gt;=CY$5-4, $F12&lt;=CY$5, COUNTIF($M12:CX12,"u")=0), "u", "")</f>
        <v/>
      </c>
      <c r="CZ12" s="80" t="str">
        <f>IF(AND($F12&lt;&gt;"", $F12&gt;=CZ$5-4, $F12&lt;=CZ$5, COUNTIF($M12:CY12,"u")=0), "u", "")</f>
        <v/>
      </c>
      <c r="DA12" s="80" t="str">
        <f>IF(AND($F12&lt;&gt;"", $F12&gt;=DA$5-4, $F12&lt;=DA$5, COUNTIF($M12:CZ12,"u")=0), "u", "")</f>
        <v/>
      </c>
      <c r="DB12" s="80" t="str">
        <f>IF(AND($F12&lt;&gt;"", $F12&gt;=DB$5-4, $F12&lt;=DB$5, COUNTIF($M12:DA12,"u")=0), "u", "")</f>
        <v/>
      </c>
      <c r="DC12" s="80" t="str">
        <f>IF(AND($F12&lt;&gt;"", $F12&gt;=DC$5-4, $F12&lt;=DC$5, COUNTIF($M12:DB12,"u")=0), "u", "")</f>
        <v/>
      </c>
      <c r="DD12" s="80" t="str">
        <f>IF(AND($F12&lt;&gt;"", $F12&gt;=DD$5-4, $F12&lt;=DD$5, COUNTIF($M12:DC12,"u")=0), "u", "")</f>
        <v/>
      </c>
      <c r="DE12" s="80" t="str">
        <f>IF(AND($F12&lt;&gt;"", $F12&gt;=DE$5-4, $F12&lt;=DE$5, COUNTIF($M12:DD12,"u")=0), "u", "")</f>
        <v/>
      </c>
      <c r="DF12" s="80" t="str">
        <f>IF(AND($F12&lt;&gt;"", $F12&gt;=DF$5-4, $F12&lt;=DF$5, COUNTIF($M12:DE12,"u")=0), "u", "")</f>
        <v/>
      </c>
      <c r="DG12" s="80" t="str">
        <f>IF(AND($F12&lt;&gt;"", $F12&gt;=DG$5-4, $F12&lt;=DG$5, COUNTIF($M12:DF12,"u")=0), "u", "")</f>
        <v/>
      </c>
      <c r="DH12" s="80" t="str">
        <f>IF(AND($F12&lt;&gt;"", $F12&gt;=DH$5-4, $F12&lt;=DH$5, COUNTIF($M12:DG12,"u")=0), "u", "")</f>
        <v/>
      </c>
      <c r="DI12" s="80" t="str">
        <f>IF(AND($F12&lt;&gt;"", $F12&gt;=DI$5-4, $F12&lt;=DI$5, COUNTIF($M12:DH12,"u")=0), "u", "")</f>
        <v/>
      </c>
      <c r="DJ12" s="80" t="str">
        <f>IF(AND($F12&lt;&gt;"", $F12&gt;=DJ$5-4, $F12&lt;=DJ$5, COUNTIF($M12:DI12,"u")=0), "u", "")</f>
        <v/>
      </c>
      <c r="DK12" s="80" t="str">
        <f>IF(AND($F12&lt;&gt;"", $F12&gt;=DK$5-4, $F12&lt;=DK$5, COUNTIF($M12:DJ12,"u")=0), "u", "")</f>
        <v/>
      </c>
      <c r="DL12" s="80" t="str">
        <f>IF(AND($F12&lt;&gt;"", $F12&gt;=DL$5-4, $F12&lt;=DL$5, COUNTIF($M12:DK12,"u")=0), "u", "")</f>
        <v/>
      </c>
    </row>
    <row r="13" spans="1:116" ht="25.05" customHeight="1" x14ac:dyDescent="0.3">
      <c r="A13" s="39"/>
      <c r="B13" s="75">
        <v>8</v>
      </c>
      <c r="C13" s="81"/>
      <c r="D13" s="81"/>
      <c r="E13" s="53"/>
      <c r="F13" s="53"/>
      <c r="G13" s="82" t="str">
        <f t="shared" si="44"/>
        <v/>
      </c>
      <c r="H13" s="82" t="str">
        <f t="shared" si="44"/>
        <v/>
      </c>
      <c r="I13" s="77" t="str">
        <f t="shared" si="45"/>
        <v/>
      </c>
      <c r="J13" s="78" t="s">
        <v>50</v>
      </c>
      <c r="K13" s="79">
        <v>0</v>
      </c>
      <c r="L13" s="57"/>
      <c r="M13" s="80" t="str">
        <f t="shared" si="46"/>
        <v/>
      </c>
      <c r="N13" s="80" t="str">
        <f>IF(AND($F13&lt;&gt;"", $F13&gt;=N$5-4, $F13&lt;=N$5, COUNTIF($M13:M13,"u")=0), "u", "")</f>
        <v/>
      </c>
      <c r="O13" s="80" t="str">
        <f>IF(AND($F13&lt;&gt;"", $F13&gt;=O$5-4, $F13&lt;=O$5, COUNTIF($M13:N13,"u")=0), "u", "")</f>
        <v/>
      </c>
      <c r="P13" s="80" t="str">
        <f>IF(AND($F13&lt;&gt;"", $F13&gt;=P$5-4, $F13&lt;=P$5, COUNTIF($M13:O13,"u")=0), "u", "")</f>
        <v/>
      </c>
      <c r="Q13" s="80" t="str">
        <f>IF(AND($F13&lt;&gt;"", $F13&gt;=Q$5-4, $F13&lt;=Q$5, COUNTIF($M13:P13,"u")=0), "u", "")</f>
        <v/>
      </c>
      <c r="R13" s="80" t="str">
        <f>IF(AND($F13&lt;&gt;"", $F13&gt;=R$5-4, $F13&lt;=R$5, COUNTIF($M13:Q13,"u")=0), "u", "")</f>
        <v/>
      </c>
      <c r="S13" s="80" t="str">
        <f>IF(AND($F13&lt;&gt;"", $F13&gt;=S$5-4, $F13&lt;=S$5, COUNTIF($M13:R13,"u")=0), "u", "")</f>
        <v/>
      </c>
      <c r="T13" s="80" t="str">
        <f>IF(AND($F13&lt;&gt;"", $F13&gt;=T$5-4, $F13&lt;=T$5, COUNTIF($M13:S13,"u")=0), "u", "")</f>
        <v/>
      </c>
      <c r="U13" s="80" t="str">
        <f>IF(AND($F13&lt;&gt;"", $F13&gt;=U$5-4, $F13&lt;=U$5, COUNTIF($M13:T13,"u")=0), "u", "")</f>
        <v/>
      </c>
      <c r="V13" s="80" t="str">
        <f>IF(AND($F13&lt;&gt;"", $F13&gt;=V$5-4, $F13&lt;=V$5, COUNTIF($M13:U13,"u")=0), "u", "")</f>
        <v/>
      </c>
      <c r="W13" s="80" t="str">
        <f>IF(AND($F13&lt;&gt;"", $F13&gt;=W$5-4, $F13&lt;=W$5, COUNTIF($M13:V13,"u")=0), "u", "")</f>
        <v/>
      </c>
      <c r="X13" s="80" t="str">
        <f>IF(AND($F13&lt;&gt;"", $F13&gt;=X$5-4, $F13&lt;=X$5, COUNTIF($M13:W13,"u")=0), "u", "")</f>
        <v/>
      </c>
      <c r="Y13" s="80" t="str">
        <f>IF(AND($F13&lt;&gt;"", $F13&gt;=Y$5-4, $F13&lt;=Y$5, COUNTIF($M13:X13,"u")=0), "u", "")</f>
        <v/>
      </c>
      <c r="Z13" s="80" t="str">
        <f>IF(AND($F13&lt;&gt;"", $F13&gt;=Z$5-4, $F13&lt;=Z$5, COUNTIF($M13:Y13,"u")=0), "u", "")</f>
        <v/>
      </c>
      <c r="AA13" s="80" t="str">
        <f>IF(AND($F13&lt;&gt;"", $F13&gt;=AA$5-4, $F13&lt;=AA$5, COUNTIF($M13:Z13,"u")=0), "u", "")</f>
        <v/>
      </c>
      <c r="AB13" s="80" t="str">
        <f>IF(AND($F13&lt;&gt;"", $F13&gt;=AB$5-4, $F13&lt;=AB$5, COUNTIF($M13:AA13,"u")=0), "u", "")</f>
        <v/>
      </c>
      <c r="AC13" s="80" t="str">
        <f>IF(AND($F13&lt;&gt;"", $F13&gt;=AC$5-4, $F13&lt;=AC$5, COUNTIF($M13:AB13,"u")=0), "u", "")</f>
        <v/>
      </c>
      <c r="AD13" s="80" t="str">
        <f>IF(AND($F13&lt;&gt;"", $F13&gt;=AD$5-4, $F13&lt;=AD$5, COUNTIF($M13:AC13,"u")=0), "u", "")</f>
        <v/>
      </c>
      <c r="AE13" s="80" t="str">
        <f>IF(AND($F13&lt;&gt;"", $F13&gt;=AE$5-4, $F13&lt;=AE$5, COUNTIF($M13:AD13,"u")=0), "u", "")</f>
        <v/>
      </c>
      <c r="AF13" s="80" t="str">
        <f>IF(AND($F13&lt;&gt;"", $F13&gt;=AF$5-4, $F13&lt;=AF$5, COUNTIF($M13:AE13,"u")=0), "u", "")</f>
        <v/>
      </c>
      <c r="AG13" s="80" t="str">
        <f>IF(AND($F13&lt;&gt;"", $F13&gt;=AG$5-4, $F13&lt;=AG$5, COUNTIF($M13:AF13,"u")=0), "u", "")</f>
        <v/>
      </c>
      <c r="AH13" s="80" t="str">
        <f>IF(AND($F13&lt;&gt;"", $F13&gt;=AH$5-4, $F13&lt;=AH$5, COUNTIF($M13:AG13,"u")=0), "u", "")</f>
        <v/>
      </c>
      <c r="AI13" s="80" t="str">
        <f>IF(AND($F13&lt;&gt;"", $F13&gt;=AI$5-4, $F13&lt;=AI$5, COUNTIF($M13:AH13,"u")=0), "u", "")</f>
        <v/>
      </c>
      <c r="AJ13" s="80" t="str">
        <f>IF(AND($F13&lt;&gt;"", $F13&gt;=AJ$5-4, $F13&lt;=AJ$5, COUNTIF($M13:AI13,"u")=0), "u", "")</f>
        <v/>
      </c>
      <c r="AK13" s="80" t="str">
        <f>IF(AND($F13&lt;&gt;"", $F13&gt;=AK$5-4, $F13&lt;=AK$5, COUNTIF($M13:AJ13,"u")=0), "u", "")</f>
        <v/>
      </c>
      <c r="AL13" s="80" t="str">
        <f>IF(AND($F13&lt;&gt;"", $F13&gt;=AL$5-4, $F13&lt;=AL$5, COUNTIF($M13:AK13,"u")=0), "u", "")</f>
        <v/>
      </c>
      <c r="AM13" s="80" t="str">
        <f>IF(AND($F13&lt;&gt;"", $F13&gt;=AM$5-4, $F13&lt;=AM$5, COUNTIF($M13:AL13,"u")=0), "u", "")</f>
        <v/>
      </c>
      <c r="AN13" s="80" t="str">
        <f>IF(AND($F13&lt;&gt;"", $F13&gt;=AN$5-4, $F13&lt;=AN$5, COUNTIF($M13:AM13,"u")=0), "u", "")</f>
        <v/>
      </c>
      <c r="AO13" s="80" t="str">
        <f>IF(AND($F13&lt;&gt;"", $F13&gt;=AO$5-4, $F13&lt;=AO$5, COUNTIF($M13:AN13,"u")=0), "u", "")</f>
        <v/>
      </c>
      <c r="AP13" s="80" t="str">
        <f>IF(AND($F13&lt;&gt;"", $F13&gt;=AP$5-4, $F13&lt;=AP$5, COUNTIF($M13:AO13,"u")=0), "u", "")</f>
        <v/>
      </c>
      <c r="AQ13" s="80" t="str">
        <f>IF(AND($F13&lt;&gt;"", $F13&gt;=AQ$5-4, $F13&lt;=AQ$5, COUNTIF($M13:AP13,"u")=0), "u", "")</f>
        <v/>
      </c>
      <c r="AR13" s="80" t="str">
        <f>IF(AND($F13&lt;&gt;"", $F13&gt;=AR$5-4, $F13&lt;=AR$5, COUNTIF($M13:AQ13,"u")=0), "u", "")</f>
        <v/>
      </c>
      <c r="AS13" s="80" t="str">
        <f>IF(AND($F13&lt;&gt;"", $F13&gt;=AS$5-4, $F13&lt;=AS$5, COUNTIF($M13:AR13,"u")=0), "u", "")</f>
        <v/>
      </c>
      <c r="AT13" s="80" t="str">
        <f>IF(AND($F13&lt;&gt;"", $F13&gt;=AT$5-4, $F13&lt;=AT$5, COUNTIF($M13:AS13,"u")=0), "u", "")</f>
        <v/>
      </c>
      <c r="AU13" s="80" t="str">
        <f>IF(AND($F13&lt;&gt;"", $F13&gt;=AU$5-4, $F13&lt;=AU$5, COUNTIF($M13:AT13,"u")=0), "u", "")</f>
        <v/>
      </c>
      <c r="AV13" s="80" t="str">
        <f>IF(AND($F13&lt;&gt;"", $F13&gt;=AV$5-4, $F13&lt;=AV$5, COUNTIF($M13:AU13,"u")=0), "u", "")</f>
        <v/>
      </c>
      <c r="AW13" s="80" t="str">
        <f>IF(AND($F13&lt;&gt;"", $F13&gt;=AW$5-4, $F13&lt;=AW$5, COUNTIF($M13:AV13,"u")=0), "u", "")</f>
        <v/>
      </c>
      <c r="AX13" s="80" t="str">
        <f>IF(AND($F13&lt;&gt;"", $F13&gt;=AX$5-4, $F13&lt;=AX$5, COUNTIF($M13:AW13,"u")=0), "u", "")</f>
        <v/>
      </c>
      <c r="AY13" s="80" t="str">
        <f>IF(AND($F13&lt;&gt;"", $F13&gt;=AY$5-4, $F13&lt;=AY$5, COUNTIF($M13:AX13,"u")=0), "u", "")</f>
        <v/>
      </c>
      <c r="AZ13" s="80" t="str">
        <f>IF(AND($F13&lt;&gt;"", $F13&gt;=AZ$5-4, $F13&lt;=AZ$5, COUNTIF($M13:AY13,"u")=0), "u", "")</f>
        <v/>
      </c>
      <c r="BA13" s="80" t="str">
        <f>IF(AND($F13&lt;&gt;"", $F13&gt;=BA$5-4, $F13&lt;=BA$5, COUNTIF($M13:AZ13,"u")=0), "u", "")</f>
        <v/>
      </c>
      <c r="BB13" s="80" t="str">
        <f>IF(AND($F13&lt;&gt;"", $F13&gt;=BB$5-4, $F13&lt;=BB$5, COUNTIF($M13:BA13,"u")=0), "u", "")</f>
        <v/>
      </c>
      <c r="BC13" s="80" t="str">
        <f>IF(AND($F13&lt;&gt;"", $F13&gt;=BC$5-4, $F13&lt;=BC$5, COUNTIF($M13:BB13,"u")=0), "u", "")</f>
        <v/>
      </c>
      <c r="BD13" s="80" t="str">
        <f>IF(AND($F13&lt;&gt;"", $F13&gt;=BD$5-4, $F13&lt;=BD$5, COUNTIF($M13:BC13,"u")=0), "u", "")</f>
        <v/>
      </c>
      <c r="BE13" s="80" t="str">
        <f>IF(AND($F13&lt;&gt;"", $F13&gt;=BE$5-4, $F13&lt;=BE$5, COUNTIF($M13:BD13,"u")=0), "u", "")</f>
        <v/>
      </c>
      <c r="BF13" s="80" t="str">
        <f>IF(AND($F13&lt;&gt;"", $F13&gt;=BF$5-4, $F13&lt;=BF$5, COUNTIF($M13:BE13,"u")=0), "u", "")</f>
        <v/>
      </c>
      <c r="BG13" s="80" t="str">
        <f>IF(AND($F13&lt;&gt;"", $F13&gt;=BG$5-4, $F13&lt;=BG$5, COUNTIF($M13:BF13,"u")=0), "u", "")</f>
        <v/>
      </c>
      <c r="BH13" s="80" t="str">
        <f>IF(AND($F13&lt;&gt;"", $F13&gt;=BH$5-4, $F13&lt;=BH$5, COUNTIF($M13:BG13,"u")=0), "u", "")</f>
        <v/>
      </c>
      <c r="BI13" s="80" t="str">
        <f>IF(AND($F13&lt;&gt;"", $F13&gt;=BI$5-4, $F13&lt;=BI$5, COUNTIF($M13:BH13,"u")=0), "u", "")</f>
        <v/>
      </c>
      <c r="BJ13" s="80" t="str">
        <f>IF(AND($F13&lt;&gt;"", $F13&gt;=BJ$5-4, $F13&lt;=BJ$5, COUNTIF($M13:BI13,"u")=0), "u", "")</f>
        <v/>
      </c>
      <c r="BK13" s="80" t="str">
        <f>IF(AND($F13&lt;&gt;"", $F13&gt;=BK$5-4, $F13&lt;=BK$5, COUNTIF($M13:BJ13,"u")=0), "u", "")</f>
        <v/>
      </c>
      <c r="BL13" s="80" t="str">
        <f>IF(AND($F13&lt;&gt;"", $F13&gt;=BL$5-4, $F13&lt;=BL$5, COUNTIF($M13:BK13,"u")=0), "u", "")</f>
        <v/>
      </c>
      <c r="BM13" s="80" t="str">
        <f>IF(AND($F13&lt;&gt;"", $F13&gt;=BM$5-4, $F13&lt;=BM$5, COUNTIF($M13:BL13,"u")=0), "u", "")</f>
        <v/>
      </c>
      <c r="BN13" s="80" t="str">
        <f>IF(AND($F13&lt;&gt;"", $F13&gt;=BN$5-4, $F13&lt;=BN$5, COUNTIF($M13:BM13,"u")=0), "u", "")</f>
        <v/>
      </c>
      <c r="BO13" s="80" t="str">
        <f>IF(AND($F13&lt;&gt;"", $F13&gt;=BO$5-4, $F13&lt;=BO$5, COUNTIF($M13:BN13,"u")=0), "u", "")</f>
        <v/>
      </c>
      <c r="BP13" s="80" t="str">
        <f>IF(AND($F13&lt;&gt;"", $F13&gt;=BP$5-4, $F13&lt;=BP$5, COUNTIF($M13:BO13,"u")=0), "u", "")</f>
        <v/>
      </c>
      <c r="BQ13" s="80" t="str">
        <f>IF(AND($F13&lt;&gt;"", $F13&gt;=BQ$5-4, $F13&lt;=BQ$5, COUNTIF($M13:BP13,"u")=0), "u", "")</f>
        <v/>
      </c>
      <c r="BR13" s="80" t="str">
        <f>IF(AND($F13&lt;&gt;"", $F13&gt;=BR$5-4, $F13&lt;=BR$5, COUNTIF($M13:BQ13,"u")=0), "u", "")</f>
        <v/>
      </c>
      <c r="BS13" s="80" t="str">
        <f>IF(AND($F13&lt;&gt;"", $F13&gt;=BS$5-4, $F13&lt;=BS$5, COUNTIF($M13:BR13,"u")=0), "u", "")</f>
        <v/>
      </c>
      <c r="BT13" s="80" t="str">
        <f>IF(AND($F13&lt;&gt;"", $F13&gt;=BT$5-4, $F13&lt;=BT$5, COUNTIF($M13:BS13,"u")=0), "u", "")</f>
        <v/>
      </c>
      <c r="BU13" s="80" t="str">
        <f>IF(AND($F13&lt;&gt;"", $F13&gt;=BU$5-4, $F13&lt;=BU$5, COUNTIF($M13:BT13,"u")=0), "u", "")</f>
        <v/>
      </c>
      <c r="BV13" s="80" t="str">
        <f>IF(AND($F13&lt;&gt;"", $F13&gt;=BV$5-4, $F13&lt;=BV$5, COUNTIF($M13:BU13,"u")=0), "u", "")</f>
        <v/>
      </c>
      <c r="BW13" s="80" t="str">
        <f>IF(AND($F13&lt;&gt;"", $F13&gt;=BW$5-4, $F13&lt;=BW$5, COUNTIF($M13:BV13,"u")=0), "u", "")</f>
        <v/>
      </c>
      <c r="BX13" s="80" t="str">
        <f>IF(AND($F13&lt;&gt;"", $F13&gt;=BX$5-4, $F13&lt;=BX$5, COUNTIF($M13:BW13,"u")=0), "u", "")</f>
        <v/>
      </c>
      <c r="BY13" s="80" t="str">
        <f>IF(AND($F13&lt;&gt;"", $F13&gt;=BY$5-4, $F13&lt;=BY$5, COUNTIF($M13:BX13,"u")=0), "u", "")</f>
        <v/>
      </c>
      <c r="BZ13" s="80" t="str">
        <f>IF(AND($F13&lt;&gt;"", $F13&gt;=BZ$5-4, $F13&lt;=BZ$5, COUNTIF($M13:BY13,"u")=0), "u", "")</f>
        <v/>
      </c>
      <c r="CA13" s="80" t="str">
        <f>IF(AND($F13&lt;&gt;"", $F13&gt;=CA$5-4, $F13&lt;=CA$5, COUNTIF($M13:BZ13,"u")=0), "u", "")</f>
        <v/>
      </c>
      <c r="CB13" s="80" t="str">
        <f>IF(AND($F13&lt;&gt;"", $F13&gt;=CB$5-4, $F13&lt;=CB$5, COUNTIF($M13:CA13,"u")=0), "u", "")</f>
        <v/>
      </c>
      <c r="CC13" s="80" t="str">
        <f>IF(AND($F13&lt;&gt;"", $F13&gt;=CC$5-4, $F13&lt;=CC$5, COUNTIF($M13:CB13,"u")=0), "u", "")</f>
        <v/>
      </c>
      <c r="CD13" s="80" t="str">
        <f>IF(AND($F13&lt;&gt;"", $F13&gt;=CD$5-4, $F13&lt;=CD$5, COUNTIF($M13:CC13,"u")=0), "u", "")</f>
        <v/>
      </c>
      <c r="CE13" s="80" t="str">
        <f>IF(AND($F13&lt;&gt;"", $F13&gt;=CE$5-4, $F13&lt;=CE$5, COUNTIF($M13:CD13,"u")=0), "u", "")</f>
        <v/>
      </c>
      <c r="CF13" s="80" t="str">
        <f>IF(AND($F13&lt;&gt;"", $F13&gt;=CF$5-4, $F13&lt;=CF$5, COUNTIF($M13:CE13,"u")=0), "u", "")</f>
        <v/>
      </c>
      <c r="CG13" s="80" t="str">
        <f>IF(AND($F13&lt;&gt;"", $F13&gt;=CG$5-4, $F13&lt;=CG$5, COUNTIF($M13:CF13,"u")=0), "u", "")</f>
        <v/>
      </c>
      <c r="CH13" s="80" t="str">
        <f>IF(AND($F13&lt;&gt;"", $F13&gt;=CH$5-4, $F13&lt;=CH$5, COUNTIF($M13:CG13,"u")=0), "u", "")</f>
        <v/>
      </c>
      <c r="CI13" s="80" t="str">
        <f>IF(AND($F13&lt;&gt;"", $F13&gt;=CI$5-4, $F13&lt;=CI$5, COUNTIF($M13:CH13,"u")=0), "u", "")</f>
        <v/>
      </c>
      <c r="CJ13" s="80" t="str">
        <f>IF(AND($F13&lt;&gt;"", $F13&gt;=CJ$5-4, $F13&lt;=CJ$5, COUNTIF($M13:CI13,"u")=0), "u", "")</f>
        <v/>
      </c>
      <c r="CK13" s="80" t="str">
        <f>IF(AND($F13&lt;&gt;"", $F13&gt;=CK$5-4, $F13&lt;=CK$5, COUNTIF($M13:CJ13,"u")=0), "u", "")</f>
        <v/>
      </c>
      <c r="CL13" s="80" t="str">
        <f>IF(AND($F13&lt;&gt;"", $F13&gt;=CL$5-4, $F13&lt;=CL$5, COUNTIF($M13:CK13,"u")=0), "u", "")</f>
        <v/>
      </c>
      <c r="CM13" s="80" t="str">
        <f>IF(AND($F13&lt;&gt;"", $F13&gt;=CM$5-4, $F13&lt;=CM$5, COUNTIF($M13:CL13,"u")=0), "u", "")</f>
        <v/>
      </c>
      <c r="CN13" s="80" t="str">
        <f>IF(AND($F13&lt;&gt;"", $F13&gt;=CN$5-4, $F13&lt;=CN$5, COUNTIF($M13:CM13,"u")=0), "u", "")</f>
        <v/>
      </c>
      <c r="CO13" s="80" t="str">
        <f>IF(AND($F13&lt;&gt;"", $F13&gt;=CO$5-4, $F13&lt;=CO$5, COUNTIF($M13:CN13,"u")=0), "u", "")</f>
        <v/>
      </c>
      <c r="CP13" s="80" t="str">
        <f>IF(AND($F13&lt;&gt;"", $F13&gt;=CP$5-4, $F13&lt;=CP$5, COUNTIF($M13:CO13,"u")=0), "u", "")</f>
        <v/>
      </c>
      <c r="CQ13" s="80" t="str">
        <f>IF(AND($F13&lt;&gt;"", $F13&gt;=CQ$5-4, $F13&lt;=CQ$5, COUNTIF($M13:CP13,"u")=0), "u", "")</f>
        <v/>
      </c>
      <c r="CR13" s="80" t="str">
        <f>IF(AND($F13&lt;&gt;"", $F13&gt;=CR$5-4, $F13&lt;=CR$5, COUNTIF($M13:CQ13,"u")=0), "u", "")</f>
        <v/>
      </c>
      <c r="CS13" s="80" t="str">
        <f>IF(AND($F13&lt;&gt;"", $F13&gt;=CS$5-4, $F13&lt;=CS$5, COUNTIF($M13:CR13,"u")=0), "u", "")</f>
        <v/>
      </c>
      <c r="CT13" s="80" t="str">
        <f>IF(AND($F13&lt;&gt;"", $F13&gt;=CT$5-4, $F13&lt;=CT$5, COUNTIF($M13:CS13,"u")=0), "u", "")</f>
        <v/>
      </c>
      <c r="CU13" s="80" t="str">
        <f>IF(AND($F13&lt;&gt;"", $F13&gt;=CU$5-4, $F13&lt;=CU$5, COUNTIF($M13:CT13,"u")=0), "u", "")</f>
        <v/>
      </c>
      <c r="CV13" s="80" t="str">
        <f>IF(AND($F13&lt;&gt;"", $F13&gt;=CV$5-4, $F13&lt;=CV$5, COUNTIF($M13:CU13,"u")=0), "u", "")</f>
        <v/>
      </c>
      <c r="CW13" s="80" t="str">
        <f>IF(AND($F13&lt;&gt;"", $F13&gt;=CW$5-4, $F13&lt;=CW$5, COUNTIF($M13:CV13,"u")=0), "u", "")</f>
        <v/>
      </c>
      <c r="CX13" s="80" t="str">
        <f>IF(AND($F13&lt;&gt;"", $F13&gt;=CX$5-4, $F13&lt;=CX$5, COUNTIF($M13:CW13,"u")=0), "u", "")</f>
        <v/>
      </c>
      <c r="CY13" s="80" t="str">
        <f>IF(AND($F13&lt;&gt;"", $F13&gt;=CY$5-4, $F13&lt;=CY$5, COUNTIF($M13:CX13,"u")=0), "u", "")</f>
        <v/>
      </c>
      <c r="CZ13" s="80" t="str">
        <f>IF(AND($F13&lt;&gt;"", $F13&gt;=CZ$5-4, $F13&lt;=CZ$5, COUNTIF($M13:CY13,"u")=0), "u", "")</f>
        <v/>
      </c>
      <c r="DA13" s="80" t="str">
        <f>IF(AND($F13&lt;&gt;"", $F13&gt;=DA$5-4, $F13&lt;=DA$5, COUNTIF($M13:CZ13,"u")=0), "u", "")</f>
        <v/>
      </c>
      <c r="DB13" s="80" t="str">
        <f>IF(AND($F13&lt;&gt;"", $F13&gt;=DB$5-4, $F13&lt;=DB$5, COUNTIF($M13:DA13,"u")=0), "u", "")</f>
        <v/>
      </c>
      <c r="DC13" s="80" t="str">
        <f>IF(AND($F13&lt;&gt;"", $F13&gt;=DC$5-4, $F13&lt;=DC$5, COUNTIF($M13:DB13,"u")=0), "u", "")</f>
        <v/>
      </c>
      <c r="DD13" s="80" t="str">
        <f>IF(AND($F13&lt;&gt;"", $F13&gt;=DD$5-4, $F13&lt;=DD$5, COUNTIF($M13:DC13,"u")=0), "u", "")</f>
        <v/>
      </c>
      <c r="DE13" s="80" t="str">
        <f>IF(AND($F13&lt;&gt;"", $F13&gt;=DE$5-4, $F13&lt;=DE$5, COUNTIF($M13:DD13,"u")=0), "u", "")</f>
        <v/>
      </c>
      <c r="DF13" s="80" t="str">
        <f>IF(AND($F13&lt;&gt;"", $F13&gt;=DF$5-4, $F13&lt;=DF$5, COUNTIF($M13:DE13,"u")=0), "u", "")</f>
        <v/>
      </c>
      <c r="DG13" s="80" t="str">
        <f>IF(AND($F13&lt;&gt;"", $F13&gt;=DG$5-4, $F13&lt;=DG$5, COUNTIF($M13:DF13,"u")=0), "u", "")</f>
        <v/>
      </c>
      <c r="DH13" s="80" t="str">
        <f>IF(AND($F13&lt;&gt;"", $F13&gt;=DH$5-4, $F13&lt;=DH$5, COUNTIF($M13:DG13,"u")=0), "u", "")</f>
        <v/>
      </c>
      <c r="DI13" s="80" t="str">
        <f>IF(AND($F13&lt;&gt;"", $F13&gt;=DI$5-4, $F13&lt;=DI$5, COUNTIF($M13:DH13,"u")=0), "u", "")</f>
        <v/>
      </c>
      <c r="DJ13" s="80" t="str">
        <f>IF(AND($F13&lt;&gt;"", $F13&gt;=DJ$5-4, $F13&lt;=DJ$5, COUNTIF($M13:DI13,"u")=0), "u", "")</f>
        <v/>
      </c>
      <c r="DK13" s="80" t="str">
        <f>IF(AND($F13&lt;&gt;"", $F13&gt;=DK$5-4, $F13&lt;=DK$5, COUNTIF($M13:DJ13,"u")=0), "u", "")</f>
        <v/>
      </c>
      <c r="DL13" s="80" t="str">
        <f>IF(AND($F13&lt;&gt;"", $F13&gt;=DL$5-4, $F13&lt;=DL$5, COUNTIF($M13:DK13,"u")=0), "u", "")</f>
        <v/>
      </c>
    </row>
    <row r="14" spans="1:116" ht="25.05" customHeight="1" x14ac:dyDescent="0.3">
      <c r="A14" s="39"/>
      <c r="B14" s="75">
        <v>9</v>
      </c>
      <c r="C14" s="81"/>
      <c r="D14" s="81"/>
      <c r="E14" s="53"/>
      <c r="F14" s="53"/>
      <c r="G14" s="83" t="str">
        <f t="shared" si="44"/>
        <v/>
      </c>
      <c r="H14" s="83" t="str">
        <f t="shared" si="44"/>
        <v/>
      </c>
      <c r="I14" s="77" t="str">
        <f t="shared" si="45"/>
        <v/>
      </c>
      <c r="J14" s="78" t="s">
        <v>50</v>
      </c>
      <c r="K14" s="79">
        <v>0</v>
      </c>
      <c r="L14" s="56"/>
      <c r="M14" s="80" t="str">
        <f t="shared" si="46"/>
        <v/>
      </c>
      <c r="N14" s="80" t="str">
        <f>IF(AND($F14&lt;&gt;"", $F14&gt;=N$5-4, $F14&lt;=N$5, COUNTIF($M14:M14,"u")=0), "u", "")</f>
        <v/>
      </c>
      <c r="O14" s="80" t="str">
        <f>IF(AND($F14&lt;&gt;"", $F14&gt;=O$5-4, $F14&lt;=O$5, COUNTIF($M14:N14,"u")=0), "u", "")</f>
        <v/>
      </c>
      <c r="P14" s="80" t="str">
        <f>IF(AND($F14&lt;&gt;"", $F14&gt;=P$5-4, $F14&lt;=P$5, COUNTIF($M14:O14,"u")=0), "u", "")</f>
        <v/>
      </c>
      <c r="Q14" s="80" t="str">
        <f>IF(AND($F14&lt;&gt;"", $F14&gt;=Q$5-4, $F14&lt;=Q$5, COUNTIF($M14:P14,"u")=0), "u", "")</f>
        <v/>
      </c>
      <c r="R14" s="80" t="str">
        <f>IF(AND($F14&lt;&gt;"", $F14&gt;=R$5-4, $F14&lt;=R$5, COUNTIF($M14:Q14,"u")=0), "u", "")</f>
        <v/>
      </c>
      <c r="S14" s="80" t="str">
        <f>IF(AND($F14&lt;&gt;"", $F14&gt;=S$5-4, $F14&lt;=S$5, COUNTIF($M14:R14,"u")=0), "u", "")</f>
        <v/>
      </c>
      <c r="T14" s="80" t="str">
        <f>IF(AND($F14&lt;&gt;"", $F14&gt;=T$5-4, $F14&lt;=T$5, COUNTIF($M14:S14,"u")=0), "u", "")</f>
        <v/>
      </c>
      <c r="U14" s="80" t="str">
        <f>IF(AND($F14&lt;&gt;"", $F14&gt;=U$5-4, $F14&lt;=U$5, COUNTIF($M14:T14,"u")=0), "u", "")</f>
        <v/>
      </c>
      <c r="V14" s="80" t="str">
        <f>IF(AND($F14&lt;&gt;"", $F14&gt;=V$5-4, $F14&lt;=V$5, COUNTIF($M14:U14,"u")=0), "u", "")</f>
        <v/>
      </c>
      <c r="W14" s="80" t="str">
        <f>IF(AND($F14&lt;&gt;"", $F14&gt;=W$5-4, $F14&lt;=W$5, COUNTIF($M14:V14,"u")=0), "u", "")</f>
        <v/>
      </c>
      <c r="X14" s="80" t="str">
        <f>IF(AND($F14&lt;&gt;"", $F14&gt;=X$5-4, $F14&lt;=X$5, COUNTIF($M14:W14,"u")=0), "u", "")</f>
        <v/>
      </c>
      <c r="Y14" s="80" t="str">
        <f>IF(AND($F14&lt;&gt;"", $F14&gt;=Y$5-4, $F14&lt;=Y$5, COUNTIF($M14:X14,"u")=0), "u", "")</f>
        <v/>
      </c>
      <c r="Z14" s="80" t="str">
        <f>IF(AND($F14&lt;&gt;"", $F14&gt;=Z$5-4, $F14&lt;=Z$5, COUNTIF($M14:Y14,"u")=0), "u", "")</f>
        <v/>
      </c>
      <c r="AA14" s="80" t="str">
        <f>IF(AND($F14&lt;&gt;"", $F14&gt;=AA$5-4, $F14&lt;=AA$5, COUNTIF($M14:Z14,"u")=0), "u", "")</f>
        <v/>
      </c>
      <c r="AB14" s="80" t="str">
        <f>IF(AND($F14&lt;&gt;"", $F14&gt;=AB$5-4, $F14&lt;=AB$5, COUNTIF($M14:AA14,"u")=0), "u", "")</f>
        <v/>
      </c>
      <c r="AC14" s="80" t="str">
        <f>IF(AND($F14&lt;&gt;"", $F14&gt;=AC$5-4, $F14&lt;=AC$5, COUNTIF($M14:AB14,"u")=0), "u", "")</f>
        <v/>
      </c>
      <c r="AD14" s="80" t="str">
        <f>IF(AND($F14&lt;&gt;"", $F14&gt;=AD$5-4, $F14&lt;=AD$5, COUNTIF($M14:AC14,"u")=0), "u", "")</f>
        <v/>
      </c>
      <c r="AE14" s="80" t="str">
        <f>IF(AND($F14&lt;&gt;"", $F14&gt;=AE$5-4, $F14&lt;=AE$5, COUNTIF($M14:AD14,"u")=0), "u", "")</f>
        <v/>
      </c>
      <c r="AF14" s="80" t="str">
        <f>IF(AND($F14&lt;&gt;"", $F14&gt;=AF$5-4, $F14&lt;=AF$5, COUNTIF($M14:AE14,"u")=0), "u", "")</f>
        <v/>
      </c>
      <c r="AG14" s="80" t="str">
        <f>IF(AND($F14&lt;&gt;"", $F14&gt;=AG$5-4, $F14&lt;=AG$5, COUNTIF($M14:AF14,"u")=0), "u", "")</f>
        <v/>
      </c>
      <c r="AH14" s="80" t="str">
        <f>IF(AND($F14&lt;&gt;"", $F14&gt;=AH$5-4, $F14&lt;=AH$5, COUNTIF($M14:AG14,"u")=0), "u", "")</f>
        <v/>
      </c>
      <c r="AI14" s="80" t="str">
        <f>IF(AND($F14&lt;&gt;"", $F14&gt;=AI$5-4, $F14&lt;=AI$5, COUNTIF($M14:AH14,"u")=0), "u", "")</f>
        <v/>
      </c>
      <c r="AJ14" s="80" t="str">
        <f>IF(AND($F14&lt;&gt;"", $F14&gt;=AJ$5-4, $F14&lt;=AJ$5, COUNTIF($M14:AI14,"u")=0), "u", "")</f>
        <v/>
      </c>
      <c r="AK14" s="80" t="str">
        <f>IF(AND($F14&lt;&gt;"", $F14&gt;=AK$5-4, $F14&lt;=AK$5, COUNTIF($M14:AJ14,"u")=0), "u", "")</f>
        <v/>
      </c>
      <c r="AL14" s="80" t="str">
        <f>IF(AND($F14&lt;&gt;"", $F14&gt;=AL$5-4, $F14&lt;=AL$5, COUNTIF($M14:AK14,"u")=0), "u", "")</f>
        <v/>
      </c>
      <c r="AM14" s="80" t="str">
        <f>IF(AND($F14&lt;&gt;"", $F14&gt;=AM$5-4, $F14&lt;=AM$5, COUNTIF($M14:AL14,"u")=0), "u", "")</f>
        <v/>
      </c>
      <c r="AN14" s="80" t="str">
        <f>IF(AND($F14&lt;&gt;"", $F14&gt;=AN$5-4, $F14&lt;=AN$5, COUNTIF($M14:AM14,"u")=0), "u", "")</f>
        <v/>
      </c>
      <c r="AO14" s="80" t="str">
        <f>IF(AND($F14&lt;&gt;"", $F14&gt;=AO$5-4, $F14&lt;=AO$5, COUNTIF($M14:AN14,"u")=0), "u", "")</f>
        <v/>
      </c>
      <c r="AP14" s="80" t="str">
        <f>IF(AND($F14&lt;&gt;"", $F14&gt;=AP$5-4, $F14&lt;=AP$5, COUNTIF($M14:AO14,"u")=0), "u", "")</f>
        <v/>
      </c>
      <c r="AQ14" s="80" t="str">
        <f>IF(AND($F14&lt;&gt;"", $F14&gt;=AQ$5-4, $F14&lt;=AQ$5, COUNTIF($M14:AP14,"u")=0), "u", "")</f>
        <v/>
      </c>
      <c r="AR14" s="80" t="str">
        <f>IF(AND($F14&lt;&gt;"", $F14&gt;=AR$5-4, $F14&lt;=AR$5, COUNTIF($M14:AQ14,"u")=0), "u", "")</f>
        <v/>
      </c>
      <c r="AS14" s="80" t="str">
        <f>IF(AND($F14&lt;&gt;"", $F14&gt;=AS$5-4, $F14&lt;=AS$5, COUNTIF($M14:AR14,"u")=0), "u", "")</f>
        <v/>
      </c>
      <c r="AT14" s="80" t="str">
        <f>IF(AND($F14&lt;&gt;"", $F14&gt;=AT$5-4, $F14&lt;=AT$5, COUNTIF($M14:AS14,"u")=0), "u", "")</f>
        <v/>
      </c>
      <c r="AU14" s="80" t="str">
        <f>IF(AND($F14&lt;&gt;"", $F14&gt;=AU$5-4, $F14&lt;=AU$5, COUNTIF($M14:AT14,"u")=0), "u", "")</f>
        <v/>
      </c>
      <c r="AV14" s="80" t="str">
        <f>IF(AND($F14&lt;&gt;"", $F14&gt;=AV$5-4, $F14&lt;=AV$5, COUNTIF($M14:AU14,"u")=0), "u", "")</f>
        <v/>
      </c>
      <c r="AW14" s="80" t="str">
        <f>IF(AND($F14&lt;&gt;"", $F14&gt;=AW$5-4, $F14&lt;=AW$5, COUNTIF($M14:AV14,"u")=0), "u", "")</f>
        <v/>
      </c>
      <c r="AX14" s="80" t="str">
        <f>IF(AND($F14&lt;&gt;"", $F14&gt;=AX$5-4, $F14&lt;=AX$5, COUNTIF($M14:AW14,"u")=0), "u", "")</f>
        <v/>
      </c>
      <c r="AY14" s="80" t="str">
        <f>IF(AND($F14&lt;&gt;"", $F14&gt;=AY$5-4, $F14&lt;=AY$5, COUNTIF($M14:AX14,"u")=0), "u", "")</f>
        <v/>
      </c>
      <c r="AZ14" s="80" t="str">
        <f>IF(AND($F14&lt;&gt;"", $F14&gt;=AZ$5-4, $F14&lt;=AZ$5, COUNTIF($M14:AY14,"u")=0), "u", "")</f>
        <v/>
      </c>
      <c r="BA14" s="80" t="str">
        <f>IF(AND($F14&lt;&gt;"", $F14&gt;=BA$5-4, $F14&lt;=BA$5, COUNTIF($M14:AZ14,"u")=0), "u", "")</f>
        <v/>
      </c>
      <c r="BB14" s="80" t="str">
        <f>IF(AND($F14&lt;&gt;"", $F14&gt;=BB$5-4, $F14&lt;=BB$5, COUNTIF($M14:BA14,"u")=0), "u", "")</f>
        <v/>
      </c>
      <c r="BC14" s="80" t="str">
        <f>IF(AND($F14&lt;&gt;"", $F14&gt;=BC$5-4, $F14&lt;=BC$5, COUNTIF($M14:BB14,"u")=0), "u", "")</f>
        <v/>
      </c>
      <c r="BD14" s="80" t="str">
        <f>IF(AND($F14&lt;&gt;"", $F14&gt;=BD$5-4, $F14&lt;=BD$5, COUNTIF($M14:BC14,"u")=0), "u", "")</f>
        <v/>
      </c>
      <c r="BE14" s="80" t="str">
        <f>IF(AND($F14&lt;&gt;"", $F14&gt;=BE$5-4, $F14&lt;=BE$5, COUNTIF($M14:BD14,"u")=0), "u", "")</f>
        <v/>
      </c>
      <c r="BF14" s="80" t="str">
        <f>IF(AND($F14&lt;&gt;"", $F14&gt;=BF$5-4, $F14&lt;=BF$5, COUNTIF($M14:BE14,"u")=0), "u", "")</f>
        <v/>
      </c>
      <c r="BG14" s="80" t="str">
        <f>IF(AND($F14&lt;&gt;"", $F14&gt;=BG$5-4, $F14&lt;=BG$5, COUNTIF($M14:BF14,"u")=0), "u", "")</f>
        <v/>
      </c>
      <c r="BH14" s="80" t="str">
        <f>IF(AND($F14&lt;&gt;"", $F14&gt;=BH$5-4, $F14&lt;=BH$5, COUNTIF($M14:BG14,"u")=0), "u", "")</f>
        <v/>
      </c>
      <c r="BI14" s="80" t="str">
        <f>IF(AND($F14&lt;&gt;"", $F14&gt;=BI$5-4, $F14&lt;=BI$5, COUNTIF($M14:BH14,"u")=0), "u", "")</f>
        <v/>
      </c>
      <c r="BJ14" s="80" t="str">
        <f>IF(AND($F14&lt;&gt;"", $F14&gt;=BJ$5-4, $F14&lt;=BJ$5, COUNTIF($M14:BI14,"u")=0), "u", "")</f>
        <v/>
      </c>
      <c r="BK14" s="80" t="str">
        <f>IF(AND($F14&lt;&gt;"", $F14&gt;=BK$5-4, $F14&lt;=BK$5, COUNTIF($M14:BJ14,"u")=0), "u", "")</f>
        <v/>
      </c>
      <c r="BL14" s="80" t="str">
        <f>IF(AND($F14&lt;&gt;"", $F14&gt;=BL$5-4, $F14&lt;=BL$5, COUNTIF($M14:BK14,"u")=0), "u", "")</f>
        <v/>
      </c>
      <c r="BM14" s="80" t="str">
        <f>IF(AND($F14&lt;&gt;"", $F14&gt;=BM$5-4, $F14&lt;=BM$5, COUNTIF($M14:BL14,"u")=0), "u", "")</f>
        <v/>
      </c>
      <c r="BN14" s="80" t="str">
        <f>IF(AND($F14&lt;&gt;"", $F14&gt;=BN$5-4, $F14&lt;=BN$5, COUNTIF($M14:BM14,"u")=0), "u", "")</f>
        <v/>
      </c>
      <c r="BO14" s="80" t="str">
        <f>IF(AND($F14&lt;&gt;"", $F14&gt;=BO$5-4, $F14&lt;=BO$5, COUNTIF($M14:BN14,"u")=0), "u", "")</f>
        <v/>
      </c>
      <c r="BP14" s="80" t="str">
        <f>IF(AND($F14&lt;&gt;"", $F14&gt;=BP$5-4, $F14&lt;=BP$5, COUNTIF($M14:BO14,"u")=0), "u", "")</f>
        <v/>
      </c>
      <c r="BQ14" s="80" t="str">
        <f>IF(AND($F14&lt;&gt;"", $F14&gt;=BQ$5-4, $F14&lt;=BQ$5, COUNTIF($M14:BP14,"u")=0), "u", "")</f>
        <v/>
      </c>
      <c r="BR14" s="80" t="str">
        <f>IF(AND($F14&lt;&gt;"", $F14&gt;=BR$5-4, $F14&lt;=BR$5, COUNTIF($M14:BQ14,"u")=0), "u", "")</f>
        <v/>
      </c>
      <c r="BS14" s="80" t="str">
        <f>IF(AND($F14&lt;&gt;"", $F14&gt;=BS$5-4, $F14&lt;=BS$5, COUNTIF($M14:BR14,"u")=0), "u", "")</f>
        <v/>
      </c>
      <c r="BT14" s="80" t="str">
        <f>IF(AND($F14&lt;&gt;"", $F14&gt;=BT$5-4, $F14&lt;=BT$5, COUNTIF($M14:BS14,"u")=0), "u", "")</f>
        <v/>
      </c>
      <c r="BU14" s="80" t="str">
        <f>IF(AND($F14&lt;&gt;"", $F14&gt;=BU$5-4, $F14&lt;=BU$5, COUNTIF($M14:BT14,"u")=0), "u", "")</f>
        <v/>
      </c>
      <c r="BV14" s="80" t="str">
        <f>IF(AND($F14&lt;&gt;"", $F14&gt;=BV$5-4, $F14&lt;=BV$5, COUNTIF($M14:BU14,"u")=0), "u", "")</f>
        <v/>
      </c>
      <c r="BW14" s="80" t="str">
        <f>IF(AND($F14&lt;&gt;"", $F14&gt;=BW$5-4, $F14&lt;=BW$5, COUNTIF($M14:BV14,"u")=0), "u", "")</f>
        <v/>
      </c>
      <c r="BX14" s="80" t="str">
        <f>IF(AND($F14&lt;&gt;"", $F14&gt;=BX$5-4, $F14&lt;=BX$5, COUNTIF($M14:BW14,"u")=0), "u", "")</f>
        <v/>
      </c>
      <c r="BY14" s="80" t="str">
        <f>IF(AND($F14&lt;&gt;"", $F14&gt;=BY$5-4, $F14&lt;=BY$5, COUNTIF($M14:BX14,"u")=0), "u", "")</f>
        <v/>
      </c>
      <c r="BZ14" s="80" t="str">
        <f>IF(AND($F14&lt;&gt;"", $F14&gt;=BZ$5-4, $F14&lt;=BZ$5, COUNTIF($M14:BY14,"u")=0), "u", "")</f>
        <v/>
      </c>
      <c r="CA14" s="80" t="str">
        <f>IF(AND($F14&lt;&gt;"", $F14&gt;=CA$5-4, $F14&lt;=CA$5, COUNTIF($M14:BZ14,"u")=0), "u", "")</f>
        <v/>
      </c>
      <c r="CB14" s="80" t="str">
        <f>IF(AND($F14&lt;&gt;"", $F14&gt;=CB$5-4, $F14&lt;=CB$5, COUNTIF($M14:CA14,"u")=0), "u", "")</f>
        <v/>
      </c>
      <c r="CC14" s="80" t="str">
        <f>IF(AND($F14&lt;&gt;"", $F14&gt;=CC$5-4, $F14&lt;=CC$5, COUNTIF($M14:CB14,"u")=0), "u", "")</f>
        <v/>
      </c>
      <c r="CD14" s="80" t="str">
        <f>IF(AND($F14&lt;&gt;"", $F14&gt;=CD$5-4, $F14&lt;=CD$5, COUNTIF($M14:CC14,"u")=0), "u", "")</f>
        <v/>
      </c>
      <c r="CE14" s="80" t="str">
        <f>IF(AND($F14&lt;&gt;"", $F14&gt;=CE$5-4, $F14&lt;=CE$5, COUNTIF($M14:CD14,"u")=0), "u", "")</f>
        <v/>
      </c>
      <c r="CF14" s="80" t="str">
        <f>IF(AND($F14&lt;&gt;"", $F14&gt;=CF$5-4, $F14&lt;=CF$5, COUNTIF($M14:CE14,"u")=0), "u", "")</f>
        <v/>
      </c>
      <c r="CG14" s="80" t="str">
        <f>IF(AND($F14&lt;&gt;"", $F14&gt;=CG$5-4, $F14&lt;=CG$5, COUNTIF($M14:CF14,"u")=0), "u", "")</f>
        <v/>
      </c>
      <c r="CH14" s="80" t="str">
        <f>IF(AND($F14&lt;&gt;"", $F14&gt;=CH$5-4, $F14&lt;=CH$5, COUNTIF($M14:CG14,"u")=0), "u", "")</f>
        <v/>
      </c>
      <c r="CI14" s="80" t="str">
        <f>IF(AND($F14&lt;&gt;"", $F14&gt;=CI$5-4, $F14&lt;=CI$5, COUNTIF($M14:CH14,"u")=0), "u", "")</f>
        <v/>
      </c>
      <c r="CJ14" s="80" t="str">
        <f>IF(AND($F14&lt;&gt;"", $F14&gt;=CJ$5-4, $F14&lt;=CJ$5, COUNTIF($M14:CI14,"u")=0), "u", "")</f>
        <v/>
      </c>
      <c r="CK14" s="80" t="str">
        <f>IF(AND($F14&lt;&gt;"", $F14&gt;=CK$5-4, $F14&lt;=CK$5, COUNTIF($M14:CJ14,"u")=0), "u", "")</f>
        <v/>
      </c>
      <c r="CL14" s="80" t="str">
        <f>IF(AND($F14&lt;&gt;"", $F14&gt;=CL$5-4, $F14&lt;=CL$5, COUNTIF($M14:CK14,"u")=0), "u", "")</f>
        <v/>
      </c>
      <c r="CM14" s="80" t="str">
        <f>IF(AND($F14&lt;&gt;"", $F14&gt;=CM$5-4, $F14&lt;=CM$5, COUNTIF($M14:CL14,"u")=0), "u", "")</f>
        <v/>
      </c>
      <c r="CN14" s="80" t="str">
        <f>IF(AND($F14&lt;&gt;"", $F14&gt;=CN$5-4, $F14&lt;=CN$5, COUNTIF($M14:CM14,"u")=0), "u", "")</f>
        <v/>
      </c>
      <c r="CO14" s="80" t="str">
        <f>IF(AND($F14&lt;&gt;"", $F14&gt;=CO$5-4, $F14&lt;=CO$5, COUNTIF($M14:CN14,"u")=0), "u", "")</f>
        <v/>
      </c>
      <c r="CP14" s="80" t="str">
        <f>IF(AND($F14&lt;&gt;"", $F14&gt;=CP$5-4, $F14&lt;=CP$5, COUNTIF($M14:CO14,"u")=0), "u", "")</f>
        <v/>
      </c>
      <c r="CQ14" s="80" t="str">
        <f>IF(AND($F14&lt;&gt;"", $F14&gt;=CQ$5-4, $F14&lt;=CQ$5, COUNTIF($M14:CP14,"u")=0), "u", "")</f>
        <v/>
      </c>
      <c r="CR14" s="80" t="str">
        <f>IF(AND($F14&lt;&gt;"", $F14&gt;=CR$5-4, $F14&lt;=CR$5, COUNTIF($M14:CQ14,"u")=0), "u", "")</f>
        <v/>
      </c>
      <c r="CS14" s="80" t="str">
        <f>IF(AND($F14&lt;&gt;"", $F14&gt;=CS$5-4, $F14&lt;=CS$5, COUNTIF($M14:CR14,"u")=0), "u", "")</f>
        <v/>
      </c>
      <c r="CT14" s="80" t="str">
        <f>IF(AND($F14&lt;&gt;"", $F14&gt;=CT$5-4, $F14&lt;=CT$5, COUNTIF($M14:CS14,"u")=0), "u", "")</f>
        <v/>
      </c>
      <c r="CU14" s="80" t="str">
        <f>IF(AND($F14&lt;&gt;"", $F14&gt;=CU$5-4, $F14&lt;=CU$5, COUNTIF($M14:CT14,"u")=0), "u", "")</f>
        <v/>
      </c>
      <c r="CV14" s="80" t="str">
        <f>IF(AND($F14&lt;&gt;"", $F14&gt;=CV$5-4, $F14&lt;=CV$5, COUNTIF($M14:CU14,"u")=0), "u", "")</f>
        <v/>
      </c>
      <c r="CW14" s="80" t="str">
        <f>IF(AND($F14&lt;&gt;"", $F14&gt;=CW$5-4, $F14&lt;=CW$5, COUNTIF($M14:CV14,"u")=0), "u", "")</f>
        <v/>
      </c>
      <c r="CX14" s="80" t="str">
        <f>IF(AND($F14&lt;&gt;"", $F14&gt;=CX$5-4, $F14&lt;=CX$5, COUNTIF($M14:CW14,"u")=0), "u", "")</f>
        <v/>
      </c>
      <c r="CY14" s="80" t="str">
        <f>IF(AND($F14&lt;&gt;"", $F14&gt;=CY$5-4, $F14&lt;=CY$5, COUNTIF($M14:CX14,"u")=0), "u", "")</f>
        <v/>
      </c>
      <c r="CZ14" s="80" t="str">
        <f>IF(AND($F14&lt;&gt;"", $F14&gt;=CZ$5-4, $F14&lt;=CZ$5, COUNTIF($M14:CY14,"u")=0), "u", "")</f>
        <v/>
      </c>
      <c r="DA14" s="80" t="str">
        <f>IF(AND($F14&lt;&gt;"", $F14&gt;=DA$5-4, $F14&lt;=DA$5, COUNTIF($M14:CZ14,"u")=0), "u", "")</f>
        <v/>
      </c>
      <c r="DB14" s="80" t="str">
        <f>IF(AND($F14&lt;&gt;"", $F14&gt;=DB$5-4, $F14&lt;=DB$5, COUNTIF($M14:DA14,"u")=0), "u", "")</f>
        <v/>
      </c>
      <c r="DC14" s="80" t="str">
        <f>IF(AND($F14&lt;&gt;"", $F14&gt;=DC$5-4, $F14&lt;=DC$5, COUNTIF($M14:DB14,"u")=0), "u", "")</f>
        <v/>
      </c>
      <c r="DD14" s="80" t="str">
        <f>IF(AND($F14&lt;&gt;"", $F14&gt;=DD$5-4, $F14&lt;=DD$5, COUNTIF($M14:DC14,"u")=0), "u", "")</f>
        <v/>
      </c>
      <c r="DE14" s="80" t="str">
        <f>IF(AND($F14&lt;&gt;"", $F14&gt;=DE$5-4, $F14&lt;=DE$5, COUNTIF($M14:DD14,"u")=0), "u", "")</f>
        <v/>
      </c>
      <c r="DF14" s="80" t="str">
        <f>IF(AND($F14&lt;&gt;"", $F14&gt;=DF$5-4, $F14&lt;=DF$5, COUNTIF($M14:DE14,"u")=0), "u", "")</f>
        <v/>
      </c>
      <c r="DG14" s="80" t="str">
        <f>IF(AND($F14&lt;&gt;"", $F14&gt;=DG$5-4, $F14&lt;=DG$5, COUNTIF($M14:DF14,"u")=0), "u", "")</f>
        <v/>
      </c>
      <c r="DH14" s="80" t="str">
        <f>IF(AND($F14&lt;&gt;"", $F14&gt;=DH$5-4, $F14&lt;=DH$5, COUNTIF($M14:DG14,"u")=0), "u", "")</f>
        <v/>
      </c>
      <c r="DI14" s="80" t="str">
        <f>IF(AND($F14&lt;&gt;"", $F14&gt;=DI$5-4, $F14&lt;=DI$5, COUNTIF($M14:DH14,"u")=0), "u", "")</f>
        <v/>
      </c>
      <c r="DJ14" s="80" t="str">
        <f>IF(AND($F14&lt;&gt;"", $F14&gt;=DJ$5-4, $F14&lt;=DJ$5, COUNTIF($M14:DI14,"u")=0), "u", "")</f>
        <v/>
      </c>
      <c r="DK14" s="80" t="str">
        <f>IF(AND($F14&lt;&gt;"", $F14&gt;=DK$5-4, $F14&lt;=DK$5, COUNTIF($M14:DJ14,"u")=0), "u", "")</f>
        <v/>
      </c>
      <c r="DL14" s="80" t="str">
        <f>IF(AND($F14&lt;&gt;"", $F14&gt;=DL$5-4, $F14&lt;=DL$5, COUNTIF($M14:DK14,"u")=0), "u", "")</f>
        <v/>
      </c>
    </row>
    <row r="15" spans="1:116" ht="25.05" customHeight="1" x14ac:dyDescent="0.3">
      <c r="A15" s="39"/>
      <c r="B15" s="75">
        <v>10</v>
      </c>
      <c r="C15" s="81"/>
      <c r="D15" s="81"/>
      <c r="E15" s="53"/>
      <c r="F15" s="53"/>
      <c r="G15" s="83" t="str">
        <f t="shared" si="44"/>
        <v/>
      </c>
      <c r="H15" s="83" t="str">
        <f t="shared" si="44"/>
        <v/>
      </c>
      <c r="I15" s="77" t="str">
        <f t="shared" si="45"/>
        <v/>
      </c>
      <c r="J15" s="78" t="s">
        <v>50</v>
      </c>
      <c r="K15" s="79">
        <v>0</v>
      </c>
      <c r="L15" s="56"/>
      <c r="M15" s="80" t="str">
        <f t="shared" si="46"/>
        <v/>
      </c>
      <c r="N15" s="80" t="str">
        <f>IF(AND($F15&lt;&gt;"", $F15&gt;=N$5-4, $F15&lt;=N$5, COUNTIF($M15:M15,"u")=0), "u", "")</f>
        <v/>
      </c>
      <c r="O15" s="80" t="str">
        <f>IF(AND($F15&lt;&gt;"", $F15&gt;=O$5-4, $F15&lt;=O$5, COUNTIF($M15:N15,"u")=0), "u", "")</f>
        <v/>
      </c>
      <c r="P15" s="80" t="str">
        <f>IF(AND($F15&lt;&gt;"", $F15&gt;=P$5-4, $F15&lt;=P$5, COUNTIF($M15:O15,"u")=0), "u", "")</f>
        <v/>
      </c>
      <c r="Q15" s="80" t="str">
        <f>IF(AND($F15&lt;&gt;"", $F15&gt;=Q$5-4, $F15&lt;=Q$5, COUNTIF($M15:P15,"u")=0), "u", "")</f>
        <v/>
      </c>
      <c r="R15" s="80" t="str">
        <f>IF(AND($F15&lt;&gt;"", $F15&gt;=R$5-4, $F15&lt;=R$5, COUNTIF($M15:Q15,"u")=0), "u", "")</f>
        <v/>
      </c>
      <c r="S15" s="80" t="str">
        <f>IF(AND($F15&lt;&gt;"", $F15&gt;=S$5-4, $F15&lt;=S$5, COUNTIF($M15:R15,"u")=0), "u", "")</f>
        <v/>
      </c>
      <c r="T15" s="80" t="str">
        <f>IF(AND($F15&lt;&gt;"", $F15&gt;=T$5-4, $F15&lt;=T$5, COUNTIF($M15:S15,"u")=0), "u", "")</f>
        <v/>
      </c>
      <c r="U15" s="80" t="str">
        <f>IF(AND($F15&lt;&gt;"", $F15&gt;=U$5-4, $F15&lt;=U$5, COUNTIF($M15:T15,"u")=0), "u", "")</f>
        <v/>
      </c>
      <c r="V15" s="80" t="str">
        <f>IF(AND($F15&lt;&gt;"", $F15&gt;=V$5-4, $F15&lt;=V$5, COUNTIF($M15:U15,"u")=0), "u", "")</f>
        <v/>
      </c>
      <c r="W15" s="80" t="str">
        <f>IF(AND($F15&lt;&gt;"", $F15&gt;=W$5-4, $F15&lt;=W$5, COUNTIF($M15:V15,"u")=0), "u", "")</f>
        <v/>
      </c>
      <c r="X15" s="80" t="str">
        <f>IF(AND($F15&lt;&gt;"", $F15&gt;=X$5-4, $F15&lt;=X$5, COUNTIF($M15:W15,"u")=0), "u", "")</f>
        <v/>
      </c>
      <c r="Y15" s="80" t="str">
        <f>IF(AND($F15&lt;&gt;"", $F15&gt;=Y$5-4, $F15&lt;=Y$5, COUNTIF($M15:X15,"u")=0), "u", "")</f>
        <v/>
      </c>
      <c r="Z15" s="80" t="str">
        <f>IF(AND($F15&lt;&gt;"", $F15&gt;=Z$5-4, $F15&lt;=Z$5, COUNTIF($M15:Y15,"u")=0), "u", "")</f>
        <v/>
      </c>
      <c r="AA15" s="80" t="str">
        <f>IF(AND($F15&lt;&gt;"", $F15&gt;=AA$5-4, $F15&lt;=AA$5, COUNTIF($M15:Z15,"u")=0), "u", "")</f>
        <v/>
      </c>
      <c r="AB15" s="80" t="str">
        <f>IF(AND($F15&lt;&gt;"", $F15&gt;=AB$5-4, $F15&lt;=AB$5, COUNTIF($M15:AA15,"u")=0), "u", "")</f>
        <v/>
      </c>
      <c r="AC15" s="80" t="str">
        <f>IF(AND($F15&lt;&gt;"", $F15&gt;=AC$5-4, $F15&lt;=AC$5, COUNTIF($M15:AB15,"u")=0), "u", "")</f>
        <v/>
      </c>
      <c r="AD15" s="80" t="str">
        <f>IF(AND($F15&lt;&gt;"", $F15&gt;=AD$5-4, $F15&lt;=AD$5, COUNTIF($M15:AC15,"u")=0), "u", "")</f>
        <v/>
      </c>
      <c r="AE15" s="80" t="str">
        <f>IF(AND($F15&lt;&gt;"", $F15&gt;=AE$5-4, $F15&lt;=AE$5, COUNTIF($M15:AD15,"u")=0), "u", "")</f>
        <v/>
      </c>
      <c r="AF15" s="80" t="str">
        <f>IF(AND($F15&lt;&gt;"", $F15&gt;=AF$5-4, $F15&lt;=AF$5, COUNTIF($M15:AE15,"u")=0), "u", "")</f>
        <v/>
      </c>
      <c r="AG15" s="80" t="str">
        <f>IF(AND($F15&lt;&gt;"", $F15&gt;=AG$5-4, $F15&lt;=AG$5, COUNTIF($M15:AF15,"u")=0), "u", "")</f>
        <v/>
      </c>
      <c r="AH15" s="80" t="str">
        <f>IF(AND($F15&lt;&gt;"", $F15&gt;=AH$5-4, $F15&lt;=AH$5, COUNTIF($M15:AG15,"u")=0), "u", "")</f>
        <v/>
      </c>
      <c r="AI15" s="80" t="str">
        <f>IF(AND($F15&lt;&gt;"", $F15&gt;=AI$5-4, $F15&lt;=AI$5, COUNTIF($M15:AH15,"u")=0), "u", "")</f>
        <v/>
      </c>
      <c r="AJ15" s="80" t="str">
        <f>IF(AND($F15&lt;&gt;"", $F15&gt;=AJ$5-4, $F15&lt;=AJ$5, COUNTIF($M15:AI15,"u")=0), "u", "")</f>
        <v/>
      </c>
      <c r="AK15" s="80" t="str">
        <f>IF(AND($F15&lt;&gt;"", $F15&gt;=AK$5-4, $F15&lt;=AK$5, COUNTIF($M15:AJ15,"u")=0), "u", "")</f>
        <v/>
      </c>
      <c r="AL15" s="80" t="str">
        <f>IF(AND($F15&lt;&gt;"", $F15&gt;=AL$5-4, $F15&lt;=AL$5, COUNTIF($M15:AK15,"u")=0), "u", "")</f>
        <v/>
      </c>
      <c r="AM15" s="80" t="str">
        <f>IF(AND($F15&lt;&gt;"", $F15&gt;=AM$5-4, $F15&lt;=AM$5, COUNTIF($M15:AL15,"u")=0), "u", "")</f>
        <v/>
      </c>
      <c r="AN15" s="80" t="str">
        <f>IF(AND($F15&lt;&gt;"", $F15&gt;=AN$5-4, $F15&lt;=AN$5, COUNTIF($M15:AM15,"u")=0), "u", "")</f>
        <v/>
      </c>
      <c r="AO15" s="80" t="str">
        <f>IF(AND($F15&lt;&gt;"", $F15&gt;=AO$5-4, $F15&lt;=AO$5, COUNTIF($M15:AN15,"u")=0), "u", "")</f>
        <v/>
      </c>
      <c r="AP15" s="80" t="str">
        <f>IF(AND($F15&lt;&gt;"", $F15&gt;=AP$5-4, $F15&lt;=AP$5, COUNTIF($M15:AO15,"u")=0), "u", "")</f>
        <v/>
      </c>
      <c r="AQ15" s="80" t="str">
        <f>IF(AND($F15&lt;&gt;"", $F15&gt;=AQ$5-4, $F15&lt;=AQ$5, COUNTIF($M15:AP15,"u")=0), "u", "")</f>
        <v/>
      </c>
      <c r="AR15" s="80" t="str">
        <f>IF(AND($F15&lt;&gt;"", $F15&gt;=AR$5-4, $F15&lt;=AR$5, COUNTIF($M15:AQ15,"u")=0), "u", "")</f>
        <v/>
      </c>
      <c r="AS15" s="80" t="str">
        <f>IF(AND($F15&lt;&gt;"", $F15&gt;=AS$5-4, $F15&lt;=AS$5, COUNTIF($M15:AR15,"u")=0), "u", "")</f>
        <v/>
      </c>
      <c r="AT15" s="80" t="str">
        <f>IF(AND($F15&lt;&gt;"", $F15&gt;=AT$5-4, $F15&lt;=AT$5, COUNTIF($M15:AS15,"u")=0), "u", "")</f>
        <v/>
      </c>
      <c r="AU15" s="80" t="str">
        <f>IF(AND($F15&lt;&gt;"", $F15&gt;=AU$5-4, $F15&lt;=AU$5, COUNTIF($M15:AT15,"u")=0), "u", "")</f>
        <v/>
      </c>
      <c r="AV15" s="80" t="str">
        <f>IF(AND($F15&lt;&gt;"", $F15&gt;=AV$5-4, $F15&lt;=AV$5, COUNTIF($M15:AU15,"u")=0), "u", "")</f>
        <v/>
      </c>
      <c r="AW15" s="80" t="str">
        <f>IF(AND($F15&lt;&gt;"", $F15&gt;=AW$5-4, $F15&lt;=AW$5, COUNTIF($M15:AV15,"u")=0), "u", "")</f>
        <v/>
      </c>
      <c r="AX15" s="80" t="str">
        <f>IF(AND($F15&lt;&gt;"", $F15&gt;=AX$5-4, $F15&lt;=AX$5, COUNTIF($M15:AW15,"u")=0), "u", "")</f>
        <v/>
      </c>
      <c r="AY15" s="80" t="str">
        <f>IF(AND($F15&lt;&gt;"", $F15&gt;=AY$5-4, $F15&lt;=AY$5, COUNTIF($M15:AX15,"u")=0), "u", "")</f>
        <v/>
      </c>
      <c r="AZ15" s="80" t="str">
        <f>IF(AND($F15&lt;&gt;"", $F15&gt;=AZ$5-4, $F15&lt;=AZ$5, COUNTIF($M15:AY15,"u")=0), "u", "")</f>
        <v/>
      </c>
      <c r="BA15" s="80" t="str">
        <f>IF(AND($F15&lt;&gt;"", $F15&gt;=BA$5-4, $F15&lt;=BA$5, COUNTIF($M15:AZ15,"u")=0), "u", "")</f>
        <v/>
      </c>
      <c r="BB15" s="80" t="str">
        <f>IF(AND($F15&lt;&gt;"", $F15&gt;=BB$5-4, $F15&lt;=BB$5, COUNTIF($M15:BA15,"u")=0), "u", "")</f>
        <v/>
      </c>
      <c r="BC15" s="80" t="str">
        <f>IF(AND($F15&lt;&gt;"", $F15&gt;=BC$5-4, $F15&lt;=BC$5, COUNTIF($M15:BB15,"u")=0), "u", "")</f>
        <v/>
      </c>
      <c r="BD15" s="80" t="str">
        <f>IF(AND($F15&lt;&gt;"", $F15&gt;=BD$5-4, $F15&lt;=BD$5, COUNTIF($M15:BC15,"u")=0), "u", "")</f>
        <v/>
      </c>
      <c r="BE15" s="80" t="str">
        <f>IF(AND($F15&lt;&gt;"", $F15&gt;=BE$5-4, $F15&lt;=BE$5, COUNTIF($M15:BD15,"u")=0), "u", "")</f>
        <v/>
      </c>
      <c r="BF15" s="80" t="str">
        <f>IF(AND($F15&lt;&gt;"", $F15&gt;=BF$5-4, $F15&lt;=BF$5, COUNTIF($M15:BE15,"u")=0), "u", "")</f>
        <v/>
      </c>
      <c r="BG15" s="80" t="str">
        <f>IF(AND($F15&lt;&gt;"", $F15&gt;=BG$5-4, $F15&lt;=BG$5, COUNTIF($M15:BF15,"u")=0), "u", "")</f>
        <v/>
      </c>
      <c r="BH15" s="80" t="str">
        <f>IF(AND($F15&lt;&gt;"", $F15&gt;=BH$5-4, $F15&lt;=BH$5, COUNTIF($M15:BG15,"u")=0), "u", "")</f>
        <v/>
      </c>
      <c r="BI15" s="80" t="str">
        <f>IF(AND($F15&lt;&gt;"", $F15&gt;=BI$5-4, $F15&lt;=BI$5, COUNTIF($M15:BH15,"u")=0), "u", "")</f>
        <v/>
      </c>
      <c r="BJ15" s="80" t="str">
        <f>IF(AND($F15&lt;&gt;"", $F15&gt;=BJ$5-4, $F15&lt;=BJ$5, COUNTIF($M15:BI15,"u")=0), "u", "")</f>
        <v/>
      </c>
      <c r="BK15" s="80" t="str">
        <f>IF(AND($F15&lt;&gt;"", $F15&gt;=BK$5-4, $F15&lt;=BK$5, COUNTIF($M15:BJ15,"u")=0), "u", "")</f>
        <v/>
      </c>
      <c r="BL15" s="80" t="str">
        <f>IF(AND($F15&lt;&gt;"", $F15&gt;=BL$5-4, $F15&lt;=BL$5, COUNTIF($M15:BK15,"u")=0), "u", "")</f>
        <v/>
      </c>
      <c r="BM15" s="80" t="str">
        <f>IF(AND($F15&lt;&gt;"", $F15&gt;=BM$5-4, $F15&lt;=BM$5, COUNTIF($M15:BL15,"u")=0), "u", "")</f>
        <v/>
      </c>
      <c r="BN15" s="80" t="str">
        <f>IF(AND($F15&lt;&gt;"", $F15&gt;=BN$5-4, $F15&lt;=BN$5, COUNTIF($M15:BM15,"u")=0), "u", "")</f>
        <v/>
      </c>
      <c r="BO15" s="80" t="str">
        <f>IF(AND($F15&lt;&gt;"", $F15&gt;=BO$5-4, $F15&lt;=BO$5, COUNTIF($M15:BN15,"u")=0), "u", "")</f>
        <v/>
      </c>
      <c r="BP15" s="80" t="str">
        <f>IF(AND($F15&lt;&gt;"", $F15&gt;=BP$5-4, $F15&lt;=BP$5, COUNTIF($M15:BO15,"u")=0), "u", "")</f>
        <v/>
      </c>
      <c r="BQ15" s="80" t="str">
        <f>IF(AND($F15&lt;&gt;"", $F15&gt;=BQ$5-4, $F15&lt;=BQ$5, COUNTIF($M15:BP15,"u")=0), "u", "")</f>
        <v/>
      </c>
      <c r="BR15" s="80" t="str">
        <f>IF(AND($F15&lt;&gt;"", $F15&gt;=BR$5-4, $F15&lt;=BR$5, COUNTIF($M15:BQ15,"u")=0), "u", "")</f>
        <v/>
      </c>
      <c r="BS15" s="80" t="str">
        <f>IF(AND($F15&lt;&gt;"", $F15&gt;=BS$5-4, $F15&lt;=BS$5, COUNTIF($M15:BR15,"u")=0), "u", "")</f>
        <v/>
      </c>
      <c r="BT15" s="80" t="str">
        <f>IF(AND($F15&lt;&gt;"", $F15&gt;=BT$5-4, $F15&lt;=BT$5, COUNTIF($M15:BS15,"u")=0), "u", "")</f>
        <v/>
      </c>
      <c r="BU15" s="80" t="str">
        <f>IF(AND($F15&lt;&gt;"", $F15&gt;=BU$5-4, $F15&lt;=BU$5, COUNTIF($M15:BT15,"u")=0), "u", "")</f>
        <v/>
      </c>
      <c r="BV15" s="80" t="str">
        <f>IF(AND($F15&lt;&gt;"", $F15&gt;=BV$5-4, $F15&lt;=BV$5, COUNTIF($M15:BU15,"u")=0), "u", "")</f>
        <v/>
      </c>
      <c r="BW15" s="80" t="str">
        <f>IF(AND($F15&lt;&gt;"", $F15&gt;=BW$5-4, $F15&lt;=BW$5, COUNTIF($M15:BV15,"u")=0), "u", "")</f>
        <v/>
      </c>
      <c r="BX15" s="80" t="str">
        <f>IF(AND($F15&lt;&gt;"", $F15&gt;=BX$5-4, $F15&lt;=BX$5, COUNTIF($M15:BW15,"u")=0), "u", "")</f>
        <v/>
      </c>
      <c r="BY15" s="80" t="str">
        <f>IF(AND($F15&lt;&gt;"", $F15&gt;=BY$5-4, $F15&lt;=BY$5, COUNTIF($M15:BX15,"u")=0), "u", "")</f>
        <v/>
      </c>
      <c r="BZ15" s="80" t="str">
        <f>IF(AND($F15&lt;&gt;"", $F15&gt;=BZ$5-4, $F15&lt;=BZ$5, COUNTIF($M15:BY15,"u")=0), "u", "")</f>
        <v/>
      </c>
      <c r="CA15" s="80" t="str">
        <f>IF(AND($F15&lt;&gt;"", $F15&gt;=CA$5-4, $F15&lt;=CA$5, COUNTIF($M15:BZ15,"u")=0), "u", "")</f>
        <v/>
      </c>
      <c r="CB15" s="80" t="str">
        <f>IF(AND($F15&lt;&gt;"", $F15&gt;=CB$5-4, $F15&lt;=CB$5, COUNTIF($M15:CA15,"u")=0), "u", "")</f>
        <v/>
      </c>
      <c r="CC15" s="80" t="str">
        <f>IF(AND($F15&lt;&gt;"", $F15&gt;=CC$5-4, $F15&lt;=CC$5, COUNTIF($M15:CB15,"u")=0), "u", "")</f>
        <v/>
      </c>
      <c r="CD15" s="80" t="str">
        <f>IF(AND($F15&lt;&gt;"", $F15&gt;=CD$5-4, $F15&lt;=CD$5, COUNTIF($M15:CC15,"u")=0), "u", "")</f>
        <v/>
      </c>
      <c r="CE15" s="80" t="str">
        <f>IF(AND($F15&lt;&gt;"", $F15&gt;=CE$5-4, $F15&lt;=CE$5, COUNTIF($M15:CD15,"u")=0), "u", "")</f>
        <v/>
      </c>
      <c r="CF15" s="80" t="str">
        <f>IF(AND($F15&lt;&gt;"", $F15&gt;=CF$5-4, $F15&lt;=CF$5, COUNTIF($M15:CE15,"u")=0), "u", "")</f>
        <v/>
      </c>
      <c r="CG15" s="80" t="str">
        <f>IF(AND($F15&lt;&gt;"", $F15&gt;=CG$5-4, $F15&lt;=CG$5, COUNTIF($M15:CF15,"u")=0), "u", "")</f>
        <v/>
      </c>
      <c r="CH15" s="80" t="str">
        <f>IF(AND($F15&lt;&gt;"", $F15&gt;=CH$5-4, $F15&lt;=CH$5, COUNTIF($M15:CG15,"u")=0), "u", "")</f>
        <v/>
      </c>
      <c r="CI15" s="80" t="str">
        <f>IF(AND($F15&lt;&gt;"", $F15&gt;=CI$5-4, $F15&lt;=CI$5, COUNTIF($M15:CH15,"u")=0), "u", "")</f>
        <v/>
      </c>
      <c r="CJ15" s="80" t="str">
        <f>IF(AND($F15&lt;&gt;"", $F15&gt;=CJ$5-4, $F15&lt;=CJ$5, COUNTIF($M15:CI15,"u")=0), "u", "")</f>
        <v/>
      </c>
      <c r="CK15" s="80" t="str">
        <f>IF(AND($F15&lt;&gt;"", $F15&gt;=CK$5-4, $F15&lt;=CK$5, COUNTIF($M15:CJ15,"u")=0), "u", "")</f>
        <v/>
      </c>
      <c r="CL15" s="80" t="str">
        <f>IF(AND($F15&lt;&gt;"", $F15&gt;=CL$5-4, $F15&lt;=CL$5, COUNTIF($M15:CK15,"u")=0), "u", "")</f>
        <v/>
      </c>
      <c r="CM15" s="80" t="str">
        <f>IF(AND($F15&lt;&gt;"", $F15&gt;=CM$5-4, $F15&lt;=CM$5, COUNTIF($M15:CL15,"u")=0), "u", "")</f>
        <v/>
      </c>
      <c r="CN15" s="80" t="str">
        <f>IF(AND($F15&lt;&gt;"", $F15&gt;=CN$5-4, $F15&lt;=CN$5, COUNTIF($M15:CM15,"u")=0), "u", "")</f>
        <v/>
      </c>
      <c r="CO15" s="80" t="str">
        <f>IF(AND($F15&lt;&gt;"", $F15&gt;=CO$5-4, $F15&lt;=CO$5, COUNTIF($M15:CN15,"u")=0), "u", "")</f>
        <v/>
      </c>
      <c r="CP15" s="80" t="str">
        <f>IF(AND($F15&lt;&gt;"", $F15&gt;=CP$5-4, $F15&lt;=CP$5, COUNTIF($M15:CO15,"u")=0), "u", "")</f>
        <v/>
      </c>
      <c r="CQ15" s="80" t="str">
        <f>IF(AND($F15&lt;&gt;"", $F15&gt;=CQ$5-4, $F15&lt;=CQ$5, COUNTIF($M15:CP15,"u")=0), "u", "")</f>
        <v/>
      </c>
      <c r="CR15" s="80" t="str">
        <f>IF(AND($F15&lt;&gt;"", $F15&gt;=CR$5-4, $F15&lt;=CR$5, COUNTIF($M15:CQ15,"u")=0), "u", "")</f>
        <v/>
      </c>
      <c r="CS15" s="80" t="str">
        <f>IF(AND($F15&lt;&gt;"", $F15&gt;=CS$5-4, $F15&lt;=CS$5, COUNTIF($M15:CR15,"u")=0), "u", "")</f>
        <v/>
      </c>
      <c r="CT15" s="80" t="str">
        <f>IF(AND($F15&lt;&gt;"", $F15&gt;=CT$5-4, $F15&lt;=CT$5, COUNTIF($M15:CS15,"u")=0), "u", "")</f>
        <v/>
      </c>
      <c r="CU15" s="80" t="str">
        <f>IF(AND($F15&lt;&gt;"", $F15&gt;=CU$5-4, $F15&lt;=CU$5, COUNTIF($M15:CT15,"u")=0), "u", "")</f>
        <v/>
      </c>
      <c r="CV15" s="80" t="str">
        <f>IF(AND($F15&lt;&gt;"", $F15&gt;=CV$5-4, $F15&lt;=CV$5, COUNTIF($M15:CU15,"u")=0), "u", "")</f>
        <v/>
      </c>
      <c r="CW15" s="80" t="str">
        <f>IF(AND($F15&lt;&gt;"", $F15&gt;=CW$5-4, $F15&lt;=CW$5, COUNTIF($M15:CV15,"u")=0), "u", "")</f>
        <v/>
      </c>
      <c r="CX15" s="80" t="str">
        <f>IF(AND($F15&lt;&gt;"", $F15&gt;=CX$5-4, $F15&lt;=CX$5, COUNTIF($M15:CW15,"u")=0), "u", "")</f>
        <v/>
      </c>
      <c r="CY15" s="80" t="str">
        <f>IF(AND($F15&lt;&gt;"", $F15&gt;=CY$5-4, $F15&lt;=CY$5, COUNTIF($M15:CX15,"u")=0), "u", "")</f>
        <v/>
      </c>
      <c r="CZ15" s="80" t="str">
        <f>IF(AND($F15&lt;&gt;"", $F15&gt;=CZ$5-4, $F15&lt;=CZ$5, COUNTIF($M15:CY15,"u")=0), "u", "")</f>
        <v/>
      </c>
      <c r="DA15" s="80" t="str">
        <f>IF(AND($F15&lt;&gt;"", $F15&gt;=DA$5-4, $F15&lt;=DA$5, COUNTIF($M15:CZ15,"u")=0), "u", "")</f>
        <v/>
      </c>
      <c r="DB15" s="80" t="str">
        <f>IF(AND($F15&lt;&gt;"", $F15&gt;=DB$5-4, $F15&lt;=DB$5, COUNTIF($M15:DA15,"u")=0), "u", "")</f>
        <v/>
      </c>
      <c r="DC15" s="80" t="str">
        <f>IF(AND($F15&lt;&gt;"", $F15&gt;=DC$5-4, $F15&lt;=DC$5, COUNTIF($M15:DB15,"u")=0), "u", "")</f>
        <v/>
      </c>
      <c r="DD15" s="80" t="str">
        <f>IF(AND($F15&lt;&gt;"", $F15&gt;=DD$5-4, $F15&lt;=DD$5, COUNTIF($M15:DC15,"u")=0), "u", "")</f>
        <v/>
      </c>
      <c r="DE15" s="80" t="str">
        <f>IF(AND($F15&lt;&gt;"", $F15&gt;=DE$5-4, $F15&lt;=DE$5, COUNTIF($M15:DD15,"u")=0), "u", "")</f>
        <v/>
      </c>
      <c r="DF15" s="80" t="str">
        <f>IF(AND($F15&lt;&gt;"", $F15&gt;=DF$5-4, $F15&lt;=DF$5, COUNTIF($M15:DE15,"u")=0), "u", "")</f>
        <v/>
      </c>
      <c r="DG15" s="80" t="str">
        <f>IF(AND($F15&lt;&gt;"", $F15&gt;=DG$5-4, $F15&lt;=DG$5, COUNTIF($M15:DF15,"u")=0), "u", "")</f>
        <v/>
      </c>
      <c r="DH15" s="80" t="str">
        <f>IF(AND($F15&lt;&gt;"", $F15&gt;=DH$5-4, $F15&lt;=DH$5, COUNTIF($M15:DG15,"u")=0), "u", "")</f>
        <v/>
      </c>
      <c r="DI15" s="80" t="str">
        <f>IF(AND($F15&lt;&gt;"", $F15&gt;=DI$5-4, $F15&lt;=DI$5, COUNTIF($M15:DH15,"u")=0), "u", "")</f>
        <v/>
      </c>
      <c r="DJ15" s="80" t="str">
        <f>IF(AND($F15&lt;&gt;"", $F15&gt;=DJ$5-4, $F15&lt;=DJ$5, COUNTIF($M15:DI15,"u")=0), "u", "")</f>
        <v/>
      </c>
      <c r="DK15" s="80" t="str">
        <f>IF(AND($F15&lt;&gt;"", $F15&gt;=DK$5-4, $F15&lt;=DK$5, COUNTIF($M15:DJ15,"u")=0), "u", "")</f>
        <v/>
      </c>
      <c r="DL15" s="80" t="str">
        <f>IF(AND($F15&lt;&gt;"", $F15&gt;=DL$5-4, $F15&lt;=DL$5, COUNTIF($M15:DK15,"u")=0), "u", "")</f>
        <v/>
      </c>
    </row>
    <row r="16" spans="1:116" ht="25.05" customHeight="1" x14ac:dyDescent="0.3">
      <c r="A16" s="39"/>
      <c r="B16" s="75">
        <v>11</v>
      </c>
      <c r="C16" s="84"/>
      <c r="D16" s="85"/>
      <c r="E16" s="53"/>
      <c r="F16" s="53"/>
      <c r="G16" s="83" t="str">
        <f t="shared" si="44"/>
        <v/>
      </c>
      <c r="H16" s="83" t="str">
        <f t="shared" si="44"/>
        <v/>
      </c>
      <c r="I16" s="77" t="str">
        <f t="shared" si="45"/>
        <v/>
      </c>
      <c r="J16" s="78"/>
      <c r="K16" s="86"/>
      <c r="L16" s="56"/>
      <c r="M16" s="80" t="str">
        <f t="shared" si="46"/>
        <v/>
      </c>
      <c r="N16" s="80" t="str">
        <f>IF(AND($F16&lt;&gt;"", $F16&gt;=N$5-4, $F16&lt;=N$5, COUNTIF($M16:M16,"u")=0), "u", "")</f>
        <v/>
      </c>
      <c r="O16" s="80" t="str">
        <f>IF(AND($F16&lt;&gt;"", $F16&gt;=O$5-4, $F16&lt;=O$5, COUNTIF($M16:N16,"u")=0), "u", "")</f>
        <v/>
      </c>
      <c r="P16" s="80" t="str">
        <f>IF(AND($F16&lt;&gt;"", $F16&gt;=P$5-4, $F16&lt;=P$5, COUNTIF($M16:O16,"u")=0), "u", "")</f>
        <v/>
      </c>
      <c r="Q16" s="80" t="str">
        <f>IF(AND($F16&lt;&gt;"", $F16&gt;=Q$5-4, $F16&lt;=Q$5, COUNTIF($M16:P16,"u")=0), "u", "")</f>
        <v/>
      </c>
      <c r="R16" s="80" t="str">
        <f>IF(AND($F16&lt;&gt;"", $F16&gt;=R$5-4, $F16&lt;=R$5, COUNTIF($M16:Q16,"u")=0), "u", "")</f>
        <v/>
      </c>
      <c r="S16" s="80" t="str">
        <f>IF(AND($F16&lt;&gt;"", $F16&gt;=S$5-4, $F16&lt;=S$5, COUNTIF($M16:R16,"u")=0), "u", "")</f>
        <v/>
      </c>
      <c r="T16" s="80" t="str">
        <f>IF(AND($F16&lt;&gt;"", $F16&gt;=T$5-4, $F16&lt;=T$5, COUNTIF($M16:S16,"u")=0), "u", "")</f>
        <v/>
      </c>
      <c r="U16" s="80" t="str">
        <f>IF(AND($F16&lt;&gt;"", $F16&gt;=U$5-4, $F16&lt;=U$5, COUNTIF($M16:T16,"u")=0), "u", "")</f>
        <v/>
      </c>
      <c r="V16" s="80" t="str">
        <f>IF(AND($F16&lt;&gt;"", $F16&gt;=V$5-4, $F16&lt;=V$5, COUNTIF($M16:U16,"u")=0), "u", "")</f>
        <v/>
      </c>
      <c r="W16" s="80" t="str">
        <f>IF(AND($F16&lt;&gt;"", $F16&gt;=W$5-4, $F16&lt;=W$5, COUNTIF($M16:V16,"u")=0), "u", "")</f>
        <v/>
      </c>
      <c r="X16" s="80" t="str">
        <f>IF(AND($F16&lt;&gt;"", $F16&gt;=X$5-4, $F16&lt;=X$5, COUNTIF($M16:W16,"u")=0), "u", "")</f>
        <v/>
      </c>
      <c r="Y16" s="80" t="str">
        <f>IF(AND($F16&lt;&gt;"", $F16&gt;=Y$5-4, $F16&lt;=Y$5, COUNTIF($M16:X16,"u")=0), "u", "")</f>
        <v/>
      </c>
      <c r="Z16" s="80" t="str">
        <f>IF(AND($F16&lt;&gt;"", $F16&gt;=Z$5-4, $F16&lt;=Z$5, COUNTIF($M16:Y16,"u")=0), "u", "")</f>
        <v/>
      </c>
      <c r="AA16" s="80" t="str">
        <f>IF(AND($F16&lt;&gt;"", $F16&gt;=AA$5-4, $F16&lt;=AA$5, COUNTIF($M16:Z16,"u")=0), "u", "")</f>
        <v/>
      </c>
      <c r="AB16" s="80" t="str">
        <f>IF(AND($F16&lt;&gt;"", $F16&gt;=AB$5-4, $F16&lt;=AB$5, COUNTIF($M16:AA16,"u")=0), "u", "")</f>
        <v/>
      </c>
      <c r="AC16" s="80" t="str">
        <f>IF(AND($F16&lt;&gt;"", $F16&gt;=AC$5-4, $F16&lt;=AC$5, COUNTIF($M16:AB16,"u")=0), "u", "")</f>
        <v/>
      </c>
      <c r="AD16" s="80" t="str">
        <f>IF(AND($F16&lt;&gt;"", $F16&gt;=AD$5-4, $F16&lt;=AD$5, COUNTIF($M16:AC16,"u")=0), "u", "")</f>
        <v/>
      </c>
      <c r="AE16" s="80" t="str">
        <f>IF(AND($F16&lt;&gt;"", $F16&gt;=AE$5-4, $F16&lt;=AE$5, COUNTIF($M16:AD16,"u")=0), "u", "")</f>
        <v/>
      </c>
      <c r="AF16" s="80" t="str">
        <f>IF(AND($F16&lt;&gt;"", $F16&gt;=AF$5-4, $F16&lt;=AF$5, COUNTIF($M16:AE16,"u")=0), "u", "")</f>
        <v/>
      </c>
      <c r="AG16" s="80" t="str">
        <f>IF(AND($F16&lt;&gt;"", $F16&gt;=AG$5-4, $F16&lt;=AG$5, COUNTIF($M16:AF16,"u")=0), "u", "")</f>
        <v/>
      </c>
      <c r="AH16" s="80" t="str">
        <f>IF(AND($F16&lt;&gt;"", $F16&gt;=AH$5-4, $F16&lt;=AH$5, COUNTIF($M16:AG16,"u")=0), "u", "")</f>
        <v/>
      </c>
      <c r="AI16" s="80" t="str">
        <f>IF(AND($F16&lt;&gt;"", $F16&gt;=AI$5-4, $F16&lt;=AI$5, COUNTIF($M16:AH16,"u")=0), "u", "")</f>
        <v/>
      </c>
      <c r="AJ16" s="80" t="str">
        <f>IF(AND($F16&lt;&gt;"", $F16&gt;=AJ$5-4, $F16&lt;=AJ$5, COUNTIF($M16:AI16,"u")=0), "u", "")</f>
        <v/>
      </c>
      <c r="AK16" s="80" t="str">
        <f>IF(AND($F16&lt;&gt;"", $F16&gt;=AK$5-4, $F16&lt;=AK$5, COUNTIF($M16:AJ16,"u")=0), "u", "")</f>
        <v/>
      </c>
      <c r="AL16" s="80" t="str">
        <f>IF(AND($F16&lt;&gt;"", $F16&gt;=AL$5-4, $F16&lt;=AL$5, COUNTIF($M16:AK16,"u")=0), "u", "")</f>
        <v/>
      </c>
      <c r="AM16" s="80" t="str">
        <f>IF(AND($F16&lt;&gt;"", $F16&gt;=AM$5-4, $F16&lt;=AM$5, COUNTIF($M16:AL16,"u")=0), "u", "")</f>
        <v/>
      </c>
      <c r="AN16" s="80" t="str">
        <f>IF(AND($F16&lt;&gt;"", $F16&gt;=AN$5-4, $F16&lt;=AN$5, COUNTIF($M16:AM16,"u")=0), "u", "")</f>
        <v/>
      </c>
      <c r="AO16" s="80" t="str">
        <f>IF(AND($F16&lt;&gt;"", $F16&gt;=AO$5-4, $F16&lt;=AO$5, COUNTIF($M16:AN16,"u")=0), "u", "")</f>
        <v/>
      </c>
      <c r="AP16" s="80" t="str">
        <f>IF(AND($F16&lt;&gt;"", $F16&gt;=AP$5-4, $F16&lt;=AP$5, COUNTIF($M16:AO16,"u")=0), "u", "")</f>
        <v/>
      </c>
      <c r="AQ16" s="80" t="str">
        <f>IF(AND($F16&lt;&gt;"", $F16&gt;=AQ$5-4, $F16&lt;=AQ$5, COUNTIF($M16:AP16,"u")=0), "u", "")</f>
        <v/>
      </c>
      <c r="AR16" s="80" t="str">
        <f>IF(AND($F16&lt;&gt;"", $F16&gt;=AR$5-4, $F16&lt;=AR$5, COUNTIF($M16:AQ16,"u")=0), "u", "")</f>
        <v/>
      </c>
      <c r="AS16" s="80" t="str">
        <f>IF(AND($F16&lt;&gt;"", $F16&gt;=AS$5-4, $F16&lt;=AS$5, COUNTIF($M16:AR16,"u")=0), "u", "")</f>
        <v/>
      </c>
      <c r="AT16" s="80" t="str">
        <f>IF(AND($F16&lt;&gt;"", $F16&gt;=AT$5-4, $F16&lt;=AT$5, COUNTIF($M16:AS16,"u")=0), "u", "")</f>
        <v/>
      </c>
      <c r="AU16" s="80" t="str">
        <f>IF(AND($F16&lt;&gt;"", $F16&gt;=AU$5-4, $F16&lt;=AU$5, COUNTIF($M16:AT16,"u")=0), "u", "")</f>
        <v/>
      </c>
      <c r="AV16" s="80" t="str">
        <f>IF(AND($F16&lt;&gt;"", $F16&gt;=AV$5-4, $F16&lt;=AV$5, COUNTIF($M16:AU16,"u")=0), "u", "")</f>
        <v/>
      </c>
      <c r="AW16" s="80" t="str">
        <f>IF(AND($F16&lt;&gt;"", $F16&gt;=AW$5-4, $F16&lt;=AW$5, COUNTIF($M16:AV16,"u")=0), "u", "")</f>
        <v/>
      </c>
      <c r="AX16" s="80" t="str">
        <f>IF(AND($F16&lt;&gt;"", $F16&gt;=AX$5-4, $F16&lt;=AX$5, COUNTIF($M16:AW16,"u")=0), "u", "")</f>
        <v/>
      </c>
      <c r="AY16" s="80" t="str">
        <f>IF(AND($F16&lt;&gt;"", $F16&gt;=AY$5-4, $F16&lt;=AY$5, COUNTIF($M16:AX16,"u")=0), "u", "")</f>
        <v/>
      </c>
      <c r="AZ16" s="80" t="str">
        <f>IF(AND($F16&lt;&gt;"", $F16&gt;=AZ$5-4, $F16&lt;=AZ$5, COUNTIF($M16:AY16,"u")=0), "u", "")</f>
        <v/>
      </c>
      <c r="BA16" s="80" t="str">
        <f>IF(AND($F16&lt;&gt;"", $F16&gt;=BA$5-4, $F16&lt;=BA$5, COUNTIF($M16:AZ16,"u")=0), "u", "")</f>
        <v/>
      </c>
      <c r="BB16" s="80" t="str">
        <f>IF(AND($F16&lt;&gt;"", $F16&gt;=BB$5-4, $F16&lt;=BB$5, COUNTIF($M16:BA16,"u")=0), "u", "")</f>
        <v/>
      </c>
      <c r="BC16" s="80" t="str">
        <f>IF(AND($F16&lt;&gt;"", $F16&gt;=BC$5-4, $F16&lt;=BC$5, COUNTIF($M16:BB16,"u")=0), "u", "")</f>
        <v/>
      </c>
      <c r="BD16" s="80" t="str">
        <f>IF(AND($F16&lt;&gt;"", $F16&gt;=BD$5-4, $F16&lt;=BD$5, COUNTIF($M16:BC16,"u")=0), "u", "")</f>
        <v/>
      </c>
      <c r="BE16" s="80" t="str">
        <f>IF(AND($F16&lt;&gt;"", $F16&gt;=BE$5-4, $F16&lt;=BE$5, COUNTIF($M16:BD16,"u")=0), "u", "")</f>
        <v/>
      </c>
      <c r="BF16" s="80" t="str">
        <f>IF(AND($F16&lt;&gt;"", $F16&gt;=BF$5-4, $F16&lt;=BF$5, COUNTIF($M16:BE16,"u")=0), "u", "")</f>
        <v/>
      </c>
      <c r="BG16" s="80" t="str">
        <f>IF(AND($F16&lt;&gt;"", $F16&gt;=BG$5-4, $F16&lt;=BG$5, COUNTIF($M16:BF16,"u")=0), "u", "")</f>
        <v/>
      </c>
      <c r="BH16" s="80" t="str">
        <f>IF(AND($F16&lt;&gt;"", $F16&gt;=BH$5-4, $F16&lt;=BH$5, COUNTIF($M16:BG16,"u")=0), "u", "")</f>
        <v/>
      </c>
      <c r="BI16" s="80" t="str">
        <f>IF(AND($F16&lt;&gt;"", $F16&gt;=BI$5-4, $F16&lt;=BI$5, COUNTIF($M16:BH16,"u")=0), "u", "")</f>
        <v/>
      </c>
      <c r="BJ16" s="80" t="str">
        <f>IF(AND($F16&lt;&gt;"", $F16&gt;=BJ$5-4, $F16&lt;=BJ$5, COUNTIF($M16:BI16,"u")=0), "u", "")</f>
        <v/>
      </c>
      <c r="BK16" s="80" t="str">
        <f>IF(AND($F16&lt;&gt;"", $F16&gt;=BK$5-4, $F16&lt;=BK$5, COUNTIF($M16:BJ16,"u")=0), "u", "")</f>
        <v/>
      </c>
      <c r="BL16" s="80" t="str">
        <f>IF(AND($F16&lt;&gt;"", $F16&gt;=BL$5-4, $F16&lt;=BL$5, COUNTIF($M16:BK16,"u")=0), "u", "")</f>
        <v/>
      </c>
      <c r="BM16" s="80" t="str">
        <f>IF(AND($F16&lt;&gt;"", $F16&gt;=BM$5-4, $F16&lt;=BM$5, COUNTIF($M16:BL16,"u")=0), "u", "")</f>
        <v/>
      </c>
      <c r="BN16" s="80" t="str">
        <f>IF(AND($F16&lt;&gt;"", $F16&gt;=BN$5-4, $F16&lt;=BN$5, COUNTIF($M16:BM16,"u")=0), "u", "")</f>
        <v/>
      </c>
      <c r="BO16" s="80" t="str">
        <f>IF(AND($F16&lt;&gt;"", $F16&gt;=BO$5-4, $F16&lt;=BO$5, COUNTIF($M16:BN16,"u")=0), "u", "")</f>
        <v/>
      </c>
      <c r="BP16" s="80" t="str">
        <f>IF(AND($F16&lt;&gt;"", $F16&gt;=BP$5-4, $F16&lt;=BP$5, COUNTIF($M16:BO16,"u")=0), "u", "")</f>
        <v/>
      </c>
      <c r="BQ16" s="80" t="str">
        <f>IF(AND($F16&lt;&gt;"", $F16&gt;=BQ$5-4, $F16&lt;=BQ$5, COUNTIF($M16:BP16,"u")=0), "u", "")</f>
        <v/>
      </c>
      <c r="BR16" s="80" t="str">
        <f>IF(AND($F16&lt;&gt;"", $F16&gt;=BR$5-4, $F16&lt;=BR$5, COUNTIF($M16:BQ16,"u")=0), "u", "")</f>
        <v/>
      </c>
      <c r="BS16" s="80" t="str">
        <f>IF(AND($F16&lt;&gt;"", $F16&gt;=BS$5-4, $F16&lt;=BS$5, COUNTIF($M16:BR16,"u")=0), "u", "")</f>
        <v/>
      </c>
      <c r="BT16" s="80" t="str">
        <f>IF(AND($F16&lt;&gt;"", $F16&gt;=BT$5-4, $F16&lt;=BT$5, COUNTIF($M16:BS16,"u")=0), "u", "")</f>
        <v/>
      </c>
      <c r="BU16" s="80" t="str">
        <f>IF(AND($F16&lt;&gt;"", $F16&gt;=BU$5-4, $F16&lt;=BU$5, COUNTIF($M16:BT16,"u")=0), "u", "")</f>
        <v/>
      </c>
      <c r="BV16" s="80" t="str">
        <f>IF(AND($F16&lt;&gt;"", $F16&gt;=BV$5-4, $F16&lt;=BV$5, COUNTIF($M16:BU16,"u")=0), "u", "")</f>
        <v/>
      </c>
      <c r="BW16" s="80" t="str">
        <f>IF(AND($F16&lt;&gt;"", $F16&gt;=BW$5-4, $F16&lt;=BW$5, COUNTIF($M16:BV16,"u")=0), "u", "")</f>
        <v/>
      </c>
      <c r="BX16" s="80" t="str">
        <f>IF(AND($F16&lt;&gt;"", $F16&gt;=BX$5-4, $F16&lt;=BX$5, COUNTIF($M16:BW16,"u")=0), "u", "")</f>
        <v/>
      </c>
      <c r="BY16" s="80" t="str">
        <f>IF(AND($F16&lt;&gt;"", $F16&gt;=BY$5-4, $F16&lt;=BY$5, COUNTIF($M16:BX16,"u")=0), "u", "")</f>
        <v/>
      </c>
      <c r="BZ16" s="80" t="str">
        <f>IF(AND($F16&lt;&gt;"", $F16&gt;=BZ$5-4, $F16&lt;=BZ$5, COUNTIF($M16:BY16,"u")=0), "u", "")</f>
        <v/>
      </c>
      <c r="CA16" s="80" t="str">
        <f>IF(AND($F16&lt;&gt;"", $F16&gt;=CA$5-4, $F16&lt;=CA$5, COUNTIF($M16:BZ16,"u")=0), "u", "")</f>
        <v/>
      </c>
      <c r="CB16" s="80" t="str">
        <f>IF(AND($F16&lt;&gt;"", $F16&gt;=CB$5-4, $F16&lt;=CB$5, COUNTIF($M16:CA16,"u")=0), "u", "")</f>
        <v/>
      </c>
      <c r="CC16" s="80" t="str">
        <f>IF(AND($F16&lt;&gt;"", $F16&gt;=CC$5-4, $F16&lt;=CC$5, COUNTIF($M16:CB16,"u")=0), "u", "")</f>
        <v/>
      </c>
      <c r="CD16" s="80" t="str">
        <f>IF(AND($F16&lt;&gt;"", $F16&gt;=CD$5-4, $F16&lt;=CD$5, COUNTIF($M16:CC16,"u")=0), "u", "")</f>
        <v/>
      </c>
      <c r="CE16" s="80" t="str">
        <f>IF(AND($F16&lt;&gt;"", $F16&gt;=CE$5-4, $F16&lt;=CE$5, COUNTIF($M16:CD16,"u")=0), "u", "")</f>
        <v/>
      </c>
      <c r="CF16" s="80" t="str">
        <f>IF(AND($F16&lt;&gt;"", $F16&gt;=CF$5-4, $F16&lt;=CF$5, COUNTIF($M16:CE16,"u")=0), "u", "")</f>
        <v/>
      </c>
      <c r="CG16" s="80" t="str">
        <f>IF(AND($F16&lt;&gt;"", $F16&gt;=CG$5-4, $F16&lt;=CG$5, COUNTIF($M16:CF16,"u")=0), "u", "")</f>
        <v/>
      </c>
      <c r="CH16" s="80" t="str">
        <f>IF(AND($F16&lt;&gt;"", $F16&gt;=CH$5-4, $F16&lt;=CH$5, COUNTIF($M16:CG16,"u")=0), "u", "")</f>
        <v/>
      </c>
      <c r="CI16" s="80" t="str">
        <f>IF(AND($F16&lt;&gt;"", $F16&gt;=CI$5-4, $F16&lt;=CI$5, COUNTIF($M16:CH16,"u")=0), "u", "")</f>
        <v/>
      </c>
      <c r="CJ16" s="80" t="str">
        <f>IF(AND($F16&lt;&gt;"", $F16&gt;=CJ$5-4, $F16&lt;=CJ$5, COUNTIF($M16:CI16,"u")=0), "u", "")</f>
        <v/>
      </c>
      <c r="CK16" s="80" t="str">
        <f>IF(AND($F16&lt;&gt;"", $F16&gt;=CK$5-4, $F16&lt;=CK$5, COUNTIF($M16:CJ16,"u")=0), "u", "")</f>
        <v/>
      </c>
      <c r="CL16" s="80" t="str">
        <f>IF(AND($F16&lt;&gt;"", $F16&gt;=CL$5-4, $F16&lt;=CL$5, COUNTIF($M16:CK16,"u")=0), "u", "")</f>
        <v/>
      </c>
      <c r="CM16" s="80" t="str">
        <f>IF(AND($F16&lt;&gt;"", $F16&gt;=CM$5-4, $F16&lt;=CM$5, COUNTIF($M16:CL16,"u")=0), "u", "")</f>
        <v/>
      </c>
      <c r="CN16" s="80" t="str">
        <f>IF(AND($F16&lt;&gt;"", $F16&gt;=CN$5-4, $F16&lt;=CN$5, COUNTIF($M16:CM16,"u")=0), "u", "")</f>
        <v/>
      </c>
      <c r="CO16" s="80" t="str">
        <f>IF(AND($F16&lt;&gt;"", $F16&gt;=CO$5-4, $F16&lt;=CO$5, COUNTIF($M16:CN16,"u")=0), "u", "")</f>
        <v/>
      </c>
      <c r="CP16" s="80" t="str">
        <f>IF(AND($F16&lt;&gt;"", $F16&gt;=CP$5-4, $F16&lt;=CP$5, COUNTIF($M16:CO16,"u")=0), "u", "")</f>
        <v/>
      </c>
      <c r="CQ16" s="80" t="str">
        <f>IF(AND($F16&lt;&gt;"", $F16&gt;=CQ$5-4, $F16&lt;=CQ$5, COUNTIF($M16:CP16,"u")=0), "u", "")</f>
        <v/>
      </c>
      <c r="CR16" s="80" t="str">
        <f>IF(AND($F16&lt;&gt;"", $F16&gt;=CR$5-4, $F16&lt;=CR$5, COUNTIF($M16:CQ16,"u")=0), "u", "")</f>
        <v/>
      </c>
      <c r="CS16" s="80" t="str">
        <f>IF(AND($F16&lt;&gt;"", $F16&gt;=CS$5-4, $F16&lt;=CS$5, COUNTIF($M16:CR16,"u")=0), "u", "")</f>
        <v/>
      </c>
      <c r="CT16" s="80" t="str">
        <f>IF(AND($F16&lt;&gt;"", $F16&gt;=CT$5-4, $F16&lt;=CT$5, COUNTIF($M16:CS16,"u")=0), "u", "")</f>
        <v/>
      </c>
      <c r="CU16" s="80" t="str">
        <f>IF(AND($F16&lt;&gt;"", $F16&gt;=CU$5-4, $F16&lt;=CU$5, COUNTIF($M16:CT16,"u")=0), "u", "")</f>
        <v/>
      </c>
      <c r="CV16" s="80" t="str">
        <f>IF(AND($F16&lt;&gt;"", $F16&gt;=CV$5-4, $F16&lt;=CV$5, COUNTIF($M16:CU16,"u")=0), "u", "")</f>
        <v/>
      </c>
      <c r="CW16" s="80" t="str">
        <f>IF(AND($F16&lt;&gt;"", $F16&gt;=CW$5-4, $F16&lt;=CW$5, COUNTIF($M16:CV16,"u")=0), "u", "")</f>
        <v/>
      </c>
      <c r="CX16" s="80" t="str">
        <f>IF(AND($F16&lt;&gt;"", $F16&gt;=CX$5-4, $F16&lt;=CX$5, COUNTIF($M16:CW16,"u")=0), "u", "")</f>
        <v/>
      </c>
      <c r="CY16" s="80" t="str">
        <f>IF(AND($F16&lt;&gt;"", $F16&gt;=CY$5-4, $F16&lt;=CY$5, COUNTIF($M16:CX16,"u")=0), "u", "")</f>
        <v/>
      </c>
      <c r="CZ16" s="80" t="str">
        <f>IF(AND($F16&lt;&gt;"", $F16&gt;=CZ$5-4, $F16&lt;=CZ$5, COUNTIF($M16:CY16,"u")=0), "u", "")</f>
        <v/>
      </c>
      <c r="DA16" s="80" t="str">
        <f>IF(AND($F16&lt;&gt;"", $F16&gt;=DA$5-4, $F16&lt;=DA$5, COUNTIF($M16:CZ16,"u")=0), "u", "")</f>
        <v/>
      </c>
      <c r="DB16" s="80" t="str">
        <f>IF(AND($F16&lt;&gt;"", $F16&gt;=DB$5-4, $F16&lt;=DB$5, COUNTIF($M16:DA16,"u")=0), "u", "")</f>
        <v/>
      </c>
      <c r="DC16" s="80" t="str">
        <f>IF(AND($F16&lt;&gt;"", $F16&gt;=DC$5-4, $F16&lt;=DC$5, COUNTIF($M16:DB16,"u")=0), "u", "")</f>
        <v/>
      </c>
      <c r="DD16" s="80" t="str">
        <f>IF(AND($F16&lt;&gt;"", $F16&gt;=DD$5-4, $F16&lt;=DD$5, COUNTIF($M16:DC16,"u")=0), "u", "")</f>
        <v/>
      </c>
      <c r="DE16" s="80" t="str">
        <f>IF(AND($F16&lt;&gt;"", $F16&gt;=DE$5-4, $F16&lt;=DE$5, COUNTIF($M16:DD16,"u")=0), "u", "")</f>
        <v/>
      </c>
      <c r="DF16" s="80" t="str">
        <f>IF(AND($F16&lt;&gt;"", $F16&gt;=DF$5-4, $F16&lt;=DF$5, COUNTIF($M16:DE16,"u")=0), "u", "")</f>
        <v/>
      </c>
      <c r="DG16" s="80" t="str">
        <f>IF(AND($F16&lt;&gt;"", $F16&gt;=DG$5-4, $F16&lt;=DG$5, COUNTIF($M16:DF16,"u")=0), "u", "")</f>
        <v/>
      </c>
      <c r="DH16" s="80" t="str">
        <f>IF(AND($F16&lt;&gt;"", $F16&gt;=DH$5-4, $F16&lt;=DH$5, COUNTIF($M16:DG16,"u")=0), "u", "")</f>
        <v/>
      </c>
      <c r="DI16" s="80" t="str">
        <f>IF(AND($F16&lt;&gt;"", $F16&gt;=DI$5-4, $F16&lt;=DI$5, COUNTIF($M16:DH16,"u")=0), "u", "")</f>
        <v/>
      </c>
      <c r="DJ16" s="80" t="str">
        <f>IF(AND($F16&lt;&gt;"", $F16&gt;=DJ$5-4, $F16&lt;=DJ$5, COUNTIF($M16:DI16,"u")=0), "u", "")</f>
        <v/>
      </c>
      <c r="DK16" s="80" t="str">
        <f>IF(AND($F16&lt;&gt;"", $F16&gt;=DK$5-4, $F16&lt;=DK$5, COUNTIF($M16:DJ16,"u")=0), "u", "")</f>
        <v/>
      </c>
      <c r="DL16" s="80" t="str">
        <f>IF(AND($F16&lt;&gt;"", $F16&gt;=DL$5-4, $F16&lt;=DL$5, COUNTIF($M16:DK16,"u")=0), "u", "")</f>
        <v/>
      </c>
    </row>
    <row r="17" spans="1:116" ht="25.05" customHeight="1" x14ac:dyDescent="0.3">
      <c r="A17" s="39"/>
      <c r="B17" s="75">
        <v>12</v>
      </c>
      <c r="C17" s="87"/>
      <c r="D17" s="88"/>
      <c r="E17" s="53"/>
      <c r="F17" s="53"/>
      <c r="G17" s="89" t="str">
        <f t="shared" si="44"/>
        <v/>
      </c>
      <c r="H17" s="89" t="str">
        <f t="shared" si="44"/>
        <v/>
      </c>
      <c r="I17" s="77" t="str">
        <f t="shared" si="45"/>
        <v/>
      </c>
      <c r="J17" s="78"/>
      <c r="K17" s="90"/>
      <c r="L17" s="56"/>
      <c r="M17" s="80" t="str">
        <f t="shared" si="46"/>
        <v/>
      </c>
      <c r="N17" s="80" t="str">
        <f>IF(AND($F17&lt;&gt;"", $F17&gt;=N$5-4, $F17&lt;=N$5, COUNTIF($M17:M17,"u")=0), "u", "")</f>
        <v/>
      </c>
      <c r="O17" s="80" t="str">
        <f>IF(AND($F17&lt;&gt;"", $F17&gt;=O$5-4, $F17&lt;=O$5, COUNTIF($M17:N17,"u")=0), "u", "")</f>
        <v/>
      </c>
      <c r="P17" s="80" t="str">
        <f>IF(AND($F17&lt;&gt;"", $F17&gt;=P$5-4, $F17&lt;=P$5, COUNTIF($M17:O17,"u")=0), "u", "")</f>
        <v/>
      </c>
      <c r="Q17" s="80" t="str">
        <f>IF(AND($F17&lt;&gt;"", $F17&gt;=Q$5-4, $F17&lt;=Q$5, COUNTIF($M17:P17,"u")=0), "u", "")</f>
        <v/>
      </c>
      <c r="R17" s="80" t="str">
        <f>IF(AND($F17&lt;&gt;"", $F17&gt;=R$5-4, $F17&lt;=R$5, COUNTIF($M17:Q17,"u")=0), "u", "")</f>
        <v/>
      </c>
      <c r="S17" s="80" t="str">
        <f>IF(AND($F17&lt;&gt;"", $F17&gt;=S$5-4, $F17&lt;=S$5, COUNTIF($M17:R17,"u")=0), "u", "")</f>
        <v/>
      </c>
      <c r="T17" s="80" t="str">
        <f>IF(AND($F17&lt;&gt;"", $F17&gt;=T$5-4, $F17&lt;=T$5, COUNTIF($M17:S17,"u")=0), "u", "")</f>
        <v/>
      </c>
      <c r="U17" s="80" t="str">
        <f>IF(AND($F17&lt;&gt;"", $F17&gt;=U$5-4, $F17&lt;=U$5, COUNTIF($M17:T17,"u")=0), "u", "")</f>
        <v/>
      </c>
      <c r="V17" s="80" t="str">
        <f>IF(AND($F17&lt;&gt;"", $F17&gt;=V$5-4, $F17&lt;=V$5, COUNTIF($M17:U17,"u")=0), "u", "")</f>
        <v/>
      </c>
      <c r="W17" s="80" t="str">
        <f>IF(AND($F17&lt;&gt;"", $F17&gt;=W$5-4, $F17&lt;=W$5, COUNTIF($M17:V17,"u")=0), "u", "")</f>
        <v/>
      </c>
      <c r="X17" s="80" t="str">
        <f>IF(AND($F17&lt;&gt;"", $F17&gt;=X$5-4, $F17&lt;=X$5, COUNTIF($M17:W17,"u")=0), "u", "")</f>
        <v/>
      </c>
      <c r="Y17" s="80" t="str">
        <f>IF(AND($F17&lt;&gt;"", $F17&gt;=Y$5-4, $F17&lt;=Y$5, COUNTIF($M17:X17,"u")=0), "u", "")</f>
        <v/>
      </c>
      <c r="Z17" s="80" t="str">
        <f>IF(AND($F17&lt;&gt;"", $F17&gt;=Z$5-4, $F17&lt;=Z$5, COUNTIF($M17:Y17,"u")=0), "u", "")</f>
        <v/>
      </c>
      <c r="AA17" s="80" t="str">
        <f>IF(AND($F17&lt;&gt;"", $F17&gt;=AA$5-4, $F17&lt;=AA$5, COUNTIF($M17:Z17,"u")=0), "u", "")</f>
        <v/>
      </c>
      <c r="AB17" s="80" t="str">
        <f>IF(AND($F17&lt;&gt;"", $F17&gt;=AB$5-4, $F17&lt;=AB$5, COUNTIF($M17:AA17,"u")=0), "u", "")</f>
        <v/>
      </c>
      <c r="AC17" s="80" t="str">
        <f>IF(AND($F17&lt;&gt;"", $F17&gt;=AC$5-4, $F17&lt;=AC$5, COUNTIF($M17:AB17,"u")=0), "u", "")</f>
        <v/>
      </c>
      <c r="AD17" s="80" t="str">
        <f>IF(AND($F17&lt;&gt;"", $F17&gt;=AD$5-4, $F17&lt;=AD$5, COUNTIF($M17:AC17,"u")=0), "u", "")</f>
        <v/>
      </c>
      <c r="AE17" s="80" t="str">
        <f>IF(AND($F17&lt;&gt;"", $F17&gt;=AE$5-4, $F17&lt;=AE$5, COUNTIF($M17:AD17,"u")=0), "u", "")</f>
        <v/>
      </c>
      <c r="AF17" s="80" t="str">
        <f>IF(AND($F17&lt;&gt;"", $F17&gt;=AF$5-4, $F17&lt;=AF$5, COUNTIF($M17:AE17,"u")=0), "u", "")</f>
        <v/>
      </c>
      <c r="AG17" s="80" t="str">
        <f>IF(AND($F17&lt;&gt;"", $F17&gt;=AG$5-4, $F17&lt;=AG$5, COUNTIF($M17:AF17,"u")=0), "u", "")</f>
        <v/>
      </c>
      <c r="AH17" s="80" t="str">
        <f>IF(AND($F17&lt;&gt;"", $F17&gt;=AH$5-4, $F17&lt;=AH$5, COUNTIF($M17:AG17,"u")=0), "u", "")</f>
        <v/>
      </c>
      <c r="AI17" s="80" t="str">
        <f>IF(AND($F17&lt;&gt;"", $F17&gt;=AI$5-4, $F17&lt;=AI$5, COUNTIF($M17:AH17,"u")=0), "u", "")</f>
        <v/>
      </c>
      <c r="AJ17" s="80" t="str">
        <f>IF(AND($F17&lt;&gt;"", $F17&gt;=AJ$5-4, $F17&lt;=AJ$5, COUNTIF($M17:AI17,"u")=0), "u", "")</f>
        <v/>
      </c>
      <c r="AK17" s="80" t="str">
        <f>IF(AND($F17&lt;&gt;"", $F17&gt;=AK$5-4, $F17&lt;=AK$5, COUNTIF($M17:AJ17,"u")=0), "u", "")</f>
        <v/>
      </c>
      <c r="AL17" s="80" t="str">
        <f>IF(AND($F17&lt;&gt;"", $F17&gt;=AL$5-4, $F17&lt;=AL$5, COUNTIF($M17:AK17,"u")=0), "u", "")</f>
        <v/>
      </c>
      <c r="AM17" s="80" t="str">
        <f>IF(AND($F17&lt;&gt;"", $F17&gt;=AM$5-4, $F17&lt;=AM$5, COUNTIF($M17:AL17,"u")=0), "u", "")</f>
        <v/>
      </c>
      <c r="AN17" s="80" t="str">
        <f>IF(AND($F17&lt;&gt;"", $F17&gt;=AN$5-4, $F17&lt;=AN$5, COUNTIF($M17:AM17,"u")=0), "u", "")</f>
        <v/>
      </c>
      <c r="AO17" s="80" t="str">
        <f>IF(AND($F17&lt;&gt;"", $F17&gt;=AO$5-4, $F17&lt;=AO$5, COUNTIF($M17:AN17,"u")=0), "u", "")</f>
        <v/>
      </c>
      <c r="AP17" s="80" t="str">
        <f>IF(AND($F17&lt;&gt;"", $F17&gt;=AP$5-4, $F17&lt;=AP$5, COUNTIF($M17:AO17,"u")=0), "u", "")</f>
        <v/>
      </c>
      <c r="AQ17" s="80" t="str">
        <f>IF(AND($F17&lt;&gt;"", $F17&gt;=AQ$5-4, $F17&lt;=AQ$5, COUNTIF($M17:AP17,"u")=0), "u", "")</f>
        <v/>
      </c>
      <c r="AR17" s="80" t="str">
        <f>IF(AND($F17&lt;&gt;"", $F17&gt;=AR$5-4, $F17&lt;=AR$5, COUNTIF($M17:AQ17,"u")=0), "u", "")</f>
        <v/>
      </c>
      <c r="AS17" s="80" t="str">
        <f>IF(AND($F17&lt;&gt;"", $F17&gt;=AS$5-4, $F17&lt;=AS$5, COUNTIF($M17:AR17,"u")=0), "u", "")</f>
        <v/>
      </c>
      <c r="AT17" s="80" t="str">
        <f>IF(AND($F17&lt;&gt;"", $F17&gt;=AT$5-4, $F17&lt;=AT$5, COUNTIF($M17:AS17,"u")=0), "u", "")</f>
        <v/>
      </c>
      <c r="AU17" s="80" t="str">
        <f>IF(AND($F17&lt;&gt;"", $F17&gt;=AU$5-4, $F17&lt;=AU$5, COUNTIF($M17:AT17,"u")=0), "u", "")</f>
        <v/>
      </c>
      <c r="AV17" s="80" t="str">
        <f>IF(AND($F17&lt;&gt;"", $F17&gt;=AV$5-4, $F17&lt;=AV$5, COUNTIF($M17:AU17,"u")=0), "u", "")</f>
        <v/>
      </c>
      <c r="AW17" s="80" t="str">
        <f>IF(AND($F17&lt;&gt;"", $F17&gt;=AW$5-4, $F17&lt;=AW$5, COUNTIF($M17:AV17,"u")=0), "u", "")</f>
        <v/>
      </c>
      <c r="AX17" s="80" t="str">
        <f>IF(AND($F17&lt;&gt;"", $F17&gt;=AX$5-4, $F17&lt;=AX$5, COUNTIF($M17:AW17,"u")=0), "u", "")</f>
        <v/>
      </c>
      <c r="AY17" s="80" t="str">
        <f>IF(AND($F17&lt;&gt;"", $F17&gt;=AY$5-4, $F17&lt;=AY$5, COUNTIF($M17:AX17,"u")=0), "u", "")</f>
        <v/>
      </c>
      <c r="AZ17" s="80" t="str">
        <f>IF(AND($F17&lt;&gt;"", $F17&gt;=AZ$5-4, $F17&lt;=AZ$5, COUNTIF($M17:AY17,"u")=0), "u", "")</f>
        <v/>
      </c>
      <c r="BA17" s="80" t="str">
        <f>IF(AND($F17&lt;&gt;"", $F17&gt;=BA$5-4, $F17&lt;=BA$5, COUNTIF($M17:AZ17,"u")=0), "u", "")</f>
        <v/>
      </c>
      <c r="BB17" s="80" t="str">
        <f>IF(AND($F17&lt;&gt;"", $F17&gt;=BB$5-4, $F17&lt;=BB$5, COUNTIF($M17:BA17,"u")=0), "u", "")</f>
        <v/>
      </c>
      <c r="BC17" s="80" t="str">
        <f>IF(AND($F17&lt;&gt;"", $F17&gt;=BC$5-4, $F17&lt;=BC$5, COUNTIF($M17:BB17,"u")=0), "u", "")</f>
        <v/>
      </c>
      <c r="BD17" s="80" t="str">
        <f>IF(AND($F17&lt;&gt;"", $F17&gt;=BD$5-4, $F17&lt;=BD$5, COUNTIF($M17:BC17,"u")=0), "u", "")</f>
        <v/>
      </c>
      <c r="BE17" s="80" t="str">
        <f>IF(AND($F17&lt;&gt;"", $F17&gt;=BE$5-4, $F17&lt;=BE$5, COUNTIF($M17:BD17,"u")=0), "u", "")</f>
        <v/>
      </c>
      <c r="BF17" s="80" t="str">
        <f>IF(AND($F17&lt;&gt;"", $F17&gt;=BF$5-4, $F17&lt;=BF$5, COUNTIF($M17:BE17,"u")=0), "u", "")</f>
        <v/>
      </c>
      <c r="BG17" s="80" t="str">
        <f>IF(AND($F17&lt;&gt;"", $F17&gt;=BG$5-4, $F17&lt;=BG$5, COUNTIF($M17:BF17,"u")=0), "u", "")</f>
        <v/>
      </c>
      <c r="BH17" s="80" t="str">
        <f>IF(AND($F17&lt;&gt;"", $F17&gt;=BH$5-4, $F17&lt;=BH$5, COUNTIF($M17:BG17,"u")=0), "u", "")</f>
        <v/>
      </c>
      <c r="BI17" s="80" t="str">
        <f>IF(AND($F17&lt;&gt;"", $F17&gt;=BI$5-4, $F17&lt;=BI$5, COUNTIF($M17:BH17,"u")=0), "u", "")</f>
        <v/>
      </c>
      <c r="BJ17" s="80" t="str">
        <f>IF(AND($F17&lt;&gt;"", $F17&gt;=BJ$5-4, $F17&lt;=BJ$5, COUNTIF($M17:BI17,"u")=0), "u", "")</f>
        <v/>
      </c>
      <c r="BK17" s="80" t="str">
        <f>IF(AND($F17&lt;&gt;"", $F17&gt;=BK$5-4, $F17&lt;=BK$5, COUNTIF($M17:BJ17,"u")=0), "u", "")</f>
        <v/>
      </c>
      <c r="BL17" s="80" t="str">
        <f>IF(AND($F17&lt;&gt;"", $F17&gt;=BL$5-4, $F17&lt;=BL$5, COUNTIF($M17:BK17,"u")=0), "u", "")</f>
        <v/>
      </c>
      <c r="BM17" s="80" t="str">
        <f>IF(AND($F17&lt;&gt;"", $F17&gt;=BM$5-4, $F17&lt;=BM$5, COUNTIF($M17:BL17,"u")=0), "u", "")</f>
        <v/>
      </c>
      <c r="BN17" s="80" t="str">
        <f>IF(AND($F17&lt;&gt;"", $F17&gt;=BN$5-4, $F17&lt;=BN$5, COUNTIF($M17:BM17,"u")=0), "u", "")</f>
        <v/>
      </c>
      <c r="BO17" s="80" t="str">
        <f>IF(AND($F17&lt;&gt;"", $F17&gt;=BO$5-4, $F17&lt;=BO$5, COUNTIF($M17:BN17,"u")=0), "u", "")</f>
        <v/>
      </c>
      <c r="BP17" s="80" t="str">
        <f>IF(AND($F17&lt;&gt;"", $F17&gt;=BP$5-4, $F17&lt;=BP$5, COUNTIF($M17:BO17,"u")=0), "u", "")</f>
        <v/>
      </c>
      <c r="BQ17" s="80" t="str">
        <f>IF(AND($F17&lt;&gt;"", $F17&gt;=BQ$5-4, $F17&lt;=BQ$5, COUNTIF($M17:BP17,"u")=0), "u", "")</f>
        <v/>
      </c>
      <c r="BR17" s="80" t="str">
        <f>IF(AND($F17&lt;&gt;"", $F17&gt;=BR$5-4, $F17&lt;=BR$5, COUNTIF($M17:BQ17,"u")=0), "u", "")</f>
        <v/>
      </c>
      <c r="BS17" s="80" t="str">
        <f>IF(AND($F17&lt;&gt;"", $F17&gt;=BS$5-4, $F17&lt;=BS$5, COUNTIF($M17:BR17,"u")=0), "u", "")</f>
        <v/>
      </c>
      <c r="BT17" s="80" t="str">
        <f>IF(AND($F17&lt;&gt;"", $F17&gt;=BT$5-4, $F17&lt;=BT$5, COUNTIF($M17:BS17,"u")=0), "u", "")</f>
        <v/>
      </c>
      <c r="BU17" s="80" t="str">
        <f>IF(AND($F17&lt;&gt;"", $F17&gt;=BU$5-4, $F17&lt;=BU$5, COUNTIF($M17:BT17,"u")=0), "u", "")</f>
        <v/>
      </c>
      <c r="BV17" s="80" t="str">
        <f>IF(AND($F17&lt;&gt;"", $F17&gt;=BV$5-4, $F17&lt;=BV$5, COUNTIF($M17:BU17,"u")=0), "u", "")</f>
        <v/>
      </c>
      <c r="BW17" s="80" t="str">
        <f>IF(AND($F17&lt;&gt;"", $F17&gt;=BW$5-4, $F17&lt;=BW$5, COUNTIF($M17:BV17,"u")=0), "u", "")</f>
        <v/>
      </c>
      <c r="BX17" s="80" t="str">
        <f>IF(AND($F17&lt;&gt;"", $F17&gt;=BX$5-4, $F17&lt;=BX$5, COUNTIF($M17:BW17,"u")=0), "u", "")</f>
        <v/>
      </c>
      <c r="BY17" s="80" t="str">
        <f>IF(AND($F17&lt;&gt;"", $F17&gt;=BY$5-4, $F17&lt;=BY$5, COUNTIF($M17:BX17,"u")=0), "u", "")</f>
        <v/>
      </c>
      <c r="BZ17" s="80" t="str">
        <f>IF(AND($F17&lt;&gt;"", $F17&gt;=BZ$5-4, $F17&lt;=BZ$5, COUNTIF($M17:BY17,"u")=0), "u", "")</f>
        <v/>
      </c>
      <c r="CA17" s="80" t="str">
        <f>IF(AND($F17&lt;&gt;"", $F17&gt;=CA$5-4, $F17&lt;=CA$5, COUNTIF($M17:BZ17,"u")=0), "u", "")</f>
        <v/>
      </c>
      <c r="CB17" s="80" t="str">
        <f>IF(AND($F17&lt;&gt;"", $F17&gt;=CB$5-4, $F17&lt;=CB$5, COUNTIF($M17:CA17,"u")=0), "u", "")</f>
        <v/>
      </c>
      <c r="CC17" s="80" t="str">
        <f>IF(AND($F17&lt;&gt;"", $F17&gt;=CC$5-4, $F17&lt;=CC$5, COUNTIF($M17:CB17,"u")=0), "u", "")</f>
        <v/>
      </c>
      <c r="CD17" s="80" t="str">
        <f>IF(AND($F17&lt;&gt;"", $F17&gt;=CD$5-4, $F17&lt;=CD$5, COUNTIF($M17:CC17,"u")=0), "u", "")</f>
        <v/>
      </c>
      <c r="CE17" s="80" t="str">
        <f>IF(AND($F17&lt;&gt;"", $F17&gt;=CE$5-4, $F17&lt;=CE$5, COUNTIF($M17:CD17,"u")=0), "u", "")</f>
        <v/>
      </c>
      <c r="CF17" s="80" t="str">
        <f>IF(AND($F17&lt;&gt;"", $F17&gt;=CF$5-4, $F17&lt;=CF$5, COUNTIF($M17:CE17,"u")=0), "u", "")</f>
        <v/>
      </c>
      <c r="CG17" s="80" t="str">
        <f>IF(AND($F17&lt;&gt;"", $F17&gt;=CG$5-4, $F17&lt;=CG$5, COUNTIF($M17:CF17,"u")=0), "u", "")</f>
        <v/>
      </c>
      <c r="CH17" s="80" t="str">
        <f>IF(AND($F17&lt;&gt;"", $F17&gt;=CH$5-4, $F17&lt;=CH$5, COUNTIF($M17:CG17,"u")=0), "u", "")</f>
        <v/>
      </c>
      <c r="CI17" s="80" t="str">
        <f>IF(AND($F17&lt;&gt;"", $F17&gt;=CI$5-4, $F17&lt;=CI$5, COUNTIF($M17:CH17,"u")=0), "u", "")</f>
        <v/>
      </c>
      <c r="CJ17" s="80" t="str">
        <f>IF(AND($F17&lt;&gt;"", $F17&gt;=CJ$5-4, $F17&lt;=CJ$5, COUNTIF($M17:CI17,"u")=0), "u", "")</f>
        <v/>
      </c>
      <c r="CK17" s="80" t="str">
        <f>IF(AND($F17&lt;&gt;"", $F17&gt;=CK$5-4, $F17&lt;=CK$5, COUNTIF($M17:CJ17,"u")=0), "u", "")</f>
        <v/>
      </c>
      <c r="CL17" s="80" t="str">
        <f>IF(AND($F17&lt;&gt;"", $F17&gt;=CL$5-4, $F17&lt;=CL$5, COUNTIF($M17:CK17,"u")=0), "u", "")</f>
        <v/>
      </c>
      <c r="CM17" s="80" t="str">
        <f>IF(AND($F17&lt;&gt;"", $F17&gt;=CM$5-4, $F17&lt;=CM$5, COUNTIF($M17:CL17,"u")=0), "u", "")</f>
        <v/>
      </c>
      <c r="CN17" s="80" t="str">
        <f>IF(AND($F17&lt;&gt;"", $F17&gt;=CN$5-4, $F17&lt;=CN$5, COUNTIF($M17:CM17,"u")=0), "u", "")</f>
        <v/>
      </c>
      <c r="CO17" s="80" t="str">
        <f>IF(AND($F17&lt;&gt;"", $F17&gt;=CO$5-4, $F17&lt;=CO$5, COUNTIF($M17:CN17,"u")=0), "u", "")</f>
        <v/>
      </c>
      <c r="CP17" s="80" t="str">
        <f>IF(AND($F17&lt;&gt;"", $F17&gt;=CP$5-4, $F17&lt;=CP$5, COUNTIF($M17:CO17,"u")=0), "u", "")</f>
        <v/>
      </c>
      <c r="CQ17" s="80" t="str">
        <f>IF(AND($F17&lt;&gt;"", $F17&gt;=CQ$5-4, $F17&lt;=CQ$5, COUNTIF($M17:CP17,"u")=0), "u", "")</f>
        <v/>
      </c>
      <c r="CR17" s="80" t="str">
        <f>IF(AND($F17&lt;&gt;"", $F17&gt;=CR$5-4, $F17&lt;=CR$5, COUNTIF($M17:CQ17,"u")=0), "u", "")</f>
        <v/>
      </c>
      <c r="CS17" s="80" t="str">
        <f>IF(AND($F17&lt;&gt;"", $F17&gt;=CS$5-4, $F17&lt;=CS$5, COUNTIF($M17:CR17,"u")=0), "u", "")</f>
        <v/>
      </c>
      <c r="CT17" s="80" t="str">
        <f>IF(AND($F17&lt;&gt;"", $F17&gt;=CT$5-4, $F17&lt;=CT$5, COUNTIF($M17:CS17,"u")=0), "u", "")</f>
        <v/>
      </c>
      <c r="CU17" s="80" t="str">
        <f>IF(AND($F17&lt;&gt;"", $F17&gt;=CU$5-4, $F17&lt;=CU$5, COUNTIF($M17:CT17,"u")=0), "u", "")</f>
        <v/>
      </c>
      <c r="CV17" s="80" t="str">
        <f>IF(AND($F17&lt;&gt;"", $F17&gt;=CV$5-4, $F17&lt;=CV$5, COUNTIF($M17:CU17,"u")=0), "u", "")</f>
        <v/>
      </c>
      <c r="CW17" s="80" t="str">
        <f>IF(AND($F17&lt;&gt;"", $F17&gt;=CW$5-4, $F17&lt;=CW$5, COUNTIF($M17:CV17,"u")=0), "u", "")</f>
        <v/>
      </c>
      <c r="CX17" s="80" t="str">
        <f>IF(AND($F17&lt;&gt;"", $F17&gt;=CX$5-4, $F17&lt;=CX$5, COUNTIF($M17:CW17,"u")=0), "u", "")</f>
        <v/>
      </c>
      <c r="CY17" s="80" t="str">
        <f>IF(AND($F17&lt;&gt;"", $F17&gt;=CY$5-4, $F17&lt;=CY$5, COUNTIF($M17:CX17,"u")=0), "u", "")</f>
        <v/>
      </c>
      <c r="CZ17" s="80" t="str">
        <f>IF(AND($F17&lt;&gt;"", $F17&gt;=CZ$5-4, $F17&lt;=CZ$5, COUNTIF($M17:CY17,"u")=0), "u", "")</f>
        <v/>
      </c>
      <c r="DA17" s="80" t="str">
        <f>IF(AND($F17&lt;&gt;"", $F17&gt;=DA$5-4, $F17&lt;=DA$5, COUNTIF($M17:CZ17,"u")=0), "u", "")</f>
        <v/>
      </c>
      <c r="DB17" s="80" t="str">
        <f>IF(AND($F17&lt;&gt;"", $F17&gt;=DB$5-4, $F17&lt;=DB$5, COUNTIF($M17:DA17,"u")=0), "u", "")</f>
        <v/>
      </c>
      <c r="DC17" s="80" t="str">
        <f>IF(AND($F17&lt;&gt;"", $F17&gt;=DC$5-4, $F17&lt;=DC$5, COUNTIF($M17:DB17,"u")=0), "u", "")</f>
        <v/>
      </c>
      <c r="DD17" s="80" t="str">
        <f>IF(AND($F17&lt;&gt;"", $F17&gt;=DD$5-4, $F17&lt;=DD$5, COUNTIF($M17:DC17,"u")=0), "u", "")</f>
        <v/>
      </c>
      <c r="DE17" s="80" t="str">
        <f>IF(AND($F17&lt;&gt;"", $F17&gt;=DE$5-4, $F17&lt;=DE$5, COUNTIF($M17:DD17,"u")=0), "u", "")</f>
        <v/>
      </c>
      <c r="DF17" s="80" t="str">
        <f>IF(AND($F17&lt;&gt;"", $F17&gt;=DF$5-4, $F17&lt;=DF$5, COUNTIF($M17:DE17,"u")=0), "u", "")</f>
        <v/>
      </c>
      <c r="DG17" s="80" t="str">
        <f>IF(AND($F17&lt;&gt;"", $F17&gt;=DG$5-4, $F17&lt;=DG$5, COUNTIF($M17:DF17,"u")=0), "u", "")</f>
        <v/>
      </c>
      <c r="DH17" s="80" t="str">
        <f>IF(AND($F17&lt;&gt;"", $F17&gt;=DH$5-4, $F17&lt;=DH$5, COUNTIF($M17:DG17,"u")=0), "u", "")</f>
        <v/>
      </c>
      <c r="DI17" s="80" t="str">
        <f>IF(AND($F17&lt;&gt;"", $F17&gt;=DI$5-4, $F17&lt;=DI$5, COUNTIF($M17:DH17,"u")=0), "u", "")</f>
        <v/>
      </c>
      <c r="DJ17" s="80" t="str">
        <f>IF(AND($F17&lt;&gt;"", $F17&gt;=DJ$5-4, $F17&lt;=DJ$5, COUNTIF($M17:DI17,"u")=0), "u", "")</f>
        <v/>
      </c>
      <c r="DK17" s="80" t="str">
        <f>IF(AND($F17&lt;&gt;"", $F17&gt;=DK$5-4, $F17&lt;=DK$5, COUNTIF($M17:DJ17,"u")=0), "u", "")</f>
        <v/>
      </c>
      <c r="DL17" s="80" t="str">
        <f>IF(AND($F17&lt;&gt;"", $F17&gt;=DL$5-4, $F17&lt;=DL$5, COUNTIF($M17:DK17,"u")=0), "u", "")</f>
        <v/>
      </c>
    </row>
    <row r="18" spans="1:116" ht="25.05" customHeight="1" x14ac:dyDescent="0.3">
      <c r="A18" s="39"/>
      <c r="B18" s="75">
        <v>13</v>
      </c>
      <c r="C18" s="91"/>
      <c r="D18" s="92"/>
      <c r="E18" s="53"/>
      <c r="F18" s="53"/>
      <c r="G18" s="83" t="str">
        <f t="shared" si="44"/>
        <v/>
      </c>
      <c r="H18" s="83" t="str">
        <f t="shared" si="44"/>
        <v/>
      </c>
      <c r="I18" s="77" t="str">
        <f t="shared" si="45"/>
        <v/>
      </c>
      <c r="J18" s="78"/>
      <c r="K18" s="86"/>
      <c r="L18" s="56"/>
      <c r="M18" s="80" t="str">
        <f t="shared" si="46"/>
        <v/>
      </c>
      <c r="N18" s="80" t="str">
        <f>IF(AND($F18&lt;&gt;"", $F18&gt;=N$5-4, $F18&lt;=N$5, COUNTIF($M18:M18,"u")=0), "u", "")</f>
        <v/>
      </c>
      <c r="O18" s="80" t="str">
        <f>IF(AND($F18&lt;&gt;"", $F18&gt;=O$5-4, $F18&lt;=O$5, COUNTIF($M18:N18,"u")=0), "u", "")</f>
        <v/>
      </c>
      <c r="P18" s="80" t="str">
        <f>IF(AND($F18&lt;&gt;"", $F18&gt;=P$5-4, $F18&lt;=P$5, COUNTIF($M18:O18,"u")=0), "u", "")</f>
        <v/>
      </c>
      <c r="Q18" s="80" t="str">
        <f>IF(AND($F18&lt;&gt;"", $F18&gt;=Q$5-4, $F18&lt;=Q$5, COUNTIF($M18:P18,"u")=0), "u", "")</f>
        <v/>
      </c>
      <c r="R18" s="80" t="str">
        <f>IF(AND($F18&lt;&gt;"", $F18&gt;=R$5-4, $F18&lt;=R$5, COUNTIF($M18:Q18,"u")=0), "u", "")</f>
        <v/>
      </c>
      <c r="S18" s="80" t="str">
        <f>IF(AND($F18&lt;&gt;"", $F18&gt;=S$5-4, $F18&lt;=S$5, COUNTIF($M18:R18,"u")=0), "u", "")</f>
        <v/>
      </c>
      <c r="T18" s="80" t="str">
        <f>IF(AND($F18&lt;&gt;"", $F18&gt;=T$5-4, $F18&lt;=T$5, COUNTIF($M18:S18,"u")=0), "u", "")</f>
        <v/>
      </c>
      <c r="U18" s="80" t="str">
        <f>IF(AND($F18&lt;&gt;"", $F18&gt;=U$5-4, $F18&lt;=U$5, COUNTIF($M18:T18,"u")=0), "u", "")</f>
        <v/>
      </c>
      <c r="V18" s="80" t="str">
        <f>IF(AND($F18&lt;&gt;"", $F18&gt;=V$5-4, $F18&lt;=V$5, COUNTIF($M18:U18,"u")=0), "u", "")</f>
        <v/>
      </c>
      <c r="W18" s="80" t="str">
        <f>IF(AND($F18&lt;&gt;"", $F18&gt;=W$5-4, $F18&lt;=W$5, COUNTIF($M18:V18,"u")=0), "u", "")</f>
        <v/>
      </c>
      <c r="X18" s="80" t="str">
        <f>IF(AND($F18&lt;&gt;"", $F18&gt;=X$5-4, $F18&lt;=X$5, COUNTIF($M18:W18,"u")=0), "u", "")</f>
        <v/>
      </c>
      <c r="Y18" s="80" t="str">
        <f>IF(AND($F18&lt;&gt;"", $F18&gt;=Y$5-4, $F18&lt;=Y$5, COUNTIF($M18:X18,"u")=0), "u", "")</f>
        <v/>
      </c>
      <c r="Z18" s="80" t="str">
        <f>IF(AND($F18&lt;&gt;"", $F18&gt;=Z$5-4, $F18&lt;=Z$5, COUNTIF($M18:Y18,"u")=0), "u", "")</f>
        <v/>
      </c>
      <c r="AA18" s="80" t="str">
        <f>IF(AND($F18&lt;&gt;"", $F18&gt;=AA$5-4, $F18&lt;=AA$5, COUNTIF($M18:Z18,"u")=0), "u", "")</f>
        <v/>
      </c>
      <c r="AB18" s="80" t="str">
        <f>IF(AND($F18&lt;&gt;"", $F18&gt;=AB$5-4, $F18&lt;=AB$5, COUNTIF($M18:AA18,"u")=0), "u", "")</f>
        <v/>
      </c>
      <c r="AC18" s="80" t="str">
        <f>IF(AND($F18&lt;&gt;"", $F18&gt;=AC$5-4, $F18&lt;=AC$5, COUNTIF($M18:AB18,"u")=0), "u", "")</f>
        <v/>
      </c>
      <c r="AD18" s="80" t="str">
        <f>IF(AND($F18&lt;&gt;"", $F18&gt;=AD$5-4, $F18&lt;=AD$5, COUNTIF($M18:AC18,"u")=0), "u", "")</f>
        <v/>
      </c>
      <c r="AE18" s="80" t="str">
        <f>IF(AND($F18&lt;&gt;"", $F18&gt;=AE$5-4, $F18&lt;=AE$5, COUNTIF($M18:AD18,"u")=0), "u", "")</f>
        <v/>
      </c>
      <c r="AF18" s="80" t="str">
        <f>IF(AND($F18&lt;&gt;"", $F18&gt;=AF$5-4, $F18&lt;=AF$5, COUNTIF($M18:AE18,"u")=0), "u", "")</f>
        <v/>
      </c>
      <c r="AG18" s="80" t="str">
        <f>IF(AND($F18&lt;&gt;"", $F18&gt;=AG$5-4, $F18&lt;=AG$5, COUNTIF($M18:AF18,"u")=0), "u", "")</f>
        <v/>
      </c>
      <c r="AH18" s="80" t="str">
        <f>IF(AND($F18&lt;&gt;"", $F18&gt;=AH$5-4, $F18&lt;=AH$5, COUNTIF($M18:AG18,"u")=0), "u", "")</f>
        <v/>
      </c>
      <c r="AI18" s="80" t="str">
        <f>IF(AND($F18&lt;&gt;"", $F18&gt;=AI$5-4, $F18&lt;=AI$5, COUNTIF($M18:AH18,"u")=0), "u", "")</f>
        <v/>
      </c>
      <c r="AJ18" s="80" t="str">
        <f>IF(AND($F18&lt;&gt;"", $F18&gt;=AJ$5-4, $F18&lt;=AJ$5, COUNTIF($M18:AI18,"u")=0), "u", "")</f>
        <v/>
      </c>
      <c r="AK18" s="80" t="str">
        <f>IF(AND($F18&lt;&gt;"", $F18&gt;=AK$5-4, $F18&lt;=AK$5, COUNTIF($M18:AJ18,"u")=0), "u", "")</f>
        <v/>
      </c>
      <c r="AL18" s="80" t="str">
        <f>IF(AND($F18&lt;&gt;"", $F18&gt;=AL$5-4, $F18&lt;=AL$5, COUNTIF($M18:AK18,"u")=0), "u", "")</f>
        <v/>
      </c>
      <c r="AM18" s="80" t="str">
        <f>IF(AND($F18&lt;&gt;"", $F18&gt;=AM$5-4, $F18&lt;=AM$5, COUNTIF($M18:AL18,"u")=0), "u", "")</f>
        <v/>
      </c>
      <c r="AN18" s="80" t="str">
        <f>IF(AND($F18&lt;&gt;"", $F18&gt;=AN$5-4, $F18&lt;=AN$5, COUNTIF($M18:AM18,"u")=0), "u", "")</f>
        <v/>
      </c>
      <c r="AO18" s="80" t="str">
        <f>IF(AND($F18&lt;&gt;"", $F18&gt;=AO$5-4, $F18&lt;=AO$5, COUNTIF($M18:AN18,"u")=0), "u", "")</f>
        <v/>
      </c>
      <c r="AP18" s="80" t="str">
        <f>IF(AND($F18&lt;&gt;"", $F18&gt;=AP$5-4, $F18&lt;=AP$5, COUNTIF($M18:AO18,"u")=0), "u", "")</f>
        <v/>
      </c>
      <c r="AQ18" s="80" t="str">
        <f>IF(AND($F18&lt;&gt;"", $F18&gt;=AQ$5-4, $F18&lt;=AQ$5, COUNTIF($M18:AP18,"u")=0), "u", "")</f>
        <v/>
      </c>
      <c r="AR18" s="80" t="str">
        <f>IF(AND($F18&lt;&gt;"", $F18&gt;=AR$5-4, $F18&lt;=AR$5, COUNTIF($M18:AQ18,"u")=0), "u", "")</f>
        <v/>
      </c>
      <c r="AS18" s="80" t="str">
        <f>IF(AND($F18&lt;&gt;"", $F18&gt;=AS$5-4, $F18&lt;=AS$5, COUNTIF($M18:AR18,"u")=0), "u", "")</f>
        <v/>
      </c>
      <c r="AT18" s="80" t="str">
        <f>IF(AND($F18&lt;&gt;"", $F18&gt;=AT$5-4, $F18&lt;=AT$5, COUNTIF($M18:AS18,"u")=0), "u", "")</f>
        <v/>
      </c>
      <c r="AU18" s="80" t="str">
        <f>IF(AND($F18&lt;&gt;"", $F18&gt;=AU$5-4, $F18&lt;=AU$5, COUNTIF($M18:AT18,"u")=0), "u", "")</f>
        <v/>
      </c>
      <c r="AV18" s="80" t="str">
        <f>IF(AND($F18&lt;&gt;"", $F18&gt;=AV$5-4, $F18&lt;=AV$5, COUNTIF($M18:AU18,"u")=0), "u", "")</f>
        <v/>
      </c>
      <c r="AW18" s="80" t="str">
        <f>IF(AND($F18&lt;&gt;"", $F18&gt;=AW$5-4, $F18&lt;=AW$5, COUNTIF($M18:AV18,"u")=0), "u", "")</f>
        <v/>
      </c>
      <c r="AX18" s="80" t="str">
        <f>IF(AND($F18&lt;&gt;"", $F18&gt;=AX$5-4, $F18&lt;=AX$5, COUNTIF($M18:AW18,"u")=0), "u", "")</f>
        <v/>
      </c>
      <c r="AY18" s="80" t="str">
        <f>IF(AND($F18&lt;&gt;"", $F18&gt;=AY$5-4, $F18&lt;=AY$5, COUNTIF($M18:AX18,"u")=0), "u", "")</f>
        <v/>
      </c>
      <c r="AZ18" s="80" t="str">
        <f>IF(AND($F18&lt;&gt;"", $F18&gt;=AZ$5-4, $F18&lt;=AZ$5, COUNTIF($M18:AY18,"u")=0), "u", "")</f>
        <v/>
      </c>
      <c r="BA18" s="80" t="str">
        <f>IF(AND($F18&lt;&gt;"", $F18&gt;=BA$5-4, $F18&lt;=BA$5, COUNTIF($M18:AZ18,"u")=0), "u", "")</f>
        <v/>
      </c>
      <c r="BB18" s="80" t="str">
        <f>IF(AND($F18&lt;&gt;"", $F18&gt;=BB$5-4, $F18&lt;=BB$5, COUNTIF($M18:BA18,"u")=0), "u", "")</f>
        <v/>
      </c>
      <c r="BC18" s="80" t="str">
        <f>IF(AND($F18&lt;&gt;"", $F18&gt;=BC$5-4, $F18&lt;=BC$5, COUNTIF($M18:BB18,"u")=0), "u", "")</f>
        <v/>
      </c>
      <c r="BD18" s="80" t="str">
        <f>IF(AND($F18&lt;&gt;"", $F18&gt;=BD$5-4, $F18&lt;=BD$5, COUNTIF($M18:BC18,"u")=0), "u", "")</f>
        <v/>
      </c>
      <c r="BE18" s="80" t="str">
        <f>IF(AND($F18&lt;&gt;"", $F18&gt;=BE$5-4, $F18&lt;=BE$5, COUNTIF($M18:BD18,"u")=0), "u", "")</f>
        <v/>
      </c>
      <c r="BF18" s="80" t="str">
        <f>IF(AND($F18&lt;&gt;"", $F18&gt;=BF$5-4, $F18&lt;=BF$5, COUNTIF($M18:BE18,"u")=0), "u", "")</f>
        <v/>
      </c>
      <c r="BG18" s="80" t="str">
        <f>IF(AND($F18&lt;&gt;"", $F18&gt;=BG$5-4, $F18&lt;=BG$5, COUNTIF($M18:BF18,"u")=0), "u", "")</f>
        <v/>
      </c>
      <c r="BH18" s="80" t="str">
        <f>IF(AND($F18&lt;&gt;"", $F18&gt;=BH$5-4, $F18&lt;=BH$5, COUNTIF($M18:BG18,"u")=0), "u", "")</f>
        <v/>
      </c>
      <c r="BI18" s="80" t="str">
        <f>IF(AND($F18&lt;&gt;"", $F18&gt;=BI$5-4, $F18&lt;=BI$5, COUNTIF($M18:BH18,"u")=0), "u", "")</f>
        <v/>
      </c>
      <c r="BJ18" s="80" t="str">
        <f>IF(AND($F18&lt;&gt;"", $F18&gt;=BJ$5-4, $F18&lt;=BJ$5, COUNTIF($M18:BI18,"u")=0), "u", "")</f>
        <v/>
      </c>
      <c r="BK18" s="80" t="str">
        <f>IF(AND($F18&lt;&gt;"", $F18&gt;=BK$5-4, $F18&lt;=BK$5, COUNTIF($M18:BJ18,"u")=0), "u", "")</f>
        <v/>
      </c>
      <c r="BL18" s="80" t="str">
        <f>IF(AND($F18&lt;&gt;"", $F18&gt;=BL$5-4, $F18&lt;=BL$5, COUNTIF($M18:BK18,"u")=0), "u", "")</f>
        <v/>
      </c>
      <c r="BM18" s="80" t="str">
        <f>IF(AND($F18&lt;&gt;"", $F18&gt;=BM$5-4, $F18&lt;=BM$5, COUNTIF($M18:BL18,"u")=0), "u", "")</f>
        <v/>
      </c>
      <c r="BN18" s="80" t="str">
        <f>IF(AND($F18&lt;&gt;"", $F18&gt;=BN$5-4, $F18&lt;=BN$5, COUNTIF($M18:BM18,"u")=0), "u", "")</f>
        <v/>
      </c>
      <c r="BO18" s="80" t="str">
        <f>IF(AND($F18&lt;&gt;"", $F18&gt;=BO$5-4, $F18&lt;=BO$5, COUNTIF($M18:BN18,"u")=0), "u", "")</f>
        <v/>
      </c>
      <c r="BP18" s="80" t="str">
        <f>IF(AND($F18&lt;&gt;"", $F18&gt;=BP$5-4, $F18&lt;=BP$5, COUNTIF($M18:BO18,"u")=0), "u", "")</f>
        <v/>
      </c>
      <c r="BQ18" s="80" t="str">
        <f>IF(AND($F18&lt;&gt;"", $F18&gt;=BQ$5-4, $F18&lt;=BQ$5, COUNTIF($M18:BP18,"u")=0), "u", "")</f>
        <v/>
      </c>
      <c r="BR18" s="80" t="str">
        <f>IF(AND($F18&lt;&gt;"", $F18&gt;=BR$5-4, $F18&lt;=BR$5, COUNTIF($M18:BQ18,"u")=0), "u", "")</f>
        <v/>
      </c>
      <c r="BS18" s="80" t="str">
        <f>IF(AND($F18&lt;&gt;"", $F18&gt;=BS$5-4, $F18&lt;=BS$5, COUNTIF($M18:BR18,"u")=0), "u", "")</f>
        <v/>
      </c>
      <c r="BT18" s="80" t="str">
        <f>IF(AND($F18&lt;&gt;"", $F18&gt;=BT$5-4, $F18&lt;=BT$5, COUNTIF($M18:BS18,"u")=0), "u", "")</f>
        <v/>
      </c>
      <c r="BU18" s="80" t="str">
        <f>IF(AND($F18&lt;&gt;"", $F18&gt;=BU$5-4, $F18&lt;=BU$5, COUNTIF($M18:BT18,"u")=0), "u", "")</f>
        <v/>
      </c>
      <c r="BV18" s="80" t="str">
        <f>IF(AND($F18&lt;&gt;"", $F18&gt;=BV$5-4, $F18&lt;=BV$5, COUNTIF($M18:BU18,"u")=0), "u", "")</f>
        <v/>
      </c>
      <c r="BW18" s="80" t="str">
        <f>IF(AND($F18&lt;&gt;"", $F18&gt;=BW$5-4, $F18&lt;=BW$5, COUNTIF($M18:BV18,"u")=0), "u", "")</f>
        <v/>
      </c>
      <c r="BX18" s="80" t="str">
        <f>IF(AND($F18&lt;&gt;"", $F18&gt;=BX$5-4, $F18&lt;=BX$5, COUNTIF($M18:BW18,"u")=0), "u", "")</f>
        <v/>
      </c>
      <c r="BY18" s="80" t="str">
        <f>IF(AND($F18&lt;&gt;"", $F18&gt;=BY$5-4, $F18&lt;=BY$5, COUNTIF($M18:BX18,"u")=0), "u", "")</f>
        <v/>
      </c>
      <c r="BZ18" s="80" t="str">
        <f>IF(AND($F18&lt;&gt;"", $F18&gt;=BZ$5-4, $F18&lt;=BZ$5, COUNTIF($M18:BY18,"u")=0), "u", "")</f>
        <v/>
      </c>
      <c r="CA18" s="80" t="str">
        <f>IF(AND($F18&lt;&gt;"", $F18&gt;=CA$5-4, $F18&lt;=CA$5, COUNTIF($M18:BZ18,"u")=0), "u", "")</f>
        <v/>
      </c>
      <c r="CB18" s="80" t="str">
        <f>IF(AND($F18&lt;&gt;"", $F18&gt;=CB$5-4, $F18&lt;=CB$5, COUNTIF($M18:CA18,"u")=0), "u", "")</f>
        <v/>
      </c>
      <c r="CC18" s="80" t="str">
        <f>IF(AND($F18&lt;&gt;"", $F18&gt;=CC$5-4, $F18&lt;=CC$5, COUNTIF($M18:CB18,"u")=0), "u", "")</f>
        <v/>
      </c>
      <c r="CD18" s="80" t="str">
        <f>IF(AND($F18&lt;&gt;"", $F18&gt;=CD$5-4, $F18&lt;=CD$5, COUNTIF($M18:CC18,"u")=0), "u", "")</f>
        <v/>
      </c>
      <c r="CE18" s="80" t="str">
        <f>IF(AND($F18&lt;&gt;"", $F18&gt;=CE$5-4, $F18&lt;=CE$5, COUNTIF($M18:CD18,"u")=0), "u", "")</f>
        <v/>
      </c>
      <c r="CF18" s="80" t="str">
        <f>IF(AND($F18&lt;&gt;"", $F18&gt;=CF$5-4, $F18&lt;=CF$5, COUNTIF($M18:CE18,"u")=0), "u", "")</f>
        <v/>
      </c>
      <c r="CG18" s="80" t="str">
        <f>IF(AND($F18&lt;&gt;"", $F18&gt;=CG$5-4, $F18&lt;=CG$5, COUNTIF($M18:CF18,"u")=0), "u", "")</f>
        <v/>
      </c>
      <c r="CH18" s="80" t="str">
        <f>IF(AND($F18&lt;&gt;"", $F18&gt;=CH$5-4, $F18&lt;=CH$5, COUNTIF($M18:CG18,"u")=0), "u", "")</f>
        <v/>
      </c>
      <c r="CI18" s="80" t="str">
        <f>IF(AND($F18&lt;&gt;"", $F18&gt;=CI$5-4, $F18&lt;=CI$5, COUNTIF($M18:CH18,"u")=0), "u", "")</f>
        <v/>
      </c>
      <c r="CJ18" s="80" t="str">
        <f>IF(AND($F18&lt;&gt;"", $F18&gt;=CJ$5-4, $F18&lt;=CJ$5, COUNTIF($M18:CI18,"u")=0), "u", "")</f>
        <v/>
      </c>
      <c r="CK18" s="80" t="str">
        <f>IF(AND($F18&lt;&gt;"", $F18&gt;=CK$5-4, $F18&lt;=CK$5, COUNTIF($M18:CJ18,"u")=0), "u", "")</f>
        <v/>
      </c>
      <c r="CL18" s="80" t="str">
        <f>IF(AND($F18&lt;&gt;"", $F18&gt;=CL$5-4, $F18&lt;=CL$5, COUNTIF($M18:CK18,"u")=0), "u", "")</f>
        <v/>
      </c>
      <c r="CM18" s="80" t="str">
        <f>IF(AND($F18&lt;&gt;"", $F18&gt;=CM$5-4, $F18&lt;=CM$5, COUNTIF($M18:CL18,"u")=0), "u", "")</f>
        <v/>
      </c>
      <c r="CN18" s="80" t="str">
        <f>IF(AND($F18&lt;&gt;"", $F18&gt;=CN$5-4, $F18&lt;=CN$5, COUNTIF($M18:CM18,"u")=0), "u", "")</f>
        <v/>
      </c>
      <c r="CO18" s="80" t="str">
        <f>IF(AND($F18&lt;&gt;"", $F18&gt;=CO$5-4, $F18&lt;=CO$5, COUNTIF($M18:CN18,"u")=0), "u", "")</f>
        <v/>
      </c>
      <c r="CP18" s="80" t="str">
        <f>IF(AND($F18&lt;&gt;"", $F18&gt;=CP$5-4, $F18&lt;=CP$5, COUNTIF($M18:CO18,"u")=0), "u", "")</f>
        <v/>
      </c>
      <c r="CQ18" s="80" t="str">
        <f>IF(AND($F18&lt;&gt;"", $F18&gt;=CQ$5-4, $F18&lt;=CQ$5, COUNTIF($M18:CP18,"u")=0), "u", "")</f>
        <v/>
      </c>
      <c r="CR18" s="80" t="str">
        <f>IF(AND($F18&lt;&gt;"", $F18&gt;=CR$5-4, $F18&lt;=CR$5, COUNTIF($M18:CQ18,"u")=0), "u", "")</f>
        <v/>
      </c>
      <c r="CS18" s="80" t="str">
        <f>IF(AND($F18&lt;&gt;"", $F18&gt;=CS$5-4, $F18&lt;=CS$5, COUNTIF($M18:CR18,"u")=0), "u", "")</f>
        <v/>
      </c>
      <c r="CT18" s="80" t="str">
        <f>IF(AND($F18&lt;&gt;"", $F18&gt;=CT$5-4, $F18&lt;=CT$5, COUNTIF($M18:CS18,"u")=0), "u", "")</f>
        <v/>
      </c>
      <c r="CU18" s="80" t="str">
        <f>IF(AND($F18&lt;&gt;"", $F18&gt;=CU$5-4, $F18&lt;=CU$5, COUNTIF($M18:CT18,"u")=0), "u", "")</f>
        <v/>
      </c>
      <c r="CV18" s="80" t="str">
        <f>IF(AND($F18&lt;&gt;"", $F18&gt;=CV$5-4, $F18&lt;=CV$5, COUNTIF($M18:CU18,"u")=0), "u", "")</f>
        <v/>
      </c>
      <c r="CW18" s="80" t="str">
        <f>IF(AND($F18&lt;&gt;"", $F18&gt;=CW$5-4, $F18&lt;=CW$5, COUNTIF($M18:CV18,"u")=0), "u", "")</f>
        <v/>
      </c>
      <c r="CX18" s="80" t="str">
        <f>IF(AND($F18&lt;&gt;"", $F18&gt;=CX$5-4, $F18&lt;=CX$5, COUNTIF($M18:CW18,"u")=0), "u", "")</f>
        <v/>
      </c>
      <c r="CY18" s="80" t="str">
        <f>IF(AND($F18&lt;&gt;"", $F18&gt;=CY$5-4, $F18&lt;=CY$5, COUNTIF($M18:CX18,"u")=0), "u", "")</f>
        <v/>
      </c>
      <c r="CZ18" s="80" t="str">
        <f>IF(AND($F18&lt;&gt;"", $F18&gt;=CZ$5-4, $F18&lt;=CZ$5, COUNTIF($M18:CY18,"u")=0), "u", "")</f>
        <v/>
      </c>
      <c r="DA18" s="80" t="str">
        <f>IF(AND($F18&lt;&gt;"", $F18&gt;=DA$5-4, $F18&lt;=DA$5, COUNTIF($M18:CZ18,"u")=0), "u", "")</f>
        <v/>
      </c>
      <c r="DB18" s="80" t="str">
        <f>IF(AND($F18&lt;&gt;"", $F18&gt;=DB$5-4, $F18&lt;=DB$5, COUNTIF($M18:DA18,"u")=0), "u", "")</f>
        <v/>
      </c>
      <c r="DC18" s="80" t="str">
        <f>IF(AND($F18&lt;&gt;"", $F18&gt;=DC$5-4, $F18&lt;=DC$5, COUNTIF($M18:DB18,"u")=0), "u", "")</f>
        <v/>
      </c>
      <c r="DD18" s="80" t="str">
        <f>IF(AND($F18&lt;&gt;"", $F18&gt;=DD$5-4, $F18&lt;=DD$5, COUNTIF($M18:DC18,"u")=0), "u", "")</f>
        <v/>
      </c>
      <c r="DE18" s="80" t="str">
        <f>IF(AND($F18&lt;&gt;"", $F18&gt;=DE$5-4, $F18&lt;=DE$5, COUNTIF($M18:DD18,"u")=0), "u", "")</f>
        <v/>
      </c>
      <c r="DF18" s="80" t="str">
        <f>IF(AND($F18&lt;&gt;"", $F18&gt;=DF$5-4, $F18&lt;=DF$5, COUNTIF($M18:DE18,"u")=0), "u", "")</f>
        <v/>
      </c>
      <c r="DG18" s="80" t="str">
        <f>IF(AND($F18&lt;&gt;"", $F18&gt;=DG$5-4, $F18&lt;=DG$5, COUNTIF($M18:DF18,"u")=0), "u", "")</f>
        <v/>
      </c>
      <c r="DH18" s="80" t="str">
        <f>IF(AND($F18&lt;&gt;"", $F18&gt;=DH$5-4, $F18&lt;=DH$5, COUNTIF($M18:DG18,"u")=0), "u", "")</f>
        <v/>
      </c>
      <c r="DI18" s="80" t="str">
        <f>IF(AND($F18&lt;&gt;"", $F18&gt;=DI$5-4, $F18&lt;=DI$5, COUNTIF($M18:DH18,"u")=0), "u", "")</f>
        <v/>
      </c>
      <c r="DJ18" s="80" t="str">
        <f>IF(AND($F18&lt;&gt;"", $F18&gt;=DJ$5-4, $F18&lt;=DJ$5, COUNTIF($M18:DI18,"u")=0), "u", "")</f>
        <v/>
      </c>
      <c r="DK18" s="80" t="str">
        <f>IF(AND($F18&lt;&gt;"", $F18&gt;=DK$5-4, $F18&lt;=DK$5, COUNTIF($M18:DJ18,"u")=0), "u", "")</f>
        <v/>
      </c>
      <c r="DL18" s="80" t="str">
        <f>IF(AND($F18&lt;&gt;"", $F18&gt;=DL$5-4, $F18&lt;=DL$5, COUNTIF($M18:DK18,"u")=0), "u", "")</f>
        <v/>
      </c>
    </row>
    <row r="19" spans="1:116" ht="25.05" customHeight="1" x14ac:dyDescent="0.3">
      <c r="A19" s="39"/>
      <c r="B19" s="75">
        <v>14</v>
      </c>
      <c r="C19" s="93"/>
      <c r="D19" s="92"/>
      <c r="E19" s="53"/>
      <c r="F19" s="53"/>
      <c r="G19" s="83" t="str">
        <f t="shared" si="44"/>
        <v/>
      </c>
      <c r="H19" s="83" t="str">
        <f t="shared" si="44"/>
        <v/>
      </c>
      <c r="I19" s="77" t="str">
        <f t="shared" si="45"/>
        <v/>
      </c>
      <c r="J19" s="78"/>
      <c r="K19" s="86"/>
      <c r="L19" s="56"/>
      <c r="M19" s="80" t="str">
        <f t="shared" si="46"/>
        <v/>
      </c>
      <c r="N19" s="80" t="str">
        <f>IF(AND($F19&lt;&gt;"", $F19&gt;=N$5-4, $F19&lt;=N$5, COUNTIF($M19:M19,"u")=0), "u", "")</f>
        <v/>
      </c>
      <c r="O19" s="80" t="str">
        <f>IF(AND($F19&lt;&gt;"", $F19&gt;=O$5-4, $F19&lt;=O$5, COUNTIF($M19:N19,"u")=0), "u", "")</f>
        <v/>
      </c>
      <c r="P19" s="80" t="str">
        <f>IF(AND($F19&lt;&gt;"", $F19&gt;=P$5-4, $F19&lt;=P$5, COUNTIF($M19:O19,"u")=0), "u", "")</f>
        <v/>
      </c>
      <c r="Q19" s="80" t="str">
        <f>IF(AND($F19&lt;&gt;"", $F19&gt;=Q$5-4, $F19&lt;=Q$5, COUNTIF($M19:P19,"u")=0), "u", "")</f>
        <v/>
      </c>
      <c r="R19" s="80" t="str">
        <f>IF(AND($F19&lt;&gt;"", $F19&gt;=R$5-4, $F19&lt;=R$5, COUNTIF($M19:Q19,"u")=0), "u", "")</f>
        <v/>
      </c>
      <c r="S19" s="80" t="str">
        <f>IF(AND($F19&lt;&gt;"", $F19&gt;=S$5-4, $F19&lt;=S$5, COUNTIF($M19:R19,"u")=0), "u", "")</f>
        <v/>
      </c>
      <c r="T19" s="80" t="str">
        <f>IF(AND($F19&lt;&gt;"", $F19&gt;=T$5-4, $F19&lt;=T$5, COUNTIF($M19:S19,"u")=0), "u", "")</f>
        <v/>
      </c>
      <c r="U19" s="80" t="str">
        <f>IF(AND($F19&lt;&gt;"", $F19&gt;=U$5-4, $F19&lt;=U$5, COUNTIF($M19:T19,"u")=0), "u", "")</f>
        <v/>
      </c>
      <c r="V19" s="80" t="str">
        <f>IF(AND($F19&lt;&gt;"", $F19&gt;=V$5-4, $F19&lt;=V$5, COUNTIF($M19:U19,"u")=0), "u", "")</f>
        <v/>
      </c>
      <c r="W19" s="80" t="str">
        <f>IF(AND($F19&lt;&gt;"", $F19&gt;=W$5-4, $F19&lt;=W$5, COUNTIF($M19:V19,"u")=0), "u", "")</f>
        <v/>
      </c>
      <c r="X19" s="80" t="str">
        <f>IF(AND($F19&lt;&gt;"", $F19&gt;=X$5-4, $F19&lt;=X$5, COUNTIF($M19:W19,"u")=0), "u", "")</f>
        <v/>
      </c>
      <c r="Y19" s="80" t="str">
        <f>IF(AND($F19&lt;&gt;"", $F19&gt;=Y$5-4, $F19&lt;=Y$5, COUNTIF($M19:X19,"u")=0), "u", "")</f>
        <v/>
      </c>
      <c r="Z19" s="80" t="str">
        <f>IF(AND($F19&lt;&gt;"", $F19&gt;=Z$5-4, $F19&lt;=Z$5, COUNTIF($M19:Y19,"u")=0), "u", "")</f>
        <v/>
      </c>
      <c r="AA19" s="80" t="str">
        <f>IF(AND($F19&lt;&gt;"", $F19&gt;=AA$5-4, $F19&lt;=AA$5, COUNTIF($M19:Z19,"u")=0), "u", "")</f>
        <v/>
      </c>
      <c r="AB19" s="80" t="str">
        <f>IF(AND($F19&lt;&gt;"", $F19&gt;=AB$5-4, $F19&lt;=AB$5, COUNTIF($M19:AA19,"u")=0), "u", "")</f>
        <v/>
      </c>
      <c r="AC19" s="80" t="str">
        <f>IF(AND($F19&lt;&gt;"", $F19&gt;=AC$5-4, $F19&lt;=AC$5, COUNTIF($M19:AB19,"u")=0), "u", "")</f>
        <v/>
      </c>
      <c r="AD19" s="80" t="str">
        <f>IF(AND($F19&lt;&gt;"", $F19&gt;=AD$5-4, $F19&lt;=AD$5, COUNTIF($M19:AC19,"u")=0), "u", "")</f>
        <v/>
      </c>
      <c r="AE19" s="80" t="str">
        <f>IF(AND($F19&lt;&gt;"", $F19&gt;=AE$5-4, $F19&lt;=AE$5, COUNTIF($M19:AD19,"u")=0), "u", "")</f>
        <v/>
      </c>
      <c r="AF19" s="80" t="str">
        <f>IF(AND($F19&lt;&gt;"", $F19&gt;=AF$5-4, $F19&lt;=AF$5, COUNTIF($M19:AE19,"u")=0), "u", "")</f>
        <v/>
      </c>
      <c r="AG19" s="80" t="str">
        <f>IF(AND($F19&lt;&gt;"", $F19&gt;=AG$5-4, $F19&lt;=AG$5, COUNTIF($M19:AF19,"u")=0), "u", "")</f>
        <v/>
      </c>
      <c r="AH19" s="80" t="str">
        <f>IF(AND($F19&lt;&gt;"", $F19&gt;=AH$5-4, $F19&lt;=AH$5, COUNTIF($M19:AG19,"u")=0), "u", "")</f>
        <v/>
      </c>
      <c r="AI19" s="80" t="str">
        <f>IF(AND($F19&lt;&gt;"", $F19&gt;=AI$5-4, $F19&lt;=AI$5, COUNTIF($M19:AH19,"u")=0), "u", "")</f>
        <v/>
      </c>
      <c r="AJ19" s="80" t="str">
        <f>IF(AND($F19&lt;&gt;"", $F19&gt;=AJ$5-4, $F19&lt;=AJ$5, COUNTIF($M19:AI19,"u")=0), "u", "")</f>
        <v/>
      </c>
      <c r="AK19" s="80" t="str">
        <f>IF(AND($F19&lt;&gt;"", $F19&gt;=AK$5-4, $F19&lt;=AK$5, COUNTIF($M19:AJ19,"u")=0), "u", "")</f>
        <v/>
      </c>
      <c r="AL19" s="80" t="str">
        <f>IF(AND($F19&lt;&gt;"", $F19&gt;=AL$5-4, $F19&lt;=AL$5, COUNTIF($M19:AK19,"u")=0), "u", "")</f>
        <v/>
      </c>
      <c r="AM19" s="80" t="str">
        <f>IF(AND($F19&lt;&gt;"", $F19&gt;=AM$5-4, $F19&lt;=AM$5, COUNTIF($M19:AL19,"u")=0), "u", "")</f>
        <v/>
      </c>
      <c r="AN19" s="80" t="str">
        <f>IF(AND($F19&lt;&gt;"", $F19&gt;=AN$5-4, $F19&lt;=AN$5, COUNTIF($M19:AM19,"u")=0), "u", "")</f>
        <v/>
      </c>
      <c r="AO19" s="80" t="str">
        <f>IF(AND($F19&lt;&gt;"", $F19&gt;=AO$5-4, $F19&lt;=AO$5, COUNTIF($M19:AN19,"u")=0), "u", "")</f>
        <v/>
      </c>
      <c r="AP19" s="80" t="str">
        <f>IF(AND($F19&lt;&gt;"", $F19&gt;=AP$5-4, $F19&lt;=AP$5, COUNTIF($M19:AO19,"u")=0), "u", "")</f>
        <v/>
      </c>
      <c r="AQ19" s="80" t="str">
        <f>IF(AND($F19&lt;&gt;"", $F19&gt;=AQ$5-4, $F19&lt;=AQ$5, COUNTIF($M19:AP19,"u")=0), "u", "")</f>
        <v/>
      </c>
      <c r="AR19" s="80" t="str">
        <f>IF(AND($F19&lt;&gt;"", $F19&gt;=AR$5-4, $F19&lt;=AR$5, COUNTIF($M19:AQ19,"u")=0), "u", "")</f>
        <v/>
      </c>
      <c r="AS19" s="80" t="str">
        <f>IF(AND($F19&lt;&gt;"", $F19&gt;=AS$5-4, $F19&lt;=AS$5, COUNTIF($M19:AR19,"u")=0), "u", "")</f>
        <v/>
      </c>
      <c r="AT19" s="80" t="str">
        <f>IF(AND($F19&lt;&gt;"", $F19&gt;=AT$5-4, $F19&lt;=AT$5, COUNTIF($M19:AS19,"u")=0), "u", "")</f>
        <v/>
      </c>
      <c r="AU19" s="80" t="str">
        <f>IF(AND($F19&lt;&gt;"", $F19&gt;=AU$5-4, $F19&lt;=AU$5, COUNTIF($M19:AT19,"u")=0), "u", "")</f>
        <v/>
      </c>
      <c r="AV19" s="80" t="str">
        <f>IF(AND($F19&lt;&gt;"", $F19&gt;=AV$5-4, $F19&lt;=AV$5, COUNTIF($M19:AU19,"u")=0), "u", "")</f>
        <v/>
      </c>
      <c r="AW19" s="80" t="str">
        <f>IF(AND($F19&lt;&gt;"", $F19&gt;=AW$5-4, $F19&lt;=AW$5, COUNTIF($M19:AV19,"u")=0), "u", "")</f>
        <v/>
      </c>
      <c r="AX19" s="80" t="str">
        <f>IF(AND($F19&lt;&gt;"", $F19&gt;=AX$5-4, $F19&lt;=AX$5, COUNTIF($M19:AW19,"u")=0), "u", "")</f>
        <v/>
      </c>
      <c r="AY19" s="80" t="str">
        <f>IF(AND($F19&lt;&gt;"", $F19&gt;=AY$5-4, $F19&lt;=AY$5, COUNTIF($M19:AX19,"u")=0), "u", "")</f>
        <v/>
      </c>
      <c r="AZ19" s="80" t="str">
        <f>IF(AND($F19&lt;&gt;"", $F19&gt;=AZ$5-4, $F19&lt;=AZ$5, COUNTIF($M19:AY19,"u")=0), "u", "")</f>
        <v/>
      </c>
      <c r="BA19" s="80" t="str">
        <f>IF(AND($F19&lt;&gt;"", $F19&gt;=BA$5-4, $F19&lt;=BA$5, COUNTIF($M19:AZ19,"u")=0), "u", "")</f>
        <v/>
      </c>
      <c r="BB19" s="80" t="str">
        <f>IF(AND($F19&lt;&gt;"", $F19&gt;=BB$5-4, $F19&lt;=BB$5, COUNTIF($M19:BA19,"u")=0), "u", "")</f>
        <v/>
      </c>
      <c r="BC19" s="80" t="str">
        <f>IF(AND($F19&lt;&gt;"", $F19&gt;=BC$5-4, $F19&lt;=BC$5, COUNTIF($M19:BB19,"u")=0), "u", "")</f>
        <v/>
      </c>
      <c r="BD19" s="80" t="str">
        <f>IF(AND($F19&lt;&gt;"", $F19&gt;=BD$5-4, $F19&lt;=BD$5, COUNTIF($M19:BC19,"u")=0), "u", "")</f>
        <v/>
      </c>
      <c r="BE19" s="80" t="str">
        <f>IF(AND($F19&lt;&gt;"", $F19&gt;=BE$5-4, $F19&lt;=BE$5, COUNTIF($M19:BD19,"u")=0), "u", "")</f>
        <v/>
      </c>
      <c r="BF19" s="80" t="str">
        <f>IF(AND($F19&lt;&gt;"", $F19&gt;=BF$5-4, $F19&lt;=BF$5, COUNTIF($M19:BE19,"u")=0), "u", "")</f>
        <v/>
      </c>
      <c r="BG19" s="80" t="str">
        <f>IF(AND($F19&lt;&gt;"", $F19&gt;=BG$5-4, $F19&lt;=BG$5, COUNTIF($M19:BF19,"u")=0), "u", "")</f>
        <v/>
      </c>
      <c r="BH19" s="80" t="str">
        <f>IF(AND($F19&lt;&gt;"", $F19&gt;=BH$5-4, $F19&lt;=BH$5, COUNTIF($M19:BG19,"u")=0), "u", "")</f>
        <v/>
      </c>
      <c r="BI19" s="80" t="str">
        <f>IF(AND($F19&lt;&gt;"", $F19&gt;=BI$5-4, $F19&lt;=BI$5, COUNTIF($M19:BH19,"u")=0), "u", "")</f>
        <v/>
      </c>
      <c r="BJ19" s="80" t="str">
        <f>IF(AND($F19&lt;&gt;"", $F19&gt;=BJ$5-4, $F19&lt;=BJ$5, COUNTIF($M19:BI19,"u")=0), "u", "")</f>
        <v/>
      </c>
      <c r="BK19" s="80" t="str">
        <f>IF(AND($F19&lt;&gt;"", $F19&gt;=BK$5-4, $F19&lt;=BK$5, COUNTIF($M19:BJ19,"u")=0), "u", "")</f>
        <v/>
      </c>
      <c r="BL19" s="80" t="str">
        <f>IF(AND($F19&lt;&gt;"", $F19&gt;=BL$5-4, $F19&lt;=BL$5, COUNTIF($M19:BK19,"u")=0), "u", "")</f>
        <v/>
      </c>
      <c r="BM19" s="80" t="str">
        <f>IF(AND($F19&lt;&gt;"", $F19&gt;=BM$5-4, $F19&lt;=BM$5, COUNTIF($M19:BL19,"u")=0), "u", "")</f>
        <v/>
      </c>
      <c r="BN19" s="80" t="str">
        <f>IF(AND($F19&lt;&gt;"", $F19&gt;=BN$5-4, $F19&lt;=BN$5, COUNTIF($M19:BM19,"u")=0), "u", "")</f>
        <v/>
      </c>
      <c r="BO19" s="80" t="str">
        <f>IF(AND($F19&lt;&gt;"", $F19&gt;=BO$5-4, $F19&lt;=BO$5, COUNTIF($M19:BN19,"u")=0), "u", "")</f>
        <v/>
      </c>
      <c r="BP19" s="80" t="str">
        <f>IF(AND($F19&lt;&gt;"", $F19&gt;=BP$5-4, $F19&lt;=BP$5, COUNTIF($M19:BO19,"u")=0), "u", "")</f>
        <v/>
      </c>
      <c r="BQ19" s="80" t="str">
        <f>IF(AND($F19&lt;&gt;"", $F19&gt;=BQ$5-4, $F19&lt;=BQ$5, COUNTIF($M19:BP19,"u")=0), "u", "")</f>
        <v/>
      </c>
      <c r="BR19" s="80" t="str">
        <f>IF(AND($F19&lt;&gt;"", $F19&gt;=BR$5-4, $F19&lt;=BR$5, COUNTIF($M19:BQ19,"u")=0), "u", "")</f>
        <v/>
      </c>
      <c r="BS19" s="80" t="str">
        <f>IF(AND($F19&lt;&gt;"", $F19&gt;=BS$5-4, $F19&lt;=BS$5, COUNTIF($M19:BR19,"u")=0), "u", "")</f>
        <v/>
      </c>
      <c r="BT19" s="80" t="str">
        <f>IF(AND($F19&lt;&gt;"", $F19&gt;=BT$5-4, $F19&lt;=BT$5, COUNTIF($M19:BS19,"u")=0), "u", "")</f>
        <v/>
      </c>
      <c r="BU19" s="80" t="str">
        <f>IF(AND($F19&lt;&gt;"", $F19&gt;=BU$5-4, $F19&lt;=BU$5, COUNTIF($M19:BT19,"u")=0), "u", "")</f>
        <v/>
      </c>
      <c r="BV19" s="80" t="str">
        <f>IF(AND($F19&lt;&gt;"", $F19&gt;=BV$5-4, $F19&lt;=BV$5, COUNTIF($M19:BU19,"u")=0), "u", "")</f>
        <v/>
      </c>
      <c r="BW19" s="80" t="str">
        <f>IF(AND($F19&lt;&gt;"", $F19&gt;=BW$5-4, $F19&lt;=BW$5, COUNTIF($M19:BV19,"u")=0), "u", "")</f>
        <v/>
      </c>
      <c r="BX19" s="80" t="str">
        <f>IF(AND($F19&lt;&gt;"", $F19&gt;=BX$5-4, $F19&lt;=BX$5, COUNTIF($M19:BW19,"u")=0), "u", "")</f>
        <v/>
      </c>
      <c r="BY19" s="80" t="str">
        <f>IF(AND($F19&lt;&gt;"", $F19&gt;=BY$5-4, $F19&lt;=BY$5, COUNTIF($M19:BX19,"u")=0), "u", "")</f>
        <v/>
      </c>
      <c r="BZ19" s="80" t="str">
        <f>IF(AND($F19&lt;&gt;"", $F19&gt;=BZ$5-4, $F19&lt;=BZ$5, COUNTIF($M19:BY19,"u")=0), "u", "")</f>
        <v/>
      </c>
      <c r="CA19" s="80" t="str">
        <f>IF(AND($F19&lt;&gt;"", $F19&gt;=CA$5-4, $F19&lt;=CA$5, COUNTIF($M19:BZ19,"u")=0), "u", "")</f>
        <v/>
      </c>
      <c r="CB19" s="80" t="str">
        <f>IF(AND($F19&lt;&gt;"", $F19&gt;=CB$5-4, $F19&lt;=CB$5, COUNTIF($M19:CA19,"u")=0), "u", "")</f>
        <v/>
      </c>
      <c r="CC19" s="80" t="str">
        <f>IF(AND($F19&lt;&gt;"", $F19&gt;=CC$5-4, $F19&lt;=CC$5, COUNTIF($M19:CB19,"u")=0), "u", "")</f>
        <v/>
      </c>
      <c r="CD19" s="80" t="str">
        <f>IF(AND($F19&lt;&gt;"", $F19&gt;=CD$5-4, $F19&lt;=CD$5, COUNTIF($M19:CC19,"u")=0), "u", "")</f>
        <v/>
      </c>
      <c r="CE19" s="80" t="str">
        <f>IF(AND($F19&lt;&gt;"", $F19&gt;=CE$5-4, $F19&lt;=CE$5, COUNTIF($M19:CD19,"u")=0), "u", "")</f>
        <v/>
      </c>
      <c r="CF19" s="80" t="str">
        <f>IF(AND($F19&lt;&gt;"", $F19&gt;=CF$5-4, $F19&lt;=CF$5, COUNTIF($M19:CE19,"u")=0), "u", "")</f>
        <v/>
      </c>
      <c r="CG19" s="80" t="str">
        <f>IF(AND($F19&lt;&gt;"", $F19&gt;=CG$5-4, $F19&lt;=CG$5, COUNTIF($M19:CF19,"u")=0), "u", "")</f>
        <v/>
      </c>
      <c r="CH19" s="80" t="str">
        <f>IF(AND($F19&lt;&gt;"", $F19&gt;=CH$5-4, $F19&lt;=CH$5, COUNTIF($M19:CG19,"u")=0), "u", "")</f>
        <v/>
      </c>
      <c r="CI19" s="80" t="str">
        <f>IF(AND($F19&lt;&gt;"", $F19&gt;=CI$5-4, $F19&lt;=CI$5, COUNTIF($M19:CH19,"u")=0), "u", "")</f>
        <v/>
      </c>
      <c r="CJ19" s="80" t="str">
        <f>IF(AND($F19&lt;&gt;"", $F19&gt;=CJ$5-4, $F19&lt;=CJ$5, COUNTIF($M19:CI19,"u")=0), "u", "")</f>
        <v/>
      </c>
      <c r="CK19" s="80" t="str">
        <f>IF(AND($F19&lt;&gt;"", $F19&gt;=CK$5-4, $F19&lt;=CK$5, COUNTIF($M19:CJ19,"u")=0), "u", "")</f>
        <v/>
      </c>
      <c r="CL19" s="80" t="str">
        <f>IF(AND($F19&lt;&gt;"", $F19&gt;=CL$5-4, $F19&lt;=CL$5, COUNTIF($M19:CK19,"u")=0), "u", "")</f>
        <v/>
      </c>
      <c r="CM19" s="80" t="str">
        <f>IF(AND($F19&lt;&gt;"", $F19&gt;=CM$5-4, $F19&lt;=CM$5, COUNTIF($M19:CL19,"u")=0), "u", "")</f>
        <v/>
      </c>
      <c r="CN19" s="80" t="str">
        <f>IF(AND($F19&lt;&gt;"", $F19&gt;=CN$5-4, $F19&lt;=CN$5, COUNTIF($M19:CM19,"u")=0), "u", "")</f>
        <v/>
      </c>
      <c r="CO19" s="80" t="str">
        <f>IF(AND($F19&lt;&gt;"", $F19&gt;=CO$5-4, $F19&lt;=CO$5, COUNTIF($M19:CN19,"u")=0), "u", "")</f>
        <v/>
      </c>
      <c r="CP19" s="80" t="str">
        <f>IF(AND($F19&lt;&gt;"", $F19&gt;=CP$5-4, $F19&lt;=CP$5, COUNTIF($M19:CO19,"u")=0), "u", "")</f>
        <v/>
      </c>
      <c r="CQ19" s="80" t="str">
        <f>IF(AND($F19&lt;&gt;"", $F19&gt;=CQ$5-4, $F19&lt;=CQ$5, COUNTIF($M19:CP19,"u")=0), "u", "")</f>
        <v/>
      </c>
      <c r="CR19" s="80" t="str">
        <f>IF(AND($F19&lt;&gt;"", $F19&gt;=CR$5-4, $F19&lt;=CR$5, COUNTIF($M19:CQ19,"u")=0), "u", "")</f>
        <v/>
      </c>
      <c r="CS19" s="80" t="str">
        <f>IF(AND($F19&lt;&gt;"", $F19&gt;=CS$5-4, $F19&lt;=CS$5, COUNTIF($M19:CR19,"u")=0), "u", "")</f>
        <v/>
      </c>
      <c r="CT19" s="80" t="str">
        <f>IF(AND($F19&lt;&gt;"", $F19&gt;=CT$5-4, $F19&lt;=CT$5, COUNTIF($M19:CS19,"u")=0), "u", "")</f>
        <v/>
      </c>
      <c r="CU19" s="80" t="str">
        <f>IF(AND($F19&lt;&gt;"", $F19&gt;=CU$5-4, $F19&lt;=CU$5, COUNTIF($M19:CT19,"u")=0), "u", "")</f>
        <v/>
      </c>
      <c r="CV19" s="80" t="str">
        <f>IF(AND($F19&lt;&gt;"", $F19&gt;=CV$5-4, $F19&lt;=CV$5, COUNTIF($M19:CU19,"u")=0), "u", "")</f>
        <v/>
      </c>
      <c r="CW19" s="80" t="str">
        <f>IF(AND($F19&lt;&gt;"", $F19&gt;=CW$5-4, $F19&lt;=CW$5, COUNTIF($M19:CV19,"u")=0), "u", "")</f>
        <v/>
      </c>
      <c r="CX19" s="80" t="str">
        <f>IF(AND($F19&lt;&gt;"", $F19&gt;=CX$5-4, $F19&lt;=CX$5, COUNTIF($M19:CW19,"u")=0), "u", "")</f>
        <v/>
      </c>
      <c r="CY19" s="80" t="str">
        <f>IF(AND($F19&lt;&gt;"", $F19&gt;=CY$5-4, $F19&lt;=CY$5, COUNTIF($M19:CX19,"u")=0), "u", "")</f>
        <v/>
      </c>
      <c r="CZ19" s="80" t="str">
        <f>IF(AND($F19&lt;&gt;"", $F19&gt;=CZ$5-4, $F19&lt;=CZ$5, COUNTIF($M19:CY19,"u")=0), "u", "")</f>
        <v/>
      </c>
      <c r="DA19" s="80" t="str">
        <f>IF(AND($F19&lt;&gt;"", $F19&gt;=DA$5-4, $F19&lt;=DA$5, COUNTIF($M19:CZ19,"u")=0), "u", "")</f>
        <v/>
      </c>
      <c r="DB19" s="80" t="str">
        <f>IF(AND($F19&lt;&gt;"", $F19&gt;=DB$5-4, $F19&lt;=DB$5, COUNTIF($M19:DA19,"u")=0), "u", "")</f>
        <v/>
      </c>
      <c r="DC19" s="80" t="str">
        <f>IF(AND($F19&lt;&gt;"", $F19&gt;=DC$5-4, $F19&lt;=DC$5, COUNTIF($M19:DB19,"u")=0), "u", "")</f>
        <v/>
      </c>
      <c r="DD19" s="80" t="str">
        <f>IF(AND($F19&lt;&gt;"", $F19&gt;=DD$5-4, $F19&lt;=DD$5, COUNTIF($M19:DC19,"u")=0), "u", "")</f>
        <v/>
      </c>
      <c r="DE19" s="80" t="str">
        <f>IF(AND($F19&lt;&gt;"", $F19&gt;=DE$5-4, $F19&lt;=DE$5, COUNTIF($M19:DD19,"u")=0), "u", "")</f>
        <v/>
      </c>
      <c r="DF19" s="80" t="str">
        <f>IF(AND($F19&lt;&gt;"", $F19&gt;=DF$5-4, $F19&lt;=DF$5, COUNTIF($M19:DE19,"u")=0), "u", "")</f>
        <v/>
      </c>
      <c r="DG19" s="80" t="str">
        <f>IF(AND($F19&lt;&gt;"", $F19&gt;=DG$5-4, $F19&lt;=DG$5, COUNTIF($M19:DF19,"u")=0), "u", "")</f>
        <v/>
      </c>
      <c r="DH19" s="80" t="str">
        <f>IF(AND($F19&lt;&gt;"", $F19&gt;=DH$5-4, $F19&lt;=DH$5, COUNTIF($M19:DG19,"u")=0), "u", "")</f>
        <v/>
      </c>
      <c r="DI19" s="80" t="str">
        <f>IF(AND($F19&lt;&gt;"", $F19&gt;=DI$5-4, $F19&lt;=DI$5, COUNTIF($M19:DH19,"u")=0), "u", "")</f>
        <v/>
      </c>
      <c r="DJ19" s="80" t="str">
        <f>IF(AND($F19&lt;&gt;"", $F19&gt;=DJ$5-4, $F19&lt;=DJ$5, COUNTIF($M19:DI19,"u")=0), "u", "")</f>
        <v/>
      </c>
      <c r="DK19" s="80" t="str">
        <f>IF(AND($F19&lt;&gt;"", $F19&gt;=DK$5-4, $F19&lt;=DK$5, COUNTIF($M19:DJ19,"u")=0), "u", "")</f>
        <v/>
      </c>
      <c r="DL19" s="80" t="str">
        <f>IF(AND($F19&lt;&gt;"", $F19&gt;=DL$5-4, $F19&lt;=DL$5, COUNTIF($M19:DK19,"u")=0), "u", "")</f>
        <v/>
      </c>
    </row>
    <row r="20" spans="1:116" ht="25.05" customHeight="1" x14ac:dyDescent="0.3">
      <c r="A20" s="39"/>
      <c r="B20" s="75">
        <v>15</v>
      </c>
      <c r="C20" s="94"/>
      <c r="D20" s="95"/>
      <c r="E20" s="53"/>
      <c r="F20" s="53"/>
      <c r="G20" s="89" t="str">
        <f t="shared" si="44"/>
        <v/>
      </c>
      <c r="H20" s="89" t="str">
        <f t="shared" si="44"/>
        <v/>
      </c>
      <c r="I20" s="77" t="str">
        <f t="shared" si="45"/>
        <v/>
      </c>
      <c r="J20" s="78"/>
      <c r="K20" s="96"/>
      <c r="L20" s="58"/>
      <c r="M20" s="80" t="str">
        <f t="shared" si="46"/>
        <v/>
      </c>
      <c r="N20" s="80" t="str">
        <f>IF(AND($F20&lt;&gt;"", $F20&gt;=N$5-4, $F20&lt;=N$5, COUNTIF($M20:M20,"u")=0), "u", "")</f>
        <v/>
      </c>
      <c r="O20" s="80" t="str">
        <f>IF(AND($F20&lt;&gt;"", $F20&gt;=O$5-4, $F20&lt;=O$5, COUNTIF($M20:N20,"u")=0), "u", "")</f>
        <v/>
      </c>
      <c r="P20" s="80" t="str">
        <f>IF(AND($F20&lt;&gt;"", $F20&gt;=P$5-4, $F20&lt;=P$5, COUNTIF($M20:O20,"u")=0), "u", "")</f>
        <v/>
      </c>
      <c r="Q20" s="80" t="str">
        <f>IF(AND($F20&lt;&gt;"", $F20&gt;=Q$5-4, $F20&lt;=Q$5, COUNTIF($M20:P20,"u")=0), "u", "")</f>
        <v/>
      </c>
      <c r="R20" s="80" t="str">
        <f>IF(AND($F20&lt;&gt;"", $F20&gt;=R$5-4, $F20&lt;=R$5, COUNTIF($M20:Q20,"u")=0), "u", "")</f>
        <v/>
      </c>
      <c r="S20" s="80" t="str">
        <f>IF(AND($F20&lt;&gt;"", $F20&gt;=S$5-4, $F20&lt;=S$5, COUNTIF($M20:R20,"u")=0), "u", "")</f>
        <v/>
      </c>
      <c r="T20" s="80" t="str">
        <f>IF(AND($F20&lt;&gt;"", $F20&gt;=T$5-4, $F20&lt;=T$5, COUNTIF($M20:S20,"u")=0), "u", "")</f>
        <v/>
      </c>
      <c r="U20" s="80" t="str">
        <f>IF(AND($F20&lt;&gt;"", $F20&gt;=U$5-4, $F20&lt;=U$5, COUNTIF($M20:T20,"u")=0), "u", "")</f>
        <v/>
      </c>
      <c r="V20" s="80" t="str">
        <f>IF(AND($F20&lt;&gt;"", $F20&gt;=V$5-4, $F20&lt;=V$5, COUNTIF($M20:U20,"u")=0), "u", "")</f>
        <v/>
      </c>
      <c r="W20" s="80" t="str">
        <f>IF(AND($F20&lt;&gt;"", $F20&gt;=W$5-4, $F20&lt;=W$5, COUNTIF($M20:V20,"u")=0), "u", "")</f>
        <v/>
      </c>
      <c r="X20" s="80" t="str">
        <f>IF(AND($F20&lt;&gt;"", $F20&gt;=X$5-4, $F20&lt;=X$5, COUNTIF($M20:W20,"u")=0), "u", "")</f>
        <v/>
      </c>
      <c r="Y20" s="80" t="str">
        <f>IF(AND($F20&lt;&gt;"", $F20&gt;=Y$5-4, $F20&lt;=Y$5, COUNTIF($M20:X20,"u")=0), "u", "")</f>
        <v/>
      </c>
      <c r="Z20" s="80" t="str">
        <f>IF(AND($F20&lt;&gt;"", $F20&gt;=Z$5-4, $F20&lt;=Z$5, COUNTIF($M20:Y20,"u")=0), "u", "")</f>
        <v/>
      </c>
      <c r="AA20" s="80" t="str">
        <f>IF(AND($F20&lt;&gt;"", $F20&gt;=AA$5-4, $F20&lt;=AA$5, COUNTIF($M20:Z20,"u")=0), "u", "")</f>
        <v/>
      </c>
      <c r="AB20" s="80" t="str">
        <f>IF(AND($F20&lt;&gt;"", $F20&gt;=AB$5-4, $F20&lt;=AB$5, COUNTIF($M20:AA20,"u")=0), "u", "")</f>
        <v/>
      </c>
      <c r="AC20" s="80" t="str">
        <f>IF(AND($F20&lt;&gt;"", $F20&gt;=AC$5-4, $F20&lt;=AC$5, COUNTIF($M20:AB20,"u")=0), "u", "")</f>
        <v/>
      </c>
      <c r="AD20" s="80" t="str">
        <f>IF(AND($F20&lt;&gt;"", $F20&gt;=AD$5-4, $F20&lt;=AD$5, COUNTIF($M20:AC20,"u")=0), "u", "")</f>
        <v/>
      </c>
      <c r="AE20" s="80" t="str">
        <f>IF(AND($F20&lt;&gt;"", $F20&gt;=AE$5-4, $F20&lt;=AE$5, COUNTIF($M20:AD20,"u")=0), "u", "")</f>
        <v/>
      </c>
      <c r="AF20" s="80" t="str">
        <f>IF(AND($F20&lt;&gt;"", $F20&gt;=AF$5-4, $F20&lt;=AF$5, COUNTIF($M20:AE20,"u")=0), "u", "")</f>
        <v/>
      </c>
      <c r="AG20" s="80" t="str">
        <f>IF(AND($F20&lt;&gt;"", $F20&gt;=AG$5-4, $F20&lt;=AG$5, COUNTIF($M20:AF20,"u")=0), "u", "")</f>
        <v/>
      </c>
      <c r="AH20" s="80" t="str">
        <f>IF(AND($F20&lt;&gt;"", $F20&gt;=AH$5-4, $F20&lt;=AH$5, COUNTIF($M20:AG20,"u")=0), "u", "")</f>
        <v/>
      </c>
      <c r="AI20" s="80" t="str">
        <f>IF(AND($F20&lt;&gt;"", $F20&gt;=AI$5-4, $F20&lt;=AI$5, COUNTIF($M20:AH20,"u")=0), "u", "")</f>
        <v/>
      </c>
      <c r="AJ20" s="80" t="str">
        <f>IF(AND($F20&lt;&gt;"", $F20&gt;=AJ$5-4, $F20&lt;=AJ$5, COUNTIF($M20:AI20,"u")=0), "u", "")</f>
        <v/>
      </c>
      <c r="AK20" s="80" t="str">
        <f>IF(AND($F20&lt;&gt;"", $F20&gt;=AK$5-4, $F20&lt;=AK$5, COUNTIF($M20:AJ20,"u")=0), "u", "")</f>
        <v/>
      </c>
      <c r="AL20" s="80" t="str">
        <f>IF(AND($F20&lt;&gt;"", $F20&gt;=AL$5-4, $F20&lt;=AL$5, COUNTIF($M20:AK20,"u")=0), "u", "")</f>
        <v/>
      </c>
      <c r="AM20" s="80" t="str">
        <f>IF(AND($F20&lt;&gt;"", $F20&gt;=AM$5-4, $F20&lt;=AM$5, COUNTIF($M20:AL20,"u")=0), "u", "")</f>
        <v/>
      </c>
      <c r="AN20" s="80" t="str">
        <f>IF(AND($F20&lt;&gt;"", $F20&gt;=AN$5-4, $F20&lt;=AN$5, COUNTIF($M20:AM20,"u")=0), "u", "")</f>
        <v/>
      </c>
      <c r="AO20" s="80" t="str">
        <f>IF(AND($F20&lt;&gt;"", $F20&gt;=AO$5-4, $F20&lt;=AO$5, COUNTIF($M20:AN20,"u")=0), "u", "")</f>
        <v/>
      </c>
      <c r="AP20" s="80" t="str">
        <f>IF(AND($F20&lt;&gt;"", $F20&gt;=AP$5-4, $F20&lt;=AP$5, COUNTIF($M20:AO20,"u")=0), "u", "")</f>
        <v/>
      </c>
      <c r="AQ20" s="80" t="str">
        <f>IF(AND($F20&lt;&gt;"", $F20&gt;=AQ$5-4, $F20&lt;=AQ$5, COUNTIF($M20:AP20,"u")=0), "u", "")</f>
        <v/>
      </c>
      <c r="AR20" s="80" t="str">
        <f>IF(AND($F20&lt;&gt;"", $F20&gt;=AR$5-4, $F20&lt;=AR$5, COUNTIF($M20:AQ20,"u")=0), "u", "")</f>
        <v/>
      </c>
      <c r="AS20" s="80" t="str">
        <f>IF(AND($F20&lt;&gt;"", $F20&gt;=AS$5-4, $F20&lt;=AS$5, COUNTIF($M20:AR20,"u")=0), "u", "")</f>
        <v/>
      </c>
      <c r="AT20" s="80" t="str">
        <f>IF(AND($F20&lt;&gt;"", $F20&gt;=AT$5-4, $F20&lt;=AT$5, COUNTIF($M20:AS20,"u")=0), "u", "")</f>
        <v/>
      </c>
      <c r="AU20" s="80" t="str">
        <f>IF(AND($F20&lt;&gt;"", $F20&gt;=AU$5-4, $F20&lt;=AU$5, COUNTIF($M20:AT20,"u")=0), "u", "")</f>
        <v/>
      </c>
      <c r="AV20" s="80" t="str">
        <f>IF(AND($F20&lt;&gt;"", $F20&gt;=AV$5-4, $F20&lt;=AV$5, COUNTIF($M20:AU20,"u")=0), "u", "")</f>
        <v/>
      </c>
      <c r="AW20" s="80" t="str">
        <f>IF(AND($F20&lt;&gt;"", $F20&gt;=AW$5-4, $F20&lt;=AW$5, COUNTIF($M20:AV20,"u")=0), "u", "")</f>
        <v/>
      </c>
      <c r="AX20" s="80" t="str">
        <f>IF(AND($F20&lt;&gt;"", $F20&gt;=AX$5-4, $F20&lt;=AX$5, COUNTIF($M20:AW20,"u")=0), "u", "")</f>
        <v/>
      </c>
      <c r="AY20" s="80" t="str">
        <f>IF(AND($F20&lt;&gt;"", $F20&gt;=AY$5-4, $F20&lt;=AY$5, COUNTIF($M20:AX20,"u")=0), "u", "")</f>
        <v/>
      </c>
      <c r="AZ20" s="80" t="str">
        <f>IF(AND($F20&lt;&gt;"", $F20&gt;=AZ$5-4, $F20&lt;=AZ$5, COUNTIF($M20:AY20,"u")=0), "u", "")</f>
        <v/>
      </c>
      <c r="BA20" s="80" t="str">
        <f>IF(AND($F20&lt;&gt;"", $F20&gt;=BA$5-4, $F20&lt;=BA$5, COUNTIF($M20:AZ20,"u")=0), "u", "")</f>
        <v/>
      </c>
      <c r="BB20" s="80" t="str">
        <f>IF(AND($F20&lt;&gt;"", $F20&gt;=BB$5-4, $F20&lt;=BB$5, COUNTIF($M20:BA20,"u")=0), "u", "")</f>
        <v/>
      </c>
      <c r="BC20" s="80" t="str">
        <f>IF(AND($F20&lt;&gt;"", $F20&gt;=BC$5-4, $F20&lt;=BC$5, COUNTIF($M20:BB20,"u")=0), "u", "")</f>
        <v/>
      </c>
      <c r="BD20" s="80" t="str">
        <f>IF(AND($F20&lt;&gt;"", $F20&gt;=BD$5-4, $F20&lt;=BD$5, COUNTIF($M20:BC20,"u")=0), "u", "")</f>
        <v/>
      </c>
      <c r="BE20" s="80" t="str">
        <f>IF(AND($F20&lt;&gt;"", $F20&gt;=BE$5-4, $F20&lt;=BE$5, COUNTIF($M20:BD20,"u")=0), "u", "")</f>
        <v/>
      </c>
      <c r="BF20" s="80" t="str">
        <f>IF(AND($F20&lt;&gt;"", $F20&gt;=BF$5-4, $F20&lt;=BF$5, COUNTIF($M20:BE20,"u")=0), "u", "")</f>
        <v/>
      </c>
      <c r="BG20" s="80" t="str">
        <f>IF(AND($F20&lt;&gt;"", $F20&gt;=BG$5-4, $F20&lt;=BG$5, COUNTIF($M20:BF20,"u")=0), "u", "")</f>
        <v/>
      </c>
      <c r="BH20" s="80" t="str">
        <f>IF(AND($F20&lt;&gt;"", $F20&gt;=BH$5-4, $F20&lt;=BH$5, COUNTIF($M20:BG20,"u")=0), "u", "")</f>
        <v/>
      </c>
      <c r="BI20" s="80" t="str">
        <f>IF(AND($F20&lt;&gt;"", $F20&gt;=BI$5-4, $F20&lt;=BI$5, COUNTIF($M20:BH20,"u")=0), "u", "")</f>
        <v/>
      </c>
      <c r="BJ20" s="80" t="str">
        <f>IF(AND($F20&lt;&gt;"", $F20&gt;=BJ$5-4, $F20&lt;=BJ$5, COUNTIF($M20:BI20,"u")=0), "u", "")</f>
        <v/>
      </c>
      <c r="BK20" s="80" t="str">
        <f>IF(AND($F20&lt;&gt;"", $F20&gt;=BK$5-4, $F20&lt;=BK$5, COUNTIF($M20:BJ20,"u")=0), "u", "")</f>
        <v/>
      </c>
      <c r="BL20" s="80" t="str">
        <f>IF(AND($F20&lt;&gt;"", $F20&gt;=BL$5-4, $F20&lt;=BL$5, COUNTIF($M20:BK20,"u")=0), "u", "")</f>
        <v/>
      </c>
      <c r="BM20" s="80" t="str">
        <f>IF(AND($F20&lt;&gt;"", $F20&gt;=BM$5-4, $F20&lt;=BM$5, COUNTIF($M20:BL20,"u")=0), "u", "")</f>
        <v/>
      </c>
      <c r="BN20" s="80" t="str">
        <f>IF(AND($F20&lt;&gt;"", $F20&gt;=BN$5-4, $F20&lt;=BN$5, COUNTIF($M20:BM20,"u")=0), "u", "")</f>
        <v/>
      </c>
      <c r="BO20" s="80" t="str">
        <f>IF(AND($F20&lt;&gt;"", $F20&gt;=BO$5-4, $F20&lt;=BO$5, COUNTIF($M20:BN20,"u")=0), "u", "")</f>
        <v/>
      </c>
      <c r="BP20" s="80" t="str">
        <f>IF(AND($F20&lt;&gt;"", $F20&gt;=BP$5-4, $F20&lt;=BP$5, COUNTIF($M20:BO20,"u")=0), "u", "")</f>
        <v/>
      </c>
      <c r="BQ20" s="80" t="str">
        <f>IF(AND($F20&lt;&gt;"", $F20&gt;=BQ$5-4, $F20&lt;=BQ$5, COUNTIF($M20:BP20,"u")=0), "u", "")</f>
        <v/>
      </c>
      <c r="BR20" s="80" t="str">
        <f>IF(AND($F20&lt;&gt;"", $F20&gt;=BR$5-4, $F20&lt;=BR$5, COUNTIF($M20:BQ20,"u")=0), "u", "")</f>
        <v/>
      </c>
      <c r="BS20" s="80" t="str">
        <f>IF(AND($F20&lt;&gt;"", $F20&gt;=BS$5-4, $F20&lt;=BS$5, COUNTIF($M20:BR20,"u")=0), "u", "")</f>
        <v/>
      </c>
      <c r="BT20" s="80" t="str">
        <f>IF(AND($F20&lt;&gt;"", $F20&gt;=BT$5-4, $F20&lt;=BT$5, COUNTIF($M20:BS20,"u")=0), "u", "")</f>
        <v/>
      </c>
      <c r="BU20" s="80" t="str">
        <f>IF(AND($F20&lt;&gt;"", $F20&gt;=BU$5-4, $F20&lt;=BU$5, COUNTIF($M20:BT20,"u")=0), "u", "")</f>
        <v/>
      </c>
      <c r="BV20" s="80" t="str">
        <f>IF(AND($F20&lt;&gt;"", $F20&gt;=BV$5-4, $F20&lt;=BV$5, COUNTIF($M20:BU20,"u")=0), "u", "")</f>
        <v/>
      </c>
      <c r="BW20" s="80" t="str">
        <f>IF(AND($F20&lt;&gt;"", $F20&gt;=BW$5-4, $F20&lt;=BW$5, COUNTIF($M20:BV20,"u")=0), "u", "")</f>
        <v/>
      </c>
      <c r="BX20" s="80" t="str">
        <f>IF(AND($F20&lt;&gt;"", $F20&gt;=BX$5-4, $F20&lt;=BX$5, COUNTIF($M20:BW20,"u")=0), "u", "")</f>
        <v/>
      </c>
      <c r="BY20" s="80" t="str">
        <f>IF(AND($F20&lt;&gt;"", $F20&gt;=BY$5-4, $F20&lt;=BY$5, COUNTIF($M20:BX20,"u")=0), "u", "")</f>
        <v/>
      </c>
      <c r="BZ20" s="80" t="str">
        <f>IF(AND($F20&lt;&gt;"", $F20&gt;=BZ$5-4, $F20&lt;=BZ$5, COUNTIF($M20:BY20,"u")=0), "u", "")</f>
        <v/>
      </c>
      <c r="CA20" s="80" t="str">
        <f>IF(AND($F20&lt;&gt;"", $F20&gt;=CA$5-4, $F20&lt;=CA$5, COUNTIF($M20:BZ20,"u")=0), "u", "")</f>
        <v/>
      </c>
      <c r="CB20" s="80" t="str">
        <f>IF(AND($F20&lt;&gt;"", $F20&gt;=CB$5-4, $F20&lt;=CB$5, COUNTIF($M20:CA20,"u")=0), "u", "")</f>
        <v/>
      </c>
      <c r="CC20" s="80" t="str">
        <f>IF(AND($F20&lt;&gt;"", $F20&gt;=CC$5-4, $F20&lt;=CC$5, COUNTIF($M20:CB20,"u")=0), "u", "")</f>
        <v/>
      </c>
      <c r="CD20" s="80" t="str">
        <f>IF(AND($F20&lt;&gt;"", $F20&gt;=CD$5-4, $F20&lt;=CD$5, COUNTIF($M20:CC20,"u")=0), "u", "")</f>
        <v/>
      </c>
      <c r="CE20" s="80" t="str">
        <f>IF(AND($F20&lt;&gt;"", $F20&gt;=CE$5-4, $F20&lt;=CE$5, COUNTIF($M20:CD20,"u")=0), "u", "")</f>
        <v/>
      </c>
      <c r="CF20" s="80" t="str">
        <f>IF(AND($F20&lt;&gt;"", $F20&gt;=CF$5-4, $F20&lt;=CF$5, COUNTIF($M20:CE20,"u")=0), "u", "")</f>
        <v/>
      </c>
      <c r="CG20" s="80" t="str">
        <f>IF(AND($F20&lt;&gt;"", $F20&gt;=CG$5-4, $F20&lt;=CG$5, COUNTIF($M20:CF20,"u")=0), "u", "")</f>
        <v/>
      </c>
      <c r="CH20" s="80" t="str">
        <f>IF(AND($F20&lt;&gt;"", $F20&gt;=CH$5-4, $F20&lt;=CH$5, COUNTIF($M20:CG20,"u")=0), "u", "")</f>
        <v/>
      </c>
      <c r="CI20" s="80" t="str">
        <f>IF(AND($F20&lt;&gt;"", $F20&gt;=CI$5-4, $F20&lt;=CI$5, COUNTIF($M20:CH20,"u")=0), "u", "")</f>
        <v/>
      </c>
      <c r="CJ20" s="80" t="str">
        <f>IF(AND($F20&lt;&gt;"", $F20&gt;=CJ$5-4, $F20&lt;=CJ$5, COUNTIF($M20:CI20,"u")=0), "u", "")</f>
        <v/>
      </c>
      <c r="CK20" s="80" t="str">
        <f>IF(AND($F20&lt;&gt;"", $F20&gt;=CK$5-4, $F20&lt;=CK$5, COUNTIF($M20:CJ20,"u")=0), "u", "")</f>
        <v/>
      </c>
      <c r="CL20" s="80" t="str">
        <f>IF(AND($F20&lt;&gt;"", $F20&gt;=CL$5-4, $F20&lt;=CL$5, COUNTIF($M20:CK20,"u")=0), "u", "")</f>
        <v/>
      </c>
      <c r="CM20" s="80" t="str">
        <f>IF(AND($F20&lt;&gt;"", $F20&gt;=CM$5-4, $F20&lt;=CM$5, COUNTIF($M20:CL20,"u")=0), "u", "")</f>
        <v/>
      </c>
      <c r="CN20" s="80" t="str">
        <f>IF(AND($F20&lt;&gt;"", $F20&gt;=CN$5-4, $F20&lt;=CN$5, COUNTIF($M20:CM20,"u")=0), "u", "")</f>
        <v/>
      </c>
      <c r="CO20" s="80" t="str">
        <f>IF(AND($F20&lt;&gt;"", $F20&gt;=CO$5-4, $F20&lt;=CO$5, COUNTIF($M20:CN20,"u")=0), "u", "")</f>
        <v/>
      </c>
      <c r="CP20" s="80" t="str">
        <f>IF(AND($F20&lt;&gt;"", $F20&gt;=CP$5-4, $F20&lt;=CP$5, COUNTIF($M20:CO20,"u")=0), "u", "")</f>
        <v/>
      </c>
      <c r="CQ20" s="80" t="str">
        <f>IF(AND($F20&lt;&gt;"", $F20&gt;=CQ$5-4, $F20&lt;=CQ$5, COUNTIF($M20:CP20,"u")=0), "u", "")</f>
        <v/>
      </c>
      <c r="CR20" s="80" t="str">
        <f>IF(AND($F20&lt;&gt;"", $F20&gt;=CR$5-4, $F20&lt;=CR$5, COUNTIF($M20:CQ20,"u")=0), "u", "")</f>
        <v/>
      </c>
      <c r="CS20" s="80" t="str">
        <f>IF(AND($F20&lt;&gt;"", $F20&gt;=CS$5-4, $F20&lt;=CS$5, COUNTIF($M20:CR20,"u")=0), "u", "")</f>
        <v/>
      </c>
      <c r="CT20" s="80" t="str">
        <f>IF(AND($F20&lt;&gt;"", $F20&gt;=CT$5-4, $F20&lt;=CT$5, COUNTIF($M20:CS20,"u")=0), "u", "")</f>
        <v/>
      </c>
      <c r="CU20" s="80" t="str">
        <f>IF(AND($F20&lt;&gt;"", $F20&gt;=CU$5-4, $F20&lt;=CU$5, COUNTIF($M20:CT20,"u")=0), "u", "")</f>
        <v/>
      </c>
      <c r="CV20" s="80" t="str">
        <f>IF(AND($F20&lt;&gt;"", $F20&gt;=CV$5-4, $F20&lt;=CV$5, COUNTIF($M20:CU20,"u")=0), "u", "")</f>
        <v/>
      </c>
      <c r="CW20" s="80" t="str">
        <f>IF(AND($F20&lt;&gt;"", $F20&gt;=CW$5-4, $F20&lt;=CW$5, COUNTIF($M20:CV20,"u")=0), "u", "")</f>
        <v/>
      </c>
      <c r="CX20" s="80" t="str">
        <f>IF(AND($F20&lt;&gt;"", $F20&gt;=CX$5-4, $F20&lt;=CX$5, COUNTIF($M20:CW20,"u")=0), "u", "")</f>
        <v/>
      </c>
      <c r="CY20" s="80" t="str">
        <f>IF(AND($F20&lt;&gt;"", $F20&gt;=CY$5-4, $F20&lt;=CY$5, COUNTIF($M20:CX20,"u")=0), "u", "")</f>
        <v/>
      </c>
      <c r="CZ20" s="80" t="str">
        <f>IF(AND($F20&lt;&gt;"", $F20&gt;=CZ$5-4, $F20&lt;=CZ$5, COUNTIF($M20:CY20,"u")=0), "u", "")</f>
        <v/>
      </c>
      <c r="DA20" s="80" t="str">
        <f>IF(AND($F20&lt;&gt;"", $F20&gt;=DA$5-4, $F20&lt;=DA$5, COUNTIF($M20:CZ20,"u")=0), "u", "")</f>
        <v/>
      </c>
      <c r="DB20" s="80" t="str">
        <f>IF(AND($F20&lt;&gt;"", $F20&gt;=DB$5-4, $F20&lt;=DB$5, COUNTIF($M20:DA20,"u")=0), "u", "")</f>
        <v/>
      </c>
      <c r="DC20" s="80" t="str">
        <f>IF(AND($F20&lt;&gt;"", $F20&gt;=DC$5-4, $F20&lt;=DC$5, COUNTIF($M20:DB20,"u")=0), "u", "")</f>
        <v/>
      </c>
      <c r="DD20" s="80" t="str">
        <f>IF(AND($F20&lt;&gt;"", $F20&gt;=DD$5-4, $F20&lt;=DD$5, COUNTIF($M20:DC20,"u")=0), "u", "")</f>
        <v/>
      </c>
      <c r="DE20" s="80" t="str">
        <f>IF(AND($F20&lt;&gt;"", $F20&gt;=DE$5-4, $F20&lt;=DE$5, COUNTIF($M20:DD20,"u")=0), "u", "")</f>
        <v/>
      </c>
      <c r="DF20" s="80" t="str">
        <f>IF(AND($F20&lt;&gt;"", $F20&gt;=DF$5-4, $F20&lt;=DF$5, COUNTIF($M20:DE20,"u")=0), "u", "")</f>
        <v/>
      </c>
      <c r="DG20" s="80" t="str">
        <f>IF(AND($F20&lt;&gt;"", $F20&gt;=DG$5-4, $F20&lt;=DG$5, COUNTIF($M20:DF20,"u")=0), "u", "")</f>
        <v/>
      </c>
      <c r="DH20" s="80" t="str">
        <f>IF(AND($F20&lt;&gt;"", $F20&gt;=DH$5-4, $F20&lt;=DH$5, COUNTIF($M20:DG20,"u")=0), "u", "")</f>
        <v/>
      </c>
      <c r="DI20" s="80" t="str">
        <f>IF(AND($F20&lt;&gt;"", $F20&gt;=DI$5-4, $F20&lt;=DI$5, COUNTIF($M20:DH20,"u")=0), "u", "")</f>
        <v/>
      </c>
      <c r="DJ20" s="80" t="str">
        <f>IF(AND($F20&lt;&gt;"", $F20&gt;=DJ$5-4, $F20&lt;=DJ$5, COUNTIF($M20:DI20,"u")=0), "u", "")</f>
        <v/>
      </c>
      <c r="DK20" s="80" t="str">
        <f>IF(AND($F20&lt;&gt;"", $F20&gt;=DK$5-4, $F20&lt;=DK$5, COUNTIF($M20:DJ20,"u")=0), "u", "")</f>
        <v/>
      </c>
      <c r="DL20" s="80" t="str">
        <f>IF(AND($F20&lt;&gt;"", $F20&gt;=DL$5-4, $F20&lt;=DL$5, COUNTIF($M20:DK20,"u")=0), "u", "")</f>
        <v/>
      </c>
    </row>
    <row r="21" spans="1:116" ht="25.05" customHeight="1" x14ac:dyDescent="0.3">
      <c r="A21" s="39"/>
      <c r="B21" s="75">
        <v>16</v>
      </c>
      <c r="C21" s="91"/>
      <c r="D21" s="92"/>
      <c r="E21" s="53"/>
      <c r="F21" s="53"/>
      <c r="G21" s="83" t="str">
        <f t="shared" si="44"/>
        <v/>
      </c>
      <c r="H21" s="83" t="str">
        <f t="shared" si="44"/>
        <v/>
      </c>
      <c r="I21" s="77" t="str">
        <f t="shared" si="45"/>
        <v/>
      </c>
      <c r="J21" s="78"/>
      <c r="K21" s="86"/>
      <c r="L21" s="56"/>
      <c r="M21" s="80" t="str">
        <f t="shared" si="46"/>
        <v/>
      </c>
      <c r="N21" s="80" t="str">
        <f>IF(AND($F21&lt;&gt;"", $F21&gt;=N$5-4, $F21&lt;=N$5, COUNTIF($M21:M21,"u")=0), "u", "")</f>
        <v/>
      </c>
      <c r="O21" s="80" t="str">
        <f>IF(AND($F21&lt;&gt;"", $F21&gt;=O$5-4, $F21&lt;=O$5, COUNTIF($M21:N21,"u")=0), "u", "")</f>
        <v/>
      </c>
      <c r="P21" s="80" t="str">
        <f>IF(AND($F21&lt;&gt;"", $F21&gt;=P$5-4, $F21&lt;=P$5, COUNTIF($M21:O21,"u")=0), "u", "")</f>
        <v/>
      </c>
      <c r="Q21" s="80" t="str">
        <f>IF(AND($F21&lt;&gt;"", $F21&gt;=Q$5-4, $F21&lt;=Q$5, COUNTIF($M21:P21,"u")=0), "u", "")</f>
        <v/>
      </c>
      <c r="R21" s="80" t="str">
        <f>IF(AND($F21&lt;&gt;"", $F21&gt;=R$5-4, $F21&lt;=R$5, COUNTIF($M21:Q21,"u")=0), "u", "")</f>
        <v/>
      </c>
      <c r="S21" s="80" t="str">
        <f>IF(AND($F21&lt;&gt;"", $F21&gt;=S$5-4, $F21&lt;=S$5, COUNTIF($M21:R21,"u")=0), "u", "")</f>
        <v/>
      </c>
      <c r="T21" s="80" t="str">
        <f>IF(AND($F21&lt;&gt;"", $F21&gt;=T$5-4, $F21&lt;=T$5, COUNTIF($M21:S21,"u")=0), "u", "")</f>
        <v/>
      </c>
      <c r="U21" s="80" t="str">
        <f>IF(AND($F21&lt;&gt;"", $F21&gt;=U$5-4, $F21&lt;=U$5, COUNTIF($M21:T21,"u")=0), "u", "")</f>
        <v/>
      </c>
      <c r="V21" s="80" t="str">
        <f>IF(AND($F21&lt;&gt;"", $F21&gt;=V$5-4, $F21&lt;=V$5, COUNTIF($M21:U21,"u")=0), "u", "")</f>
        <v/>
      </c>
      <c r="W21" s="80" t="str">
        <f>IF(AND($F21&lt;&gt;"", $F21&gt;=W$5-4, $F21&lt;=W$5, COUNTIF($M21:V21,"u")=0), "u", "")</f>
        <v/>
      </c>
      <c r="X21" s="80" t="str">
        <f>IF(AND($F21&lt;&gt;"", $F21&gt;=X$5-4, $F21&lt;=X$5, COUNTIF($M21:W21,"u")=0), "u", "")</f>
        <v/>
      </c>
      <c r="Y21" s="80" t="str">
        <f>IF(AND($F21&lt;&gt;"", $F21&gt;=Y$5-4, $F21&lt;=Y$5, COUNTIF($M21:X21,"u")=0), "u", "")</f>
        <v/>
      </c>
      <c r="Z21" s="80" t="str">
        <f>IF(AND($F21&lt;&gt;"", $F21&gt;=Z$5-4, $F21&lt;=Z$5, COUNTIF($M21:Y21,"u")=0), "u", "")</f>
        <v/>
      </c>
      <c r="AA21" s="80" t="str">
        <f>IF(AND($F21&lt;&gt;"", $F21&gt;=AA$5-4, $F21&lt;=AA$5, COUNTIF($M21:Z21,"u")=0), "u", "")</f>
        <v/>
      </c>
      <c r="AB21" s="80" t="str">
        <f>IF(AND($F21&lt;&gt;"", $F21&gt;=AB$5-4, $F21&lt;=AB$5, COUNTIF($M21:AA21,"u")=0), "u", "")</f>
        <v/>
      </c>
      <c r="AC21" s="80" t="str">
        <f>IF(AND($F21&lt;&gt;"", $F21&gt;=AC$5-4, $F21&lt;=AC$5, COUNTIF($M21:AB21,"u")=0), "u", "")</f>
        <v/>
      </c>
      <c r="AD21" s="80" t="str">
        <f>IF(AND($F21&lt;&gt;"", $F21&gt;=AD$5-4, $F21&lt;=AD$5, COUNTIF($M21:AC21,"u")=0), "u", "")</f>
        <v/>
      </c>
      <c r="AE21" s="80" t="str">
        <f>IF(AND($F21&lt;&gt;"", $F21&gt;=AE$5-4, $F21&lt;=AE$5, COUNTIF($M21:AD21,"u")=0), "u", "")</f>
        <v/>
      </c>
      <c r="AF21" s="80" t="str">
        <f>IF(AND($F21&lt;&gt;"", $F21&gt;=AF$5-4, $F21&lt;=AF$5, COUNTIF($M21:AE21,"u")=0), "u", "")</f>
        <v/>
      </c>
      <c r="AG21" s="80" t="str">
        <f>IF(AND($F21&lt;&gt;"", $F21&gt;=AG$5-4, $F21&lt;=AG$5, COUNTIF($M21:AF21,"u")=0), "u", "")</f>
        <v/>
      </c>
      <c r="AH21" s="80" t="str">
        <f>IF(AND($F21&lt;&gt;"", $F21&gt;=AH$5-4, $F21&lt;=AH$5, COUNTIF($M21:AG21,"u")=0), "u", "")</f>
        <v/>
      </c>
      <c r="AI21" s="80" t="str">
        <f>IF(AND($F21&lt;&gt;"", $F21&gt;=AI$5-4, $F21&lt;=AI$5, COUNTIF($M21:AH21,"u")=0), "u", "")</f>
        <v/>
      </c>
      <c r="AJ21" s="80" t="str">
        <f>IF(AND($F21&lt;&gt;"", $F21&gt;=AJ$5-4, $F21&lt;=AJ$5, COUNTIF($M21:AI21,"u")=0), "u", "")</f>
        <v/>
      </c>
      <c r="AK21" s="80" t="str">
        <f>IF(AND($F21&lt;&gt;"", $F21&gt;=AK$5-4, $F21&lt;=AK$5, COUNTIF($M21:AJ21,"u")=0), "u", "")</f>
        <v/>
      </c>
      <c r="AL21" s="80" t="str">
        <f>IF(AND($F21&lt;&gt;"", $F21&gt;=AL$5-4, $F21&lt;=AL$5, COUNTIF($M21:AK21,"u")=0), "u", "")</f>
        <v/>
      </c>
      <c r="AM21" s="80" t="str">
        <f>IF(AND($F21&lt;&gt;"", $F21&gt;=AM$5-4, $F21&lt;=AM$5, COUNTIF($M21:AL21,"u")=0), "u", "")</f>
        <v/>
      </c>
      <c r="AN21" s="80" t="str">
        <f>IF(AND($F21&lt;&gt;"", $F21&gt;=AN$5-4, $F21&lt;=AN$5, COUNTIF($M21:AM21,"u")=0), "u", "")</f>
        <v/>
      </c>
      <c r="AO21" s="80" t="str">
        <f>IF(AND($F21&lt;&gt;"", $F21&gt;=AO$5-4, $F21&lt;=AO$5, COUNTIF($M21:AN21,"u")=0), "u", "")</f>
        <v/>
      </c>
      <c r="AP21" s="80" t="str">
        <f>IF(AND($F21&lt;&gt;"", $F21&gt;=AP$5-4, $F21&lt;=AP$5, COUNTIF($M21:AO21,"u")=0), "u", "")</f>
        <v/>
      </c>
      <c r="AQ21" s="80" t="str">
        <f>IF(AND($F21&lt;&gt;"", $F21&gt;=AQ$5-4, $F21&lt;=AQ$5, COUNTIF($M21:AP21,"u")=0), "u", "")</f>
        <v/>
      </c>
      <c r="AR21" s="80" t="str">
        <f>IF(AND($F21&lt;&gt;"", $F21&gt;=AR$5-4, $F21&lt;=AR$5, COUNTIF($M21:AQ21,"u")=0), "u", "")</f>
        <v/>
      </c>
      <c r="AS21" s="80" t="str">
        <f>IF(AND($F21&lt;&gt;"", $F21&gt;=AS$5-4, $F21&lt;=AS$5, COUNTIF($M21:AR21,"u")=0), "u", "")</f>
        <v/>
      </c>
      <c r="AT21" s="80" t="str">
        <f>IF(AND($F21&lt;&gt;"", $F21&gt;=AT$5-4, $F21&lt;=AT$5, COUNTIF($M21:AS21,"u")=0), "u", "")</f>
        <v/>
      </c>
      <c r="AU21" s="80" t="str">
        <f>IF(AND($F21&lt;&gt;"", $F21&gt;=AU$5-4, $F21&lt;=AU$5, COUNTIF($M21:AT21,"u")=0), "u", "")</f>
        <v/>
      </c>
      <c r="AV21" s="80" t="str">
        <f>IF(AND($F21&lt;&gt;"", $F21&gt;=AV$5-4, $F21&lt;=AV$5, COUNTIF($M21:AU21,"u")=0), "u", "")</f>
        <v/>
      </c>
      <c r="AW21" s="80" t="str">
        <f>IF(AND($F21&lt;&gt;"", $F21&gt;=AW$5-4, $F21&lt;=AW$5, COUNTIF($M21:AV21,"u")=0), "u", "")</f>
        <v/>
      </c>
      <c r="AX21" s="80" t="str">
        <f>IF(AND($F21&lt;&gt;"", $F21&gt;=AX$5-4, $F21&lt;=AX$5, COUNTIF($M21:AW21,"u")=0), "u", "")</f>
        <v/>
      </c>
      <c r="AY21" s="80" t="str">
        <f>IF(AND($F21&lt;&gt;"", $F21&gt;=AY$5-4, $F21&lt;=AY$5, COUNTIF($M21:AX21,"u")=0), "u", "")</f>
        <v/>
      </c>
      <c r="AZ21" s="80" t="str">
        <f>IF(AND($F21&lt;&gt;"", $F21&gt;=AZ$5-4, $F21&lt;=AZ$5, COUNTIF($M21:AY21,"u")=0), "u", "")</f>
        <v/>
      </c>
      <c r="BA21" s="80" t="str">
        <f>IF(AND($F21&lt;&gt;"", $F21&gt;=BA$5-4, $F21&lt;=BA$5, COUNTIF($M21:AZ21,"u")=0), "u", "")</f>
        <v/>
      </c>
      <c r="BB21" s="80" t="str">
        <f>IF(AND($F21&lt;&gt;"", $F21&gt;=BB$5-4, $F21&lt;=BB$5, COUNTIF($M21:BA21,"u")=0), "u", "")</f>
        <v/>
      </c>
      <c r="BC21" s="80" t="str">
        <f>IF(AND($F21&lt;&gt;"", $F21&gt;=BC$5-4, $F21&lt;=BC$5, COUNTIF($M21:BB21,"u")=0), "u", "")</f>
        <v/>
      </c>
      <c r="BD21" s="80" t="str">
        <f>IF(AND($F21&lt;&gt;"", $F21&gt;=BD$5-4, $F21&lt;=BD$5, COUNTIF($M21:BC21,"u")=0), "u", "")</f>
        <v/>
      </c>
      <c r="BE21" s="80" t="str">
        <f>IF(AND($F21&lt;&gt;"", $F21&gt;=BE$5-4, $F21&lt;=BE$5, COUNTIF($M21:BD21,"u")=0), "u", "")</f>
        <v/>
      </c>
      <c r="BF21" s="80" t="str">
        <f>IF(AND($F21&lt;&gt;"", $F21&gt;=BF$5-4, $F21&lt;=BF$5, COUNTIF($M21:BE21,"u")=0), "u", "")</f>
        <v/>
      </c>
      <c r="BG21" s="80" t="str">
        <f>IF(AND($F21&lt;&gt;"", $F21&gt;=BG$5-4, $F21&lt;=BG$5, COUNTIF($M21:BF21,"u")=0), "u", "")</f>
        <v/>
      </c>
      <c r="BH21" s="80" t="str">
        <f>IF(AND($F21&lt;&gt;"", $F21&gt;=BH$5-4, $F21&lt;=BH$5, COUNTIF($M21:BG21,"u")=0), "u", "")</f>
        <v/>
      </c>
      <c r="BI21" s="80" t="str">
        <f>IF(AND($F21&lt;&gt;"", $F21&gt;=BI$5-4, $F21&lt;=BI$5, COUNTIF($M21:BH21,"u")=0), "u", "")</f>
        <v/>
      </c>
      <c r="BJ21" s="80" t="str">
        <f>IF(AND($F21&lt;&gt;"", $F21&gt;=BJ$5-4, $F21&lt;=BJ$5, COUNTIF($M21:BI21,"u")=0), "u", "")</f>
        <v/>
      </c>
      <c r="BK21" s="80" t="str">
        <f>IF(AND($F21&lt;&gt;"", $F21&gt;=BK$5-4, $F21&lt;=BK$5, COUNTIF($M21:BJ21,"u")=0), "u", "")</f>
        <v/>
      </c>
      <c r="BL21" s="80" t="str">
        <f>IF(AND($F21&lt;&gt;"", $F21&gt;=BL$5-4, $F21&lt;=BL$5, COUNTIF($M21:BK21,"u")=0), "u", "")</f>
        <v/>
      </c>
      <c r="BM21" s="80" t="str">
        <f>IF(AND($F21&lt;&gt;"", $F21&gt;=BM$5-4, $F21&lt;=BM$5, COUNTIF($M21:BL21,"u")=0), "u", "")</f>
        <v/>
      </c>
      <c r="BN21" s="80" t="str">
        <f>IF(AND($F21&lt;&gt;"", $F21&gt;=BN$5-4, $F21&lt;=BN$5, COUNTIF($M21:BM21,"u")=0), "u", "")</f>
        <v/>
      </c>
      <c r="BO21" s="80" t="str">
        <f>IF(AND($F21&lt;&gt;"", $F21&gt;=BO$5-4, $F21&lt;=BO$5, COUNTIF($M21:BN21,"u")=0), "u", "")</f>
        <v/>
      </c>
      <c r="BP21" s="80" t="str">
        <f>IF(AND($F21&lt;&gt;"", $F21&gt;=BP$5-4, $F21&lt;=BP$5, COUNTIF($M21:BO21,"u")=0), "u", "")</f>
        <v/>
      </c>
      <c r="BQ21" s="80" t="str">
        <f>IF(AND($F21&lt;&gt;"", $F21&gt;=BQ$5-4, $F21&lt;=BQ$5, COUNTIF($M21:BP21,"u")=0), "u", "")</f>
        <v/>
      </c>
      <c r="BR21" s="80" t="str">
        <f>IF(AND($F21&lt;&gt;"", $F21&gt;=BR$5-4, $F21&lt;=BR$5, COUNTIF($M21:BQ21,"u")=0), "u", "")</f>
        <v/>
      </c>
      <c r="BS21" s="80" t="str">
        <f>IF(AND($F21&lt;&gt;"", $F21&gt;=BS$5-4, $F21&lt;=BS$5, COUNTIF($M21:BR21,"u")=0), "u", "")</f>
        <v/>
      </c>
      <c r="BT21" s="80" t="str">
        <f>IF(AND($F21&lt;&gt;"", $F21&gt;=BT$5-4, $F21&lt;=BT$5, COUNTIF($M21:BS21,"u")=0), "u", "")</f>
        <v/>
      </c>
      <c r="BU21" s="80" t="str">
        <f>IF(AND($F21&lt;&gt;"", $F21&gt;=BU$5-4, $F21&lt;=BU$5, COUNTIF($M21:BT21,"u")=0), "u", "")</f>
        <v/>
      </c>
      <c r="BV21" s="80" t="str">
        <f>IF(AND($F21&lt;&gt;"", $F21&gt;=BV$5-4, $F21&lt;=BV$5, COUNTIF($M21:BU21,"u")=0), "u", "")</f>
        <v/>
      </c>
      <c r="BW21" s="80" t="str">
        <f>IF(AND($F21&lt;&gt;"", $F21&gt;=BW$5-4, $F21&lt;=BW$5, COUNTIF($M21:BV21,"u")=0), "u", "")</f>
        <v/>
      </c>
      <c r="BX21" s="80" t="str">
        <f>IF(AND($F21&lt;&gt;"", $F21&gt;=BX$5-4, $F21&lt;=BX$5, COUNTIF($M21:BW21,"u")=0), "u", "")</f>
        <v/>
      </c>
      <c r="BY21" s="80" t="str">
        <f>IF(AND($F21&lt;&gt;"", $F21&gt;=BY$5-4, $F21&lt;=BY$5, COUNTIF($M21:BX21,"u")=0), "u", "")</f>
        <v/>
      </c>
      <c r="BZ21" s="80" t="str">
        <f>IF(AND($F21&lt;&gt;"", $F21&gt;=BZ$5-4, $F21&lt;=BZ$5, COUNTIF($M21:BY21,"u")=0), "u", "")</f>
        <v/>
      </c>
      <c r="CA21" s="80" t="str">
        <f>IF(AND($F21&lt;&gt;"", $F21&gt;=CA$5-4, $F21&lt;=CA$5, COUNTIF($M21:BZ21,"u")=0), "u", "")</f>
        <v/>
      </c>
      <c r="CB21" s="80" t="str">
        <f>IF(AND($F21&lt;&gt;"", $F21&gt;=CB$5-4, $F21&lt;=CB$5, COUNTIF($M21:CA21,"u")=0), "u", "")</f>
        <v/>
      </c>
      <c r="CC21" s="80" t="str">
        <f>IF(AND($F21&lt;&gt;"", $F21&gt;=CC$5-4, $F21&lt;=CC$5, COUNTIF($M21:CB21,"u")=0), "u", "")</f>
        <v/>
      </c>
      <c r="CD21" s="80" t="str">
        <f>IF(AND($F21&lt;&gt;"", $F21&gt;=CD$5-4, $F21&lt;=CD$5, COUNTIF($M21:CC21,"u")=0), "u", "")</f>
        <v/>
      </c>
      <c r="CE21" s="80" t="str">
        <f>IF(AND($F21&lt;&gt;"", $F21&gt;=CE$5-4, $F21&lt;=CE$5, COUNTIF($M21:CD21,"u")=0), "u", "")</f>
        <v/>
      </c>
      <c r="CF21" s="80" t="str">
        <f>IF(AND($F21&lt;&gt;"", $F21&gt;=CF$5-4, $F21&lt;=CF$5, COUNTIF($M21:CE21,"u")=0), "u", "")</f>
        <v/>
      </c>
      <c r="CG21" s="80" t="str">
        <f>IF(AND($F21&lt;&gt;"", $F21&gt;=CG$5-4, $F21&lt;=CG$5, COUNTIF($M21:CF21,"u")=0), "u", "")</f>
        <v/>
      </c>
      <c r="CH21" s="80" t="str">
        <f>IF(AND($F21&lt;&gt;"", $F21&gt;=CH$5-4, $F21&lt;=CH$5, COUNTIF($M21:CG21,"u")=0), "u", "")</f>
        <v/>
      </c>
      <c r="CI21" s="80" t="str">
        <f>IF(AND($F21&lt;&gt;"", $F21&gt;=CI$5-4, $F21&lt;=CI$5, COUNTIF($M21:CH21,"u")=0), "u", "")</f>
        <v/>
      </c>
      <c r="CJ21" s="80" t="str">
        <f>IF(AND($F21&lt;&gt;"", $F21&gt;=CJ$5-4, $F21&lt;=CJ$5, COUNTIF($M21:CI21,"u")=0), "u", "")</f>
        <v/>
      </c>
      <c r="CK21" s="80" t="str">
        <f>IF(AND($F21&lt;&gt;"", $F21&gt;=CK$5-4, $F21&lt;=CK$5, COUNTIF($M21:CJ21,"u")=0), "u", "")</f>
        <v/>
      </c>
      <c r="CL21" s="80" t="str">
        <f>IF(AND($F21&lt;&gt;"", $F21&gt;=CL$5-4, $F21&lt;=CL$5, COUNTIF($M21:CK21,"u")=0), "u", "")</f>
        <v/>
      </c>
      <c r="CM21" s="80" t="str">
        <f>IF(AND($F21&lt;&gt;"", $F21&gt;=CM$5-4, $F21&lt;=CM$5, COUNTIF($M21:CL21,"u")=0), "u", "")</f>
        <v/>
      </c>
      <c r="CN21" s="80" t="str">
        <f>IF(AND($F21&lt;&gt;"", $F21&gt;=CN$5-4, $F21&lt;=CN$5, COUNTIF($M21:CM21,"u")=0), "u", "")</f>
        <v/>
      </c>
      <c r="CO21" s="80" t="str">
        <f>IF(AND($F21&lt;&gt;"", $F21&gt;=CO$5-4, $F21&lt;=CO$5, COUNTIF($M21:CN21,"u")=0), "u", "")</f>
        <v/>
      </c>
      <c r="CP21" s="80" t="str">
        <f>IF(AND($F21&lt;&gt;"", $F21&gt;=CP$5-4, $F21&lt;=CP$5, COUNTIF($M21:CO21,"u")=0), "u", "")</f>
        <v/>
      </c>
      <c r="CQ21" s="80" t="str">
        <f>IF(AND($F21&lt;&gt;"", $F21&gt;=CQ$5-4, $F21&lt;=CQ$5, COUNTIF($M21:CP21,"u")=0), "u", "")</f>
        <v/>
      </c>
      <c r="CR21" s="80" t="str">
        <f>IF(AND($F21&lt;&gt;"", $F21&gt;=CR$5-4, $F21&lt;=CR$5, COUNTIF($M21:CQ21,"u")=0), "u", "")</f>
        <v/>
      </c>
      <c r="CS21" s="80" t="str">
        <f>IF(AND($F21&lt;&gt;"", $F21&gt;=CS$5-4, $F21&lt;=CS$5, COUNTIF($M21:CR21,"u")=0), "u", "")</f>
        <v/>
      </c>
      <c r="CT21" s="80" t="str">
        <f>IF(AND($F21&lt;&gt;"", $F21&gt;=CT$5-4, $F21&lt;=CT$5, COUNTIF($M21:CS21,"u")=0), "u", "")</f>
        <v/>
      </c>
      <c r="CU21" s="80" t="str">
        <f>IF(AND($F21&lt;&gt;"", $F21&gt;=CU$5-4, $F21&lt;=CU$5, COUNTIF($M21:CT21,"u")=0), "u", "")</f>
        <v/>
      </c>
      <c r="CV21" s="80" t="str">
        <f>IF(AND($F21&lt;&gt;"", $F21&gt;=CV$5-4, $F21&lt;=CV$5, COUNTIF($M21:CU21,"u")=0), "u", "")</f>
        <v/>
      </c>
      <c r="CW21" s="80" t="str">
        <f>IF(AND($F21&lt;&gt;"", $F21&gt;=CW$5-4, $F21&lt;=CW$5, COUNTIF($M21:CV21,"u")=0), "u", "")</f>
        <v/>
      </c>
      <c r="CX21" s="80" t="str">
        <f>IF(AND($F21&lt;&gt;"", $F21&gt;=CX$5-4, $F21&lt;=CX$5, COUNTIF($M21:CW21,"u")=0), "u", "")</f>
        <v/>
      </c>
      <c r="CY21" s="80" t="str">
        <f>IF(AND($F21&lt;&gt;"", $F21&gt;=CY$5-4, $F21&lt;=CY$5, COUNTIF($M21:CX21,"u")=0), "u", "")</f>
        <v/>
      </c>
      <c r="CZ21" s="80" t="str">
        <f>IF(AND($F21&lt;&gt;"", $F21&gt;=CZ$5-4, $F21&lt;=CZ$5, COUNTIF($M21:CY21,"u")=0), "u", "")</f>
        <v/>
      </c>
      <c r="DA21" s="80" t="str">
        <f>IF(AND($F21&lt;&gt;"", $F21&gt;=DA$5-4, $F21&lt;=DA$5, COUNTIF($M21:CZ21,"u")=0), "u", "")</f>
        <v/>
      </c>
      <c r="DB21" s="80" t="str">
        <f>IF(AND($F21&lt;&gt;"", $F21&gt;=DB$5-4, $F21&lt;=DB$5, COUNTIF($M21:DA21,"u")=0), "u", "")</f>
        <v/>
      </c>
      <c r="DC21" s="80" t="str">
        <f>IF(AND($F21&lt;&gt;"", $F21&gt;=DC$5-4, $F21&lt;=DC$5, COUNTIF($M21:DB21,"u")=0), "u", "")</f>
        <v/>
      </c>
      <c r="DD21" s="80" t="str">
        <f>IF(AND($F21&lt;&gt;"", $F21&gt;=DD$5-4, $F21&lt;=DD$5, COUNTIF($M21:DC21,"u")=0), "u", "")</f>
        <v/>
      </c>
      <c r="DE21" s="80" t="str">
        <f>IF(AND($F21&lt;&gt;"", $F21&gt;=DE$5-4, $F21&lt;=DE$5, COUNTIF($M21:DD21,"u")=0), "u", "")</f>
        <v/>
      </c>
      <c r="DF21" s="80" t="str">
        <f>IF(AND($F21&lt;&gt;"", $F21&gt;=DF$5-4, $F21&lt;=DF$5, COUNTIF($M21:DE21,"u")=0), "u", "")</f>
        <v/>
      </c>
      <c r="DG21" s="80" t="str">
        <f>IF(AND($F21&lt;&gt;"", $F21&gt;=DG$5-4, $F21&lt;=DG$5, COUNTIF($M21:DF21,"u")=0), "u", "")</f>
        <v/>
      </c>
      <c r="DH21" s="80" t="str">
        <f>IF(AND($F21&lt;&gt;"", $F21&gt;=DH$5-4, $F21&lt;=DH$5, COUNTIF($M21:DG21,"u")=0), "u", "")</f>
        <v/>
      </c>
      <c r="DI21" s="80" t="str">
        <f>IF(AND($F21&lt;&gt;"", $F21&gt;=DI$5-4, $F21&lt;=DI$5, COUNTIF($M21:DH21,"u")=0), "u", "")</f>
        <v/>
      </c>
      <c r="DJ21" s="80" t="str">
        <f>IF(AND($F21&lt;&gt;"", $F21&gt;=DJ$5-4, $F21&lt;=DJ$5, COUNTIF($M21:DI21,"u")=0), "u", "")</f>
        <v/>
      </c>
      <c r="DK21" s="80" t="str">
        <f>IF(AND($F21&lt;&gt;"", $F21&gt;=DK$5-4, $F21&lt;=DK$5, COUNTIF($M21:DJ21,"u")=0), "u", "")</f>
        <v/>
      </c>
      <c r="DL21" s="80" t="str">
        <f>IF(AND($F21&lt;&gt;"", $F21&gt;=DL$5-4, $F21&lt;=DL$5, COUNTIF($M21:DK21,"u")=0), "u", "")</f>
        <v/>
      </c>
    </row>
    <row r="22" spans="1:116" ht="25.05" customHeight="1" x14ac:dyDescent="0.3">
      <c r="A22" s="39"/>
      <c r="B22" s="75">
        <v>17</v>
      </c>
      <c r="C22" s="93"/>
      <c r="D22" s="92"/>
      <c r="E22" s="53"/>
      <c r="F22" s="53"/>
      <c r="G22" s="83" t="str">
        <f t="shared" ref="G22:H85" si="47">IF(E22="","",IF(WEEKDAY($D$3, 2) - WEEKDAY(E22, 2) &lt;= 0, E22 + (WEEKDAY($D$3,2) - WEEKDAY(E22,2)), E22 - (7 - (WEEKDAY($D$3,2) - WEEKDAY(E22,2)))))</f>
        <v/>
      </c>
      <c r="H22" s="83" t="str">
        <f t="shared" si="47"/>
        <v/>
      </c>
      <c r="I22" s="77" t="str">
        <f t="shared" si="45"/>
        <v/>
      </c>
      <c r="J22" s="78"/>
      <c r="K22" s="86"/>
      <c r="L22" s="56"/>
      <c r="M22" s="80" t="str">
        <f t="shared" si="46"/>
        <v/>
      </c>
      <c r="N22" s="80" t="str">
        <f>IF(AND($F22&lt;&gt;"", $F22&gt;=N$5-4, $F22&lt;=N$5, COUNTIF($M22:M22,"u")=0), "u", "")</f>
        <v/>
      </c>
      <c r="O22" s="80" t="str">
        <f>IF(AND($F22&lt;&gt;"", $F22&gt;=O$5-4, $F22&lt;=O$5, COUNTIF($M22:N22,"u")=0), "u", "")</f>
        <v/>
      </c>
      <c r="P22" s="80" t="str">
        <f>IF(AND($F22&lt;&gt;"", $F22&gt;=P$5-4, $F22&lt;=P$5, COUNTIF($M22:O22,"u")=0), "u", "")</f>
        <v/>
      </c>
      <c r="Q22" s="80" t="str">
        <f>IF(AND($F22&lt;&gt;"", $F22&gt;=Q$5-4, $F22&lt;=Q$5, COUNTIF($M22:P22,"u")=0), "u", "")</f>
        <v/>
      </c>
      <c r="R22" s="80" t="str">
        <f>IF(AND($F22&lt;&gt;"", $F22&gt;=R$5-4, $F22&lt;=R$5, COUNTIF($M22:Q22,"u")=0), "u", "")</f>
        <v/>
      </c>
      <c r="S22" s="80" t="str">
        <f>IF(AND($F22&lt;&gt;"", $F22&gt;=S$5-4, $F22&lt;=S$5, COUNTIF($M22:R22,"u")=0), "u", "")</f>
        <v/>
      </c>
      <c r="T22" s="80" t="str">
        <f>IF(AND($F22&lt;&gt;"", $F22&gt;=T$5-4, $F22&lt;=T$5, COUNTIF($M22:S22,"u")=0), "u", "")</f>
        <v/>
      </c>
      <c r="U22" s="80" t="str">
        <f>IF(AND($F22&lt;&gt;"", $F22&gt;=U$5-4, $F22&lt;=U$5, COUNTIF($M22:T22,"u")=0), "u", "")</f>
        <v/>
      </c>
      <c r="V22" s="80" t="str">
        <f>IF(AND($F22&lt;&gt;"", $F22&gt;=V$5-4, $F22&lt;=V$5, COUNTIF($M22:U22,"u")=0), "u", "")</f>
        <v/>
      </c>
      <c r="W22" s="80" t="str">
        <f>IF(AND($F22&lt;&gt;"", $F22&gt;=W$5-4, $F22&lt;=W$5, COUNTIF($M22:V22,"u")=0), "u", "")</f>
        <v/>
      </c>
      <c r="X22" s="80" t="str">
        <f>IF(AND($F22&lt;&gt;"", $F22&gt;=X$5-4, $F22&lt;=X$5, COUNTIF($M22:W22,"u")=0), "u", "")</f>
        <v/>
      </c>
      <c r="Y22" s="80" t="str">
        <f>IF(AND($F22&lt;&gt;"", $F22&gt;=Y$5-4, $F22&lt;=Y$5, COUNTIF($M22:X22,"u")=0), "u", "")</f>
        <v/>
      </c>
      <c r="Z22" s="80" t="str">
        <f>IF(AND($F22&lt;&gt;"", $F22&gt;=Z$5-4, $F22&lt;=Z$5, COUNTIF($M22:Y22,"u")=0), "u", "")</f>
        <v/>
      </c>
      <c r="AA22" s="80" t="str">
        <f>IF(AND($F22&lt;&gt;"", $F22&gt;=AA$5-4, $F22&lt;=AA$5, COUNTIF($M22:Z22,"u")=0), "u", "")</f>
        <v/>
      </c>
      <c r="AB22" s="80" t="str">
        <f>IF(AND($F22&lt;&gt;"", $F22&gt;=AB$5-4, $F22&lt;=AB$5, COUNTIF($M22:AA22,"u")=0), "u", "")</f>
        <v/>
      </c>
      <c r="AC22" s="80" t="str">
        <f>IF(AND($F22&lt;&gt;"", $F22&gt;=AC$5-4, $F22&lt;=AC$5, COUNTIF($M22:AB22,"u")=0), "u", "")</f>
        <v/>
      </c>
      <c r="AD22" s="80" t="str">
        <f>IF(AND($F22&lt;&gt;"", $F22&gt;=AD$5-4, $F22&lt;=AD$5, COUNTIF($M22:AC22,"u")=0), "u", "")</f>
        <v/>
      </c>
      <c r="AE22" s="80" t="str">
        <f>IF(AND($F22&lt;&gt;"", $F22&gt;=AE$5-4, $F22&lt;=AE$5, COUNTIF($M22:AD22,"u")=0), "u", "")</f>
        <v/>
      </c>
      <c r="AF22" s="80" t="str">
        <f>IF(AND($F22&lt;&gt;"", $F22&gt;=AF$5-4, $F22&lt;=AF$5, COUNTIF($M22:AE22,"u")=0), "u", "")</f>
        <v/>
      </c>
      <c r="AG22" s="80" t="str">
        <f>IF(AND($F22&lt;&gt;"", $F22&gt;=AG$5-4, $F22&lt;=AG$5, COUNTIF($M22:AF22,"u")=0), "u", "")</f>
        <v/>
      </c>
      <c r="AH22" s="80" t="str">
        <f>IF(AND($F22&lt;&gt;"", $F22&gt;=AH$5-4, $F22&lt;=AH$5, COUNTIF($M22:AG22,"u")=0), "u", "")</f>
        <v/>
      </c>
      <c r="AI22" s="80" t="str">
        <f>IF(AND($F22&lt;&gt;"", $F22&gt;=AI$5-4, $F22&lt;=AI$5, COUNTIF($M22:AH22,"u")=0), "u", "")</f>
        <v/>
      </c>
      <c r="AJ22" s="80" t="str">
        <f>IF(AND($F22&lt;&gt;"", $F22&gt;=AJ$5-4, $F22&lt;=AJ$5, COUNTIF($M22:AI22,"u")=0), "u", "")</f>
        <v/>
      </c>
      <c r="AK22" s="80" t="str">
        <f>IF(AND($F22&lt;&gt;"", $F22&gt;=AK$5-4, $F22&lt;=AK$5, COUNTIF($M22:AJ22,"u")=0), "u", "")</f>
        <v/>
      </c>
      <c r="AL22" s="80" t="str">
        <f>IF(AND($F22&lt;&gt;"", $F22&gt;=AL$5-4, $F22&lt;=AL$5, COUNTIF($M22:AK22,"u")=0), "u", "")</f>
        <v/>
      </c>
      <c r="AM22" s="80" t="str">
        <f>IF(AND($F22&lt;&gt;"", $F22&gt;=AM$5-4, $F22&lt;=AM$5, COUNTIF($M22:AL22,"u")=0), "u", "")</f>
        <v/>
      </c>
      <c r="AN22" s="80" t="str">
        <f>IF(AND($F22&lt;&gt;"", $F22&gt;=AN$5-4, $F22&lt;=AN$5, COUNTIF($M22:AM22,"u")=0), "u", "")</f>
        <v/>
      </c>
      <c r="AO22" s="80" t="str">
        <f>IF(AND($F22&lt;&gt;"", $F22&gt;=AO$5-4, $F22&lt;=AO$5, COUNTIF($M22:AN22,"u")=0), "u", "")</f>
        <v/>
      </c>
      <c r="AP22" s="80" t="str">
        <f>IF(AND($F22&lt;&gt;"", $F22&gt;=AP$5-4, $F22&lt;=AP$5, COUNTIF($M22:AO22,"u")=0), "u", "")</f>
        <v/>
      </c>
      <c r="AQ22" s="80" t="str">
        <f>IF(AND($F22&lt;&gt;"", $F22&gt;=AQ$5-4, $F22&lt;=AQ$5, COUNTIF($M22:AP22,"u")=0), "u", "")</f>
        <v/>
      </c>
      <c r="AR22" s="80" t="str">
        <f>IF(AND($F22&lt;&gt;"", $F22&gt;=AR$5-4, $F22&lt;=AR$5, COUNTIF($M22:AQ22,"u")=0), "u", "")</f>
        <v/>
      </c>
      <c r="AS22" s="80" t="str">
        <f>IF(AND($F22&lt;&gt;"", $F22&gt;=AS$5-4, $F22&lt;=AS$5, COUNTIF($M22:AR22,"u")=0), "u", "")</f>
        <v/>
      </c>
      <c r="AT22" s="80" t="str">
        <f>IF(AND($F22&lt;&gt;"", $F22&gt;=AT$5-4, $F22&lt;=AT$5, COUNTIF($M22:AS22,"u")=0), "u", "")</f>
        <v/>
      </c>
      <c r="AU22" s="80" t="str">
        <f>IF(AND($F22&lt;&gt;"", $F22&gt;=AU$5-4, $F22&lt;=AU$5, COUNTIF($M22:AT22,"u")=0), "u", "")</f>
        <v/>
      </c>
      <c r="AV22" s="80" t="str">
        <f>IF(AND($F22&lt;&gt;"", $F22&gt;=AV$5-4, $F22&lt;=AV$5, COUNTIF($M22:AU22,"u")=0), "u", "")</f>
        <v/>
      </c>
      <c r="AW22" s="80" t="str">
        <f>IF(AND($F22&lt;&gt;"", $F22&gt;=AW$5-4, $F22&lt;=AW$5, COUNTIF($M22:AV22,"u")=0), "u", "")</f>
        <v/>
      </c>
      <c r="AX22" s="80" t="str">
        <f>IF(AND($F22&lt;&gt;"", $F22&gt;=AX$5-4, $F22&lt;=AX$5, COUNTIF($M22:AW22,"u")=0), "u", "")</f>
        <v/>
      </c>
      <c r="AY22" s="80" t="str">
        <f>IF(AND($F22&lt;&gt;"", $F22&gt;=AY$5-4, $F22&lt;=AY$5, COUNTIF($M22:AX22,"u")=0), "u", "")</f>
        <v/>
      </c>
      <c r="AZ22" s="80" t="str">
        <f>IF(AND($F22&lt;&gt;"", $F22&gt;=AZ$5-4, $F22&lt;=AZ$5, COUNTIF($M22:AY22,"u")=0), "u", "")</f>
        <v/>
      </c>
      <c r="BA22" s="80" t="str">
        <f>IF(AND($F22&lt;&gt;"", $F22&gt;=BA$5-4, $F22&lt;=BA$5, COUNTIF($M22:AZ22,"u")=0), "u", "")</f>
        <v/>
      </c>
      <c r="BB22" s="80" t="str">
        <f>IF(AND($F22&lt;&gt;"", $F22&gt;=BB$5-4, $F22&lt;=BB$5, COUNTIF($M22:BA22,"u")=0), "u", "")</f>
        <v/>
      </c>
      <c r="BC22" s="80" t="str">
        <f>IF(AND($F22&lt;&gt;"", $F22&gt;=BC$5-4, $F22&lt;=BC$5, COUNTIF($M22:BB22,"u")=0), "u", "")</f>
        <v/>
      </c>
      <c r="BD22" s="80" t="str">
        <f>IF(AND($F22&lt;&gt;"", $F22&gt;=BD$5-4, $F22&lt;=BD$5, COUNTIF($M22:BC22,"u")=0), "u", "")</f>
        <v/>
      </c>
      <c r="BE22" s="80" t="str">
        <f>IF(AND($F22&lt;&gt;"", $F22&gt;=BE$5-4, $F22&lt;=BE$5, COUNTIF($M22:BD22,"u")=0), "u", "")</f>
        <v/>
      </c>
      <c r="BF22" s="80" t="str">
        <f>IF(AND($F22&lt;&gt;"", $F22&gt;=BF$5-4, $F22&lt;=BF$5, COUNTIF($M22:BE22,"u")=0), "u", "")</f>
        <v/>
      </c>
      <c r="BG22" s="80" t="str">
        <f>IF(AND($F22&lt;&gt;"", $F22&gt;=BG$5-4, $F22&lt;=BG$5, COUNTIF($M22:BF22,"u")=0), "u", "")</f>
        <v/>
      </c>
      <c r="BH22" s="80" t="str">
        <f>IF(AND($F22&lt;&gt;"", $F22&gt;=BH$5-4, $F22&lt;=BH$5, COUNTIF($M22:BG22,"u")=0), "u", "")</f>
        <v/>
      </c>
      <c r="BI22" s="80" t="str">
        <f>IF(AND($F22&lt;&gt;"", $F22&gt;=BI$5-4, $F22&lt;=BI$5, COUNTIF($M22:BH22,"u")=0), "u", "")</f>
        <v/>
      </c>
      <c r="BJ22" s="80" t="str">
        <f>IF(AND($F22&lt;&gt;"", $F22&gt;=BJ$5-4, $F22&lt;=BJ$5, COUNTIF($M22:BI22,"u")=0), "u", "")</f>
        <v/>
      </c>
      <c r="BK22" s="80" t="str">
        <f>IF(AND($F22&lt;&gt;"", $F22&gt;=BK$5-4, $F22&lt;=BK$5, COUNTIF($M22:BJ22,"u")=0), "u", "")</f>
        <v/>
      </c>
      <c r="BL22" s="80" t="str">
        <f>IF(AND($F22&lt;&gt;"", $F22&gt;=BL$5-4, $F22&lt;=BL$5, COUNTIF($M22:BK22,"u")=0), "u", "")</f>
        <v/>
      </c>
      <c r="BM22" s="80" t="str">
        <f>IF(AND($F22&lt;&gt;"", $F22&gt;=BM$5-4, $F22&lt;=BM$5, COUNTIF($M22:BL22,"u")=0), "u", "")</f>
        <v/>
      </c>
      <c r="BN22" s="80" t="str">
        <f>IF(AND($F22&lt;&gt;"", $F22&gt;=BN$5-4, $F22&lt;=BN$5, COUNTIF($M22:BM22,"u")=0), "u", "")</f>
        <v/>
      </c>
      <c r="BO22" s="80" t="str">
        <f>IF(AND($F22&lt;&gt;"", $F22&gt;=BO$5-4, $F22&lt;=BO$5, COUNTIF($M22:BN22,"u")=0), "u", "")</f>
        <v/>
      </c>
      <c r="BP22" s="80" t="str">
        <f>IF(AND($F22&lt;&gt;"", $F22&gt;=BP$5-4, $F22&lt;=BP$5, COUNTIF($M22:BO22,"u")=0), "u", "")</f>
        <v/>
      </c>
      <c r="BQ22" s="80" t="str">
        <f>IF(AND($F22&lt;&gt;"", $F22&gt;=BQ$5-4, $F22&lt;=BQ$5, COUNTIF($M22:BP22,"u")=0), "u", "")</f>
        <v/>
      </c>
      <c r="BR22" s="80" t="str">
        <f>IF(AND($F22&lt;&gt;"", $F22&gt;=BR$5-4, $F22&lt;=BR$5, COUNTIF($M22:BQ22,"u")=0), "u", "")</f>
        <v/>
      </c>
      <c r="BS22" s="80" t="str">
        <f>IF(AND($F22&lt;&gt;"", $F22&gt;=BS$5-4, $F22&lt;=BS$5, COUNTIF($M22:BR22,"u")=0), "u", "")</f>
        <v/>
      </c>
      <c r="BT22" s="80" t="str">
        <f>IF(AND($F22&lt;&gt;"", $F22&gt;=BT$5-4, $F22&lt;=BT$5, COUNTIF($M22:BS22,"u")=0), "u", "")</f>
        <v/>
      </c>
      <c r="BU22" s="80" t="str">
        <f>IF(AND($F22&lt;&gt;"", $F22&gt;=BU$5-4, $F22&lt;=BU$5, COUNTIF($M22:BT22,"u")=0), "u", "")</f>
        <v/>
      </c>
      <c r="BV22" s="80" t="str">
        <f>IF(AND($F22&lt;&gt;"", $F22&gt;=BV$5-4, $F22&lt;=BV$5, COUNTIF($M22:BU22,"u")=0), "u", "")</f>
        <v/>
      </c>
      <c r="BW22" s="80" t="str">
        <f>IF(AND($F22&lt;&gt;"", $F22&gt;=BW$5-4, $F22&lt;=BW$5, COUNTIF($M22:BV22,"u")=0), "u", "")</f>
        <v/>
      </c>
      <c r="BX22" s="80" t="str">
        <f>IF(AND($F22&lt;&gt;"", $F22&gt;=BX$5-4, $F22&lt;=BX$5, COUNTIF($M22:BW22,"u")=0), "u", "")</f>
        <v/>
      </c>
      <c r="BY22" s="80" t="str">
        <f>IF(AND($F22&lt;&gt;"", $F22&gt;=BY$5-4, $F22&lt;=BY$5, COUNTIF($M22:BX22,"u")=0), "u", "")</f>
        <v/>
      </c>
      <c r="BZ22" s="80" t="str">
        <f>IF(AND($F22&lt;&gt;"", $F22&gt;=BZ$5-4, $F22&lt;=BZ$5, COUNTIF($M22:BY22,"u")=0), "u", "")</f>
        <v/>
      </c>
      <c r="CA22" s="80" t="str">
        <f>IF(AND($F22&lt;&gt;"", $F22&gt;=CA$5-4, $F22&lt;=CA$5, COUNTIF($M22:BZ22,"u")=0), "u", "")</f>
        <v/>
      </c>
      <c r="CB22" s="80" t="str">
        <f>IF(AND($F22&lt;&gt;"", $F22&gt;=CB$5-4, $F22&lt;=CB$5, COUNTIF($M22:CA22,"u")=0), "u", "")</f>
        <v/>
      </c>
      <c r="CC22" s="80" t="str">
        <f>IF(AND($F22&lt;&gt;"", $F22&gt;=CC$5-4, $F22&lt;=CC$5, COUNTIF($M22:CB22,"u")=0), "u", "")</f>
        <v/>
      </c>
      <c r="CD22" s="80" t="str">
        <f>IF(AND($F22&lt;&gt;"", $F22&gt;=CD$5-4, $F22&lt;=CD$5, COUNTIF($M22:CC22,"u")=0), "u", "")</f>
        <v/>
      </c>
      <c r="CE22" s="80" t="str">
        <f>IF(AND($F22&lt;&gt;"", $F22&gt;=CE$5-4, $F22&lt;=CE$5, COUNTIF($M22:CD22,"u")=0), "u", "")</f>
        <v/>
      </c>
      <c r="CF22" s="80" t="str">
        <f>IF(AND($F22&lt;&gt;"", $F22&gt;=CF$5-4, $F22&lt;=CF$5, COUNTIF($M22:CE22,"u")=0), "u", "")</f>
        <v/>
      </c>
      <c r="CG22" s="80" t="str">
        <f>IF(AND($F22&lt;&gt;"", $F22&gt;=CG$5-4, $F22&lt;=CG$5, COUNTIF($M22:CF22,"u")=0), "u", "")</f>
        <v/>
      </c>
      <c r="CH22" s="80" t="str">
        <f>IF(AND($F22&lt;&gt;"", $F22&gt;=CH$5-4, $F22&lt;=CH$5, COUNTIF($M22:CG22,"u")=0), "u", "")</f>
        <v/>
      </c>
      <c r="CI22" s="80" t="str">
        <f>IF(AND($F22&lt;&gt;"", $F22&gt;=CI$5-4, $F22&lt;=CI$5, COUNTIF($M22:CH22,"u")=0), "u", "")</f>
        <v/>
      </c>
      <c r="CJ22" s="80" t="str">
        <f>IF(AND($F22&lt;&gt;"", $F22&gt;=CJ$5-4, $F22&lt;=CJ$5, COUNTIF($M22:CI22,"u")=0), "u", "")</f>
        <v/>
      </c>
      <c r="CK22" s="80" t="str">
        <f>IF(AND($F22&lt;&gt;"", $F22&gt;=CK$5-4, $F22&lt;=CK$5, COUNTIF($M22:CJ22,"u")=0), "u", "")</f>
        <v/>
      </c>
      <c r="CL22" s="80" t="str">
        <f>IF(AND($F22&lt;&gt;"", $F22&gt;=CL$5-4, $F22&lt;=CL$5, COUNTIF($M22:CK22,"u")=0), "u", "")</f>
        <v/>
      </c>
      <c r="CM22" s="80" t="str">
        <f>IF(AND($F22&lt;&gt;"", $F22&gt;=CM$5-4, $F22&lt;=CM$5, COUNTIF($M22:CL22,"u")=0), "u", "")</f>
        <v/>
      </c>
      <c r="CN22" s="80" t="str">
        <f>IF(AND($F22&lt;&gt;"", $F22&gt;=CN$5-4, $F22&lt;=CN$5, COUNTIF($M22:CM22,"u")=0), "u", "")</f>
        <v/>
      </c>
      <c r="CO22" s="80" t="str">
        <f>IF(AND($F22&lt;&gt;"", $F22&gt;=CO$5-4, $F22&lt;=CO$5, COUNTIF($M22:CN22,"u")=0), "u", "")</f>
        <v/>
      </c>
      <c r="CP22" s="80" t="str">
        <f>IF(AND($F22&lt;&gt;"", $F22&gt;=CP$5-4, $F22&lt;=CP$5, COUNTIF($M22:CO22,"u")=0), "u", "")</f>
        <v/>
      </c>
      <c r="CQ22" s="80" t="str">
        <f>IF(AND($F22&lt;&gt;"", $F22&gt;=CQ$5-4, $F22&lt;=CQ$5, COUNTIF($M22:CP22,"u")=0), "u", "")</f>
        <v/>
      </c>
      <c r="CR22" s="80" t="str">
        <f>IF(AND($F22&lt;&gt;"", $F22&gt;=CR$5-4, $F22&lt;=CR$5, COUNTIF($M22:CQ22,"u")=0), "u", "")</f>
        <v/>
      </c>
      <c r="CS22" s="80" t="str">
        <f>IF(AND($F22&lt;&gt;"", $F22&gt;=CS$5-4, $F22&lt;=CS$5, COUNTIF($M22:CR22,"u")=0), "u", "")</f>
        <v/>
      </c>
      <c r="CT22" s="80" t="str">
        <f>IF(AND($F22&lt;&gt;"", $F22&gt;=CT$5-4, $F22&lt;=CT$5, COUNTIF($M22:CS22,"u")=0), "u", "")</f>
        <v/>
      </c>
      <c r="CU22" s="80" t="str">
        <f>IF(AND($F22&lt;&gt;"", $F22&gt;=CU$5-4, $F22&lt;=CU$5, COUNTIF($M22:CT22,"u")=0), "u", "")</f>
        <v/>
      </c>
      <c r="CV22" s="80" t="str">
        <f>IF(AND($F22&lt;&gt;"", $F22&gt;=CV$5-4, $F22&lt;=CV$5, COUNTIF($M22:CU22,"u")=0), "u", "")</f>
        <v/>
      </c>
      <c r="CW22" s="80" t="str">
        <f>IF(AND($F22&lt;&gt;"", $F22&gt;=CW$5-4, $F22&lt;=CW$5, COUNTIF($M22:CV22,"u")=0), "u", "")</f>
        <v/>
      </c>
      <c r="CX22" s="80" t="str">
        <f>IF(AND($F22&lt;&gt;"", $F22&gt;=CX$5-4, $F22&lt;=CX$5, COUNTIF($M22:CW22,"u")=0), "u", "")</f>
        <v/>
      </c>
      <c r="CY22" s="80" t="str">
        <f>IF(AND($F22&lt;&gt;"", $F22&gt;=CY$5-4, $F22&lt;=CY$5, COUNTIF($M22:CX22,"u")=0), "u", "")</f>
        <v/>
      </c>
      <c r="CZ22" s="80" t="str">
        <f>IF(AND($F22&lt;&gt;"", $F22&gt;=CZ$5-4, $F22&lt;=CZ$5, COUNTIF($M22:CY22,"u")=0), "u", "")</f>
        <v/>
      </c>
      <c r="DA22" s="80" t="str">
        <f>IF(AND($F22&lt;&gt;"", $F22&gt;=DA$5-4, $F22&lt;=DA$5, COUNTIF($M22:CZ22,"u")=0), "u", "")</f>
        <v/>
      </c>
      <c r="DB22" s="80" t="str">
        <f>IF(AND($F22&lt;&gt;"", $F22&gt;=DB$5-4, $F22&lt;=DB$5, COUNTIF($M22:DA22,"u")=0), "u", "")</f>
        <v/>
      </c>
      <c r="DC22" s="80" t="str">
        <f>IF(AND($F22&lt;&gt;"", $F22&gt;=DC$5-4, $F22&lt;=DC$5, COUNTIF($M22:DB22,"u")=0), "u", "")</f>
        <v/>
      </c>
      <c r="DD22" s="80" t="str">
        <f>IF(AND($F22&lt;&gt;"", $F22&gt;=DD$5-4, $F22&lt;=DD$5, COUNTIF($M22:DC22,"u")=0), "u", "")</f>
        <v/>
      </c>
      <c r="DE22" s="80" t="str">
        <f>IF(AND($F22&lt;&gt;"", $F22&gt;=DE$5-4, $F22&lt;=DE$5, COUNTIF($M22:DD22,"u")=0), "u", "")</f>
        <v/>
      </c>
      <c r="DF22" s="80" t="str">
        <f>IF(AND($F22&lt;&gt;"", $F22&gt;=DF$5-4, $F22&lt;=DF$5, COUNTIF($M22:DE22,"u")=0), "u", "")</f>
        <v/>
      </c>
      <c r="DG22" s="80" t="str">
        <f>IF(AND($F22&lt;&gt;"", $F22&gt;=DG$5-4, $F22&lt;=DG$5, COUNTIF($M22:DF22,"u")=0), "u", "")</f>
        <v/>
      </c>
      <c r="DH22" s="80" t="str">
        <f>IF(AND($F22&lt;&gt;"", $F22&gt;=DH$5-4, $F22&lt;=DH$5, COUNTIF($M22:DG22,"u")=0), "u", "")</f>
        <v/>
      </c>
      <c r="DI22" s="80" t="str">
        <f>IF(AND($F22&lt;&gt;"", $F22&gt;=DI$5-4, $F22&lt;=DI$5, COUNTIF($M22:DH22,"u")=0), "u", "")</f>
        <v/>
      </c>
      <c r="DJ22" s="80" t="str">
        <f>IF(AND($F22&lt;&gt;"", $F22&gt;=DJ$5-4, $F22&lt;=DJ$5, COUNTIF($M22:DI22,"u")=0), "u", "")</f>
        <v/>
      </c>
      <c r="DK22" s="80" t="str">
        <f>IF(AND($F22&lt;&gt;"", $F22&gt;=DK$5-4, $F22&lt;=DK$5, COUNTIF($M22:DJ22,"u")=0), "u", "")</f>
        <v/>
      </c>
      <c r="DL22" s="80" t="str">
        <f>IF(AND($F22&lt;&gt;"", $F22&gt;=DL$5-4, $F22&lt;=DL$5, COUNTIF($M22:DK22,"u")=0), "u", "")</f>
        <v/>
      </c>
    </row>
    <row r="23" spans="1:116" ht="25.05" customHeight="1" x14ac:dyDescent="0.3">
      <c r="A23" s="39"/>
      <c r="B23" s="75">
        <v>18</v>
      </c>
      <c r="C23" s="93"/>
      <c r="D23" s="92"/>
      <c r="E23" s="53"/>
      <c r="F23" s="53"/>
      <c r="G23" s="83" t="str">
        <f t="shared" si="47"/>
        <v/>
      </c>
      <c r="H23" s="83" t="str">
        <f t="shared" si="47"/>
        <v/>
      </c>
      <c r="I23" s="77" t="str">
        <f t="shared" si="45"/>
        <v/>
      </c>
      <c r="J23" s="78"/>
      <c r="K23" s="86"/>
      <c r="L23" s="56"/>
      <c r="M23" s="80" t="str">
        <f t="shared" si="46"/>
        <v/>
      </c>
      <c r="N23" s="80" t="str">
        <f>IF(AND($F23&lt;&gt;"", $F23&gt;=N$5-4, $F23&lt;=N$5, COUNTIF($M23:M23,"u")=0), "u", "")</f>
        <v/>
      </c>
      <c r="O23" s="80" t="str">
        <f>IF(AND($F23&lt;&gt;"", $F23&gt;=O$5-4, $F23&lt;=O$5, COUNTIF($M23:N23,"u")=0), "u", "")</f>
        <v/>
      </c>
      <c r="P23" s="80" t="str">
        <f>IF(AND($F23&lt;&gt;"", $F23&gt;=P$5-4, $F23&lt;=P$5, COUNTIF($M23:O23,"u")=0), "u", "")</f>
        <v/>
      </c>
      <c r="Q23" s="80" t="str">
        <f>IF(AND($F23&lt;&gt;"", $F23&gt;=Q$5-4, $F23&lt;=Q$5, COUNTIF($M23:P23,"u")=0), "u", "")</f>
        <v/>
      </c>
      <c r="R23" s="80" t="str">
        <f>IF(AND($F23&lt;&gt;"", $F23&gt;=R$5-4, $F23&lt;=R$5, COUNTIF($M23:Q23,"u")=0), "u", "")</f>
        <v/>
      </c>
      <c r="S23" s="80" t="str">
        <f>IF(AND($F23&lt;&gt;"", $F23&gt;=S$5-4, $F23&lt;=S$5, COUNTIF($M23:R23,"u")=0), "u", "")</f>
        <v/>
      </c>
      <c r="T23" s="80" t="str">
        <f>IF(AND($F23&lt;&gt;"", $F23&gt;=T$5-4, $F23&lt;=T$5, COUNTIF($M23:S23,"u")=0), "u", "")</f>
        <v/>
      </c>
      <c r="U23" s="80" t="str">
        <f>IF(AND($F23&lt;&gt;"", $F23&gt;=U$5-4, $F23&lt;=U$5, COUNTIF($M23:T23,"u")=0), "u", "")</f>
        <v/>
      </c>
      <c r="V23" s="80" t="str">
        <f>IF(AND($F23&lt;&gt;"", $F23&gt;=V$5-4, $F23&lt;=V$5, COUNTIF($M23:U23,"u")=0), "u", "")</f>
        <v/>
      </c>
      <c r="W23" s="80" t="str">
        <f>IF(AND($F23&lt;&gt;"", $F23&gt;=W$5-4, $F23&lt;=W$5, COUNTIF($M23:V23,"u")=0), "u", "")</f>
        <v/>
      </c>
      <c r="X23" s="80" t="str">
        <f>IF(AND($F23&lt;&gt;"", $F23&gt;=X$5-4, $F23&lt;=X$5, COUNTIF($M23:W23,"u")=0), "u", "")</f>
        <v/>
      </c>
      <c r="Y23" s="80" t="str">
        <f>IF(AND($F23&lt;&gt;"", $F23&gt;=Y$5-4, $F23&lt;=Y$5, COUNTIF($M23:X23,"u")=0), "u", "")</f>
        <v/>
      </c>
      <c r="Z23" s="80" t="str">
        <f>IF(AND($F23&lt;&gt;"", $F23&gt;=Z$5-4, $F23&lt;=Z$5, COUNTIF($M23:Y23,"u")=0), "u", "")</f>
        <v/>
      </c>
      <c r="AA23" s="80" t="str">
        <f>IF(AND($F23&lt;&gt;"", $F23&gt;=AA$5-4, $F23&lt;=AA$5, COUNTIF($M23:Z23,"u")=0), "u", "")</f>
        <v/>
      </c>
      <c r="AB23" s="80" t="str">
        <f>IF(AND($F23&lt;&gt;"", $F23&gt;=AB$5-4, $F23&lt;=AB$5, COUNTIF($M23:AA23,"u")=0), "u", "")</f>
        <v/>
      </c>
      <c r="AC23" s="80" t="str">
        <f>IF(AND($F23&lt;&gt;"", $F23&gt;=AC$5-4, $F23&lt;=AC$5, COUNTIF($M23:AB23,"u")=0), "u", "")</f>
        <v/>
      </c>
      <c r="AD23" s="80" t="str">
        <f>IF(AND($F23&lt;&gt;"", $F23&gt;=AD$5-4, $F23&lt;=AD$5, COUNTIF($M23:AC23,"u")=0), "u", "")</f>
        <v/>
      </c>
      <c r="AE23" s="80" t="str">
        <f>IF(AND($F23&lt;&gt;"", $F23&gt;=AE$5-4, $F23&lt;=AE$5, COUNTIF($M23:AD23,"u")=0), "u", "")</f>
        <v/>
      </c>
      <c r="AF23" s="80" t="str">
        <f>IF(AND($F23&lt;&gt;"", $F23&gt;=AF$5-4, $F23&lt;=AF$5, COUNTIF($M23:AE23,"u")=0), "u", "")</f>
        <v/>
      </c>
      <c r="AG23" s="80" t="str">
        <f>IF(AND($F23&lt;&gt;"", $F23&gt;=AG$5-4, $F23&lt;=AG$5, COUNTIF($M23:AF23,"u")=0), "u", "")</f>
        <v/>
      </c>
      <c r="AH23" s="80" t="str">
        <f>IF(AND($F23&lt;&gt;"", $F23&gt;=AH$5-4, $F23&lt;=AH$5, COUNTIF($M23:AG23,"u")=0), "u", "")</f>
        <v/>
      </c>
      <c r="AI23" s="80" t="str">
        <f>IF(AND($F23&lt;&gt;"", $F23&gt;=AI$5-4, $F23&lt;=AI$5, COUNTIF($M23:AH23,"u")=0), "u", "")</f>
        <v/>
      </c>
      <c r="AJ23" s="80" t="str">
        <f>IF(AND($F23&lt;&gt;"", $F23&gt;=AJ$5-4, $F23&lt;=AJ$5, COUNTIF($M23:AI23,"u")=0), "u", "")</f>
        <v/>
      </c>
      <c r="AK23" s="80" t="str">
        <f>IF(AND($F23&lt;&gt;"", $F23&gt;=AK$5-4, $F23&lt;=AK$5, COUNTIF($M23:AJ23,"u")=0), "u", "")</f>
        <v/>
      </c>
      <c r="AL23" s="80" t="str">
        <f>IF(AND($F23&lt;&gt;"", $F23&gt;=AL$5-4, $F23&lt;=AL$5, COUNTIF($M23:AK23,"u")=0), "u", "")</f>
        <v/>
      </c>
      <c r="AM23" s="80" t="str">
        <f>IF(AND($F23&lt;&gt;"", $F23&gt;=AM$5-4, $F23&lt;=AM$5, COUNTIF($M23:AL23,"u")=0), "u", "")</f>
        <v/>
      </c>
      <c r="AN23" s="80" t="str">
        <f>IF(AND($F23&lt;&gt;"", $F23&gt;=AN$5-4, $F23&lt;=AN$5, COUNTIF($M23:AM23,"u")=0), "u", "")</f>
        <v/>
      </c>
      <c r="AO23" s="80" t="str">
        <f>IF(AND($F23&lt;&gt;"", $F23&gt;=AO$5-4, $F23&lt;=AO$5, COUNTIF($M23:AN23,"u")=0), "u", "")</f>
        <v/>
      </c>
      <c r="AP23" s="80" t="str">
        <f>IF(AND($F23&lt;&gt;"", $F23&gt;=AP$5-4, $F23&lt;=AP$5, COUNTIF($M23:AO23,"u")=0), "u", "")</f>
        <v/>
      </c>
      <c r="AQ23" s="80" t="str">
        <f>IF(AND($F23&lt;&gt;"", $F23&gt;=AQ$5-4, $F23&lt;=AQ$5, COUNTIF($M23:AP23,"u")=0), "u", "")</f>
        <v/>
      </c>
      <c r="AR23" s="80" t="str">
        <f>IF(AND($F23&lt;&gt;"", $F23&gt;=AR$5-4, $F23&lt;=AR$5, COUNTIF($M23:AQ23,"u")=0), "u", "")</f>
        <v/>
      </c>
      <c r="AS23" s="80" t="str">
        <f>IF(AND($F23&lt;&gt;"", $F23&gt;=AS$5-4, $F23&lt;=AS$5, COUNTIF($M23:AR23,"u")=0), "u", "")</f>
        <v/>
      </c>
      <c r="AT23" s="80" t="str">
        <f>IF(AND($F23&lt;&gt;"", $F23&gt;=AT$5-4, $F23&lt;=AT$5, COUNTIF($M23:AS23,"u")=0), "u", "")</f>
        <v/>
      </c>
      <c r="AU23" s="80" t="str">
        <f>IF(AND($F23&lt;&gt;"", $F23&gt;=AU$5-4, $F23&lt;=AU$5, COUNTIF($M23:AT23,"u")=0), "u", "")</f>
        <v/>
      </c>
      <c r="AV23" s="80" t="str">
        <f>IF(AND($F23&lt;&gt;"", $F23&gt;=AV$5-4, $F23&lt;=AV$5, COUNTIF($M23:AU23,"u")=0), "u", "")</f>
        <v/>
      </c>
      <c r="AW23" s="80" t="str">
        <f>IF(AND($F23&lt;&gt;"", $F23&gt;=AW$5-4, $F23&lt;=AW$5, COUNTIF($M23:AV23,"u")=0), "u", "")</f>
        <v/>
      </c>
      <c r="AX23" s="80" t="str">
        <f>IF(AND($F23&lt;&gt;"", $F23&gt;=AX$5-4, $F23&lt;=AX$5, COUNTIF($M23:AW23,"u")=0), "u", "")</f>
        <v/>
      </c>
      <c r="AY23" s="80" t="str">
        <f>IF(AND($F23&lt;&gt;"", $F23&gt;=AY$5-4, $F23&lt;=AY$5, COUNTIF($M23:AX23,"u")=0), "u", "")</f>
        <v/>
      </c>
      <c r="AZ23" s="80" t="str">
        <f>IF(AND($F23&lt;&gt;"", $F23&gt;=AZ$5-4, $F23&lt;=AZ$5, COUNTIF($M23:AY23,"u")=0), "u", "")</f>
        <v/>
      </c>
      <c r="BA23" s="80" t="str">
        <f>IF(AND($F23&lt;&gt;"", $F23&gt;=BA$5-4, $F23&lt;=BA$5, COUNTIF($M23:AZ23,"u")=0), "u", "")</f>
        <v/>
      </c>
      <c r="BB23" s="80" t="str">
        <f>IF(AND($F23&lt;&gt;"", $F23&gt;=BB$5-4, $F23&lt;=BB$5, COUNTIF($M23:BA23,"u")=0), "u", "")</f>
        <v/>
      </c>
      <c r="BC23" s="80" t="str">
        <f>IF(AND($F23&lt;&gt;"", $F23&gt;=BC$5-4, $F23&lt;=BC$5, COUNTIF($M23:BB23,"u")=0), "u", "")</f>
        <v/>
      </c>
      <c r="BD23" s="80" t="str">
        <f>IF(AND($F23&lt;&gt;"", $F23&gt;=BD$5-4, $F23&lt;=BD$5, COUNTIF($M23:BC23,"u")=0), "u", "")</f>
        <v/>
      </c>
      <c r="BE23" s="80" t="str">
        <f>IF(AND($F23&lt;&gt;"", $F23&gt;=BE$5-4, $F23&lt;=BE$5, COUNTIF($M23:BD23,"u")=0), "u", "")</f>
        <v/>
      </c>
      <c r="BF23" s="80" t="str">
        <f>IF(AND($F23&lt;&gt;"", $F23&gt;=BF$5-4, $F23&lt;=BF$5, COUNTIF($M23:BE23,"u")=0), "u", "")</f>
        <v/>
      </c>
      <c r="BG23" s="80" t="str">
        <f>IF(AND($F23&lt;&gt;"", $F23&gt;=BG$5-4, $F23&lt;=BG$5, COUNTIF($M23:BF23,"u")=0), "u", "")</f>
        <v/>
      </c>
      <c r="BH23" s="80" t="str">
        <f>IF(AND($F23&lt;&gt;"", $F23&gt;=BH$5-4, $F23&lt;=BH$5, COUNTIF($M23:BG23,"u")=0), "u", "")</f>
        <v/>
      </c>
      <c r="BI23" s="80" t="str">
        <f>IF(AND($F23&lt;&gt;"", $F23&gt;=BI$5-4, $F23&lt;=BI$5, COUNTIF($M23:BH23,"u")=0), "u", "")</f>
        <v/>
      </c>
      <c r="BJ23" s="80" t="str">
        <f>IF(AND($F23&lt;&gt;"", $F23&gt;=BJ$5-4, $F23&lt;=BJ$5, COUNTIF($M23:BI23,"u")=0), "u", "")</f>
        <v/>
      </c>
      <c r="BK23" s="80" t="str">
        <f>IF(AND($F23&lt;&gt;"", $F23&gt;=BK$5-4, $F23&lt;=BK$5, COUNTIF($M23:BJ23,"u")=0), "u", "")</f>
        <v/>
      </c>
      <c r="BL23" s="80" t="str">
        <f>IF(AND($F23&lt;&gt;"", $F23&gt;=BL$5-4, $F23&lt;=BL$5, COUNTIF($M23:BK23,"u")=0), "u", "")</f>
        <v/>
      </c>
      <c r="BM23" s="80" t="str">
        <f>IF(AND($F23&lt;&gt;"", $F23&gt;=BM$5-4, $F23&lt;=BM$5, COUNTIF($M23:BL23,"u")=0), "u", "")</f>
        <v/>
      </c>
      <c r="BN23" s="80" t="str">
        <f>IF(AND($F23&lt;&gt;"", $F23&gt;=BN$5-4, $F23&lt;=BN$5, COUNTIF($M23:BM23,"u")=0), "u", "")</f>
        <v/>
      </c>
      <c r="BO23" s="80" t="str">
        <f>IF(AND($F23&lt;&gt;"", $F23&gt;=BO$5-4, $F23&lt;=BO$5, COUNTIF($M23:BN23,"u")=0), "u", "")</f>
        <v/>
      </c>
      <c r="BP23" s="80" t="str">
        <f>IF(AND($F23&lt;&gt;"", $F23&gt;=BP$5-4, $F23&lt;=BP$5, COUNTIF($M23:BO23,"u")=0), "u", "")</f>
        <v/>
      </c>
      <c r="BQ23" s="80" t="str">
        <f>IF(AND($F23&lt;&gt;"", $F23&gt;=BQ$5-4, $F23&lt;=BQ$5, COUNTIF($M23:BP23,"u")=0), "u", "")</f>
        <v/>
      </c>
      <c r="BR23" s="80" t="str">
        <f>IF(AND($F23&lt;&gt;"", $F23&gt;=BR$5-4, $F23&lt;=BR$5, COUNTIF($M23:BQ23,"u")=0), "u", "")</f>
        <v/>
      </c>
      <c r="BS23" s="80" t="str">
        <f>IF(AND($F23&lt;&gt;"", $F23&gt;=BS$5-4, $F23&lt;=BS$5, COUNTIF($M23:BR23,"u")=0), "u", "")</f>
        <v/>
      </c>
      <c r="BT23" s="80" t="str">
        <f>IF(AND($F23&lt;&gt;"", $F23&gt;=BT$5-4, $F23&lt;=BT$5, COUNTIF($M23:BS23,"u")=0), "u", "")</f>
        <v/>
      </c>
      <c r="BU23" s="80" t="str">
        <f>IF(AND($F23&lt;&gt;"", $F23&gt;=BU$5-4, $F23&lt;=BU$5, COUNTIF($M23:BT23,"u")=0), "u", "")</f>
        <v/>
      </c>
      <c r="BV23" s="80" t="str">
        <f>IF(AND($F23&lt;&gt;"", $F23&gt;=BV$5-4, $F23&lt;=BV$5, COUNTIF($M23:BU23,"u")=0), "u", "")</f>
        <v/>
      </c>
      <c r="BW23" s="80" t="str">
        <f>IF(AND($F23&lt;&gt;"", $F23&gt;=BW$5-4, $F23&lt;=BW$5, COUNTIF($M23:BV23,"u")=0), "u", "")</f>
        <v/>
      </c>
      <c r="BX23" s="80" t="str">
        <f>IF(AND($F23&lt;&gt;"", $F23&gt;=BX$5-4, $F23&lt;=BX$5, COUNTIF($M23:BW23,"u")=0), "u", "")</f>
        <v/>
      </c>
      <c r="BY23" s="80" t="str">
        <f>IF(AND($F23&lt;&gt;"", $F23&gt;=BY$5-4, $F23&lt;=BY$5, COUNTIF($M23:BX23,"u")=0), "u", "")</f>
        <v/>
      </c>
      <c r="BZ23" s="80" t="str">
        <f>IF(AND($F23&lt;&gt;"", $F23&gt;=BZ$5-4, $F23&lt;=BZ$5, COUNTIF($M23:BY23,"u")=0), "u", "")</f>
        <v/>
      </c>
      <c r="CA23" s="80" t="str">
        <f>IF(AND($F23&lt;&gt;"", $F23&gt;=CA$5-4, $F23&lt;=CA$5, COUNTIF($M23:BZ23,"u")=0), "u", "")</f>
        <v/>
      </c>
      <c r="CB23" s="80" t="str">
        <f>IF(AND($F23&lt;&gt;"", $F23&gt;=CB$5-4, $F23&lt;=CB$5, COUNTIF($M23:CA23,"u")=0), "u", "")</f>
        <v/>
      </c>
      <c r="CC23" s="80" t="str">
        <f>IF(AND($F23&lt;&gt;"", $F23&gt;=CC$5-4, $F23&lt;=CC$5, COUNTIF($M23:CB23,"u")=0), "u", "")</f>
        <v/>
      </c>
      <c r="CD23" s="80" t="str">
        <f>IF(AND($F23&lt;&gt;"", $F23&gt;=CD$5-4, $F23&lt;=CD$5, COUNTIF($M23:CC23,"u")=0), "u", "")</f>
        <v/>
      </c>
      <c r="CE23" s="80" t="str">
        <f>IF(AND($F23&lt;&gt;"", $F23&gt;=CE$5-4, $F23&lt;=CE$5, COUNTIF($M23:CD23,"u")=0), "u", "")</f>
        <v/>
      </c>
      <c r="CF23" s="80" t="str">
        <f>IF(AND($F23&lt;&gt;"", $F23&gt;=CF$5-4, $F23&lt;=CF$5, COUNTIF($M23:CE23,"u")=0), "u", "")</f>
        <v/>
      </c>
      <c r="CG23" s="80" t="str">
        <f>IF(AND($F23&lt;&gt;"", $F23&gt;=CG$5-4, $F23&lt;=CG$5, COUNTIF($M23:CF23,"u")=0), "u", "")</f>
        <v/>
      </c>
      <c r="CH23" s="80" t="str">
        <f>IF(AND($F23&lt;&gt;"", $F23&gt;=CH$5-4, $F23&lt;=CH$5, COUNTIF($M23:CG23,"u")=0), "u", "")</f>
        <v/>
      </c>
      <c r="CI23" s="80" t="str">
        <f>IF(AND($F23&lt;&gt;"", $F23&gt;=CI$5-4, $F23&lt;=CI$5, COUNTIF($M23:CH23,"u")=0), "u", "")</f>
        <v/>
      </c>
      <c r="CJ23" s="80" t="str">
        <f>IF(AND($F23&lt;&gt;"", $F23&gt;=CJ$5-4, $F23&lt;=CJ$5, COUNTIF($M23:CI23,"u")=0), "u", "")</f>
        <v/>
      </c>
      <c r="CK23" s="80" t="str">
        <f>IF(AND($F23&lt;&gt;"", $F23&gt;=CK$5-4, $F23&lt;=CK$5, COUNTIF($M23:CJ23,"u")=0), "u", "")</f>
        <v/>
      </c>
      <c r="CL23" s="80" t="str">
        <f>IF(AND($F23&lt;&gt;"", $F23&gt;=CL$5-4, $F23&lt;=CL$5, COUNTIF($M23:CK23,"u")=0), "u", "")</f>
        <v/>
      </c>
      <c r="CM23" s="80" t="str">
        <f>IF(AND($F23&lt;&gt;"", $F23&gt;=CM$5-4, $F23&lt;=CM$5, COUNTIF($M23:CL23,"u")=0), "u", "")</f>
        <v/>
      </c>
      <c r="CN23" s="80" t="str">
        <f>IF(AND($F23&lt;&gt;"", $F23&gt;=CN$5-4, $F23&lt;=CN$5, COUNTIF($M23:CM23,"u")=0), "u", "")</f>
        <v/>
      </c>
      <c r="CO23" s="80" t="str">
        <f>IF(AND($F23&lt;&gt;"", $F23&gt;=CO$5-4, $F23&lt;=CO$5, COUNTIF($M23:CN23,"u")=0), "u", "")</f>
        <v/>
      </c>
      <c r="CP23" s="80" t="str">
        <f>IF(AND($F23&lt;&gt;"", $F23&gt;=CP$5-4, $F23&lt;=CP$5, COUNTIF($M23:CO23,"u")=0), "u", "")</f>
        <v/>
      </c>
      <c r="CQ23" s="80" t="str">
        <f>IF(AND($F23&lt;&gt;"", $F23&gt;=CQ$5-4, $F23&lt;=CQ$5, COUNTIF($M23:CP23,"u")=0), "u", "")</f>
        <v/>
      </c>
      <c r="CR23" s="80" t="str">
        <f>IF(AND($F23&lt;&gt;"", $F23&gt;=CR$5-4, $F23&lt;=CR$5, COUNTIF($M23:CQ23,"u")=0), "u", "")</f>
        <v/>
      </c>
      <c r="CS23" s="80" t="str">
        <f>IF(AND($F23&lt;&gt;"", $F23&gt;=CS$5-4, $F23&lt;=CS$5, COUNTIF($M23:CR23,"u")=0), "u", "")</f>
        <v/>
      </c>
      <c r="CT23" s="80" t="str">
        <f>IF(AND($F23&lt;&gt;"", $F23&gt;=CT$5-4, $F23&lt;=CT$5, COUNTIF($M23:CS23,"u")=0), "u", "")</f>
        <v/>
      </c>
      <c r="CU23" s="80" t="str">
        <f>IF(AND($F23&lt;&gt;"", $F23&gt;=CU$5-4, $F23&lt;=CU$5, COUNTIF($M23:CT23,"u")=0), "u", "")</f>
        <v/>
      </c>
      <c r="CV23" s="80" t="str">
        <f>IF(AND($F23&lt;&gt;"", $F23&gt;=CV$5-4, $F23&lt;=CV$5, COUNTIF($M23:CU23,"u")=0), "u", "")</f>
        <v/>
      </c>
      <c r="CW23" s="80" t="str">
        <f>IF(AND($F23&lt;&gt;"", $F23&gt;=CW$5-4, $F23&lt;=CW$5, COUNTIF($M23:CV23,"u")=0), "u", "")</f>
        <v/>
      </c>
      <c r="CX23" s="80" t="str">
        <f>IF(AND($F23&lt;&gt;"", $F23&gt;=CX$5-4, $F23&lt;=CX$5, COUNTIF($M23:CW23,"u")=0), "u", "")</f>
        <v/>
      </c>
      <c r="CY23" s="80" t="str">
        <f>IF(AND($F23&lt;&gt;"", $F23&gt;=CY$5-4, $F23&lt;=CY$5, COUNTIF($M23:CX23,"u")=0), "u", "")</f>
        <v/>
      </c>
      <c r="CZ23" s="80" t="str">
        <f>IF(AND($F23&lt;&gt;"", $F23&gt;=CZ$5-4, $F23&lt;=CZ$5, COUNTIF($M23:CY23,"u")=0), "u", "")</f>
        <v/>
      </c>
      <c r="DA23" s="80" t="str">
        <f>IF(AND($F23&lt;&gt;"", $F23&gt;=DA$5-4, $F23&lt;=DA$5, COUNTIF($M23:CZ23,"u")=0), "u", "")</f>
        <v/>
      </c>
      <c r="DB23" s="80" t="str">
        <f>IF(AND($F23&lt;&gt;"", $F23&gt;=DB$5-4, $F23&lt;=DB$5, COUNTIF($M23:DA23,"u")=0), "u", "")</f>
        <v/>
      </c>
      <c r="DC23" s="80" t="str">
        <f>IF(AND($F23&lt;&gt;"", $F23&gt;=DC$5-4, $F23&lt;=DC$5, COUNTIF($M23:DB23,"u")=0), "u", "")</f>
        <v/>
      </c>
      <c r="DD23" s="80" t="str">
        <f>IF(AND($F23&lt;&gt;"", $F23&gt;=DD$5-4, $F23&lt;=DD$5, COUNTIF($M23:DC23,"u")=0), "u", "")</f>
        <v/>
      </c>
      <c r="DE23" s="80" t="str">
        <f>IF(AND($F23&lt;&gt;"", $F23&gt;=DE$5-4, $F23&lt;=DE$5, COUNTIF($M23:DD23,"u")=0), "u", "")</f>
        <v/>
      </c>
      <c r="DF23" s="80" t="str">
        <f>IF(AND($F23&lt;&gt;"", $F23&gt;=DF$5-4, $F23&lt;=DF$5, COUNTIF($M23:DE23,"u")=0), "u", "")</f>
        <v/>
      </c>
      <c r="DG23" s="80" t="str">
        <f>IF(AND($F23&lt;&gt;"", $F23&gt;=DG$5-4, $F23&lt;=DG$5, COUNTIF($M23:DF23,"u")=0), "u", "")</f>
        <v/>
      </c>
      <c r="DH23" s="80" t="str">
        <f>IF(AND($F23&lt;&gt;"", $F23&gt;=DH$5-4, $F23&lt;=DH$5, COUNTIF($M23:DG23,"u")=0), "u", "")</f>
        <v/>
      </c>
      <c r="DI23" s="80" t="str">
        <f>IF(AND($F23&lt;&gt;"", $F23&gt;=DI$5-4, $F23&lt;=DI$5, COUNTIF($M23:DH23,"u")=0), "u", "")</f>
        <v/>
      </c>
      <c r="DJ23" s="80" t="str">
        <f>IF(AND($F23&lt;&gt;"", $F23&gt;=DJ$5-4, $F23&lt;=DJ$5, COUNTIF($M23:DI23,"u")=0), "u", "")</f>
        <v/>
      </c>
      <c r="DK23" s="80" t="str">
        <f>IF(AND($F23&lt;&gt;"", $F23&gt;=DK$5-4, $F23&lt;=DK$5, COUNTIF($M23:DJ23,"u")=0), "u", "")</f>
        <v/>
      </c>
      <c r="DL23" s="80" t="str">
        <f>IF(AND($F23&lt;&gt;"", $F23&gt;=DL$5-4, $F23&lt;=DL$5, COUNTIF($M23:DK23,"u")=0), "u", "")</f>
        <v/>
      </c>
    </row>
    <row r="24" spans="1:116" ht="25.05" customHeight="1" x14ac:dyDescent="0.3">
      <c r="A24" s="39"/>
      <c r="B24" s="75">
        <v>19</v>
      </c>
      <c r="C24" s="94"/>
      <c r="D24" s="95"/>
      <c r="E24" s="53"/>
      <c r="F24" s="53"/>
      <c r="G24" s="89" t="str">
        <f t="shared" si="47"/>
        <v/>
      </c>
      <c r="H24" s="89" t="str">
        <f t="shared" si="47"/>
        <v/>
      </c>
      <c r="I24" s="77" t="str">
        <f t="shared" si="45"/>
        <v/>
      </c>
      <c r="J24" s="78"/>
      <c r="K24" s="96"/>
      <c r="L24" s="58"/>
      <c r="M24" s="80" t="str">
        <f t="shared" si="46"/>
        <v/>
      </c>
      <c r="N24" s="80" t="str">
        <f>IF(AND($F24&lt;&gt;"", $F24&gt;=N$5-4, $F24&lt;=N$5, COUNTIF($M24:M24,"u")=0), "u", "")</f>
        <v/>
      </c>
      <c r="O24" s="80" t="str">
        <f>IF(AND($F24&lt;&gt;"", $F24&gt;=O$5-4, $F24&lt;=O$5, COUNTIF($M24:N24,"u")=0), "u", "")</f>
        <v/>
      </c>
      <c r="P24" s="80" t="str">
        <f>IF(AND($F24&lt;&gt;"", $F24&gt;=P$5-4, $F24&lt;=P$5, COUNTIF($M24:O24,"u")=0), "u", "")</f>
        <v/>
      </c>
      <c r="Q24" s="80" t="str">
        <f>IF(AND($F24&lt;&gt;"", $F24&gt;=Q$5-4, $F24&lt;=Q$5, COUNTIF($M24:P24,"u")=0), "u", "")</f>
        <v/>
      </c>
      <c r="R24" s="80" t="str">
        <f>IF(AND($F24&lt;&gt;"", $F24&gt;=R$5-4, $F24&lt;=R$5, COUNTIF($M24:Q24,"u")=0), "u", "")</f>
        <v/>
      </c>
      <c r="S24" s="80" t="str">
        <f>IF(AND($F24&lt;&gt;"", $F24&gt;=S$5-4, $F24&lt;=S$5, COUNTIF($M24:R24,"u")=0), "u", "")</f>
        <v/>
      </c>
      <c r="T24" s="80" t="str">
        <f>IF(AND($F24&lt;&gt;"", $F24&gt;=T$5-4, $F24&lt;=T$5, COUNTIF($M24:S24,"u")=0), "u", "")</f>
        <v/>
      </c>
      <c r="U24" s="80" t="str">
        <f>IF(AND($F24&lt;&gt;"", $F24&gt;=U$5-4, $F24&lt;=U$5, COUNTIF($M24:T24,"u")=0), "u", "")</f>
        <v/>
      </c>
      <c r="V24" s="80" t="str">
        <f>IF(AND($F24&lt;&gt;"", $F24&gt;=V$5-4, $F24&lt;=V$5, COUNTIF($M24:U24,"u")=0), "u", "")</f>
        <v/>
      </c>
      <c r="W24" s="80" t="str">
        <f>IF(AND($F24&lt;&gt;"", $F24&gt;=W$5-4, $F24&lt;=W$5, COUNTIF($M24:V24,"u")=0), "u", "")</f>
        <v/>
      </c>
      <c r="X24" s="80" t="str">
        <f>IF(AND($F24&lt;&gt;"", $F24&gt;=X$5-4, $F24&lt;=X$5, COUNTIF($M24:W24,"u")=0), "u", "")</f>
        <v/>
      </c>
      <c r="Y24" s="80" t="str">
        <f>IF(AND($F24&lt;&gt;"", $F24&gt;=Y$5-4, $F24&lt;=Y$5, COUNTIF($M24:X24,"u")=0), "u", "")</f>
        <v/>
      </c>
      <c r="Z24" s="80" t="str">
        <f>IF(AND($F24&lt;&gt;"", $F24&gt;=Z$5-4, $F24&lt;=Z$5, COUNTIF($M24:Y24,"u")=0), "u", "")</f>
        <v/>
      </c>
      <c r="AA24" s="80" t="str">
        <f>IF(AND($F24&lt;&gt;"", $F24&gt;=AA$5-4, $F24&lt;=AA$5, COUNTIF($M24:Z24,"u")=0), "u", "")</f>
        <v/>
      </c>
      <c r="AB24" s="80" t="str">
        <f>IF(AND($F24&lt;&gt;"", $F24&gt;=AB$5-4, $F24&lt;=AB$5, COUNTIF($M24:AA24,"u")=0), "u", "")</f>
        <v/>
      </c>
      <c r="AC24" s="80" t="str">
        <f>IF(AND($F24&lt;&gt;"", $F24&gt;=AC$5-4, $F24&lt;=AC$5, COUNTIF($M24:AB24,"u")=0), "u", "")</f>
        <v/>
      </c>
      <c r="AD24" s="80" t="str">
        <f>IF(AND($F24&lt;&gt;"", $F24&gt;=AD$5-4, $F24&lt;=AD$5, COUNTIF($M24:AC24,"u")=0), "u", "")</f>
        <v/>
      </c>
      <c r="AE24" s="80" t="str">
        <f>IF(AND($F24&lt;&gt;"", $F24&gt;=AE$5-4, $F24&lt;=AE$5, COUNTIF($M24:AD24,"u")=0), "u", "")</f>
        <v/>
      </c>
      <c r="AF24" s="80" t="str">
        <f>IF(AND($F24&lt;&gt;"", $F24&gt;=AF$5-4, $F24&lt;=AF$5, COUNTIF($M24:AE24,"u")=0), "u", "")</f>
        <v/>
      </c>
      <c r="AG24" s="80" t="str">
        <f>IF(AND($F24&lt;&gt;"", $F24&gt;=AG$5-4, $F24&lt;=AG$5, COUNTIF($M24:AF24,"u")=0), "u", "")</f>
        <v/>
      </c>
      <c r="AH24" s="80" t="str">
        <f>IF(AND($F24&lt;&gt;"", $F24&gt;=AH$5-4, $F24&lt;=AH$5, COUNTIF($M24:AG24,"u")=0), "u", "")</f>
        <v/>
      </c>
      <c r="AI24" s="80" t="str">
        <f>IF(AND($F24&lt;&gt;"", $F24&gt;=AI$5-4, $F24&lt;=AI$5, COUNTIF($M24:AH24,"u")=0), "u", "")</f>
        <v/>
      </c>
      <c r="AJ24" s="80" t="str">
        <f>IF(AND($F24&lt;&gt;"", $F24&gt;=AJ$5-4, $F24&lt;=AJ$5, COUNTIF($M24:AI24,"u")=0), "u", "")</f>
        <v/>
      </c>
      <c r="AK24" s="80" t="str">
        <f>IF(AND($F24&lt;&gt;"", $F24&gt;=AK$5-4, $F24&lt;=AK$5, COUNTIF($M24:AJ24,"u")=0), "u", "")</f>
        <v/>
      </c>
      <c r="AL24" s="80" t="str">
        <f>IF(AND($F24&lt;&gt;"", $F24&gt;=AL$5-4, $F24&lt;=AL$5, COUNTIF($M24:AK24,"u")=0), "u", "")</f>
        <v/>
      </c>
      <c r="AM24" s="80" t="str">
        <f>IF(AND($F24&lt;&gt;"", $F24&gt;=AM$5-4, $F24&lt;=AM$5, COUNTIF($M24:AL24,"u")=0), "u", "")</f>
        <v/>
      </c>
      <c r="AN24" s="80" t="str">
        <f>IF(AND($F24&lt;&gt;"", $F24&gt;=AN$5-4, $F24&lt;=AN$5, COUNTIF($M24:AM24,"u")=0), "u", "")</f>
        <v/>
      </c>
      <c r="AO24" s="80" t="str">
        <f>IF(AND($F24&lt;&gt;"", $F24&gt;=AO$5-4, $F24&lt;=AO$5, COUNTIF($M24:AN24,"u")=0), "u", "")</f>
        <v/>
      </c>
      <c r="AP24" s="80" t="str">
        <f>IF(AND($F24&lt;&gt;"", $F24&gt;=AP$5-4, $F24&lt;=AP$5, COUNTIF($M24:AO24,"u")=0), "u", "")</f>
        <v/>
      </c>
      <c r="AQ24" s="80" t="str">
        <f>IF(AND($F24&lt;&gt;"", $F24&gt;=AQ$5-4, $F24&lt;=AQ$5, COUNTIF($M24:AP24,"u")=0), "u", "")</f>
        <v/>
      </c>
      <c r="AR24" s="80" t="str">
        <f>IF(AND($F24&lt;&gt;"", $F24&gt;=AR$5-4, $F24&lt;=AR$5, COUNTIF($M24:AQ24,"u")=0), "u", "")</f>
        <v/>
      </c>
      <c r="AS24" s="80" t="str">
        <f>IF(AND($F24&lt;&gt;"", $F24&gt;=AS$5-4, $F24&lt;=AS$5, COUNTIF($M24:AR24,"u")=0), "u", "")</f>
        <v/>
      </c>
      <c r="AT24" s="80" t="str">
        <f>IF(AND($F24&lt;&gt;"", $F24&gt;=AT$5-4, $F24&lt;=AT$5, COUNTIF($M24:AS24,"u")=0), "u", "")</f>
        <v/>
      </c>
      <c r="AU24" s="80" t="str">
        <f>IF(AND($F24&lt;&gt;"", $F24&gt;=AU$5-4, $F24&lt;=AU$5, COUNTIF($M24:AT24,"u")=0), "u", "")</f>
        <v/>
      </c>
      <c r="AV24" s="80" t="str">
        <f>IF(AND($F24&lt;&gt;"", $F24&gt;=AV$5-4, $F24&lt;=AV$5, COUNTIF($M24:AU24,"u")=0), "u", "")</f>
        <v/>
      </c>
      <c r="AW24" s="80" t="str">
        <f>IF(AND($F24&lt;&gt;"", $F24&gt;=AW$5-4, $F24&lt;=AW$5, COUNTIF($M24:AV24,"u")=0), "u", "")</f>
        <v/>
      </c>
      <c r="AX24" s="80" t="str">
        <f>IF(AND($F24&lt;&gt;"", $F24&gt;=AX$5-4, $F24&lt;=AX$5, COUNTIF($M24:AW24,"u")=0), "u", "")</f>
        <v/>
      </c>
      <c r="AY24" s="80" t="str">
        <f>IF(AND($F24&lt;&gt;"", $F24&gt;=AY$5-4, $F24&lt;=AY$5, COUNTIF($M24:AX24,"u")=0), "u", "")</f>
        <v/>
      </c>
      <c r="AZ24" s="80" t="str">
        <f>IF(AND($F24&lt;&gt;"", $F24&gt;=AZ$5-4, $F24&lt;=AZ$5, COUNTIF($M24:AY24,"u")=0), "u", "")</f>
        <v/>
      </c>
      <c r="BA24" s="80" t="str">
        <f>IF(AND($F24&lt;&gt;"", $F24&gt;=BA$5-4, $F24&lt;=BA$5, COUNTIF($M24:AZ24,"u")=0), "u", "")</f>
        <v/>
      </c>
      <c r="BB24" s="80" t="str">
        <f>IF(AND($F24&lt;&gt;"", $F24&gt;=BB$5-4, $F24&lt;=BB$5, COUNTIF($M24:BA24,"u")=0), "u", "")</f>
        <v/>
      </c>
      <c r="BC24" s="80" t="str">
        <f>IF(AND($F24&lt;&gt;"", $F24&gt;=BC$5-4, $F24&lt;=BC$5, COUNTIF($M24:BB24,"u")=0), "u", "")</f>
        <v/>
      </c>
      <c r="BD24" s="80" t="str">
        <f>IF(AND($F24&lt;&gt;"", $F24&gt;=BD$5-4, $F24&lt;=BD$5, COUNTIF($M24:BC24,"u")=0), "u", "")</f>
        <v/>
      </c>
      <c r="BE24" s="80" t="str">
        <f>IF(AND($F24&lt;&gt;"", $F24&gt;=BE$5-4, $F24&lt;=BE$5, COUNTIF($M24:BD24,"u")=0), "u", "")</f>
        <v/>
      </c>
      <c r="BF24" s="80" t="str">
        <f>IF(AND($F24&lt;&gt;"", $F24&gt;=BF$5-4, $F24&lt;=BF$5, COUNTIF($M24:BE24,"u")=0), "u", "")</f>
        <v/>
      </c>
      <c r="BG24" s="80" t="str">
        <f>IF(AND($F24&lt;&gt;"", $F24&gt;=BG$5-4, $F24&lt;=BG$5, COUNTIF($M24:BF24,"u")=0), "u", "")</f>
        <v/>
      </c>
      <c r="BH24" s="80" t="str">
        <f>IF(AND($F24&lt;&gt;"", $F24&gt;=BH$5-4, $F24&lt;=BH$5, COUNTIF($M24:BG24,"u")=0), "u", "")</f>
        <v/>
      </c>
      <c r="BI24" s="80" t="str">
        <f>IF(AND($F24&lt;&gt;"", $F24&gt;=BI$5-4, $F24&lt;=BI$5, COUNTIF($M24:BH24,"u")=0), "u", "")</f>
        <v/>
      </c>
      <c r="BJ24" s="80" t="str">
        <f>IF(AND($F24&lt;&gt;"", $F24&gt;=BJ$5-4, $F24&lt;=BJ$5, COUNTIF($M24:BI24,"u")=0), "u", "")</f>
        <v/>
      </c>
      <c r="BK24" s="80" t="str">
        <f>IF(AND($F24&lt;&gt;"", $F24&gt;=BK$5-4, $F24&lt;=BK$5, COUNTIF($M24:BJ24,"u")=0), "u", "")</f>
        <v/>
      </c>
      <c r="BL24" s="80" t="str">
        <f>IF(AND($F24&lt;&gt;"", $F24&gt;=BL$5-4, $F24&lt;=BL$5, COUNTIF($M24:BK24,"u")=0), "u", "")</f>
        <v/>
      </c>
      <c r="BM24" s="80" t="str">
        <f>IF(AND($F24&lt;&gt;"", $F24&gt;=BM$5-4, $F24&lt;=BM$5, COUNTIF($M24:BL24,"u")=0), "u", "")</f>
        <v/>
      </c>
      <c r="BN24" s="80" t="str">
        <f>IF(AND($F24&lt;&gt;"", $F24&gt;=BN$5-4, $F24&lt;=BN$5, COUNTIF($M24:BM24,"u")=0), "u", "")</f>
        <v/>
      </c>
      <c r="BO24" s="80" t="str">
        <f>IF(AND($F24&lt;&gt;"", $F24&gt;=BO$5-4, $F24&lt;=BO$5, COUNTIF($M24:BN24,"u")=0), "u", "")</f>
        <v/>
      </c>
      <c r="BP24" s="80" t="str">
        <f>IF(AND($F24&lt;&gt;"", $F24&gt;=BP$5-4, $F24&lt;=BP$5, COUNTIF($M24:BO24,"u")=0), "u", "")</f>
        <v/>
      </c>
      <c r="BQ24" s="80" t="str">
        <f>IF(AND($F24&lt;&gt;"", $F24&gt;=BQ$5-4, $F24&lt;=BQ$5, COUNTIF($M24:BP24,"u")=0), "u", "")</f>
        <v/>
      </c>
      <c r="BR24" s="80" t="str">
        <f>IF(AND($F24&lt;&gt;"", $F24&gt;=BR$5-4, $F24&lt;=BR$5, COUNTIF($M24:BQ24,"u")=0), "u", "")</f>
        <v/>
      </c>
      <c r="BS24" s="80" t="str">
        <f>IF(AND($F24&lt;&gt;"", $F24&gt;=BS$5-4, $F24&lt;=BS$5, COUNTIF($M24:BR24,"u")=0), "u", "")</f>
        <v/>
      </c>
      <c r="BT24" s="80" t="str">
        <f>IF(AND($F24&lt;&gt;"", $F24&gt;=BT$5-4, $F24&lt;=BT$5, COUNTIF($M24:BS24,"u")=0), "u", "")</f>
        <v/>
      </c>
      <c r="BU24" s="80" t="str">
        <f>IF(AND($F24&lt;&gt;"", $F24&gt;=BU$5-4, $F24&lt;=BU$5, COUNTIF($M24:BT24,"u")=0), "u", "")</f>
        <v/>
      </c>
      <c r="BV24" s="80" t="str">
        <f>IF(AND($F24&lt;&gt;"", $F24&gt;=BV$5-4, $F24&lt;=BV$5, COUNTIF($M24:BU24,"u")=0), "u", "")</f>
        <v/>
      </c>
      <c r="BW24" s="80" t="str">
        <f>IF(AND($F24&lt;&gt;"", $F24&gt;=BW$5-4, $F24&lt;=BW$5, COUNTIF($M24:BV24,"u")=0), "u", "")</f>
        <v/>
      </c>
      <c r="BX24" s="80" t="str">
        <f>IF(AND($F24&lt;&gt;"", $F24&gt;=BX$5-4, $F24&lt;=BX$5, COUNTIF($M24:BW24,"u")=0), "u", "")</f>
        <v/>
      </c>
      <c r="BY24" s="80" t="str">
        <f>IF(AND($F24&lt;&gt;"", $F24&gt;=BY$5-4, $F24&lt;=BY$5, COUNTIF($M24:BX24,"u")=0), "u", "")</f>
        <v/>
      </c>
      <c r="BZ24" s="80" t="str">
        <f>IF(AND($F24&lt;&gt;"", $F24&gt;=BZ$5-4, $F24&lt;=BZ$5, COUNTIF($M24:BY24,"u")=0), "u", "")</f>
        <v/>
      </c>
      <c r="CA24" s="80" t="str">
        <f>IF(AND($F24&lt;&gt;"", $F24&gt;=CA$5-4, $F24&lt;=CA$5, COUNTIF($M24:BZ24,"u")=0), "u", "")</f>
        <v/>
      </c>
      <c r="CB24" s="80" t="str">
        <f>IF(AND($F24&lt;&gt;"", $F24&gt;=CB$5-4, $F24&lt;=CB$5, COUNTIF($M24:CA24,"u")=0), "u", "")</f>
        <v/>
      </c>
      <c r="CC24" s="80" t="str">
        <f>IF(AND($F24&lt;&gt;"", $F24&gt;=CC$5-4, $F24&lt;=CC$5, COUNTIF($M24:CB24,"u")=0), "u", "")</f>
        <v/>
      </c>
      <c r="CD24" s="80" t="str">
        <f>IF(AND($F24&lt;&gt;"", $F24&gt;=CD$5-4, $F24&lt;=CD$5, COUNTIF($M24:CC24,"u")=0), "u", "")</f>
        <v/>
      </c>
      <c r="CE24" s="80" t="str">
        <f>IF(AND($F24&lt;&gt;"", $F24&gt;=CE$5-4, $F24&lt;=CE$5, COUNTIF($M24:CD24,"u")=0), "u", "")</f>
        <v/>
      </c>
      <c r="CF24" s="80" t="str">
        <f>IF(AND($F24&lt;&gt;"", $F24&gt;=CF$5-4, $F24&lt;=CF$5, COUNTIF($M24:CE24,"u")=0), "u", "")</f>
        <v/>
      </c>
      <c r="CG24" s="80" t="str">
        <f>IF(AND($F24&lt;&gt;"", $F24&gt;=CG$5-4, $F24&lt;=CG$5, COUNTIF($M24:CF24,"u")=0), "u", "")</f>
        <v/>
      </c>
      <c r="CH24" s="80" t="str">
        <f>IF(AND($F24&lt;&gt;"", $F24&gt;=CH$5-4, $F24&lt;=CH$5, COUNTIF($M24:CG24,"u")=0), "u", "")</f>
        <v/>
      </c>
      <c r="CI24" s="80" t="str">
        <f>IF(AND($F24&lt;&gt;"", $F24&gt;=CI$5-4, $F24&lt;=CI$5, COUNTIF($M24:CH24,"u")=0), "u", "")</f>
        <v/>
      </c>
      <c r="CJ24" s="80" t="str">
        <f>IF(AND($F24&lt;&gt;"", $F24&gt;=CJ$5-4, $F24&lt;=CJ$5, COUNTIF($M24:CI24,"u")=0), "u", "")</f>
        <v/>
      </c>
      <c r="CK24" s="80" t="str">
        <f>IF(AND($F24&lt;&gt;"", $F24&gt;=CK$5-4, $F24&lt;=CK$5, COUNTIF($M24:CJ24,"u")=0), "u", "")</f>
        <v/>
      </c>
      <c r="CL24" s="80" t="str">
        <f>IF(AND($F24&lt;&gt;"", $F24&gt;=CL$5-4, $F24&lt;=CL$5, COUNTIF($M24:CK24,"u")=0), "u", "")</f>
        <v/>
      </c>
      <c r="CM24" s="80" t="str">
        <f>IF(AND($F24&lt;&gt;"", $F24&gt;=CM$5-4, $F24&lt;=CM$5, COUNTIF($M24:CL24,"u")=0), "u", "")</f>
        <v/>
      </c>
      <c r="CN24" s="80" t="str">
        <f>IF(AND($F24&lt;&gt;"", $F24&gt;=CN$5-4, $F24&lt;=CN$5, COUNTIF($M24:CM24,"u")=0), "u", "")</f>
        <v/>
      </c>
      <c r="CO24" s="80" t="str">
        <f>IF(AND($F24&lt;&gt;"", $F24&gt;=CO$5-4, $F24&lt;=CO$5, COUNTIF($M24:CN24,"u")=0), "u", "")</f>
        <v/>
      </c>
      <c r="CP24" s="80" t="str">
        <f>IF(AND($F24&lt;&gt;"", $F24&gt;=CP$5-4, $F24&lt;=CP$5, COUNTIF($M24:CO24,"u")=0), "u", "")</f>
        <v/>
      </c>
      <c r="CQ24" s="80" t="str">
        <f>IF(AND($F24&lt;&gt;"", $F24&gt;=CQ$5-4, $F24&lt;=CQ$5, COUNTIF($M24:CP24,"u")=0), "u", "")</f>
        <v/>
      </c>
      <c r="CR24" s="80" t="str">
        <f>IF(AND($F24&lt;&gt;"", $F24&gt;=CR$5-4, $F24&lt;=CR$5, COUNTIF($M24:CQ24,"u")=0), "u", "")</f>
        <v/>
      </c>
      <c r="CS24" s="80" t="str">
        <f>IF(AND($F24&lt;&gt;"", $F24&gt;=CS$5-4, $F24&lt;=CS$5, COUNTIF($M24:CR24,"u")=0), "u", "")</f>
        <v/>
      </c>
      <c r="CT24" s="80" t="str">
        <f>IF(AND($F24&lt;&gt;"", $F24&gt;=CT$5-4, $F24&lt;=CT$5, COUNTIF($M24:CS24,"u")=0), "u", "")</f>
        <v/>
      </c>
      <c r="CU24" s="80" t="str">
        <f>IF(AND($F24&lt;&gt;"", $F24&gt;=CU$5-4, $F24&lt;=CU$5, COUNTIF($M24:CT24,"u")=0), "u", "")</f>
        <v/>
      </c>
      <c r="CV24" s="80" t="str">
        <f>IF(AND($F24&lt;&gt;"", $F24&gt;=CV$5-4, $F24&lt;=CV$5, COUNTIF($M24:CU24,"u")=0), "u", "")</f>
        <v/>
      </c>
      <c r="CW24" s="80" t="str">
        <f>IF(AND($F24&lt;&gt;"", $F24&gt;=CW$5-4, $F24&lt;=CW$5, COUNTIF($M24:CV24,"u")=0), "u", "")</f>
        <v/>
      </c>
      <c r="CX24" s="80" t="str">
        <f>IF(AND($F24&lt;&gt;"", $F24&gt;=CX$5-4, $F24&lt;=CX$5, COUNTIF($M24:CW24,"u")=0), "u", "")</f>
        <v/>
      </c>
      <c r="CY24" s="80" t="str">
        <f>IF(AND($F24&lt;&gt;"", $F24&gt;=CY$5-4, $F24&lt;=CY$5, COUNTIF($M24:CX24,"u")=0), "u", "")</f>
        <v/>
      </c>
      <c r="CZ24" s="80" t="str">
        <f>IF(AND($F24&lt;&gt;"", $F24&gt;=CZ$5-4, $F24&lt;=CZ$5, COUNTIF($M24:CY24,"u")=0), "u", "")</f>
        <v/>
      </c>
      <c r="DA24" s="80" t="str">
        <f>IF(AND($F24&lt;&gt;"", $F24&gt;=DA$5-4, $F24&lt;=DA$5, COUNTIF($M24:CZ24,"u")=0), "u", "")</f>
        <v/>
      </c>
      <c r="DB24" s="80" t="str">
        <f>IF(AND($F24&lt;&gt;"", $F24&gt;=DB$5-4, $F24&lt;=DB$5, COUNTIF($M24:DA24,"u")=0), "u", "")</f>
        <v/>
      </c>
      <c r="DC24" s="80" t="str">
        <f>IF(AND($F24&lt;&gt;"", $F24&gt;=DC$5-4, $F24&lt;=DC$5, COUNTIF($M24:DB24,"u")=0), "u", "")</f>
        <v/>
      </c>
      <c r="DD24" s="80" t="str">
        <f>IF(AND($F24&lt;&gt;"", $F24&gt;=DD$5-4, $F24&lt;=DD$5, COUNTIF($M24:DC24,"u")=0), "u", "")</f>
        <v/>
      </c>
      <c r="DE24" s="80" t="str">
        <f>IF(AND($F24&lt;&gt;"", $F24&gt;=DE$5-4, $F24&lt;=DE$5, COUNTIF($M24:DD24,"u")=0), "u", "")</f>
        <v/>
      </c>
      <c r="DF24" s="80" t="str">
        <f>IF(AND($F24&lt;&gt;"", $F24&gt;=DF$5-4, $F24&lt;=DF$5, COUNTIF($M24:DE24,"u")=0), "u", "")</f>
        <v/>
      </c>
      <c r="DG24" s="80" t="str">
        <f>IF(AND($F24&lt;&gt;"", $F24&gt;=DG$5-4, $F24&lt;=DG$5, COUNTIF($M24:DF24,"u")=0), "u", "")</f>
        <v/>
      </c>
      <c r="DH24" s="80" t="str">
        <f>IF(AND($F24&lt;&gt;"", $F24&gt;=DH$5-4, $F24&lt;=DH$5, COUNTIF($M24:DG24,"u")=0), "u", "")</f>
        <v/>
      </c>
      <c r="DI24" s="80" t="str">
        <f>IF(AND($F24&lt;&gt;"", $F24&gt;=DI$5-4, $F24&lt;=DI$5, COUNTIF($M24:DH24,"u")=0), "u", "")</f>
        <v/>
      </c>
      <c r="DJ24" s="80" t="str">
        <f>IF(AND($F24&lt;&gt;"", $F24&gt;=DJ$5-4, $F24&lt;=DJ$5, COUNTIF($M24:DI24,"u")=0), "u", "")</f>
        <v/>
      </c>
      <c r="DK24" s="80" t="str">
        <f>IF(AND($F24&lt;&gt;"", $F24&gt;=DK$5-4, $F24&lt;=DK$5, COUNTIF($M24:DJ24,"u")=0), "u", "")</f>
        <v/>
      </c>
      <c r="DL24" s="80" t="str">
        <f>IF(AND($F24&lt;&gt;"", $F24&gt;=DL$5-4, $F24&lt;=DL$5, COUNTIF($M24:DK24,"u")=0), "u", "")</f>
        <v/>
      </c>
    </row>
    <row r="25" spans="1:116" ht="25.05" customHeight="1" x14ac:dyDescent="0.3">
      <c r="A25" s="39"/>
      <c r="B25" s="75">
        <v>20</v>
      </c>
      <c r="C25" s="97"/>
      <c r="D25" s="92"/>
      <c r="E25" s="53"/>
      <c r="F25" s="53"/>
      <c r="G25" s="83" t="str">
        <f t="shared" si="47"/>
        <v/>
      </c>
      <c r="H25" s="83" t="str">
        <f t="shared" si="47"/>
        <v/>
      </c>
      <c r="I25" s="77" t="str">
        <f t="shared" si="45"/>
        <v/>
      </c>
      <c r="J25" s="78"/>
      <c r="K25" s="86"/>
      <c r="L25" s="56"/>
      <c r="M25" s="80" t="str">
        <f t="shared" si="46"/>
        <v/>
      </c>
      <c r="N25" s="80" t="str">
        <f>IF(AND($F25&lt;&gt;"", $F25&gt;=N$5-4, $F25&lt;=N$5, COUNTIF($M25:M25,"u")=0), "u", "")</f>
        <v/>
      </c>
      <c r="O25" s="80" t="str">
        <f>IF(AND($F25&lt;&gt;"", $F25&gt;=O$5-4, $F25&lt;=O$5, COUNTIF($M25:N25,"u")=0), "u", "")</f>
        <v/>
      </c>
      <c r="P25" s="80" t="str">
        <f>IF(AND($F25&lt;&gt;"", $F25&gt;=P$5-4, $F25&lt;=P$5, COUNTIF($M25:O25,"u")=0), "u", "")</f>
        <v/>
      </c>
      <c r="Q25" s="80" t="str">
        <f>IF(AND($F25&lt;&gt;"", $F25&gt;=Q$5-4, $F25&lt;=Q$5, COUNTIF($M25:P25,"u")=0), "u", "")</f>
        <v/>
      </c>
      <c r="R25" s="80" t="str">
        <f>IF(AND($F25&lt;&gt;"", $F25&gt;=R$5-4, $F25&lt;=R$5, COUNTIF($M25:Q25,"u")=0), "u", "")</f>
        <v/>
      </c>
      <c r="S25" s="80" t="str">
        <f>IF(AND($F25&lt;&gt;"", $F25&gt;=S$5-4, $F25&lt;=S$5, COUNTIF($M25:R25,"u")=0), "u", "")</f>
        <v/>
      </c>
      <c r="T25" s="80" t="str">
        <f>IF(AND($F25&lt;&gt;"", $F25&gt;=T$5-4, $F25&lt;=T$5, COUNTIF($M25:S25,"u")=0), "u", "")</f>
        <v/>
      </c>
      <c r="U25" s="80" t="str">
        <f>IF(AND($F25&lt;&gt;"", $F25&gt;=U$5-4, $F25&lt;=U$5, COUNTIF($M25:T25,"u")=0), "u", "")</f>
        <v/>
      </c>
      <c r="V25" s="80" t="str">
        <f>IF(AND($F25&lt;&gt;"", $F25&gt;=V$5-4, $F25&lt;=V$5, COUNTIF($M25:U25,"u")=0), "u", "")</f>
        <v/>
      </c>
      <c r="W25" s="80" t="str">
        <f>IF(AND($F25&lt;&gt;"", $F25&gt;=W$5-4, $F25&lt;=W$5, COUNTIF($M25:V25,"u")=0), "u", "")</f>
        <v/>
      </c>
      <c r="X25" s="80" t="str">
        <f>IF(AND($F25&lt;&gt;"", $F25&gt;=X$5-4, $F25&lt;=X$5, COUNTIF($M25:W25,"u")=0), "u", "")</f>
        <v/>
      </c>
      <c r="Y25" s="80" t="str">
        <f>IF(AND($F25&lt;&gt;"", $F25&gt;=Y$5-4, $F25&lt;=Y$5, COUNTIF($M25:X25,"u")=0), "u", "")</f>
        <v/>
      </c>
      <c r="Z25" s="80" t="str">
        <f>IF(AND($F25&lt;&gt;"", $F25&gt;=Z$5-4, $F25&lt;=Z$5, COUNTIF($M25:Y25,"u")=0), "u", "")</f>
        <v/>
      </c>
      <c r="AA25" s="80" t="str">
        <f>IF(AND($F25&lt;&gt;"", $F25&gt;=AA$5-4, $F25&lt;=AA$5, COUNTIF($M25:Z25,"u")=0), "u", "")</f>
        <v/>
      </c>
      <c r="AB25" s="80" t="str">
        <f>IF(AND($F25&lt;&gt;"", $F25&gt;=AB$5-4, $F25&lt;=AB$5, COUNTIF($M25:AA25,"u")=0), "u", "")</f>
        <v/>
      </c>
      <c r="AC25" s="80" t="str">
        <f>IF(AND($F25&lt;&gt;"", $F25&gt;=AC$5-4, $F25&lt;=AC$5, COUNTIF($M25:AB25,"u")=0), "u", "")</f>
        <v/>
      </c>
      <c r="AD25" s="80" t="str">
        <f>IF(AND($F25&lt;&gt;"", $F25&gt;=AD$5-4, $F25&lt;=AD$5, COUNTIF($M25:AC25,"u")=0), "u", "")</f>
        <v/>
      </c>
      <c r="AE25" s="80" t="str">
        <f>IF(AND($F25&lt;&gt;"", $F25&gt;=AE$5-4, $F25&lt;=AE$5, COUNTIF($M25:AD25,"u")=0), "u", "")</f>
        <v/>
      </c>
      <c r="AF25" s="80" t="str">
        <f>IF(AND($F25&lt;&gt;"", $F25&gt;=AF$5-4, $F25&lt;=AF$5, COUNTIF($M25:AE25,"u")=0), "u", "")</f>
        <v/>
      </c>
      <c r="AG25" s="80" t="str">
        <f>IF(AND($F25&lt;&gt;"", $F25&gt;=AG$5-4, $F25&lt;=AG$5, COUNTIF($M25:AF25,"u")=0), "u", "")</f>
        <v/>
      </c>
      <c r="AH25" s="80" t="str">
        <f>IF(AND($F25&lt;&gt;"", $F25&gt;=AH$5-4, $F25&lt;=AH$5, COUNTIF($M25:AG25,"u")=0), "u", "")</f>
        <v/>
      </c>
      <c r="AI25" s="80" t="str">
        <f>IF(AND($F25&lt;&gt;"", $F25&gt;=AI$5-4, $F25&lt;=AI$5, COUNTIF($M25:AH25,"u")=0), "u", "")</f>
        <v/>
      </c>
      <c r="AJ25" s="80" t="str">
        <f>IF(AND($F25&lt;&gt;"", $F25&gt;=AJ$5-4, $F25&lt;=AJ$5, COUNTIF($M25:AI25,"u")=0), "u", "")</f>
        <v/>
      </c>
      <c r="AK25" s="80" t="str">
        <f>IF(AND($F25&lt;&gt;"", $F25&gt;=AK$5-4, $F25&lt;=AK$5, COUNTIF($M25:AJ25,"u")=0), "u", "")</f>
        <v/>
      </c>
      <c r="AL25" s="80" t="str">
        <f>IF(AND($F25&lt;&gt;"", $F25&gt;=AL$5-4, $F25&lt;=AL$5, COUNTIF($M25:AK25,"u")=0), "u", "")</f>
        <v/>
      </c>
      <c r="AM25" s="80" t="str">
        <f>IF(AND($F25&lt;&gt;"", $F25&gt;=AM$5-4, $F25&lt;=AM$5, COUNTIF($M25:AL25,"u")=0), "u", "")</f>
        <v/>
      </c>
      <c r="AN25" s="80" t="str">
        <f>IF(AND($F25&lt;&gt;"", $F25&gt;=AN$5-4, $F25&lt;=AN$5, COUNTIF($M25:AM25,"u")=0), "u", "")</f>
        <v/>
      </c>
      <c r="AO25" s="80" t="str">
        <f>IF(AND($F25&lt;&gt;"", $F25&gt;=AO$5-4, $F25&lt;=AO$5, COUNTIF($M25:AN25,"u")=0), "u", "")</f>
        <v/>
      </c>
      <c r="AP25" s="80" t="str">
        <f>IF(AND($F25&lt;&gt;"", $F25&gt;=AP$5-4, $F25&lt;=AP$5, COUNTIF($M25:AO25,"u")=0), "u", "")</f>
        <v/>
      </c>
      <c r="AQ25" s="80" t="str">
        <f>IF(AND($F25&lt;&gt;"", $F25&gt;=AQ$5-4, $F25&lt;=AQ$5, COUNTIF($M25:AP25,"u")=0), "u", "")</f>
        <v/>
      </c>
      <c r="AR25" s="80" t="str">
        <f>IF(AND($F25&lt;&gt;"", $F25&gt;=AR$5-4, $F25&lt;=AR$5, COUNTIF($M25:AQ25,"u")=0), "u", "")</f>
        <v/>
      </c>
      <c r="AS25" s="80" t="str">
        <f>IF(AND($F25&lt;&gt;"", $F25&gt;=AS$5-4, $F25&lt;=AS$5, COUNTIF($M25:AR25,"u")=0), "u", "")</f>
        <v/>
      </c>
      <c r="AT25" s="80" t="str">
        <f>IF(AND($F25&lt;&gt;"", $F25&gt;=AT$5-4, $F25&lt;=AT$5, COUNTIF($M25:AS25,"u")=0), "u", "")</f>
        <v/>
      </c>
      <c r="AU25" s="80" t="str">
        <f>IF(AND($F25&lt;&gt;"", $F25&gt;=AU$5-4, $F25&lt;=AU$5, COUNTIF($M25:AT25,"u")=0), "u", "")</f>
        <v/>
      </c>
      <c r="AV25" s="80" t="str">
        <f>IF(AND($F25&lt;&gt;"", $F25&gt;=AV$5-4, $F25&lt;=AV$5, COUNTIF($M25:AU25,"u")=0), "u", "")</f>
        <v/>
      </c>
      <c r="AW25" s="80" t="str">
        <f>IF(AND($F25&lt;&gt;"", $F25&gt;=AW$5-4, $F25&lt;=AW$5, COUNTIF($M25:AV25,"u")=0), "u", "")</f>
        <v/>
      </c>
      <c r="AX25" s="80" t="str">
        <f>IF(AND($F25&lt;&gt;"", $F25&gt;=AX$5-4, $F25&lt;=AX$5, COUNTIF($M25:AW25,"u")=0), "u", "")</f>
        <v/>
      </c>
      <c r="AY25" s="80" t="str">
        <f>IF(AND($F25&lt;&gt;"", $F25&gt;=AY$5-4, $F25&lt;=AY$5, COUNTIF($M25:AX25,"u")=0), "u", "")</f>
        <v/>
      </c>
      <c r="AZ25" s="80" t="str">
        <f>IF(AND($F25&lt;&gt;"", $F25&gt;=AZ$5-4, $F25&lt;=AZ$5, COUNTIF($M25:AY25,"u")=0), "u", "")</f>
        <v/>
      </c>
      <c r="BA25" s="80" t="str">
        <f>IF(AND($F25&lt;&gt;"", $F25&gt;=BA$5-4, $F25&lt;=BA$5, COUNTIF($M25:AZ25,"u")=0), "u", "")</f>
        <v/>
      </c>
      <c r="BB25" s="80" t="str">
        <f>IF(AND($F25&lt;&gt;"", $F25&gt;=BB$5-4, $F25&lt;=BB$5, COUNTIF($M25:BA25,"u")=0), "u", "")</f>
        <v/>
      </c>
      <c r="BC25" s="80" t="str">
        <f>IF(AND($F25&lt;&gt;"", $F25&gt;=BC$5-4, $F25&lt;=BC$5, COUNTIF($M25:BB25,"u")=0), "u", "")</f>
        <v/>
      </c>
      <c r="BD25" s="80" t="str">
        <f>IF(AND($F25&lt;&gt;"", $F25&gt;=BD$5-4, $F25&lt;=BD$5, COUNTIF($M25:BC25,"u")=0), "u", "")</f>
        <v/>
      </c>
      <c r="BE25" s="80" t="str">
        <f>IF(AND($F25&lt;&gt;"", $F25&gt;=BE$5-4, $F25&lt;=BE$5, COUNTIF($M25:BD25,"u")=0), "u", "")</f>
        <v/>
      </c>
      <c r="BF25" s="80" t="str">
        <f>IF(AND($F25&lt;&gt;"", $F25&gt;=BF$5-4, $F25&lt;=BF$5, COUNTIF($M25:BE25,"u")=0), "u", "")</f>
        <v/>
      </c>
      <c r="BG25" s="80" t="str">
        <f>IF(AND($F25&lt;&gt;"", $F25&gt;=BG$5-4, $F25&lt;=BG$5, COUNTIF($M25:BF25,"u")=0), "u", "")</f>
        <v/>
      </c>
      <c r="BH25" s="80" t="str">
        <f>IF(AND($F25&lt;&gt;"", $F25&gt;=BH$5-4, $F25&lt;=BH$5, COUNTIF($M25:BG25,"u")=0), "u", "")</f>
        <v/>
      </c>
      <c r="BI25" s="80" t="str">
        <f>IF(AND($F25&lt;&gt;"", $F25&gt;=BI$5-4, $F25&lt;=BI$5, COUNTIF($M25:BH25,"u")=0), "u", "")</f>
        <v/>
      </c>
      <c r="BJ25" s="80" t="str">
        <f>IF(AND($F25&lt;&gt;"", $F25&gt;=BJ$5-4, $F25&lt;=BJ$5, COUNTIF($M25:BI25,"u")=0), "u", "")</f>
        <v/>
      </c>
      <c r="BK25" s="80" t="str">
        <f>IF(AND($F25&lt;&gt;"", $F25&gt;=BK$5-4, $F25&lt;=BK$5, COUNTIF($M25:BJ25,"u")=0), "u", "")</f>
        <v/>
      </c>
      <c r="BL25" s="80" t="str">
        <f>IF(AND($F25&lt;&gt;"", $F25&gt;=BL$5-4, $F25&lt;=BL$5, COUNTIF($M25:BK25,"u")=0), "u", "")</f>
        <v/>
      </c>
      <c r="BM25" s="80" t="str">
        <f>IF(AND($F25&lt;&gt;"", $F25&gt;=BM$5-4, $F25&lt;=BM$5, COUNTIF($M25:BL25,"u")=0), "u", "")</f>
        <v/>
      </c>
      <c r="BN25" s="80" t="str">
        <f>IF(AND($F25&lt;&gt;"", $F25&gt;=BN$5-4, $F25&lt;=BN$5, COUNTIF($M25:BM25,"u")=0), "u", "")</f>
        <v/>
      </c>
      <c r="BO25" s="80" t="str">
        <f>IF(AND($F25&lt;&gt;"", $F25&gt;=BO$5-4, $F25&lt;=BO$5, COUNTIF($M25:BN25,"u")=0), "u", "")</f>
        <v/>
      </c>
      <c r="BP25" s="80" t="str">
        <f>IF(AND($F25&lt;&gt;"", $F25&gt;=BP$5-4, $F25&lt;=BP$5, COUNTIF($M25:BO25,"u")=0), "u", "")</f>
        <v/>
      </c>
      <c r="BQ25" s="80" t="str">
        <f>IF(AND($F25&lt;&gt;"", $F25&gt;=BQ$5-4, $F25&lt;=BQ$5, COUNTIF($M25:BP25,"u")=0), "u", "")</f>
        <v/>
      </c>
      <c r="BR25" s="80" t="str">
        <f>IF(AND($F25&lt;&gt;"", $F25&gt;=BR$5-4, $F25&lt;=BR$5, COUNTIF($M25:BQ25,"u")=0), "u", "")</f>
        <v/>
      </c>
      <c r="BS25" s="80" t="str">
        <f>IF(AND($F25&lt;&gt;"", $F25&gt;=BS$5-4, $F25&lt;=BS$5, COUNTIF($M25:BR25,"u")=0), "u", "")</f>
        <v/>
      </c>
      <c r="BT25" s="80" t="str">
        <f>IF(AND($F25&lt;&gt;"", $F25&gt;=BT$5-4, $F25&lt;=BT$5, COUNTIF($M25:BS25,"u")=0), "u", "")</f>
        <v/>
      </c>
      <c r="BU25" s="80" t="str">
        <f>IF(AND($F25&lt;&gt;"", $F25&gt;=BU$5-4, $F25&lt;=BU$5, COUNTIF($M25:BT25,"u")=0), "u", "")</f>
        <v/>
      </c>
      <c r="BV25" s="80" t="str">
        <f>IF(AND($F25&lt;&gt;"", $F25&gt;=BV$5-4, $F25&lt;=BV$5, COUNTIF($M25:BU25,"u")=0), "u", "")</f>
        <v/>
      </c>
      <c r="BW25" s="80" t="str">
        <f>IF(AND($F25&lt;&gt;"", $F25&gt;=BW$5-4, $F25&lt;=BW$5, COUNTIF($M25:BV25,"u")=0), "u", "")</f>
        <v/>
      </c>
      <c r="BX25" s="80" t="str">
        <f>IF(AND($F25&lt;&gt;"", $F25&gt;=BX$5-4, $F25&lt;=BX$5, COUNTIF($M25:BW25,"u")=0), "u", "")</f>
        <v/>
      </c>
      <c r="BY25" s="80" t="str">
        <f>IF(AND($F25&lt;&gt;"", $F25&gt;=BY$5-4, $F25&lt;=BY$5, COUNTIF($M25:BX25,"u")=0), "u", "")</f>
        <v/>
      </c>
      <c r="BZ25" s="80" t="str">
        <f>IF(AND($F25&lt;&gt;"", $F25&gt;=BZ$5-4, $F25&lt;=BZ$5, COUNTIF($M25:BY25,"u")=0), "u", "")</f>
        <v/>
      </c>
      <c r="CA25" s="80" t="str">
        <f>IF(AND($F25&lt;&gt;"", $F25&gt;=CA$5-4, $F25&lt;=CA$5, COUNTIF($M25:BZ25,"u")=0), "u", "")</f>
        <v/>
      </c>
      <c r="CB25" s="80" t="str">
        <f>IF(AND($F25&lt;&gt;"", $F25&gt;=CB$5-4, $F25&lt;=CB$5, COUNTIF($M25:CA25,"u")=0), "u", "")</f>
        <v/>
      </c>
      <c r="CC25" s="80" t="str">
        <f>IF(AND($F25&lt;&gt;"", $F25&gt;=CC$5-4, $F25&lt;=CC$5, COUNTIF($M25:CB25,"u")=0), "u", "")</f>
        <v/>
      </c>
      <c r="CD25" s="80" t="str">
        <f>IF(AND($F25&lt;&gt;"", $F25&gt;=CD$5-4, $F25&lt;=CD$5, COUNTIF($M25:CC25,"u")=0), "u", "")</f>
        <v/>
      </c>
      <c r="CE25" s="80" t="str">
        <f>IF(AND($F25&lt;&gt;"", $F25&gt;=CE$5-4, $F25&lt;=CE$5, COUNTIF($M25:CD25,"u")=0), "u", "")</f>
        <v/>
      </c>
      <c r="CF25" s="80" t="str">
        <f>IF(AND($F25&lt;&gt;"", $F25&gt;=CF$5-4, $F25&lt;=CF$5, COUNTIF($M25:CE25,"u")=0), "u", "")</f>
        <v/>
      </c>
      <c r="CG25" s="80" t="str">
        <f>IF(AND($F25&lt;&gt;"", $F25&gt;=CG$5-4, $F25&lt;=CG$5, COUNTIF($M25:CF25,"u")=0), "u", "")</f>
        <v/>
      </c>
      <c r="CH25" s="80" t="str">
        <f>IF(AND($F25&lt;&gt;"", $F25&gt;=CH$5-4, $F25&lt;=CH$5, COUNTIF($M25:CG25,"u")=0), "u", "")</f>
        <v/>
      </c>
      <c r="CI25" s="80" t="str">
        <f>IF(AND($F25&lt;&gt;"", $F25&gt;=CI$5-4, $F25&lt;=CI$5, COUNTIF($M25:CH25,"u")=0), "u", "")</f>
        <v/>
      </c>
      <c r="CJ25" s="80" t="str">
        <f>IF(AND($F25&lt;&gt;"", $F25&gt;=CJ$5-4, $F25&lt;=CJ$5, COUNTIF($M25:CI25,"u")=0), "u", "")</f>
        <v/>
      </c>
      <c r="CK25" s="80" t="str">
        <f>IF(AND($F25&lt;&gt;"", $F25&gt;=CK$5-4, $F25&lt;=CK$5, COUNTIF($M25:CJ25,"u")=0), "u", "")</f>
        <v/>
      </c>
      <c r="CL25" s="80" t="str">
        <f>IF(AND($F25&lt;&gt;"", $F25&gt;=CL$5-4, $F25&lt;=CL$5, COUNTIF($M25:CK25,"u")=0), "u", "")</f>
        <v/>
      </c>
      <c r="CM25" s="80" t="str">
        <f>IF(AND($F25&lt;&gt;"", $F25&gt;=CM$5-4, $F25&lt;=CM$5, COUNTIF($M25:CL25,"u")=0), "u", "")</f>
        <v/>
      </c>
      <c r="CN25" s="80" t="str">
        <f>IF(AND($F25&lt;&gt;"", $F25&gt;=CN$5-4, $F25&lt;=CN$5, COUNTIF($M25:CM25,"u")=0), "u", "")</f>
        <v/>
      </c>
      <c r="CO25" s="80" t="str">
        <f>IF(AND($F25&lt;&gt;"", $F25&gt;=CO$5-4, $F25&lt;=CO$5, COUNTIF($M25:CN25,"u")=0), "u", "")</f>
        <v/>
      </c>
      <c r="CP25" s="80" t="str">
        <f>IF(AND($F25&lt;&gt;"", $F25&gt;=CP$5-4, $F25&lt;=CP$5, COUNTIF($M25:CO25,"u")=0), "u", "")</f>
        <v/>
      </c>
      <c r="CQ25" s="80" t="str">
        <f>IF(AND($F25&lt;&gt;"", $F25&gt;=CQ$5-4, $F25&lt;=CQ$5, COUNTIF($M25:CP25,"u")=0), "u", "")</f>
        <v/>
      </c>
      <c r="CR25" s="80" t="str">
        <f>IF(AND($F25&lt;&gt;"", $F25&gt;=CR$5-4, $F25&lt;=CR$5, COUNTIF($M25:CQ25,"u")=0), "u", "")</f>
        <v/>
      </c>
      <c r="CS25" s="80" t="str">
        <f>IF(AND($F25&lt;&gt;"", $F25&gt;=CS$5-4, $F25&lt;=CS$5, COUNTIF($M25:CR25,"u")=0), "u", "")</f>
        <v/>
      </c>
      <c r="CT25" s="80" t="str">
        <f>IF(AND($F25&lt;&gt;"", $F25&gt;=CT$5-4, $F25&lt;=CT$5, COUNTIF($M25:CS25,"u")=0), "u", "")</f>
        <v/>
      </c>
      <c r="CU25" s="80" t="str">
        <f>IF(AND($F25&lt;&gt;"", $F25&gt;=CU$5-4, $F25&lt;=CU$5, COUNTIF($M25:CT25,"u")=0), "u", "")</f>
        <v/>
      </c>
      <c r="CV25" s="80" t="str">
        <f>IF(AND($F25&lt;&gt;"", $F25&gt;=CV$5-4, $F25&lt;=CV$5, COUNTIF($M25:CU25,"u")=0), "u", "")</f>
        <v/>
      </c>
      <c r="CW25" s="80" t="str">
        <f>IF(AND($F25&lt;&gt;"", $F25&gt;=CW$5-4, $F25&lt;=CW$5, COUNTIF($M25:CV25,"u")=0), "u", "")</f>
        <v/>
      </c>
      <c r="CX25" s="80" t="str">
        <f>IF(AND($F25&lt;&gt;"", $F25&gt;=CX$5-4, $F25&lt;=CX$5, COUNTIF($M25:CW25,"u")=0), "u", "")</f>
        <v/>
      </c>
      <c r="CY25" s="80" t="str">
        <f>IF(AND($F25&lt;&gt;"", $F25&gt;=CY$5-4, $F25&lt;=CY$5, COUNTIF($M25:CX25,"u")=0), "u", "")</f>
        <v/>
      </c>
      <c r="CZ25" s="80" t="str">
        <f>IF(AND($F25&lt;&gt;"", $F25&gt;=CZ$5-4, $F25&lt;=CZ$5, COUNTIF($M25:CY25,"u")=0), "u", "")</f>
        <v/>
      </c>
      <c r="DA25" s="80" t="str">
        <f>IF(AND($F25&lt;&gt;"", $F25&gt;=DA$5-4, $F25&lt;=DA$5, COUNTIF($M25:CZ25,"u")=0), "u", "")</f>
        <v/>
      </c>
      <c r="DB25" s="80" t="str">
        <f>IF(AND($F25&lt;&gt;"", $F25&gt;=DB$5-4, $F25&lt;=DB$5, COUNTIF($M25:DA25,"u")=0), "u", "")</f>
        <v/>
      </c>
      <c r="DC25" s="80" t="str">
        <f>IF(AND($F25&lt;&gt;"", $F25&gt;=DC$5-4, $F25&lt;=DC$5, COUNTIF($M25:DB25,"u")=0), "u", "")</f>
        <v/>
      </c>
      <c r="DD25" s="80" t="str">
        <f>IF(AND($F25&lt;&gt;"", $F25&gt;=DD$5-4, $F25&lt;=DD$5, COUNTIF($M25:DC25,"u")=0), "u", "")</f>
        <v/>
      </c>
      <c r="DE25" s="80" t="str">
        <f>IF(AND($F25&lt;&gt;"", $F25&gt;=DE$5-4, $F25&lt;=DE$5, COUNTIF($M25:DD25,"u")=0), "u", "")</f>
        <v/>
      </c>
      <c r="DF25" s="80" t="str">
        <f>IF(AND($F25&lt;&gt;"", $F25&gt;=DF$5-4, $F25&lt;=DF$5, COUNTIF($M25:DE25,"u")=0), "u", "")</f>
        <v/>
      </c>
      <c r="DG25" s="80" t="str">
        <f>IF(AND($F25&lt;&gt;"", $F25&gt;=DG$5-4, $F25&lt;=DG$5, COUNTIF($M25:DF25,"u")=0), "u", "")</f>
        <v/>
      </c>
      <c r="DH25" s="80" t="str">
        <f>IF(AND($F25&lt;&gt;"", $F25&gt;=DH$5-4, $F25&lt;=DH$5, COUNTIF($M25:DG25,"u")=0), "u", "")</f>
        <v/>
      </c>
      <c r="DI25" s="80" t="str">
        <f>IF(AND($F25&lt;&gt;"", $F25&gt;=DI$5-4, $F25&lt;=DI$5, COUNTIF($M25:DH25,"u")=0), "u", "")</f>
        <v/>
      </c>
      <c r="DJ25" s="80" t="str">
        <f>IF(AND($F25&lt;&gt;"", $F25&gt;=DJ$5-4, $F25&lt;=DJ$5, COUNTIF($M25:DI25,"u")=0), "u", "")</f>
        <v/>
      </c>
      <c r="DK25" s="80" t="str">
        <f>IF(AND($F25&lt;&gt;"", $F25&gt;=DK$5-4, $F25&lt;=DK$5, COUNTIF($M25:DJ25,"u")=0), "u", "")</f>
        <v/>
      </c>
      <c r="DL25" s="80" t="str">
        <f>IF(AND($F25&lt;&gt;"", $F25&gt;=DL$5-4, $F25&lt;=DL$5, COUNTIF($M25:DK25,"u")=0), "u", "")</f>
        <v/>
      </c>
    </row>
    <row r="26" spans="1:116" ht="25.05" customHeight="1" x14ac:dyDescent="0.3">
      <c r="A26" s="39"/>
      <c r="B26" s="75">
        <v>21</v>
      </c>
      <c r="C26" s="93"/>
      <c r="D26" s="92"/>
      <c r="E26" s="53"/>
      <c r="F26" s="53"/>
      <c r="G26" s="83" t="str">
        <f t="shared" si="47"/>
        <v/>
      </c>
      <c r="H26" s="83" t="str">
        <f t="shared" si="47"/>
        <v/>
      </c>
      <c r="I26" s="77" t="str">
        <f t="shared" si="45"/>
        <v/>
      </c>
      <c r="J26" s="78"/>
      <c r="K26" s="86"/>
      <c r="L26" s="56"/>
      <c r="M26" s="80" t="str">
        <f t="shared" si="46"/>
        <v/>
      </c>
      <c r="N26" s="80" t="str">
        <f>IF(AND($F26&lt;&gt;"", $F26&gt;=N$5-4, $F26&lt;=N$5, COUNTIF($M26:M26,"u")=0), "u", "")</f>
        <v/>
      </c>
      <c r="O26" s="80" t="str">
        <f>IF(AND($F26&lt;&gt;"", $F26&gt;=O$5-4, $F26&lt;=O$5, COUNTIF($M26:N26,"u")=0), "u", "")</f>
        <v/>
      </c>
      <c r="P26" s="80" t="str">
        <f>IF(AND($F26&lt;&gt;"", $F26&gt;=P$5-4, $F26&lt;=P$5, COUNTIF($M26:O26,"u")=0), "u", "")</f>
        <v/>
      </c>
      <c r="Q26" s="80" t="str">
        <f>IF(AND($F26&lt;&gt;"", $F26&gt;=Q$5-4, $F26&lt;=Q$5, COUNTIF($M26:P26,"u")=0), "u", "")</f>
        <v/>
      </c>
      <c r="R26" s="80" t="str">
        <f>IF(AND($F26&lt;&gt;"", $F26&gt;=R$5-4, $F26&lt;=R$5, COUNTIF($M26:Q26,"u")=0), "u", "")</f>
        <v/>
      </c>
      <c r="S26" s="80" t="str">
        <f>IF(AND($F26&lt;&gt;"", $F26&gt;=S$5-4, $F26&lt;=S$5, COUNTIF($M26:R26,"u")=0), "u", "")</f>
        <v/>
      </c>
      <c r="T26" s="80" t="str">
        <f>IF(AND($F26&lt;&gt;"", $F26&gt;=T$5-4, $F26&lt;=T$5, COUNTIF($M26:S26,"u")=0), "u", "")</f>
        <v/>
      </c>
      <c r="U26" s="80" t="str">
        <f>IF(AND($F26&lt;&gt;"", $F26&gt;=U$5-4, $F26&lt;=U$5, COUNTIF($M26:T26,"u")=0), "u", "")</f>
        <v/>
      </c>
      <c r="V26" s="80" t="str">
        <f>IF(AND($F26&lt;&gt;"", $F26&gt;=V$5-4, $F26&lt;=V$5, COUNTIF($M26:U26,"u")=0), "u", "")</f>
        <v/>
      </c>
      <c r="W26" s="80" t="str">
        <f>IF(AND($F26&lt;&gt;"", $F26&gt;=W$5-4, $F26&lt;=W$5, COUNTIF($M26:V26,"u")=0), "u", "")</f>
        <v/>
      </c>
      <c r="X26" s="80" t="str">
        <f>IF(AND($F26&lt;&gt;"", $F26&gt;=X$5-4, $F26&lt;=X$5, COUNTIF($M26:W26,"u")=0), "u", "")</f>
        <v/>
      </c>
      <c r="Y26" s="80" t="str">
        <f>IF(AND($F26&lt;&gt;"", $F26&gt;=Y$5-4, $F26&lt;=Y$5, COUNTIF($M26:X26,"u")=0), "u", "")</f>
        <v/>
      </c>
      <c r="Z26" s="80" t="str">
        <f>IF(AND($F26&lt;&gt;"", $F26&gt;=Z$5-4, $F26&lt;=Z$5, COUNTIF($M26:Y26,"u")=0), "u", "")</f>
        <v/>
      </c>
      <c r="AA26" s="80" t="str">
        <f>IF(AND($F26&lt;&gt;"", $F26&gt;=AA$5-4, $F26&lt;=AA$5, COUNTIF($M26:Z26,"u")=0), "u", "")</f>
        <v/>
      </c>
      <c r="AB26" s="80" t="str">
        <f>IF(AND($F26&lt;&gt;"", $F26&gt;=AB$5-4, $F26&lt;=AB$5, COUNTIF($M26:AA26,"u")=0), "u", "")</f>
        <v/>
      </c>
      <c r="AC26" s="80" t="str">
        <f>IF(AND($F26&lt;&gt;"", $F26&gt;=AC$5-4, $F26&lt;=AC$5, COUNTIF($M26:AB26,"u")=0), "u", "")</f>
        <v/>
      </c>
      <c r="AD26" s="80" t="str">
        <f>IF(AND($F26&lt;&gt;"", $F26&gt;=AD$5-4, $F26&lt;=AD$5, COUNTIF($M26:AC26,"u")=0), "u", "")</f>
        <v/>
      </c>
      <c r="AE26" s="80" t="str">
        <f>IF(AND($F26&lt;&gt;"", $F26&gt;=AE$5-4, $F26&lt;=AE$5, COUNTIF($M26:AD26,"u")=0), "u", "")</f>
        <v/>
      </c>
      <c r="AF26" s="80" t="str">
        <f>IF(AND($F26&lt;&gt;"", $F26&gt;=AF$5-4, $F26&lt;=AF$5, COUNTIF($M26:AE26,"u")=0), "u", "")</f>
        <v/>
      </c>
      <c r="AG26" s="80" t="str">
        <f>IF(AND($F26&lt;&gt;"", $F26&gt;=AG$5-4, $F26&lt;=AG$5, COUNTIF($M26:AF26,"u")=0), "u", "")</f>
        <v/>
      </c>
      <c r="AH26" s="80" t="str">
        <f>IF(AND($F26&lt;&gt;"", $F26&gt;=AH$5-4, $F26&lt;=AH$5, COUNTIF($M26:AG26,"u")=0), "u", "")</f>
        <v/>
      </c>
      <c r="AI26" s="80" t="str">
        <f>IF(AND($F26&lt;&gt;"", $F26&gt;=AI$5-4, $F26&lt;=AI$5, COUNTIF($M26:AH26,"u")=0), "u", "")</f>
        <v/>
      </c>
      <c r="AJ26" s="80" t="str">
        <f>IF(AND($F26&lt;&gt;"", $F26&gt;=AJ$5-4, $F26&lt;=AJ$5, COUNTIF($M26:AI26,"u")=0), "u", "")</f>
        <v/>
      </c>
      <c r="AK26" s="80" t="str">
        <f>IF(AND($F26&lt;&gt;"", $F26&gt;=AK$5-4, $F26&lt;=AK$5, COUNTIF($M26:AJ26,"u")=0), "u", "")</f>
        <v/>
      </c>
      <c r="AL26" s="80" t="str">
        <f>IF(AND($F26&lt;&gt;"", $F26&gt;=AL$5-4, $F26&lt;=AL$5, COUNTIF($M26:AK26,"u")=0), "u", "")</f>
        <v/>
      </c>
      <c r="AM26" s="80" t="str">
        <f>IF(AND($F26&lt;&gt;"", $F26&gt;=AM$5-4, $F26&lt;=AM$5, COUNTIF($M26:AL26,"u")=0), "u", "")</f>
        <v/>
      </c>
      <c r="AN26" s="80" t="str">
        <f>IF(AND($F26&lt;&gt;"", $F26&gt;=AN$5-4, $F26&lt;=AN$5, COUNTIF($M26:AM26,"u")=0), "u", "")</f>
        <v/>
      </c>
      <c r="AO26" s="80" t="str">
        <f>IF(AND($F26&lt;&gt;"", $F26&gt;=AO$5-4, $F26&lt;=AO$5, COUNTIF($M26:AN26,"u")=0), "u", "")</f>
        <v/>
      </c>
      <c r="AP26" s="80" t="str">
        <f>IF(AND($F26&lt;&gt;"", $F26&gt;=AP$5-4, $F26&lt;=AP$5, COUNTIF($M26:AO26,"u")=0), "u", "")</f>
        <v/>
      </c>
      <c r="AQ26" s="80" t="str">
        <f>IF(AND($F26&lt;&gt;"", $F26&gt;=AQ$5-4, $F26&lt;=AQ$5, COUNTIF($M26:AP26,"u")=0), "u", "")</f>
        <v/>
      </c>
      <c r="AR26" s="80" t="str">
        <f>IF(AND($F26&lt;&gt;"", $F26&gt;=AR$5-4, $F26&lt;=AR$5, COUNTIF($M26:AQ26,"u")=0), "u", "")</f>
        <v/>
      </c>
      <c r="AS26" s="80" t="str">
        <f>IF(AND($F26&lt;&gt;"", $F26&gt;=AS$5-4, $F26&lt;=AS$5, COUNTIF($M26:AR26,"u")=0), "u", "")</f>
        <v/>
      </c>
      <c r="AT26" s="80" t="str">
        <f>IF(AND($F26&lt;&gt;"", $F26&gt;=AT$5-4, $F26&lt;=AT$5, COUNTIF($M26:AS26,"u")=0), "u", "")</f>
        <v/>
      </c>
      <c r="AU26" s="80" t="str">
        <f>IF(AND($F26&lt;&gt;"", $F26&gt;=AU$5-4, $F26&lt;=AU$5, COUNTIF($M26:AT26,"u")=0), "u", "")</f>
        <v/>
      </c>
      <c r="AV26" s="80" t="str">
        <f>IF(AND($F26&lt;&gt;"", $F26&gt;=AV$5-4, $F26&lt;=AV$5, COUNTIF($M26:AU26,"u")=0), "u", "")</f>
        <v/>
      </c>
      <c r="AW26" s="80" t="str">
        <f>IF(AND($F26&lt;&gt;"", $F26&gt;=AW$5-4, $F26&lt;=AW$5, COUNTIF($M26:AV26,"u")=0), "u", "")</f>
        <v/>
      </c>
      <c r="AX26" s="80" t="str">
        <f>IF(AND($F26&lt;&gt;"", $F26&gt;=AX$5-4, $F26&lt;=AX$5, COUNTIF($M26:AW26,"u")=0), "u", "")</f>
        <v/>
      </c>
      <c r="AY26" s="80" t="str">
        <f>IF(AND($F26&lt;&gt;"", $F26&gt;=AY$5-4, $F26&lt;=AY$5, COUNTIF($M26:AX26,"u")=0), "u", "")</f>
        <v/>
      </c>
      <c r="AZ26" s="80" t="str">
        <f>IF(AND($F26&lt;&gt;"", $F26&gt;=AZ$5-4, $F26&lt;=AZ$5, COUNTIF($M26:AY26,"u")=0), "u", "")</f>
        <v/>
      </c>
      <c r="BA26" s="80" t="str">
        <f>IF(AND($F26&lt;&gt;"", $F26&gt;=BA$5-4, $F26&lt;=BA$5, COUNTIF($M26:AZ26,"u")=0), "u", "")</f>
        <v/>
      </c>
      <c r="BB26" s="80" t="str">
        <f>IF(AND($F26&lt;&gt;"", $F26&gt;=BB$5-4, $F26&lt;=BB$5, COUNTIF($M26:BA26,"u")=0), "u", "")</f>
        <v/>
      </c>
      <c r="BC26" s="80" t="str">
        <f>IF(AND($F26&lt;&gt;"", $F26&gt;=BC$5-4, $F26&lt;=BC$5, COUNTIF($M26:BB26,"u")=0), "u", "")</f>
        <v/>
      </c>
      <c r="BD26" s="80" t="str">
        <f>IF(AND($F26&lt;&gt;"", $F26&gt;=BD$5-4, $F26&lt;=BD$5, COUNTIF($M26:BC26,"u")=0), "u", "")</f>
        <v/>
      </c>
      <c r="BE26" s="80" t="str">
        <f>IF(AND($F26&lt;&gt;"", $F26&gt;=BE$5-4, $F26&lt;=BE$5, COUNTIF($M26:BD26,"u")=0), "u", "")</f>
        <v/>
      </c>
      <c r="BF26" s="80" t="str">
        <f>IF(AND($F26&lt;&gt;"", $F26&gt;=BF$5-4, $F26&lt;=BF$5, COUNTIF($M26:BE26,"u")=0), "u", "")</f>
        <v/>
      </c>
      <c r="BG26" s="80" t="str">
        <f>IF(AND($F26&lt;&gt;"", $F26&gt;=BG$5-4, $F26&lt;=BG$5, COUNTIF($M26:BF26,"u")=0), "u", "")</f>
        <v/>
      </c>
      <c r="BH26" s="80" t="str">
        <f>IF(AND($F26&lt;&gt;"", $F26&gt;=BH$5-4, $F26&lt;=BH$5, COUNTIF($M26:BG26,"u")=0), "u", "")</f>
        <v/>
      </c>
      <c r="BI26" s="80" t="str">
        <f>IF(AND($F26&lt;&gt;"", $F26&gt;=BI$5-4, $F26&lt;=BI$5, COUNTIF($M26:BH26,"u")=0), "u", "")</f>
        <v/>
      </c>
      <c r="BJ26" s="80" t="str">
        <f>IF(AND($F26&lt;&gt;"", $F26&gt;=BJ$5-4, $F26&lt;=BJ$5, COUNTIF($M26:BI26,"u")=0), "u", "")</f>
        <v/>
      </c>
      <c r="BK26" s="80" t="str">
        <f>IF(AND($F26&lt;&gt;"", $F26&gt;=BK$5-4, $F26&lt;=BK$5, COUNTIF($M26:BJ26,"u")=0), "u", "")</f>
        <v/>
      </c>
      <c r="BL26" s="80" t="str">
        <f>IF(AND($F26&lt;&gt;"", $F26&gt;=BL$5-4, $F26&lt;=BL$5, COUNTIF($M26:BK26,"u")=0), "u", "")</f>
        <v/>
      </c>
      <c r="BM26" s="80" t="str">
        <f>IF(AND($F26&lt;&gt;"", $F26&gt;=BM$5-4, $F26&lt;=BM$5, COUNTIF($M26:BL26,"u")=0), "u", "")</f>
        <v/>
      </c>
      <c r="BN26" s="80" t="str">
        <f>IF(AND($F26&lt;&gt;"", $F26&gt;=BN$5-4, $F26&lt;=BN$5, COUNTIF($M26:BM26,"u")=0), "u", "")</f>
        <v/>
      </c>
      <c r="BO26" s="80" t="str">
        <f>IF(AND($F26&lt;&gt;"", $F26&gt;=BO$5-4, $F26&lt;=BO$5, COUNTIF($M26:BN26,"u")=0), "u", "")</f>
        <v/>
      </c>
      <c r="BP26" s="80" t="str">
        <f>IF(AND($F26&lt;&gt;"", $F26&gt;=BP$5-4, $F26&lt;=BP$5, COUNTIF($M26:BO26,"u")=0), "u", "")</f>
        <v/>
      </c>
      <c r="BQ26" s="80" t="str">
        <f>IF(AND($F26&lt;&gt;"", $F26&gt;=BQ$5-4, $F26&lt;=BQ$5, COUNTIF($M26:BP26,"u")=0), "u", "")</f>
        <v/>
      </c>
      <c r="BR26" s="80" t="str">
        <f>IF(AND($F26&lt;&gt;"", $F26&gt;=BR$5-4, $F26&lt;=BR$5, COUNTIF($M26:BQ26,"u")=0), "u", "")</f>
        <v/>
      </c>
      <c r="BS26" s="80" t="str">
        <f>IF(AND($F26&lt;&gt;"", $F26&gt;=BS$5-4, $F26&lt;=BS$5, COUNTIF($M26:BR26,"u")=0), "u", "")</f>
        <v/>
      </c>
      <c r="BT26" s="80" t="str">
        <f>IF(AND($F26&lt;&gt;"", $F26&gt;=BT$5-4, $F26&lt;=BT$5, COUNTIF($M26:BS26,"u")=0), "u", "")</f>
        <v/>
      </c>
      <c r="BU26" s="80" t="str">
        <f>IF(AND($F26&lt;&gt;"", $F26&gt;=BU$5-4, $F26&lt;=BU$5, COUNTIF($M26:BT26,"u")=0), "u", "")</f>
        <v/>
      </c>
      <c r="BV26" s="80" t="str">
        <f>IF(AND($F26&lt;&gt;"", $F26&gt;=BV$5-4, $F26&lt;=BV$5, COUNTIF($M26:BU26,"u")=0), "u", "")</f>
        <v/>
      </c>
      <c r="BW26" s="80" t="str">
        <f>IF(AND($F26&lt;&gt;"", $F26&gt;=BW$5-4, $F26&lt;=BW$5, COUNTIF($M26:BV26,"u")=0), "u", "")</f>
        <v/>
      </c>
      <c r="BX26" s="80" t="str">
        <f>IF(AND($F26&lt;&gt;"", $F26&gt;=BX$5-4, $F26&lt;=BX$5, COUNTIF($M26:BW26,"u")=0), "u", "")</f>
        <v/>
      </c>
      <c r="BY26" s="80" t="str">
        <f>IF(AND($F26&lt;&gt;"", $F26&gt;=BY$5-4, $F26&lt;=BY$5, COUNTIF($M26:BX26,"u")=0), "u", "")</f>
        <v/>
      </c>
      <c r="BZ26" s="80" t="str">
        <f>IF(AND($F26&lt;&gt;"", $F26&gt;=BZ$5-4, $F26&lt;=BZ$5, COUNTIF($M26:BY26,"u")=0), "u", "")</f>
        <v/>
      </c>
      <c r="CA26" s="80" t="str">
        <f>IF(AND($F26&lt;&gt;"", $F26&gt;=CA$5-4, $F26&lt;=CA$5, COUNTIF($M26:BZ26,"u")=0), "u", "")</f>
        <v/>
      </c>
      <c r="CB26" s="80" t="str">
        <f>IF(AND($F26&lt;&gt;"", $F26&gt;=CB$5-4, $F26&lt;=CB$5, COUNTIF($M26:CA26,"u")=0), "u", "")</f>
        <v/>
      </c>
      <c r="CC26" s="80" t="str">
        <f>IF(AND($F26&lt;&gt;"", $F26&gt;=CC$5-4, $F26&lt;=CC$5, COUNTIF($M26:CB26,"u")=0), "u", "")</f>
        <v/>
      </c>
      <c r="CD26" s="80" t="str">
        <f>IF(AND($F26&lt;&gt;"", $F26&gt;=CD$5-4, $F26&lt;=CD$5, COUNTIF($M26:CC26,"u")=0), "u", "")</f>
        <v/>
      </c>
      <c r="CE26" s="80" t="str">
        <f>IF(AND($F26&lt;&gt;"", $F26&gt;=CE$5-4, $F26&lt;=CE$5, COUNTIF($M26:CD26,"u")=0), "u", "")</f>
        <v/>
      </c>
      <c r="CF26" s="80" t="str">
        <f>IF(AND($F26&lt;&gt;"", $F26&gt;=CF$5-4, $F26&lt;=CF$5, COUNTIF($M26:CE26,"u")=0), "u", "")</f>
        <v/>
      </c>
      <c r="CG26" s="80" t="str">
        <f>IF(AND($F26&lt;&gt;"", $F26&gt;=CG$5-4, $F26&lt;=CG$5, COUNTIF($M26:CF26,"u")=0), "u", "")</f>
        <v/>
      </c>
      <c r="CH26" s="80" t="str">
        <f>IF(AND($F26&lt;&gt;"", $F26&gt;=CH$5-4, $F26&lt;=CH$5, COUNTIF($M26:CG26,"u")=0), "u", "")</f>
        <v/>
      </c>
      <c r="CI26" s="80" t="str">
        <f>IF(AND($F26&lt;&gt;"", $F26&gt;=CI$5-4, $F26&lt;=CI$5, COUNTIF($M26:CH26,"u")=0), "u", "")</f>
        <v/>
      </c>
      <c r="CJ26" s="80" t="str">
        <f>IF(AND($F26&lt;&gt;"", $F26&gt;=CJ$5-4, $F26&lt;=CJ$5, COUNTIF($M26:CI26,"u")=0), "u", "")</f>
        <v/>
      </c>
      <c r="CK26" s="80" t="str">
        <f>IF(AND($F26&lt;&gt;"", $F26&gt;=CK$5-4, $F26&lt;=CK$5, COUNTIF($M26:CJ26,"u")=0), "u", "")</f>
        <v/>
      </c>
      <c r="CL26" s="80" t="str">
        <f>IF(AND($F26&lt;&gt;"", $F26&gt;=CL$5-4, $F26&lt;=CL$5, COUNTIF($M26:CK26,"u")=0), "u", "")</f>
        <v/>
      </c>
      <c r="CM26" s="80" t="str">
        <f>IF(AND($F26&lt;&gt;"", $F26&gt;=CM$5-4, $F26&lt;=CM$5, COUNTIF($M26:CL26,"u")=0), "u", "")</f>
        <v/>
      </c>
      <c r="CN26" s="80" t="str">
        <f>IF(AND($F26&lt;&gt;"", $F26&gt;=CN$5-4, $F26&lt;=CN$5, COUNTIF($M26:CM26,"u")=0), "u", "")</f>
        <v/>
      </c>
      <c r="CO26" s="80" t="str">
        <f>IF(AND($F26&lt;&gt;"", $F26&gt;=CO$5-4, $F26&lt;=CO$5, COUNTIF($M26:CN26,"u")=0), "u", "")</f>
        <v/>
      </c>
      <c r="CP26" s="80" t="str">
        <f>IF(AND($F26&lt;&gt;"", $F26&gt;=CP$5-4, $F26&lt;=CP$5, COUNTIF($M26:CO26,"u")=0), "u", "")</f>
        <v/>
      </c>
      <c r="CQ26" s="80" t="str">
        <f>IF(AND($F26&lt;&gt;"", $F26&gt;=CQ$5-4, $F26&lt;=CQ$5, COUNTIF($M26:CP26,"u")=0), "u", "")</f>
        <v/>
      </c>
      <c r="CR26" s="80" t="str">
        <f>IF(AND($F26&lt;&gt;"", $F26&gt;=CR$5-4, $F26&lt;=CR$5, COUNTIF($M26:CQ26,"u")=0), "u", "")</f>
        <v/>
      </c>
      <c r="CS26" s="80" t="str">
        <f>IF(AND($F26&lt;&gt;"", $F26&gt;=CS$5-4, $F26&lt;=CS$5, COUNTIF($M26:CR26,"u")=0), "u", "")</f>
        <v/>
      </c>
      <c r="CT26" s="80" t="str">
        <f>IF(AND($F26&lt;&gt;"", $F26&gt;=CT$5-4, $F26&lt;=CT$5, COUNTIF($M26:CS26,"u")=0), "u", "")</f>
        <v/>
      </c>
      <c r="CU26" s="80" t="str">
        <f>IF(AND($F26&lt;&gt;"", $F26&gt;=CU$5-4, $F26&lt;=CU$5, COUNTIF($M26:CT26,"u")=0), "u", "")</f>
        <v/>
      </c>
      <c r="CV26" s="80" t="str">
        <f>IF(AND($F26&lt;&gt;"", $F26&gt;=CV$5-4, $F26&lt;=CV$5, COUNTIF($M26:CU26,"u")=0), "u", "")</f>
        <v/>
      </c>
      <c r="CW26" s="80" t="str">
        <f>IF(AND($F26&lt;&gt;"", $F26&gt;=CW$5-4, $F26&lt;=CW$5, COUNTIF($M26:CV26,"u")=0), "u", "")</f>
        <v/>
      </c>
      <c r="CX26" s="80" t="str">
        <f>IF(AND($F26&lt;&gt;"", $F26&gt;=CX$5-4, $F26&lt;=CX$5, COUNTIF($M26:CW26,"u")=0), "u", "")</f>
        <v/>
      </c>
      <c r="CY26" s="80" t="str">
        <f>IF(AND($F26&lt;&gt;"", $F26&gt;=CY$5-4, $F26&lt;=CY$5, COUNTIF($M26:CX26,"u")=0), "u", "")</f>
        <v/>
      </c>
      <c r="CZ26" s="80" t="str">
        <f>IF(AND($F26&lt;&gt;"", $F26&gt;=CZ$5-4, $F26&lt;=CZ$5, COUNTIF($M26:CY26,"u")=0), "u", "")</f>
        <v/>
      </c>
      <c r="DA26" s="80" t="str">
        <f>IF(AND($F26&lt;&gt;"", $F26&gt;=DA$5-4, $F26&lt;=DA$5, COUNTIF($M26:CZ26,"u")=0), "u", "")</f>
        <v/>
      </c>
      <c r="DB26" s="80" t="str">
        <f>IF(AND($F26&lt;&gt;"", $F26&gt;=DB$5-4, $F26&lt;=DB$5, COUNTIF($M26:DA26,"u")=0), "u", "")</f>
        <v/>
      </c>
      <c r="DC26" s="80" t="str">
        <f>IF(AND($F26&lt;&gt;"", $F26&gt;=DC$5-4, $F26&lt;=DC$5, COUNTIF($M26:DB26,"u")=0), "u", "")</f>
        <v/>
      </c>
      <c r="DD26" s="80" t="str">
        <f>IF(AND($F26&lt;&gt;"", $F26&gt;=DD$5-4, $F26&lt;=DD$5, COUNTIF($M26:DC26,"u")=0), "u", "")</f>
        <v/>
      </c>
      <c r="DE26" s="80" t="str">
        <f>IF(AND($F26&lt;&gt;"", $F26&gt;=DE$5-4, $F26&lt;=DE$5, COUNTIF($M26:DD26,"u")=0), "u", "")</f>
        <v/>
      </c>
      <c r="DF26" s="80" t="str">
        <f>IF(AND($F26&lt;&gt;"", $F26&gt;=DF$5-4, $F26&lt;=DF$5, COUNTIF($M26:DE26,"u")=0), "u", "")</f>
        <v/>
      </c>
      <c r="DG26" s="80" t="str">
        <f>IF(AND($F26&lt;&gt;"", $F26&gt;=DG$5-4, $F26&lt;=DG$5, COUNTIF($M26:DF26,"u")=0), "u", "")</f>
        <v/>
      </c>
      <c r="DH26" s="80" t="str">
        <f>IF(AND($F26&lt;&gt;"", $F26&gt;=DH$5-4, $F26&lt;=DH$5, COUNTIF($M26:DG26,"u")=0), "u", "")</f>
        <v/>
      </c>
      <c r="DI26" s="80" t="str">
        <f>IF(AND($F26&lt;&gt;"", $F26&gt;=DI$5-4, $F26&lt;=DI$5, COUNTIF($M26:DH26,"u")=0), "u", "")</f>
        <v/>
      </c>
      <c r="DJ26" s="80" t="str">
        <f>IF(AND($F26&lt;&gt;"", $F26&gt;=DJ$5-4, $F26&lt;=DJ$5, COUNTIF($M26:DI26,"u")=0), "u", "")</f>
        <v/>
      </c>
      <c r="DK26" s="80" t="str">
        <f>IF(AND($F26&lt;&gt;"", $F26&gt;=DK$5-4, $F26&lt;=DK$5, COUNTIF($M26:DJ26,"u")=0), "u", "")</f>
        <v/>
      </c>
      <c r="DL26" s="80" t="str">
        <f>IF(AND($F26&lt;&gt;"", $F26&gt;=DL$5-4, $F26&lt;=DL$5, COUNTIF($M26:DK26,"u")=0), "u", "")</f>
        <v/>
      </c>
    </row>
    <row r="27" spans="1:116" ht="25.05" customHeight="1" x14ac:dyDescent="0.3">
      <c r="A27" s="39"/>
      <c r="B27" s="75">
        <v>22</v>
      </c>
      <c r="C27" s="97"/>
      <c r="D27" s="92"/>
      <c r="E27" s="53"/>
      <c r="F27" s="53"/>
      <c r="G27" s="83" t="str">
        <f t="shared" si="47"/>
        <v/>
      </c>
      <c r="H27" s="83" t="str">
        <f t="shared" si="47"/>
        <v/>
      </c>
      <c r="I27" s="77" t="str">
        <f t="shared" si="45"/>
        <v/>
      </c>
      <c r="J27" s="78"/>
      <c r="K27" s="86"/>
      <c r="L27" s="56"/>
      <c r="M27" s="80" t="str">
        <f t="shared" si="46"/>
        <v/>
      </c>
      <c r="N27" s="80" t="str">
        <f>IF(AND($F27&lt;&gt;"", $F27&gt;=N$5-4, $F27&lt;=N$5, COUNTIF($M27:M27,"u")=0), "u", "")</f>
        <v/>
      </c>
      <c r="O27" s="80" t="str">
        <f>IF(AND($F27&lt;&gt;"", $F27&gt;=O$5-4, $F27&lt;=O$5, COUNTIF($M27:N27,"u")=0), "u", "")</f>
        <v/>
      </c>
      <c r="P27" s="80" t="str">
        <f>IF(AND($F27&lt;&gt;"", $F27&gt;=P$5-4, $F27&lt;=P$5, COUNTIF($M27:O27,"u")=0), "u", "")</f>
        <v/>
      </c>
      <c r="Q27" s="80" t="str">
        <f>IF(AND($F27&lt;&gt;"", $F27&gt;=Q$5-4, $F27&lt;=Q$5, COUNTIF($M27:P27,"u")=0), "u", "")</f>
        <v/>
      </c>
      <c r="R27" s="80" t="str">
        <f>IF(AND($F27&lt;&gt;"", $F27&gt;=R$5-4, $F27&lt;=R$5, COUNTIF($M27:Q27,"u")=0), "u", "")</f>
        <v/>
      </c>
      <c r="S27" s="80" t="str">
        <f>IF(AND($F27&lt;&gt;"", $F27&gt;=S$5-4, $F27&lt;=S$5, COUNTIF($M27:R27,"u")=0), "u", "")</f>
        <v/>
      </c>
      <c r="T27" s="80" t="str">
        <f>IF(AND($F27&lt;&gt;"", $F27&gt;=T$5-4, $F27&lt;=T$5, COUNTIF($M27:S27,"u")=0), "u", "")</f>
        <v/>
      </c>
      <c r="U27" s="80" t="str">
        <f>IF(AND($F27&lt;&gt;"", $F27&gt;=U$5-4, $F27&lt;=U$5, COUNTIF($M27:T27,"u")=0), "u", "")</f>
        <v/>
      </c>
      <c r="V27" s="80" t="str">
        <f>IF(AND($F27&lt;&gt;"", $F27&gt;=V$5-4, $F27&lt;=V$5, COUNTIF($M27:U27,"u")=0), "u", "")</f>
        <v/>
      </c>
      <c r="W27" s="80" t="str">
        <f>IF(AND($F27&lt;&gt;"", $F27&gt;=W$5-4, $F27&lt;=W$5, COUNTIF($M27:V27,"u")=0), "u", "")</f>
        <v/>
      </c>
      <c r="X27" s="80" t="str">
        <f>IF(AND($F27&lt;&gt;"", $F27&gt;=X$5-4, $F27&lt;=X$5, COUNTIF($M27:W27,"u")=0), "u", "")</f>
        <v/>
      </c>
      <c r="Y27" s="80" t="str">
        <f>IF(AND($F27&lt;&gt;"", $F27&gt;=Y$5-4, $F27&lt;=Y$5, COUNTIF($M27:X27,"u")=0), "u", "")</f>
        <v/>
      </c>
      <c r="Z27" s="80" t="str">
        <f>IF(AND($F27&lt;&gt;"", $F27&gt;=Z$5-4, $F27&lt;=Z$5, COUNTIF($M27:Y27,"u")=0), "u", "")</f>
        <v/>
      </c>
      <c r="AA27" s="80" t="str">
        <f>IF(AND($F27&lt;&gt;"", $F27&gt;=AA$5-4, $F27&lt;=AA$5, COUNTIF($M27:Z27,"u")=0), "u", "")</f>
        <v/>
      </c>
      <c r="AB27" s="80" t="str">
        <f>IF(AND($F27&lt;&gt;"", $F27&gt;=AB$5-4, $F27&lt;=AB$5, COUNTIF($M27:AA27,"u")=0), "u", "")</f>
        <v/>
      </c>
      <c r="AC27" s="80" t="str">
        <f>IF(AND($F27&lt;&gt;"", $F27&gt;=AC$5-4, $F27&lt;=AC$5, COUNTIF($M27:AB27,"u")=0), "u", "")</f>
        <v/>
      </c>
      <c r="AD27" s="80" t="str">
        <f>IF(AND($F27&lt;&gt;"", $F27&gt;=AD$5-4, $F27&lt;=AD$5, COUNTIF($M27:AC27,"u")=0), "u", "")</f>
        <v/>
      </c>
      <c r="AE27" s="80" t="str">
        <f>IF(AND($F27&lt;&gt;"", $F27&gt;=AE$5-4, $F27&lt;=AE$5, COUNTIF($M27:AD27,"u")=0), "u", "")</f>
        <v/>
      </c>
      <c r="AF27" s="80" t="str">
        <f>IF(AND($F27&lt;&gt;"", $F27&gt;=AF$5-4, $F27&lt;=AF$5, COUNTIF($M27:AE27,"u")=0), "u", "")</f>
        <v/>
      </c>
      <c r="AG27" s="80" t="str">
        <f>IF(AND($F27&lt;&gt;"", $F27&gt;=AG$5-4, $F27&lt;=AG$5, COUNTIF($M27:AF27,"u")=0), "u", "")</f>
        <v/>
      </c>
      <c r="AH27" s="80" t="str">
        <f>IF(AND($F27&lt;&gt;"", $F27&gt;=AH$5-4, $F27&lt;=AH$5, COUNTIF($M27:AG27,"u")=0), "u", "")</f>
        <v/>
      </c>
      <c r="AI27" s="80" t="str">
        <f>IF(AND($F27&lt;&gt;"", $F27&gt;=AI$5-4, $F27&lt;=AI$5, COUNTIF($M27:AH27,"u")=0), "u", "")</f>
        <v/>
      </c>
      <c r="AJ27" s="80" t="str">
        <f>IF(AND($F27&lt;&gt;"", $F27&gt;=AJ$5-4, $F27&lt;=AJ$5, COUNTIF($M27:AI27,"u")=0), "u", "")</f>
        <v/>
      </c>
      <c r="AK27" s="80" t="str">
        <f>IF(AND($F27&lt;&gt;"", $F27&gt;=AK$5-4, $F27&lt;=AK$5, COUNTIF($M27:AJ27,"u")=0), "u", "")</f>
        <v/>
      </c>
      <c r="AL27" s="80" t="str">
        <f>IF(AND($F27&lt;&gt;"", $F27&gt;=AL$5-4, $F27&lt;=AL$5, COUNTIF($M27:AK27,"u")=0), "u", "")</f>
        <v/>
      </c>
      <c r="AM27" s="80" t="str">
        <f>IF(AND($F27&lt;&gt;"", $F27&gt;=AM$5-4, $F27&lt;=AM$5, COUNTIF($M27:AL27,"u")=0), "u", "")</f>
        <v/>
      </c>
      <c r="AN27" s="80" t="str">
        <f>IF(AND($F27&lt;&gt;"", $F27&gt;=AN$5-4, $F27&lt;=AN$5, COUNTIF($M27:AM27,"u")=0), "u", "")</f>
        <v/>
      </c>
      <c r="AO27" s="80" t="str">
        <f>IF(AND($F27&lt;&gt;"", $F27&gt;=AO$5-4, $F27&lt;=AO$5, COUNTIF($M27:AN27,"u")=0), "u", "")</f>
        <v/>
      </c>
      <c r="AP27" s="80" t="str">
        <f>IF(AND($F27&lt;&gt;"", $F27&gt;=AP$5-4, $F27&lt;=AP$5, COUNTIF($M27:AO27,"u")=0), "u", "")</f>
        <v/>
      </c>
      <c r="AQ27" s="80" t="str">
        <f>IF(AND($F27&lt;&gt;"", $F27&gt;=AQ$5-4, $F27&lt;=AQ$5, COUNTIF($M27:AP27,"u")=0), "u", "")</f>
        <v/>
      </c>
      <c r="AR27" s="80" t="str">
        <f>IF(AND($F27&lt;&gt;"", $F27&gt;=AR$5-4, $F27&lt;=AR$5, COUNTIF($M27:AQ27,"u")=0), "u", "")</f>
        <v/>
      </c>
      <c r="AS27" s="80" t="str">
        <f>IF(AND($F27&lt;&gt;"", $F27&gt;=AS$5-4, $F27&lt;=AS$5, COUNTIF($M27:AR27,"u")=0), "u", "")</f>
        <v/>
      </c>
      <c r="AT27" s="80" t="str">
        <f>IF(AND($F27&lt;&gt;"", $F27&gt;=AT$5-4, $F27&lt;=AT$5, COUNTIF($M27:AS27,"u")=0), "u", "")</f>
        <v/>
      </c>
      <c r="AU27" s="80" t="str">
        <f>IF(AND($F27&lt;&gt;"", $F27&gt;=AU$5-4, $F27&lt;=AU$5, COUNTIF($M27:AT27,"u")=0), "u", "")</f>
        <v/>
      </c>
      <c r="AV27" s="80" t="str">
        <f>IF(AND($F27&lt;&gt;"", $F27&gt;=AV$5-4, $F27&lt;=AV$5, COUNTIF($M27:AU27,"u")=0), "u", "")</f>
        <v/>
      </c>
      <c r="AW27" s="80" t="str">
        <f>IF(AND($F27&lt;&gt;"", $F27&gt;=AW$5-4, $F27&lt;=AW$5, COUNTIF($M27:AV27,"u")=0), "u", "")</f>
        <v/>
      </c>
      <c r="AX27" s="80" t="str">
        <f>IF(AND($F27&lt;&gt;"", $F27&gt;=AX$5-4, $F27&lt;=AX$5, COUNTIF($M27:AW27,"u")=0), "u", "")</f>
        <v/>
      </c>
      <c r="AY27" s="80" t="str">
        <f>IF(AND($F27&lt;&gt;"", $F27&gt;=AY$5-4, $F27&lt;=AY$5, COUNTIF($M27:AX27,"u")=0), "u", "")</f>
        <v/>
      </c>
      <c r="AZ27" s="80" t="str">
        <f>IF(AND($F27&lt;&gt;"", $F27&gt;=AZ$5-4, $F27&lt;=AZ$5, COUNTIF($M27:AY27,"u")=0), "u", "")</f>
        <v/>
      </c>
      <c r="BA27" s="80" t="str">
        <f>IF(AND($F27&lt;&gt;"", $F27&gt;=BA$5-4, $F27&lt;=BA$5, COUNTIF($M27:AZ27,"u")=0), "u", "")</f>
        <v/>
      </c>
      <c r="BB27" s="80" t="str">
        <f>IF(AND($F27&lt;&gt;"", $F27&gt;=BB$5-4, $F27&lt;=BB$5, COUNTIF($M27:BA27,"u")=0), "u", "")</f>
        <v/>
      </c>
      <c r="BC27" s="80" t="str">
        <f>IF(AND($F27&lt;&gt;"", $F27&gt;=BC$5-4, $F27&lt;=BC$5, COUNTIF($M27:BB27,"u")=0), "u", "")</f>
        <v/>
      </c>
      <c r="BD27" s="80" t="str">
        <f>IF(AND($F27&lt;&gt;"", $F27&gt;=BD$5-4, $F27&lt;=BD$5, COUNTIF($M27:BC27,"u")=0), "u", "")</f>
        <v/>
      </c>
      <c r="BE27" s="80" t="str">
        <f>IF(AND($F27&lt;&gt;"", $F27&gt;=BE$5-4, $F27&lt;=BE$5, COUNTIF($M27:BD27,"u")=0), "u", "")</f>
        <v/>
      </c>
      <c r="BF27" s="80" t="str">
        <f>IF(AND($F27&lt;&gt;"", $F27&gt;=BF$5-4, $F27&lt;=BF$5, COUNTIF($M27:BE27,"u")=0), "u", "")</f>
        <v/>
      </c>
      <c r="BG27" s="80" t="str">
        <f>IF(AND($F27&lt;&gt;"", $F27&gt;=BG$5-4, $F27&lt;=BG$5, COUNTIF($M27:BF27,"u")=0), "u", "")</f>
        <v/>
      </c>
      <c r="BH27" s="80" t="str">
        <f>IF(AND($F27&lt;&gt;"", $F27&gt;=BH$5-4, $F27&lt;=BH$5, COUNTIF($M27:BG27,"u")=0), "u", "")</f>
        <v/>
      </c>
      <c r="BI27" s="80" t="str">
        <f>IF(AND($F27&lt;&gt;"", $F27&gt;=BI$5-4, $F27&lt;=BI$5, COUNTIF($M27:BH27,"u")=0), "u", "")</f>
        <v/>
      </c>
      <c r="BJ27" s="80" t="str">
        <f>IF(AND($F27&lt;&gt;"", $F27&gt;=BJ$5-4, $F27&lt;=BJ$5, COUNTIF($M27:BI27,"u")=0), "u", "")</f>
        <v/>
      </c>
      <c r="BK27" s="80" t="str">
        <f>IF(AND($F27&lt;&gt;"", $F27&gt;=BK$5-4, $F27&lt;=BK$5, COUNTIF($M27:BJ27,"u")=0), "u", "")</f>
        <v/>
      </c>
      <c r="BL27" s="80" t="str">
        <f>IF(AND($F27&lt;&gt;"", $F27&gt;=BL$5-4, $F27&lt;=BL$5, COUNTIF($M27:BK27,"u")=0), "u", "")</f>
        <v/>
      </c>
      <c r="BM27" s="80" t="str">
        <f>IF(AND($F27&lt;&gt;"", $F27&gt;=BM$5-4, $F27&lt;=BM$5, COUNTIF($M27:BL27,"u")=0), "u", "")</f>
        <v/>
      </c>
      <c r="BN27" s="80" t="str">
        <f>IF(AND($F27&lt;&gt;"", $F27&gt;=BN$5-4, $F27&lt;=BN$5, COUNTIF($M27:BM27,"u")=0), "u", "")</f>
        <v/>
      </c>
      <c r="BO27" s="80" t="str">
        <f>IF(AND($F27&lt;&gt;"", $F27&gt;=BO$5-4, $F27&lt;=BO$5, COUNTIF($M27:BN27,"u")=0), "u", "")</f>
        <v/>
      </c>
      <c r="BP27" s="80" t="str">
        <f>IF(AND($F27&lt;&gt;"", $F27&gt;=BP$5-4, $F27&lt;=BP$5, COUNTIF($M27:BO27,"u")=0), "u", "")</f>
        <v/>
      </c>
      <c r="BQ27" s="80" t="str">
        <f>IF(AND($F27&lt;&gt;"", $F27&gt;=BQ$5-4, $F27&lt;=BQ$5, COUNTIF($M27:BP27,"u")=0), "u", "")</f>
        <v/>
      </c>
      <c r="BR27" s="80" t="str">
        <f>IF(AND($F27&lt;&gt;"", $F27&gt;=BR$5-4, $F27&lt;=BR$5, COUNTIF($M27:BQ27,"u")=0), "u", "")</f>
        <v/>
      </c>
      <c r="BS27" s="80" t="str">
        <f>IF(AND($F27&lt;&gt;"", $F27&gt;=BS$5-4, $F27&lt;=BS$5, COUNTIF($M27:BR27,"u")=0), "u", "")</f>
        <v/>
      </c>
      <c r="BT27" s="80" t="str">
        <f>IF(AND($F27&lt;&gt;"", $F27&gt;=BT$5-4, $F27&lt;=BT$5, COUNTIF($M27:BS27,"u")=0), "u", "")</f>
        <v/>
      </c>
      <c r="BU27" s="80" t="str">
        <f>IF(AND($F27&lt;&gt;"", $F27&gt;=BU$5-4, $F27&lt;=BU$5, COUNTIF($M27:BT27,"u")=0), "u", "")</f>
        <v/>
      </c>
      <c r="BV27" s="80" t="str">
        <f>IF(AND($F27&lt;&gt;"", $F27&gt;=BV$5-4, $F27&lt;=BV$5, COUNTIF($M27:BU27,"u")=0), "u", "")</f>
        <v/>
      </c>
      <c r="BW27" s="80" t="str">
        <f>IF(AND($F27&lt;&gt;"", $F27&gt;=BW$5-4, $F27&lt;=BW$5, COUNTIF($M27:BV27,"u")=0), "u", "")</f>
        <v/>
      </c>
      <c r="BX27" s="80" t="str">
        <f>IF(AND($F27&lt;&gt;"", $F27&gt;=BX$5-4, $F27&lt;=BX$5, COUNTIF($M27:BW27,"u")=0), "u", "")</f>
        <v/>
      </c>
      <c r="BY27" s="80" t="str">
        <f>IF(AND($F27&lt;&gt;"", $F27&gt;=BY$5-4, $F27&lt;=BY$5, COUNTIF($M27:BX27,"u")=0), "u", "")</f>
        <v/>
      </c>
      <c r="BZ27" s="80" t="str">
        <f>IF(AND($F27&lt;&gt;"", $F27&gt;=BZ$5-4, $F27&lt;=BZ$5, COUNTIF($M27:BY27,"u")=0), "u", "")</f>
        <v/>
      </c>
      <c r="CA27" s="80" t="str">
        <f>IF(AND($F27&lt;&gt;"", $F27&gt;=CA$5-4, $F27&lt;=CA$5, COUNTIF($M27:BZ27,"u")=0), "u", "")</f>
        <v/>
      </c>
      <c r="CB27" s="80" t="str">
        <f>IF(AND($F27&lt;&gt;"", $F27&gt;=CB$5-4, $F27&lt;=CB$5, COUNTIF($M27:CA27,"u")=0), "u", "")</f>
        <v/>
      </c>
      <c r="CC27" s="80" t="str">
        <f>IF(AND($F27&lt;&gt;"", $F27&gt;=CC$5-4, $F27&lt;=CC$5, COUNTIF($M27:CB27,"u")=0), "u", "")</f>
        <v/>
      </c>
      <c r="CD27" s="80" t="str">
        <f>IF(AND($F27&lt;&gt;"", $F27&gt;=CD$5-4, $F27&lt;=CD$5, COUNTIF($M27:CC27,"u")=0), "u", "")</f>
        <v/>
      </c>
      <c r="CE27" s="80" t="str">
        <f>IF(AND($F27&lt;&gt;"", $F27&gt;=CE$5-4, $F27&lt;=CE$5, COUNTIF($M27:CD27,"u")=0), "u", "")</f>
        <v/>
      </c>
      <c r="CF27" s="80" t="str">
        <f>IF(AND($F27&lt;&gt;"", $F27&gt;=CF$5-4, $F27&lt;=CF$5, COUNTIF($M27:CE27,"u")=0), "u", "")</f>
        <v/>
      </c>
      <c r="CG27" s="80" t="str">
        <f>IF(AND($F27&lt;&gt;"", $F27&gt;=CG$5-4, $F27&lt;=CG$5, COUNTIF($M27:CF27,"u")=0), "u", "")</f>
        <v/>
      </c>
      <c r="CH27" s="80" t="str">
        <f>IF(AND($F27&lt;&gt;"", $F27&gt;=CH$5-4, $F27&lt;=CH$5, COUNTIF($M27:CG27,"u")=0), "u", "")</f>
        <v/>
      </c>
      <c r="CI27" s="80" t="str">
        <f>IF(AND($F27&lt;&gt;"", $F27&gt;=CI$5-4, $F27&lt;=CI$5, COUNTIF($M27:CH27,"u")=0), "u", "")</f>
        <v/>
      </c>
      <c r="CJ27" s="80" t="str">
        <f>IF(AND($F27&lt;&gt;"", $F27&gt;=CJ$5-4, $F27&lt;=CJ$5, COUNTIF($M27:CI27,"u")=0), "u", "")</f>
        <v/>
      </c>
      <c r="CK27" s="80" t="str">
        <f>IF(AND($F27&lt;&gt;"", $F27&gt;=CK$5-4, $F27&lt;=CK$5, COUNTIF($M27:CJ27,"u")=0), "u", "")</f>
        <v/>
      </c>
      <c r="CL27" s="80" t="str">
        <f>IF(AND($F27&lt;&gt;"", $F27&gt;=CL$5-4, $F27&lt;=CL$5, COUNTIF($M27:CK27,"u")=0), "u", "")</f>
        <v/>
      </c>
      <c r="CM27" s="80" t="str">
        <f>IF(AND($F27&lt;&gt;"", $F27&gt;=CM$5-4, $F27&lt;=CM$5, COUNTIF($M27:CL27,"u")=0), "u", "")</f>
        <v/>
      </c>
      <c r="CN27" s="80" t="str">
        <f>IF(AND($F27&lt;&gt;"", $F27&gt;=CN$5-4, $F27&lt;=CN$5, COUNTIF($M27:CM27,"u")=0), "u", "")</f>
        <v/>
      </c>
      <c r="CO27" s="80" t="str">
        <f>IF(AND($F27&lt;&gt;"", $F27&gt;=CO$5-4, $F27&lt;=CO$5, COUNTIF($M27:CN27,"u")=0), "u", "")</f>
        <v/>
      </c>
      <c r="CP27" s="80" t="str">
        <f>IF(AND($F27&lt;&gt;"", $F27&gt;=CP$5-4, $F27&lt;=CP$5, COUNTIF($M27:CO27,"u")=0), "u", "")</f>
        <v/>
      </c>
      <c r="CQ27" s="80" t="str">
        <f>IF(AND($F27&lt;&gt;"", $F27&gt;=CQ$5-4, $F27&lt;=CQ$5, COUNTIF($M27:CP27,"u")=0), "u", "")</f>
        <v/>
      </c>
      <c r="CR27" s="80" t="str">
        <f>IF(AND($F27&lt;&gt;"", $F27&gt;=CR$5-4, $F27&lt;=CR$5, COUNTIF($M27:CQ27,"u")=0), "u", "")</f>
        <v/>
      </c>
      <c r="CS27" s="80" t="str">
        <f>IF(AND($F27&lt;&gt;"", $F27&gt;=CS$5-4, $F27&lt;=CS$5, COUNTIF($M27:CR27,"u")=0), "u", "")</f>
        <v/>
      </c>
      <c r="CT27" s="80" t="str">
        <f>IF(AND($F27&lt;&gt;"", $F27&gt;=CT$5-4, $F27&lt;=CT$5, COUNTIF($M27:CS27,"u")=0), "u", "")</f>
        <v/>
      </c>
      <c r="CU27" s="80" t="str">
        <f>IF(AND($F27&lt;&gt;"", $F27&gt;=CU$5-4, $F27&lt;=CU$5, COUNTIF($M27:CT27,"u")=0), "u", "")</f>
        <v/>
      </c>
      <c r="CV27" s="80" t="str">
        <f>IF(AND($F27&lt;&gt;"", $F27&gt;=CV$5-4, $F27&lt;=CV$5, COUNTIF($M27:CU27,"u")=0), "u", "")</f>
        <v/>
      </c>
      <c r="CW27" s="80" t="str">
        <f>IF(AND($F27&lt;&gt;"", $F27&gt;=CW$5-4, $F27&lt;=CW$5, COUNTIF($M27:CV27,"u")=0), "u", "")</f>
        <v/>
      </c>
      <c r="CX27" s="80" t="str">
        <f>IF(AND($F27&lt;&gt;"", $F27&gt;=CX$5-4, $F27&lt;=CX$5, COUNTIF($M27:CW27,"u")=0), "u", "")</f>
        <v/>
      </c>
      <c r="CY27" s="80" t="str">
        <f>IF(AND($F27&lt;&gt;"", $F27&gt;=CY$5-4, $F27&lt;=CY$5, COUNTIF($M27:CX27,"u")=0), "u", "")</f>
        <v/>
      </c>
      <c r="CZ27" s="80" t="str">
        <f>IF(AND($F27&lt;&gt;"", $F27&gt;=CZ$5-4, $F27&lt;=CZ$5, COUNTIF($M27:CY27,"u")=0), "u", "")</f>
        <v/>
      </c>
      <c r="DA27" s="80" t="str">
        <f>IF(AND($F27&lt;&gt;"", $F27&gt;=DA$5-4, $F27&lt;=DA$5, COUNTIF($M27:CZ27,"u")=0), "u", "")</f>
        <v/>
      </c>
      <c r="DB27" s="80" t="str">
        <f>IF(AND($F27&lt;&gt;"", $F27&gt;=DB$5-4, $F27&lt;=DB$5, COUNTIF($M27:DA27,"u")=0), "u", "")</f>
        <v/>
      </c>
      <c r="DC27" s="80" t="str">
        <f>IF(AND($F27&lt;&gt;"", $F27&gt;=DC$5-4, $F27&lt;=DC$5, COUNTIF($M27:DB27,"u")=0), "u", "")</f>
        <v/>
      </c>
      <c r="DD27" s="80" t="str">
        <f>IF(AND($F27&lt;&gt;"", $F27&gt;=DD$5-4, $F27&lt;=DD$5, COUNTIF($M27:DC27,"u")=0), "u", "")</f>
        <v/>
      </c>
      <c r="DE27" s="80" t="str">
        <f>IF(AND($F27&lt;&gt;"", $F27&gt;=DE$5-4, $F27&lt;=DE$5, COUNTIF($M27:DD27,"u")=0), "u", "")</f>
        <v/>
      </c>
      <c r="DF27" s="80" t="str">
        <f>IF(AND($F27&lt;&gt;"", $F27&gt;=DF$5-4, $F27&lt;=DF$5, COUNTIF($M27:DE27,"u")=0), "u", "")</f>
        <v/>
      </c>
      <c r="DG27" s="80" t="str">
        <f>IF(AND($F27&lt;&gt;"", $F27&gt;=DG$5-4, $F27&lt;=DG$5, COUNTIF($M27:DF27,"u")=0), "u", "")</f>
        <v/>
      </c>
      <c r="DH27" s="80" t="str">
        <f>IF(AND($F27&lt;&gt;"", $F27&gt;=DH$5-4, $F27&lt;=DH$5, COUNTIF($M27:DG27,"u")=0), "u", "")</f>
        <v/>
      </c>
      <c r="DI27" s="80" t="str">
        <f>IF(AND($F27&lt;&gt;"", $F27&gt;=DI$5-4, $F27&lt;=DI$5, COUNTIF($M27:DH27,"u")=0), "u", "")</f>
        <v/>
      </c>
      <c r="DJ27" s="80" t="str">
        <f>IF(AND($F27&lt;&gt;"", $F27&gt;=DJ$5-4, $F27&lt;=DJ$5, COUNTIF($M27:DI27,"u")=0), "u", "")</f>
        <v/>
      </c>
      <c r="DK27" s="80" t="str">
        <f>IF(AND($F27&lt;&gt;"", $F27&gt;=DK$5-4, $F27&lt;=DK$5, COUNTIF($M27:DJ27,"u")=0), "u", "")</f>
        <v/>
      </c>
      <c r="DL27" s="80" t="str">
        <f>IF(AND($F27&lt;&gt;"", $F27&gt;=DL$5-4, $F27&lt;=DL$5, COUNTIF($M27:DK27,"u")=0), "u", "")</f>
        <v/>
      </c>
    </row>
    <row r="28" spans="1:116" ht="25.05" customHeight="1" x14ac:dyDescent="0.3">
      <c r="A28" s="39"/>
      <c r="B28" s="75">
        <v>23</v>
      </c>
      <c r="C28" s="97"/>
      <c r="D28" s="92"/>
      <c r="E28" s="53"/>
      <c r="F28" s="53"/>
      <c r="G28" s="83" t="str">
        <f t="shared" si="47"/>
        <v/>
      </c>
      <c r="H28" s="83" t="str">
        <f t="shared" si="47"/>
        <v/>
      </c>
      <c r="I28" s="77" t="str">
        <f t="shared" si="45"/>
        <v/>
      </c>
      <c r="J28" s="78"/>
      <c r="K28" s="86"/>
      <c r="L28" s="56"/>
      <c r="M28" s="80" t="str">
        <f t="shared" si="46"/>
        <v/>
      </c>
      <c r="N28" s="80" t="str">
        <f>IF(AND($F28&lt;&gt;"", $F28&gt;=N$5-4, $F28&lt;=N$5, COUNTIF($M28:M28,"u")=0), "u", "")</f>
        <v/>
      </c>
      <c r="O28" s="80" t="str">
        <f>IF(AND($F28&lt;&gt;"", $F28&gt;=O$5-4, $F28&lt;=O$5, COUNTIF($M28:N28,"u")=0), "u", "")</f>
        <v/>
      </c>
      <c r="P28" s="80" t="str">
        <f>IF(AND($F28&lt;&gt;"", $F28&gt;=P$5-4, $F28&lt;=P$5, COUNTIF($M28:O28,"u")=0), "u", "")</f>
        <v/>
      </c>
      <c r="Q28" s="80" t="str">
        <f>IF(AND($F28&lt;&gt;"", $F28&gt;=Q$5-4, $F28&lt;=Q$5, COUNTIF($M28:P28,"u")=0), "u", "")</f>
        <v/>
      </c>
      <c r="R28" s="80" t="str">
        <f>IF(AND($F28&lt;&gt;"", $F28&gt;=R$5-4, $F28&lt;=R$5, COUNTIF($M28:Q28,"u")=0), "u", "")</f>
        <v/>
      </c>
      <c r="S28" s="80" t="str">
        <f>IF(AND($F28&lt;&gt;"", $F28&gt;=S$5-4, $F28&lt;=S$5, COUNTIF($M28:R28,"u")=0), "u", "")</f>
        <v/>
      </c>
      <c r="T28" s="80" t="str">
        <f>IF(AND($F28&lt;&gt;"", $F28&gt;=T$5-4, $F28&lt;=T$5, COUNTIF($M28:S28,"u")=0), "u", "")</f>
        <v/>
      </c>
      <c r="U28" s="80" t="str">
        <f>IF(AND($F28&lt;&gt;"", $F28&gt;=U$5-4, $F28&lt;=U$5, COUNTIF($M28:T28,"u")=0), "u", "")</f>
        <v/>
      </c>
      <c r="V28" s="80" t="str">
        <f>IF(AND($F28&lt;&gt;"", $F28&gt;=V$5-4, $F28&lt;=V$5, COUNTIF($M28:U28,"u")=0), "u", "")</f>
        <v/>
      </c>
      <c r="W28" s="80" t="str">
        <f>IF(AND($F28&lt;&gt;"", $F28&gt;=W$5-4, $F28&lt;=W$5, COUNTIF($M28:V28,"u")=0), "u", "")</f>
        <v/>
      </c>
      <c r="X28" s="80" t="str">
        <f>IF(AND($F28&lt;&gt;"", $F28&gt;=X$5-4, $F28&lt;=X$5, COUNTIF($M28:W28,"u")=0), "u", "")</f>
        <v/>
      </c>
      <c r="Y28" s="80" t="str">
        <f>IF(AND($F28&lt;&gt;"", $F28&gt;=Y$5-4, $F28&lt;=Y$5, COUNTIF($M28:X28,"u")=0), "u", "")</f>
        <v/>
      </c>
      <c r="Z28" s="80" t="str">
        <f>IF(AND($F28&lt;&gt;"", $F28&gt;=Z$5-4, $F28&lt;=Z$5, COUNTIF($M28:Y28,"u")=0), "u", "")</f>
        <v/>
      </c>
      <c r="AA28" s="80" t="str">
        <f>IF(AND($F28&lt;&gt;"", $F28&gt;=AA$5-4, $F28&lt;=AA$5, COUNTIF($M28:Z28,"u")=0), "u", "")</f>
        <v/>
      </c>
      <c r="AB28" s="80" t="str">
        <f>IF(AND($F28&lt;&gt;"", $F28&gt;=AB$5-4, $F28&lt;=AB$5, COUNTIF($M28:AA28,"u")=0), "u", "")</f>
        <v/>
      </c>
      <c r="AC28" s="80" t="str">
        <f>IF(AND($F28&lt;&gt;"", $F28&gt;=AC$5-4, $F28&lt;=AC$5, COUNTIF($M28:AB28,"u")=0), "u", "")</f>
        <v/>
      </c>
      <c r="AD28" s="80" t="str">
        <f>IF(AND($F28&lt;&gt;"", $F28&gt;=AD$5-4, $F28&lt;=AD$5, COUNTIF($M28:AC28,"u")=0), "u", "")</f>
        <v/>
      </c>
      <c r="AE28" s="80" t="str">
        <f>IF(AND($F28&lt;&gt;"", $F28&gt;=AE$5-4, $F28&lt;=AE$5, COUNTIF($M28:AD28,"u")=0), "u", "")</f>
        <v/>
      </c>
      <c r="AF28" s="80" t="str">
        <f>IF(AND($F28&lt;&gt;"", $F28&gt;=AF$5-4, $F28&lt;=AF$5, COUNTIF($M28:AE28,"u")=0), "u", "")</f>
        <v/>
      </c>
      <c r="AG28" s="80" t="str">
        <f>IF(AND($F28&lt;&gt;"", $F28&gt;=AG$5-4, $F28&lt;=AG$5, COUNTIF($M28:AF28,"u")=0), "u", "")</f>
        <v/>
      </c>
      <c r="AH28" s="80" t="str">
        <f>IF(AND($F28&lt;&gt;"", $F28&gt;=AH$5-4, $F28&lt;=AH$5, COUNTIF($M28:AG28,"u")=0), "u", "")</f>
        <v/>
      </c>
      <c r="AI28" s="80" t="str">
        <f>IF(AND($F28&lt;&gt;"", $F28&gt;=AI$5-4, $F28&lt;=AI$5, COUNTIF($M28:AH28,"u")=0), "u", "")</f>
        <v/>
      </c>
      <c r="AJ28" s="80" t="str">
        <f>IF(AND($F28&lt;&gt;"", $F28&gt;=AJ$5-4, $F28&lt;=AJ$5, COUNTIF($M28:AI28,"u")=0), "u", "")</f>
        <v/>
      </c>
      <c r="AK28" s="80" t="str">
        <f>IF(AND($F28&lt;&gt;"", $F28&gt;=AK$5-4, $F28&lt;=AK$5, COUNTIF($M28:AJ28,"u")=0), "u", "")</f>
        <v/>
      </c>
      <c r="AL28" s="80" t="str">
        <f>IF(AND($F28&lt;&gt;"", $F28&gt;=AL$5-4, $F28&lt;=AL$5, COUNTIF($M28:AK28,"u")=0), "u", "")</f>
        <v/>
      </c>
      <c r="AM28" s="80" t="str">
        <f>IF(AND($F28&lt;&gt;"", $F28&gt;=AM$5-4, $F28&lt;=AM$5, COUNTIF($M28:AL28,"u")=0), "u", "")</f>
        <v/>
      </c>
      <c r="AN28" s="80" t="str">
        <f>IF(AND($F28&lt;&gt;"", $F28&gt;=AN$5-4, $F28&lt;=AN$5, COUNTIF($M28:AM28,"u")=0), "u", "")</f>
        <v/>
      </c>
      <c r="AO28" s="80" t="str">
        <f>IF(AND($F28&lt;&gt;"", $F28&gt;=AO$5-4, $F28&lt;=AO$5, COUNTIF($M28:AN28,"u")=0), "u", "")</f>
        <v/>
      </c>
      <c r="AP28" s="80" t="str">
        <f>IF(AND($F28&lt;&gt;"", $F28&gt;=AP$5-4, $F28&lt;=AP$5, COUNTIF($M28:AO28,"u")=0), "u", "")</f>
        <v/>
      </c>
      <c r="AQ28" s="80" t="str">
        <f>IF(AND($F28&lt;&gt;"", $F28&gt;=AQ$5-4, $F28&lt;=AQ$5, COUNTIF($M28:AP28,"u")=0), "u", "")</f>
        <v/>
      </c>
      <c r="AR28" s="80" t="str">
        <f>IF(AND($F28&lt;&gt;"", $F28&gt;=AR$5-4, $F28&lt;=AR$5, COUNTIF($M28:AQ28,"u")=0), "u", "")</f>
        <v/>
      </c>
      <c r="AS28" s="80" t="str">
        <f>IF(AND($F28&lt;&gt;"", $F28&gt;=AS$5-4, $F28&lt;=AS$5, COUNTIF($M28:AR28,"u")=0), "u", "")</f>
        <v/>
      </c>
      <c r="AT28" s="80" t="str">
        <f>IF(AND($F28&lt;&gt;"", $F28&gt;=AT$5-4, $F28&lt;=AT$5, COUNTIF($M28:AS28,"u")=0), "u", "")</f>
        <v/>
      </c>
      <c r="AU28" s="80" t="str">
        <f>IF(AND($F28&lt;&gt;"", $F28&gt;=AU$5-4, $F28&lt;=AU$5, COUNTIF($M28:AT28,"u")=0), "u", "")</f>
        <v/>
      </c>
      <c r="AV28" s="80" t="str">
        <f>IF(AND($F28&lt;&gt;"", $F28&gt;=AV$5-4, $F28&lt;=AV$5, COUNTIF($M28:AU28,"u")=0), "u", "")</f>
        <v/>
      </c>
      <c r="AW28" s="80" t="str">
        <f>IF(AND($F28&lt;&gt;"", $F28&gt;=AW$5-4, $F28&lt;=AW$5, COUNTIF($M28:AV28,"u")=0), "u", "")</f>
        <v/>
      </c>
      <c r="AX28" s="80" t="str">
        <f>IF(AND($F28&lt;&gt;"", $F28&gt;=AX$5-4, $F28&lt;=AX$5, COUNTIF($M28:AW28,"u")=0), "u", "")</f>
        <v/>
      </c>
      <c r="AY28" s="80" t="str">
        <f>IF(AND($F28&lt;&gt;"", $F28&gt;=AY$5-4, $F28&lt;=AY$5, COUNTIF($M28:AX28,"u")=0), "u", "")</f>
        <v/>
      </c>
      <c r="AZ28" s="80" t="str">
        <f>IF(AND($F28&lt;&gt;"", $F28&gt;=AZ$5-4, $F28&lt;=AZ$5, COUNTIF($M28:AY28,"u")=0), "u", "")</f>
        <v/>
      </c>
      <c r="BA28" s="80" t="str">
        <f>IF(AND($F28&lt;&gt;"", $F28&gt;=BA$5-4, $F28&lt;=BA$5, COUNTIF($M28:AZ28,"u")=0), "u", "")</f>
        <v/>
      </c>
      <c r="BB28" s="80" t="str">
        <f>IF(AND($F28&lt;&gt;"", $F28&gt;=BB$5-4, $F28&lt;=BB$5, COUNTIF($M28:BA28,"u")=0), "u", "")</f>
        <v/>
      </c>
      <c r="BC28" s="80" t="str">
        <f>IF(AND($F28&lt;&gt;"", $F28&gt;=BC$5-4, $F28&lt;=BC$5, COUNTIF($M28:BB28,"u")=0), "u", "")</f>
        <v/>
      </c>
      <c r="BD28" s="80" t="str">
        <f>IF(AND($F28&lt;&gt;"", $F28&gt;=BD$5-4, $F28&lt;=BD$5, COUNTIF($M28:BC28,"u")=0), "u", "")</f>
        <v/>
      </c>
      <c r="BE28" s="80" t="str">
        <f>IF(AND($F28&lt;&gt;"", $F28&gt;=BE$5-4, $F28&lt;=BE$5, COUNTIF($M28:BD28,"u")=0), "u", "")</f>
        <v/>
      </c>
      <c r="BF28" s="80" t="str">
        <f>IF(AND($F28&lt;&gt;"", $F28&gt;=BF$5-4, $F28&lt;=BF$5, COUNTIF($M28:BE28,"u")=0), "u", "")</f>
        <v/>
      </c>
      <c r="BG28" s="80" t="str">
        <f>IF(AND($F28&lt;&gt;"", $F28&gt;=BG$5-4, $F28&lt;=BG$5, COUNTIF($M28:BF28,"u")=0), "u", "")</f>
        <v/>
      </c>
      <c r="BH28" s="80" t="str">
        <f>IF(AND($F28&lt;&gt;"", $F28&gt;=BH$5-4, $F28&lt;=BH$5, COUNTIF($M28:BG28,"u")=0), "u", "")</f>
        <v/>
      </c>
      <c r="BI28" s="80" t="str">
        <f>IF(AND($F28&lt;&gt;"", $F28&gt;=BI$5-4, $F28&lt;=BI$5, COUNTIF($M28:BH28,"u")=0), "u", "")</f>
        <v/>
      </c>
      <c r="BJ28" s="80" t="str">
        <f>IF(AND($F28&lt;&gt;"", $F28&gt;=BJ$5-4, $F28&lt;=BJ$5, COUNTIF($M28:BI28,"u")=0), "u", "")</f>
        <v/>
      </c>
      <c r="BK28" s="80" t="str">
        <f>IF(AND($F28&lt;&gt;"", $F28&gt;=BK$5-4, $F28&lt;=BK$5, COUNTIF($M28:BJ28,"u")=0), "u", "")</f>
        <v/>
      </c>
      <c r="BL28" s="80" t="str">
        <f>IF(AND($F28&lt;&gt;"", $F28&gt;=BL$5-4, $F28&lt;=BL$5, COUNTIF($M28:BK28,"u")=0), "u", "")</f>
        <v/>
      </c>
      <c r="BM28" s="80" t="str">
        <f>IF(AND($F28&lt;&gt;"", $F28&gt;=BM$5-4, $F28&lt;=BM$5, COUNTIF($M28:BL28,"u")=0), "u", "")</f>
        <v/>
      </c>
      <c r="BN28" s="80" t="str">
        <f>IF(AND($F28&lt;&gt;"", $F28&gt;=BN$5-4, $F28&lt;=BN$5, COUNTIF($M28:BM28,"u")=0), "u", "")</f>
        <v/>
      </c>
      <c r="BO28" s="80" t="str">
        <f>IF(AND($F28&lt;&gt;"", $F28&gt;=BO$5-4, $F28&lt;=BO$5, COUNTIF($M28:BN28,"u")=0), "u", "")</f>
        <v/>
      </c>
      <c r="BP28" s="80" t="str">
        <f>IF(AND($F28&lt;&gt;"", $F28&gt;=BP$5-4, $F28&lt;=BP$5, COUNTIF($M28:BO28,"u")=0), "u", "")</f>
        <v/>
      </c>
      <c r="BQ28" s="80" t="str">
        <f>IF(AND($F28&lt;&gt;"", $F28&gt;=BQ$5-4, $F28&lt;=BQ$5, COUNTIF($M28:BP28,"u")=0), "u", "")</f>
        <v/>
      </c>
      <c r="BR28" s="80" t="str">
        <f>IF(AND($F28&lt;&gt;"", $F28&gt;=BR$5-4, $F28&lt;=BR$5, COUNTIF($M28:BQ28,"u")=0), "u", "")</f>
        <v/>
      </c>
      <c r="BS28" s="80" t="str">
        <f>IF(AND($F28&lt;&gt;"", $F28&gt;=BS$5-4, $F28&lt;=BS$5, COUNTIF($M28:BR28,"u")=0), "u", "")</f>
        <v/>
      </c>
      <c r="BT28" s="80" t="str">
        <f>IF(AND($F28&lt;&gt;"", $F28&gt;=BT$5-4, $F28&lt;=BT$5, COUNTIF($M28:BS28,"u")=0), "u", "")</f>
        <v/>
      </c>
      <c r="BU28" s="80" t="str">
        <f>IF(AND($F28&lt;&gt;"", $F28&gt;=BU$5-4, $F28&lt;=BU$5, COUNTIF($M28:BT28,"u")=0), "u", "")</f>
        <v/>
      </c>
      <c r="BV28" s="80" t="str">
        <f>IF(AND($F28&lt;&gt;"", $F28&gt;=BV$5-4, $F28&lt;=BV$5, COUNTIF($M28:BU28,"u")=0), "u", "")</f>
        <v/>
      </c>
      <c r="BW28" s="80" t="str">
        <f>IF(AND($F28&lt;&gt;"", $F28&gt;=BW$5-4, $F28&lt;=BW$5, COUNTIF($M28:BV28,"u")=0), "u", "")</f>
        <v/>
      </c>
      <c r="BX28" s="80" t="str">
        <f>IF(AND($F28&lt;&gt;"", $F28&gt;=BX$5-4, $F28&lt;=BX$5, COUNTIF($M28:BW28,"u")=0), "u", "")</f>
        <v/>
      </c>
      <c r="BY28" s="80" t="str">
        <f>IF(AND($F28&lt;&gt;"", $F28&gt;=BY$5-4, $F28&lt;=BY$5, COUNTIF($M28:BX28,"u")=0), "u", "")</f>
        <v/>
      </c>
      <c r="BZ28" s="80" t="str">
        <f>IF(AND($F28&lt;&gt;"", $F28&gt;=BZ$5-4, $F28&lt;=BZ$5, COUNTIF($M28:BY28,"u")=0), "u", "")</f>
        <v/>
      </c>
      <c r="CA28" s="80" t="str">
        <f>IF(AND($F28&lt;&gt;"", $F28&gt;=CA$5-4, $F28&lt;=CA$5, COUNTIF($M28:BZ28,"u")=0), "u", "")</f>
        <v/>
      </c>
      <c r="CB28" s="80" t="str">
        <f>IF(AND($F28&lt;&gt;"", $F28&gt;=CB$5-4, $F28&lt;=CB$5, COUNTIF($M28:CA28,"u")=0), "u", "")</f>
        <v/>
      </c>
      <c r="CC28" s="80" t="str">
        <f>IF(AND($F28&lt;&gt;"", $F28&gt;=CC$5-4, $F28&lt;=CC$5, COUNTIF($M28:CB28,"u")=0), "u", "")</f>
        <v/>
      </c>
      <c r="CD28" s="80" t="str">
        <f>IF(AND($F28&lt;&gt;"", $F28&gt;=CD$5-4, $F28&lt;=CD$5, COUNTIF($M28:CC28,"u")=0), "u", "")</f>
        <v/>
      </c>
      <c r="CE28" s="80" t="str">
        <f>IF(AND($F28&lt;&gt;"", $F28&gt;=CE$5-4, $F28&lt;=CE$5, COUNTIF($M28:CD28,"u")=0), "u", "")</f>
        <v/>
      </c>
      <c r="CF28" s="80" t="str">
        <f>IF(AND($F28&lt;&gt;"", $F28&gt;=CF$5-4, $F28&lt;=CF$5, COUNTIF($M28:CE28,"u")=0), "u", "")</f>
        <v/>
      </c>
      <c r="CG28" s="80" t="str">
        <f>IF(AND($F28&lt;&gt;"", $F28&gt;=CG$5-4, $F28&lt;=CG$5, COUNTIF($M28:CF28,"u")=0), "u", "")</f>
        <v/>
      </c>
      <c r="CH28" s="80" t="str">
        <f>IF(AND($F28&lt;&gt;"", $F28&gt;=CH$5-4, $F28&lt;=CH$5, COUNTIF($M28:CG28,"u")=0), "u", "")</f>
        <v/>
      </c>
      <c r="CI28" s="80" t="str">
        <f>IF(AND($F28&lt;&gt;"", $F28&gt;=CI$5-4, $F28&lt;=CI$5, COUNTIF($M28:CH28,"u")=0), "u", "")</f>
        <v/>
      </c>
      <c r="CJ28" s="80" t="str">
        <f>IF(AND($F28&lt;&gt;"", $F28&gt;=CJ$5-4, $F28&lt;=CJ$5, COUNTIF($M28:CI28,"u")=0), "u", "")</f>
        <v/>
      </c>
      <c r="CK28" s="80" t="str">
        <f>IF(AND($F28&lt;&gt;"", $F28&gt;=CK$5-4, $F28&lt;=CK$5, COUNTIF($M28:CJ28,"u")=0), "u", "")</f>
        <v/>
      </c>
      <c r="CL28" s="80" t="str">
        <f>IF(AND($F28&lt;&gt;"", $F28&gt;=CL$5-4, $F28&lt;=CL$5, COUNTIF($M28:CK28,"u")=0), "u", "")</f>
        <v/>
      </c>
      <c r="CM28" s="80" t="str">
        <f>IF(AND($F28&lt;&gt;"", $F28&gt;=CM$5-4, $F28&lt;=CM$5, COUNTIF($M28:CL28,"u")=0), "u", "")</f>
        <v/>
      </c>
      <c r="CN28" s="80" t="str">
        <f>IF(AND($F28&lt;&gt;"", $F28&gt;=CN$5-4, $F28&lt;=CN$5, COUNTIF($M28:CM28,"u")=0), "u", "")</f>
        <v/>
      </c>
      <c r="CO28" s="80" t="str">
        <f>IF(AND($F28&lt;&gt;"", $F28&gt;=CO$5-4, $F28&lt;=CO$5, COUNTIF($M28:CN28,"u")=0), "u", "")</f>
        <v/>
      </c>
      <c r="CP28" s="80" t="str">
        <f>IF(AND($F28&lt;&gt;"", $F28&gt;=CP$5-4, $F28&lt;=CP$5, COUNTIF($M28:CO28,"u")=0), "u", "")</f>
        <v/>
      </c>
      <c r="CQ28" s="80" t="str">
        <f>IF(AND($F28&lt;&gt;"", $F28&gt;=CQ$5-4, $F28&lt;=CQ$5, COUNTIF($M28:CP28,"u")=0), "u", "")</f>
        <v/>
      </c>
      <c r="CR28" s="80" t="str">
        <f>IF(AND($F28&lt;&gt;"", $F28&gt;=CR$5-4, $F28&lt;=CR$5, COUNTIF($M28:CQ28,"u")=0), "u", "")</f>
        <v/>
      </c>
      <c r="CS28" s="80" t="str">
        <f>IF(AND($F28&lt;&gt;"", $F28&gt;=CS$5-4, $F28&lt;=CS$5, COUNTIF($M28:CR28,"u")=0), "u", "")</f>
        <v/>
      </c>
      <c r="CT28" s="80" t="str">
        <f>IF(AND($F28&lt;&gt;"", $F28&gt;=CT$5-4, $F28&lt;=CT$5, COUNTIF($M28:CS28,"u")=0), "u", "")</f>
        <v/>
      </c>
      <c r="CU28" s="80" t="str">
        <f>IF(AND($F28&lt;&gt;"", $F28&gt;=CU$5-4, $F28&lt;=CU$5, COUNTIF($M28:CT28,"u")=0), "u", "")</f>
        <v/>
      </c>
      <c r="CV28" s="80" t="str">
        <f>IF(AND($F28&lt;&gt;"", $F28&gt;=CV$5-4, $F28&lt;=CV$5, COUNTIF($M28:CU28,"u")=0), "u", "")</f>
        <v/>
      </c>
      <c r="CW28" s="80" t="str">
        <f>IF(AND($F28&lt;&gt;"", $F28&gt;=CW$5-4, $F28&lt;=CW$5, COUNTIF($M28:CV28,"u")=0), "u", "")</f>
        <v/>
      </c>
      <c r="CX28" s="80" t="str">
        <f>IF(AND($F28&lt;&gt;"", $F28&gt;=CX$5-4, $F28&lt;=CX$5, COUNTIF($M28:CW28,"u")=0), "u", "")</f>
        <v/>
      </c>
      <c r="CY28" s="80" t="str">
        <f>IF(AND($F28&lt;&gt;"", $F28&gt;=CY$5-4, $F28&lt;=CY$5, COUNTIF($M28:CX28,"u")=0), "u", "")</f>
        <v/>
      </c>
      <c r="CZ28" s="80" t="str">
        <f>IF(AND($F28&lt;&gt;"", $F28&gt;=CZ$5-4, $F28&lt;=CZ$5, COUNTIF($M28:CY28,"u")=0), "u", "")</f>
        <v/>
      </c>
      <c r="DA28" s="80" t="str">
        <f>IF(AND($F28&lt;&gt;"", $F28&gt;=DA$5-4, $F28&lt;=DA$5, COUNTIF($M28:CZ28,"u")=0), "u", "")</f>
        <v/>
      </c>
      <c r="DB28" s="80" t="str">
        <f>IF(AND($F28&lt;&gt;"", $F28&gt;=DB$5-4, $F28&lt;=DB$5, COUNTIF($M28:DA28,"u")=0), "u", "")</f>
        <v/>
      </c>
      <c r="DC28" s="80" t="str">
        <f>IF(AND($F28&lt;&gt;"", $F28&gt;=DC$5-4, $F28&lt;=DC$5, COUNTIF($M28:DB28,"u")=0), "u", "")</f>
        <v/>
      </c>
      <c r="DD28" s="80" t="str">
        <f>IF(AND($F28&lt;&gt;"", $F28&gt;=DD$5-4, $F28&lt;=DD$5, COUNTIF($M28:DC28,"u")=0), "u", "")</f>
        <v/>
      </c>
      <c r="DE28" s="80" t="str">
        <f>IF(AND($F28&lt;&gt;"", $F28&gt;=DE$5-4, $F28&lt;=DE$5, COUNTIF($M28:DD28,"u")=0), "u", "")</f>
        <v/>
      </c>
      <c r="DF28" s="80" t="str">
        <f>IF(AND($F28&lt;&gt;"", $F28&gt;=DF$5-4, $F28&lt;=DF$5, COUNTIF($M28:DE28,"u")=0), "u", "")</f>
        <v/>
      </c>
      <c r="DG28" s="80" t="str">
        <f>IF(AND($F28&lt;&gt;"", $F28&gt;=DG$5-4, $F28&lt;=DG$5, COUNTIF($M28:DF28,"u")=0), "u", "")</f>
        <v/>
      </c>
      <c r="DH28" s="80" t="str">
        <f>IF(AND($F28&lt;&gt;"", $F28&gt;=DH$5-4, $F28&lt;=DH$5, COUNTIF($M28:DG28,"u")=0), "u", "")</f>
        <v/>
      </c>
      <c r="DI28" s="80" t="str">
        <f>IF(AND($F28&lt;&gt;"", $F28&gt;=DI$5-4, $F28&lt;=DI$5, COUNTIF($M28:DH28,"u")=0), "u", "")</f>
        <v/>
      </c>
      <c r="DJ28" s="80" t="str">
        <f>IF(AND($F28&lt;&gt;"", $F28&gt;=DJ$5-4, $F28&lt;=DJ$5, COUNTIF($M28:DI28,"u")=0), "u", "")</f>
        <v/>
      </c>
      <c r="DK28" s="80" t="str">
        <f>IF(AND($F28&lt;&gt;"", $F28&gt;=DK$5-4, $F28&lt;=DK$5, COUNTIF($M28:DJ28,"u")=0), "u", "")</f>
        <v/>
      </c>
      <c r="DL28" s="80" t="str">
        <f>IF(AND($F28&lt;&gt;"", $F28&gt;=DL$5-4, $F28&lt;=DL$5, COUNTIF($M28:DK28,"u")=0), "u", "")</f>
        <v/>
      </c>
    </row>
    <row r="29" spans="1:116" ht="25.05" customHeight="1" x14ac:dyDescent="0.3">
      <c r="A29" s="39"/>
      <c r="B29" s="75">
        <v>24</v>
      </c>
      <c r="C29" s="97"/>
      <c r="D29" s="92"/>
      <c r="E29" s="53"/>
      <c r="F29" s="53"/>
      <c r="G29" s="83" t="str">
        <f t="shared" si="47"/>
        <v/>
      </c>
      <c r="H29" s="83" t="str">
        <f t="shared" si="47"/>
        <v/>
      </c>
      <c r="I29" s="77" t="str">
        <f t="shared" si="45"/>
        <v/>
      </c>
      <c r="J29" s="78"/>
      <c r="K29" s="86"/>
      <c r="L29" s="56"/>
      <c r="M29" s="80" t="str">
        <f t="shared" si="46"/>
        <v/>
      </c>
      <c r="N29" s="80" t="str">
        <f>IF(AND($F29&lt;&gt;"", $F29&gt;=N$5-4, $F29&lt;=N$5, COUNTIF($M29:M29,"u")=0), "u", "")</f>
        <v/>
      </c>
      <c r="O29" s="80" t="str">
        <f>IF(AND($F29&lt;&gt;"", $F29&gt;=O$5-4, $F29&lt;=O$5, COUNTIF($M29:N29,"u")=0), "u", "")</f>
        <v/>
      </c>
      <c r="P29" s="80" t="str">
        <f>IF(AND($F29&lt;&gt;"", $F29&gt;=P$5-4, $F29&lt;=P$5, COUNTIF($M29:O29,"u")=0), "u", "")</f>
        <v/>
      </c>
      <c r="Q29" s="80" t="str">
        <f>IF(AND($F29&lt;&gt;"", $F29&gt;=Q$5-4, $F29&lt;=Q$5, COUNTIF($M29:P29,"u")=0), "u", "")</f>
        <v/>
      </c>
      <c r="R29" s="80" t="str">
        <f>IF(AND($F29&lt;&gt;"", $F29&gt;=R$5-4, $F29&lt;=R$5, COUNTIF($M29:Q29,"u")=0), "u", "")</f>
        <v/>
      </c>
      <c r="S29" s="80" t="str">
        <f>IF(AND($F29&lt;&gt;"", $F29&gt;=S$5-4, $F29&lt;=S$5, COUNTIF($M29:R29,"u")=0), "u", "")</f>
        <v/>
      </c>
      <c r="T29" s="80" t="str">
        <f>IF(AND($F29&lt;&gt;"", $F29&gt;=T$5-4, $F29&lt;=T$5, COUNTIF($M29:S29,"u")=0), "u", "")</f>
        <v/>
      </c>
      <c r="U29" s="80" t="str">
        <f>IF(AND($F29&lt;&gt;"", $F29&gt;=U$5-4, $F29&lt;=U$5, COUNTIF($M29:T29,"u")=0), "u", "")</f>
        <v/>
      </c>
      <c r="V29" s="80" t="str">
        <f>IF(AND($F29&lt;&gt;"", $F29&gt;=V$5-4, $F29&lt;=V$5, COUNTIF($M29:U29,"u")=0), "u", "")</f>
        <v/>
      </c>
      <c r="W29" s="80" t="str">
        <f>IF(AND($F29&lt;&gt;"", $F29&gt;=W$5-4, $F29&lt;=W$5, COUNTIF($M29:V29,"u")=0), "u", "")</f>
        <v/>
      </c>
      <c r="X29" s="80" t="str">
        <f>IF(AND($F29&lt;&gt;"", $F29&gt;=X$5-4, $F29&lt;=X$5, COUNTIF($M29:W29,"u")=0), "u", "")</f>
        <v/>
      </c>
      <c r="Y29" s="80" t="str">
        <f>IF(AND($F29&lt;&gt;"", $F29&gt;=Y$5-4, $F29&lt;=Y$5, COUNTIF($M29:X29,"u")=0), "u", "")</f>
        <v/>
      </c>
      <c r="Z29" s="80" t="str">
        <f>IF(AND($F29&lt;&gt;"", $F29&gt;=Z$5-4, $F29&lt;=Z$5, COUNTIF($M29:Y29,"u")=0), "u", "")</f>
        <v/>
      </c>
      <c r="AA29" s="80" t="str">
        <f>IF(AND($F29&lt;&gt;"", $F29&gt;=AA$5-4, $F29&lt;=AA$5, COUNTIF($M29:Z29,"u")=0), "u", "")</f>
        <v/>
      </c>
      <c r="AB29" s="80" t="str">
        <f>IF(AND($F29&lt;&gt;"", $F29&gt;=AB$5-4, $F29&lt;=AB$5, COUNTIF($M29:AA29,"u")=0), "u", "")</f>
        <v/>
      </c>
      <c r="AC29" s="80" t="str">
        <f>IF(AND($F29&lt;&gt;"", $F29&gt;=AC$5-4, $F29&lt;=AC$5, COUNTIF($M29:AB29,"u")=0), "u", "")</f>
        <v/>
      </c>
      <c r="AD29" s="80" t="str">
        <f>IF(AND($F29&lt;&gt;"", $F29&gt;=AD$5-4, $F29&lt;=AD$5, COUNTIF($M29:AC29,"u")=0), "u", "")</f>
        <v/>
      </c>
      <c r="AE29" s="80" t="str">
        <f>IF(AND($F29&lt;&gt;"", $F29&gt;=AE$5-4, $F29&lt;=AE$5, COUNTIF($M29:AD29,"u")=0), "u", "")</f>
        <v/>
      </c>
      <c r="AF29" s="80" t="str">
        <f>IF(AND($F29&lt;&gt;"", $F29&gt;=AF$5-4, $F29&lt;=AF$5, COUNTIF($M29:AE29,"u")=0), "u", "")</f>
        <v/>
      </c>
      <c r="AG29" s="80" t="str">
        <f>IF(AND($F29&lt;&gt;"", $F29&gt;=AG$5-4, $F29&lt;=AG$5, COUNTIF($M29:AF29,"u")=0), "u", "")</f>
        <v/>
      </c>
      <c r="AH29" s="80" t="str">
        <f>IF(AND($F29&lt;&gt;"", $F29&gt;=AH$5-4, $F29&lt;=AH$5, COUNTIF($M29:AG29,"u")=0), "u", "")</f>
        <v/>
      </c>
      <c r="AI29" s="80" t="str">
        <f>IF(AND($F29&lt;&gt;"", $F29&gt;=AI$5-4, $F29&lt;=AI$5, COUNTIF($M29:AH29,"u")=0), "u", "")</f>
        <v/>
      </c>
      <c r="AJ29" s="80" t="str">
        <f>IF(AND($F29&lt;&gt;"", $F29&gt;=AJ$5-4, $F29&lt;=AJ$5, COUNTIF($M29:AI29,"u")=0), "u", "")</f>
        <v/>
      </c>
      <c r="AK29" s="80" t="str">
        <f>IF(AND($F29&lt;&gt;"", $F29&gt;=AK$5-4, $F29&lt;=AK$5, COUNTIF($M29:AJ29,"u")=0), "u", "")</f>
        <v/>
      </c>
      <c r="AL29" s="80" t="str">
        <f>IF(AND($F29&lt;&gt;"", $F29&gt;=AL$5-4, $F29&lt;=AL$5, COUNTIF($M29:AK29,"u")=0), "u", "")</f>
        <v/>
      </c>
      <c r="AM29" s="80" t="str">
        <f>IF(AND($F29&lt;&gt;"", $F29&gt;=AM$5-4, $F29&lt;=AM$5, COUNTIF($M29:AL29,"u")=0), "u", "")</f>
        <v/>
      </c>
      <c r="AN29" s="80" t="str">
        <f>IF(AND($F29&lt;&gt;"", $F29&gt;=AN$5-4, $F29&lt;=AN$5, COUNTIF($M29:AM29,"u")=0), "u", "")</f>
        <v/>
      </c>
      <c r="AO29" s="80" t="str">
        <f>IF(AND($F29&lt;&gt;"", $F29&gt;=AO$5-4, $F29&lt;=AO$5, COUNTIF($M29:AN29,"u")=0), "u", "")</f>
        <v/>
      </c>
      <c r="AP29" s="80" t="str">
        <f>IF(AND($F29&lt;&gt;"", $F29&gt;=AP$5-4, $F29&lt;=AP$5, COUNTIF($M29:AO29,"u")=0), "u", "")</f>
        <v/>
      </c>
      <c r="AQ29" s="80" t="str">
        <f>IF(AND($F29&lt;&gt;"", $F29&gt;=AQ$5-4, $F29&lt;=AQ$5, COUNTIF($M29:AP29,"u")=0), "u", "")</f>
        <v/>
      </c>
      <c r="AR29" s="80" t="str">
        <f>IF(AND($F29&lt;&gt;"", $F29&gt;=AR$5-4, $F29&lt;=AR$5, COUNTIF($M29:AQ29,"u")=0), "u", "")</f>
        <v/>
      </c>
      <c r="AS29" s="80" t="str">
        <f>IF(AND($F29&lt;&gt;"", $F29&gt;=AS$5-4, $F29&lt;=AS$5, COUNTIF($M29:AR29,"u")=0), "u", "")</f>
        <v/>
      </c>
      <c r="AT29" s="80" t="str">
        <f>IF(AND($F29&lt;&gt;"", $F29&gt;=AT$5-4, $F29&lt;=AT$5, COUNTIF($M29:AS29,"u")=0), "u", "")</f>
        <v/>
      </c>
      <c r="AU29" s="80" t="str">
        <f>IF(AND($F29&lt;&gt;"", $F29&gt;=AU$5-4, $F29&lt;=AU$5, COUNTIF($M29:AT29,"u")=0), "u", "")</f>
        <v/>
      </c>
      <c r="AV29" s="80" t="str">
        <f>IF(AND($F29&lt;&gt;"", $F29&gt;=AV$5-4, $F29&lt;=AV$5, COUNTIF($M29:AU29,"u")=0), "u", "")</f>
        <v/>
      </c>
      <c r="AW29" s="80" t="str">
        <f>IF(AND($F29&lt;&gt;"", $F29&gt;=AW$5-4, $F29&lt;=AW$5, COUNTIF($M29:AV29,"u")=0), "u", "")</f>
        <v/>
      </c>
      <c r="AX29" s="80" t="str">
        <f>IF(AND($F29&lt;&gt;"", $F29&gt;=AX$5-4, $F29&lt;=AX$5, COUNTIF($M29:AW29,"u")=0), "u", "")</f>
        <v/>
      </c>
      <c r="AY29" s="80" t="str">
        <f>IF(AND($F29&lt;&gt;"", $F29&gt;=AY$5-4, $F29&lt;=AY$5, COUNTIF($M29:AX29,"u")=0), "u", "")</f>
        <v/>
      </c>
      <c r="AZ29" s="80" t="str">
        <f>IF(AND($F29&lt;&gt;"", $F29&gt;=AZ$5-4, $F29&lt;=AZ$5, COUNTIF($M29:AY29,"u")=0), "u", "")</f>
        <v/>
      </c>
      <c r="BA29" s="80" t="str">
        <f>IF(AND($F29&lt;&gt;"", $F29&gt;=BA$5-4, $F29&lt;=BA$5, COUNTIF($M29:AZ29,"u")=0), "u", "")</f>
        <v/>
      </c>
      <c r="BB29" s="80" t="str">
        <f>IF(AND($F29&lt;&gt;"", $F29&gt;=BB$5-4, $F29&lt;=BB$5, COUNTIF($M29:BA29,"u")=0), "u", "")</f>
        <v/>
      </c>
      <c r="BC29" s="80" t="str">
        <f>IF(AND($F29&lt;&gt;"", $F29&gt;=BC$5-4, $F29&lt;=BC$5, COUNTIF($M29:BB29,"u")=0), "u", "")</f>
        <v/>
      </c>
      <c r="BD29" s="80" t="str">
        <f>IF(AND($F29&lt;&gt;"", $F29&gt;=BD$5-4, $F29&lt;=BD$5, COUNTIF($M29:BC29,"u")=0), "u", "")</f>
        <v/>
      </c>
      <c r="BE29" s="80" t="str">
        <f>IF(AND($F29&lt;&gt;"", $F29&gt;=BE$5-4, $F29&lt;=BE$5, COUNTIF($M29:BD29,"u")=0), "u", "")</f>
        <v/>
      </c>
      <c r="BF29" s="80" t="str">
        <f>IF(AND($F29&lt;&gt;"", $F29&gt;=BF$5-4, $F29&lt;=BF$5, COUNTIF($M29:BE29,"u")=0), "u", "")</f>
        <v/>
      </c>
      <c r="BG29" s="80" t="str">
        <f>IF(AND($F29&lt;&gt;"", $F29&gt;=BG$5-4, $F29&lt;=BG$5, COUNTIF($M29:BF29,"u")=0), "u", "")</f>
        <v/>
      </c>
      <c r="BH29" s="80" t="str">
        <f>IF(AND($F29&lt;&gt;"", $F29&gt;=BH$5-4, $F29&lt;=BH$5, COUNTIF($M29:BG29,"u")=0), "u", "")</f>
        <v/>
      </c>
      <c r="BI29" s="80" t="str">
        <f>IF(AND($F29&lt;&gt;"", $F29&gt;=BI$5-4, $F29&lt;=BI$5, COUNTIF($M29:BH29,"u")=0), "u", "")</f>
        <v/>
      </c>
      <c r="BJ29" s="80" t="str">
        <f>IF(AND($F29&lt;&gt;"", $F29&gt;=BJ$5-4, $F29&lt;=BJ$5, COUNTIF($M29:BI29,"u")=0), "u", "")</f>
        <v/>
      </c>
      <c r="BK29" s="80" t="str">
        <f>IF(AND($F29&lt;&gt;"", $F29&gt;=BK$5-4, $F29&lt;=BK$5, COUNTIF($M29:BJ29,"u")=0), "u", "")</f>
        <v/>
      </c>
      <c r="BL29" s="80" t="str">
        <f>IF(AND($F29&lt;&gt;"", $F29&gt;=BL$5-4, $F29&lt;=BL$5, COUNTIF($M29:BK29,"u")=0), "u", "")</f>
        <v/>
      </c>
      <c r="BM29" s="80" t="str">
        <f>IF(AND($F29&lt;&gt;"", $F29&gt;=BM$5-4, $F29&lt;=BM$5, COUNTIF($M29:BL29,"u")=0), "u", "")</f>
        <v/>
      </c>
      <c r="BN29" s="80" t="str">
        <f>IF(AND($F29&lt;&gt;"", $F29&gt;=BN$5-4, $F29&lt;=BN$5, COUNTIF($M29:BM29,"u")=0), "u", "")</f>
        <v/>
      </c>
      <c r="BO29" s="80" t="str">
        <f>IF(AND($F29&lt;&gt;"", $F29&gt;=BO$5-4, $F29&lt;=BO$5, COUNTIF($M29:BN29,"u")=0), "u", "")</f>
        <v/>
      </c>
      <c r="BP29" s="80" t="str">
        <f>IF(AND($F29&lt;&gt;"", $F29&gt;=BP$5-4, $F29&lt;=BP$5, COUNTIF($M29:BO29,"u")=0), "u", "")</f>
        <v/>
      </c>
      <c r="BQ29" s="80" t="str">
        <f>IF(AND($F29&lt;&gt;"", $F29&gt;=BQ$5-4, $F29&lt;=BQ$5, COUNTIF($M29:BP29,"u")=0), "u", "")</f>
        <v/>
      </c>
      <c r="BR29" s="80" t="str">
        <f>IF(AND($F29&lt;&gt;"", $F29&gt;=BR$5-4, $F29&lt;=BR$5, COUNTIF($M29:BQ29,"u")=0), "u", "")</f>
        <v/>
      </c>
      <c r="BS29" s="80" t="str">
        <f>IF(AND($F29&lt;&gt;"", $F29&gt;=BS$5-4, $F29&lt;=BS$5, COUNTIF($M29:BR29,"u")=0), "u", "")</f>
        <v/>
      </c>
      <c r="BT29" s="80" t="str">
        <f>IF(AND($F29&lt;&gt;"", $F29&gt;=BT$5-4, $F29&lt;=BT$5, COUNTIF($M29:BS29,"u")=0), "u", "")</f>
        <v/>
      </c>
      <c r="BU29" s="80" t="str">
        <f>IF(AND($F29&lt;&gt;"", $F29&gt;=BU$5-4, $F29&lt;=BU$5, COUNTIF($M29:BT29,"u")=0), "u", "")</f>
        <v/>
      </c>
      <c r="BV29" s="80" t="str">
        <f>IF(AND($F29&lt;&gt;"", $F29&gt;=BV$5-4, $F29&lt;=BV$5, COUNTIF($M29:BU29,"u")=0), "u", "")</f>
        <v/>
      </c>
      <c r="BW29" s="80" t="str">
        <f>IF(AND($F29&lt;&gt;"", $F29&gt;=BW$5-4, $F29&lt;=BW$5, COUNTIF($M29:BV29,"u")=0), "u", "")</f>
        <v/>
      </c>
      <c r="BX29" s="80" t="str">
        <f>IF(AND($F29&lt;&gt;"", $F29&gt;=BX$5-4, $F29&lt;=BX$5, COUNTIF($M29:BW29,"u")=0), "u", "")</f>
        <v/>
      </c>
      <c r="BY29" s="80" t="str">
        <f>IF(AND($F29&lt;&gt;"", $F29&gt;=BY$5-4, $F29&lt;=BY$5, COUNTIF($M29:BX29,"u")=0), "u", "")</f>
        <v/>
      </c>
      <c r="BZ29" s="80" t="str">
        <f>IF(AND($F29&lt;&gt;"", $F29&gt;=BZ$5-4, $F29&lt;=BZ$5, COUNTIF($M29:BY29,"u")=0), "u", "")</f>
        <v/>
      </c>
      <c r="CA29" s="80" t="str">
        <f>IF(AND($F29&lt;&gt;"", $F29&gt;=CA$5-4, $F29&lt;=CA$5, COUNTIF($M29:BZ29,"u")=0), "u", "")</f>
        <v/>
      </c>
      <c r="CB29" s="80" t="str">
        <f>IF(AND($F29&lt;&gt;"", $F29&gt;=CB$5-4, $F29&lt;=CB$5, COUNTIF($M29:CA29,"u")=0), "u", "")</f>
        <v/>
      </c>
      <c r="CC29" s="80" t="str">
        <f>IF(AND($F29&lt;&gt;"", $F29&gt;=CC$5-4, $F29&lt;=CC$5, COUNTIF($M29:CB29,"u")=0), "u", "")</f>
        <v/>
      </c>
      <c r="CD29" s="80" t="str">
        <f>IF(AND($F29&lt;&gt;"", $F29&gt;=CD$5-4, $F29&lt;=CD$5, COUNTIF($M29:CC29,"u")=0), "u", "")</f>
        <v/>
      </c>
      <c r="CE29" s="80" t="str">
        <f>IF(AND($F29&lt;&gt;"", $F29&gt;=CE$5-4, $F29&lt;=CE$5, COUNTIF($M29:CD29,"u")=0), "u", "")</f>
        <v/>
      </c>
      <c r="CF29" s="80" t="str">
        <f>IF(AND($F29&lt;&gt;"", $F29&gt;=CF$5-4, $F29&lt;=CF$5, COUNTIF($M29:CE29,"u")=0), "u", "")</f>
        <v/>
      </c>
      <c r="CG29" s="80" t="str">
        <f>IF(AND($F29&lt;&gt;"", $F29&gt;=CG$5-4, $F29&lt;=CG$5, COUNTIF($M29:CF29,"u")=0), "u", "")</f>
        <v/>
      </c>
      <c r="CH29" s="80" t="str">
        <f>IF(AND($F29&lt;&gt;"", $F29&gt;=CH$5-4, $F29&lt;=CH$5, COUNTIF($M29:CG29,"u")=0), "u", "")</f>
        <v/>
      </c>
      <c r="CI29" s="80" t="str">
        <f>IF(AND($F29&lt;&gt;"", $F29&gt;=CI$5-4, $F29&lt;=CI$5, COUNTIF($M29:CH29,"u")=0), "u", "")</f>
        <v/>
      </c>
      <c r="CJ29" s="80" t="str">
        <f>IF(AND($F29&lt;&gt;"", $F29&gt;=CJ$5-4, $F29&lt;=CJ$5, COUNTIF($M29:CI29,"u")=0), "u", "")</f>
        <v/>
      </c>
      <c r="CK29" s="80" t="str">
        <f>IF(AND($F29&lt;&gt;"", $F29&gt;=CK$5-4, $F29&lt;=CK$5, COUNTIF($M29:CJ29,"u")=0), "u", "")</f>
        <v/>
      </c>
      <c r="CL29" s="80" t="str">
        <f>IF(AND($F29&lt;&gt;"", $F29&gt;=CL$5-4, $F29&lt;=CL$5, COUNTIF($M29:CK29,"u")=0), "u", "")</f>
        <v/>
      </c>
      <c r="CM29" s="80" t="str">
        <f>IF(AND($F29&lt;&gt;"", $F29&gt;=CM$5-4, $F29&lt;=CM$5, COUNTIF($M29:CL29,"u")=0), "u", "")</f>
        <v/>
      </c>
      <c r="CN29" s="80" t="str">
        <f>IF(AND($F29&lt;&gt;"", $F29&gt;=CN$5-4, $F29&lt;=CN$5, COUNTIF($M29:CM29,"u")=0), "u", "")</f>
        <v/>
      </c>
      <c r="CO29" s="80" t="str">
        <f>IF(AND($F29&lt;&gt;"", $F29&gt;=CO$5-4, $F29&lt;=CO$5, COUNTIF($M29:CN29,"u")=0), "u", "")</f>
        <v/>
      </c>
      <c r="CP29" s="80" t="str">
        <f>IF(AND($F29&lt;&gt;"", $F29&gt;=CP$5-4, $F29&lt;=CP$5, COUNTIF($M29:CO29,"u")=0), "u", "")</f>
        <v/>
      </c>
      <c r="CQ29" s="80" t="str">
        <f>IF(AND($F29&lt;&gt;"", $F29&gt;=CQ$5-4, $F29&lt;=CQ$5, COUNTIF($M29:CP29,"u")=0), "u", "")</f>
        <v/>
      </c>
      <c r="CR29" s="80" t="str">
        <f>IF(AND($F29&lt;&gt;"", $F29&gt;=CR$5-4, $F29&lt;=CR$5, COUNTIF($M29:CQ29,"u")=0), "u", "")</f>
        <v/>
      </c>
      <c r="CS29" s="80" t="str">
        <f>IF(AND($F29&lt;&gt;"", $F29&gt;=CS$5-4, $F29&lt;=CS$5, COUNTIF($M29:CR29,"u")=0), "u", "")</f>
        <v/>
      </c>
      <c r="CT29" s="80" t="str">
        <f>IF(AND($F29&lt;&gt;"", $F29&gt;=CT$5-4, $F29&lt;=CT$5, COUNTIF($M29:CS29,"u")=0), "u", "")</f>
        <v/>
      </c>
      <c r="CU29" s="80" t="str">
        <f>IF(AND($F29&lt;&gt;"", $F29&gt;=CU$5-4, $F29&lt;=CU$5, COUNTIF($M29:CT29,"u")=0), "u", "")</f>
        <v/>
      </c>
      <c r="CV29" s="80" t="str">
        <f>IF(AND($F29&lt;&gt;"", $F29&gt;=CV$5-4, $F29&lt;=CV$5, COUNTIF($M29:CU29,"u")=0), "u", "")</f>
        <v/>
      </c>
      <c r="CW29" s="80" t="str">
        <f>IF(AND($F29&lt;&gt;"", $F29&gt;=CW$5-4, $F29&lt;=CW$5, COUNTIF($M29:CV29,"u")=0), "u", "")</f>
        <v/>
      </c>
      <c r="CX29" s="80" t="str">
        <f>IF(AND($F29&lt;&gt;"", $F29&gt;=CX$5-4, $F29&lt;=CX$5, COUNTIF($M29:CW29,"u")=0), "u", "")</f>
        <v/>
      </c>
      <c r="CY29" s="80" t="str">
        <f>IF(AND($F29&lt;&gt;"", $F29&gt;=CY$5-4, $F29&lt;=CY$5, COUNTIF($M29:CX29,"u")=0), "u", "")</f>
        <v/>
      </c>
      <c r="CZ29" s="80" t="str">
        <f>IF(AND($F29&lt;&gt;"", $F29&gt;=CZ$5-4, $F29&lt;=CZ$5, COUNTIF($M29:CY29,"u")=0), "u", "")</f>
        <v/>
      </c>
      <c r="DA29" s="80" t="str">
        <f>IF(AND($F29&lt;&gt;"", $F29&gt;=DA$5-4, $F29&lt;=DA$5, COUNTIF($M29:CZ29,"u")=0), "u", "")</f>
        <v/>
      </c>
      <c r="DB29" s="80" t="str">
        <f>IF(AND($F29&lt;&gt;"", $F29&gt;=DB$5-4, $F29&lt;=DB$5, COUNTIF($M29:DA29,"u")=0), "u", "")</f>
        <v/>
      </c>
      <c r="DC29" s="80" t="str">
        <f>IF(AND($F29&lt;&gt;"", $F29&gt;=DC$5-4, $F29&lt;=DC$5, COUNTIF($M29:DB29,"u")=0), "u", "")</f>
        <v/>
      </c>
      <c r="DD29" s="80" t="str">
        <f>IF(AND($F29&lt;&gt;"", $F29&gt;=DD$5-4, $F29&lt;=DD$5, COUNTIF($M29:DC29,"u")=0), "u", "")</f>
        <v/>
      </c>
      <c r="DE29" s="80" t="str">
        <f>IF(AND($F29&lt;&gt;"", $F29&gt;=DE$5-4, $F29&lt;=DE$5, COUNTIF($M29:DD29,"u")=0), "u", "")</f>
        <v/>
      </c>
      <c r="DF29" s="80" t="str">
        <f>IF(AND($F29&lt;&gt;"", $F29&gt;=DF$5-4, $F29&lt;=DF$5, COUNTIF($M29:DE29,"u")=0), "u", "")</f>
        <v/>
      </c>
      <c r="DG29" s="80" t="str">
        <f>IF(AND($F29&lt;&gt;"", $F29&gt;=DG$5-4, $F29&lt;=DG$5, COUNTIF($M29:DF29,"u")=0), "u", "")</f>
        <v/>
      </c>
      <c r="DH29" s="80" t="str">
        <f>IF(AND($F29&lt;&gt;"", $F29&gt;=DH$5-4, $F29&lt;=DH$5, COUNTIF($M29:DG29,"u")=0), "u", "")</f>
        <v/>
      </c>
      <c r="DI29" s="80" t="str">
        <f>IF(AND($F29&lt;&gt;"", $F29&gt;=DI$5-4, $F29&lt;=DI$5, COUNTIF($M29:DH29,"u")=0), "u", "")</f>
        <v/>
      </c>
      <c r="DJ29" s="80" t="str">
        <f>IF(AND($F29&lt;&gt;"", $F29&gt;=DJ$5-4, $F29&lt;=DJ$5, COUNTIF($M29:DI29,"u")=0), "u", "")</f>
        <v/>
      </c>
      <c r="DK29" s="80" t="str">
        <f>IF(AND($F29&lt;&gt;"", $F29&gt;=DK$5-4, $F29&lt;=DK$5, COUNTIF($M29:DJ29,"u")=0), "u", "")</f>
        <v/>
      </c>
      <c r="DL29" s="80" t="str">
        <f>IF(AND($F29&lt;&gt;"", $F29&gt;=DL$5-4, $F29&lt;=DL$5, COUNTIF($M29:DK29,"u")=0), "u", "")</f>
        <v/>
      </c>
    </row>
    <row r="30" spans="1:116" ht="25.05" customHeight="1" x14ac:dyDescent="0.3">
      <c r="A30" s="39"/>
      <c r="B30" s="75">
        <v>25</v>
      </c>
      <c r="C30" s="97"/>
      <c r="D30" s="92"/>
      <c r="E30" s="53"/>
      <c r="F30" s="53"/>
      <c r="G30" s="83" t="str">
        <f t="shared" si="47"/>
        <v/>
      </c>
      <c r="H30" s="83" t="str">
        <f t="shared" si="47"/>
        <v/>
      </c>
      <c r="I30" s="77" t="str">
        <f t="shared" si="45"/>
        <v/>
      </c>
      <c r="J30" s="78"/>
      <c r="K30" s="86"/>
      <c r="L30" s="56"/>
      <c r="M30" s="80" t="str">
        <f t="shared" si="46"/>
        <v/>
      </c>
      <c r="N30" s="80" t="str">
        <f>IF(AND($F30&lt;&gt;"", $F30&gt;=N$5-4, $F30&lt;=N$5, COUNTIF($M30:M30,"u")=0), "u", "")</f>
        <v/>
      </c>
      <c r="O30" s="80" t="str">
        <f>IF(AND($F30&lt;&gt;"", $F30&gt;=O$5-4, $F30&lt;=O$5, COUNTIF($M30:N30,"u")=0), "u", "")</f>
        <v/>
      </c>
      <c r="P30" s="80" t="str">
        <f>IF(AND($F30&lt;&gt;"", $F30&gt;=P$5-4, $F30&lt;=P$5, COUNTIF($M30:O30,"u")=0), "u", "")</f>
        <v/>
      </c>
      <c r="Q30" s="80" t="str">
        <f>IF(AND($F30&lt;&gt;"", $F30&gt;=Q$5-4, $F30&lt;=Q$5, COUNTIF($M30:P30,"u")=0), "u", "")</f>
        <v/>
      </c>
      <c r="R30" s="80" t="str">
        <f>IF(AND($F30&lt;&gt;"", $F30&gt;=R$5-4, $F30&lt;=R$5, COUNTIF($M30:Q30,"u")=0), "u", "")</f>
        <v/>
      </c>
      <c r="S30" s="80" t="str">
        <f>IF(AND($F30&lt;&gt;"", $F30&gt;=S$5-4, $F30&lt;=S$5, COUNTIF($M30:R30,"u")=0), "u", "")</f>
        <v/>
      </c>
      <c r="T30" s="80" t="str">
        <f>IF(AND($F30&lt;&gt;"", $F30&gt;=T$5-4, $F30&lt;=T$5, COUNTIF($M30:S30,"u")=0), "u", "")</f>
        <v/>
      </c>
      <c r="U30" s="80" t="str">
        <f>IF(AND($F30&lt;&gt;"", $F30&gt;=U$5-4, $F30&lt;=U$5, COUNTIF($M30:T30,"u")=0), "u", "")</f>
        <v/>
      </c>
      <c r="V30" s="80" t="str">
        <f>IF(AND($F30&lt;&gt;"", $F30&gt;=V$5-4, $F30&lt;=V$5, COUNTIF($M30:U30,"u")=0), "u", "")</f>
        <v/>
      </c>
      <c r="W30" s="80" t="str">
        <f>IF(AND($F30&lt;&gt;"", $F30&gt;=W$5-4, $F30&lt;=W$5, COUNTIF($M30:V30,"u")=0), "u", "")</f>
        <v/>
      </c>
      <c r="X30" s="80" t="str">
        <f>IF(AND($F30&lt;&gt;"", $F30&gt;=X$5-4, $F30&lt;=X$5, COUNTIF($M30:W30,"u")=0), "u", "")</f>
        <v/>
      </c>
      <c r="Y30" s="80" t="str">
        <f>IF(AND($F30&lt;&gt;"", $F30&gt;=Y$5-4, $F30&lt;=Y$5, COUNTIF($M30:X30,"u")=0), "u", "")</f>
        <v/>
      </c>
      <c r="Z30" s="80" t="str">
        <f>IF(AND($F30&lt;&gt;"", $F30&gt;=Z$5-4, $F30&lt;=Z$5, COUNTIF($M30:Y30,"u")=0), "u", "")</f>
        <v/>
      </c>
      <c r="AA30" s="80" t="str">
        <f>IF(AND($F30&lt;&gt;"", $F30&gt;=AA$5-4, $F30&lt;=AA$5, COUNTIF($M30:Z30,"u")=0), "u", "")</f>
        <v/>
      </c>
      <c r="AB30" s="80" t="str">
        <f>IF(AND($F30&lt;&gt;"", $F30&gt;=AB$5-4, $F30&lt;=AB$5, COUNTIF($M30:AA30,"u")=0), "u", "")</f>
        <v/>
      </c>
      <c r="AC30" s="80" t="str">
        <f>IF(AND($F30&lt;&gt;"", $F30&gt;=AC$5-4, $F30&lt;=AC$5, COUNTIF($M30:AB30,"u")=0), "u", "")</f>
        <v/>
      </c>
      <c r="AD30" s="80" t="str">
        <f>IF(AND($F30&lt;&gt;"", $F30&gt;=AD$5-4, $F30&lt;=AD$5, COUNTIF($M30:AC30,"u")=0), "u", "")</f>
        <v/>
      </c>
      <c r="AE30" s="80" t="str">
        <f>IF(AND($F30&lt;&gt;"", $F30&gt;=AE$5-4, $F30&lt;=AE$5, COUNTIF($M30:AD30,"u")=0), "u", "")</f>
        <v/>
      </c>
      <c r="AF30" s="80" t="str">
        <f>IF(AND($F30&lt;&gt;"", $F30&gt;=AF$5-4, $F30&lt;=AF$5, COUNTIF($M30:AE30,"u")=0), "u", "")</f>
        <v/>
      </c>
      <c r="AG30" s="80" t="str">
        <f>IF(AND($F30&lt;&gt;"", $F30&gt;=AG$5-4, $F30&lt;=AG$5, COUNTIF($M30:AF30,"u")=0), "u", "")</f>
        <v/>
      </c>
      <c r="AH30" s="80" t="str">
        <f>IF(AND($F30&lt;&gt;"", $F30&gt;=AH$5-4, $F30&lt;=AH$5, COUNTIF($M30:AG30,"u")=0), "u", "")</f>
        <v/>
      </c>
      <c r="AI30" s="80" t="str">
        <f>IF(AND($F30&lt;&gt;"", $F30&gt;=AI$5-4, $F30&lt;=AI$5, COUNTIF($M30:AH30,"u")=0), "u", "")</f>
        <v/>
      </c>
      <c r="AJ30" s="80" t="str">
        <f>IF(AND($F30&lt;&gt;"", $F30&gt;=AJ$5-4, $F30&lt;=AJ$5, COUNTIF($M30:AI30,"u")=0), "u", "")</f>
        <v/>
      </c>
      <c r="AK30" s="80" t="str">
        <f>IF(AND($F30&lt;&gt;"", $F30&gt;=AK$5-4, $F30&lt;=AK$5, COUNTIF($M30:AJ30,"u")=0), "u", "")</f>
        <v/>
      </c>
      <c r="AL30" s="80" t="str">
        <f>IF(AND($F30&lt;&gt;"", $F30&gt;=AL$5-4, $F30&lt;=AL$5, COUNTIF($M30:AK30,"u")=0), "u", "")</f>
        <v/>
      </c>
      <c r="AM30" s="80" t="str">
        <f>IF(AND($F30&lt;&gt;"", $F30&gt;=AM$5-4, $F30&lt;=AM$5, COUNTIF($M30:AL30,"u")=0), "u", "")</f>
        <v/>
      </c>
      <c r="AN30" s="80" t="str">
        <f>IF(AND($F30&lt;&gt;"", $F30&gt;=AN$5-4, $F30&lt;=AN$5, COUNTIF($M30:AM30,"u")=0), "u", "")</f>
        <v/>
      </c>
      <c r="AO30" s="80" t="str">
        <f>IF(AND($F30&lt;&gt;"", $F30&gt;=AO$5-4, $F30&lt;=AO$5, COUNTIF($M30:AN30,"u")=0), "u", "")</f>
        <v/>
      </c>
      <c r="AP30" s="80" t="str">
        <f>IF(AND($F30&lt;&gt;"", $F30&gt;=AP$5-4, $F30&lt;=AP$5, COUNTIF($M30:AO30,"u")=0), "u", "")</f>
        <v/>
      </c>
      <c r="AQ30" s="80" t="str">
        <f>IF(AND($F30&lt;&gt;"", $F30&gt;=AQ$5-4, $F30&lt;=AQ$5, COUNTIF($M30:AP30,"u")=0), "u", "")</f>
        <v/>
      </c>
      <c r="AR30" s="80" t="str">
        <f>IF(AND($F30&lt;&gt;"", $F30&gt;=AR$5-4, $F30&lt;=AR$5, COUNTIF($M30:AQ30,"u")=0), "u", "")</f>
        <v/>
      </c>
      <c r="AS30" s="80" t="str">
        <f>IF(AND($F30&lt;&gt;"", $F30&gt;=AS$5-4, $F30&lt;=AS$5, COUNTIF($M30:AR30,"u")=0), "u", "")</f>
        <v/>
      </c>
      <c r="AT30" s="80" t="str">
        <f>IF(AND($F30&lt;&gt;"", $F30&gt;=AT$5-4, $F30&lt;=AT$5, COUNTIF($M30:AS30,"u")=0), "u", "")</f>
        <v/>
      </c>
      <c r="AU30" s="80" t="str">
        <f>IF(AND($F30&lt;&gt;"", $F30&gt;=AU$5-4, $F30&lt;=AU$5, COUNTIF($M30:AT30,"u")=0), "u", "")</f>
        <v/>
      </c>
      <c r="AV30" s="80" t="str">
        <f>IF(AND($F30&lt;&gt;"", $F30&gt;=AV$5-4, $F30&lt;=AV$5, COUNTIF($M30:AU30,"u")=0), "u", "")</f>
        <v/>
      </c>
      <c r="AW30" s="80" t="str">
        <f>IF(AND($F30&lt;&gt;"", $F30&gt;=AW$5-4, $F30&lt;=AW$5, COUNTIF($M30:AV30,"u")=0), "u", "")</f>
        <v/>
      </c>
      <c r="AX30" s="80" t="str">
        <f>IF(AND($F30&lt;&gt;"", $F30&gt;=AX$5-4, $F30&lt;=AX$5, COUNTIF($M30:AW30,"u")=0), "u", "")</f>
        <v/>
      </c>
      <c r="AY30" s="80" t="str">
        <f>IF(AND($F30&lt;&gt;"", $F30&gt;=AY$5-4, $F30&lt;=AY$5, COUNTIF($M30:AX30,"u")=0), "u", "")</f>
        <v/>
      </c>
      <c r="AZ30" s="80" t="str">
        <f>IF(AND($F30&lt;&gt;"", $F30&gt;=AZ$5-4, $F30&lt;=AZ$5, COUNTIF($M30:AY30,"u")=0), "u", "")</f>
        <v/>
      </c>
      <c r="BA30" s="80" t="str">
        <f>IF(AND($F30&lt;&gt;"", $F30&gt;=BA$5-4, $F30&lt;=BA$5, COUNTIF($M30:AZ30,"u")=0), "u", "")</f>
        <v/>
      </c>
      <c r="BB30" s="80" t="str">
        <f>IF(AND($F30&lt;&gt;"", $F30&gt;=BB$5-4, $F30&lt;=BB$5, COUNTIF($M30:BA30,"u")=0), "u", "")</f>
        <v/>
      </c>
      <c r="BC30" s="80" t="str">
        <f>IF(AND($F30&lt;&gt;"", $F30&gt;=BC$5-4, $F30&lt;=BC$5, COUNTIF($M30:BB30,"u")=0), "u", "")</f>
        <v/>
      </c>
      <c r="BD30" s="80" t="str">
        <f>IF(AND($F30&lt;&gt;"", $F30&gt;=BD$5-4, $F30&lt;=BD$5, COUNTIF($M30:BC30,"u")=0), "u", "")</f>
        <v/>
      </c>
      <c r="BE30" s="80" t="str">
        <f>IF(AND($F30&lt;&gt;"", $F30&gt;=BE$5-4, $F30&lt;=BE$5, COUNTIF($M30:BD30,"u")=0), "u", "")</f>
        <v/>
      </c>
      <c r="BF30" s="80" t="str">
        <f>IF(AND($F30&lt;&gt;"", $F30&gt;=BF$5-4, $F30&lt;=BF$5, COUNTIF($M30:BE30,"u")=0), "u", "")</f>
        <v/>
      </c>
      <c r="BG30" s="80" t="str">
        <f>IF(AND($F30&lt;&gt;"", $F30&gt;=BG$5-4, $F30&lt;=BG$5, COUNTIF($M30:BF30,"u")=0), "u", "")</f>
        <v/>
      </c>
      <c r="BH30" s="80" t="str">
        <f>IF(AND($F30&lt;&gt;"", $F30&gt;=BH$5-4, $F30&lt;=BH$5, COUNTIF($M30:BG30,"u")=0), "u", "")</f>
        <v/>
      </c>
      <c r="BI30" s="80" t="str">
        <f>IF(AND($F30&lt;&gt;"", $F30&gt;=BI$5-4, $F30&lt;=BI$5, COUNTIF($M30:BH30,"u")=0), "u", "")</f>
        <v/>
      </c>
      <c r="BJ30" s="80" t="str">
        <f>IF(AND($F30&lt;&gt;"", $F30&gt;=BJ$5-4, $F30&lt;=BJ$5, COUNTIF($M30:BI30,"u")=0), "u", "")</f>
        <v/>
      </c>
      <c r="BK30" s="80" t="str">
        <f>IF(AND($F30&lt;&gt;"", $F30&gt;=BK$5-4, $F30&lt;=BK$5, COUNTIF($M30:BJ30,"u")=0), "u", "")</f>
        <v/>
      </c>
      <c r="BL30" s="80" t="str">
        <f>IF(AND($F30&lt;&gt;"", $F30&gt;=BL$5-4, $F30&lt;=BL$5, COUNTIF($M30:BK30,"u")=0), "u", "")</f>
        <v/>
      </c>
      <c r="BM30" s="80" t="str">
        <f>IF(AND($F30&lt;&gt;"", $F30&gt;=BM$5-4, $F30&lt;=BM$5, COUNTIF($M30:BL30,"u")=0), "u", "")</f>
        <v/>
      </c>
      <c r="BN30" s="80" t="str">
        <f>IF(AND($F30&lt;&gt;"", $F30&gt;=BN$5-4, $F30&lt;=BN$5, COUNTIF($M30:BM30,"u")=0), "u", "")</f>
        <v/>
      </c>
      <c r="BO30" s="80" t="str">
        <f>IF(AND($F30&lt;&gt;"", $F30&gt;=BO$5-4, $F30&lt;=BO$5, COUNTIF($M30:BN30,"u")=0), "u", "")</f>
        <v/>
      </c>
      <c r="BP30" s="80" t="str">
        <f>IF(AND($F30&lt;&gt;"", $F30&gt;=BP$5-4, $F30&lt;=BP$5, COUNTIF($M30:BO30,"u")=0), "u", "")</f>
        <v/>
      </c>
      <c r="BQ30" s="80" t="str">
        <f>IF(AND($F30&lt;&gt;"", $F30&gt;=BQ$5-4, $F30&lt;=BQ$5, COUNTIF($M30:BP30,"u")=0), "u", "")</f>
        <v/>
      </c>
      <c r="BR30" s="80" t="str">
        <f>IF(AND($F30&lt;&gt;"", $F30&gt;=BR$5-4, $F30&lt;=BR$5, COUNTIF($M30:BQ30,"u")=0), "u", "")</f>
        <v/>
      </c>
      <c r="BS30" s="80" t="str">
        <f>IF(AND($F30&lt;&gt;"", $F30&gt;=BS$5-4, $F30&lt;=BS$5, COUNTIF($M30:BR30,"u")=0), "u", "")</f>
        <v/>
      </c>
      <c r="BT30" s="80" t="str">
        <f>IF(AND($F30&lt;&gt;"", $F30&gt;=BT$5-4, $F30&lt;=BT$5, COUNTIF($M30:BS30,"u")=0), "u", "")</f>
        <v/>
      </c>
      <c r="BU30" s="80" t="str">
        <f>IF(AND($F30&lt;&gt;"", $F30&gt;=BU$5-4, $F30&lt;=BU$5, COUNTIF($M30:BT30,"u")=0), "u", "")</f>
        <v/>
      </c>
      <c r="BV30" s="80" t="str">
        <f>IF(AND($F30&lt;&gt;"", $F30&gt;=BV$5-4, $F30&lt;=BV$5, COUNTIF($M30:BU30,"u")=0), "u", "")</f>
        <v/>
      </c>
      <c r="BW30" s="80" t="str">
        <f>IF(AND($F30&lt;&gt;"", $F30&gt;=BW$5-4, $F30&lt;=BW$5, COUNTIF($M30:BV30,"u")=0), "u", "")</f>
        <v/>
      </c>
      <c r="BX30" s="80" t="str">
        <f>IF(AND($F30&lt;&gt;"", $F30&gt;=BX$5-4, $F30&lt;=BX$5, COUNTIF($M30:BW30,"u")=0), "u", "")</f>
        <v/>
      </c>
      <c r="BY30" s="80" t="str">
        <f>IF(AND($F30&lt;&gt;"", $F30&gt;=BY$5-4, $F30&lt;=BY$5, COUNTIF($M30:BX30,"u")=0), "u", "")</f>
        <v/>
      </c>
      <c r="BZ30" s="80" t="str">
        <f>IF(AND($F30&lt;&gt;"", $F30&gt;=BZ$5-4, $F30&lt;=BZ$5, COUNTIF($M30:BY30,"u")=0), "u", "")</f>
        <v/>
      </c>
      <c r="CA30" s="80" t="str">
        <f>IF(AND($F30&lt;&gt;"", $F30&gt;=CA$5-4, $F30&lt;=CA$5, COUNTIF($M30:BZ30,"u")=0), "u", "")</f>
        <v/>
      </c>
      <c r="CB30" s="80" t="str">
        <f>IF(AND($F30&lt;&gt;"", $F30&gt;=CB$5-4, $F30&lt;=CB$5, COUNTIF($M30:CA30,"u")=0), "u", "")</f>
        <v/>
      </c>
      <c r="CC30" s="80" t="str">
        <f>IF(AND($F30&lt;&gt;"", $F30&gt;=CC$5-4, $F30&lt;=CC$5, COUNTIF($M30:CB30,"u")=0), "u", "")</f>
        <v/>
      </c>
      <c r="CD30" s="80" t="str">
        <f>IF(AND($F30&lt;&gt;"", $F30&gt;=CD$5-4, $F30&lt;=CD$5, COUNTIF($M30:CC30,"u")=0), "u", "")</f>
        <v/>
      </c>
      <c r="CE30" s="80" t="str">
        <f>IF(AND($F30&lt;&gt;"", $F30&gt;=CE$5-4, $F30&lt;=CE$5, COUNTIF($M30:CD30,"u")=0), "u", "")</f>
        <v/>
      </c>
      <c r="CF30" s="80" t="str">
        <f>IF(AND($F30&lt;&gt;"", $F30&gt;=CF$5-4, $F30&lt;=CF$5, COUNTIF($M30:CE30,"u")=0), "u", "")</f>
        <v/>
      </c>
      <c r="CG30" s="80" t="str">
        <f>IF(AND($F30&lt;&gt;"", $F30&gt;=CG$5-4, $F30&lt;=CG$5, COUNTIF($M30:CF30,"u")=0), "u", "")</f>
        <v/>
      </c>
      <c r="CH30" s="80" t="str">
        <f>IF(AND($F30&lt;&gt;"", $F30&gt;=CH$5-4, $F30&lt;=CH$5, COUNTIF($M30:CG30,"u")=0), "u", "")</f>
        <v/>
      </c>
      <c r="CI30" s="80" t="str">
        <f>IF(AND($F30&lt;&gt;"", $F30&gt;=CI$5-4, $F30&lt;=CI$5, COUNTIF($M30:CH30,"u")=0), "u", "")</f>
        <v/>
      </c>
      <c r="CJ30" s="80" t="str">
        <f>IF(AND($F30&lt;&gt;"", $F30&gt;=CJ$5-4, $F30&lt;=CJ$5, COUNTIF($M30:CI30,"u")=0), "u", "")</f>
        <v/>
      </c>
      <c r="CK30" s="80" t="str">
        <f>IF(AND($F30&lt;&gt;"", $F30&gt;=CK$5-4, $F30&lt;=CK$5, COUNTIF($M30:CJ30,"u")=0), "u", "")</f>
        <v/>
      </c>
      <c r="CL30" s="80" t="str">
        <f>IF(AND($F30&lt;&gt;"", $F30&gt;=CL$5-4, $F30&lt;=CL$5, COUNTIF($M30:CK30,"u")=0), "u", "")</f>
        <v/>
      </c>
      <c r="CM30" s="80" t="str">
        <f>IF(AND($F30&lt;&gt;"", $F30&gt;=CM$5-4, $F30&lt;=CM$5, COUNTIF($M30:CL30,"u")=0), "u", "")</f>
        <v/>
      </c>
      <c r="CN30" s="80" t="str">
        <f>IF(AND($F30&lt;&gt;"", $F30&gt;=CN$5-4, $F30&lt;=CN$5, COUNTIF($M30:CM30,"u")=0), "u", "")</f>
        <v/>
      </c>
      <c r="CO30" s="80" t="str">
        <f>IF(AND($F30&lt;&gt;"", $F30&gt;=CO$5-4, $F30&lt;=CO$5, COUNTIF($M30:CN30,"u")=0), "u", "")</f>
        <v/>
      </c>
      <c r="CP30" s="80" t="str">
        <f>IF(AND($F30&lt;&gt;"", $F30&gt;=CP$5-4, $F30&lt;=CP$5, COUNTIF($M30:CO30,"u")=0), "u", "")</f>
        <v/>
      </c>
      <c r="CQ30" s="80" t="str">
        <f>IF(AND($F30&lt;&gt;"", $F30&gt;=CQ$5-4, $F30&lt;=CQ$5, COUNTIF($M30:CP30,"u")=0), "u", "")</f>
        <v/>
      </c>
      <c r="CR30" s="80" t="str">
        <f>IF(AND($F30&lt;&gt;"", $F30&gt;=CR$5-4, $F30&lt;=CR$5, COUNTIF($M30:CQ30,"u")=0), "u", "")</f>
        <v/>
      </c>
      <c r="CS30" s="80" t="str">
        <f>IF(AND($F30&lt;&gt;"", $F30&gt;=CS$5-4, $F30&lt;=CS$5, COUNTIF($M30:CR30,"u")=0), "u", "")</f>
        <v/>
      </c>
      <c r="CT30" s="80" t="str">
        <f>IF(AND($F30&lt;&gt;"", $F30&gt;=CT$5-4, $F30&lt;=CT$5, COUNTIF($M30:CS30,"u")=0), "u", "")</f>
        <v/>
      </c>
      <c r="CU30" s="80" t="str">
        <f>IF(AND($F30&lt;&gt;"", $F30&gt;=CU$5-4, $F30&lt;=CU$5, COUNTIF($M30:CT30,"u")=0), "u", "")</f>
        <v/>
      </c>
      <c r="CV30" s="80" t="str">
        <f>IF(AND($F30&lt;&gt;"", $F30&gt;=CV$5-4, $F30&lt;=CV$5, COUNTIF($M30:CU30,"u")=0), "u", "")</f>
        <v/>
      </c>
      <c r="CW30" s="80" t="str">
        <f>IF(AND($F30&lt;&gt;"", $F30&gt;=CW$5-4, $F30&lt;=CW$5, COUNTIF($M30:CV30,"u")=0), "u", "")</f>
        <v/>
      </c>
      <c r="CX30" s="80" t="str">
        <f>IF(AND($F30&lt;&gt;"", $F30&gt;=CX$5-4, $F30&lt;=CX$5, COUNTIF($M30:CW30,"u")=0), "u", "")</f>
        <v/>
      </c>
      <c r="CY30" s="80" t="str">
        <f>IF(AND($F30&lt;&gt;"", $F30&gt;=CY$5-4, $F30&lt;=CY$5, COUNTIF($M30:CX30,"u")=0), "u", "")</f>
        <v/>
      </c>
      <c r="CZ30" s="80" t="str">
        <f>IF(AND($F30&lt;&gt;"", $F30&gt;=CZ$5-4, $F30&lt;=CZ$5, COUNTIF($M30:CY30,"u")=0), "u", "")</f>
        <v/>
      </c>
      <c r="DA30" s="80" t="str">
        <f>IF(AND($F30&lt;&gt;"", $F30&gt;=DA$5-4, $F30&lt;=DA$5, COUNTIF($M30:CZ30,"u")=0), "u", "")</f>
        <v/>
      </c>
      <c r="DB30" s="80" t="str">
        <f>IF(AND($F30&lt;&gt;"", $F30&gt;=DB$5-4, $F30&lt;=DB$5, COUNTIF($M30:DA30,"u")=0), "u", "")</f>
        <v/>
      </c>
      <c r="DC30" s="80" t="str">
        <f>IF(AND($F30&lt;&gt;"", $F30&gt;=DC$5-4, $F30&lt;=DC$5, COUNTIF($M30:DB30,"u")=0), "u", "")</f>
        <v/>
      </c>
      <c r="DD30" s="80" t="str">
        <f>IF(AND($F30&lt;&gt;"", $F30&gt;=DD$5-4, $F30&lt;=DD$5, COUNTIF($M30:DC30,"u")=0), "u", "")</f>
        <v/>
      </c>
      <c r="DE30" s="80" t="str">
        <f>IF(AND($F30&lt;&gt;"", $F30&gt;=DE$5-4, $F30&lt;=DE$5, COUNTIF($M30:DD30,"u")=0), "u", "")</f>
        <v/>
      </c>
      <c r="DF30" s="80" t="str">
        <f>IF(AND($F30&lt;&gt;"", $F30&gt;=DF$5-4, $F30&lt;=DF$5, COUNTIF($M30:DE30,"u")=0), "u", "")</f>
        <v/>
      </c>
      <c r="DG30" s="80" t="str">
        <f>IF(AND($F30&lt;&gt;"", $F30&gt;=DG$5-4, $F30&lt;=DG$5, COUNTIF($M30:DF30,"u")=0), "u", "")</f>
        <v/>
      </c>
      <c r="DH30" s="80" t="str">
        <f>IF(AND($F30&lt;&gt;"", $F30&gt;=DH$5-4, $F30&lt;=DH$5, COUNTIF($M30:DG30,"u")=0), "u", "")</f>
        <v/>
      </c>
      <c r="DI30" s="80" t="str">
        <f>IF(AND($F30&lt;&gt;"", $F30&gt;=DI$5-4, $F30&lt;=DI$5, COUNTIF($M30:DH30,"u")=0), "u", "")</f>
        <v/>
      </c>
      <c r="DJ30" s="80" t="str">
        <f>IF(AND($F30&lt;&gt;"", $F30&gt;=DJ$5-4, $F30&lt;=DJ$5, COUNTIF($M30:DI30,"u")=0), "u", "")</f>
        <v/>
      </c>
      <c r="DK30" s="80" t="str">
        <f>IF(AND($F30&lt;&gt;"", $F30&gt;=DK$5-4, $F30&lt;=DK$5, COUNTIF($M30:DJ30,"u")=0), "u", "")</f>
        <v/>
      </c>
      <c r="DL30" s="80" t="str">
        <f>IF(AND($F30&lt;&gt;"", $F30&gt;=DL$5-4, $F30&lt;=DL$5, COUNTIF($M30:DK30,"u")=0), "u", "")</f>
        <v/>
      </c>
    </row>
    <row r="31" spans="1:116" ht="25.05" customHeight="1" x14ac:dyDescent="0.3">
      <c r="A31" s="39"/>
      <c r="B31" s="75">
        <v>26</v>
      </c>
      <c r="C31" s="97"/>
      <c r="D31" s="92"/>
      <c r="E31" s="53"/>
      <c r="F31" s="53"/>
      <c r="G31" s="83" t="str">
        <f t="shared" si="47"/>
        <v/>
      </c>
      <c r="H31" s="83" t="str">
        <f t="shared" si="47"/>
        <v/>
      </c>
      <c r="I31" s="77" t="str">
        <f t="shared" si="45"/>
        <v/>
      </c>
      <c r="J31" s="78"/>
      <c r="K31" s="86"/>
      <c r="L31" s="56"/>
      <c r="M31" s="80" t="str">
        <f t="shared" si="46"/>
        <v/>
      </c>
      <c r="N31" s="80" t="str">
        <f>IF(AND($F31&lt;&gt;"", $F31&gt;=N$5-4, $F31&lt;=N$5, COUNTIF($M31:M31,"u")=0), "u", "")</f>
        <v/>
      </c>
      <c r="O31" s="80" t="str">
        <f>IF(AND($F31&lt;&gt;"", $F31&gt;=O$5-4, $F31&lt;=O$5, COUNTIF($M31:N31,"u")=0), "u", "")</f>
        <v/>
      </c>
      <c r="P31" s="80" t="str">
        <f>IF(AND($F31&lt;&gt;"", $F31&gt;=P$5-4, $F31&lt;=P$5, COUNTIF($M31:O31,"u")=0), "u", "")</f>
        <v/>
      </c>
      <c r="Q31" s="80" t="str">
        <f>IF(AND($F31&lt;&gt;"", $F31&gt;=Q$5-4, $F31&lt;=Q$5, COUNTIF($M31:P31,"u")=0), "u", "")</f>
        <v/>
      </c>
      <c r="R31" s="80" t="str">
        <f>IF(AND($F31&lt;&gt;"", $F31&gt;=R$5-4, $F31&lt;=R$5, COUNTIF($M31:Q31,"u")=0), "u", "")</f>
        <v/>
      </c>
      <c r="S31" s="80" t="str">
        <f>IF(AND($F31&lt;&gt;"", $F31&gt;=S$5-4, $F31&lt;=S$5, COUNTIF($M31:R31,"u")=0), "u", "")</f>
        <v/>
      </c>
      <c r="T31" s="80" t="str">
        <f>IF(AND($F31&lt;&gt;"", $F31&gt;=T$5-4, $F31&lt;=T$5, COUNTIF($M31:S31,"u")=0), "u", "")</f>
        <v/>
      </c>
      <c r="U31" s="80" t="str">
        <f>IF(AND($F31&lt;&gt;"", $F31&gt;=U$5-4, $F31&lt;=U$5, COUNTIF($M31:T31,"u")=0), "u", "")</f>
        <v/>
      </c>
      <c r="V31" s="80" t="str">
        <f>IF(AND($F31&lt;&gt;"", $F31&gt;=V$5-4, $F31&lt;=V$5, COUNTIF($M31:U31,"u")=0), "u", "")</f>
        <v/>
      </c>
      <c r="W31" s="80" t="str">
        <f>IF(AND($F31&lt;&gt;"", $F31&gt;=W$5-4, $F31&lt;=W$5, COUNTIF($M31:V31,"u")=0), "u", "")</f>
        <v/>
      </c>
      <c r="X31" s="80" t="str">
        <f>IF(AND($F31&lt;&gt;"", $F31&gt;=X$5-4, $F31&lt;=X$5, COUNTIF($M31:W31,"u")=0), "u", "")</f>
        <v/>
      </c>
      <c r="Y31" s="80" t="str">
        <f>IF(AND($F31&lt;&gt;"", $F31&gt;=Y$5-4, $F31&lt;=Y$5, COUNTIF($M31:X31,"u")=0), "u", "")</f>
        <v/>
      </c>
      <c r="Z31" s="80" t="str">
        <f>IF(AND($F31&lt;&gt;"", $F31&gt;=Z$5-4, $F31&lt;=Z$5, COUNTIF($M31:Y31,"u")=0), "u", "")</f>
        <v/>
      </c>
      <c r="AA31" s="80" t="str">
        <f>IF(AND($F31&lt;&gt;"", $F31&gt;=AA$5-4, $F31&lt;=AA$5, COUNTIF($M31:Z31,"u")=0), "u", "")</f>
        <v/>
      </c>
      <c r="AB31" s="80" t="str">
        <f>IF(AND($F31&lt;&gt;"", $F31&gt;=AB$5-4, $F31&lt;=AB$5, COUNTIF($M31:AA31,"u")=0), "u", "")</f>
        <v/>
      </c>
      <c r="AC31" s="80" t="str">
        <f>IF(AND($F31&lt;&gt;"", $F31&gt;=AC$5-4, $F31&lt;=AC$5, COUNTIF($M31:AB31,"u")=0), "u", "")</f>
        <v/>
      </c>
      <c r="AD31" s="80" t="str">
        <f>IF(AND($F31&lt;&gt;"", $F31&gt;=AD$5-4, $F31&lt;=AD$5, COUNTIF($M31:AC31,"u")=0), "u", "")</f>
        <v/>
      </c>
      <c r="AE31" s="80" t="str">
        <f>IF(AND($F31&lt;&gt;"", $F31&gt;=AE$5-4, $F31&lt;=AE$5, COUNTIF($M31:AD31,"u")=0), "u", "")</f>
        <v/>
      </c>
      <c r="AF31" s="80" t="str">
        <f>IF(AND($F31&lt;&gt;"", $F31&gt;=AF$5-4, $F31&lt;=AF$5, COUNTIF($M31:AE31,"u")=0), "u", "")</f>
        <v/>
      </c>
      <c r="AG31" s="80" t="str">
        <f>IF(AND($F31&lt;&gt;"", $F31&gt;=AG$5-4, $F31&lt;=AG$5, COUNTIF($M31:AF31,"u")=0), "u", "")</f>
        <v/>
      </c>
      <c r="AH31" s="80" t="str">
        <f>IF(AND($F31&lt;&gt;"", $F31&gt;=AH$5-4, $F31&lt;=AH$5, COUNTIF($M31:AG31,"u")=0), "u", "")</f>
        <v/>
      </c>
      <c r="AI31" s="80" t="str">
        <f>IF(AND($F31&lt;&gt;"", $F31&gt;=AI$5-4, $F31&lt;=AI$5, COUNTIF($M31:AH31,"u")=0), "u", "")</f>
        <v/>
      </c>
      <c r="AJ31" s="80" t="str">
        <f>IF(AND($F31&lt;&gt;"", $F31&gt;=AJ$5-4, $F31&lt;=AJ$5, COUNTIF($M31:AI31,"u")=0), "u", "")</f>
        <v/>
      </c>
      <c r="AK31" s="80" t="str">
        <f>IF(AND($F31&lt;&gt;"", $F31&gt;=AK$5-4, $F31&lt;=AK$5, COUNTIF($M31:AJ31,"u")=0), "u", "")</f>
        <v/>
      </c>
      <c r="AL31" s="80" t="str">
        <f>IF(AND($F31&lt;&gt;"", $F31&gt;=AL$5-4, $F31&lt;=AL$5, COUNTIF($M31:AK31,"u")=0), "u", "")</f>
        <v/>
      </c>
      <c r="AM31" s="80" t="str">
        <f>IF(AND($F31&lt;&gt;"", $F31&gt;=AM$5-4, $F31&lt;=AM$5, COUNTIF($M31:AL31,"u")=0), "u", "")</f>
        <v/>
      </c>
      <c r="AN31" s="80" t="str">
        <f>IF(AND($F31&lt;&gt;"", $F31&gt;=AN$5-4, $F31&lt;=AN$5, COUNTIF($M31:AM31,"u")=0), "u", "")</f>
        <v/>
      </c>
      <c r="AO31" s="80" t="str">
        <f>IF(AND($F31&lt;&gt;"", $F31&gt;=AO$5-4, $F31&lt;=AO$5, COUNTIF($M31:AN31,"u")=0), "u", "")</f>
        <v/>
      </c>
      <c r="AP31" s="80" t="str">
        <f>IF(AND($F31&lt;&gt;"", $F31&gt;=AP$5-4, $F31&lt;=AP$5, COUNTIF($M31:AO31,"u")=0), "u", "")</f>
        <v/>
      </c>
      <c r="AQ31" s="80" t="str">
        <f>IF(AND($F31&lt;&gt;"", $F31&gt;=AQ$5-4, $F31&lt;=AQ$5, COUNTIF($M31:AP31,"u")=0), "u", "")</f>
        <v/>
      </c>
      <c r="AR31" s="80" t="str">
        <f>IF(AND($F31&lt;&gt;"", $F31&gt;=AR$5-4, $F31&lt;=AR$5, COUNTIF($M31:AQ31,"u")=0), "u", "")</f>
        <v/>
      </c>
      <c r="AS31" s="80" t="str">
        <f>IF(AND($F31&lt;&gt;"", $F31&gt;=AS$5-4, $F31&lt;=AS$5, COUNTIF($M31:AR31,"u")=0), "u", "")</f>
        <v/>
      </c>
      <c r="AT31" s="80" t="str">
        <f>IF(AND($F31&lt;&gt;"", $F31&gt;=AT$5-4, $F31&lt;=AT$5, COUNTIF($M31:AS31,"u")=0), "u", "")</f>
        <v/>
      </c>
      <c r="AU31" s="80" t="str">
        <f>IF(AND($F31&lt;&gt;"", $F31&gt;=AU$5-4, $F31&lt;=AU$5, COUNTIF($M31:AT31,"u")=0), "u", "")</f>
        <v/>
      </c>
      <c r="AV31" s="80" t="str">
        <f>IF(AND($F31&lt;&gt;"", $F31&gt;=AV$5-4, $F31&lt;=AV$5, COUNTIF($M31:AU31,"u")=0), "u", "")</f>
        <v/>
      </c>
      <c r="AW31" s="80" t="str">
        <f>IF(AND($F31&lt;&gt;"", $F31&gt;=AW$5-4, $F31&lt;=AW$5, COUNTIF($M31:AV31,"u")=0), "u", "")</f>
        <v/>
      </c>
      <c r="AX31" s="80" t="str">
        <f>IF(AND($F31&lt;&gt;"", $F31&gt;=AX$5-4, $F31&lt;=AX$5, COUNTIF($M31:AW31,"u")=0), "u", "")</f>
        <v/>
      </c>
      <c r="AY31" s="80" t="str">
        <f>IF(AND($F31&lt;&gt;"", $F31&gt;=AY$5-4, $F31&lt;=AY$5, COUNTIF($M31:AX31,"u")=0), "u", "")</f>
        <v/>
      </c>
      <c r="AZ31" s="80" t="str">
        <f>IF(AND($F31&lt;&gt;"", $F31&gt;=AZ$5-4, $F31&lt;=AZ$5, COUNTIF($M31:AY31,"u")=0), "u", "")</f>
        <v/>
      </c>
      <c r="BA31" s="80" t="str">
        <f>IF(AND($F31&lt;&gt;"", $F31&gt;=BA$5-4, $F31&lt;=BA$5, COUNTIF($M31:AZ31,"u")=0), "u", "")</f>
        <v/>
      </c>
      <c r="BB31" s="80" t="str">
        <f>IF(AND($F31&lt;&gt;"", $F31&gt;=BB$5-4, $F31&lt;=BB$5, COUNTIF($M31:BA31,"u")=0), "u", "")</f>
        <v/>
      </c>
      <c r="BC31" s="80" t="str">
        <f>IF(AND($F31&lt;&gt;"", $F31&gt;=BC$5-4, $F31&lt;=BC$5, COUNTIF($M31:BB31,"u")=0), "u", "")</f>
        <v/>
      </c>
      <c r="BD31" s="80" t="str">
        <f>IF(AND($F31&lt;&gt;"", $F31&gt;=BD$5-4, $F31&lt;=BD$5, COUNTIF($M31:BC31,"u")=0), "u", "")</f>
        <v/>
      </c>
      <c r="BE31" s="80" t="str">
        <f>IF(AND($F31&lt;&gt;"", $F31&gt;=BE$5-4, $F31&lt;=BE$5, COUNTIF($M31:BD31,"u")=0), "u", "")</f>
        <v/>
      </c>
      <c r="BF31" s="80" t="str">
        <f>IF(AND($F31&lt;&gt;"", $F31&gt;=BF$5-4, $F31&lt;=BF$5, COUNTIF($M31:BE31,"u")=0), "u", "")</f>
        <v/>
      </c>
      <c r="BG31" s="80" t="str">
        <f>IF(AND($F31&lt;&gt;"", $F31&gt;=BG$5-4, $F31&lt;=BG$5, COUNTIF($M31:BF31,"u")=0), "u", "")</f>
        <v/>
      </c>
      <c r="BH31" s="80" t="str">
        <f>IF(AND($F31&lt;&gt;"", $F31&gt;=BH$5-4, $F31&lt;=BH$5, COUNTIF($M31:BG31,"u")=0), "u", "")</f>
        <v/>
      </c>
      <c r="BI31" s="80" t="str">
        <f>IF(AND($F31&lt;&gt;"", $F31&gt;=BI$5-4, $F31&lt;=BI$5, COUNTIF($M31:BH31,"u")=0), "u", "")</f>
        <v/>
      </c>
      <c r="BJ31" s="80" t="str">
        <f>IF(AND($F31&lt;&gt;"", $F31&gt;=BJ$5-4, $F31&lt;=BJ$5, COUNTIF($M31:BI31,"u")=0), "u", "")</f>
        <v/>
      </c>
      <c r="BK31" s="80" t="str">
        <f>IF(AND($F31&lt;&gt;"", $F31&gt;=BK$5-4, $F31&lt;=BK$5, COUNTIF($M31:BJ31,"u")=0), "u", "")</f>
        <v/>
      </c>
      <c r="BL31" s="80" t="str">
        <f>IF(AND($F31&lt;&gt;"", $F31&gt;=BL$5-4, $F31&lt;=BL$5, COUNTIF($M31:BK31,"u")=0), "u", "")</f>
        <v/>
      </c>
      <c r="BM31" s="80" t="str">
        <f>IF(AND($F31&lt;&gt;"", $F31&gt;=BM$5-4, $F31&lt;=BM$5, COUNTIF($M31:BL31,"u")=0), "u", "")</f>
        <v/>
      </c>
      <c r="BN31" s="80" t="str">
        <f>IF(AND($F31&lt;&gt;"", $F31&gt;=BN$5-4, $F31&lt;=BN$5, COUNTIF($M31:BM31,"u")=0), "u", "")</f>
        <v/>
      </c>
      <c r="BO31" s="80" t="str">
        <f>IF(AND($F31&lt;&gt;"", $F31&gt;=BO$5-4, $F31&lt;=BO$5, COUNTIF($M31:BN31,"u")=0), "u", "")</f>
        <v/>
      </c>
      <c r="BP31" s="80" t="str">
        <f>IF(AND($F31&lt;&gt;"", $F31&gt;=BP$5-4, $F31&lt;=BP$5, COUNTIF($M31:BO31,"u")=0), "u", "")</f>
        <v/>
      </c>
      <c r="BQ31" s="80" t="str">
        <f>IF(AND($F31&lt;&gt;"", $F31&gt;=BQ$5-4, $F31&lt;=BQ$5, COUNTIF($M31:BP31,"u")=0), "u", "")</f>
        <v/>
      </c>
      <c r="BR31" s="80" t="str">
        <f>IF(AND($F31&lt;&gt;"", $F31&gt;=BR$5-4, $F31&lt;=BR$5, COUNTIF($M31:BQ31,"u")=0), "u", "")</f>
        <v/>
      </c>
      <c r="BS31" s="80" t="str">
        <f>IF(AND($F31&lt;&gt;"", $F31&gt;=BS$5-4, $F31&lt;=BS$5, COUNTIF($M31:BR31,"u")=0), "u", "")</f>
        <v/>
      </c>
      <c r="BT31" s="80" t="str">
        <f>IF(AND($F31&lt;&gt;"", $F31&gt;=BT$5-4, $F31&lt;=BT$5, COUNTIF($M31:BS31,"u")=0), "u", "")</f>
        <v/>
      </c>
      <c r="BU31" s="80" t="str">
        <f>IF(AND($F31&lt;&gt;"", $F31&gt;=BU$5-4, $F31&lt;=BU$5, COUNTIF($M31:BT31,"u")=0), "u", "")</f>
        <v/>
      </c>
      <c r="BV31" s="80" t="str">
        <f>IF(AND($F31&lt;&gt;"", $F31&gt;=BV$5-4, $F31&lt;=BV$5, COUNTIF($M31:BU31,"u")=0), "u", "")</f>
        <v/>
      </c>
      <c r="BW31" s="80" t="str">
        <f>IF(AND($F31&lt;&gt;"", $F31&gt;=BW$5-4, $F31&lt;=BW$5, COUNTIF($M31:BV31,"u")=0), "u", "")</f>
        <v/>
      </c>
      <c r="BX31" s="80" t="str">
        <f>IF(AND($F31&lt;&gt;"", $F31&gt;=BX$5-4, $F31&lt;=BX$5, COUNTIF($M31:BW31,"u")=0), "u", "")</f>
        <v/>
      </c>
      <c r="BY31" s="80" t="str">
        <f>IF(AND($F31&lt;&gt;"", $F31&gt;=BY$5-4, $F31&lt;=BY$5, COUNTIF($M31:BX31,"u")=0), "u", "")</f>
        <v/>
      </c>
      <c r="BZ31" s="80" t="str">
        <f>IF(AND($F31&lt;&gt;"", $F31&gt;=BZ$5-4, $F31&lt;=BZ$5, COUNTIF($M31:BY31,"u")=0), "u", "")</f>
        <v/>
      </c>
      <c r="CA31" s="80" t="str">
        <f>IF(AND($F31&lt;&gt;"", $F31&gt;=CA$5-4, $F31&lt;=CA$5, COUNTIF($M31:BZ31,"u")=0), "u", "")</f>
        <v/>
      </c>
      <c r="CB31" s="80" t="str">
        <f>IF(AND($F31&lt;&gt;"", $F31&gt;=CB$5-4, $F31&lt;=CB$5, COUNTIF($M31:CA31,"u")=0), "u", "")</f>
        <v/>
      </c>
      <c r="CC31" s="80" t="str">
        <f>IF(AND($F31&lt;&gt;"", $F31&gt;=CC$5-4, $F31&lt;=CC$5, COUNTIF($M31:CB31,"u")=0), "u", "")</f>
        <v/>
      </c>
      <c r="CD31" s="80" t="str">
        <f>IF(AND($F31&lt;&gt;"", $F31&gt;=CD$5-4, $F31&lt;=CD$5, COUNTIF($M31:CC31,"u")=0), "u", "")</f>
        <v/>
      </c>
      <c r="CE31" s="80" t="str">
        <f>IF(AND($F31&lt;&gt;"", $F31&gt;=CE$5-4, $F31&lt;=CE$5, COUNTIF($M31:CD31,"u")=0), "u", "")</f>
        <v/>
      </c>
      <c r="CF31" s="80" t="str">
        <f>IF(AND($F31&lt;&gt;"", $F31&gt;=CF$5-4, $F31&lt;=CF$5, COUNTIF($M31:CE31,"u")=0), "u", "")</f>
        <v/>
      </c>
      <c r="CG31" s="80" t="str">
        <f>IF(AND($F31&lt;&gt;"", $F31&gt;=CG$5-4, $F31&lt;=CG$5, COUNTIF($M31:CF31,"u")=0), "u", "")</f>
        <v/>
      </c>
      <c r="CH31" s="80" t="str">
        <f>IF(AND($F31&lt;&gt;"", $F31&gt;=CH$5-4, $F31&lt;=CH$5, COUNTIF($M31:CG31,"u")=0), "u", "")</f>
        <v/>
      </c>
      <c r="CI31" s="80" t="str">
        <f>IF(AND($F31&lt;&gt;"", $F31&gt;=CI$5-4, $F31&lt;=CI$5, COUNTIF($M31:CH31,"u")=0), "u", "")</f>
        <v/>
      </c>
      <c r="CJ31" s="80" t="str">
        <f>IF(AND($F31&lt;&gt;"", $F31&gt;=CJ$5-4, $F31&lt;=CJ$5, COUNTIF($M31:CI31,"u")=0), "u", "")</f>
        <v/>
      </c>
      <c r="CK31" s="80" t="str">
        <f>IF(AND($F31&lt;&gt;"", $F31&gt;=CK$5-4, $F31&lt;=CK$5, COUNTIF($M31:CJ31,"u")=0), "u", "")</f>
        <v/>
      </c>
      <c r="CL31" s="80" t="str">
        <f>IF(AND($F31&lt;&gt;"", $F31&gt;=CL$5-4, $F31&lt;=CL$5, COUNTIF($M31:CK31,"u")=0), "u", "")</f>
        <v/>
      </c>
      <c r="CM31" s="80" t="str">
        <f>IF(AND($F31&lt;&gt;"", $F31&gt;=CM$5-4, $F31&lt;=CM$5, COUNTIF($M31:CL31,"u")=0), "u", "")</f>
        <v/>
      </c>
      <c r="CN31" s="80" t="str">
        <f>IF(AND($F31&lt;&gt;"", $F31&gt;=CN$5-4, $F31&lt;=CN$5, COUNTIF($M31:CM31,"u")=0), "u", "")</f>
        <v/>
      </c>
      <c r="CO31" s="80" t="str">
        <f>IF(AND($F31&lt;&gt;"", $F31&gt;=CO$5-4, $F31&lt;=CO$5, COUNTIF($M31:CN31,"u")=0), "u", "")</f>
        <v/>
      </c>
      <c r="CP31" s="80" t="str">
        <f>IF(AND($F31&lt;&gt;"", $F31&gt;=CP$5-4, $F31&lt;=CP$5, COUNTIF($M31:CO31,"u")=0), "u", "")</f>
        <v/>
      </c>
      <c r="CQ31" s="80" t="str">
        <f>IF(AND($F31&lt;&gt;"", $F31&gt;=CQ$5-4, $F31&lt;=CQ$5, COUNTIF($M31:CP31,"u")=0), "u", "")</f>
        <v/>
      </c>
      <c r="CR31" s="80" t="str">
        <f>IF(AND($F31&lt;&gt;"", $F31&gt;=CR$5-4, $F31&lt;=CR$5, COUNTIF($M31:CQ31,"u")=0), "u", "")</f>
        <v/>
      </c>
      <c r="CS31" s="80" t="str">
        <f>IF(AND($F31&lt;&gt;"", $F31&gt;=CS$5-4, $F31&lt;=CS$5, COUNTIF($M31:CR31,"u")=0), "u", "")</f>
        <v/>
      </c>
      <c r="CT31" s="80" t="str">
        <f>IF(AND($F31&lt;&gt;"", $F31&gt;=CT$5-4, $F31&lt;=CT$5, COUNTIF($M31:CS31,"u")=0), "u", "")</f>
        <v/>
      </c>
      <c r="CU31" s="80" t="str">
        <f>IF(AND($F31&lt;&gt;"", $F31&gt;=CU$5-4, $F31&lt;=CU$5, COUNTIF($M31:CT31,"u")=0), "u", "")</f>
        <v/>
      </c>
      <c r="CV31" s="80" t="str">
        <f>IF(AND($F31&lt;&gt;"", $F31&gt;=CV$5-4, $F31&lt;=CV$5, COUNTIF($M31:CU31,"u")=0), "u", "")</f>
        <v/>
      </c>
      <c r="CW31" s="80" t="str">
        <f>IF(AND($F31&lt;&gt;"", $F31&gt;=CW$5-4, $F31&lt;=CW$5, COUNTIF($M31:CV31,"u")=0), "u", "")</f>
        <v/>
      </c>
      <c r="CX31" s="80" t="str">
        <f>IF(AND($F31&lt;&gt;"", $F31&gt;=CX$5-4, $F31&lt;=CX$5, COUNTIF($M31:CW31,"u")=0), "u", "")</f>
        <v/>
      </c>
      <c r="CY31" s="80" t="str">
        <f>IF(AND($F31&lt;&gt;"", $F31&gt;=CY$5-4, $F31&lt;=CY$5, COUNTIF($M31:CX31,"u")=0), "u", "")</f>
        <v/>
      </c>
      <c r="CZ31" s="80" t="str">
        <f>IF(AND($F31&lt;&gt;"", $F31&gt;=CZ$5-4, $F31&lt;=CZ$5, COUNTIF($M31:CY31,"u")=0), "u", "")</f>
        <v/>
      </c>
      <c r="DA31" s="80" t="str">
        <f>IF(AND($F31&lt;&gt;"", $F31&gt;=DA$5-4, $F31&lt;=DA$5, COUNTIF($M31:CZ31,"u")=0), "u", "")</f>
        <v/>
      </c>
      <c r="DB31" s="80" t="str">
        <f>IF(AND($F31&lt;&gt;"", $F31&gt;=DB$5-4, $F31&lt;=DB$5, COUNTIF($M31:DA31,"u")=0), "u", "")</f>
        <v/>
      </c>
      <c r="DC31" s="80" t="str">
        <f>IF(AND($F31&lt;&gt;"", $F31&gt;=DC$5-4, $F31&lt;=DC$5, COUNTIF($M31:DB31,"u")=0), "u", "")</f>
        <v/>
      </c>
      <c r="DD31" s="80" t="str">
        <f>IF(AND($F31&lt;&gt;"", $F31&gt;=DD$5-4, $F31&lt;=DD$5, COUNTIF($M31:DC31,"u")=0), "u", "")</f>
        <v/>
      </c>
      <c r="DE31" s="80" t="str">
        <f>IF(AND($F31&lt;&gt;"", $F31&gt;=DE$5-4, $F31&lt;=DE$5, COUNTIF($M31:DD31,"u")=0), "u", "")</f>
        <v/>
      </c>
      <c r="DF31" s="80" t="str">
        <f>IF(AND($F31&lt;&gt;"", $F31&gt;=DF$5-4, $F31&lt;=DF$5, COUNTIF($M31:DE31,"u")=0), "u", "")</f>
        <v/>
      </c>
      <c r="DG31" s="80" t="str">
        <f>IF(AND($F31&lt;&gt;"", $F31&gt;=DG$5-4, $F31&lt;=DG$5, COUNTIF($M31:DF31,"u")=0), "u", "")</f>
        <v/>
      </c>
      <c r="DH31" s="80" t="str">
        <f>IF(AND($F31&lt;&gt;"", $F31&gt;=DH$5-4, $F31&lt;=DH$5, COUNTIF($M31:DG31,"u")=0), "u", "")</f>
        <v/>
      </c>
      <c r="DI31" s="80" t="str">
        <f>IF(AND($F31&lt;&gt;"", $F31&gt;=DI$5-4, $F31&lt;=DI$5, COUNTIF($M31:DH31,"u")=0), "u", "")</f>
        <v/>
      </c>
      <c r="DJ31" s="80" t="str">
        <f>IF(AND($F31&lt;&gt;"", $F31&gt;=DJ$5-4, $F31&lt;=DJ$5, COUNTIF($M31:DI31,"u")=0), "u", "")</f>
        <v/>
      </c>
      <c r="DK31" s="80" t="str">
        <f>IF(AND($F31&lt;&gt;"", $F31&gt;=DK$5-4, $F31&lt;=DK$5, COUNTIF($M31:DJ31,"u")=0), "u", "")</f>
        <v/>
      </c>
      <c r="DL31" s="80" t="str">
        <f>IF(AND($F31&lt;&gt;"", $F31&gt;=DL$5-4, $F31&lt;=DL$5, COUNTIF($M31:DK31,"u")=0), "u", "")</f>
        <v/>
      </c>
    </row>
    <row r="32" spans="1:116" ht="25.05" customHeight="1" x14ac:dyDescent="0.3">
      <c r="A32" s="39"/>
      <c r="B32" s="75">
        <v>27</v>
      </c>
      <c r="C32" s="97"/>
      <c r="D32" s="92"/>
      <c r="E32" s="53"/>
      <c r="F32" s="53"/>
      <c r="G32" s="83" t="str">
        <f t="shared" si="47"/>
        <v/>
      </c>
      <c r="H32" s="83" t="str">
        <f t="shared" si="47"/>
        <v/>
      </c>
      <c r="I32" s="77" t="str">
        <f t="shared" si="45"/>
        <v/>
      </c>
      <c r="J32" s="78"/>
      <c r="K32" s="86"/>
      <c r="L32" s="56"/>
      <c r="M32" s="80" t="str">
        <f t="shared" si="46"/>
        <v/>
      </c>
      <c r="N32" s="80" t="str">
        <f>IF(AND($F32&lt;&gt;"", $F32&gt;=N$5-4, $F32&lt;=N$5, COUNTIF($M32:M32,"u")=0), "u", "")</f>
        <v/>
      </c>
      <c r="O32" s="80" t="str">
        <f>IF(AND($F32&lt;&gt;"", $F32&gt;=O$5-4, $F32&lt;=O$5, COUNTIF($M32:N32,"u")=0), "u", "")</f>
        <v/>
      </c>
      <c r="P32" s="80" t="str">
        <f>IF(AND($F32&lt;&gt;"", $F32&gt;=P$5-4, $F32&lt;=P$5, COUNTIF($M32:O32,"u")=0), "u", "")</f>
        <v/>
      </c>
      <c r="Q32" s="80" t="str">
        <f>IF(AND($F32&lt;&gt;"", $F32&gt;=Q$5-4, $F32&lt;=Q$5, COUNTIF($M32:P32,"u")=0), "u", "")</f>
        <v/>
      </c>
      <c r="R32" s="80" t="str">
        <f>IF(AND($F32&lt;&gt;"", $F32&gt;=R$5-4, $F32&lt;=R$5, COUNTIF($M32:Q32,"u")=0), "u", "")</f>
        <v/>
      </c>
      <c r="S32" s="80" t="str">
        <f>IF(AND($F32&lt;&gt;"", $F32&gt;=S$5-4, $F32&lt;=S$5, COUNTIF($M32:R32,"u")=0), "u", "")</f>
        <v/>
      </c>
      <c r="T32" s="80" t="str">
        <f>IF(AND($F32&lt;&gt;"", $F32&gt;=T$5-4, $F32&lt;=T$5, COUNTIF($M32:S32,"u")=0), "u", "")</f>
        <v/>
      </c>
      <c r="U32" s="80" t="str">
        <f>IF(AND($F32&lt;&gt;"", $F32&gt;=U$5-4, $F32&lt;=U$5, COUNTIF($M32:T32,"u")=0), "u", "")</f>
        <v/>
      </c>
      <c r="V32" s="80" t="str">
        <f>IF(AND($F32&lt;&gt;"", $F32&gt;=V$5-4, $F32&lt;=V$5, COUNTIF($M32:U32,"u")=0), "u", "")</f>
        <v/>
      </c>
      <c r="W32" s="80" t="str">
        <f>IF(AND($F32&lt;&gt;"", $F32&gt;=W$5-4, $F32&lt;=W$5, COUNTIF($M32:V32,"u")=0), "u", "")</f>
        <v/>
      </c>
      <c r="X32" s="80" t="str">
        <f>IF(AND($F32&lt;&gt;"", $F32&gt;=X$5-4, $F32&lt;=X$5, COUNTIF($M32:W32,"u")=0), "u", "")</f>
        <v/>
      </c>
      <c r="Y32" s="80" t="str">
        <f>IF(AND($F32&lt;&gt;"", $F32&gt;=Y$5-4, $F32&lt;=Y$5, COUNTIF($M32:X32,"u")=0), "u", "")</f>
        <v/>
      </c>
      <c r="Z32" s="80" t="str">
        <f>IF(AND($F32&lt;&gt;"", $F32&gt;=Z$5-4, $F32&lt;=Z$5, COUNTIF($M32:Y32,"u")=0), "u", "")</f>
        <v/>
      </c>
      <c r="AA32" s="80" t="str">
        <f>IF(AND($F32&lt;&gt;"", $F32&gt;=AA$5-4, $F32&lt;=AA$5, COUNTIF($M32:Z32,"u")=0), "u", "")</f>
        <v/>
      </c>
      <c r="AB32" s="80" t="str">
        <f>IF(AND($F32&lt;&gt;"", $F32&gt;=AB$5-4, $F32&lt;=AB$5, COUNTIF($M32:AA32,"u")=0), "u", "")</f>
        <v/>
      </c>
      <c r="AC32" s="80" t="str">
        <f>IF(AND($F32&lt;&gt;"", $F32&gt;=AC$5-4, $F32&lt;=AC$5, COUNTIF($M32:AB32,"u")=0), "u", "")</f>
        <v/>
      </c>
      <c r="AD32" s="80" t="str">
        <f>IF(AND($F32&lt;&gt;"", $F32&gt;=AD$5-4, $F32&lt;=AD$5, COUNTIF($M32:AC32,"u")=0), "u", "")</f>
        <v/>
      </c>
      <c r="AE32" s="80" t="str">
        <f>IF(AND($F32&lt;&gt;"", $F32&gt;=AE$5-4, $F32&lt;=AE$5, COUNTIF($M32:AD32,"u")=0), "u", "")</f>
        <v/>
      </c>
      <c r="AF32" s="80" t="str">
        <f>IF(AND($F32&lt;&gt;"", $F32&gt;=AF$5-4, $F32&lt;=AF$5, COUNTIF($M32:AE32,"u")=0), "u", "")</f>
        <v/>
      </c>
      <c r="AG32" s="80" t="str">
        <f>IF(AND($F32&lt;&gt;"", $F32&gt;=AG$5-4, $F32&lt;=AG$5, COUNTIF($M32:AF32,"u")=0), "u", "")</f>
        <v/>
      </c>
      <c r="AH32" s="80" t="str">
        <f>IF(AND($F32&lt;&gt;"", $F32&gt;=AH$5-4, $F32&lt;=AH$5, COUNTIF($M32:AG32,"u")=0), "u", "")</f>
        <v/>
      </c>
      <c r="AI32" s="80" t="str">
        <f>IF(AND($F32&lt;&gt;"", $F32&gt;=AI$5-4, $F32&lt;=AI$5, COUNTIF($M32:AH32,"u")=0), "u", "")</f>
        <v/>
      </c>
      <c r="AJ32" s="80" t="str">
        <f>IF(AND($F32&lt;&gt;"", $F32&gt;=AJ$5-4, $F32&lt;=AJ$5, COUNTIF($M32:AI32,"u")=0), "u", "")</f>
        <v/>
      </c>
      <c r="AK32" s="80" t="str">
        <f>IF(AND($F32&lt;&gt;"", $F32&gt;=AK$5-4, $F32&lt;=AK$5, COUNTIF($M32:AJ32,"u")=0), "u", "")</f>
        <v/>
      </c>
      <c r="AL32" s="80" t="str">
        <f>IF(AND($F32&lt;&gt;"", $F32&gt;=AL$5-4, $F32&lt;=AL$5, COUNTIF($M32:AK32,"u")=0), "u", "")</f>
        <v/>
      </c>
      <c r="AM32" s="80" t="str">
        <f>IF(AND($F32&lt;&gt;"", $F32&gt;=AM$5-4, $F32&lt;=AM$5, COUNTIF($M32:AL32,"u")=0), "u", "")</f>
        <v/>
      </c>
      <c r="AN32" s="80" t="str">
        <f>IF(AND($F32&lt;&gt;"", $F32&gt;=AN$5-4, $F32&lt;=AN$5, COUNTIF($M32:AM32,"u")=0), "u", "")</f>
        <v/>
      </c>
      <c r="AO32" s="80" t="str">
        <f>IF(AND($F32&lt;&gt;"", $F32&gt;=AO$5-4, $F32&lt;=AO$5, COUNTIF($M32:AN32,"u")=0), "u", "")</f>
        <v/>
      </c>
      <c r="AP32" s="80" t="str">
        <f>IF(AND($F32&lt;&gt;"", $F32&gt;=AP$5-4, $F32&lt;=AP$5, COUNTIF($M32:AO32,"u")=0), "u", "")</f>
        <v/>
      </c>
      <c r="AQ32" s="80" t="str">
        <f>IF(AND($F32&lt;&gt;"", $F32&gt;=AQ$5-4, $F32&lt;=AQ$5, COUNTIF($M32:AP32,"u")=0), "u", "")</f>
        <v/>
      </c>
      <c r="AR32" s="80" t="str">
        <f>IF(AND($F32&lt;&gt;"", $F32&gt;=AR$5-4, $F32&lt;=AR$5, COUNTIF($M32:AQ32,"u")=0), "u", "")</f>
        <v/>
      </c>
      <c r="AS32" s="80" t="str">
        <f>IF(AND($F32&lt;&gt;"", $F32&gt;=AS$5-4, $F32&lt;=AS$5, COUNTIF($M32:AR32,"u")=0), "u", "")</f>
        <v/>
      </c>
      <c r="AT32" s="80" t="str">
        <f>IF(AND($F32&lt;&gt;"", $F32&gt;=AT$5-4, $F32&lt;=AT$5, COUNTIF($M32:AS32,"u")=0), "u", "")</f>
        <v/>
      </c>
      <c r="AU32" s="80" t="str">
        <f>IF(AND($F32&lt;&gt;"", $F32&gt;=AU$5-4, $F32&lt;=AU$5, COUNTIF($M32:AT32,"u")=0), "u", "")</f>
        <v/>
      </c>
      <c r="AV32" s="80" t="str">
        <f>IF(AND($F32&lt;&gt;"", $F32&gt;=AV$5-4, $F32&lt;=AV$5, COUNTIF($M32:AU32,"u")=0), "u", "")</f>
        <v/>
      </c>
      <c r="AW32" s="80" t="str">
        <f>IF(AND($F32&lt;&gt;"", $F32&gt;=AW$5-4, $F32&lt;=AW$5, COUNTIF($M32:AV32,"u")=0), "u", "")</f>
        <v/>
      </c>
      <c r="AX32" s="80" t="str">
        <f>IF(AND($F32&lt;&gt;"", $F32&gt;=AX$5-4, $F32&lt;=AX$5, COUNTIF($M32:AW32,"u")=0), "u", "")</f>
        <v/>
      </c>
      <c r="AY32" s="80" t="str">
        <f>IF(AND($F32&lt;&gt;"", $F32&gt;=AY$5-4, $F32&lt;=AY$5, COUNTIF($M32:AX32,"u")=0), "u", "")</f>
        <v/>
      </c>
      <c r="AZ32" s="80" t="str">
        <f>IF(AND($F32&lt;&gt;"", $F32&gt;=AZ$5-4, $F32&lt;=AZ$5, COUNTIF($M32:AY32,"u")=0), "u", "")</f>
        <v/>
      </c>
      <c r="BA32" s="80" t="str">
        <f>IF(AND($F32&lt;&gt;"", $F32&gt;=BA$5-4, $F32&lt;=BA$5, COUNTIF($M32:AZ32,"u")=0), "u", "")</f>
        <v/>
      </c>
      <c r="BB32" s="80" t="str">
        <f>IF(AND($F32&lt;&gt;"", $F32&gt;=BB$5-4, $F32&lt;=BB$5, COUNTIF($M32:BA32,"u")=0), "u", "")</f>
        <v/>
      </c>
      <c r="BC32" s="80" t="str">
        <f>IF(AND($F32&lt;&gt;"", $F32&gt;=BC$5-4, $F32&lt;=BC$5, COUNTIF($M32:BB32,"u")=0), "u", "")</f>
        <v/>
      </c>
      <c r="BD32" s="80" t="str">
        <f>IF(AND($F32&lt;&gt;"", $F32&gt;=BD$5-4, $F32&lt;=BD$5, COUNTIF($M32:BC32,"u")=0), "u", "")</f>
        <v/>
      </c>
      <c r="BE32" s="80" t="str">
        <f>IF(AND($F32&lt;&gt;"", $F32&gt;=BE$5-4, $F32&lt;=BE$5, COUNTIF($M32:BD32,"u")=0), "u", "")</f>
        <v/>
      </c>
      <c r="BF32" s="80" t="str">
        <f>IF(AND($F32&lt;&gt;"", $F32&gt;=BF$5-4, $F32&lt;=BF$5, COUNTIF($M32:BE32,"u")=0), "u", "")</f>
        <v/>
      </c>
      <c r="BG32" s="80" t="str">
        <f>IF(AND($F32&lt;&gt;"", $F32&gt;=BG$5-4, $F32&lt;=BG$5, COUNTIF($M32:BF32,"u")=0), "u", "")</f>
        <v/>
      </c>
      <c r="BH32" s="80" t="str">
        <f>IF(AND($F32&lt;&gt;"", $F32&gt;=BH$5-4, $F32&lt;=BH$5, COUNTIF($M32:BG32,"u")=0), "u", "")</f>
        <v/>
      </c>
      <c r="BI32" s="80" t="str">
        <f>IF(AND($F32&lt;&gt;"", $F32&gt;=BI$5-4, $F32&lt;=BI$5, COUNTIF($M32:BH32,"u")=0), "u", "")</f>
        <v/>
      </c>
      <c r="BJ32" s="80" t="str">
        <f>IF(AND($F32&lt;&gt;"", $F32&gt;=BJ$5-4, $F32&lt;=BJ$5, COUNTIF($M32:BI32,"u")=0), "u", "")</f>
        <v/>
      </c>
      <c r="BK32" s="80" t="str">
        <f>IF(AND($F32&lt;&gt;"", $F32&gt;=BK$5-4, $F32&lt;=BK$5, COUNTIF($M32:BJ32,"u")=0), "u", "")</f>
        <v/>
      </c>
      <c r="BL32" s="80" t="str">
        <f>IF(AND($F32&lt;&gt;"", $F32&gt;=BL$5-4, $F32&lt;=BL$5, COUNTIF($M32:BK32,"u")=0), "u", "")</f>
        <v/>
      </c>
      <c r="BM32" s="80" t="str">
        <f>IF(AND($F32&lt;&gt;"", $F32&gt;=BM$5-4, $F32&lt;=BM$5, COUNTIF($M32:BL32,"u")=0), "u", "")</f>
        <v/>
      </c>
      <c r="BN32" s="80" t="str">
        <f>IF(AND($F32&lt;&gt;"", $F32&gt;=BN$5-4, $F32&lt;=BN$5, COUNTIF($M32:BM32,"u")=0), "u", "")</f>
        <v/>
      </c>
      <c r="BO32" s="80" t="str">
        <f>IF(AND($F32&lt;&gt;"", $F32&gt;=BO$5-4, $F32&lt;=BO$5, COUNTIF($M32:BN32,"u")=0), "u", "")</f>
        <v/>
      </c>
      <c r="BP32" s="80" t="str">
        <f>IF(AND($F32&lt;&gt;"", $F32&gt;=BP$5-4, $F32&lt;=BP$5, COUNTIF($M32:BO32,"u")=0), "u", "")</f>
        <v/>
      </c>
      <c r="BQ32" s="80" t="str">
        <f>IF(AND($F32&lt;&gt;"", $F32&gt;=BQ$5-4, $F32&lt;=BQ$5, COUNTIF($M32:BP32,"u")=0), "u", "")</f>
        <v/>
      </c>
      <c r="BR32" s="80" t="str">
        <f>IF(AND($F32&lt;&gt;"", $F32&gt;=BR$5-4, $F32&lt;=BR$5, COUNTIF($M32:BQ32,"u")=0), "u", "")</f>
        <v/>
      </c>
      <c r="BS32" s="80" t="str">
        <f>IF(AND($F32&lt;&gt;"", $F32&gt;=BS$5-4, $F32&lt;=BS$5, COUNTIF($M32:BR32,"u")=0), "u", "")</f>
        <v/>
      </c>
      <c r="BT32" s="80" t="str">
        <f>IF(AND($F32&lt;&gt;"", $F32&gt;=BT$5-4, $F32&lt;=BT$5, COUNTIF($M32:BS32,"u")=0), "u", "")</f>
        <v/>
      </c>
      <c r="BU32" s="80" t="str">
        <f>IF(AND($F32&lt;&gt;"", $F32&gt;=BU$5-4, $F32&lt;=BU$5, COUNTIF($M32:BT32,"u")=0), "u", "")</f>
        <v/>
      </c>
      <c r="BV32" s="80" t="str">
        <f>IF(AND($F32&lt;&gt;"", $F32&gt;=BV$5-4, $F32&lt;=BV$5, COUNTIF($M32:BU32,"u")=0), "u", "")</f>
        <v/>
      </c>
      <c r="BW32" s="80" t="str">
        <f>IF(AND($F32&lt;&gt;"", $F32&gt;=BW$5-4, $F32&lt;=BW$5, COUNTIF($M32:BV32,"u")=0), "u", "")</f>
        <v/>
      </c>
      <c r="BX32" s="80" t="str">
        <f>IF(AND($F32&lt;&gt;"", $F32&gt;=BX$5-4, $F32&lt;=BX$5, COUNTIF($M32:BW32,"u")=0), "u", "")</f>
        <v/>
      </c>
      <c r="BY32" s="80" t="str">
        <f>IF(AND($F32&lt;&gt;"", $F32&gt;=BY$5-4, $F32&lt;=BY$5, COUNTIF($M32:BX32,"u")=0), "u", "")</f>
        <v/>
      </c>
      <c r="BZ32" s="80" t="str">
        <f>IF(AND($F32&lt;&gt;"", $F32&gt;=BZ$5-4, $F32&lt;=BZ$5, COUNTIF($M32:BY32,"u")=0), "u", "")</f>
        <v/>
      </c>
      <c r="CA32" s="80" t="str">
        <f>IF(AND($F32&lt;&gt;"", $F32&gt;=CA$5-4, $F32&lt;=CA$5, COUNTIF($M32:BZ32,"u")=0), "u", "")</f>
        <v/>
      </c>
      <c r="CB32" s="80" t="str">
        <f>IF(AND($F32&lt;&gt;"", $F32&gt;=CB$5-4, $F32&lt;=CB$5, COUNTIF($M32:CA32,"u")=0), "u", "")</f>
        <v/>
      </c>
      <c r="CC32" s="80" t="str">
        <f>IF(AND($F32&lt;&gt;"", $F32&gt;=CC$5-4, $F32&lt;=CC$5, COUNTIF($M32:CB32,"u")=0), "u", "")</f>
        <v/>
      </c>
      <c r="CD32" s="80" t="str">
        <f>IF(AND($F32&lt;&gt;"", $F32&gt;=CD$5-4, $F32&lt;=CD$5, COUNTIF($M32:CC32,"u")=0), "u", "")</f>
        <v/>
      </c>
      <c r="CE32" s="80" t="str">
        <f>IF(AND($F32&lt;&gt;"", $F32&gt;=CE$5-4, $F32&lt;=CE$5, COUNTIF($M32:CD32,"u")=0), "u", "")</f>
        <v/>
      </c>
      <c r="CF32" s="80" t="str">
        <f>IF(AND($F32&lt;&gt;"", $F32&gt;=CF$5-4, $F32&lt;=CF$5, COUNTIF($M32:CE32,"u")=0), "u", "")</f>
        <v/>
      </c>
      <c r="CG32" s="80" t="str">
        <f>IF(AND($F32&lt;&gt;"", $F32&gt;=CG$5-4, $F32&lt;=CG$5, COUNTIF($M32:CF32,"u")=0), "u", "")</f>
        <v/>
      </c>
      <c r="CH32" s="80" t="str">
        <f>IF(AND($F32&lt;&gt;"", $F32&gt;=CH$5-4, $F32&lt;=CH$5, COUNTIF($M32:CG32,"u")=0), "u", "")</f>
        <v/>
      </c>
      <c r="CI32" s="80" t="str">
        <f>IF(AND($F32&lt;&gt;"", $F32&gt;=CI$5-4, $F32&lt;=CI$5, COUNTIF($M32:CH32,"u")=0), "u", "")</f>
        <v/>
      </c>
      <c r="CJ32" s="80" t="str">
        <f>IF(AND($F32&lt;&gt;"", $F32&gt;=CJ$5-4, $F32&lt;=CJ$5, COUNTIF($M32:CI32,"u")=0), "u", "")</f>
        <v/>
      </c>
      <c r="CK32" s="80" t="str">
        <f>IF(AND($F32&lt;&gt;"", $F32&gt;=CK$5-4, $F32&lt;=CK$5, COUNTIF($M32:CJ32,"u")=0), "u", "")</f>
        <v/>
      </c>
      <c r="CL32" s="80" t="str">
        <f>IF(AND($F32&lt;&gt;"", $F32&gt;=CL$5-4, $F32&lt;=CL$5, COUNTIF($M32:CK32,"u")=0), "u", "")</f>
        <v/>
      </c>
      <c r="CM32" s="80" t="str">
        <f>IF(AND($F32&lt;&gt;"", $F32&gt;=CM$5-4, $F32&lt;=CM$5, COUNTIF($M32:CL32,"u")=0), "u", "")</f>
        <v/>
      </c>
      <c r="CN32" s="80" t="str">
        <f>IF(AND($F32&lt;&gt;"", $F32&gt;=CN$5-4, $F32&lt;=CN$5, COUNTIF($M32:CM32,"u")=0), "u", "")</f>
        <v/>
      </c>
      <c r="CO32" s="80" t="str">
        <f>IF(AND($F32&lt;&gt;"", $F32&gt;=CO$5-4, $F32&lt;=CO$5, COUNTIF($M32:CN32,"u")=0), "u", "")</f>
        <v/>
      </c>
      <c r="CP32" s="80" t="str">
        <f>IF(AND($F32&lt;&gt;"", $F32&gt;=CP$5-4, $F32&lt;=CP$5, COUNTIF($M32:CO32,"u")=0), "u", "")</f>
        <v/>
      </c>
      <c r="CQ32" s="80" t="str">
        <f>IF(AND($F32&lt;&gt;"", $F32&gt;=CQ$5-4, $F32&lt;=CQ$5, COUNTIF($M32:CP32,"u")=0), "u", "")</f>
        <v/>
      </c>
      <c r="CR32" s="80" t="str">
        <f>IF(AND($F32&lt;&gt;"", $F32&gt;=CR$5-4, $F32&lt;=CR$5, COUNTIF($M32:CQ32,"u")=0), "u", "")</f>
        <v/>
      </c>
      <c r="CS32" s="80" t="str">
        <f>IF(AND($F32&lt;&gt;"", $F32&gt;=CS$5-4, $F32&lt;=CS$5, COUNTIF($M32:CR32,"u")=0), "u", "")</f>
        <v/>
      </c>
      <c r="CT32" s="80" t="str">
        <f>IF(AND($F32&lt;&gt;"", $F32&gt;=CT$5-4, $F32&lt;=CT$5, COUNTIF($M32:CS32,"u")=0), "u", "")</f>
        <v/>
      </c>
      <c r="CU32" s="80" t="str">
        <f>IF(AND($F32&lt;&gt;"", $F32&gt;=CU$5-4, $F32&lt;=CU$5, COUNTIF($M32:CT32,"u")=0), "u", "")</f>
        <v/>
      </c>
      <c r="CV32" s="80" t="str">
        <f>IF(AND($F32&lt;&gt;"", $F32&gt;=CV$5-4, $F32&lt;=CV$5, COUNTIF($M32:CU32,"u")=0), "u", "")</f>
        <v/>
      </c>
      <c r="CW32" s="80" t="str">
        <f>IF(AND($F32&lt;&gt;"", $F32&gt;=CW$5-4, $F32&lt;=CW$5, COUNTIF($M32:CV32,"u")=0), "u", "")</f>
        <v/>
      </c>
      <c r="CX32" s="80" t="str">
        <f>IF(AND($F32&lt;&gt;"", $F32&gt;=CX$5-4, $F32&lt;=CX$5, COUNTIF($M32:CW32,"u")=0), "u", "")</f>
        <v/>
      </c>
      <c r="CY32" s="80" t="str">
        <f>IF(AND($F32&lt;&gt;"", $F32&gt;=CY$5-4, $F32&lt;=CY$5, COUNTIF($M32:CX32,"u")=0), "u", "")</f>
        <v/>
      </c>
      <c r="CZ32" s="80" t="str">
        <f>IF(AND($F32&lt;&gt;"", $F32&gt;=CZ$5-4, $F32&lt;=CZ$5, COUNTIF($M32:CY32,"u")=0), "u", "")</f>
        <v/>
      </c>
      <c r="DA32" s="80" t="str">
        <f>IF(AND($F32&lt;&gt;"", $F32&gt;=DA$5-4, $F32&lt;=DA$5, COUNTIF($M32:CZ32,"u")=0), "u", "")</f>
        <v/>
      </c>
      <c r="DB32" s="80" t="str">
        <f>IF(AND($F32&lt;&gt;"", $F32&gt;=DB$5-4, $F32&lt;=DB$5, COUNTIF($M32:DA32,"u")=0), "u", "")</f>
        <v/>
      </c>
      <c r="DC32" s="80" t="str">
        <f>IF(AND($F32&lt;&gt;"", $F32&gt;=DC$5-4, $F32&lt;=DC$5, COUNTIF($M32:DB32,"u")=0), "u", "")</f>
        <v/>
      </c>
      <c r="DD32" s="80" t="str">
        <f>IF(AND($F32&lt;&gt;"", $F32&gt;=DD$5-4, $F32&lt;=DD$5, COUNTIF($M32:DC32,"u")=0), "u", "")</f>
        <v/>
      </c>
      <c r="DE32" s="80" t="str">
        <f>IF(AND($F32&lt;&gt;"", $F32&gt;=DE$5-4, $F32&lt;=DE$5, COUNTIF($M32:DD32,"u")=0), "u", "")</f>
        <v/>
      </c>
      <c r="DF32" s="80" t="str">
        <f>IF(AND($F32&lt;&gt;"", $F32&gt;=DF$5-4, $F32&lt;=DF$5, COUNTIF($M32:DE32,"u")=0), "u", "")</f>
        <v/>
      </c>
      <c r="DG32" s="80" t="str">
        <f>IF(AND($F32&lt;&gt;"", $F32&gt;=DG$5-4, $F32&lt;=DG$5, COUNTIF($M32:DF32,"u")=0), "u", "")</f>
        <v/>
      </c>
      <c r="DH32" s="80" t="str">
        <f>IF(AND($F32&lt;&gt;"", $F32&gt;=DH$5-4, $F32&lt;=DH$5, COUNTIF($M32:DG32,"u")=0), "u", "")</f>
        <v/>
      </c>
      <c r="DI32" s="80" t="str">
        <f>IF(AND($F32&lt;&gt;"", $F32&gt;=DI$5-4, $F32&lt;=DI$5, COUNTIF($M32:DH32,"u")=0), "u", "")</f>
        <v/>
      </c>
      <c r="DJ32" s="80" t="str">
        <f>IF(AND($F32&lt;&gt;"", $F32&gt;=DJ$5-4, $F32&lt;=DJ$5, COUNTIF($M32:DI32,"u")=0), "u", "")</f>
        <v/>
      </c>
      <c r="DK32" s="80" t="str">
        <f>IF(AND($F32&lt;&gt;"", $F32&gt;=DK$5-4, $F32&lt;=DK$5, COUNTIF($M32:DJ32,"u")=0), "u", "")</f>
        <v/>
      </c>
      <c r="DL32" s="80" t="str">
        <f>IF(AND($F32&lt;&gt;"", $F32&gt;=DL$5-4, $F32&lt;=DL$5, COUNTIF($M32:DK32,"u")=0), "u", "")</f>
        <v/>
      </c>
    </row>
    <row r="33" spans="1:116" ht="25.05" customHeight="1" x14ac:dyDescent="0.3">
      <c r="A33" s="39"/>
      <c r="B33" s="75">
        <v>28</v>
      </c>
      <c r="C33" s="97"/>
      <c r="D33" s="92"/>
      <c r="E33" s="53"/>
      <c r="F33" s="53"/>
      <c r="G33" s="83" t="str">
        <f t="shared" si="47"/>
        <v/>
      </c>
      <c r="H33" s="83" t="str">
        <f t="shared" si="47"/>
        <v/>
      </c>
      <c r="I33" s="77" t="str">
        <f t="shared" si="45"/>
        <v/>
      </c>
      <c r="J33" s="78"/>
      <c r="K33" s="86"/>
      <c r="L33" s="56"/>
      <c r="M33" s="80" t="str">
        <f t="shared" si="46"/>
        <v/>
      </c>
      <c r="N33" s="80" t="str">
        <f>IF(AND($F33&lt;&gt;"", $F33&gt;=N$5-4, $F33&lt;=N$5, COUNTIF($M33:M33,"u")=0), "u", "")</f>
        <v/>
      </c>
      <c r="O33" s="80" t="str">
        <f>IF(AND($F33&lt;&gt;"", $F33&gt;=O$5-4, $F33&lt;=O$5, COUNTIF($M33:N33,"u")=0), "u", "")</f>
        <v/>
      </c>
      <c r="P33" s="80" t="str">
        <f>IF(AND($F33&lt;&gt;"", $F33&gt;=P$5-4, $F33&lt;=P$5, COUNTIF($M33:O33,"u")=0), "u", "")</f>
        <v/>
      </c>
      <c r="Q33" s="80" t="str">
        <f>IF(AND($F33&lt;&gt;"", $F33&gt;=Q$5-4, $F33&lt;=Q$5, COUNTIF($M33:P33,"u")=0), "u", "")</f>
        <v/>
      </c>
      <c r="R33" s="80" t="str">
        <f>IF(AND($F33&lt;&gt;"", $F33&gt;=R$5-4, $F33&lt;=R$5, COUNTIF($M33:Q33,"u")=0), "u", "")</f>
        <v/>
      </c>
      <c r="S33" s="80" t="str">
        <f>IF(AND($F33&lt;&gt;"", $F33&gt;=S$5-4, $F33&lt;=S$5, COUNTIF($M33:R33,"u")=0), "u", "")</f>
        <v/>
      </c>
      <c r="T33" s="80" t="str">
        <f>IF(AND($F33&lt;&gt;"", $F33&gt;=T$5-4, $F33&lt;=T$5, COUNTIF($M33:S33,"u")=0), "u", "")</f>
        <v/>
      </c>
      <c r="U33" s="80" t="str">
        <f>IF(AND($F33&lt;&gt;"", $F33&gt;=U$5-4, $F33&lt;=U$5, COUNTIF($M33:T33,"u")=0), "u", "")</f>
        <v/>
      </c>
      <c r="V33" s="80" t="str">
        <f>IF(AND($F33&lt;&gt;"", $F33&gt;=V$5-4, $F33&lt;=V$5, COUNTIF($M33:U33,"u")=0), "u", "")</f>
        <v/>
      </c>
      <c r="W33" s="80" t="str">
        <f>IF(AND($F33&lt;&gt;"", $F33&gt;=W$5-4, $F33&lt;=W$5, COUNTIF($M33:V33,"u")=0), "u", "")</f>
        <v/>
      </c>
      <c r="X33" s="80" t="str">
        <f>IF(AND($F33&lt;&gt;"", $F33&gt;=X$5-4, $F33&lt;=X$5, COUNTIF($M33:W33,"u")=0), "u", "")</f>
        <v/>
      </c>
      <c r="Y33" s="80" t="str">
        <f>IF(AND($F33&lt;&gt;"", $F33&gt;=Y$5-4, $F33&lt;=Y$5, COUNTIF($M33:X33,"u")=0), "u", "")</f>
        <v/>
      </c>
      <c r="Z33" s="80" t="str">
        <f>IF(AND($F33&lt;&gt;"", $F33&gt;=Z$5-4, $F33&lt;=Z$5, COUNTIF($M33:Y33,"u")=0), "u", "")</f>
        <v/>
      </c>
      <c r="AA33" s="80" t="str">
        <f>IF(AND($F33&lt;&gt;"", $F33&gt;=AA$5-4, $F33&lt;=AA$5, COUNTIF($M33:Z33,"u")=0), "u", "")</f>
        <v/>
      </c>
      <c r="AB33" s="80" t="str">
        <f>IF(AND($F33&lt;&gt;"", $F33&gt;=AB$5-4, $F33&lt;=AB$5, COUNTIF($M33:AA33,"u")=0), "u", "")</f>
        <v/>
      </c>
      <c r="AC33" s="80" t="str">
        <f>IF(AND($F33&lt;&gt;"", $F33&gt;=AC$5-4, $F33&lt;=AC$5, COUNTIF($M33:AB33,"u")=0), "u", "")</f>
        <v/>
      </c>
      <c r="AD33" s="80" t="str">
        <f>IF(AND($F33&lt;&gt;"", $F33&gt;=AD$5-4, $F33&lt;=AD$5, COUNTIF($M33:AC33,"u")=0), "u", "")</f>
        <v/>
      </c>
      <c r="AE33" s="80" t="str">
        <f>IF(AND($F33&lt;&gt;"", $F33&gt;=AE$5-4, $F33&lt;=AE$5, COUNTIF($M33:AD33,"u")=0), "u", "")</f>
        <v/>
      </c>
      <c r="AF33" s="80" t="str">
        <f>IF(AND($F33&lt;&gt;"", $F33&gt;=AF$5-4, $F33&lt;=AF$5, COUNTIF($M33:AE33,"u")=0), "u", "")</f>
        <v/>
      </c>
      <c r="AG33" s="80" t="str">
        <f>IF(AND($F33&lt;&gt;"", $F33&gt;=AG$5-4, $F33&lt;=AG$5, COUNTIF($M33:AF33,"u")=0), "u", "")</f>
        <v/>
      </c>
      <c r="AH33" s="80" t="str">
        <f>IF(AND($F33&lt;&gt;"", $F33&gt;=AH$5-4, $F33&lt;=AH$5, COUNTIF($M33:AG33,"u")=0), "u", "")</f>
        <v/>
      </c>
      <c r="AI33" s="80" t="str">
        <f>IF(AND($F33&lt;&gt;"", $F33&gt;=AI$5-4, $F33&lt;=AI$5, COUNTIF($M33:AH33,"u")=0), "u", "")</f>
        <v/>
      </c>
      <c r="AJ33" s="80" t="str">
        <f>IF(AND($F33&lt;&gt;"", $F33&gt;=AJ$5-4, $F33&lt;=AJ$5, COUNTIF($M33:AI33,"u")=0), "u", "")</f>
        <v/>
      </c>
      <c r="AK33" s="80" t="str">
        <f>IF(AND($F33&lt;&gt;"", $F33&gt;=AK$5-4, $F33&lt;=AK$5, COUNTIF($M33:AJ33,"u")=0), "u", "")</f>
        <v/>
      </c>
      <c r="AL33" s="80" t="str">
        <f>IF(AND($F33&lt;&gt;"", $F33&gt;=AL$5-4, $F33&lt;=AL$5, COUNTIF($M33:AK33,"u")=0), "u", "")</f>
        <v/>
      </c>
      <c r="AM33" s="80" t="str">
        <f>IF(AND($F33&lt;&gt;"", $F33&gt;=AM$5-4, $F33&lt;=AM$5, COUNTIF($M33:AL33,"u")=0), "u", "")</f>
        <v/>
      </c>
      <c r="AN33" s="80" t="str">
        <f>IF(AND($F33&lt;&gt;"", $F33&gt;=AN$5-4, $F33&lt;=AN$5, COUNTIF($M33:AM33,"u")=0), "u", "")</f>
        <v/>
      </c>
      <c r="AO33" s="80" t="str">
        <f>IF(AND($F33&lt;&gt;"", $F33&gt;=AO$5-4, $F33&lt;=AO$5, COUNTIF($M33:AN33,"u")=0), "u", "")</f>
        <v/>
      </c>
      <c r="AP33" s="80" t="str">
        <f>IF(AND($F33&lt;&gt;"", $F33&gt;=AP$5-4, $F33&lt;=AP$5, COUNTIF($M33:AO33,"u")=0), "u", "")</f>
        <v/>
      </c>
      <c r="AQ33" s="80" t="str">
        <f>IF(AND($F33&lt;&gt;"", $F33&gt;=AQ$5-4, $F33&lt;=AQ$5, COUNTIF($M33:AP33,"u")=0), "u", "")</f>
        <v/>
      </c>
      <c r="AR33" s="80" t="str">
        <f>IF(AND($F33&lt;&gt;"", $F33&gt;=AR$5-4, $F33&lt;=AR$5, COUNTIF($M33:AQ33,"u")=0), "u", "")</f>
        <v/>
      </c>
      <c r="AS33" s="80" t="str">
        <f>IF(AND($F33&lt;&gt;"", $F33&gt;=AS$5-4, $F33&lt;=AS$5, COUNTIF($M33:AR33,"u")=0), "u", "")</f>
        <v/>
      </c>
      <c r="AT33" s="80" t="str">
        <f>IF(AND($F33&lt;&gt;"", $F33&gt;=AT$5-4, $F33&lt;=AT$5, COUNTIF($M33:AS33,"u")=0), "u", "")</f>
        <v/>
      </c>
      <c r="AU33" s="80" t="str">
        <f>IF(AND($F33&lt;&gt;"", $F33&gt;=AU$5-4, $F33&lt;=AU$5, COUNTIF($M33:AT33,"u")=0), "u", "")</f>
        <v/>
      </c>
      <c r="AV33" s="80" t="str">
        <f>IF(AND($F33&lt;&gt;"", $F33&gt;=AV$5-4, $F33&lt;=AV$5, COUNTIF($M33:AU33,"u")=0), "u", "")</f>
        <v/>
      </c>
      <c r="AW33" s="80" t="str">
        <f>IF(AND($F33&lt;&gt;"", $F33&gt;=AW$5-4, $F33&lt;=AW$5, COUNTIF($M33:AV33,"u")=0), "u", "")</f>
        <v/>
      </c>
      <c r="AX33" s="80" t="str">
        <f>IF(AND($F33&lt;&gt;"", $F33&gt;=AX$5-4, $F33&lt;=AX$5, COUNTIF($M33:AW33,"u")=0), "u", "")</f>
        <v/>
      </c>
      <c r="AY33" s="80" t="str">
        <f>IF(AND($F33&lt;&gt;"", $F33&gt;=AY$5-4, $F33&lt;=AY$5, COUNTIF($M33:AX33,"u")=0), "u", "")</f>
        <v/>
      </c>
      <c r="AZ33" s="80" t="str">
        <f>IF(AND($F33&lt;&gt;"", $F33&gt;=AZ$5-4, $F33&lt;=AZ$5, COUNTIF($M33:AY33,"u")=0), "u", "")</f>
        <v/>
      </c>
      <c r="BA33" s="80" t="str">
        <f>IF(AND($F33&lt;&gt;"", $F33&gt;=BA$5-4, $F33&lt;=BA$5, COUNTIF($M33:AZ33,"u")=0), "u", "")</f>
        <v/>
      </c>
      <c r="BB33" s="80" t="str">
        <f>IF(AND($F33&lt;&gt;"", $F33&gt;=BB$5-4, $F33&lt;=BB$5, COUNTIF($M33:BA33,"u")=0), "u", "")</f>
        <v/>
      </c>
      <c r="BC33" s="80" t="str">
        <f>IF(AND($F33&lt;&gt;"", $F33&gt;=BC$5-4, $F33&lt;=BC$5, COUNTIF($M33:BB33,"u")=0), "u", "")</f>
        <v/>
      </c>
      <c r="BD33" s="80" t="str">
        <f>IF(AND($F33&lt;&gt;"", $F33&gt;=BD$5-4, $F33&lt;=BD$5, COUNTIF($M33:BC33,"u")=0), "u", "")</f>
        <v/>
      </c>
      <c r="BE33" s="80" t="str">
        <f>IF(AND($F33&lt;&gt;"", $F33&gt;=BE$5-4, $F33&lt;=BE$5, COUNTIF($M33:BD33,"u")=0), "u", "")</f>
        <v/>
      </c>
      <c r="BF33" s="80" t="str">
        <f>IF(AND($F33&lt;&gt;"", $F33&gt;=BF$5-4, $F33&lt;=BF$5, COUNTIF($M33:BE33,"u")=0), "u", "")</f>
        <v/>
      </c>
      <c r="BG33" s="80" t="str">
        <f>IF(AND($F33&lt;&gt;"", $F33&gt;=BG$5-4, $F33&lt;=BG$5, COUNTIF($M33:BF33,"u")=0), "u", "")</f>
        <v/>
      </c>
      <c r="BH33" s="80" t="str">
        <f>IF(AND($F33&lt;&gt;"", $F33&gt;=BH$5-4, $F33&lt;=BH$5, COUNTIF($M33:BG33,"u")=0), "u", "")</f>
        <v/>
      </c>
      <c r="BI33" s="80" t="str">
        <f>IF(AND($F33&lt;&gt;"", $F33&gt;=BI$5-4, $F33&lt;=BI$5, COUNTIF($M33:BH33,"u")=0), "u", "")</f>
        <v/>
      </c>
      <c r="BJ33" s="80" t="str">
        <f>IF(AND($F33&lt;&gt;"", $F33&gt;=BJ$5-4, $F33&lt;=BJ$5, COUNTIF($M33:BI33,"u")=0), "u", "")</f>
        <v/>
      </c>
      <c r="BK33" s="80" t="str">
        <f>IF(AND($F33&lt;&gt;"", $F33&gt;=BK$5-4, $F33&lt;=BK$5, COUNTIF($M33:BJ33,"u")=0), "u", "")</f>
        <v/>
      </c>
      <c r="BL33" s="80" t="str">
        <f>IF(AND($F33&lt;&gt;"", $F33&gt;=BL$5-4, $F33&lt;=BL$5, COUNTIF($M33:BK33,"u")=0), "u", "")</f>
        <v/>
      </c>
      <c r="BM33" s="80" t="str">
        <f>IF(AND($F33&lt;&gt;"", $F33&gt;=BM$5-4, $F33&lt;=BM$5, COUNTIF($M33:BL33,"u")=0), "u", "")</f>
        <v/>
      </c>
      <c r="BN33" s="80" t="str">
        <f>IF(AND($F33&lt;&gt;"", $F33&gt;=BN$5-4, $F33&lt;=BN$5, COUNTIF($M33:BM33,"u")=0), "u", "")</f>
        <v/>
      </c>
      <c r="BO33" s="80" t="str">
        <f>IF(AND($F33&lt;&gt;"", $F33&gt;=BO$5-4, $F33&lt;=BO$5, COUNTIF($M33:BN33,"u")=0), "u", "")</f>
        <v/>
      </c>
      <c r="BP33" s="80" t="str">
        <f>IF(AND($F33&lt;&gt;"", $F33&gt;=BP$5-4, $F33&lt;=BP$5, COUNTIF($M33:BO33,"u")=0), "u", "")</f>
        <v/>
      </c>
      <c r="BQ33" s="80" t="str">
        <f>IF(AND($F33&lt;&gt;"", $F33&gt;=BQ$5-4, $F33&lt;=BQ$5, COUNTIF($M33:BP33,"u")=0), "u", "")</f>
        <v/>
      </c>
      <c r="BR33" s="80" t="str">
        <f>IF(AND($F33&lt;&gt;"", $F33&gt;=BR$5-4, $F33&lt;=BR$5, COUNTIF($M33:BQ33,"u")=0), "u", "")</f>
        <v/>
      </c>
      <c r="BS33" s="80" t="str">
        <f>IF(AND($F33&lt;&gt;"", $F33&gt;=BS$5-4, $F33&lt;=BS$5, COUNTIF($M33:BR33,"u")=0), "u", "")</f>
        <v/>
      </c>
      <c r="BT33" s="80" t="str">
        <f>IF(AND($F33&lt;&gt;"", $F33&gt;=BT$5-4, $F33&lt;=BT$5, COUNTIF($M33:BS33,"u")=0), "u", "")</f>
        <v/>
      </c>
      <c r="BU33" s="80" t="str">
        <f>IF(AND($F33&lt;&gt;"", $F33&gt;=BU$5-4, $F33&lt;=BU$5, COUNTIF($M33:BT33,"u")=0), "u", "")</f>
        <v/>
      </c>
      <c r="BV33" s="80" t="str">
        <f>IF(AND($F33&lt;&gt;"", $F33&gt;=BV$5-4, $F33&lt;=BV$5, COUNTIF($M33:BU33,"u")=0), "u", "")</f>
        <v/>
      </c>
      <c r="BW33" s="80" t="str">
        <f>IF(AND($F33&lt;&gt;"", $F33&gt;=BW$5-4, $F33&lt;=BW$5, COUNTIF($M33:BV33,"u")=0), "u", "")</f>
        <v/>
      </c>
      <c r="BX33" s="80" t="str">
        <f>IF(AND($F33&lt;&gt;"", $F33&gt;=BX$5-4, $F33&lt;=BX$5, COUNTIF($M33:BW33,"u")=0), "u", "")</f>
        <v/>
      </c>
      <c r="BY33" s="80" t="str">
        <f>IF(AND($F33&lt;&gt;"", $F33&gt;=BY$5-4, $F33&lt;=BY$5, COUNTIF($M33:BX33,"u")=0), "u", "")</f>
        <v/>
      </c>
      <c r="BZ33" s="80" t="str">
        <f>IF(AND($F33&lt;&gt;"", $F33&gt;=BZ$5-4, $F33&lt;=BZ$5, COUNTIF($M33:BY33,"u")=0), "u", "")</f>
        <v/>
      </c>
      <c r="CA33" s="80" t="str">
        <f>IF(AND($F33&lt;&gt;"", $F33&gt;=CA$5-4, $F33&lt;=CA$5, COUNTIF($M33:BZ33,"u")=0), "u", "")</f>
        <v/>
      </c>
      <c r="CB33" s="80" t="str">
        <f>IF(AND($F33&lt;&gt;"", $F33&gt;=CB$5-4, $F33&lt;=CB$5, COUNTIF($M33:CA33,"u")=0), "u", "")</f>
        <v/>
      </c>
      <c r="CC33" s="80" t="str">
        <f>IF(AND($F33&lt;&gt;"", $F33&gt;=CC$5-4, $F33&lt;=CC$5, COUNTIF($M33:CB33,"u")=0), "u", "")</f>
        <v/>
      </c>
      <c r="CD33" s="80" t="str">
        <f>IF(AND($F33&lt;&gt;"", $F33&gt;=CD$5-4, $F33&lt;=CD$5, COUNTIF($M33:CC33,"u")=0), "u", "")</f>
        <v/>
      </c>
      <c r="CE33" s="80" t="str">
        <f>IF(AND($F33&lt;&gt;"", $F33&gt;=CE$5-4, $F33&lt;=CE$5, COUNTIF($M33:CD33,"u")=0), "u", "")</f>
        <v/>
      </c>
      <c r="CF33" s="80" t="str">
        <f>IF(AND($F33&lt;&gt;"", $F33&gt;=CF$5-4, $F33&lt;=CF$5, COUNTIF($M33:CE33,"u")=0), "u", "")</f>
        <v/>
      </c>
      <c r="CG33" s="80" t="str">
        <f>IF(AND($F33&lt;&gt;"", $F33&gt;=CG$5-4, $F33&lt;=CG$5, COUNTIF($M33:CF33,"u")=0), "u", "")</f>
        <v/>
      </c>
      <c r="CH33" s="80" t="str">
        <f>IF(AND($F33&lt;&gt;"", $F33&gt;=CH$5-4, $F33&lt;=CH$5, COUNTIF($M33:CG33,"u")=0), "u", "")</f>
        <v/>
      </c>
      <c r="CI33" s="80" t="str">
        <f>IF(AND($F33&lt;&gt;"", $F33&gt;=CI$5-4, $F33&lt;=CI$5, COUNTIF($M33:CH33,"u")=0), "u", "")</f>
        <v/>
      </c>
      <c r="CJ33" s="80" t="str">
        <f>IF(AND($F33&lt;&gt;"", $F33&gt;=CJ$5-4, $F33&lt;=CJ$5, COUNTIF($M33:CI33,"u")=0), "u", "")</f>
        <v/>
      </c>
      <c r="CK33" s="80" t="str">
        <f>IF(AND($F33&lt;&gt;"", $F33&gt;=CK$5-4, $F33&lt;=CK$5, COUNTIF($M33:CJ33,"u")=0), "u", "")</f>
        <v/>
      </c>
      <c r="CL33" s="80" t="str">
        <f>IF(AND($F33&lt;&gt;"", $F33&gt;=CL$5-4, $F33&lt;=CL$5, COUNTIF($M33:CK33,"u")=0), "u", "")</f>
        <v/>
      </c>
      <c r="CM33" s="80" t="str">
        <f>IF(AND($F33&lt;&gt;"", $F33&gt;=CM$5-4, $F33&lt;=CM$5, COUNTIF($M33:CL33,"u")=0), "u", "")</f>
        <v/>
      </c>
      <c r="CN33" s="80" t="str">
        <f>IF(AND($F33&lt;&gt;"", $F33&gt;=CN$5-4, $F33&lt;=CN$5, COUNTIF($M33:CM33,"u")=0), "u", "")</f>
        <v/>
      </c>
      <c r="CO33" s="80" t="str">
        <f>IF(AND($F33&lt;&gt;"", $F33&gt;=CO$5-4, $F33&lt;=CO$5, COUNTIF($M33:CN33,"u")=0), "u", "")</f>
        <v/>
      </c>
      <c r="CP33" s="80" t="str">
        <f>IF(AND($F33&lt;&gt;"", $F33&gt;=CP$5-4, $F33&lt;=CP$5, COUNTIF($M33:CO33,"u")=0), "u", "")</f>
        <v/>
      </c>
      <c r="CQ33" s="80" t="str">
        <f>IF(AND($F33&lt;&gt;"", $F33&gt;=CQ$5-4, $F33&lt;=CQ$5, COUNTIF($M33:CP33,"u")=0), "u", "")</f>
        <v/>
      </c>
      <c r="CR33" s="80" t="str">
        <f>IF(AND($F33&lt;&gt;"", $F33&gt;=CR$5-4, $F33&lt;=CR$5, COUNTIF($M33:CQ33,"u")=0), "u", "")</f>
        <v/>
      </c>
      <c r="CS33" s="80" t="str">
        <f>IF(AND($F33&lt;&gt;"", $F33&gt;=CS$5-4, $F33&lt;=CS$5, COUNTIF($M33:CR33,"u")=0), "u", "")</f>
        <v/>
      </c>
      <c r="CT33" s="80" t="str">
        <f>IF(AND($F33&lt;&gt;"", $F33&gt;=CT$5-4, $F33&lt;=CT$5, COUNTIF($M33:CS33,"u")=0), "u", "")</f>
        <v/>
      </c>
      <c r="CU33" s="80" t="str">
        <f>IF(AND($F33&lt;&gt;"", $F33&gt;=CU$5-4, $F33&lt;=CU$5, COUNTIF($M33:CT33,"u")=0), "u", "")</f>
        <v/>
      </c>
      <c r="CV33" s="80" t="str">
        <f>IF(AND($F33&lt;&gt;"", $F33&gt;=CV$5-4, $F33&lt;=CV$5, COUNTIF($M33:CU33,"u")=0), "u", "")</f>
        <v/>
      </c>
      <c r="CW33" s="80" t="str">
        <f>IF(AND($F33&lt;&gt;"", $F33&gt;=CW$5-4, $F33&lt;=CW$5, COUNTIF($M33:CV33,"u")=0), "u", "")</f>
        <v/>
      </c>
      <c r="CX33" s="80" t="str">
        <f>IF(AND($F33&lt;&gt;"", $F33&gt;=CX$5-4, $F33&lt;=CX$5, COUNTIF($M33:CW33,"u")=0), "u", "")</f>
        <v/>
      </c>
      <c r="CY33" s="80" t="str">
        <f>IF(AND($F33&lt;&gt;"", $F33&gt;=CY$5-4, $F33&lt;=CY$5, COUNTIF($M33:CX33,"u")=0), "u", "")</f>
        <v/>
      </c>
      <c r="CZ33" s="80" t="str">
        <f>IF(AND($F33&lt;&gt;"", $F33&gt;=CZ$5-4, $F33&lt;=CZ$5, COUNTIF($M33:CY33,"u")=0), "u", "")</f>
        <v/>
      </c>
      <c r="DA33" s="80" t="str">
        <f>IF(AND($F33&lt;&gt;"", $F33&gt;=DA$5-4, $F33&lt;=DA$5, COUNTIF($M33:CZ33,"u")=0), "u", "")</f>
        <v/>
      </c>
      <c r="DB33" s="80" t="str">
        <f>IF(AND($F33&lt;&gt;"", $F33&gt;=DB$5-4, $F33&lt;=DB$5, COUNTIF($M33:DA33,"u")=0), "u", "")</f>
        <v/>
      </c>
      <c r="DC33" s="80" t="str">
        <f>IF(AND($F33&lt;&gt;"", $F33&gt;=DC$5-4, $F33&lt;=DC$5, COUNTIF($M33:DB33,"u")=0), "u", "")</f>
        <v/>
      </c>
      <c r="DD33" s="80" t="str">
        <f>IF(AND($F33&lt;&gt;"", $F33&gt;=DD$5-4, $F33&lt;=DD$5, COUNTIF($M33:DC33,"u")=0), "u", "")</f>
        <v/>
      </c>
      <c r="DE33" s="80" t="str">
        <f>IF(AND($F33&lt;&gt;"", $F33&gt;=DE$5-4, $F33&lt;=DE$5, COUNTIF($M33:DD33,"u")=0), "u", "")</f>
        <v/>
      </c>
      <c r="DF33" s="80" t="str">
        <f>IF(AND($F33&lt;&gt;"", $F33&gt;=DF$5-4, $F33&lt;=DF$5, COUNTIF($M33:DE33,"u")=0), "u", "")</f>
        <v/>
      </c>
      <c r="DG33" s="80" t="str">
        <f>IF(AND($F33&lt;&gt;"", $F33&gt;=DG$5-4, $F33&lt;=DG$5, COUNTIF($M33:DF33,"u")=0), "u", "")</f>
        <v/>
      </c>
      <c r="DH33" s="80" t="str">
        <f>IF(AND($F33&lt;&gt;"", $F33&gt;=DH$5-4, $F33&lt;=DH$5, COUNTIF($M33:DG33,"u")=0), "u", "")</f>
        <v/>
      </c>
      <c r="DI33" s="80" t="str">
        <f>IF(AND($F33&lt;&gt;"", $F33&gt;=DI$5-4, $F33&lt;=DI$5, COUNTIF($M33:DH33,"u")=0), "u", "")</f>
        <v/>
      </c>
      <c r="DJ33" s="80" t="str">
        <f>IF(AND($F33&lt;&gt;"", $F33&gt;=DJ$5-4, $F33&lt;=DJ$5, COUNTIF($M33:DI33,"u")=0), "u", "")</f>
        <v/>
      </c>
      <c r="DK33" s="80" t="str">
        <f>IF(AND($F33&lt;&gt;"", $F33&gt;=DK$5-4, $F33&lt;=DK$5, COUNTIF($M33:DJ33,"u")=0), "u", "")</f>
        <v/>
      </c>
      <c r="DL33" s="80" t="str">
        <f>IF(AND($F33&lt;&gt;"", $F33&gt;=DL$5-4, $F33&lt;=DL$5, COUNTIF($M33:DK33,"u")=0), "u", "")</f>
        <v/>
      </c>
    </row>
    <row r="34" spans="1:116" ht="25.05" customHeight="1" x14ac:dyDescent="0.3">
      <c r="A34" s="39"/>
      <c r="B34" s="75">
        <v>29</v>
      </c>
      <c r="C34" s="97"/>
      <c r="D34" s="92"/>
      <c r="E34" s="53"/>
      <c r="F34" s="53"/>
      <c r="G34" s="83" t="str">
        <f t="shared" si="47"/>
        <v/>
      </c>
      <c r="H34" s="83" t="str">
        <f t="shared" si="47"/>
        <v/>
      </c>
      <c r="I34" s="77" t="str">
        <f t="shared" si="45"/>
        <v/>
      </c>
      <c r="J34" s="78"/>
      <c r="K34" s="86"/>
      <c r="L34" s="56"/>
      <c r="M34" s="80" t="str">
        <f t="shared" si="46"/>
        <v/>
      </c>
      <c r="N34" s="80" t="str">
        <f>IF(AND($F34&lt;&gt;"", $F34&gt;=N$5-4, $F34&lt;=N$5, COUNTIF($M34:M34,"u")=0), "u", "")</f>
        <v/>
      </c>
      <c r="O34" s="80" t="str">
        <f>IF(AND($F34&lt;&gt;"", $F34&gt;=O$5-4, $F34&lt;=O$5, COUNTIF($M34:N34,"u")=0), "u", "")</f>
        <v/>
      </c>
      <c r="P34" s="80" t="str">
        <f>IF(AND($F34&lt;&gt;"", $F34&gt;=P$5-4, $F34&lt;=P$5, COUNTIF($M34:O34,"u")=0), "u", "")</f>
        <v/>
      </c>
      <c r="Q34" s="80" t="str">
        <f>IF(AND($F34&lt;&gt;"", $F34&gt;=Q$5-4, $F34&lt;=Q$5, COUNTIF($M34:P34,"u")=0), "u", "")</f>
        <v/>
      </c>
      <c r="R34" s="80" t="str">
        <f>IF(AND($F34&lt;&gt;"", $F34&gt;=R$5-4, $F34&lt;=R$5, COUNTIF($M34:Q34,"u")=0), "u", "")</f>
        <v/>
      </c>
      <c r="S34" s="80" t="str">
        <f>IF(AND($F34&lt;&gt;"", $F34&gt;=S$5-4, $F34&lt;=S$5, COUNTIF($M34:R34,"u")=0), "u", "")</f>
        <v/>
      </c>
      <c r="T34" s="80" t="str">
        <f>IF(AND($F34&lt;&gt;"", $F34&gt;=T$5-4, $F34&lt;=T$5, COUNTIF($M34:S34,"u")=0), "u", "")</f>
        <v/>
      </c>
      <c r="U34" s="80" t="str">
        <f>IF(AND($F34&lt;&gt;"", $F34&gt;=U$5-4, $F34&lt;=U$5, COUNTIF($M34:T34,"u")=0), "u", "")</f>
        <v/>
      </c>
      <c r="V34" s="80" t="str">
        <f>IF(AND($F34&lt;&gt;"", $F34&gt;=V$5-4, $F34&lt;=V$5, COUNTIF($M34:U34,"u")=0), "u", "")</f>
        <v/>
      </c>
      <c r="W34" s="80" t="str">
        <f>IF(AND($F34&lt;&gt;"", $F34&gt;=W$5-4, $F34&lt;=W$5, COUNTIF($M34:V34,"u")=0), "u", "")</f>
        <v/>
      </c>
      <c r="X34" s="80" t="str">
        <f>IF(AND($F34&lt;&gt;"", $F34&gt;=X$5-4, $F34&lt;=X$5, COUNTIF($M34:W34,"u")=0), "u", "")</f>
        <v/>
      </c>
      <c r="Y34" s="80" t="str">
        <f>IF(AND($F34&lt;&gt;"", $F34&gt;=Y$5-4, $F34&lt;=Y$5, COUNTIF($M34:X34,"u")=0), "u", "")</f>
        <v/>
      </c>
      <c r="Z34" s="80" t="str">
        <f>IF(AND($F34&lt;&gt;"", $F34&gt;=Z$5-4, $F34&lt;=Z$5, COUNTIF($M34:Y34,"u")=0), "u", "")</f>
        <v/>
      </c>
      <c r="AA34" s="80" t="str">
        <f>IF(AND($F34&lt;&gt;"", $F34&gt;=AA$5-4, $F34&lt;=AA$5, COUNTIF($M34:Z34,"u")=0), "u", "")</f>
        <v/>
      </c>
      <c r="AB34" s="80" t="str">
        <f>IF(AND($F34&lt;&gt;"", $F34&gt;=AB$5-4, $F34&lt;=AB$5, COUNTIF($M34:AA34,"u")=0), "u", "")</f>
        <v/>
      </c>
      <c r="AC34" s="80" t="str">
        <f>IF(AND($F34&lt;&gt;"", $F34&gt;=AC$5-4, $F34&lt;=AC$5, COUNTIF($M34:AB34,"u")=0), "u", "")</f>
        <v/>
      </c>
      <c r="AD34" s="80" t="str">
        <f>IF(AND($F34&lt;&gt;"", $F34&gt;=AD$5-4, $F34&lt;=AD$5, COUNTIF($M34:AC34,"u")=0), "u", "")</f>
        <v/>
      </c>
      <c r="AE34" s="80" t="str">
        <f>IF(AND($F34&lt;&gt;"", $F34&gt;=AE$5-4, $F34&lt;=AE$5, COUNTIF($M34:AD34,"u")=0), "u", "")</f>
        <v/>
      </c>
      <c r="AF34" s="80" t="str">
        <f>IF(AND($F34&lt;&gt;"", $F34&gt;=AF$5-4, $F34&lt;=AF$5, COUNTIF($M34:AE34,"u")=0), "u", "")</f>
        <v/>
      </c>
      <c r="AG34" s="80" t="str">
        <f>IF(AND($F34&lt;&gt;"", $F34&gt;=AG$5-4, $F34&lt;=AG$5, COUNTIF($M34:AF34,"u")=0), "u", "")</f>
        <v/>
      </c>
      <c r="AH34" s="80" t="str">
        <f>IF(AND($F34&lt;&gt;"", $F34&gt;=AH$5-4, $F34&lt;=AH$5, COUNTIF($M34:AG34,"u")=0), "u", "")</f>
        <v/>
      </c>
      <c r="AI34" s="80" t="str">
        <f>IF(AND($F34&lt;&gt;"", $F34&gt;=AI$5-4, $F34&lt;=AI$5, COUNTIF($M34:AH34,"u")=0), "u", "")</f>
        <v/>
      </c>
      <c r="AJ34" s="80" t="str">
        <f>IF(AND($F34&lt;&gt;"", $F34&gt;=AJ$5-4, $F34&lt;=AJ$5, COUNTIF($M34:AI34,"u")=0), "u", "")</f>
        <v/>
      </c>
      <c r="AK34" s="80" t="str">
        <f>IF(AND($F34&lt;&gt;"", $F34&gt;=AK$5-4, $F34&lt;=AK$5, COUNTIF($M34:AJ34,"u")=0), "u", "")</f>
        <v/>
      </c>
      <c r="AL34" s="80" t="str">
        <f>IF(AND($F34&lt;&gt;"", $F34&gt;=AL$5-4, $F34&lt;=AL$5, COUNTIF($M34:AK34,"u")=0), "u", "")</f>
        <v/>
      </c>
      <c r="AM34" s="80" t="str">
        <f>IF(AND($F34&lt;&gt;"", $F34&gt;=AM$5-4, $F34&lt;=AM$5, COUNTIF($M34:AL34,"u")=0), "u", "")</f>
        <v/>
      </c>
      <c r="AN34" s="80" t="str">
        <f>IF(AND($F34&lt;&gt;"", $F34&gt;=AN$5-4, $F34&lt;=AN$5, COUNTIF($M34:AM34,"u")=0), "u", "")</f>
        <v/>
      </c>
      <c r="AO34" s="80" t="str">
        <f>IF(AND($F34&lt;&gt;"", $F34&gt;=AO$5-4, $F34&lt;=AO$5, COUNTIF($M34:AN34,"u")=0), "u", "")</f>
        <v/>
      </c>
      <c r="AP34" s="80" t="str">
        <f>IF(AND($F34&lt;&gt;"", $F34&gt;=AP$5-4, $F34&lt;=AP$5, COUNTIF($M34:AO34,"u")=0), "u", "")</f>
        <v/>
      </c>
      <c r="AQ34" s="80" t="str">
        <f>IF(AND($F34&lt;&gt;"", $F34&gt;=AQ$5-4, $F34&lt;=AQ$5, COUNTIF($M34:AP34,"u")=0), "u", "")</f>
        <v/>
      </c>
      <c r="AR34" s="80" t="str">
        <f>IF(AND($F34&lt;&gt;"", $F34&gt;=AR$5-4, $F34&lt;=AR$5, COUNTIF($M34:AQ34,"u")=0), "u", "")</f>
        <v/>
      </c>
      <c r="AS34" s="80" t="str">
        <f>IF(AND($F34&lt;&gt;"", $F34&gt;=AS$5-4, $F34&lt;=AS$5, COUNTIF($M34:AR34,"u")=0), "u", "")</f>
        <v/>
      </c>
      <c r="AT34" s="80" t="str">
        <f>IF(AND($F34&lt;&gt;"", $F34&gt;=AT$5-4, $F34&lt;=AT$5, COUNTIF($M34:AS34,"u")=0), "u", "")</f>
        <v/>
      </c>
      <c r="AU34" s="80" t="str">
        <f>IF(AND($F34&lt;&gt;"", $F34&gt;=AU$5-4, $F34&lt;=AU$5, COUNTIF($M34:AT34,"u")=0), "u", "")</f>
        <v/>
      </c>
      <c r="AV34" s="80" t="str">
        <f>IF(AND($F34&lt;&gt;"", $F34&gt;=AV$5-4, $F34&lt;=AV$5, COUNTIF($M34:AU34,"u")=0), "u", "")</f>
        <v/>
      </c>
      <c r="AW34" s="80" t="str">
        <f>IF(AND($F34&lt;&gt;"", $F34&gt;=AW$5-4, $F34&lt;=AW$5, COUNTIF($M34:AV34,"u")=0), "u", "")</f>
        <v/>
      </c>
      <c r="AX34" s="80" t="str">
        <f>IF(AND($F34&lt;&gt;"", $F34&gt;=AX$5-4, $F34&lt;=AX$5, COUNTIF($M34:AW34,"u")=0), "u", "")</f>
        <v/>
      </c>
      <c r="AY34" s="80" t="str">
        <f>IF(AND($F34&lt;&gt;"", $F34&gt;=AY$5-4, $F34&lt;=AY$5, COUNTIF($M34:AX34,"u")=0), "u", "")</f>
        <v/>
      </c>
      <c r="AZ34" s="80" t="str">
        <f>IF(AND($F34&lt;&gt;"", $F34&gt;=AZ$5-4, $F34&lt;=AZ$5, COUNTIF($M34:AY34,"u")=0), "u", "")</f>
        <v/>
      </c>
      <c r="BA34" s="80" t="str">
        <f>IF(AND($F34&lt;&gt;"", $F34&gt;=BA$5-4, $F34&lt;=BA$5, COUNTIF($M34:AZ34,"u")=0), "u", "")</f>
        <v/>
      </c>
      <c r="BB34" s="80" t="str">
        <f>IF(AND($F34&lt;&gt;"", $F34&gt;=BB$5-4, $F34&lt;=BB$5, COUNTIF($M34:BA34,"u")=0), "u", "")</f>
        <v/>
      </c>
      <c r="BC34" s="80" t="str">
        <f>IF(AND($F34&lt;&gt;"", $F34&gt;=BC$5-4, $F34&lt;=BC$5, COUNTIF($M34:BB34,"u")=0), "u", "")</f>
        <v/>
      </c>
      <c r="BD34" s="80" t="str">
        <f>IF(AND($F34&lt;&gt;"", $F34&gt;=BD$5-4, $F34&lt;=BD$5, COUNTIF($M34:BC34,"u")=0), "u", "")</f>
        <v/>
      </c>
      <c r="BE34" s="80" t="str">
        <f>IF(AND($F34&lt;&gt;"", $F34&gt;=BE$5-4, $F34&lt;=BE$5, COUNTIF($M34:BD34,"u")=0), "u", "")</f>
        <v/>
      </c>
      <c r="BF34" s="80" t="str">
        <f>IF(AND($F34&lt;&gt;"", $F34&gt;=BF$5-4, $F34&lt;=BF$5, COUNTIF($M34:BE34,"u")=0), "u", "")</f>
        <v/>
      </c>
      <c r="BG34" s="80" t="str">
        <f>IF(AND($F34&lt;&gt;"", $F34&gt;=BG$5-4, $F34&lt;=BG$5, COUNTIF($M34:BF34,"u")=0), "u", "")</f>
        <v/>
      </c>
      <c r="BH34" s="80" t="str">
        <f>IF(AND($F34&lt;&gt;"", $F34&gt;=BH$5-4, $F34&lt;=BH$5, COUNTIF($M34:BG34,"u")=0), "u", "")</f>
        <v/>
      </c>
      <c r="BI34" s="80" t="str">
        <f>IF(AND($F34&lt;&gt;"", $F34&gt;=BI$5-4, $F34&lt;=BI$5, COUNTIF($M34:BH34,"u")=0), "u", "")</f>
        <v/>
      </c>
      <c r="BJ34" s="80" t="str">
        <f>IF(AND($F34&lt;&gt;"", $F34&gt;=BJ$5-4, $F34&lt;=BJ$5, COUNTIF($M34:BI34,"u")=0), "u", "")</f>
        <v/>
      </c>
      <c r="BK34" s="80" t="str">
        <f>IF(AND($F34&lt;&gt;"", $F34&gt;=BK$5-4, $F34&lt;=BK$5, COUNTIF($M34:BJ34,"u")=0), "u", "")</f>
        <v/>
      </c>
      <c r="BL34" s="80" t="str">
        <f>IF(AND($F34&lt;&gt;"", $F34&gt;=BL$5-4, $F34&lt;=BL$5, COUNTIF($M34:BK34,"u")=0), "u", "")</f>
        <v/>
      </c>
      <c r="BM34" s="80" t="str">
        <f>IF(AND($F34&lt;&gt;"", $F34&gt;=BM$5-4, $F34&lt;=BM$5, COUNTIF($M34:BL34,"u")=0), "u", "")</f>
        <v/>
      </c>
      <c r="BN34" s="80" t="str">
        <f>IF(AND($F34&lt;&gt;"", $F34&gt;=BN$5-4, $F34&lt;=BN$5, COUNTIF($M34:BM34,"u")=0), "u", "")</f>
        <v/>
      </c>
      <c r="BO34" s="80" t="str">
        <f>IF(AND($F34&lt;&gt;"", $F34&gt;=BO$5-4, $F34&lt;=BO$5, COUNTIF($M34:BN34,"u")=0), "u", "")</f>
        <v/>
      </c>
      <c r="BP34" s="80" t="str">
        <f>IF(AND($F34&lt;&gt;"", $F34&gt;=BP$5-4, $F34&lt;=BP$5, COUNTIF($M34:BO34,"u")=0), "u", "")</f>
        <v/>
      </c>
      <c r="BQ34" s="80" t="str">
        <f>IF(AND($F34&lt;&gt;"", $F34&gt;=BQ$5-4, $F34&lt;=BQ$5, COUNTIF($M34:BP34,"u")=0), "u", "")</f>
        <v/>
      </c>
      <c r="BR34" s="80" t="str">
        <f>IF(AND($F34&lt;&gt;"", $F34&gt;=BR$5-4, $F34&lt;=BR$5, COUNTIF($M34:BQ34,"u")=0), "u", "")</f>
        <v/>
      </c>
      <c r="BS34" s="80" t="str">
        <f>IF(AND($F34&lt;&gt;"", $F34&gt;=BS$5-4, $F34&lt;=BS$5, COUNTIF($M34:BR34,"u")=0), "u", "")</f>
        <v/>
      </c>
      <c r="BT34" s="80" t="str">
        <f>IF(AND($F34&lt;&gt;"", $F34&gt;=BT$5-4, $F34&lt;=BT$5, COUNTIF($M34:BS34,"u")=0), "u", "")</f>
        <v/>
      </c>
      <c r="BU34" s="80" t="str">
        <f>IF(AND($F34&lt;&gt;"", $F34&gt;=BU$5-4, $F34&lt;=BU$5, COUNTIF($M34:BT34,"u")=0), "u", "")</f>
        <v/>
      </c>
      <c r="BV34" s="80" t="str">
        <f>IF(AND($F34&lt;&gt;"", $F34&gt;=BV$5-4, $F34&lt;=BV$5, COUNTIF($M34:BU34,"u")=0), "u", "")</f>
        <v/>
      </c>
      <c r="BW34" s="80" t="str">
        <f>IF(AND($F34&lt;&gt;"", $F34&gt;=BW$5-4, $F34&lt;=BW$5, COUNTIF($M34:BV34,"u")=0), "u", "")</f>
        <v/>
      </c>
      <c r="BX34" s="80" t="str">
        <f>IF(AND($F34&lt;&gt;"", $F34&gt;=BX$5-4, $F34&lt;=BX$5, COUNTIF($M34:BW34,"u")=0), "u", "")</f>
        <v/>
      </c>
      <c r="BY34" s="80" t="str">
        <f>IF(AND($F34&lt;&gt;"", $F34&gt;=BY$5-4, $F34&lt;=BY$5, COUNTIF($M34:BX34,"u")=0), "u", "")</f>
        <v/>
      </c>
      <c r="BZ34" s="80" t="str">
        <f>IF(AND($F34&lt;&gt;"", $F34&gt;=BZ$5-4, $F34&lt;=BZ$5, COUNTIF($M34:BY34,"u")=0), "u", "")</f>
        <v/>
      </c>
      <c r="CA34" s="80" t="str">
        <f>IF(AND($F34&lt;&gt;"", $F34&gt;=CA$5-4, $F34&lt;=CA$5, COUNTIF($M34:BZ34,"u")=0), "u", "")</f>
        <v/>
      </c>
      <c r="CB34" s="80" t="str">
        <f>IF(AND($F34&lt;&gt;"", $F34&gt;=CB$5-4, $F34&lt;=CB$5, COUNTIF($M34:CA34,"u")=0), "u", "")</f>
        <v/>
      </c>
      <c r="CC34" s="80" t="str">
        <f>IF(AND($F34&lt;&gt;"", $F34&gt;=CC$5-4, $F34&lt;=CC$5, COUNTIF($M34:CB34,"u")=0), "u", "")</f>
        <v/>
      </c>
      <c r="CD34" s="80" t="str">
        <f>IF(AND($F34&lt;&gt;"", $F34&gt;=CD$5-4, $F34&lt;=CD$5, COUNTIF($M34:CC34,"u")=0), "u", "")</f>
        <v/>
      </c>
      <c r="CE34" s="80" t="str">
        <f>IF(AND($F34&lt;&gt;"", $F34&gt;=CE$5-4, $F34&lt;=CE$5, COUNTIF($M34:CD34,"u")=0), "u", "")</f>
        <v/>
      </c>
      <c r="CF34" s="80" t="str">
        <f>IF(AND($F34&lt;&gt;"", $F34&gt;=CF$5-4, $F34&lt;=CF$5, COUNTIF($M34:CE34,"u")=0), "u", "")</f>
        <v/>
      </c>
      <c r="CG34" s="80" t="str">
        <f>IF(AND($F34&lt;&gt;"", $F34&gt;=CG$5-4, $F34&lt;=CG$5, COUNTIF($M34:CF34,"u")=0), "u", "")</f>
        <v/>
      </c>
      <c r="CH34" s="80" t="str">
        <f>IF(AND($F34&lt;&gt;"", $F34&gt;=CH$5-4, $F34&lt;=CH$5, COUNTIF($M34:CG34,"u")=0), "u", "")</f>
        <v/>
      </c>
      <c r="CI34" s="80" t="str">
        <f>IF(AND($F34&lt;&gt;"", $F34&gt;=CI$5-4, $F34&lt;=CI$5, COUNTIF($M34:CH34,"u")=0), "u", "")</f>
        <v/>
      </c>
      <c r="CJ34" s="80" t="str">
        <f>IF(AND($F34&lt;&gt;"", $F34&gt;=CJ$5-4, $F34&lt;=CJ$5, COUNTIF($M34:CI34,"u")=0), "u", "")</f>
        <v/>
      </c>
      <c r="CK34" s="80" t="str">
        <f>IF(AND($F34&lt;&gt;"", $F34&gt;=CK$5-4, $F34&lt;=CK$5, COUNTIF($M34:CJ34,"u")=0), "u", "")</f>
        <v/>
      </c>
      <c r="CL34" s="80" t="str">
        <f>IF(AND($F34&lt;&gt;"", $F34&gt;=CL$5-4, $F34&lt;=CL$5, COUNTIF($M34:CK34,"u")=0), "u", "")</f>
        <v/>
      </c>
      <c r="CM34" s="80" t="str">
        <f>IF(AND($F34&lt;&gt;"", $F34&gt;=CM$5-4, $F34&lt;=CM$5, COUNTIF($M34:CL34,"u")=0), "u", "")</f>
        <v/>
      </c>
      <c r="CN34" s="80" t="str">
        <f>IF(AND($F34&lt;&gt;"", $F34&gt;=CN$5-4, $F34&lt;=CN$5, COUNTIF($M34:CM34,"u")=0), "u", "")</f>
        <v/>
      </c>
      <c r="CO34" s="80" t="str">
        <f>IF(AND($F34&lt;&gt;"", $F34&gt;=CO$5-4, $F34&lt;=CO$5, COUNTIF($M34:CN34,"u")=0), "u", "")</f>
        <v/>
      </c>
      <c r="CP34" s="80" t="str">
        <f>IF(AND($F34&lt;&gt;"", $F34&gt;=CP$5-4, $F34&lt;=CP$5, COUNTIF($M34:CO34,"u")=0), "u", "")</f>
        <v/>
      </c>
      <c r="CQ34" s="80" t="str">
        <f>IF(AND($F34&lt;&gt;"", $F34&gt;=CQ$5-4, $F34&lt;=CQ$5, COUNTIF($M34:CP34,"u")=0), "u", "")</f>
        <v/>
      </c>
      <c r="CR34" s="80" t="str">
        <f>IF(AND($F34&lt;&gt;"", $F34&gt;=CR$5-4, $F34&lt;=CR$5, COUNTIF($M34:CQ34,"u")=0), "u", "")</f>
        <v/>
      </c>
      <c r="CS34" s="80" t="str">
        <f>IF(AND($F34&lt;&gt;"", $F34&gt;=CS$5-4, $F34&lt;=CS$5, COUNTIF($M34:CR34,"u")=0), "u", "")</f>
        <v/>
      </c>
      <c r="CT34" s="80" t="str">
        <f>IF(AND($F34&lt;&gt;"", $F34&gt;=CT$5-4, $F34&lt;=CT$5, COUNTIF($M34:CS34,"u")=0), "u", "")</f>
        <v/>
      </c>
      <c r="CU34" s="80" t="str">
        <f>IF(AND($F34&lt;&gt;"", $F34&gt;=CU$5-4, $F34&lt;=CU$5, COUNTIF($M34:CT34,"u")=0), "u", "")</f>
        <v/>
      </c>
      <c r="CV34" s="80" t="str">
        <f>IF(AND($F34&lt;&gt;"", $F34&gt;=CV$5-4, $F34&lt;=CV$5, COUNTIF($M34:CU34,"u")=0), "u", "")</f>
        <v/>
      </c>
      <c r="CW34" s="80" t="str">
        <f>IF(AND($F34&lt;&gt;"", $F34&gt;=CW$5-4, $F34&lt;=CW$5, COUNTIF($M34:CV34,"u")=0), "u", "")</f>
        <v/>
      </c>
      <c r="CX34" s="80" t="str">
        <f>IF(AND($F34&lt;&gt;"", $F34&gt;=CX$5-4, $F34&lt;=CX$5, COUNTIF($M34:CW34,"u")=0), "u", "")</f>
        <v/>
      </c>
      <c r="CY34" s="80" t="str">
        <f>IF(AND($F34&lt;&gt;"", $F34&gt;=CY$5-4, $F34&lt;=CY$5, COUNTIF($M34:CX34,"u")=0), "u", "")</f>
        <v/>
      </c>
      <c r="CZ34" s="80" t="str">
        <f>IF(AND($F34&lt;&gt;"", $F34&gt;=CZ$5-4, $F34&lt;=CZ$5, COUNTIF($M34:CY34,"u")=0), "u", "")</f>
        <v/>
      </c>
      <c r="DA34" s="80" t="str">
        <f>IF(AND($F34&lt;&gt;"", $F34&gt;=DA$5-4, $F34&lt;=DA$5, COUNTIF($M34:CZ34,"u")=0), "u", "")</f>
        <v/>
      </c>
      <c r="DB34" s="80" t="str">
        <f>IF(AND($F34&lt;&gt;"", $F34&gt;=DB$5-4, $F34&lt;=DB$5, COUNTIF($M34:DA34,"u")=0), "u", "")</f>
        <v/>
      </c>
      <c r="DC34" s="80" t="str">
        <f>IF(AND($F34&lt;&gt;"", $F34&gt;=DC$5-4, $F34&lt;=DC$5, COUNTIF($M34:DB34,"u")=0), "u", "")</f>
        <v/>
      </c>
      <c r="DD34" s="80" t="str">
        <f>IF(AND($F34&lt;&gt;"", $F34&gt;=DD$5-4, $F34&lt;=DD$5, COUNTIF($M34:DC34,"u")=0), "u", "")</f>
        <v/>
      </c>
      <c r="DE34" s="80" t="str">
        <f>IF(AND($F34&lt;&gt;"", $F34&gt;=DE$5-4, $F34&lt;=DE$5, COUNTIF($M34:DD34,"u")=0), "u", "")</f>
        <v/>
      </c>
      <c r="DF34" s="80" t="str">
        <f>IF(AND($F34&lt;&gt;"", $F34&gt;=DF$5-4, $F34&lt;=DF$5, COUNTIF($M34:DE34,"u")=0), "u", "")</f>
        <v/>
      </c>
      <c r="DG34" s="80" t="str">
        <f>IF(AND($F34&lt;&gt;"", $F34&gt;=DG$5-4, $F34&lt;=DG$5, COUNTIF($M34:DF34,"u")=0), "u", "")</f>
        <v/>
      </c>
      <c r="DH34" s="80" t="str">
        <f>IF(AND($F34&lt;&gt;"", $F34&gt;=DH$5-4, $F34&lt;=DH$5, COUNTIF($M34:DG34,"u")=0), "u", "")</f>
        <v/>
      </c>
      <c r="DI34" s="80" t="str">
        <f>IF(AND($F34&lt;&gt;"", $F34&gt;=DI$5-4, $F34&lt;=DI$5, COUNTIF($M34:DH34,"u")=0), "u", "")</f>
        <v/>
      </c>
      <c r="DJ34" s="80" t="str">
        <f>IF(AND($F34&lt;&gt;"", $F34&gt;=DJ$5-4, $F34&lt;=DJ$5, COUNTIF($M34:DI34,"u")=0), "u", "")</f>
        <v/>
      </c>
      <c r="DK34" s="80" t="str">
        <f>IF(AND($F34&lt;&gt;"", $F34&gt;=DK$5-4, $F34&lt;=DK$5, COUNTIF($M34:DJ34,"u")=0), "u", "")</f>
        <v/>
      </c>
      <c r="DL34" s="80" t="str">
        <f>IF(AND($F34&lt;&gt;"", $F34&gt;=DL$5-4, $F34&lt;=DL$5, COUNTIF($M34:DK34,"u")=0), "u", "")</f>
        <v/>
      </c>
    </row>
    <row r="35" spans="1:116" ht="25.05" customHeight="1" x14ac:dyDescent="0.3">
      <c r="A35" s="39"/>
      <c r="B35" s="75">
        <v>30</v>
      </c>
      <c r="C35" s="97"/>
      <c r="D35" s="92"/>
      <c r="E35" s="53"/>
      <c r="F35" s="53"/>
      <c r="G35" s="83" t="str">
        <f t="shared" si="47"/>
        <v/>
      </c>
      <c r="H35" s="83" t="str">
        <f t="shared" si="47"/>
        <v/>
      </c>
      <c r="I35" s="77" t="str">
        <f t="shared" si="45"/>
        <v/>
      </c>
      <c r="J35" s="78"/>
      <c r="K35" s="86"/>
      <c r="L35" s="56"/>
      <c r="M35" s="80" t="str">
        <f t="shared" si="46"/>
        <v/>
      </c>
      <c r="N35" s="80" t="str">
        <f>IF(AND($F35&lt;&gt;"", $F35&gt;=N$5-4, $F35&lt;=N$5, COUNTIF($M35:M35,"u")=0), "u", "")</f>
        <v/>
      </c>
      <c r="O35" s="80" t="str">
        <f>IF(AND($F35&lt;&gt;"", $F35&gt;=O$5-4, $F35&lt;=O$5, COUNTIF($M35:N35,"u")=0), "u", "")</f>
        <v/>
      </c>
      <c r="P35" s="80" t="str">
        <f>IF(AND($F35&lt;&gt;"", $F35&gt;=P$5-4, $F35&lt;=P$5, COUNTIF($M35:O35,"u")=0), "u", "")</f>
        <v/>
      </c>
      <c r="Q35" s="80" t="str">
        <f>IF(AND($F35&lt;&gt;"", $F35&gt;=Q$5-4, $F35&lt;=Q$5, COUNTIF($M35:P35,"u")=0), "u", "")</f>
        <v/>
      </c>
      <c r="R35" s="80" t="str">
        <f>IF(AND($F35&lt;&gt;"", $F35&gt;=R$5-4, $F35&lt;=R$5, COUNTIF($M35:Q35,"u")=0), "u", "")</f>
        <v/>
      </c>
      <c r="S35" s="80" t="str">
        <f>IF(AND($F35&lt;&gt;"", $F35&gt;=S$5-4, $F35&lt;=S$5, COUNTIF($M35:R35,"u")=0), "u", "")</f>
        <v/>
      </c>
      <c r="T35" s="80" t="str">
        <f>IF(AND($F35&lt;&gt;"", $F35&gt;=T$5-4, $F35&lt;=T$5, COUNTIF($M35:S35,"u")=0), "u", "")</f>
        <v/>
      </c>
      <c r="U35" s="80" t="str">
        <f>IF(AND($F35&lt;&gt;"", $F35&gt;=U$5-4, $F35&lt;=U$5, COUNTIF($M35:T35,"u")=0), "u", "")</f>
        <v/>
      </c>
      <c r="V35" s="80" t="str">
        <f>IF(AND($F35&lt;&gt;"", $F35&gt;=V$5-4, $F35&lt;=V$5, COUNTIF($M35:U35,"u")=0), "u", "")</f>
        <v/>
      </c>
      <c r="W35" s="80" t="str">
        <f>IF(AND($F35&lt;&gt;"", $F35&gt;=W$5-4, $F35&lt;=W$5, COUNTIF($M35:V35,"u")=0), "u", "")</f>
        <v/>
      </c>
      <c r="X35" s="80" t="str">
        <f>IF(AND($F35&lt;&gt;"", $F35&gt;=X$5-4, $F35&lt;=X$5, COUNTIF($M35:W35,"u")=0), "u", "")</f>
        <v/>
      </c>
      <c r="Y35" s="80" t="str">
        <f>IF(AND($F35&lt;&gt;"", $F35&gt;=Y$5-4, $F35&lt;=Y$5, COUNTIF($M35:X35,"u")=0), "u", "")</f>
        <v/>
      </c>
      <c r="Z35" s="80" t="str">
        <f>IF(AND($F35&lt;&gt;"", $F35&gt;=Z$5-4, $F35&lt;=Z$5, COUNTIF($M35:Y35,"u")=0), "u", "")</f>
        <v/>
      </c>
      <c r="AA35" s="80" t="str">
        <f>IF(AND($F35&lt;&gt;"", $F35&gt;=AA$5-4, $F35&lt;=AA$5, COUNTIF($M35:Z35,"u")=0), "u", "")</f>
        <v/>
      </c>
      <c r="AB35" s="80" t="str">
        <f>IF(AND($F35&lt;&gt;"", $F35&gt;=AB$5-4, $F35&lt;=AB$5, COUNTIF($M35:AA35,"u")=0), "u", "")</f>
        <v/>
      </c>
      <c r="AC35" s="80" t="str">
        <f>IF(AND($F35&lt;&gt;"", $F35&gt;=AC$5-4, $F35&lt;=AC$5, COUNTIF($M35:AB35,"u")=0), "u", "")</f>
        <v/>
      </c>
      <c r="AD35" s="80" t="str">
        <f>IF(AND($F35&lt;&gt;"", $F35&gt;=AD$5-4, $F35&lt;=AD$5, COUNTIF($M35:AC35,"u")=0), "u", "")</f>
        <v/>
      </c>
      <c r="AE35" s="80" t="str">
        <f>IF(AND($F35&lt;&gt;"", $F35&gt;=AE$5-4, $F35&lt;=AE$5, COUNTIF($M35:AD35,"u")=0), "u", "")</f>
        <v/>
      </c>
      <c r="AF35" s="80" t="str">
        <f>IF(AND($F35&lt;&gt;"", $F35&gt;=AF$5-4, $F35&lt;=AF$5, COUNTIF($M35:AE35,"u")=0), "u", "")</f>
        <v/>
      </c>
      <c r="AG35" s="80" t="str">
        <f>IF(AND($F35&lt;&gt;"", $F35&gt;=AG$5-4, $F35&lt;=AG$5, COUNTIF($M35:AF35,"u")=0), "u", "")</f>
        <v/>
      </c>
      <c r="AH35" s="80" t="str">
        <f>IF(AND($F35&lt;&gt;"", $F35&gt;=AH$5-4, $F35&lt;=AH$5, COUNTIF($M35:AG35,"u")=0), "u", "")</f>
        <v/>
      </c>
      <c r="AI35" s="80" t="str">
        <f>IF(AND($F35&lt;&gt;"", $F35&gt;=AI$5-4, $F35&lt;=AI$5, COUNTIF($M35:AH35,"u")=0), "u", "")</f>
        <v/>
      </c>
      <c r="AJ35" s="80" t="str">
        <f>IF(AND($F35&lt;&gt;"", $F35&gt;=AJ$5-4, $F35&lt;=AJ$5, COUNTIF($M35:AI35,"u")=0), "u", "")</f>
        <v/>
      </c>
      <c r="AK35" s="80" t="str">
        <f>IF(AND($F35&lt;&gt;"", $F35&gt;=AK$5-4, $F35&lt;=AK$5, COUNTIF($M35:AJ35,"u")=0), "u", "")</f>
        <v/>
      </c>
      <c r="AL35" s="80" t="str">
        <f>IF(AND($F35&lt;&gt;"", $F35&gt;=AL$5-4, $F35&lt;=AL$5, COUNTIF($M35:AK35,"u")=0), "u", "")</f>
        <v/>
      </c>
      <c r="AM35" s="80" t="str">
        <f>IF(AND($F35&lt;&gt;"", $F35&gt;=AM$5-4, $F35&lt;=AM$5, COUNTIF($M35:AL35,"u")=0), "u", "")</f>
        <v/>
      </c>
      <c r="AN35" s="80" t="str">
        <f>IF(AND($F35&lt;&gt;"", $F35&gt;=AN$5-4, $F35&lt;=AN$5, COUNTIF($M35:AM35,"u")=0), "u", "")</f>
        <v/>
      </c>
      <c r="AO35" s="80" t="str">
        <f>IF(AND($F35&lt;&gt;"", $F35&gt;=AO$5-4, $F35&lt;=AO$5, COUNTIF($M35:AN35,"u")=0), "u", "")</f>
        <v/>
      </c>
      <c r="AP35" s="80" t="str">
        <f>IF(AND($F35&lt;&gt;"", $F35&gt;=AP$5-4, $F35&lt;=AP$5, COUNTIF($M35:AO35,"u")=0), "u", "")</f>
        <v/>
      </c>
      <c r="AQ35" s="80" t="str">
        <f>IF(AND($F35&lt;&gt;"", $F35&gt;=AQ$5-4, $F35&lt;=AQ$5, COUNTIF($M35:AP35,"u")=0), "u", "")</f>
        <v/>
      </c>
      <c r="AR35" s="80" t="str">
        <f>IF(AND($F35&lt;&gt;"", $F35&gt;=AR$5-4, $F35&lt;=AR$5, COUNTIF($M35:AQ35,"u")=0), "u", "")</f>
        <v/>
      </c>
      <c r="AS35" s="80" t="str">
        <f>IF(AND($F35&lt;&gt;"", $F35&gt;=AS$5-4, $F35&lt;=AS$5, COUNTIF($M35:AR35,"u")=0), "u", "")</f>
        <v/>
      </c>
      <c r="AT35" s="80" t="str">
        <f>IF(AND($F35&lt;&gt;"", $F35&gt;=AT$5-4, $F35&lt;=AT$5, COUNTIF($M35:AS35,"u")=0), "u", "")</f>
        <v/>
      </c>
      <c r="AU35" s="80" t="str">
        <f>IF(AND($F35&lt;&gt;"", $F35&gt;=AU$5-4, $F35&lt;=AU$5, COUNTIF($M35:AT35,"u")=0), "u", "")</f>
        <v/>
      </c>
      <c r="AV35" s="80" t="str">
        <f>IF(AND($F35&lt;&gt;"", $F35&gt;=AV$5-4, $F35&lt;=AV$5, COUNTIF($M35:AU35,"u")=0), "u", "")</f>
        <v/>
      </c>
      <c r="AW35" s="80" t="str">
        <f>IF(AND($F35&lt;&gt;"", $F35&gt;=AW$5-4, $F35&lt;=AW$5, COUNTIF($M35:AV35,"u")=0), "u", "")</f>
        <v/>
      </c>
      <c r="AX35" s="80" t="str">
        <f>IF(AND($F35&lt;&gt;"", $F35&gt;=AX$5-4, $F35&lt;=AX$5, COUNTIF($M35:AW35,"u")=0), "u", "")</f>
        <v/>
      </c>
      <c r="AY35" s="80" t="str">
        <f>IF(AND($F35&lt;&gt;"", $F35&gt;=AY$5-4, $F35&lt;=AY$5, COUNTIF($M35:AX35,"u")=0), "u", "")</f>
        <v/>
      </c>
      <c r="AZ35" s="80" t="str">
        <f>IF(AND($F35&lt;&gt;"", $F35&gt;=AZ$5-4, $F35&lt;=AZ$5, COUNTIF($M35:AY35,"u")=0), "u", "")</f>
        <v/>
      </c>
      <c r="BA35" s="80" t="str">
        <f>IF(AND($F35&lt;&gt;"", $F35&gt;=BA$5-4, $F35&lt;=BA$5, COUNTIF($M35:AZ35,"u")=0), "u", "")</f>
        <v/>
      </c>
      <c r="BB35" s="80" t="str">
        <f>IF(AND($F35&lt;&gt;"", $F35&gt;=BB$5-4, $F35&lt;=BB$5, COUNTIF($M35:BA35,"u")=0), "u", "")</f>
        <v/>
      </c>
      <c r="BC35" s="80" t="str">
        <f>IF(AND($F35&lt;&gt;"", $F35&gt;=BC$5-4, $F35&lt;=BC$5, COUNTIF($M35:BB35,"u")=0), "u", "")</f>
        <v/>
      </c>
      <c r="BD35" s="80" t="str">
        <f>IF(AND($F35&lt;&gt;"", $F35&gt;=BD$5-4, $F35&lt;=BD$5, COUNTIF($M35:BC35,"u")=0), "u", "")</f>
        <v/>
      </c>
      <c r="BE35" s="80" t="str">
        <f>IF(AND($F35&lt;&gt;"", $F35&gt;=BE$5-4, $F35&lt;=BE$5, COUNTIF($M35:BD35,"u")=0), "u", "")</f>
        <v/>
      </c>
      <c r="BF35" s="80" t="str">
        <f>IF(AND($F35&lt;&gt;"", $F35&gt;=BF$5-4, $F35&lt;=BF$5, COUNTIF($M35:BE35,"u")=0), "u", "")</f>
        <v/>
      </c>
      <c r="BG35" s="80" t="str">
        <f>IF(AND($F35&lt;&gt;"", $F35&gt;=BG$5-4, $F35&lt;=BG$5, COUNTIF($M35:BF35,"u")=0), "u", "")</f>
        <v/>
      </c>
      <c r="BH35" s="80" t="str">
        <f>IF(AND($F35&lt;&gt;"", $F35&gt;=BH$5-4, $F35&lt;=BH$5, COUNTIF($M35:BG35,"u")=0), "u", "")</f>
        <v/>
      </c>
      <c r="BI35" s="80" t="str">
        <f>IF(AND($F35&lt;&gt;"", $F35&gt;=BI$5-4, $F35&lt;=BI$5, COUNTIF($M35:BH35,"u")=0), "u", "")</f>
        <v/>
      </c>
      <c r="BJ35" s="80" t="str">
        <f>IF(AND($F35&lt;&gt;"", $F35&gt;=BJ$5-4, $F35&lt;=BJ$5, COUNTIF($M35:BI35,"u")=0), "u", "")</f>
        <v/>
      </c>
      <c r="BK35" s="80" t="str">
        <f>IF(AND($F35&lt;&gt;"", $F35&gt;=BK$5-4, $F35&lt;=BK$5, COUNTIF($M35:BJ35,"u")=0), "u", "")</f>
        <v/>
      </c>
      <c r="BL35" s="80" t="str">
        <f>IF(AND($F35&lt;&gt;"", $F35&gt;=BL$5-4, $F35&lt;=BL$5, COUNTIF($M35:BK35,"u")=0), "u", "")</f>
        <v/>
      </c>
      <c r="BM35" s="80" t="str">
        <f>IF(AND($F35&lt;&gt;"", $F35&gt;=BM$5-4, $F35&lt;=BM$5, COUNTIF($M35:BL35,"u")=0), "u", "")</f>
        <v/>
      </c>
      <c r="BN35" s="80" t="str">
        <f>IF(AND($F35&lt;&gt;"", $F35&gt;=BN$5-4, $F35&lt;=BN$5, COUNTIF($M35:BM35,"u")=0), "u", "")</f>
        <v/>
      </c>
      <c r="BO35" s="80" t="str">
        <f>IF(AND($F35&lt;&gt;"", $F35&gt;=BO$5-4, $F35&lt;=BO$5, COUNTIF($M35:BN35,"u")=0), "u", "")</f>
        <v/>
      </c>
      <c r="BP35" s="80" t="str">
        <f>IF(AND($F35&lt;&gt;"", $F35&gt;=BP$5-4, $F35&lt;=BP$5, COUNTIF($M35:BO35,"u")=0), "u", "")</f>
        <v/>
      </c>
      <c r="BQ35" s="80" t="str">
        <f>IF(AND($F35&lt;&gt;"", $F35&gt;=BQ$5-4, $F35&lt;=BQ$5, COUNTIF($M35:BP35,"u")=0), "u", "")</f>
        <v/>
      </c>
      <c r="BR35" s="80" t="str">
        <f>IF(AND($F35&lt;&gt;"", $F35&gt;=BR$5-4, $F35&lt;=BR$5, COUNTIF($M35:BQ35,"u")=0), "u", "")</f>
        <v/>
      </c>
      <c r="BS35" s="80" t="str">
        <f>IF(AND($F35&lt;&gt;"", $F35&gt;=BS$5-4, $F35&lt;=BS$5, COUNTIF($M35:BR35,"u")=0), "u", "")</f>
        <v/>
      </c>
      <c r="BT35" s="80" t="str">
        <f>IF(AND($F35&lt;&gt;"", $F35&gt;=BT$5-4, $F35&lt;=BT$5, COUNTIF($M35:BS35,"u")=0), "u", "")</f>
        <v/>
      </c>
      <c r="BU35" s="80" t="str">
        <f>IF(AND($F35&lt;&gt;"", $F35&gt;=BU$5-4, $F35&lt;=BU$5, COUNTIF($M35:BT35,"u")=0), "u", "")</f>
        <v/>
      </c>
      <c r="BV35" s="80" t="str">
        <f>IF(AND($F35&lt;&gt;"", $F35&gt;=BV$5-4, $F35&lt;=BV$5, COUNTIF($M35:BU35,"u")=0), "u", "")</f>
        <v/>
      </c>
      <c r="BW35" s="80" t="str">
        <f>IF(AND($F35&lt;&gt;"", $F35&gt;=BW$5-4, $F35&lt;=BW$5, COUNTIF($M35:BV35,"u")=0), "u", "")</f>
        <v/>
      </c>
      <c r="BX35" s="80" t="str">
        <f>IF(AND($F35&lt;&gt;"", $F35&gt;=BX$5-4, $F35&lt;=BX$5, COUNTIF($M35:BW35,"u")=0), "u", "")</f>
        <v/>
      </c>
      <c r="BY35" s="80" t="str">
        <f>IF(AND($F35&lt;&gt;"", $F35&gt;=BY$5-4, $F35&lt;=BY$5, COUNTIF($M35:BX35,"u")=0), "u", "")</f>
        <v/>
      </c>
      <c r="BZ35" s="80" t="str">
        <f>IF(AND($F35&lt;&gt;"", $F35&gt;=BZ$5-4, $F35&lt;=BZ$5, COUNTIF($M35:BY35,"u")=0), "u", "")</f>
        <v/>
      </c>
      <c r="CA35" s="80" t="str">
        <f>IF(AND($F35&lt;&gt;"", $F35&gt;=CA$5-4, $F35&lt;=CA$5, COUNTIF($M35:BZ35,"u")=0), "u", "")</f>
        <v/>
      </c>
      <c r="CB35" s="80" t="str">
        <f>IF(AND($F35&lt;&gt;"", $F35&gt;=CB$5-4, $F35&lt;=CB$5, COUNTIF($M35:CA35,"u")=0), "u", "")</f>
        <v/>
      </c>
      <c r="CC35" s="80" t="str">
        <f>IF(AND($F35&lt;&gt;"", $F35&gt;=CC$5-4, $F35&lt;=CC$5, COUNTIF($M35:CB35,"u")=0), "u", "")</f>
        <v/>
      </c>
      <c r="CD35" s="80" t="str">
        <f>IF(AND($F35&lt;&gt;"", $F35&gt;=CD$5-4, $F35&lt;=CD$5, COUNTIF($M35:CC35,"u")=0), "u", "")</f>
        <v/>
      </c>
      <c r="CE35" s="80" t="str">
        <f>IF(AND($F35&lt;&gt;"", $F35&gt;=CE$5-4, $F35&lt;=CE$5, COUNTIF($M35:CD35,"u")=0), "u", "")</f>
        <v/>
      </c>
      <c r="CF35" s="80" t="str">
        <f>IF(AND($F35&lt;&gt;"", $F35&gt;=CF$5-4, $F35&lt;=CF$5, COUNTIF($M35:CE35,"u")=0), "u", "")</f>
        <v/>
      </c>
      <c r="CG35" s="80" t="str">
        <f>IF(AND($F35&lt;&gt;"", $F35&gt;=CG$5-4, $F35&lt;=CG$5, COUNTIF($M35:CF35,"u")=0), "u", "")</f>
        <v/>
      </c>
      <c r="CH35" s="80" t="str">
        <f>IF(AND($F35&lt;&gt;"", $F35&gt;=CH$5-4, $F35&lt;=CH$5, COUNTIF($M35:CG35,"u")=0), "u", "")</f>
        <v/>
      </c>
      <c r="CI35" s="80" t="str">
        <f>IF(AND($F35&lt;&gt;"", $F35&gt;=CI$5-4, $F35&lt;=CI$5, COUNTIF($M35:CH35,"u")=0), "u", "")</f>
        <v/>
      </c>
      <c r="CJ35" s="80" t="str">
        <f>IF(AND($F35&lt;&gt;"", $F35&gt;=CJ$5-4, $F35&lt;=CJ$5, COUNTIF($M35:CI35,"u")=0), "u", "")</f>
        <v/>
      </c>
      <c r="CK35" s="80" t="str">
        <f>IF(AND($F35&lt;&gt;"", $F35&gt;=CK$5-4, $F35&lt;=CK$5, COUNTIF($M35:CJ35,"u")=0), "u", "")</f>
        <v/>
      </c>
      <c r="CL35" s="80" t="str">
        <f>IF(AND($F35&lt;&gt;"", $F35&gt;=CL$5-4, $F35&lt;=CL$5, COUNTIF($M35:CK35,"u")=0), "u", "")</f>
        <v/>
      </c>
      <c r="CM35" s="80" t="str">
        <f>IF(AND($F35&lt;&gt;"", $F35&gt;=CM$5-4, $F35&lt;=CM$5, COUNTIF($M35:CL35,"u")=0), "u", "")</f>
        <v/>
      </c>
      <c r="CN35" s="80" t="str">
        <f>IF(AND($F35&lt;&gt;"", $F35&gt;=CN$5-4, $F35&lt;=CN$5, COUNTIF($M35:CM35,"u")=0), "u", "")</f>
        <v/>
      </c>
      <c r="CO35" s="80" t="str">
        <f>IF(AND($F35&lt;&gt;"", $F35&gt;=CO$5-4, $F35&lt;=CO$5, COUNTIF($M35:CN35,"u")=0), "u", "")</f>
        <v/>
      </c>
      <c r="CP35" s="80" t="str">
        <f>IF(AND($F35&lt;&gt;"", $F35&gt;=CP$5-4, $F35&lt;=CP$5, COUNTIF($M35:CO35,"u")=0), "u", "")</f>
        <v/>
      </c>
      <c r="CQ35" s="80" t="str">
        <f>IF(AND($F35&lt;&gt;"", $F35&gt;=CQ$5-4, $F35&lt;=CQ$5, COUNTIF($M35:CP35,"u")=0), "u", "")</f>
        <v/>
      </c>
      <c r="CR35" s="80" t="str">
        <f>IF(AND($F35&lt;&gt;"", $F35&gt;=CR$5-4, $F35&lt;=CR$5, COUNTIF($M35:CQ35,"u")=0), "u", "")</f>
        <v/>
      </c>
      <c r="CS35" s="80" t="str">
        <f>IF(AND($F35&lt;&gt;"", $F35&gt;=CS$5-4, $F35&lt;=CS$5, COUNTIF($M35:CR35,"u")=0), "u", "")</f>
        <v/>
      </c>
      <c r="CT35" s="80" t="str">
        <f>IF(AND($F35&lt;&gt;"", $F35&gt;=CT$5-4, $F35&lt;=CT$5, COUNTIF($M35:CS35,"u")=0), "u", "")</f>
        <v/>
      </c>
      <c r="CU35" s="80" t="str">
        <f>IF(AND($F35&lt;&gt;"", $F35&gt;=CU$5-4, $F35&lt;=CU$5, COUNTIF($M35:CT35,"u")=0), "u", "")</f>
        <v/>
      </c>
      <c r="CV35" s="80" t="str">
        <f>IF(AND($F35&lt;&gt;"", $F35&gt;=CV$5-4, $F35&lt;=CV$5, COUNTIF($M35:CU35,"u")=0), "u", "")</f>
        <v/>
      </c>
      <c r="CW35" s="80" t="str">
        <f>IF(AND($F35&lt;&gt;"", $F35&gt;=CW$5-4, $F35&lt;=CW$5, COUNTIF($M35:CV35,"u")=0), "u", "")</f>
        <v/>
      </c>
      <c r="CX35" s="80" t="str">
        <f>IF(AND($F35&lt;&gt;"", $F35&gt;=CX$5-4, $F35&lt;=CX$5, COUNTIF($M35:CW35,"u")=0), "u", "")</f>
        <v/>
      </c>
      <c r="CY35" s="80" t="str">
        <f>IF(AND($F35&lt;&gt;"", $F35&gt;=CY$5-4, $F35&lt;=CY$5, COUNTIF($M35:CX35,"u")=0), "u", "")</f>
        <v/>
      </c>
      <c r="CZ35" s="80" t="str">
        <f>IF(AND($F35&lt;&gt;"", $F35&gt;=CZ$5-4, $F35&lt;=CZ$5, COUNTIF($M35:CY35,"u")=0), "u", "")</f>
        <v/>
      </c>
      <c r="DA35" s="80" t="str">
        <f>IF(AND($F35&lt;&gt;"", $F35&gt;=DA$5-4, $F35&lt;=DA$5, COUNTIF($M35:CZ35,"u")=0), "u", "")</f>
        <v/>
      </c>
      <c r="DB35" s="80" t="str">
        <f>IF(AND($F35&lt;&gt;"", $F35&gt;=DB$5-4, $F35&lt;=DB$5, COUNTIF($M35:DA35,"u")=0), "u", "")</f>
        <v/>
      </c>
      <c r="DC35" s="80" t="str">
        <f>IF(AND($F35&lt;&gt;"", $F35&gt;=DC$5-4, $F35&lt;=DC$5, COUNTIF($M35:DB35,"u")=0), "u", "")</f>
        <v/>
      </c>
      <c r="DD35" s="80" t="str">
        <f>IF(AND($F35&lt;&gt;"", $F35&gt;=DD$5-4, $F35&lt;=DD$5, COUNTIF($M35:DC35,"u")=0), "u", "")</f>
        <v/>
      </c>
      <c r="DE35" s="80" t="str">
        <f>IF(AND($F35&lt;&gt;"", $F35&gt;=DE$5-4, $F35&lt;=DE$5, COUNTIF($M35:DD35,"u")=0), "u", "")</f>
        <v/>
      </c>
      <c r="DF35" s="80" t="str">
        <f>IF(AND($F35&lt;&gt;"", $F35&gt;=DF$5-4, $F35&lt;=DF$5, COUNTIF($M35:DE35,"u")=0), "u", "")</f>
        <v/>
      </c>
      <c r="DG35" s="80" t="str">
        <f>IF(AND($F35&lt;&gt;"", $F35&gt;=DG$5-4, $F35&lt;=DG$5, COUNTIF($M35:DF35,"u")=0), "u", "")</f>
        <v/>
      </c>
      <c r="DH35" s="80" t="str">
        <f>IF(AND($F35&lt;&gt;"", $F35&gt;=DH$5-4, $F35&lt;=DH$5, COUNTIF($M35:DG35,"u")=0), "u", "")</f>
        <v/>
      </c>
      <c r="DI35" s="80" t="str">
        <f>IF(AND($F35&lt;&gt;"", $F35&gt;=DI$5-4, $F35&lt;=DI$5, COUNTIF($M35:DH35,"u")=0), "u", "")</f>
        <v/>
      </c>
      <c r="DJ35" s="80" t="str">
        <f>IF(AND($F35&lt;&gt;"", $F35&gt;=DJ$5-4, $F35&lt;=DJ$5, COUNTIF($M35:DI35,"u")=0), "u", "")</f>
        <v/>
      </c>
      <c r="DK35" s="80" t="str">
        <f>IF(AND($F35&lt;&gt;"", $F35&gt;=DK$5-4, $F35&lt;=DK$5, COUNTIF($M35:DJ35,"u")=0), "u", "")</f>
        <v/>
      </c>
      <c r="DL35" s="80" t="str">
        <f>IF(AND($F35&lt;&gt;"", $F35&gt;=DL$5-4, $F35&lt;=DL$5, COUNTIF($M35:DK35,"u")=0), "u", "")</f>
        <v/>
      </c>
    </row>
    <row r="36" spans="1:116" ht="25.05" customHeight="1" x14ac:dyDescent="0.3">
      <c r="A36" s="39"/>
      <c r="B36" s="75">
        <v>31</v>
      </c>
      <c r="C36" s="97"/>
      <c r="D36" s="92"/>
      <c r="E36" s="53"/>
      <c r="F36" s="53"/>
      <c r="G36" s="83" t="str">
        <f t="shared" si="47"/>
        <v/>
      </c>
      <c r="H36" s="83" t="str">
        <f t="shared" si="47"/>
        <v/>
      </c>
      <c r="I36" s="77" t="str">
        <f t="shared" si="45"/>
        <v/>
      </c>
      <c r="J36" s="78"/>
      <c r="K36" s="86"/>
      <c r="L36" s="56"/>
      <c r="M36" s="80" t="str">
        <f t="shared" si="46"/>
        <v/>
      </c>
      <c r="N36" s="80" t="str">
        <f>IF(AND($F36&lt;&gt;"", $F36&gt;=N$5-4, $F36&lt;=N$5, COUNTIF($M36:M36,"u")=0), "u", "")</f>
        <v/>
      </c>
      <c r="O36" s="80" t="str">
        <f>IF(AND($F36&lt;&gt;"", $F36&gt;=O$5-4, $F36&lt;=O$5, COUNTIF($M36:N36,"u")=0), "u", "")</f>
        <v/>
      </c>
      <c r="P36" s="80" t="str">
        <f>IF(AND($F36&lt;&gt;"", $F36&gt;=P$5-4, $F36&lt;=P$5, COUNTIF($M36:O36,"u")=0), "u", "")</f>
        <v/>
      </c>
      <c r="Q36" s="80" t="str">
        <f>IF(AND($F36&lt;&gt;"", $F36&gt;=Q$5-4, $F36&lt;=Q$5, COUNTIF($M36:P36,"u")=0), "u", "")</f>
        <v/>
      </c>
      <c r="R36" s="80" t="str">
        <f>IF(AND($F36&lt;&gt;"", $F36&gt;=R$5-4, $F36&lt;=R$5, COUNTIF($M36:Q36,"u")=0), "u", "")</f>
        <v/>
      </c>
      <c r="S36" s="80" t="str">
        <f>IF(AND($F36&lt;&gt;"", $F36&gt;=S$5-4, $F36&lt;=S$5, COUNTIF($M36:R36,"u")=0), "u", "")</f>
        <v/>
      </c>
      <c r="T36" s="80" t="str">
        <f>IF(AND($F36&lt;&gt;"", $F36&gt;=T$5-4, $F36&lt;=T$5, COUNTIF($M36:S36,"u")=0), "u", "")</f>
        <v/>
      </c>
      <c r="U36" s="80" t="str">
        <f>IF(AND($F36&lt;&gt;"", $F36&gt;=U$5-4, $F36&lt;=U$5, COUNTIF($M36:T36,"u")=0), "u", "")</f>
        <v/>
      </c>
      <c r="V36" s="80" t="str">
        <f>IF(AND($F36&lt;&gt;"", $F36&gt;=V$5-4, $F36&lt;=V$5, COUNTIF($M36:U36,"u")=0), "u", "")</f>
        <v/>
      </c>
      <c r="W36" s="80" t="str">
        <f>IF(AND($F36&lt;&gt;"", $F36&gt;=W$5-4, $F36&lt;=W$5, COUNTIF($M36:V36,"u")=0), "u", "")</f>
        <v/>
      </c>
      <c r="X36" s="80" t="str">
        <f>IF(AND($F36&lt;&gt;"", $F36&gt;=X$5-4, $F36&lt;=X$5, COUNTIF($M36:W36,"u")=0), "u", "")</f>
        <v/>
      </c>
      <c r="Y36" s="80" t="str">
        <f>IF(AND($F36&lt;&gt;"", $F36&gt;=Y$5-4, $F36&lt;=Y$5, COUNTIF($M36:X36,"u")=0), "u", "")</f>
        <v/>
      </c>
      <c r="Z36" s="80" t="str">
        <f>IF(AND($F36&lt;&gt;"", $F36&gt;=Z$5-4, $F36&lt;=Z$5, COUNTIF($M36:Y36,"u")=0), "u", "")</f>
        <v/>
      </c>
      <c r="AA36" s="80" t="str">
        <f>IF(AND($F36&lt;&gt;"", $F36&gt;=AA$5-4, $F36&lt;=AA$5, COUNTIF($M36:Z36,"u")=0), "u", "")</f>
        <v/>
      </c>
      <c r="AB36" s="80" t="str">
        <f>IF(AND($F36&lt;&gt;"", $F36&gt;=AB$5-4, $F36&lt;=AB$5, COUNTIF($M36:AA36,"u")=0), "u", "")</f>
        <v/>
      </c>
      <c r="AC36" s="80" t="str">
        <f>IF(AND($F36&lt;&gt;"", $F36&gt;=AC$5-4, $F36&lt;=AC$5, COUNTIF($M36:AB36,"u")=0), "u", "")</f>
        <v/>
      </c>
      <c r="AD36" s="80" t="str">
        <f>IF(AND($F36&lt;&gt;"", $F36&gt;=AD$5-4, $F36&lt;=AD$5, COUNTIF($M36:AC36,"u")=0), "u", "")</f>
        <v/>
      </c>
      <c r="AE36" s="80" t="str">
        <f>IF(AND($F36&lt;&gt;"", $F36&gt;=AE$5-4, $F36&lt;=AE$5, COUNTIF($M36:AD36,"u")=0), "u", "")</f>
        <v/>
      </c>
      <c r="AF36" s="80" t="str">
        <f>IF(AND($F36&lt;&gt;"", $F36&gt;=AF$5-4, $F36&lt;=AF$5, COUNTIF($M36:AE36,"u")=0), "u", "")</f>
        <v/>
      </c>
      <c r="AG36" s="80" t="str">
        <f>IF(AND($F36&lt;&gt;"", $F36&gt;=AG$5-4, $F36&lt;=AG$5, COUNTIF($M36:AF36,"u")=0), "u", "")</f>
        <v/>
      </c>
      <c r="AH36" s="80" t="str">
        <f>IF(AND($F36&lt;&gt;"", $F36&gt;=AH$5-4, $F36&lt;=AH$5, COUNTIF($M36:AG36,"u")=0), "u", "")</f>
        <v/>
      </c>
      <c r="AI36" s="80" t="str">
        <f>IF(AND($F36&lt;&gt;"", $F36&gt;=AI$5-4, $F36&lt;=AI$5, COUNTIF($M36:AH36,"u")=0), "u", "")</f>
        <v/>
      </c>
      <c r="AJ36" s="80" t="str">
        <f>IF(AND($F36&lt;&gt;"", $F36&gt;=AJ$5-4, $F36&lt;=AJ$5, COUNTIF($M36:AI36,"u")=0), "u", "")</f>
        <v/>
      </c>
      <c r="AK36" s="80" t="str">
        <f>IF(AND($F36&lt;&gt;"", $F36&gt;=AK$5-4, $F36&lt;=AK$5, COUNTIF($M36:AJ36,"u")=0), "u", "")</f>
        <v/>
      </c>
      <c r="AL36" s="80" t="str">
        <f>IF(AND($F36&lt;&gt;"", $F36&gt;=AL$5-4, $F36&lt;=AL$5, COUNTIF($M36:AK36,"u")=0), "u", "")</f>
        <v/>
      </c>
      <c r="AM36" s="80" t="str">
        <f>IF(AND($F36&lt;&gt;"", $F36&gt;=AM$5-4, $F36&lt;=AM$5, COUNTIF($M36:AL36,"u")=0), "u", "")</f>
        <v/>
      </c>
      <c r="AN36" s="80" t="str">
        <f>IF(AND($F36&lt;&gt;"", $F36&gt;=AN$5-4, $F36&lt;=AN$5, COUNTIF($M36:AM36,"u")=0), "u", "")</f>
        <v/>
      </c>
      <c r="AO36" s="80" t="str">
        <f>IF(AND($F36&lt;&gt;"", $F36&gt;=AO$5-4, $F36&lt;=AO$5, COUNTIF($M36:AN36,"u")=0), "u", "")</f>
        <v/>
      </c>
      <c r="AP36" s="80" t="str">
        <f>IF(AND($F36&lt;&gt;"", $F36&gt;=AP$5-4, $F36&lt;=AP$5, COUNTIF($M36:AO36,"u")=0), "u", "")</f>
        <v/>
      </c>
      <c r="AQ36" s="80" t="str">
        <f>IF(AND($F36&lt;&gt;"", $F36&gt;=AQ$5-4, $F36&lt;=AQ$5, COUNTIF($M36:AP36,"u")=0), "u", "")</f>
        <v/>
      </c>
      <c r="AR36" s="80" t="str">
        <f>IF(AND($F36&lt;&gt;"", $F36&gt;=AR$5-4, $F36&lt;=AR$5, COUNTIF($M36:AQ36,"u")=0), "u", "")</f>
        <v/>
      </c>
      <c r="AS36" s="80" t="str">
        <f>IF(AND($F36&lt;&gt;"", $F36&gt;=AS$5-4, $F36&lt;=AS$5, COUNTIF($M36:AR36,"u")=0), "u", "")</f>
        <v/>
      </c>
      <c r="AT36" s="80" t="str">
        <f>IF(AND($F36&lt;&gt;"", $F36&gt;=AT$5-4, $F36&lt;=AT$5, COUNTIF($M36:AS36,"u")=0), "u", "")</f>
        <v/>
      </c>
      <c r="AU36" s="80" t="str">
        <f>IF(AND($F36&lt;&gt;"", $F36&gt;=AU$5-4, $F36&lt;=AU$5, COUNTIF($M36:AT36,"u")=0), "u", "")</f>
        <v/>
      </c>
      <c r="AV36" s="80" t="str">
        <f>IF(AND($F36&lt;&gt;"", $F36&gt;=AV$5-4, $F36&lt;=AV$5, COUNTIF($M36:AU36,"u")=0), "u", "")</f>
        <v/>
      </c>
      <c r="AW36" s="80" t="str">
        <f>IF(AND($F36&lt;&gt;"", $F36&gt;=AW$5-4, $F36&lt;=AW$5, COUNTIF($M36:AV36,"u")=0), "u", "")</f>
        <v/>
      </c>
      <c r="AX36" s="80" t="str">
        <f>IF(AND($F36&lt;&gt;"", $F36&gt;=AX$5-4, $F36&lt;=AX$5, COUNTIF($M36:AW36,"u")=0), "u", "")</f>
        <v/>
      </c>
      <c r="AY36" s="80" t="str">
        <f>IF(AND($F36&lt;&gt;"", $F36&gt;=AY$5-4, $F36&lt;=AY$5, COUNTIF($M36:AX36,"u")=0), "u", "")</f>
        <v/>
      </c>
      <c r="AZ36" s="80" t="str">
        <f>IF(AND($F36&lt;&gt;"", $F36&gt;=AZ$5-4, $F36&lt;=AZ$5, COUNTIF($M36:AY36,"u")=0), "u", "")</f>
        <v/>
      </c>
      <c r="BA36" s="80" t="str">
        <f>IF(AND($F36&lt;&gt;"", $F36&gt;=BA$5-4, $F36&lt;=BA$5, COUNTIF($M36:AZ36,"u")=0), "u", "")</f>
        <v/>
      </c>
      <c r="BB36" s="80" t="str">
        <f>IF(AND($F36&lt;&gt;"", $F36&gt;=BB$5-4, $F36&lt;=BB$5, COUNTIF($M36:BA36,"u")=0), "u", "")</f>
        <v/>
      </c>
      <c r="BC36" s="80" t="str">
        <f>IF(AND($F36&lt;&gt;"", $F36&gt;=BC$5-4, $F36&lt;=BC$5, COUNTIF($M36:BB36,"u")=0), "u", "")</f>
        <v/>
      </c>
      <c r="BD36" s="80" t="str">
        <f>IF(AND($F36&lt;&gt;"", $F36&gt;=BD$5-4, $F36&lt;=BD$5, COUNTIF($M36:BC36,"u")=0), "u", "")</f>
        <v/>
      </c>
      <c r="BE36" s="80" t="str">
        <f>IF(AND($F36&lt;&gt;"", $F36&gt;=BE$5-4, $F36&lt;=BE$5, COUNTIF($M36:BD36,"u")=0), "u", "")</f>
        <v/>
      </c>
      <c r="BF36" s="80" t="str">
        <f>IF(AND($F36&lt;&gt;"", $F36&gt;=BF$5-4, $F36&lt;=BF$5, COUNTIF($M36:BE36,"u")=0), "u", "")</f>
        <v/>
      </c>
      <c r="BG36" s="80" t="str">
        <f>IF(AND($F36&lt;&gt;"", $F36&gt;=BG$5-4, $F36&lt;=BG$5, COUNTIF($M36:BF36,"u")=0), "u", "")</f>
        <v/>
      </c>
      <c r="BH36" s="80" t="str">
        <f>IF(AND($F36&lt;&gt;"", $F36&gt;=BH$5-4, $F36&lt;=BH$5, COUNTIF($M36:BG36,"u")=0), "u", "")</f>
        <v/>
      </c>
      <c r="BI36" s="80" t="str">
        <f>IF(AND($F36&lt;&gt;"", $F36&gt;=BI$5-4, $F36&lt;=BI$5, COUNTIF($M36:BH36,"u")=0), "u", "")</f>
        <v/>
      </c>
      <c r="BJ36" s="80" t="str">
        <f>IF(AND($F36&lt;&gt;"", $F36&gt;=BJ$5-4, $F36&lt;=BJ$5, COUNTIF($M36:BI36,"u")=0), "u", "")</f>
        <v/>
      </c>
      <c r="BK36" s="80" t="str">
        <f>IF(AND($F36&lt;&gt;"", $F36&gt;=BK$5-4, $F36&lt;=BK$5, COUNTIF($M36:BJ36,"u")=0), "u", "")</f>
        <v/>
      </c>
      <c r="BL36" s="80" t="str">
        <f>IF(AND($F36&lt;&gt;"", $F36&gt;=BL$5-4, $F36&lt;=BL$5, COUNTIF($M36:BK36,"u")=0), "u", "")</f>
        <v/>
      </c>
      <c r="BM36" s="80" t="str">
        <f>IF(AND($F36&lt;&gt;"", $F36&gt;=BM$5-4, $F36&lt;=BM$5, COUNTIF($M36:BL36,"u")=0), "u", "")</f>
        <v/>
      </c>
      <c r="BN36" s="80" t="str">
        <f>IF(AND($F36&lt;&gt;"", $F36&gt;=BN$5-4, $F36&lt;=BN$5, COUNTIF($M36:BM36,"u")=0), "u", "")</f>
        <v/>
      </c>
      <c r="BO36" s="80" t="str">
        <f>IF(AND($F36&lt;&gt;"", $F36&gt;=BO$5-4, $F36&lt;=BO$5, COUNTIF($M36:BN36,"u")=0), "u", "")</f>
        <v/>
      </c>
      <c r="BP36" s="80" t="str">
        <f>IF(AND($F36&lt;&gt;"", $F36&gt;=BP$5-4, $F36&lt;=BP$5, COUNTIF($M36:BO36,"u")=0), "u", "")</f>
        <v/>
      </c>
      <c r="BQ36" s="80" t="str">
        <f>IF(AND($F36&lt;&gt;"", $F36&gt;=BQ$5-4, $F36&lt;=BQ$5, COUNTIF($M36:BP36,"u")=0), "u", "")</f>
        <v/>
      </c>
      <c r="BR36" s="80" t="str">
        <f>IF(AND($F36&lt;&gt;"", $F36&gt;=BR$5-4, $F36&lt;=BR$5, COUNTIF($M36:BQ36,"u")=0), "u", "")</f>
        <v/>
      </c>
      <c r="BS36" s="80" t="str">
        <f>IF(AND($F36&lt;&gt;"", $F36&gt;=BS$5-4, $F36&lt;=BS$5, COUNTIF($M36:BR36,"u")=0), "u", "")</f>
        <v/>
      </c>
      <c r="BT36" s="80" t="str">
        <f>IF(AND($F36&lt;&gt;"", $F36&gt;=BT$5-4, $F36&lt;=BT$5, COUNTIF($M36:BS36,"u")=0), "u", "")</f>
        <v/>
      </c>
      <c r="BU36" s="80" t="str">
        <f>IF(AND($F36&lt;&gt;"", $F36&gt;=BU$5-4, $F36&lt;=BU$5, COUNTIF($M36:BT36,"u")=0), "u", "")</f>
        <v/>
      </c>
      <c r="BV36" s="80" t="str">
        <f>IF(AND($F36&lt;&gt;"", $F36&gt;=BV$5-4, $F36&lt;=BV$5, COUNTIF($M36:BU36,"u")=0), "u", "")</f>
        <v/>
      </c>
      <c r="BW36" s="80" t="str">
        <f>IF(AND($F36&lt;&gt;"", $F36&gt;=BW$5-4, $F36&lt;=BW$5, COUNTIF($M36:BV36,"u")=0), "u", "")</f>
        <v/>
      </c>
      <c r="BX36" s="80" t="str">
        <f>IF(AND($F36&lt;&gt;"", $F36&gt;=BX$5-4, $F36&lt;=BX$5, COUNTIF($M36:BW36,"u")=0), "u", "")</f>
        <v/>
      </c>
      <c r="BY36" s="80" t="str">
        <f>IF(AND($F36&lt;&gt;"", $F36&gt;=BY$5-4, $F36&lt;=BY$5, COUNTIF($M36:BX36,"u")=0), "u", "")</f>
        <v/>
      </c>
      <c r="BZ36" s="80" t="str">
        <f>IF(AND($F36&lt;&gt;"", $F36&gt;=BZ$5-4, $F36&lt;=BZ$5, COUNTIF($M36:BY36,"u")=0), "u", "")</f>
        <v/>
      </c>
      <c r="CA36" s="80" t="str">
        <f>IF(AND($F36&lt;&gt;"", $F36&gt;=CA$5-4, $F36&lt;=CA$5, COUNTIF($M36:BZ36,"u")=0), "u", "")</f>
        <v/>
      </c>
      <c r="CB36" s="80" t="str">
        <f>IF(AND($F36&lt;&gt;"", $F36&gt;=CB$5-4, $F36&lt;=CB$5, COUNTIF($M36:CA36,"u")=0), "u", "")</f>
        <v/>
      </c>
      <c r="CC36" s="80" t="str">
        <f>IF(AND($F36&lt;&gt;"", $F36&gt;=CC$5-4, $F36&lt;=CC$5, COUNTIF($M36:CB36,"u")=0), "u", "")</f>
        <v/>
      </c>
      <c r="CD36" s="80" t="str">
        <f>IF(AND($F36&lt;&gt;"", $F36&gt;=CD$5-4, $F36&lt;=CD$5, COUNTIF($M36:CC36,"u")=0), "u", "")</f>
        <v/>
      </c>
      <c r="CE36" s="80" t="str">
        <f>IF(AND($F36&lt;&gt;"", $F36&gt;=CE$5-4, $F36&lt;=CE$5, COUNTIF($M36:CD36,"u")=0), "u", "")</f>
        <v/>
      </c>
      <c r="CF36" s="80" t="str">
        <f>IF(AND($F36&lt;&gt;"", $F36&gt;=CF$5-4, $F36&lt;=CF$5, COUNTIF($M36:CE36,"u")=0), "u", "")</f>
        <v/>
      </c>
      <c r="CG36" s="80" t="str">
        <f>IF(AND($F36&lt;&gt;"", $F36&gt;=CG$5-4, $F36&lt;=CG$5, COUNTIF($M36:CF36,"u")=0), "u", "")</f>
        <v/>
      </c>
      <c r="CH36" s="80" t="str">
        <f>IF(AND($F36&lt;&gt;"", $F36&gt;=CH$5-4, $F36&lt;=CH$5, COUNTIF($M36:CG36,"u")=0), "u", "")</f>
        <v/>
      </c>
      <c r="CI36" s="80" t="str">
        <f>IF(AND($F36&lt;&gt;"", $F36&gt;=CI$5-4, $F36&lt;=CI$5, COUNTIF($M36:CH36,"u")=0), "u", "")</f>
        <v/>
      </c>
      <c r="CJ36" s="80" t="str">
        <f>IF(AND($F36&lt;&gt;"", $F36&gt;=CJ$5-4, $F36&lt;=CJ$5, COUNTIF($M36:CI36,"u")=0), "u", "")</f>
        <v/>
      </c>
      <c r="CK36" s="80" t="str">
        <f>IF(AND($F36&lt;&gt;"", $F36&gt;=CK$5-4, $F36&lt;=CK$5, COUNTIF($M36:CJ36,"u")=0), "u", "")</f>
        <v/>
      </c>
      <c r="CL36" s="80" t="str">
        <f>IF(AND($F36&lt;&gt;"", $F36&gt;=CL$5-4, $F36&lt;=CL$5, COUNTIF($M36:CK36,"u")=0), "u", "")</f>
        <v/>
      </c>
      <c r="CM36" s="80" t="str">
        <f>IF(AND($F36&lt;&gt;"", $F36&gt;=CM$5-4, $F36&lt;=CM$5, COUNTIF($M36:CL36,"u")=0), "u", "")</f>
        <v/>
      </c>
      <c r="CN36" s="80" t="str">
        <f>IF(AND($F36&lt;&gt;"", $F36&gt;=CN$5-4, $F36&lt;=CN$5, COUNTIF($M36:CM36,"u")=0), "u", "")</f>
        <v/>
      </c>
      <c r="CO36" s="80" t="str">
        <f>IF(AND($F36&lt;&gt;"", $F36&gt;=CO$5-4, $F36&lt;=CO$5, COUNTIF($M36:CN36,"u")=0), "u", "")</f>
        <v/>
      </c>
      <c r="CP36" s="80" t="str">
        <f>IF(AND($F36&lt;&gt;"", $F36&gt;=CP$5-4, $F36&lt;=CP$5, COUNTIF($M36:CO36,"u")=0), "u", "")</f>
        <v/>
      </c>
      <c r="CQ36" s="80" t="str">
        <f>IF(AND($F36&lt;&gt;"", $F36&gt;=CQ$5-4, $F36&lt;=CQ$5, COUNTIF($M36:CP36,"u")=0), "u", "")</f>
        <v/>
      </c>
      <c r="CR36" s="80" t="str">
        <f>IF(AND($F36&lt;&gt;"", $F36&gt;=CR$5-4, $F36&lt;=CR$5, COUNTIF($M36:CQ36,"u")=0), "u", "")</f>
        <v/>
      </c>
      <c r="CS36" s="80" t="str">
        <f>IF(AND($F36&lt;&gt;"", $F36&gt;=CS$5-4, $F36&lt;=CS$5, COUNTIF($M36:CR36,"u")=0), "u", "")</f>
        <v/>
      </c>
      <c r="CT36" s="80" t="str">
        <f>IF(AND($F36&lt;&gt;"", $F36&gt;=CT$5-4, $F36&lt;=CT$5, COUNTIF($M36:CS36,"u")=0), "u", "")</f>
        <v/>
      </c>
      <c r="CU36" s="80" t="str">
        <f>IF(AND($F36&lt;&gt;"", $F36&gt;=CU$5-4, $F36&lt;=CU$5, COUNTIF($M36:CT36,"u")=0), "u", "")</f>
        <v/>
      </c>
      <c r="CV36" s="80" t="str">
        <f>IF(AND($F36&lt;&gt;"", $F36&gt;=CV$5-4, $F36&lt;=CV$5, COUNTIF($M36:CU36,"u")=0), "u", "")</f>
        <v/>
      </c>
      <c r="CW36" s="80" t="str">
        <f>IF(AND($F36&lt;&gt;"", $F36&gt;=CW$5-4, $F36&lt;=CW$5, COUNTIF($M36:CV36,"u")=0), "u", "")</f>
        <v/>
      </c>
      <c r="CX36" s="80" t="str">
        <f>IF(AND($F36&lt;&gt;"", $F36&gt;=CX$5-4, $F36&lt;=CX$5, COUNTIF($M36:CW36,"u")=0), "u", "")</f>
        <v/>
      </c>
      <c r="CY36" s="80" t="str">
        <f>IF(AND($F36&lt;&gt;"", $F36&gt;=CY$5-4, $F36&lt;=CY$5, COUNTIF($M36:CX36,"u")=0), "u", "")</f>
        <v/>
      </c>
      <c r="CZ36" s="80" t="str">
        <f>IF(AND($F36&lt;&gt;"", $F36&gt;=CZ$5-4, $F36&lt;=CZ$5, COUNTIF($M36:CY36,"u")=0), "u", "")</f>
        <v/>
      </c>
      <c r="DA36" s="80" t="str">
        <f>IF(AND($F36&lt;&gt;"", $F36&gt;=DA$5-4, $F36&lt;=DA$5, COUNTIF($M36:CZ36,"u")=0), "u", "")</f>
        <v/>
      </c>
      <c r="DB36" s="80" t="str">
        <f>IF(AND($F36&lt;&gt;"", $F36&gt;=DB$5-4, $F36&lt;=DB$5, COUNTIF($M36:DA36,"u")=0), "u", "")</f>
        <v/>
      </c>
      <c r="DC36" s="80" t="str">
        <f>IF(AND($F36&lt;&gt;"", $F36&gt;=DC$5-4, $F36&lt;=DC$5, COUNTIF($M36:DB36,"u")=0), "u", "")</f>
        <v/>
      </c>
      <c r="DD36" s="80" t="str">
        <f>IF(AND($F36&lt;&gt;"", $F36&gt;=DD$5-4, $F36&lt;=DD$5, COUNTIF($M36:DC36,"u")=0), "u", "")</f>
        <v/>
      </c>
      <c r="DE36" s="80" t="str">
        <f>IF(AND($F36&lt;&gt;"", $F36&gt;=DE$5-4, $F36&lt;=DE$5, COUNTIF($M36:DD36,"u")=0), "u", "")</f>
        <v/>
      </c>
      <c r="DF36" s="80" t="str">
        <f>IF(AND($F36&lt;&gt;"", $F36&gt;=DF$5-4, $F36&lt;=DF$5, COUNTIF($M36:DE36,"u")=0), "u", "")</f>
        <v/>
      </c>
      <c r="DG36" s="80" t="str">
        <f>IF(AND($F36&lt;&gt;"", $F36&gt;=DG$5-4, $F36&lt;=DG$5, COUNTIF($M36:DF36,"u")=0), "u", "")</f>
        <v/>
      </c>
      <c r="DH36" s="80" t="str">
        <f>IF(AND($F36&lt;&gt;"", $F36&gt;=DH$5-4, $F36&lt;=DH$5, COUNTIF($M36:DG36,"u")=0), "u", "")</f>
        <v/>
      </c>
      <c r="DI36" s="80" t="str">
        <f>IF(AND($F36&lt;&gt;"", $F36&gt;=DI$5-4, $F36&lt;=DI$5, COUNTIF($M36:DH36,"u")=0), "u", "")</f>
        <v/>
      </c>
      <c r="DJ36" s="80" t="str">
        <f>IF(AND($F36&lt;&gt;"", $F36&gt;=DJ$5-4, $F36&lt;=DJ$5, COUNTIF($M36:DI36,"u")=0), "u", "")</f>
        <v/>
      </c>
      <c r="DK36" s="80" t="str">
        <f>IF(AND($F36&lt;&gt;"", $F36&gt;=DK$5-4, $F36&lt;=DK$5, COUNTIF($M36:DJ36,"u")=0), "u", "")</f>
        <v/>
      </c>
      <c r="DL36" s="80" t="str">
        <f>IF(AND($F36&lt;&gt;"", $F36&gt;=DL$5-4, $F36&lt;=DL$5, COUNTIF($M36:DK36,"u")=0), "u", "")</f>
        <v/>
      </c>
    </row>
    <row r="37" spans="1:116" ht="25.05" customHeight="1" x14ac:dyDescent="0.3">
      <c r="A37" s="39"/>
      <c r="B37" s="75">
        <v>32</v>
      </c>
      <c r="C37" s="97"/>
      <c r="D37" s="92"/>
      <c r="E37" s="53"/>
      <c r="F37" s="53"/>
      <c r="G37" s="83" t="str">
        <f t="shared" si="47"/>
        <v/>
      </c>
      <c r="H37" s="83" t="str">
        <f t="shared" si="47"/>
        <v/>
      </c>
      <c r="I37" s="77" t="str">
        <f t="shared" si="45"/>
        <v/>
      </c>
      <c r="J37" s="78"/>
      <c r="K37" s="86"/>
      <c r="L37" s="56"/>
      <c r="M37" s="80" t="str">
        <f t="shared" si="46"/>
        <v/>
      </c>
      <c r="N37" s="80" t="str">
        <f>IF(AND($F37&lt;&gt;"", $F37&gt;=N$5-4, $F37&lt;=N$5, COUNTIF($M37:M37,"u")=0), "u", "")</f>
        <v/>
      </c>
      <c r="O37" s="80" t="str">
        <f>IF(AND($F37&lt;&gt;"", $F37&gt;=O$5-4, $F37&lt;=O$5, COUNTIF($M37:N37,"u")=0), "u", "")</f>
        <v/>
      </c>
      <c r="P37" s="80" t="str">
        <f>IF(AND($F37&lt;&gt;"", $F37&gt;=P$5-4, $F37&lt;=P$5, COUNTIF($M37:O37,"u")=0), "u", "")</f>
        <v/>
      </c>
      <c r="Q37" s="80" t="str">
        <f>IF(AND($F37&lt;&gt;"", $F37&gt;=Q$5-4, $F37&lt;=Q$5, COUNTIF($M37:P37,"u")=0), "u", "")</f>
        <v/>
      </c>
      <c r="R37" s="80" t="str">
        <f>IF(AND($F37&lt;&gt;"", $F37&gt;=R$5-4, $F37&lt;=R$5, COUNTIF($M37:Q37,"u")=0), "u", "")</f>
        <v/>
      </c>
      <c r="S37" s="80" t="str">
        <f>IF(AND($F37&lt;&gt;"", $F37&gt;=S$5-4, $F37&lt;=S$5, COUNTIF($M37:R37,"u")=0), "u", "")</f>
        <v/>
      </c>
      <c r="T37" s="80" t="str">
        <f>IF(AND($F37&lt;&gt;"", $F37&gt;=T$5-4, $F37&lt;=T$5, COUNTIF($M37:S37,"u")=0), "u", "")</f>
        <v/>
      </c>
      <c r="U37" s="80" t="str">
        <f>IF(AND($F37&lt;&gt;"", $F37&gt;=U$5-4, $F37&lt;=U$5, COUNTIF($M37:T37,"u")=0), "u", "")</f>
        <v/>
      </c>
      <c r="V37" s="80" t="str">
        <f>IF(AND($F37&lt;&gt;"", $F37&gt;=V$5-4, $F37&lt;=V$5, COUNTIF($M37:U37,"u")=0), "u", "")</f>
        <v/>
      </c>
      <c r="W37" s="80" t="str">
        <f>IF(AND($F37&lt;&gt;"", $F37&gt;=W$5-4, $F37&lt;=W$5, COUNTIF($M37:V37,"u")=0), "u", "")</f>
        <v/>
      </c>
      <c r="X37" s="80" t="str">
        <f>IF(AND($F37&lt;&gt;"", $F37&gt;=X$5-4, $F37&lt;=X$5, COUNTIF($M37:W37,"u")=0), "u", "")</f>
        <v/>
      </c>
      <c r="Y37" s="80" t="str">
        <f>IF(AND($F37&lt;&gt;"", $F37&gt;=Y$5-4, $F37&lt;=Y$5, COUNTIF($M37:X37,"u")=0), "u", "")</f>
        <v/>
      </c>
      <c r="Z37" s="80" t="str">
        <f>IF(AND($F37&lt;&gt;"", $F37&gt;=Z$5-4, $F37&lt;=Z$5, COUNTIF($M37:Y37,"u")=0), "u", "")</f>
        <v/>
      </c>
      <c r="AA37" s="80" t="str">
        <f>IF(AND($F37&lt;&gt;"", $F37&gt;=AA$5-4, $F37&lt;=AA$5, COUNTIF($M37:Z37,"u")=0), "u", "")</f>
        <v/>
      </c>
      <c r="AB37" s="80" t="str">
        <f>IF(AND($F37&lt;&gt;"", $F37&gt;=AB$5-4, $F37&lt;=AB$5, COUNTIF($M37:AA37,"u")=0), "u", "")</f>
        <v/>
      </c>
      <c r="AC37" s="80" t="str">
        <f>IF(AND($F37&lt;&gt;"", $F37&gt;=AC$5-4, $F37&lt;=AC$5, COUNTIF($M37:AB37,"u")=0), "u", "")</f>
        <v/>
      </c>
      <c r="AD37" s="80" t="str">
        <f>IF(AND($F37&lt;&gt;"", $F37&gt;=AD$5-4, $F37&lt;=AD$5, COUNTIF($M37:AC37,"u")=0), "u", "")</f>
        <v/>
      </c>
      <c r="AE37" s="80" t="str">
        <f>IF(AND($F37&lt;&gt;"", $F37&gt;=AE$5-4, $F37&lt;=AE$5, COUNTIF($M37:AD37,"u")=0), "u", "")</f>
        <v/>
      </c>
      <c r="AF37" s="80" t="str">
        <f>IF(AND($F37&lt;&gt;"", $F37&gt;=AF$5-4, $F37&lt;=AF$5, COUNTIF($M37:AE37,"u")=0), "u", "")</f>
        <v/>
      </c>
      <c r="AG37" s="80" t="str">
        <f>IF(AND($F37&lt;&gt;"", $F37&gt;=AG$5-4, $F37&lt;=AG$5, COUNTIF($M37:AF37,"u")=0), "u", "")</f>
        <v/>
      </c>
      <c r="AH37" s="80" t="str">
        <f>IF(AND($F37&lt;&gt;"", $F37&gt;=AH$5-4, $F37&lt;=AH$5, COUNTIF($M37:AG37,"u")=0), "u", "")</f>
        <v/>
      </c>
      <c r="AI37" s="80" t="str">
        <f>IF(AND($F37&lt;&gt;"", $F37&gt;=AI$5-4, $F37&lt;=AI$5, COUNTIF($M37:AH37,"u")=0), "u", "")</f>
        <v/>
      </c>
      <c r="AJ37" s="80" t="str">
        <f>IF(AND($F37&lt;&gt;"", $F37&gt;=AJ$5-4, $F37&lt;=AJ$5, COUNTIF($M37:AI37,"u")=0), "u", "")</f>
        <v/>
      </c>
      <c r="AK37" s="80" t="str">
        <f>IF(AND($F37&lt;&gt;"", $F37&gt;=AK$5-4, $F37&lt;=AK$5, COUNTIF($M37:AJ37,"u")=0), "u", "")</f>
        <v/>
      </c>
      <c r="AL37" s="80" t="str">
        <f>IF(AND($F37&lt;&gt;"", $F37&gt;=AL$5-4, $F37&lt;=AL$5, COUNTIF($M37:AK37,"u")=0), "u", "")</f>
        <v/>
      </c>
      <c r="AM37" s="80" t="str">
        <f>IF(AND($F37&lt;&gt;"", $F37&gt;=AM$5-4, $F37&lt;=AM$5, COUNTIF($M37:AL37,"u")=0), "u", "")</f>
        <v/>
      </c>
      <c r="AN37" s="80" t="str">
        <f>IF(AND($F37&lt;&gt;"", $F37&gt;=AN$5-4, $F37&lt;=AN$5, COUNTIF($M37:AM37,"u")=0), "u", "")</f>
        <v/>
      </c>
      <c r="AO37" s="80" t="str">
        <f>IF(AND($F37&lt;&gt;"", $F37&gt;=AO$5-4, $F37&lt;=AO$5, COUNTIF($M37:AN37,"u")=0), "u", "")</f>
        <v/>
      </c>
      <c r="AP37" s="80" t="str">
        <f>IF(AND($F37&lt;&gt;"", $F37&gt;=AP$5-4, $F37&lt;=AP$5, COUNTIF($M37:AO37,"u")=0), "u", "")</f>
        <v/>
      </c>
      <c r="AQ37" s="80" t="str">
        <f>IF(AND($F37&lt;&gt;"", $F37&gt;=AQ$5-4, $F37&lt;=AQ$5, COUNTIF($M37:AP37,"u")=0), "u", "")</f>
        <v/>
      </c>
      <c r="AR37" s="80" t="str">
        <f>IF(AND($F37&lt;&gt;"", $F37&gt;=AR$5-4, $F37&lt;=AR$5, COUNTIF($M37:AQ37,"u")=0), "u", "")</f>
        <v/>
      </c>
      <c r="AS37" s="80" t="str">
        <f>IF(AND($F37&lt;&gt;"", $F37&gt;=AS$5-4, $F37&lt;=AS$5, COUNTIF($M37:AR37,"u")=0), "u", "")</f>
        <v/>
      </c>
      <c r="AT37" s="80" t="str">
        <f>IF(AND($F37&lt;&gt;"", $F37&gt;=AT$5-4, $F37&lt;=AT$5, COUNTIF($M37:AS37,"u")=0), "u", "")</f>
        <v/>
      </c>
      <c r="AU37" s="80" t="str">
        <f>IF(AND($F37&lt;&gt;"", $F37&gt;=AU$5-4, $F37&lt;=AU$5, COUNTIF($M37:AT37,"u")=0), "u", "")</f>
        <v/>
      </c>
      <c r="AV37" s="80" t="str">
        <f>IF(AND($F37&lt;&gt;"", $F37&gt;=AV$5-4, $F37&lt;=AV$5, COUNTIF($M37:AU37,"u")=0), "u", "")</f>
        <v/>
      </c>
      <c r="AW37" s="80" t="str">
        <f>IF(AND($F37&lt;&gt;"", $F37&gt;=AW$5-4, $F37&lt;=AW$5, COUNTIF($M37:AV37,"u")=0), "u", "")</f>
        <v/>
      </c>
      <c r="AX37" s="80" t="str">
        <f>IF(AND($F37&lt;&gt;"", $F37&gt;=AX$5-4, $F37&lt;=AX$5, COUNTIF($M37:AW37,"u")=0), "u", "")</f>
        <v/>
      </c>
      <c r="AY37" s="80" t="str">
        <f>IF(AND($F37&lt;&gt;"", $F37&gt;=AY$5-4, $F37&lt;=AY$5, COUNTIF($M37:AX37,"u")=0), "u", "")</f>
        <v/>
      </c>
      <c r="AZ37" s="80" t="str">
        <f>IF(AND($F37&lt;&gt;"", $F37&gt;=AZ$5-4, $F37&lt;=AZ$5, COUNTIF($M37:AY37,"u")=0), "u", "")</f>
        <v/>
      </c>
      <c r="BA37" s="80" t="str">
        <f>IF(AND($F37&lt;&gt;"", $F37&gt;=BA$5-4, $F37&lt;=BA$5, COUNTIF($M37:AZ37,"u")=0), "u", "")</f>
        <v/>
      </c>
      <c r="BB37" s="80" t="str">
        <f>IF(AND($F37&lt;&gt;"", $F37&gt;=BB$5-4, $F37&lt;=BB$5, COUNTIF($M37:BA37,"u")=0), "u", "")</f>
        <v/>
      </c>
      <c r="BC37" s="80" t="str">
        <f>IF(AND($F37&lt;&gt;"", $F37&gt;=BC$5-4, $F37&lt;=BC$5, COUNTIF($M37:BB37,"u")=0), "u", "")</f>
        <v/>
      </c>
      <c r="BD37" s="80" t="str">
        <f>IF(AND($F37&lt;&gt;"", $F37&gt;=BD$5-4, $F37&lt;=BD$5, COUNTIF($M37:BC37,"u")=0), "u", "")</f>
        <v/>
      </c>
      <c r="BE37" s="80" t="str">
        <f>IF(AND($F37&lt;&gt;"", $F37&gt;=BE$5-4, $F37&lt;=BE$5, COUNTIF($M37:BD37,"u")=0), "u", "")</f>
        <v/>
      </c>
      <c r="BF37" s="80" t="str">
        <f>IF(AND($F37&lt;&gt;"", $F37&gt;=BF$5-4, $F37&lt;=BF$5, COUNTIF($M37:BE37,"u")=0), "u", "")</f>
        <v/>
      </c>
      <c r="BG37" s="80" t="str">
        <f>IF(AND($F37&lt;&gt;"", $F37&gt;=BG$5-4, $F37&lt;=BG$5, COUNTIF($M37:BF37,"u")=0), "u", "")</f>
        <v/>
      </c>
      <c r="BH37" s="80" t="str">
        <f>IF(AND($F37&lt;&gt;"", $F37&gt;=BH$5-4, $F37&lt;=BH$5, COUNTIF($M37:BG37,"u")=0), "u", "")</f>
        <v/>
      </c>
      <c r="BI37" s="80" t="str">
        <f>IF(AND($F37&lt;&gt;"", $F37&gt;=BI$5-4, $F37&lt;=BI$5, COUNTIF($M37:BH37,"u")=0), "u", "")</f>
        <v/>
      </c>
      <c r="BJ37" s="80" t="str">
        <f>IF(AND($F37&lt;&gt;"", $F37&gt;=BJ$5-4, $F37&lt;=BJ$5, COUNTIF($M37:BI37,"u")=0), "u", "")</f>
        <v/>
      </c>
      <c r="BK37" s="80" t="str">
        <f>IF(AND($F37&lt;&gt;"", $F37&gt;=BK$5-4, $F37&lt;=BK$5, COUNTIF($M37:BJ37,"u")=0), "u", "")</f>
        <v/>
      </c>
      <c r="BL37" s="80" t="str">
        <f>IF(AND($F37&lt;&gt;"", $F37&gt;=BL$5-4, $F37&lt;=BL$5, COUNTIF($M37:BK37,"u")=0), "u", "")</f>
        <v/>
      </c>
      <c r="BM37" s="80" t="str">
        <f>IF(AND($F37&lt;&gt;"", $F37&gt;=BM$5-4, $F37&lt;=BM$5, COUNTIF($M37:BL37,"u")=0), "u", "")</f>
        <v/>
      </c>
      <c r="BN37" s="80" t="str">
        <f>IF(AND($F37&lt;&gt;"", $F37&gt;=BN$5-4, $F37&lt;=BN$5, COUNTIF($M37:BM37,"u")=0), "u", "")</f>
        <v/>
      </c>
      <c r="BO37" s="80" t="str">
        <f>IF(AND($F37&lt;&gt;"", $F37&gt;=BO$5-4, $F37&lt;=BO$5, COUNTIF($M37:BN37,"u")=0), "u", "")</f>
        <v/>
      </c>
      <c r="BP37" s="80" t="str">
        <f>IF(AND($F37&lt;&gt;"", $F37&gt;=BP$5-4, $F37&lt;=BP$5, COUNTIF($M37:BO37,"u")=0), "u", "")</f>
        <v/>
      </c>
      <c r="BQ37" s="80" t="str">
        <f>IF(AND($F37&lt;&gt;"", $F37&gt;=BQ$5-4, $F37&lt;=BQ$5, COUNTIF($M37:BP37,"u")=0), "u", "")</f>
        <v/>
      </c>
      <c r="BR37" s="80" t="str">
        <f>IF(AND($F37&lt;&gt;"", $F37&gt;=BR$5-4, $F37&lt;=BR$5, COUNTIF($M37:BQ37,"u")=0), "u", "")</f>
        <v/>
      </c>
      <c r="BS37" s="80" t="str">
        <f>IF(AND($F37&lt;&gt;"", $F37&gt;=BS$5-4, $F37&lt;=BS$5, COUNTIF($M37:BR37,"u")=0), "u", "")</f>
        <v/>
      </c>
      <c r="BT37" s="80" t="str">
        <f>IF(AND($F37&lt;&gt;"", $F37&gt;=BT$5-4, $F37&lt;=BT$5, COUNTIF($M37:BS37,"u")=0), "u", "")</f>
        <v/>
      </c>
      <c r="BU37" s="80" t="str">
        <f>IF(AND($F37&lt;&gt;"", $F37&gt;=BU$5-4, $F37&lt;=BU$5, COUNTIF($M37:BT37,"u")=0), "u", "")</f>
        <v/>
      </c>
      <c r="BV37" s="80" t="str">
        <f>IF(AND($F37&lt;&gt;"", $F37&gt;=BV$5-4, $F37&lt;=BV$5, COUNTIF($M37:BU37,"u")=0), "u", "")</f>
        <v/>
      </c>
      <c r="BW37" s="80" t="str">
        <f>IF(AND($F37&lt;&gt;"", $F37&gt;=BW$5-4, $F37&lt;=BW$5, COUNTIF($M37:BV37,"u")=0), "u", "")</f>
        <v/>
      </c>
      <c r="BX37" s="80" t="str">
        <f>IF(AND($F37&lt;&gt;"", $F37&gt;=BX$5-4, $F37&lt;=BX$5, COUNTIF($M37:BW37,"u")=0), "u", "")</f>
        <v/>
      </c>
      <c r="BY37" s="80" t="str">
        <f>IF(AND($F37&lt;&gt;"", $F37&gt;=BY$5-4, $F37&lt;=BY$5, COUNTIF($M37:BX37,"u")=0), "u", "")</f>
        <v/>
      </c>
      <c r="BZ37" s="80" t="str">
        <f>IF(AND($F37&lt;&gt;"", $F37&gt;=BZ$5-4, $F37&lt;=BZ$5, COUNTIF($M37:BY37,"u")=0), "u", "")</f>
        <v/>
      </c>
      <c r="CA37" s="80" t="str">
        <f>IF(AND($F37&lt;&gt;"", $F37&gt;=CA$5-4, $F37&lt;=CA$5, COUNTIF($M37:BZ37,"u")=0), "u", "")</f>
        <v/>
      </c>
      <c r="CB37" s="80" t="str">
        <f>IF(AND($F37&lt;&gt;"", $F37&gt;=CB$5-4, $F37&lt;=CB$5, COUNTIF($M37:CA37,"u")=0), "u", "")</f>
        <v/>
      </c>
      <c r="CC37" s="80" t="str">
        <f>IF(AND($F37&lt;&gt;"", $F37&gt;=CC$5-4, $F37&lt;=CC$5, COUNTIF($M37:CB37,"u")=0), "u", "")</f>
        <v/>
      </c>
      <c r="CD37" s="80" t="str">
        <f>IF(AND($F37&lt;&gt;"", $F37&gt;=CD$5-4, $F37&lt;=CD$5, COUNTIF($M37:CC37,"u")=0), "u", "")</f>
        <v/>
      </c>
      <c r="CE37" s="80" t="str">
        <f>IF(AND($F37&lt;&gt;"", $F37&gt;=CE$5-4, $F37&lt;=CE$5, COUNTIF($M37:CD37,"u")=0), "u", "")</f>
        <v/>
      </c>
      <c r="CF37" s="80" t="str">
        <f>IF(AND($F37&lt;&gt;"", $F37&gt;=CF$5-4, $F37&lt;=CF$5, COUNTIF($M37:CE37,"u")=0), "u", "")</f>
        <v/>
      </c>
      <c r="CG37" s="80" t="str">
        <f>IF(AND($F37&lt;&gt;"", $F37&gt;=CG$5-4, $F37&lt;=CG$5, COUNTIF($M37:CF37,"u")=0), "u", "")</f>
        <v/>
      </c>
      <c r="CH37" s="80" t="str">
        <f>IF(AND($F37&lt;&gt;"", $F37&gt;=CH$5-4, $F37&lt;=CH$5, COUNTIF($M37:CG37,"u")=0), "u", "")</f>
        <v/>
      </c>
      <c r="CI37" s="80" t="str">
        <f>IF(AND($F37&lt;&gt;"", $F37&gt;=CI$5-4, $F37&lt;=CI$5, COUNTIF($M37:CH37,"u")=0), "u", "")</f>
        <v/>
      </c>
      <c r="CJ37" s="80" t="str">
        <f>IF(AND($F37&lt;&gt;"", $F37&gt;=CJ$5-4, $F37&lt;=CJ$5, COUNTIF($M37:CI37,"u")=0), "u", "")</f>
        <v/>
      </c>
      <c r="CK37" s="80" t="str">
        <f>IF(AND($F37&lt;&gt;"", $F37&gt;=CK$5-4, $F37&lt;=CK$5, COUNTIF($M37:CJ37,"u")=0), "u", "")</f>
        <v/>
      </c>
      <c r="CL37" s="80" t="str">
        <f>IF(AND($F37&lt;&gt;"", $F37&gt;=CL$5-4, $F37&lt;=CL$5, COUNTIF($M37:CK37,"u")=0), "u", "")</f>
        <v/>
      </c>
      <c r="CM37" s="80" t="str">
        <f>IF(AND($F37&lt;&gt;"", $F37&gt;=CM$5-4, $F37&lt;=CM$5, COUNTIF($M37:CL37,"u")=0), "u", "")</f>
        <v/>
      </c>
      <c r="CN37" s="80" t="str">
        <f>IF(AND($F37&lt;&gt;"", $F37&gt;=CN$5-4, $F37&lt;=CN$5, COUNTIF($M37:CM37,"u")=0), "u", "")</f>
        <v/>
      </c>
      <c r="CO37" s="80" t="str">
        <f>IF(AND($F37&lt;&gt;"", $F37&gt;=CO$5-4, $F37&lt;=CO$5, COUNTIF($M37:CN37,"u")=0), "u", "")</f>
        <v/>
      </c>
      <c r="CP37" s="80" t="str">
        <f>IF(AND($F37&lt;&gt;"", $F37&gt;=CP$5-4, $F37&lt;=CP$5, COUNTIF($M37:CO37,"u")=0), "u", "")</f>
        <v/>
      </c>
      <c r="CQ37" s="80" t="str">
        <f>IF(AND($F37&lt;&gt;"", $F37&gt;=CQ$5-4, $F37&lt;=CQ$5, COUNTIF($M37:CP37,"u")=0), "u", "")</f>
        <v/>
      </c>
      <c r="CR37" s="80" t="str">
        <f>IF(AND($F37&lt;&gt;"", $F37&gt;=CR$5-4, $F37&lt;=CR$5, COUNTIF($M37:CQ37,"u")=0), "u", "")</f>
        <v/>
      </c>
      <c r="CS37" s="80" t="str">
        <f>IF(AND($F37&lt;&gt;"", $F37&gt;=CS$5-4, $F37&lt;=CS$5, COUNTIF($M37:CR37,"u")=0), "u", "")</f>
        <v/>
      </c>
      <c r="CT37" s="80" t="str">
        <f>IF(AND($F37&lt;&gt;"", $F37&gt;=CT$5-4, $F37&lt;=CT$5, COUNTIF($M37:CS37,"u")=0), "u", "")</f>
        <v/>
      </c>
      <c r="CU37" s="80" t="str">
        <f>IF(AND($F37&lt;&gt;"", $F37&gt;=CU$5-4, $F37&lt;=CU$5, COUNTIF($M37:CT37,"u")=0), "u", "")</f>
        <v/>
      </c>
      <c r="CV37" s="80" t="str">
        <f>IF(AND($F37&lt;&gt;"", $F37&gt;=CV$5-4, $F37&lt;=CV$5, COUNTIF($M37:CU37,"u")=0), "u", "")</f>
        <v/>
      </c>
      <c r="CW37" s="80" t="str">
        <f>IF(AND($F37&lt;&gt;"", $F37&gt;=CW$5-4, $F37&lt;=CW$5, COUNTIF($M37:CV37,"u")=0), "u", "")</f>
        <v/>
      </c>
      <c r="CX37" s="80" t="str">
        <f>IF(AND($F37&lt;&gt;"", $F37&gt;=CX$5-4, $F37&lt;=CX$5, COUNTIF($M37:CW37,"u")=0), "u", "")</f>
        <v/>
      </c>
      <c r="CY37" s="80" t="str">
        <f>IF(AND($F37&lt;&gt;"", $F37&gt;=CY$5-4, $F37&lt;=CY$5, COUNTIF($M37:CX37,"u")=0), "u", "")</f>
        <v/>
      </c>
      <c r="CZ37" s="80" t="str">
        <f>IF(AND($F37&lt;&gt;"", $F37&gt;=CZ$5-4, $F37&lt;=CZ$5, COUNTIF($M37:CY37,"u")=0), "u", "")</f>
        <v/>
      </c>
      <c r="DA37" s="80" t="str">
        <f>IF(AND($F37&lt;&gt;"", $F37&gt;=DA$5-4, $F37&lt;=DA$5, COUNTIF($M37:CZ37,"u")=0), "u", "")</f>
        <v/>
      </c>
      <c r="DB37" s="80" t="str">
        <f>IF(AND($F37&lt;&gt;"", $F37&gt;=DB$5-4, $F37&lt;=DB$5, COUNTIF($M37:DA37,"u")=0), "u", "")</f>
        <v/>
      </c>
      <c r="DC37" s="80" t="str">
        <f>IF(AND($F37&lt;&gt;"", $F37&gt;=DC$5-4, $F37&lt;=DC$5, COUNTIF($M37:DB37,"u")=0), "u", "")</f>
        <v/>
      </c>
      <c r="DD37" s="80" t="str">
        <f>IF(AND($F37&lt;&gt;"", $F37&gt;=DD$5-4, $F37&lt;=DD$5, COUNTIF($M37:DC37,"u")=0), "u", "")</f>
        <v/>
      </c>
      <c r="DE37" s="80" t="str">
        <f>IF(AND($F37&lt;&gt;"", $F37&gt;=DE$5-4, $F37&lt;=DE$5, COUNTIF($M37:DD37,"u")=0), "u", "")</f>
        <v/>
      </c>
      <c r="DF37" s="80" t="str">
        <f>IF(AND($F37&lt;&gt;"", $F37&gt;=DF$5-4, $F37&lt;=DF$5, COUNTIF($M37:DE37,"u")=0), "u", "")</f>
        <v/>
      </c>
      <c r="DG37" s="80" t="str">
        <f>IF(AND($F37&lt;&gt;"", $F37&gt;=DG$5-4, $F37&lt;=DG$5, COUNTIF($M37:DF37,"u")=0), "u", "")</f>
        <v/>
      </c>
      <c r="DH37" s="80" t="str">
        <f>IF(AND($F37&lt;&gt;"", $F37&gt;=DH$5-4, $F37&lt;=DH$5, COUNTIF($M37:DG37,"u")=0), "u", "")</f>
        <v/>
      </c>
      <c r="DI37" s="80" t="str">
        <f>IF(AND($F37&lt;&gt;"", $F37&gt;=DI$5-4, $F37&lt;=DI$5, COUNTIF($M37:DH37,"u")=0), "u", "")</f>
        <v/>
      </c>
      <c r="DJ37" s="80" t="str">
        <f>IF(AND($F37&lt;&gt;"", $F37&gt;=DJ$5-4, $F37&lt;=DJ$5, COUNTIF($M37:DI37,"u")=0), "u", "")</f>
        <v/>
      </c>
      <c r="DK37" s="80" t="str">
        <f>IF(AND($F37&lt;&gt;"", $F37&gt;=DK$5-4, $F37&lt;=DK$5, COUNTIF($M37:DJ37,"u")=0), "u", "")</f>
        <v/>
      </c>
      <c r="DL37" s="80" t="str">
        <f>IF(AND($F37&lt;&gt;"", $F37&gt;=DL$5-4, $F37&lt;=DL$5, COUNTIF($M37:DK37,"u")=0), "u", "")</f>
        <v/>
      </c>
    </row>
    <row r="38" spans="1:116" ht="25.05" customHeight="1" x14ac:dyDescent="0.3">
      <c r="A38" s="39"/>
      <c r="B38" s="75">
        <v>33</v>
      </c>
      <c r="C38" s="97"/>
      <c r="D38" s="92"/>
      <c r="E38" s="53"/>
      <c r="F38" s="53"/>
      <c r="G38" s="83" t="str">
        <f t="shared" si="47"/>
        <v/>
      </c>
      <c r="H38" s="83" t="str">
        <f t="shared" si="47"/>
        <v/>
      </c>
      <c r="I38" s="77" t="str">
        <f t="shared" si="45"/>
        <v/>
      </c>
      <c r="J38" s="78"/>
      <c r="K38" s="86"/>
      <c r="L38" s="56"/>
      <c r="M38" s="80" t="str">
        <f t="shared" si="46"/>
        <v/>
      </c>
      <c r="N38" s="80" t="str">
        <f>IF(AND($F38&lt;&gt;"", $F38&gt;=N$5-4, $F38&lt;=N$5, COUNTIF($M38:M38,"u")=0), "u", "")</f>
        <v/>
      </c>
      <c r="O38" s="80" t="str">
        <f>IF(AND($F38&lt;&gt;"", $F38&gt;=O$5-4, $F38&lt;=O$5, COUNTIF($M38:N38,"u")=0), "u", "")</f>
        <v/>
      </c>
      <c r="P38" s="80" t="str">
        <f>IF(AND($F38&lt;&gt;"", $F38&gt;=P$5-4, $F38&lt;=P$5, COUNTIF($M38:O38,"u")=0), "u", "")</f>
        <v/>
      </c>
      <c r="Q38" s="80" t="str">
        <f>IF(AND($F38&lt;&gt;"", $F38&gt;=Q$5-4, $F38&lt;=Q$5, COUNTIF($M38:P38,"u")=0), "u", "")</f>
        <v/>
      </c>
      <c r="R38" s="80" t="str">
        <f>IF(AND($F38&lt;&gt;"", $F38&gt;=R$5-4, $F38&lt;=R$5, COUNTIF($M38:Q38,"u")=0), "u", "")</f>
        <v/>
      </c>
      <c r="S38" s="80" t="str">
        <f>IF(AND($F38&lt;&gt;"", $F38&gt;=S$5-4, $F38&lt;=S$5, COUNTIF($M38:R38,"u")=0), "u", "")</f>
        <v/>
      </c>
      <c r="T38" s="80" t="str">
        <f>IF(AND($F38&lt;&gt;"", $F38&gt;=T$5-4, $F38&lt;=T$5, COUNTIF($M38:S38,"u")=0), "u", "")</f>
        <v/>
      </c>
      <c r="U38" s="80" t="str">
        <f>IF(AND($F38&lt;&gt;"", $F38&gt;=U$5-4, $F38&lt;=U$5, COUNTIF($M38:T38,"u")=0), "u", "")</f>
        <v/>
      </c>
      <c r="V38" s="80" t="str">
        <f>IF(AND($F38&lt;&gt;"", $F38&gt;=V$5-4, $F38&lt;=V$5, COUNTIF($M38:U38,"u")=0), "u", "")</f>
        <v/>
      </c>
      <c r="W38" s="80" t="str">
        <f>IF(AND($F38&lt;&gt;"", $F38&gt;=W$5-4, $F38&lt;=W$5, COUNTIF($M38:V38,"u")=0), "u", "")</f>
        <v/>
      </c>
      <c r="X38" s="80" t="str">
        <f>IF(AND($F38&lt;&gt;"", $F38&gt;=X$5-4, $F38&lt;=X$5, COUNTIF($M38:W38,"u")=0), "u", "")</f>
        <v/>
      </c>
      <c r="Y38" s="80" t="str">
        <f>IF(AND($F38&lt;&gt;"", $F38&gt;=Y$5-4, $F38&lt;=Y$5, COUNTIF($M38:X38,"u")=0), "u", "")</f>
        <v/>
      </c>
      <c r="Z38" s="80" t="str">
        <f>IF(AND($F38&lt;&gt;"", $F38&gt;=Z$5-4, $F38&lt;=Z$5, COUNTIF($M38:Y38,"u")=0), "u", "")</f>
        <v/>
      </c>
      <c r="AA38" s="80" t="str">
        <f>IF(AND($F38&lt;&gt;"", $F38&gt;=AA$5-4, $F38&lt;=AA$5, COUNTIF($M38:Z38,"u")=0), "u", "")</f>
        <v/>
      </c>
      <c r="AB38" s="80" t="str">
        <f>IF(AND($F38&lt;&gt;"", $F38&gt;=AB$5-4, $F38&lt;=AB$5, COUNTIF($M38:AA38,"u")=0), "u", "")</f>
        <v/>
      </c>
      <c r="AC38" s="80" t="str">
        <f>IF(AND($F38&lt;&gt;"", $F38&gt;=AC$5-4, $F38&lt;=AC$5, COUNTIF($M38:AB38,"u")=0), "u", "")</f>
        <v/>
      </c>
      <c r="AD38" s="80" t="str">
        <f>IF(AND($F38&lt;&gt;"", $F38&gt;=AD$5-4, $F38&lt;=AD$5, COUNTIF($M38:AC38,"u")=0), "u", "")</f>
        <v/>
      </c>
      <c r="AE38" s="80" t="str">
        <f>IF(AND($F38&lt;&gt;"", $F38&gt;=AE$5-4, $F38&lt;=AE$5, COUNTIF($M38:AD38,"u")=0), "u", "")</f>
        <v/>
      </c>
      <c r="AF38" s="80" t="str">
        <f>IF(AND($F38&lt;&gt;"", $F38&gt;=AF$5-4, $F38&lt;=AF$5, COUNTIF($M38:AE38,"u")=0), "u", "")</f>
        <v/>
      </c>
      <c r="AG38" s="80" t="str">
        <f>IF(AND($F38&lt;&gt;"", $F38&gt;=AG$5-4, $F38&lt;=AG$5, COUNTIF($M38:AF38,"u")=0), "u", "")</f>
        <v/>
      </c>
      <c r="AH38" s="80" t="str">
        <f>IF(AND($F38&lt;&gt;"", $F38&gt;=AH$5-4, $F38&lt;=AH$5, COUNTIF($M38:AG38,"u")=0), "u", "")</f>
        <v/>
      </c>
      <c r="AI38" s="80" t="str">
        <f>IF(AND($F38&lt;&gt;"", $F38&gt;=AI$5-4, $F38&lt;=AI$5, COUNTIF($M38:AH38,"u")=0), "u", "")</f>
        <v/>
      </c>
      <c r="AJ38" s="80" t="str">
        <f>IF(AND($F38&lt;&gt;"", $F38&gt;=AJ$5-4, $F38&lt;=AJ$5, COUNTIF($M38:AI38,"u")=0), "u", "")</f>
        <v/>
      </c>
      <c r="AK38" s="80" t="str">
        <f>IF(AND($F38&lt;&gt;"", $F38&gt;=AK$5-4, $F38&lt;=AK$5, COUNTIF($M38:AJ38,"u")=0), "u", "")</f>
        <v/>
      </c>
      <c r="AL38" s="80" t="str">
        <f>IF(AND($F38&lt;&gt;"", $F38&gt;=AL$5-4, $F38&lt;=AL$5, COUNTIF($M38:AK38,"u")=0), "u", "")</f>
        <v/>
      </c>
      <c r="AM38" s="80" t="str">
        <f>IF(AND($F38&lt;&gt;"", $F38&gt;=AM$5-4, $F38&lt;=AM$5, COUNTIF($M38:AL38,"u")=0), "u", "")</f>
        <v/>
      </c>
      <c r="AN38" s="80" t="str">
        <f>IF(AND($F38&lt;&gt;"", $F38&gt;=AN$5-4, $F38&lt;=AN$5, COUNTIF($M38:AM38,"u")=0), "u", "")</f>
        <v/>
      </c>
      <c r="AO38" s="80" t="str">
        <f>IF(AND($F38&lt;&gt;"", $F38&gt;=AO$5-4, $F38&lt;=AO$5, COUNTIF($M38:AN38,"u")=0), "u", "")</f>
        <v/>
      </c>
      <c r="AP38" s="80" t="str">
        <f>IF(AND($F38&lt;&gt;"", $F38&gt;=AP$5-4, $F38&lt;=AP$5, COUNTIF($M38:AO38,"u")=0), "u", "")</f>
        <v/>
      </c>
      <c r="AQ38" s="80" t="str">
        <f>IF(AND($F38&lt;&gt;"", $F38&gt;=AQ$5-4, $F38&lt;=AQ$5, COUNTIF($M38:AP38,"u")=0), "u", "")</f>
        <v/>
      </c>
      <c r="AR38" s="80" t="str">
        <f>IF(AND($F38&lt;&gt;"", $F38&gt;=AR$5-4, $F38&lt;=AR$5, COUNTIF($M38:AQ38,"u")=0), "u", "")</f>
        <v/>
      </c>
      <c r="AS38" s="80" t="str">
        <f>IF(AND($F38&lt;&gt;"", $F38&gt;=AS$5-4, $F38&lt;=AS$5, COUNTIF($M38:AR38,"u")=0), "u", "")</f>
        <v/>
      </c>
      <c r="AT38" s="80" t="str">
        <f>IF(AND($F38&lt;&gt;"", $F38&gt;=AT$5-4, $F38&lt;=AT$5, COUNTIF($M38:AS38,"u")=0), "u", "")</f>
        <v/>
      </c>
      <c r="AU38" s="80" t="str">
        <f>IF(AND($F38&lt;&gt;"", $F38&gt;=AU$5-4, $F38&lt;=AU$5, COUNTIF($M38:AT38,"u")=0), "u", "")</f>
        <v/>
      </c>
      <c r="AV38" s="80" t="str">
        <f>IF(AND($F38&lt;&gt;"", $F38&gt;=AV$5-4, $F38&lt;=AV$5, COUNTIF($M38:AU38,"u")=0), "u", "")</f>
        <v/>
      </c>
      <c r="AW38" s="80" t="str">
        <f>IF(AND($F38&lt;&gt;"", $F38&gt;=AW$5-4, $F38&lt;=AW$5, COUNTIF($M38:AV38,"u")=0), "u", "")</f>
        <v/>
      </c>
      <c r="AX38" s="80" t="str">
        <f>IF(AND($F38&lt;&gt;"", $F38&gt;=AX$5-4, $F38&lt;=AX$5, COUNTIF($M38:AW38,"u")=0), "u", "")</f>
        <v/>
      </c>
      <c r="AY38" s="80" t="str">
        <f>IF(AND($F38&lt;&gt;"", $F38&gt;=AY$5-4, $F38&lt;=AY$5, COUNTIF($M38:AX38,"u")=0), "u", "")</f>
        <v/>
      </c>
      <c r="AZ38" s="80" t="str">
        <f>IF(AND($F38&lt;&gt;"", $F38&gt;=AZ$5-4, $F38&lt;=AZ$5, COUNTIF($M38:AY38,"u")=0), "u", "")</f>
        <v/>
      </c>
      <c r="BA38" s="80" t="str">
        <f>IF(AND($F38&lt;&gt;"", $F38&gt;=BA$5-4, $F38&lt;=BA$5, COUNTIF($M38:AZ38,"u")=0), "u", "")</f>
        <v/>
      </c>
      <c r="BB38" s="80" t="str">
        <f>IF(AND($F38&lt;&gt;"", $F38&gt;=BB$5-4, $F38&lt;=BB$5, COUNTIF($M38:BA38,"u")=0), "u", "")</f>
        <v/>
      </c>
      <c r="BC38" s="80" t="str">
        <f>IF(AND($F38&lt;&gt;"", $F38&gt;=BC$5-4, $F38&lt;=BC$5, COUNTIF($M38:BB38,"u")=0), "u", "")</f>
        <v/>
      </c>
      <c r="BD38" s="80" t="str">
        <f>IF(AND($F38&lt;&gt;"", $F38&gt;=BD$5-4, $F38&lt;=BD$5, COUNTIF($M38:BC38,"u")=0), "u", "")</f>
        <v/>
      </c>
      <c r="BE38" s="80" t="str">
        <f>IF(AND($F38&lt;&gt;"", $F38&gt;=BE$5-4, $F38&lt;=BE$5, COUNTIF($M38:BD38,"u")=0), "u", "")</f>
        <v/>
      </c>
      <c r="BF38" s="80" t="str">
        <f>IF(AND($F38&lt;&gt;"", $F38&gt;=BF$5-4, $F38&lt;=BF$5, COUNTIF($M38:BE38,"u")=0), "u", "")</f>
        <v/>
      </c>
      <c r="BG38" s="80" t="str">
        <f>IF(AND($F38&lt;&gt;"", $F38&gt;=BG$5-4, $F38&lt;=BG$5, COUNTIF($M38:BF38,"u")=0), "u", "")</f>
        <v/>
      </c>
      <c r="BH38" s="80" t="str">
        <f>IF(AND($F38&lt;&gt;"", $F38&gt;=BH$5-4, $F38&lt;=BH$5, COUNTIF($M38:BG38,"u")=0), "u", "")</f>
        <v/>
      </c>
      <c r="BI38" s="80" t="str">
        <f>IF(AND($F38&lt;&gt;"", $F38&gt;=BI$5-4, $F38&lt;=BI$5, COUNTIF($M38:BH38,"u")=0), "u", "")</f>
        <v/>
      </c>
      <c r="BJ38" s="80" t="str">
        <f>IF(AND($F38&lt;&gt;"", $F38&gt;=BJ$5-4, $F38&lt;=BJ$5, COUNTIF($M38:BI38,"u")=0), "u", "")</f>
        <v/>
      </c>
      <c r="BK38" s="80" t="str">
        <f>IF(AND($F38&lt;&gt;"", $F38&gt;=BK$5-4, $F38&lt;=BK$5, COUNTIF($M38:BJ38,"u")=0), "u", "")</f>
        <v/>
      </c>
      <c r="BL38" s="80" t="str">
        <f>IF(AND($F38&lt;&gt;"", $F38&gt;=BL$5-4, $F38&lt;=BL$5, COUNTIF($M38:BK38,"u")=0), "u", "")</f>
        <v/>
      </c>
      <c r="BM38" s="80" t="str">
        <f>IF(AND($F38&lt;&gt;"", $F38&gt;=BM$5-4, $F38&lt;=BM$5, COUNTIF($M38:BL38,"u")=0), "u", "")</f>
        <v/>
      </c>
      <c r="BN38" s="80" t="str">
        <f>IF(AND($F38&lt;&gt;"", $F38&gt;=BN$5-4, $F38&lt;=BN$5, COUNTIF($M38:BM38,"u")=0), "u", "")</f>
        <v/>
      </c>
      <c r="BO38" s="80" t="str">
        <f>IF(AND($F38&lt;&gt;"", $F38&gt;=BO$5-4, $F38&lt;=BO$5, COUNTIF($M38:BN38,"u")=0), "u", "")</f>
        <v/>
      </c>
      <c r="BP38" s="80" t="str">
        <f>IF(AND($F38&lt;&gt;"", $F38&gt;=BP$5-4, $F38&lt;=BP$5, COUNTIF($M38:BO38,"u")=0), "u", "")</f>
        <v/>
      </c>
      <c r="BQ38" s="80" t="str">
        <f>IF(AND($F38&lt;&gt;"", $F38&gt;=BQ$5-4, $F38&lt;=BQ$5, COUNTIF($M38:BP38,"u")=0), "u", "")</f>
        <v/>
      </c>
      <c r="BR38" s="80" t="str">
        <f>IF(AND($F38&lt;&gt;"", $F38&gt;=BR$5-4, $F38&lt;=BR$5, COUNTIF($M38:BQ38,"u")=0), "u", "")</f>
        <v/>
      </c>
      <c r="BS38" s="80" t="str">
        <f>IF(AND($F38&lt;&gt;"", $F38&gt;=BS$5-4, $F38&lt;=BS$5, COUNTIF($M38:BR38,"u")=0), "u", "")</f>
        <v/>
      </c>
      <c r="BT38" s="80" t="str">
        <f>IF(AND($F38&lt;&gt;"", $F38&gt;=BT$5-4, $F38&lt;=BT$5, COUNTIF($M38:BS38,"u")=0), "u", "")</f>
        <v/>
      </c>
      <c r="BU38" s="80" t="str">
        <f>IF(AND($F38&lt;&gt;"", $F38&gt;=BU$5-4, $F38&lt;=BU$5, COUNTIF($M38:BT38,"u")=0), "u", "")</f>
        <v/>
      </c>
      <c r="BV38" s="80" t="str">
        <f>IF(AND($F38&lt;&gt;"", $F38&gt;=BV$5-4, $F38&lt;=BV$5, COUNTIF($M38:BU38,"u")=0), "u", "")</f>
        <v/>
      </c>
      <c r="BW38" s="80" t="str">
        <f>IF(AND($F38&lt;&gt;"", $F38&gt;=BW$5-4, $F38&lt;=BW$5, COUNTIF($M38:BV38,"u")=0), "u", "")</f>
        <v/>
      </c>
      <c r="BX38" s="80" t="str">
        <f>IF(AND($F38&lt;&gt;"", $F38&gt;=BX$5-4, $F38&lt;=BX$5, COUNTIF($M38:BW38,"u")=0), "u", "")</f>
        <v/>
      </c>
      <c r="BY38" s="80" t="str">
        <f>IF(AND($F38&lt;&gt;"", $F38&gt;=BY$5-4, $F38&lt;=BY$5, COUNTIF($M38:BX38,"u")=0), "u", "")</f>
        <v/>
      </c>
      <c r="BZ38" s="80" t="str">
        <f>IF(AND($F38&lt;&gt;"", $F38&gt;=BZ$5-4, $F38&lt;=BZ$5, COUNTIF($M38:BY38,"u")=0), "u", "")</f>
        <v/>
      </c>
      <c r="CA38" s="80" t="str">
        <f>IF(AND($F38&lt;&gt;"", $F38&gt;=CA$5-4, $F38&lt;=CA$5, COUNTIF($M38:BZ38,"u")=0), "u", "")</f>
        <v/>
      </c>
      <c r="CB38" s="80" t="str">
        <f>IF(AND($F38&lt;&gt;"", $F38&gt;=CB$5-4, $F38&lt;=CB$5, COUNTIF($M38:CA38,"u")=0), "u", "")</f>
        <v/>
      </c>
      <c r="CC38" s="80" t="str">
        <f>IF(AND($F38&lt;&gt;"", $F38&gt;=CC$5-4, $F38&lt;=CC$5, COUNTIF($M38:CB38,"u")=0), "u", "")</f>
        <v/>
      </c>
      <c r="CD38" s="80" t="str">
        <f>IF(AND($F38&lt;&gt;"", $F38&gt;=CD$5-4, $F38&lt;=CD$5, COUNTIF($M38:CC38,"u")=0), "u", "")</f>
        <v/>
      </c>
      <c r="CE38" s="80" t="str">
        <f>IF(AND($F38&lt;&gt;"", $F38&gt;=CE$5-4, $F38&lt;=CE$5, COUNTIF($M38:CD38,"u")=0), "u", "")</f>
        <v/>
      </c>
      <c r="CF38" s="80" t="str">
        <f>IF(AND($F38&lt;&gt;"", $F38&gt;=CF$5-4, $F38&lt;=CF$5, COUNTIF($M38:CE38,"u")=0), "u", "")</f>
        <v/>
      </c>
      <c r="CG38" s="80" t="str">
        <f>IF(AND($F38&lt;&gt;"", $F38&gt;=CG$5-4, $F38&lt;=CG$5, COUNTIF($M38:CF38,"u")=0), "u", "")</f>
        <v/>
      </c>
      <c r="CH38" s="80" t="str">
        <f>IF(AND($F38&lt;&gt;"", $F38&gt;=CH$5-4, $F38&lt;=CH$5, COUNTIF($M38:CG38,"u")=0), "u", "")</f>
        <v/>
      </c>
      <c r="CI38" s="80" t="str">
        <f>IF(AND($F38&lt;&gt;"", $F38&gt;=CI$5-4, $F38&lt;=CI$5, COUNTIF($M38:CH38,"u")=0), "u", "")</f>
        <v/>
      </c>
      <c r="CJ38" s="80" t="str">
        <f>IF(AND($F38&lt;&gt;"", $F38&gt;=CJ$5-4, $F38&lt;=CJ$5, COUNTIF($M38:CI38,"u")=0), "u", "")</f>
        <v/>
      </c>
      <c r="CK38" s="80" t="str">
        <f>IF(AND($F38&lt;&gt;"", $F38&gt;=CK$5-4, $F38&lt;=CK$5, COUNTIF($M38:CJ38,"u")=0), "u", "")</f>
        <v/>
      </c>
      <c r="CL38" s="80" t="str">
        <f>IF(AND($F38&lt;&gt;"", $F38&gt;=CL$5-4, $F38&lt;=CL$5, COUNTIF($M38:CK38,"u")=0), "u", "")</f>
        <v/>
      </c>
      <c r="CM38" s="80" t="str">
        <f>IF(AND($F38&lt;&gt;"", $F38&gt;=CM$5-4, $F38&lt;=CM$5, COUNTIF($M38:CL38,"u")=0), "u", "")</f>
        <v/>
      </c>
      <c r="CN38" s="80" t="str">
        <f>IF(AND($F38&lt;&gt;"", $F38&gt;=CN$5-4, $F38&lt;=CN$5, COUNTIF($M38:CM38,"u")=0), "u", "")</f>
        <v/>
      </c>
      <c r="CO38" s="80" t="str">
        <f>IF(AND($F38&lt;&gt;"", $F38&gt;=CO$5-4, $F38&lt;=CO$5, COUNTIF($M38:CN38,"u")=0), "u", "")</f>
        <v/>
      </c>
      <c r="CP38" s="80" t="str">
        <f>IF(AND($F38&lt;&gt;"", $F38&gt;=CP$5-4, $F38&lt;=CP$5, COUNTIF($M38:CO38,"u")=0), "u", "")</f>
        <v/>
      </c>
      <c r="CQ38" s="80" t="str">
        <f>IF(AND($F38&lt;&gt;"", $F38&gt;=CQ$5-4, $F38&lt;=CQ$5, COUNTIF($M38:CP38,"u")=0), "u", "")</f>
        <v/>
      </c>
      <c r="CR38" s="80" t="str">
        <f>IF(AND($F38&lt;&gt;"", $F38&gt;=CR$5-4, $F38&lt;=CR$5, COUNTIF($M38:CQ38,"u")=0), "u", "")</f>
        <v/>
      </c>
      <c r="CS38" s="80" t="str">
        <f>IF(AND($F38&lt;&gt;"", $F38&gt;=CS$5-4, $F38&lt;=CS$5, COUNTIF($M38:CR38,"u")=0), "u", "")</f>
        <v/>
      </c>
      <c r="CT38" s="80" t="str">
        <f>IF(AND($F38&lt;&gt;"", $F38&gt;=CT$5-4, $F38&lt;=CT$5, COUNTIF($M38:CS38,"u")=0), "u", "")</f>
        <v/>
      </c>
      <c r="CU38" s="80" t="str">
        <f>IF(AND($F38&lt;&gt;"", $F38&gt;=CU$5-4, $F38&lt;=CU$5, COUNTIF($M38:CT38,"u")=0), "u", "")</f>
        <v/>
      </c>
      <c r="CV38" s="80" t="str">
        <f>IF(AND($F38&lt;&gt;"", $F38&gt;=CV$5-4, $F38&lt;=CV$5, COUNTIF($M38:CU38,"u")=0), "u", "")</f>
        <v/>
      </c>
      <c r="CW38" s="80" t="str">
        <f>IF(AND($F38&lt;&gt;"", $F38&gt;=CW$5-4, $F38&lt;=CW$5, COUNTIF($M38:CV38,"u")=0), "u", "")</f>
        <v/>
      </c>
      <c r="CX38" s="80" t="str">
        <f>IF(AND($F38&lt;&gt;"", $F38&gt;=CX$5-4, $F38&lt;=CX$5, COUNTIF($M38:CW38,"u")=0), "u", "")</f>
        <v/>
      </c>
      <c r="CY38" s="80" t="str">
        <f>IF(AND($F38&lt;&gt;"", $F38&gt;=CY$5-4, $F38&lt;=CY$5, COUNTIF($M38:CX38,"u")=0), "u", "")</f>
        <v/>
      </c>
      <c r="CZ38" s="80" t="str">
        <f>IF(AND($F38&lt;&gt;"", $F38&gt;=CZ$5-4, $F38&lt;=CZ$5, COUNTIF($M38:CY38,"u")=0), "u", "")</f>
        <v/>
      </c>
      <c r="DA38" s="80" t="str">
        <f>IF(AND($F38&lt;&gt;"", $F38&gt;=DA$5-4, $F38&lt;=DA$5, COUNTIF($M38:CZ38,"u")=0), "u", "")</f>
        <v/>
      </c>
      <c r="DB38" s="80" t="str">
        <f>IF(AND($F38&lt;&gt;"", $F38&gt;=DB$5-4, $F38&lt;=DB$5, COUNTIF($M38:DA38,"u")=0), "u", "")</f>
        <v/>
      </c>
      <c r="DC38" s="80" t="str">
        <f>IF(AND($F38&lt;&gt;"", $F38&gt;=DC$5-4, $F38&lt;=DC$5, COUNTIF($M38:DB38,"u")=0), "u", "")</f>
        <v/>
      </c>
      <c r="DD38" s="80" t="str">
        <f>IF(AND($F38&lt;&gt;"", $F38&gt;=DD$5-4, $F38&lt;=DD$5, COUNTIF($M38:DC38,"u")=0), "u", "")</f>
        <v/>
      </c>
      <c r="DE38" s="80" t="str">
        <f>IF(AND($F38&lt;&gt;"", $F38&gt;=DE$5-4, $F38&lt;=DE$5, COUNTIF($M38:DD38,"u")=0), "u", "")</f>
        <v/>
      </c>
      <c r="DF38" s="80" t="str">
        <f>IF(AND($F38&lt;&gt;"", $F38&gt;=DF$5-4, $F38&lt;=DF$5, COUNTIF($M38:DE38,"u")=0), "u", "")</f>
        <v/>
      </c>
      <c r="DG38" s="80" t="str">
        <f>IF(AND($F38&lt;&gt;"", $F38&gt;=DG$5-4, $F38&lt;=DG$5, COUNTIF($M38:DF38,"u")=0), "u", "")</f>
        <v/>
      </c>
      <c r="DH38" s="80" t="str">
        <f>IF(AND($F38&lt;&gt;"", $F38&gt;=DH$5-4, $F38&lt;=DH$5, COUNTIF($M38:DG38,"u")=0), "u", "")</f>
        <v/>
      </c>
      <c r="DI38" s="80" t="str">
        <f>IF(AND($F38&lt;&gt;"", $F38&gt;=DI$5-4, $F38&lt;=DI$5, COUNTIF($M38:DH38,"u")=0), "u", "")</f>
        <v/>
      </c>
      <c r="DJ38" s="80" t="str">
        <f>IF(AND($F38&lt;&gt;"", $F38&gt;=DJ$5-4, $F38&lt;=DJ$5, COUNTIF($M38:DI38,"u")=0), "u", "")</f>
        <v/>
      </c>
      <c r="DK38" s="80" t="str">
        <f>IF(AND($F38&lt;&gt;"", $F38&gt;=DK$5-4, $F38&lt;=DK$5, COUNTIF($M38:DJ38,"u")=0), "u", "")</f>
        <v/>
      </c>
      <c r="DL38" s="80" t="str">
        <f>IF(AND($F38&lt;&gt;"", $F38&gt;=DL$5-4, $F38&lt;=DL$5, COUNTIF($M38:DK38,"u")=0), "u", "")</f>
        <v/>
      </c>
    </row>
    <row r="39" spans="1:116" ht="25.05" customHeight="1" x14ac:dyDescent="0.3">
      <c r="A39" s="39"/>
      <c r="B39" s="75">
        <v>34</v>
      </c>
      <c r="C39" s="97"/>
      <c r="D39" s="92"/>
      <c r="E39" s="53"/>
      <c r="F39" s="53"/>
      <c r="G39" s="83" t="str">
        <f t="shared" si="47"/>
        <v/>
      </c>
      <c r="H39" s="83" t="str">
        <f t="shared" si="47"/>
        <v/>
      </c>
      <c r="I39" s="77" t="str">
        <f t="shared" si="45"/>
        <v/>
      </c>
      <c r="J39" s="78"/>
      <c r="K39" s="86"/>
      <c r="L39" s="56"/>
      <c r="M39" s="80" t="str">
        <f t="shared" si="46"/>
        <v/>
      </c>
      <c r="N39" s="80" t="str">
        <f>IF(AND($F39&lt;&gt;"", $F39&gt;=N$5-4, $F39&lt;=N$5, COUNTIF($M39:M39,"u")=0), "u", "")</f>
        <v/>
      </c>
      <c r="O39" s="80" t="str">
        <f>IF(AND($F39&lt;&gt;"", $F39&gt;=O$5-4, $F39&lt;=O$5, COUNTIF($M39:N39,"u")=0), "u", "")</f>
        <v/>
      </c>
      <c r="P39" s="80" t="str">
        <f>IF(AND($F39&lt;&gt;"", $F39&gt;=P$5-4, $F39&lt;=P$5, COUNTIF($M39:O39,"u")=0), "u", "")</f>
        <v/>
      </c>
      <c r="Q39" s="80" t="str">
        <f>IF(AND($F39&lt;&gt;"", $F39&gt;=Q$5-4, $F39&lt;=Q$5, COUNTIF($M39:P39,"u")=0), "u", "")</f>
        <v/>
      </c>
      <c r="R39" s="80" t="str">
        <f>IF(AND($F39&lt;&gt;"", $F39&gt;=R$5-4, $F39&lt;=R$5, COUNTIF($M39:Q39,"u")=0), "u", "")</f>
        <v/>
      </c>
      <c r="S39" s="80" t="str">
        <f>IF(AND($F39&lt;&gt;"", $F39&gt;=S$5-4, $F39&lt;=S$5, COUNTIF($M39:R39,"u")=0), "u", "")</f>
        <v/>
      </c>
      <c r="T39" s="80" t="str">
        <f>IF(AND($F39&lt;&gt;"", $F39&gt;=T$5-4, $F39&lt;=T$5, COUNTIF($M39:S39,"u")=0), "u", "")</f>
        <v/>
      </c>
      <c r="U39" s="80" t="str">
        <f>IF(AND($F39&lt;&gt;"", $F39&gt;=U$5-4, $F39&lt;=U$5, COUNTIF($M39:T39,"u")=0), "u", "")</f>
        <v/>
      </c>
      <c r="V39" s="80" t="str">
        <f>IF(AND($F39&lt;&gt;"", $F39&gt;=V$5-4, $F39&lt;=V$5, COUNTIF($M39:U39,"u")=0), "u", "")</f>
        <v/>
      </c>
      <c r="W39" s="80" t="str">
        <f>IF(AND($F39&lt;&gt;"", $F39&gt;=W$5-4, $F39&lt;=W$5, COUNTIF($M39:V39,"u")=0), "u", "")</f>
        <v/>
      </c>
      <c r="X39" s="80" t="str">
        <f>IF(AND($F39&lt;&gt;"", $F39&gt;=X$5-4, $F39&lt;=X$5, COUNTIF($M39:W39,"u")=0), "u", "")</f>
        <v/>
      </c>
      <c r="Y39" s="80" t="str">
        <f>IF(AND($F39&lt;&gt;"", $F39&gt;=Y$5-4, $F39&lt;=Y$5, COUNTIF($M39:X39,"u")=0), "u", "")</f>
        <v/>
      </c>
      <c r="Z39" s="80" t="str">
        <f>IF(AND($F39&lt;&gt;"", $F39&gt;=Z$5-4, $F39&lt;=Z$5, COUNTIF($M39:Y39,"u")=0), "u", "")</f>
        <v/>
      </c>
      <c r="AA39" s="80" t="str">
        <f>IF(AND($F39&lt;&gt;"", $F39&gt;=AA$5-4, $F39&lt;=AA$5, COUNTIF($M39:Z39,"u")=0), "u", "")</f>
        <v/>
      </c>
      <c r="AB39" s="80" t="str">
        <f>IF(AND($F39&lt;&gt;"", $F39&gt;=AB$5-4, $F39&lt;=AB$5, COUNTIF($M39:AA39,"u")=0), "u", "")</f>
        <v/>
      </c>
      <c r="AC39" s="80" t="str">
        <f>IF(AND($F39&lt;&gt;"", $F39&gt;=AC$5-4, $F39&lt;=AC$5, COUNTIF($M39:AB39,"u")=0), "u", "")</f>
        <v/>
      </c>
      <c r="AD39" s="80" t="str">
        <f>IF(AND($F39&lt;&gt;"", $F39&gt;=AD$5-4, $F39&lt;=AD$5, COUNTIF($M39:AC39,"u")=0), "u", "")</f>
        <v/>
      </c>
      <c r="AE39" s="80" t="str">
        <f>IF(AND($F39&lt;&gt;"", $F39&gt;=AE$5-4, $F39&lt;=AE$5, COUNTIF($M39:AD39,"u")=0), "u", "")</f>
        <v/>
      </c>
      <c r="AF39" s="80" t="str">
        <f>IF(AND($F39&lt;&gt;"", $F39&gt;=AF$5-4, $F39&lt;=AF$5, COUNTIF($M39:AE39,"u")=0), "u", "")</f>
        <v/>
      </c>
      <c r="AG39" s="80" t="str">
        <f>IF(AND($F39&lt;&gt;"", $F39&gt;=AG$5-4, $F39&lt;=AG$5, COUNTIF($M39:AF39,"u")=0), "u", "")</f>
        <v/>
      </c>
      <c r="AH39" s="80" t="str">
        <f>IF(AND($F39&lt;&gt;"", $F39&gt;=AH$5-4, $F39&lt;=AH$5, COUNTIF($M39:AG39,"u")=0), "u", "")</f>
        <v/>
      </c>
      <c r="AI39" s="80" t="str">
        <f>IF(AND($F39&lt;&gt;"", $F39&gt;=AI$5-4, $F39&lt;=AI$5, COUNTIF($M39:AH39,"u")=0), "u", "")</f>
        <v/>
      </c>
      <c r="AJ39" s="80" t="str">
        <f>IF(AND($F39&lt;&gt;"", $F39&gt;=AJ$5-4, $F39&lt;=AJ$5, COUNTIF($M39:AI39,"u")=0), "u", "")</f>
        <v/>
      </c>
      <c r="AK39" s="80" t="str">
        <f>IF(AND($F39&lt;&gt;"", $F39&gt;=AK$5-4, $F39&lt;=AK$5, COUNTIF($M39:AJ39,"u")=0), "u", "")</f>
        <v/>
      </c>
      <c r="AL39" s="80" t="str">
        <f>IF(AND($F39&lt;&gt;"", $F39&gt;=AL$5-4, $F39&lt;=AL$5, COUNTIF($M39:AK39,"u")=0), "u", "")</f>
        <v/>
      </c>
      <c r="AM39" s="80" t="str">
        <f>IF(AND($F39&lt;&gt;"", $F39&gt;=AM$5-4, $F39&lt;=AM$5, COUNTIF($M39:AL39,"u")=0), "u", "")</f>
        <v/>
      </c>
      <c r="AN39" s="80" t="str">
        <f>IF(AND($F39&lt;&gt;"", $F39&gt;=AN$5-4, $F39&lt;=AN$5, COUNTIF($M39:AM39,"u")=0), "u", "")</f>
        <v/>
      </c>
      <c r="AO39" s="80" t="str">
        <f>IF(AND($F39&lt;&gt;"", $F39&gt;=AO$5-4, $F39&lt;=AO$5, COUNTIF($M39:AN39,"u")=0), "u", "")</f>
        <v/>
      </c>
      <c r="AP39" s="80" t="str">
        <f>IF(AND($F39&lt;&gt;"", $F39&gt;=AP$5-4, $F39&lt;=AP$5, COUNTIF($M39:AO39,"u")=0), "u", "")</f>
        <v/>
      </c>
      <c r="AQ39" s="80" t="str">
        <f>IF(AND($F39&lt;&gt;"", $F39&gt;=AQ$5-4, $F39&lt;=AQ$5, COUNTIF($M39:AP39,"u")=0), "u", "")</f>
        <v/>
      </c>
      <c r="AR39" s="80" t="str">
        <f>IF(AND($F39&lt;&gt;"", $F39&gt;=AR$5-4, $F39&lt;=AR$5, COUNTIF($M39:AQ39,"u")=0), "u", "")</f>
        <v/>
      </c>
      <c r="AS39" s="80" t="str">
        <f>IF(AND($F39&lt;&gt;"", $F39&gt;=AS$5-4, $F39&lt;=AS$5, COUNTIF($M39:AR39,"u")=0), "u", "")</f>
        <v/>
      </c>
      <c r="AT39" s="80" t="str">
        <f>IF(AND($F39&lt;&gt;"", $F39&gt;=AT$5-4, $F39&lt;=AT$5, COUNTIF($M39:AS39,"u")=0), "u", "")</f>
        <v/>
      </c>
      <c r="AU39" s="80" t="str">
        <f>IF(AND($F39&lt;&gt;"", $F39&gt;=AU$5-4, $F39&lt;=AU$5, COUNTIF($M39:AT39,"u")=0), "u", "")</f>
        <v/>
      </c>
      <c r="AV39" s="80" t="str">
        <f>IF(AND($F39&lt;&gt;"", $F39&gt;=AV$5-4, $F39&lt;=AV$5, COUNTIF($M39:AU39,"u")=0), "u", "")</f>
        <v/>
      </c>
      <c r="AW39" s="80" t="str">
        <f>IF(AND($F39&lt;&gt;"", $F39&gt;=AW$5-4, $F39&lt;=AW$5, COUNTIF($M39:AV39,"u")=0), "u", "")</f>
        <v/>
      </c>
      <c r="AX39" s="80" t="str">
        <f>IF(AND($F39&lt;&gt;"", $F39&gt;=AX$5-4, $F39&lt;=AX$5, COUNTIF($M39:AW39,"u")=0), "u", "")</f>
        <v/>
      </c>
      <c r="AY39" s="80" t="str">
        <f>IF(AND($F39&lt;&gt;"", $F39&gt;=AY$5-4, $F39&lt;=AY$5, COUNTIF($M39:AX39,"u")=0), "u", "")</f>
        <v/>
      </c>
      <c r="AZ39" s="80" t="str">
        <f>IF(AND($F39&lt;&gt;"", $F39&gt;=AZ$5-4, $F39&lt;=AZ$5, COUNTIF($M39:AY39,"u")=0), "u", "")</f>
        <v/>
      </c>
      <c r="BA39" s="80" t="str">
        <f>IF(AND($F39&lt;&gt;"", $F39&gt;=BA$5-4, $F39&lt;=BA$5, COUNTIF($M39:AZ39,"u")=0), "u", "")</f>
        <v/>
      </c>
      <c r="BB39" s="80" t="str">
        <f>IF(AND($F39&lt;&gt;"", $F39&gt;=BB$5-4, $F39&lt;=BB$5, COUNTIF($M39:BA39,"u")=0), "u", "")</f>
        <v/>
      </c>
      <c r="BC39" s="80" t="str">
        <f>IF(AND($F39&lt;&gt;"", $F39&gt;=BC$5-4, $F39&lt;=BC$5, COUNTIF($M39:BB39,"u")=0), "u", "")</f>
        <v/>
      </c>
      <c r="BD39" s="80" t="str">
        <f>IF(AND($F39&lt;&gt;"", $F39&gt;=BD$5-4, $F39&lt;=BD$5, COUNTIF($M39:BC39,"u")=0), "u", "")</f>
        <v/>
      </c>
      <c r="BE39" s="80" t="str">
        <f>IF(AND($F39&lt;&gt;"", $F39&gt;=BE$5-4, $F39&lt;=BE$5, COUNTIF($M39:BD39,"u")=0), "u", "")</f>
        <v/>
      </c>
      <c r="BF39" s="80" t="str">
        <f>IF(AND($F39&lt;&gt;"", $F39&gt;=BF$5-4, $F39&lt;=BF$5, COUNTIF($M39:BE39,"u")=0), "u", "")</f>
        <v/>
      </c>
      <c r="BG39" s="80" t="str">
        <f>IF(AND($F39&lt;&gt;"", $F39&gt;=BG$5-4, $F39&lt;=BG$5, COUNTIF($M39:BF39,"u")=0), "u", "")</f>
        <v/>
      </c>
      <c r="BH39" s="80" t="str">
        <f>IF(AND($F39&lt;&gt;"", $F39&gt;=BH$5-4, $F39&lt;=BH$5, COUNTIF($M39:BG39,"u")=0), "u", "")</f>
        <v/>
      </c>
      <c r="BI39" s="80" t="str">
        <f>IF(AND($F39&lt;&gt;"", $F39&gt;=BI$5-4, $F39&lt;=BI$5, COUNTIF($M39:BH39,"u")=0), "u", "")</f>
        <v/>
      </c>
      <c r="BJ39" s="80" t="str">
        <f>IF(AND($F39&lt;&gt;"", $F39&gt;=BJ$5-4, $F39&lt;=BJ$5, COUNTIF($M39:BI39,"u")=0), "u", "")</f>
        <v/>
      </c>
      <c r="BK39" s="80" t="str">
        <f>IF(AND($F39&lt;&gt;"", $F39&gt;=BK$5-4, $F39&lt;=BK$5, COUNTIF($M39:BJ39,"u")=0), "u", "")</f>
        <v/>
      </c>
      <c r="BL39" s="80" t="str">
        <f>IF(AND($F39&lt;&gt;"", $F39&gt;=BL$5-4, $F39&lt;=BL$5, COUNTIF($M39:BK39,"u")=0), "u", "")</f>
        <v/>
      </c>
      <c r="BM39" s="80" t="str">
        <f>IF(AND($F39&lt;&gt;"", $F39&gt;=BM$5-4, $F39&lt;=BM$5, COUNTIF($M39:BL39,"u")=0), "u", "")</f>
        <v/>
      </c>
      <c r="BN39" s="80" t="str">
        <f>IF(AND($F39&lt;&gt;"", $F39&gt;=BN$5-4, $F39&lt;=BN$5, COUNTIF($M39:BM39,"u")=0), "u", "")</f>
        <v/>
      </c>
      <c r="BO39" s="80" t="str">
        <f>IF(AND($F39&lt;&gt;"", $F39&gt;=BO$5-4, $F39&lt;=BO$5, COUNTIF($M39:BN39,"u")=0), "u", "")</f>
        <v/>
      </c>
      <c r="BP39" s="80" t="str">
        <f>IF(AND($F39&lt;&gt;"", $F39&gt;=BP$5-4, $F39&lt;=BP$5, COUNTIF($M39:BO39,"u")=0), "u", "")</f>
        <v/>
      </c>
      <c r="BQ39" s="80" t="str">
        <f>IF(AND($F39&lt;&gt;"", $F39&gt;=BQ$5-4, $F39&lt;=BQ$5, COUNTIF($M39:BP39,"u")=0), "u", "")</f>
        <v/>
      </c>
      <c r="BR39" s="80" t="str">
        <f>IF(AND($F39&lt;&gt;"", $F39&gt;=BR$5-4, $F39&lt;=BR$5, COUNTIF($M39:BQ39,"u")=0), "u", "")</f>
        <v/>
      </c>
      <c r="BS39" s="80" t="str">
        <f>IF(AND($F39&lt;&gt;"", $F39&gt;=BS$5-4, $F39&lt;=BS$5, COUNTIF($M39:BR39,"u")=0), "u", "")</f>
        <v/>
      </c>
      <c r="BT39" s="80" t="str">
        <f>IF(AND($F39&lt;&gt;"", $F39&gt;=BT$5-4, $F39&lt;=BT$5, COUNTIF($M39:BS39,"u")=0), "u", "")</f>
        <v/>
      </c>
      <c r="BU39" s="80" t="str">
        <f>IF(AND($F39&lt;&gt;"", $F39&gt;=BU$5-4, $F39&lt;=BU$5, COUNTIF($M39:BT39,"u")=0), "u", "")</f>
        <v/>
      </c>
      <c r="BV39" s="80" t="str">
        <f>IF(AND($F39&lt;&gt;"", $F39&gt;=BV$5-4, $F39&lt;=BV$5, COUNTIF($M39:BU39,"u")=0), "u", "")</f>
        <v/>
      </c>
      <c r="BW39" s="80" t="str">
        <f>IF(AND($F39&lt;&gt;"", $F39&gt;=BW$5-4, $F39&lt;=BW$5, COUNTIF($M39:BV39,"u")=0), "u", "")</f>
        <v/>
      </c>
      <c r="BX39" s="80" t="str">
        <f>IF(AND($F39&lt;&gt;"", $F39&gt;=BX$5-4, $F39&lt;=BX$5, COUNTIF($M39:BW39,"u")=0), "u", "")</f>
        <v/>
      </c>
      <c r="BY39" s="80" t="str">
        <f>IF(AND($F39&lt;&gt;"", $F39&gt;=BY$5-4, $F39&lt;=BY$5, COUNTIF($M39:BX39,"u")=0), "u", "")</f>
        <v/>
      </c>
      <c r="BZ39" s="80" t="str">
        <f>IF(AND($F39&lt;&gt;"", $F39&gt;=BZ$5-4, $F39&lt;=BZ$5, COUNTIF($M39:BY39,"u")=0), "u", "")</f>
        <v/>
      </c>
      <c r="CA39" s="80" t="str">
        <f>IF(AND($F39&lt;&gt;"", $F39&gt;=CA$5-4, $F39&lt;=CA$5, COUNTIF($M39:BZ39,"u")=0), "u", "")</f>
        <v/>
      </c>
      <c r="CB39" s="80" t="str">
        <f>IF(AND($F39&lt;&gt;"", $F39&gt;=CB$5-4, $F39&lt;=CB$5, COUNTIF($M39:CA39,"u")=0), "u", "")</f>
        <v/>
      </c>
      <c r="CC39" s="80" t="str">
        <f>IF(AND($F39&lt;&gt;"", $F39&gt;=CC$5-4, $F39&lt;=CC$5, COUNTIF($M39:CB39,"u")=0), "u", "")</f>
        <v/>
      </c>
      <c r="CD39" s="80" t="str">
        <f>IF(AND($F39&lt;&gt;"", $F39&gt;=CD$5-4, $F39&lt;=CD$5, COUNTIF($M39:CC39,"u")=0), "u", "")</f>
        <v/>
      </c>
      <c r="CE39" s="80" t="str">
        <f>IF(AND($F39&lt;&gt;"", $F39&gt;=CE$5-4, $F39&lt;=CE$5, COUNTIF($M39:CD39,"u")=0), "u", "")</f>
        <v/>
      </c>
      <c r="CF39" s="80" t="str">
        <f>IF(AND($F39&lt;&gt;"", $F39&gt;=CF$5-4, $F39&lt;=CF$5, COUNTIF($M39:CE39,"u")=0), "u", "")</f>
        <v/>
      </c>
      <c r="CG39" s="80" t="str">
        <f>IF(AND($F39&lt;&gt;"", $F39&gt;=CG$5-4, $F39&lt;=CG$5, COUNTIF($M39:CF39,"u")=0), "u", "")</f>
        <v/>
      </c>
      <c r="CH39" s="80" t="str">
        <f>IF(AND($F39&lt;&gt;"", $F39&gt;=CH$5-4, $F39&lt;=CH$5, COUNTIF($M39:CG39,"u")=0), "u", "")</f>
        <v/>
      </c>
      <c r="CI39" s="80" t="str">
        <f>IF(AND($F39&lt;&gt;"", $F39&gt;=CI$5-4, $F39&lt;=CI$5, COUNTIF($M39:CH39,"u")=0), "u", "")</f>
        <v/>
      </c>
      <c r="CJ39" s="80" t="str">
        <f>IF(AND($F39&lt;&gt;"", $F39&gt;=CJ$5-4, $F39&lt;=CJ$5, COUNTIF($M39:CI39,"u")=0), "u", "")</f>
        <v/>
      </c>
      <c r="CK39" s="80" t="str">
        <f>IF(AND($F39&lt;&gt;"", $F39&gt;=CK$5-4, $F39&lt;=CK$5, COUNTIF($M39:CJ39,"u")=0), "u", "")</f>
        <v/>
      </c>
      <c r="CL39" s="80" t="str">
        <f>IF(AND($F39&lt;&gt;"", $F39&gt;=CL$5-4, $F39&lt;=CL$5, COUNTIF($M39:CK39,"u")=0), "u", "")</f>
        <v/>
      </c>
      <c r="CM39" s="80" t="str">
        <f>IF(AND($F39&lt;&gt;"", $F39&gt;=CM$5-4, $F39&lt;=CM$5, COUNTIF($M39:CL39,"u")=0), "u", "")</f>
        <v/>
      </c>
      <c r="CN39" s="80" t="str">
        <f>IF(AND($F39&lt;&gt;"", $F39&gt;=CN$5-4, $F39&lt;=CN$5, COUNTIF($M39:CM39,"u")=0), "u", "")</f>
        <v/>
      </c>
      <c r="CO39" s="80" t="str">
        <f>IF(AND($F39&lt;&gt;"", $F39&gt;=CO$5-4, $F39&lt;=CO$5, COUNTIF($M39:CN39,"u")=0), "u", "")</f>
        <v/>
      </c>
      <c r="CP39" s="80" t="str">
        <f>IF(AND($F39&lt;&gt;"", $F39&gt;=CP$5-4, $F39&lt;=CP$5, COUNTIF($M39:CO39,"u")=0), "u", "")</f>
        <v/>
      </c>
      <c r="CQ39" s="80" t="str">
        <f>IF(AND($F39&lt;&gt;"", $F39&gt;=CQ$5-4, $F39&lt;=CQ$5, COUNTIF($M39:CP39,"u")=0), "u", "")</f>
        <v/>
      </c>
      <c r="CR39" s="80" t="str">
        <f>IF(AND($F39&lt;&gt;"", $F39&gt;=CR$5-4, $F39&lt;=CR$5, COUNTIF($M39:CQ39,"u")=0), "u", "")</f>
        <v/>
      </c>
      <c r="CS39" s="80" t="str">
        <f>IF(AND($F39&lt;&gt;"", $F39&gt;=CS$5-4, $F39&lt;=CS$5, COUNTIF($M39:CR39,"u")=0), "u", "")</f>
        <v/>
      </c>
      <c r="CT39" s="80" t="str">
        <f>IF(AND($F39&lt;&gt;"", $F39&gt;=CT$5-4, $F39&lt;=CT$5, COUNTIF($M39:CS39,"u")=0), "u", "")</f>
        <v/>
      </c>
      <c r="CU39" s="80" t="str">
        <f>IF(AND($F39&lt;&gt;"", $F39&gt;=CU$5-4, $F39&lt;=CU$5, COUNTIF($M39:CT39,"u")=0), "u", "")</f>
        <v/>
      </c>
      <c r="CV39" s="80" t="str">
        <f>IF(AND($F39&lt;&gt;"", $F39&gt;=CV$5-4, $F39&lt;=CV$5, COUNTIF($M39:CU39,"u")=0), "u", "")</f>
        <v/>
      </c>
      <c r="CW39" s="80" t="str">
        <f>IF(AND($F39&lt;&gt;"", $F39&gt;=CW$5-4, $F39&lt;=CW$5, COUNTIF($M39:CV39,"u")=0), "u", "")</f>
        <v/>
      </c>
      <c r="CX39" s="80" t="str">
        <f>IF(AND($F39&lt;&gt;"", $F39&gt;=CX$5-4, $F39&lt;=CX$5, COUNTIF($M39:CW39,"u")=0), "u", "")</f>
        <v/>
      </c>
      <c r="CY39" s="80" t="str">
        <f>IF(AND($F39&lt;&gt;"", $F39&gt;=CY$5-4, $F39&lt;=CY$5, COUNTIF($M39:CX39,"u")=0), "u", "")</f>
        <v/>
      </c>
      <c r="CZ39" s="80" t="str">
        <f>IF(AND($F39&lt;&gt;"", $F39&gt;=CZ$5-4, $F39&lt;=CZ$5, COUNTIF($M39:CY39,"u")=0), "u", "")</f>
        <v/>
      </c>
      <c r="DA39" s="80" t="str">
        <f>IF(AND($F39&lt;&gt;"", $F39&gt;=DA$5-4, $F39&lt;=DA$5, COUNTIF($M39:CZ39,"u")=0), "u", "")</f>
        <v/>
      </c>
      <c r="DB39" s="80" t="str">
        <f>IF(AND($F39&lt;&gt;"", $F39&gt;=DB$5-4, $F39&lt;=DB$5, COUNTIF($M39:DA39,"u")=0), "u", "")</f>
        <v/>
      </c>
      <c r="DC39" s="80" t="str">
        <f>IF(AND($F39&lt;&gt;"", $F39&gt;=DC$5-4, $F39&lt;=DC$5, COUNTIF($M39:DB39,"u")=0), "u", "")</f>
        <v/>
      </c>
      <c r="DD39" s="80" t="str">
        <f>IF(AND($F39&lt;&gt;"", $F39&gt;=DD$5-4, $F39&lt;=DD$5, COUNTIF($M39:DC39,"u")=0), "u", "")</f>
        <v/>
      </c>
      <c r="DE39" s="80" t="str">
        <f>IF(AND($F39&lt;&gt;"", $F39&gt;=DE$5-4, $F39&lt;=DE$5, COUNTIF($M39:DD39,"u")=0), "u", "")</f>
        <v/>
      </c>
      <c r="DF39" s="80" t="str">
        <f>IF(AND($F39&lt;&gt;"", $F39&gt;=DF$5-4, $F39&lt;=DF$5, COUNTIF($M39:DE39,"u")=0), "u", "")</f>
        <v/>
      </c>
      <c r="DG39" s="80" t="str">
        <f>IF(AND($F39&lt;&gt;"", $F39&gt;=DG$5-4, $F39&lt;=DG$5, COUNTIF($M39:DF39,"u")=0), "u", "")</f>
        <v/>
      </c>
      <c r="DH39" s="80" t="str">
        <f>IF(AND($F39&lt;&gt;"", $F39&gt;=DH$5-4, $F39&lt;=DH$5, COUNTIF($M39:DG39,"u")=0), "u", "")</f>
        <v/>
      </c>
      <c r="DI39" s="80" t="str">
        <f>IF(AND($F39&lt;&gt;"", $F39&gt;=DI$5-4, $F39&lt;=DI$5, COUNTIF($M39:DH39,"u")=0), "u", "")</f>
        <v/>
      </c>
      <c r="DJ39" s="80" t="str">
        <f>IF(AND($F39&lt;&gt;"", $F39&gt;=DJ$5-4, $F39&lt;=DJ$5, COUNTIF($M39:DI39,"u")=0), "u", "")</f>
        <v/>
      </c>
      <c r="DK39" s="80" t="str">
        <f>IF(AND($F39&lt;&gt;"", $F39&gt;=DK$5-4, $F39&lt;=DK$5, COUNTIF($M39:DJ39,"u")=0), "u", "")</f>
        <v/>
      </c>
      <c r="DL39" s="80" t="str">
        <f>IF(AND($F39&lt;&gt;"", $F39&gt;=DL$5-4, $F39&lt;=DL$5, COUNTIF($M39:DK39,"u")=0), "u", "")</f>
        <v/>
      </c>
    </row>
    <row r="40" spans="1:116" ht="25.05" customHeight="1" x14ac:dyDescent="0.3">
      <c r="A40" s="39"/>
      <c r="B40" s="75">
        <v>35</v>
      </c>
      <c r="C40" s="97"/>
      <c r="D40" s="92"/>
      <c r="E40" s="53"/>
      <c r="F40" s="53"/>
      <c r="G40" s="83" t="str">
        <f t="shared" si="47"/>
        <v/>
      </c>
      <c r="H40" s="83" t="str">
        <f t="shared" si="47"/>
        <v/>
      </c>
      <c r="I40" s="77" t="str">
        <f t="shared" si="45"/>
        <v/>
      </c>
      <c r="J40" s="78"/>
      <c r="K40" s="86"/>
      <c r="L40" s="56"/>
      <c r="M40" s="80" t="str">
        <f t="shared" si="46"/>
        <v/>
      </c>
      <c r="N40" s="80" t="str">
        <f>IF(AND($F40&lt;&gt;"", $F40&gt;=N$5-4, $F40&lt;=N$5, COUNTIF($M40:M40,"u")=0), "u", "")</f>
        <v/>
      </c>
      <c r="O40" s="80" t="str">
        <f>IF(AND($F40&lt;&gt;"", $F40&gt;=O$5-4, $F40&lt;=O$5, COUNTIF($M40:N40,"u")=0), "u", "")</f>
        <v/>
      </c>
      <c r="P40" s="80" t="str">
        <f>IF(AND($F40&lt;&gt;"", $F40&gt;=P$5-4, $F40&lt;=P$5, COUNTIF($M40:O40,"u")=0), "u", "")</f>
        <v/>
      </c>
      <c r="Q40" s="80" t="str">
        <f>IF(AND($F40&lt;&gt;"", $F40&gt;=Q$5-4, $F40&lt;=Q$5, COUNTIF($M40:P40,"u")=0), "u", "")</f>
        <v/>
      </c>
      <c r="R40" s="80" t="str">
        <f>IF(AND($F40&lt;&gt;"", $F40&gt;=R$5-4, $F40&lt;=R$5, COUNTIF($M40:Q40,"u")=0), "u", "")</f>
        <v/>
      </c>
      <c r="S40" s="80" t="str">
        <f>IF(AND($F40&lt;&gt;"", $F40&gt;=S$5-4, $F40&lt;=S$5, COUNTIF($M40:R40,"u")=0), "u", "")</f>
        <v/>
      </c>
      <c r="T40" s="80" t="str">
        <f>IF(AND($F40&lt;&gt;"", $F40&gt;=T$5-4, $F40&lt;=T$5, COUNTIF($M40:S40,"u")=0), "u", "")</f>
        <v/>
      </c>
      <c r="U40" s="80" t="str">
        <f>IF(AND($F40&lt;&gt;"", $F40&gt;=U$5-4, $F40&lt;=U$5, COUNTIF($M40:T40,"u")=0), "u", "")</f>
        <v/>
      </c>
      <c r="V40" s="80" t="str">
        <f>IF(AND($F40&lt;&gt;"", $F40&gt;=V$5-4, $F40&lt;=V$5, COUNTIF($M40:U40,"u")=0), "u", "")</f>
        <v/>
      </c>
      <c r="W40" s="80" t="str">
        <f>IF(AND($F40&lt;&gt;"", $F40&gt;=W$5-4, $F40&lt;=W$5, COUNTIF($M40:V40,"u")=0), "u", "")</f>
        <v/>
      </c>
      <c r="X40" s="80" t="str">
        <f>IF(AND($F40&lt;&gt;"", $F40&gt;=X$5-4, $F40&lt;=X$5, COUNTIF($M40:W40,"u")=0), "u", "")</f>
        <v/>
      </c>
      <c r="Y40" s="80" t="str">
        <f>IF(AND($F40&lt;&gt;"", $F40&gt;=Y$5-4, $F40&lt;=Y$5, COUNTIF($M40:X40,"u")=0), "u", "")</f>
        <v/>
      </c>
      <c r="Z40" s="80" t="str">
        <f>IF(AND($F40&lt;&gt;"", $F40&gt;=Z$5-4, $F40&lt;=Z$5, COUNTIF($M40:Y40,"u")=0), "u", "")</f>
        <v/>
      </c>
      <c r="AA40" s="80" t="str">
        <f>IF(AND($F40&lt;&gt;"", $F40&gt;=AA$5-4, $F40&lt;=AA$5, COUNTIF($M40:Z40,"u")=0), "u", "")</f>
        <v/>
      </c>
      <c r="AB40" s="80" t="str">
        <f>IF(AND($F40&lt;&gt;"", $F40&gt;=AB$5-4, $F40&lt;=AB$5, COUNTIF($M40:AA40,"u")=0), "u", "")</f>
        <v/>
      </c>
      <c r="AC40" s="80" t="str">
        <f>IF(AND($F40&lt;&gt;"", $F40&gt;=AC$5-4, $F40&lt;=AC$5, COUNTIF($M40:AB40,"u")=0), "u", "")</f>
        <v/>
      </c>
      <c r="AD40" s="80" t="str">
        <f>IF(AND($F40&lt;&gt;"", $F40&gt;=AD$5-4, $F40&lt;=AD$5, COUNTIF($M40:AC40,"u")=0), "u", "")</f>
        <v/>
      </c>
      <c r="AE40" s="80" t="str">
        <f>IF(AND($F40&lt;&gt;"", $F40&gt;=AE$5-4, $F40&lt;=AE$5, COUNTIF($M40:AD40,"u")=0), "u", "")</f>
        <v/>
      </c>
      <c r="AF40" s="80" t="str">
        <f>IF(AND($F40&lt;&gt;"", $F40&gt;=AF$5-4, $F40&lt;=AF$5, COUNTIF($M40:AE40,"u")=0), "u", "")</f>
        <v/>
      </c>
      <c r="AG40" s="80" t="str">
        <f>IF(AND($F40&lt;&gt;"", $F40&gt;=AG$5-4, $F40&lt;=AG$5, COUNTIF($M40:AF40,"u")=0), "u", "")</f>
        <v/>
      </c>
      <c r="AH40" s="80" t="str">
        <f>IF(AND($F40&lt;&gt;"", $F40&gt;=AH$5-4, $F40&lt;=AH$5, COUNTIF($M40:AG40,"u")=0), "u", "")</f>
        <v/>
      </c>
      <c r="AI40" s="80" t="str">
        <f>IF(AND($F40&lt;&gt;"", $F40&gt;=AI$5-4, $F40&lt;=AI$5, COUNTIF($M40:AH40,"u")=0), "u", "")</f>
        <v/>
      </c>
      <c r="AJ40" s="80" t="str">
        <f>IF(AND($F40&lt;&gt;"", $F40&gt;=AJ$5-4, $F40&lt;=AJ$5, COUNTIF($M40:AI40,"u")=0), "u", "")</f>
        <v/>
      </c>
      <c r="AK40" s="80" t="str">
        <f>IF(AND($F40&lt;&gt;"", $F40&gt;=AK$5-4, $F40&lt;=AK$5, COUNTIF($M40:AJ40,"u")=0), "u", "")</f>
        <v/>
      </c>
      <c r="AL40" s="80" t="str">
        <f>IF(AND($F40&lt;&gt;"", $F40&gt;=AL$5-4, $F40&lt;=AL$5, COUNTIF($M40:AK40,"u")=0), "u", "")</f>
        <v/>
      </c>
      <c r="AM40" s="80" t="str">
        <f>IF(AND($F40&lt;&gt;"", $F40&gt;=AM$5-4, $F40&lt;=AM$5, COUNTIF($M40:AL40,"u")=0), "u", "")</f>
        <v/>
      </c>
      <c r="AN40" s="80" t="str">
        <f>IF(AND($F40&lt;&gt;"", $F40&gt;=AN$5-4, $F40&lt;=AN$5, COUNTIF($M40:AM40,"u")=0), "u", "")</f>
        <v/>
      </c>
      <c r="AO40" s="80" t="str">
        <f>IF(AND($F40&lt;&gt;"", $F40&gt;=AO$5-4, $F40&lt;=AO$5, COUNTIF($M40:AN40,"u")=0), "u", "")</f>
        <v/>
      </c>
      <c r="AP40" s="80" t="str">
        <f>IF(AND($F40&lt;&gt;"", $F40&gt;=AP$5-4, $F40&lt;=AP$5, COUNTIF($M40:AO40,"u")=0), "u", "")</f>
        <v/>
      </c>
      <c r="AQ40" s="80" t="str">
        <f>IF(AND($F40&lt;&gt;"", $F40&gt;=AQ$5-4, $F40&lt;=AQ$5, COUNTIF($M40:AP40,"u")=0), "u", "")</f>
        <v/>
      </c>
      <c r="AR40" s="80" t="str">
        <f>IF(AND($F40&lt;&gt;"", $F40&gt;=AR$5-4, $F40&lt;=AR$5, COUNTIF($M40:AQ40,"u")=0), "u", "")</f>
        <v/>
      </c>
      <c r="AS40" s="80" t="str">
        <f>IF(AND($F40&lt;&gt;"", $F40&gt;=AS$5-4, $F40&lt;=AS$5, COUNTIF($M40:AR40,"u")=0), "u", "")</f>
        <v/>
      </c>
      <c r="AT40" s="80" t="str">
        <f>IF(AND($F40&lt;&gt;"", $F40&gt;=AT$5-4, $F40&lt;=AT$5, COUNTIF($M40:AS40,"u")=0), "u", "")</f>
        <v/>
      </c>
      <c r="AU40" s="80" t="str">
        <f>IF(AND($F40&lt;&gt;"", $F40&gt;=AU$5-4, $F40&lt;=AU$5, COUNTIF($M40:AT40,"u")=0), "u", "")</f>
        <v/>
      </c>
      <c r="AV40" s="80" t="str">
        <f>IF(AND($F40&lt;&gt;"", $F40&gt;=AV$5-4, $F40&lt;=AV$5, COUNTIF($M40:AU40,"u")=0), "u", "")</f>
        <v/>
      </c>
      <c r="AW40" s="80" t="str">
        <f>IF(AND($F40&lt;&gt;"", $F40&gt;=AW$5-4, $F40&lt;=AW$5, COUNTIF($M40:AV40,"u")=0), "u", "")</f>
        <v/>
      </c>
      <c r="AX40" s="80" t="str">
        <f>IF(AND($F40&lt;&gt;"", $F40&gt;=AX$5-4, $F40&lt;=AX$5, COUNTIF($M40:AW40,"u")=0), "u", "")</f>
        <v/>
      </c>
      <c r="AY40" s="80" t="str">
        <f>IF(AND($F40&lt;&gt;"", $F40&gt;=AY$5-4, $F40&lt;=AY$5, COUNTIF($M40:AX40,"u")=0), "u", "")</f>
        <v/>
      </c>
      <c r="AZ40" s="80" t="str">
        <f>IF(AND($F40&lt;&gt;"", $F40&gt;=AZ$5-4, $F40&lt;=AZ$5, COUNTIF($M40:AY40,"u")=0), "u", "")</f>
        <v/>
      </c>
      <c r="BA40" s="80" t="str">
        <f>IF(AND($F40&lt;&gt;"", $F40&gt;=BA$5-4, $F40&lt;=BA$5, COUNTIF($M40:AZ40,"u")=0), "u", "")</f>
        <v/>
      </c>
      <c r="BB40" s="80" t="str">
        <f>IF(AND($F40&lt;&gt;"", $F40&gt;=BB$5-4, $F40&lt;=BB$5, COUNTIF($M40:BA40,"u")=0), "u", "")</f>
        <v/>
      </c>
      <c r="BC40" s="80" t="str">
        <f>IF(AND($F40&lt;&gt;"", $F40&gt;=BC$5-4, $F40&lt;=BC$5, COUNTIF($M40:BB40,"u")=0), "u", "")</f>
        <v/>
      </c>
      <c r="BD40" s="80" t="str">
        <f>IF(AND($F40&lt;&gt;"", $F40&gt;=BD$5-4, $F40&lt;=BD$5, COUNTIF($M40:BC40,"u")=0), "u", "")</f>
        <v/>
      </c>
      <c r="BE40" s="80" t="str">
        <f>IF(AND($F40&lt;&gt;"", $F40&gt;=BE$5-4, $F40&lt;=BE$5, COUNTIF($M40:BD40,"u")=0), "u", "")</f>
        <v/>
      </c>
      <c r="BF40" s="80" t="str">
        <f>IF(AND($F40&lt;&gt;"", $F40&gt;=BF$5-4, $F40&lt;=BF$5, COUNTIF($M40:BE40,"u")=0), "u", "")</f>
        <v/>
      </c>
      <c r="BG40" s="80" t="str">
        <f>IF(AND($F40&lt;&gt;"", $F40&gt;=BG$5-4, $F40&lt;=BG$5, COUNTIF($M40:BF40,"u")=0), "u", "")</f>
        <v/>
      </c>
      <c r="BH40" s="80" t="str">
        <f>IF(AND($F40&lt;&gt;"", $F40&gt;=BH$5-4, $F40&lt;=BH$5, COUNTIF($M40:BG40,"u")=0), "u", "")</f>
        <v/>
      </c>
      <c r="BI40" s="80" t="str">
        <f>IF(AND($F40&lt;&gt;"", $F40&gt;=BI$5-4, $F40&lt;=BI$5, COUNTIF($M40:BH40,"u")=0), "u", "")</f>
        <v/>
      </c>
      <c r="BJ40" s="80" t="str">
        <f>IF(AND($F40&lt;&gt;"", $F40&gt;=BJ$5-4, $F40&lt;=BJ$5, COUNTIF($M40:BI40,"u")=0), "u", "")</f>
        <v/>
      </c>
      <c r="BK40" s="80" t="str">
        <f>IF(AND($F40&lt;&gt;"", $F40&gt;=BK$5-4, $F40&lt;=BK$5, COUNTIF($M40:BJ40,"u")=0), "u", "")</f>
        <v/>
      </c>
      <c r="BL40" s="80" t="str">
        <f>IF(AND($F40&lt;&gt;"", $F40&gt;=BL$5-4, $F40&lt;=BL$5, COUNTIF($M40:BK40,"u")=0), "u", "")</f>
        <v/>
      </c>
      <c r="BM40" s="80" t="str">
        <f>IF(AND($F40&lt;&gt;"", $F40&gt;=BM$5-4, $F40&lt;=BM$5, COUNTIF($M40:BL40,"u")=0), "u", "")</f>
        <v/>
      </c>
      <c r="BN40" s="80" t="str">
        <f>IF(AND($F40&lt;&gt;"", $F40&gt;=BN$5-4, $F40&lt;=BN$5, COUNTIF($M40:BM40,"u")=0), "u", "")</f>
        <v/>
      </c>
      <c r="BO40" s="80" t="str">
        <f>IF(AND($F40&lt;&gt;"", $F40&gt;=BO$5-4, $F40&lt;=BO$5, COUNTIF($M40:BN40,"u")=0), "u", "")</f>
        <v/>
      </c>
      <c r="BP40" s="80" t="str">
        <f>IF(AND($F40&lt;&gt;"", $F40&gt;=BP$5-4, $F40&lt;=BP$5, COUNTIF($M40:BO40,"u")=0), "u", "")</f>
        <v/>
      </c>
      <c r="BQ40" s="80" t="str">
        <f>IF(AND($F40&lt;&gt;"", $F40&gt;=BQ$5-4, $F40&lt;=BQ$5, COUNTIF($M40:BP40,"u")=0), "u", "")</f>
        <v/>
      </c>
      <c r="BR40" s="80" t="str">
        <f>IF(AND($F40&lt;&gt;"", $F40&gt;=BR$5-4, $F40&lt;=BR$5, COUNTIF($M40:BQ40,"u")=0), "u", "")</f>
        <v/>
      </c>
      <c r="BS40" s="80" t="str">
        <f>IF(AND($F40&lt;&gt;"", $F40&gt;=BS$5-4, $F40&lt;=BS$5, COUNTIF($M40:BR40,"u")=0), "u", "")</f>
        <v/>
      </c>
      <c r="BT40" s="80" t="str">
        <f>IF(AND($F40&lt;&gt;"", $F40&gt;=BT$5-4, $F40&lt;=BT$5, COUNTIF($M40:BS40,"u")=0), "u", "")</f>
        <v/>
      </c>
      <c r="BU40" s="80" t="str">
        <f>IF(AND($F40&lt;&gt;"", $F40&gt;=BU$5-4, $F40&lt;=BU$5, COUNTIF($M40:BT40,"u")=0), "u", "")</f>
        <v/>
      </c>
      <c r="BV40" s="80" t="str">
        <f>IF(AND($F40&lt;&gt;"", $F40&gt;=BV$5-4, $F40&lt;=BV$5, COUNTIF($M40:BU40,"u")=0), "u", "")</f>
        <v/>
      </c>
      <c r="BW40" s="80" t="str">
        <f>IF(AND($F40&lt;&gt;"", $F40&gt;=BW$5-4, $F40&lt;=BW$5, COUNTIF($M40:BV40,"u")=0), "u", "")</f>
        <v/>
      </c>
      <c r="BX40" s="80" t="str">
        <f>IF(AND($F40&lt;&gt;"", $F40&gt;=BX$5-4, $F40&lt;=BX$5, COUNTIF($M40:BW40,"u")=0), "u", "")</f>
        <v/>
      </c>
      <c r="BY40" s="80" t="str">
        <f>IF(AND($F40&lt;&gt;"", $F40&gt;=BY$5-4, $F40&lt;=BY$5, COUNTIF($M40:BX40,"u")=0), "u", "")</f>
        <v/>
      </c>
      <c r="BZ40" s="80" t="str">
        <f>IF(AND($F40&lt;&gt;"", $F40&gt;=BZ$5-4, $F40&lt;=BZ$5, COUNTIF($M40:BY40,"u")=0), "u", "")</f>
        <v/>
      </c>
      <c r="CA40" s="80" t="str">
        <f>IF(AND($F40&lt;&gt;"", $F40&gt;=CA$5-4, $F40&lt;=CA$5, COUNTIF($M40:BZ40,"u")=0), "u", "")</f>
        <v/>
      </c>
      <c r="CB40" s="80" t="str">
        <f>IF(AND($F40&lt;&gt;"", $F40&gt;=CB$5-4, $F40&lt;=CB$5, COUNTIF($M40:CA40,"u")=0), "u", "")</f>
        <v/>
      </c>
      <c r="CC40" s="80" t="str">
        <f>IF(AND($F40&lt;&gt;"", $F40&gt;=CC$5-4, $F40&lt;=CC$5, COUNTIF($M40:CB40,"u")=0), "u", "")</f>
        <v/>
      </c>
      <c r="CD40" s="80" t="str">
        <f>IF(AND($F40&lt;&gt;"", $F40&gt;=CD$5-4, $F40&lt;=CD$5, COUNTIF($M40:CC40,"u")=0), "u", "")</f>
        <v/>
      </c>
      <c r="CE40" s="80" t="str">
        <f>IF(AND($F40&lt;&gt;"", $F40&gt;=CE$5-4, $F40&lt;=CE$5, COUNTIF($M40:CD40,"u")=0), "u", "")</f>
        <v/>
      </c>
      <c r="CF40" s="80" t="str">
        <f>IF(AND($F40&lt;&gt;"", $F40&gt;=CF$5-4, $F40&lt;=CF$5, COUNTIF($M40:CE40,"u")=0), "u", "")</f>
        <v/>
      </c>
      <c r="CG40" s="80" t="str">
        <f>IF(AND($F40&lt;&gt;"", $F40&gt;=CG$5-4, $F40&lt;=CG$5, COUNTIF($M40:CF40,"u")=0), "u", "")</f>
        <v/>
      </c>
      <c r="CH40" s="80" t="str">
        <f>IF(AND($F40&lt;&gt;"", $F40&gt;=CH$5-4, $F40&lt;=CH$5, COUNTIF($M40:CG40,"u")=0), "u", "")</f>
        <v/>
      </c>
      <c r="CI40" s="80" t="str">
        <f>IF(AND($F40&lt;&gt;"", $F40&gt;=CI$5-4, $F40&lt;=CI$5, COUNTIF($M40:CH40,"u")=0), "u", "")</f>
        <v/>
      </c>
      <c r="CJ40" s="80" t="str">
        <f>IF(AND($F40&lt;&gt;"", $F40&gt;=CJ$5-4, $F40&lt;=CJ$5, COUNTIF($M40:CI40,"u")=0), "u", "")</f>
        <v/>
      </c>
      <c r="CK40" s="80" t="str">
        <f>IF(AND($F40&lt;&gt;"", $F40&gt;=CK$5-4, $F40&lt;=CK$5, COUNTIF($M40:CJ40,"u")=0), "u", "")</f>
        <v/>
      </c>
      <c r="CL40" s="80" t="str">
        <f>IF(AND($F40&lt;&gt;"", $F40&gt;=CL$5-4, $F40&lt;=CL$5, COUNTIF($M40:CK40,"u")=0), "u", "")</f>
        <v/>
      </c>
      <c r="CM40" s="80" t="str">
        <f>IF(AND($F40&lt;&gt;"", $F40&gt;=CM$5-4, $F40&lt;=CM$5, COUNTIF($M40:CL40,"u")=0), "u", "")</f>
        <v/>
      </c>
      <c r="CN40" s="80" t="str">
        <f>IF(AND($F40&lt;&gt;"", $F40&gt;=CN$5-4, $F40&lt;=CN$5, COUNTIF($M40:CM40,"u")=0), "u", "")</f>
        <v/>
      </c>
      <c r="CO40" s="80" t="str">
        <f>IF(AND($F40&lt;&gt;"", $F40&gt;=CO$5-4, $F40&lt;=CO$5, COUNTIF($M40:CN40,"u")=0), "u", "")</f>
        <v/>
      </c>
      <c r="CP40" s="80" t="str">
        <f>IF(AND($F40&lt;&gt;"", $F40&gt;=CP$5-4, $F40&lt;=CP$5, COUNTIF($M40:CO40,"u")=0), "u", "")</f>
        <v/>
      </c>
      <c r="CQ40" s="80" t="str">
        <f>IF(AND($F40&lt;&gt;"", $F40&gt;=CQ$5-4, $F40&lt;=CQ$5, COUNTIF($M40:CP40,"u")=0), "u", "")</f>
        <v/>
      </c>
      <c r="CR40" s="80" t="str">
        <f>IF(AND($F40&lt;&gt;"", $F40&gt;=CR$5-4, $F40&lt;=CR$5, COUNTIF($M40:CQ40,"u")=0), "u", "")</f>
        <v/>
      </c>
      <c r="CS40" s="80" t="str">
        <f>IF(AND($F40&lt;&gt;"", $F40&gt;=CS$5-4, $F40&lt;=CS$5, COUNTIF($M40:CR40,"u")=0), "u", "")</f>
        <v/>
      </c>
      <c r="CT40" s="80" t="str">
        <f>IF(AND($F40&lt;&gt;"", $F40&gt;=CT$5-4, $F40&lt;=CT$5, COUNTIF($M40:CS40,"u")=0), "u", "")</f>
        <v/>
      </c>
      <c r="CU40" s="80" t="str">
        <f>IF(AND($F40&lt;&gt;"", $F40&gt;=CU$5-4, $F40&lt;=CU$5, COUNTIF($M40:CT40,"u")=0), "u", "")</f>
        <v/>
      </c>
      <c r="CV40" s="80" t="str">
        <f>IF(AND($F40&lt;&gt;"", $F40&gt;=CV$5-4, $F40&lt;=CV$5, COUNTIF($M40:CU40,"u")=0), "u", "")</f>
        <v/>
      </c>
      <c r="CW40" s="80" t="str">
        <f>IF(AND($F40&lt;&gt;"", $F40&gt;=CW$5-4, $F40&lt;=CW$5, COUNTIF($M40:CV40,"u")=0), "u", "")</f>
        <v/>
      </c>
      <c r="CX40" s="80" t="str">
        <f>IF(AND($F40&lt;&gt;"", $F40&gt;=CX$5-4, $F40&lt;=CX$5, COUNTIF($M40:CW40,"u")=0), "u", "")</f>
        <v/>
      </c>
      <c r="CY40" s="80" t="str">
        <f>IF(AND($F40&lt;&gt;"", $F40&gt;=CY$5-4, $F40&lt;=CY$5, COUNTIF($M40:CX40,"u")=0), "u", "")</f>
        <v/>
      </c>
      <c r="CZ40" s="80" t="str">
        <f>IF(AND($F40&lt;&gt;"", $F40&gt;=CZ$5-4, $F40&lt;=CZ$5, COUNTIF($M40:CY40,"u")=0), "u", "")</f>
        <v/>
      </c>
      <c r="DA40" s="80" t="str">
        <f>IF(AND($F40&lt;&gt;"", $F40&gt;=DA$5-4, $F40&lt;=DA$5, COUNTIF($M40:CZ40,"u")=0), "u", "")</f>
        <v/>
      </c>
      <c r="DB40" s="80" t="str">
        <f>IF(AND($F40&lt;&gt;"", $F40&gt;=DB$5-4, $F40&lt;=DB$5, COUNTIF($M40:DA40,"u")=0), "u", "")</f>
        <v/>
      </c>
      <c r="DC40" s="80" t="str">
        <f>IF(AND($F40&lt;&gt;"", $F40&gt;=DC$5-4, $F40&lt;=DC$5, COUNTIF($M40:DB40,"u")=0), "u", "")</f>
        <v/>
      </c>
      <c r="DD40" s="80" t="str">
        <f>IF(AND($F40&lt;&gt;"", $F40&gt;=DD$5-4, $F40&lt;=DD$5, COUNTIF($M40:DC40,"u")=0), "u", "")</f>
        <v/>
      </c>
      <c r="DE40" s="80" t="str">
        <f>IF(AND($F40&lt;&gt;"", $F40&gt;=DE$5-4, $F40&lt;=DE$5, COUNTIF($M40:DD40,"u")=0), "u", "")</f>
        <v/>
      </c>
      <c r="DF40" s="80" t="str">
        <f>IF(AND($F40&lt;&gt;"", $F40&gt;=DF$5-4, $F40&lt;=DF$5, COUNTIF($M40:DE40,"u")=0), "u", "")</f>
        <v/>
      </c>
      <c r="DG40" s="80" t="str">
        <f>IF(AND($F40&lt;&gt;"", $F40&gt;=DG$5-4, $F40&lt;=DG$5, COUNTIF($M40:DF40,"u")=0), "u", "")</f>
        <v/>
      </c>
      <c r="DH40" s="80" t="str">
        <f>IF(AND($F40&lt;&gt;"", $F40&gt;=DH$5-4, $F40&lt;=DH$5, COUNTIF($M40:DG40,"u")=0), "u", "")</f>
        <v/>
      </c>
      <c r="DI40" s="80" t="str">
        <f>IF(AND($F40&lt;&gt;"", $F40&gt;=DI$5-4, $F40&lt;=DI$5, COUNTIF($M40:DH40,"u")=0), "u", "")</f>
        <v/>
      </c>
      <c r="DJ40" s="80" t="str">
        <f>IF(AND($F40&lt;&gt;"", $F40&gt;=DJ$5-4, $F40&lt;=DJ$5, COUNTIF($M40:DI40,"u")=0), "u", "")</f>
        <v/>
      </c>
      <c r="DK40" s="80" t="str">
        <f>IF(AND($F40&lt;&gt;"", $F40&gt;=DK$5-4, $F40&lt;=DK$5, COUNTIF($M40:DJ40,"u")=0), "u", "")</f>
        <v/>
      </c>
      <c r="DL40" s="80" t="str">
        <f>IF(AND($F40&lt;&gt;"", $F40&gt;=DL$5-4, $F40&lt;=DL$5, COUNTIF($M40:DK40,"u")=0), "u", "")</f>
        <v/>
      </c>
    </row>
    <row r="41" spans="1:116" ht="25.05" customHeight="1" x14ac:dyDescent="0.3">
      <c r="A41" s="39"/>
      <c r="B41" s="75">
        <v>36</v>
      </c>
      <c r="C41" s="97"/>
      <c r="D41" s="92"/>
      <c r="E41" s="53"/>
      <c r="F41" s="53"/>
      <c r="G41" s="83" t="str">
        <f t="shared" si="47"/>
        <v/>
      </c>
      <c r="H41" s="83" t="str">
        <f t="shared" si="47"/>
        <v/>
      </c>
      <c r="I41" s="77" t="str">
        <f t="shared" si="45"/>
        <v/>
      </c>
      <c r="J41" s="78"/>
      <c r="K41" s="86"/>
      <c r="L41" s="56"/>
      <c r="M41" s="80" t="str">
        <f t="shared" si="46"/>
        <v/>
      </c>
      <c r="N41" s="80" t="str">
        <f>IF(AND($F41&lt;&gt;"", $F41&gt;=N$5-4, $F41&lt;=N$5, COUNTIF($M41:M41,"u")=0), "u", "")</f>
        <v/>
      </c>
      <c r="O41" s="80" t="str">
        <f>IF(AND($F41&lt;&gt;"", $F41&gt;=O$5-4, $F41&lt;=O$5, COUNTIF($M41:N41,"u")=0), "u", "")</f>
        <v/>
      </c>
      <c r="P41" s="80" t="str">
        <f>IF(AND($F41&lt;&gt;"", $F41&gt;=P$5-4, $F41&lt;=P$5, COUNTIF($M41:O41,"u")=0), "u", "")</f>
        <v/>
      </c>
      <c r="Q41" s="80" t="str">
        <f>IF(AND($F41&lt;&gt;"", $F41&gt;=Q$5-4, $F41&lt;=Q$5, COUNTIF($M41:P41,"u")=0), "u", "")</f>
        <v/>
      </c>
      <c r="R41" s="80" t="str">
        <f>IF(AND($F41&lt;&gt;"", $F41&gt;=R$5-4, $F41&lt;=R$5, COUNTIF($M41:Q41,"u")=0), "u", "")</f>
        <v/>
      </c>
      <c r="S41" s="80" t="str">
        <f>IF(AND($F41&lt;&gt;"", $F41&gt;=S$5-4, $F41&lt;=S$5, COUNTIF($M41:R41,"u")=0), "u", "")</f>
        <v/>
      </c>
      <c r="T41" s="80" t="str">
        <f>IF(AND($F41&lt;&gt;"", $F41&gt;=T$5-4, $F41&lt;=T$5, COUNTIF($M41:S41,"u")=0), "u", "")</f>
        <v/>
      </c>
      <c r="U41" s="80" t="str">
        <f>IF(AND($F41&lt;&gt;"", $F41&gt;=U$5-4, $F41&lt;=U$5, COUNTIF($M41:T41,"u")=0), "u", "")</f>
        <v/>
      </c>
      <c r="V41" s="80" t="str">
        <f>IF(AND($F41&lt;&gt;"", $F41&gt;=V$5-4, $F41&lt;=V$5, COUNTIF($M41:U41,"u")=0), "u", "")</f>
        <v/>
      </c>
      <c r="W41" s="80" t="str">
        <f>IF(AND($F41&lt;&gt;"", $F41&gt;=W$5-4, $F41&lt;=W$5, COUNTIF($M41:V41,"u")=0), "u", "")</f>
        <v/>
      </c>
      <c r="X41" s="80" t="str">
        <f>IF(AND($F41&lt;&gt;"", $F41&gt;=X$5-4, $F41&lt;=X$5, COUNTIF($M41:W41,"u")=0), "u", "")</f>
        <v/>
      </c>
      <c r="Y41" s="80" t="str">
        <f>IF(AND($F41&lt;&gt;"", $F41&gt;=Y$5-4, $F41&lt;=Y$5, COUNTIF($M41:X41,"u")=0), "u", "")</f>
        <v/>
      </c>
      <c r="Z41" s="80" t="str">
        <f>IF(AND($F41&lt;&gt;"", $F41&gt;=Z$5-4, $F41&lt;=Z$5, COUNTIF($M41:Y41,"u")=0), "u", "")</f>
        <v/>
      </c>
      <c r="AA41" s="80" t="str">
        <f>IF(AND($F41&lt;&gt;"", $F41&gt;=AA$5-4, $F41&lt;=AA$5, COUNTIF($M41:Z41,"u")=0), "u", "")</f>
        <v/>
      </c>
      <c r="AB41" s="80" t="str">
        <f>IF(AND($F41&lt;&gt;"", $F41&gt;=AB$5-4, $F41&lt;=AB$5, COUNTIF($M41:AA41,"u")=0), "u", "")</f>
        <v/>
      </c>
      <c r="AC41" s="80" t="str">
        <f>IF(AND($F41&lt;&gt;"", $F41&gt;=AC$5-4, $F41&lt;=AC$5, COUNTIF($M41:AB41,"u")=0), "u", "")</f>
        <v/>
      </c>
      <c r="AD41" s="80" t="str">
        <f>IF(AND($F41&lt;&gt;"", $F41&gt;=AD$5-4, $F41&lt;=AD$5, COUNTIF($M41:AC41,"u")=0), "u", "")</f>
        <v/>
      </c>
      <c r="AE41" s="80" t="str">
        <f>IF(AND($F41&lt;&gt;"", $F41&gt;=AE$5-4, $F41&lt;=AE$5, COUNTIF($M41:AD41,"u")=0), "u", "")</f>
        <v/>
      </c>
      <c r="AF41" s="80" t="str">
        <f>IF(AND($F41&lt;&gt;"", $F41&gt;=AF$5-4, $F41&lt;=AF$5, COUNTIF($M41:AE41,"u")=0), "u", "")</f>
        <v/>
      </c>
      <c r="AG41" s="80" t="str">
        <f>IF(AND($F41&lt;&gt;"", $F41&gt;=AG$5-4, $F41&lt;=AG$5, COUNTIF($M41:AF41,"u")=0), "u", "")</f>
        <v/>
      </c>
      <c r="AH41" s="80" t="str">
        <f>IF(AND($F41&lt;&gt;"", $F41&gt;=AH$5-4, $F41&lt;=AH$5, COUNTIF($M41:AG41,"u")=0), "u", "")</f>
        <v/>
      </c>
      <c r="AI41" s="80" t="str">
        <f>IF(AND($F41&lt;&gt;"", $F41&gt;=AI$5-4, $F41&lt;=AI$5, COUNTIF($M41:AH41,"u")=0), "u", "")</f>
        <v/>
      </c>
      <c r="AJ41" s="80" t="str">
        <f>IF(AND($F41&lt;&gt;"", $F41&gt;=AJ$5-4, $F41&lt;=AJ$5, COUNTIF($M41:AI41,"u")=0), "u", "")</f>
        <v/>
      </c>
      <c r="AK41" s="80" t="str">
        <f>IF(AND($F41&lt;&gt;"", $F41&gt;=AK$5-4, $F41&lt;=AK$5, COUNTIF($M41:AJ41,"u")=0), "u", "")</f>
        <v/>
      </c>
      <c r="AL41" s="80" t="str">
        <f>IF(AND($F41&lt;&gt;"", $F41&gt;=AL$5-4, $F41&lt;=AL$5, COUNTIF($M41:AK41,"u")=0), "u", "")</f>
        <v/>
      </c>
      <c r="AM41" s="80" t="str">
        <f>IF(AND($F41&lt;&gt;"", $F41&gt;=AM$5-4, $F41&lt;=AM$5, COUNTIF($M41:AL41,"u")=0), "u", "")</f>
        <v/>
      </c>
      <c r="AN41" s="80" t="str">
        <f>IF(AND($F41&lt;&gt;"", $F41&gt;=AN$5-4, $F41&lt;=AN$5, COUNTIF($M41:AM41,"u")=0), "u", "")</f>
        <v/>
      </c>
      <c r="AO41" s="80" t="str">
        <f>IF(AND($F41&lt;&gt;"", $F41&gt;=AO$5-4, $F41&lt;=AO$5, COUNTIF($M41:AN41,"u")=0), "u", "")</f>
        <v/>
      </c>
      <c r="AP41" s="80" t="str">
        <f>IF(AND($F41&lt;&gt;"", $F41&gt;=AP$5-4, $F41&lt;=AP$5, COUNTIF($M41:AO41,"u")=0), "u", "")</f>
        <v/>
      </c>
      <c r="AQ41" s="80" t="str">
        <f>IF(AND($F41&lt;&gt;"", $F41&gt;=AQ$5-4, $F41&lt;=AQ$5, COUNTIF($M41:AP41,"u")=0), "u", "")</f>
        <v/>
      </c>
      <c r="AR41" s="80" t="str">
        <f>IF(AND($F41&lt;&gt;"", $F41&gt;=AR$5-4, $F41&lt;=AR$5, COUNTIF($M41:AQ41,"u")=0), "u", "")</f>
        <v/>
      </c>
      <c r="AS41" s="80" t="str">
        <f>IF(AND($F41&lt;&gt;"", $F41&gt;=AS$5-4, $F41&lt;=AS$5, COUNTIF($M41:AR41,"u")=0), "u", "")</f>
        <v/>
      </c>
      <c r="AT41" s="80" t="str">
        <f>IF(AND($F41&lt;&gt;"", $F41&gt;=AT$5-4, $F41&lt;=AT$5, COUNTIF($M41:AS41,"u")=0), "u", "")</f>
        <v/>
      </c>
      <c r="AU41" s="80" t="str">
        <f>IF(AND($F41&lt;&gt;"", $F41&gt;=AU$5-4, $F41&lt;=AU$5, COUNTIF($M41:AT41,"u")=0), "u", "")</f>
        <v/>
      </c>
      <c r="AV41" s="80" t="str">
        <f>IF(AND($F41&lt;&gt;"", $F41&gt;=AV$5-4, $F41&lt;=AV$5, COUNTIF($M41:AU41,"u")=0), "u", "")</f>
        <v/>
      </c>
      <c r="AW41" s="80" t="str">
        <f>IF(AND($F41&lt;&gt;"", $F41&gt;=AW$5-4, $F41&lt;=AW$5, COUNTIF($M41:AV41,"u")=0), "u", "")</f>
        <v/>
      </c>
      <c r="AX41" s="80" t="str">
        <f>IF(AND($F41&lt;&gt;"", $F41&gt;=AX$5-4, $F41&lt;=AX$5, COUNTIF($M41:AW41,"u")=0), "u", "")</f>
        <v/>
      </c>
      <c r="AY41" s="80" t="str">
        <f>IF(AND($F41&lt;&gt;"", $F41&gt;=AY$5-4, $F41&lt;=AY$5, COUNTIF($M41:AX41,"u")=0), "u", "")</f>
        <v/>
      </c>
      <c r="AZ41" s="80" t="str">
        <f>IF(AND($F41&lt;&gt;"", $F41&gt;=AZ$5-4, $F41&lt;=AZ$5, COUNTIF($M41:AY41,"u")=0), "u", "")</f>
        <v/>
      </c>
      <c r="BA41" s="80" t="str">
        <f>IF(AND($F41&lt;&gt;"", $F41&gt;=BA$5-4, $F41&lt;=BA$5, COUNTIF($M41:AZ41,"u")=0), "u", "")</f>
        <v/>
      </c>
      <c r="BB41" s="80" t="str">
        <f>IF(AND($F41&lt;&gt;"", $F41&gt;=BB$5-4, $F41&lt;=BB$5, COUNTIF($M41:BA41,"u")=0), "u", "")</f>
        <v/>
      </c>
      <c r="BC41" s="80" t="str">
        <f>IF(AND($F41&lt;&gt;"", $F41&gt;=BC$5-4, $F41&lt;=BC$5, COUNTIF($M41:BB41,"u")=0), "u", "")</f>
        <v/>
      </c>
      <c r="BD41" s="80" t="str">
        <f>IF(AND($F41&lt;&gt;"", $F41&gt;=BD$5-4, $F41&lt;=BD$5, COUNTIF($M41:BC41,"u")=0), "u", "")</f>
        <v/>
      </c>
      <c r="BE41" s="80" t="str">
        <f>IF(AND($F41&lt;&gt;"", $F41&gt;=BE$5-4, $F41&lt;=BE$5, COUNTIF($M41:BD41,"u")=0), "u", "")</f>
        <v/>
      </c>
      <c r="BF41" s="80" t="str">
        <f>IF(AND($F41&lt;&gt;"", $F41&gt;=BF$5-4, $F41&lt;=BF$5, COUNTIF($M41:BE41,"u")=0), "u", "")</f>
        <v/>
      </c>
      <c r="BG41" s="80" t="str">
        <f>IF(AND($F41&lt;&gt;"", $F41&gt;=BG$5-4, $F41&lt;=BG$5, COUNTIF($M41:BF41,"u")=0), "u", "")</f>
        <v/>
      </c>
      <c r="BH41" s="80" t="str">
        <f>IF(AND($F41&lt;&gt;"", $F41&gt;=BH$5-4, $F41&lt;=BH$5, COUNTIF($M41:BG41,"u")=0), "u", "")</f>
        <v/>
      </c>
      <c r="BI41" s="80" t="str">
        <f>IF(AND($F41&lt;&gt;"", $F41&gt;=BI$5-4, $F41&lt;=BI$5, COUNTIF($M41:BH41,"u")=0), "u", "")</f>
        <v/>
      </c>
      <c r="BJ41" s="80" t="str">
        <f>IF(AND($F41&lt;&gt;"", $F41&gt;=BJ$5-4, $F41&lt;=BJ$5, COUNTIF($M41:BI41,"u")=0), "u", "")</f>
        <v/>
      </c>
      <c r="BK41" s="80" t="str">
        <f>IF(AND($F41&lt;&gt;"", $F41&gt;=BK$5-4, $F41&lt;=BK$5, COUNTIF($M41:BJ41,"u")=0), "u", "")</f>
        <v/>
      </c>
      <c r="BL41" s="80" t="str">
        <f>IF(AND($F41&lt;&gt;"", $F41&gt;=BL$5-4, $F41&lt;=BL$5, COUNTIF($M41:BK41,"u")=0), "u", "")</f>
        <v/>
      </c>
      <c r="BM41" s="80" t="str">
        <f>IF(AND($F41&lt;&gt;"", $F41&gt;=BM$5-4, $F41&lt;=BM$5, COUNTIF($M41:BL41,"u")=0), "u", "")</f>
        <v/>
      </c>
      <c r="BN41" s="80" t="str">
        <f>IF(AND($F41&lt;&gt;"", $F41&gt;=BN$5-4, $F41&lt;=BN$5, COUNTIF($M41:BM41,"u")=0), "u", "")</f>
        <v/>
      </c>
      <c r="BO41" s="80" t="str">
        <f>IF(AND($F41&lt;&gt;"", $F41&gt;=BO$5-4, $F41&lt;=BO$5, COUNTIF($M41:BN41,"u")=0), "u", "")</f>
        <v/>
      </c>
      <c r="BP41" s="80" t="str">
        <f>IF(AND($F41&lt;&gt;"", $F41&gt;=BP$5-4, $F41&lt;=BP$5, COUNTIF($M41:BO41,"u")=0), "u", "")</f>
        <v/>
      </c>
      <c r="BQ41" s="80" t="str">
        <f>IF(AND($F41&lt;&gt;"", $F41&gt;=BQ$5-4, $F41&lt;=BQ$5, COUNTIF($M41:BP41,"u")=0), "u", "")</f>
        <v/>
      </c>
      <c r="BR41" s="80" t="str">
        <f>IF(AND($F41&lt;&gt;"", $F41&gt;=BR$5-4, $F41&lt;=BR$5, COUNTIF($M41:BQ41,"u")=0), "u", "")</f>
        <v/>
      </c>
      <c r="BS41" s="80" t="str">
        <f>IF(AND($F41&lt;&gt;"", $F41&gt;=BS$5-4, $F41&lt;=BS$5, COUNTIF($M41:BR41,"u")=0), "u", "")</f>
        <v/>
      </c>
      <c r="BT41" s="80" t="str">
        <f>IF(AND($F41&lt;&gt;"", $F41&gt;=BT$5-4, $F41&lt;=BT$5, COUNTIF($M41:BS41,"u")=0), "u", "")</f>
        <v/>
      </c>
      <c r="BU41" s="80" t="str">
        <f>IF(AND($F41&lt;&gt;"", $F41&gt;=BU$5-4, $F41&lt;=BU$5, COUNTIF($M41:BT41,"u")=0), "u", "")</f>
        <v/>
      </c>
      <c r="BV41" s="80" t="str">
        <f>IF(AND($F41&lt;&gt;"", $F41&gt;=BV$5-4, $F41&lt;=BV$5, COUNTIF($M41:BU41,"u")=0), "u", "")</f>
        <v/>
      </c>
      <c r="BW41" s="80" t="str">
        <f>IF(AND($F41&lt;&gt;"", $F41&gt;=BW$5-4, $F41&lt;=BW$5, COUNTIF($M41:BV41,"u")=0), "u", "")</f>
        <v/>
      </c>
      <c r="BX41" s="80" t="str">
        <f>IF(AND($F41&lt;&gt;"", $F41&gt;=BX$5-4, $F41&lt;=BX$5, COUNTIF($M41:BW41,"u")=0), "u", "")</f>
        <v/>
      </c>
      <c r="BY41" s="80" t="str">
        <f>IF(AND($F41&lt;&gt;"", $F41&gt;=BY$5-4, $F41&lt;=BY$5, COUNTIF($M41:BX41,"u")=0), "u", "")</f>
        <v/>
      </c>
      <c r="BZ41" s="80" t="str">
        <f>IF(AND($F41&lt;&gt;"", $F41&gt;=BZ$5-4, $F41&lt;=BZ$5, COUNTIF($M41:BY41,"u")=0), "u", "")</f>
        <v/>
      </c>
      <c r="CA41" s="80" t="str">
        <f>IF(AND($F41&lt;&gt;"", $F41&gt;=CA$5-4, $F41&lt;=CA$5, COUNTIF($M41:BZ41,"u")=0), "u", "")</f>
        <v/>
      </c>
      <c r="CB41" s="80" t="str">
        <f>IF(AND($F41&lt;&gt;"", $F41&gt;=CB$5-4, $F41&lt;=CB$5, COUNTIF($M41:CA41,"u")=0), "u", "")</f>
        <v/>
      </c>
      <c r="CC41" s="80" t="str">
        <f>IF(AND($F41&lt;&gt;"", $F41&gt;=CC$5-4, $F41&lt;=CC$5, COUNTIF($M41:CB41,"u")=0), "u", "")</f>
        <v/>
      </c>
      <c r="CD41" s="80" t="str">
        <f>IF(AND($F41&lt;&gt;"", $F41&gt;=CD$5-4, $F41&lt;=CD$5, COUNTIF($M41:CC41,"u")=0), "u", "")</f>
        <v/>
      </c>
      <c r="CE41" s="80" t="str">
        <f>IF(AND($F41&lt;&gt;"", $F41&gt;=CE$5-4, $F41&lt;=CE$5, COUNTIF($M41:CD41,"u")=0), "u", "")</f>
        <v/>
      </c>
      <c r="CF41" s="80" t="str">
        <f>IF(AND($F41&lt;&gt;"", $F41&gt;=CF$5-4, $F41&lt;=CF$5, COUNTIF($M41:CE41,"u")=0), "u", "")</f>
        <v/>
      </c>
      <c r="CG41" s="80" t="str">
        <f>IF(AND($F41&lt;&gt;"", $F41&gt;=CG$5-4, $F41&lt;=CG$5, COUNTIF($M41:CF41,"u")=0), "u", "")</f>
        <v/>
      </c>
      <c r="CH41" s="80" t="str">
        <f>IF(AND($F41&lt;&gt;"", $F41&gt;=CH$5-4, $F41&lt;=CH$5, COUNTIF($M41:CG41,"u")=0), "u", "")</f>
        <v/>
      </c>
      <c r="CI41" s="80" t="str">
        <f>IF(AND($F41&lt;&gt;"", $F41&gt;=CI$5-4, $F41&lt;=CI$5, COUNTIF($M41:CH41,"u")=0), "u", "")</f>
        <v/>
      </c>
      <c r="CJ41" s="80" t="str">
        <f>IF(AND($F41&lt;&gt;"", $F41&gt;=CJ$5-4, $F41&lt;=CJ$5, COUNTIF($M41:CI41,"u")=0), "u", "")</f>
        <v/>
      </c>
      <c r="CK41" s="80" t="str">
        <f>IF(AND($F41&lt;&gt;"", $F41&gt;=CK$5-4, $F41&lt;=CK$5, COUNTIF($M41:CJ41,"u")=0), "u", "")</f>
        <v/>
      </c>
      <c r="CL41" s="80" t="str">
        <f>IF(AND($F41&lt;&gt;"", $F41&gt;=CL$5-4, $F41&lt;=CL$5, COUNTIF($M41:CK41,"u")=0), "u", "")</f>
        <v/>
      </c>
      <c r="CM41" s="80" t="str">
        <f>IF(AND($F41&lt;&gt;"", $F41&gt;=CM$5-4, $F41&lt;=CM$5, COUNTIF($M41:CL41,"u")=0), "u", "")</f>
        <v/>
      </c>
      <c r="CN41" s="80" t="str">
        <f>IF(AND($F41&lt;&gt;"", $F41&gt;=CN$5-4, $F41&lt;=CN$5, COUNTIF($M41:CM41,"u")=0), "u", "")</f>
        <v/>
      </c>
      <c r="CO41" s="80" t="str">
        <f>IF(AND($F41&lt;&gt;"", $F41&gt;=CO$5-4, $F41&lt;=CO$5, COUNTIF($M41:CN41,"u")=0), "u", "")</f>
        <v/>
      </c>
      <c r="CP41" s="80" t="str">
        <f>IF(AND($F41&lt;&gt;"", $F41&gt;=CP$5-4, $F41&lt;=CP$5, COUNTIF($M41:CO41,"u")=0), "u", "")</f>
        <v/>
      </c>
      <c r="CQ41" s="80" t="str">
        <f>IF(AND($F41&lt;&gt;"", $F41&gt;=CQ$5-4, $F41&lt;=CQ$5, COUNTIF($M41:CP41,"u")=0), "u", "")</f>
        <v/>
      </c>
      <c r="CR41" s="80" t="str">
        <f>IF(AND($F41&lt;&gt;"", $F41&gt;=CR$5-4, $F41&lt;=CR$5, COUNTIF($M41:CQ41,"u")=0), "u", "")</f>
        <v/>
      </c>
      <c r="CS41" s="80" t="str">
        <f>IF(AND($F41&lt;&gt;"", $F41&gt;=CS$5-4, $F41&lt;=CS$5, COUNTIF($M41:CR41,"u")=0), "u", "")</f>
        <v/>
      </c>
      <c r="CT41" s="80" t="str">
        <f>IF(AND($F41&lt;&gt;"", $F41&gt;=CT$5-4, $F41&lt;=CT$5, COUNTIF($M41:CS41,"u")=0), "u", "")</f>
        <v/>
      </c>
      <c r="CU41" s="80" t="str">
        <f>IF(AND($F41&lt;&gt;"", $F41&gt;=CU$5-4, $F41&lt;=CU$5, COUNTIF($M41:CT41,"u")=0), "u", "")</f>
        <v/>
      </c>
      <c r="CV41" s="80" t="str">
        <f>IF(AND($F41&lt;&gt;"", $F41&gt;=CV$5-4, $F41&lt;=CV$5, COUNTIF($M41:CU41,"u")=0), "u", "")</f>
        <v/>
      </c>
      <c r="CW41" s="80" t="str">
        <f>IF(AND($F41&lt;&gt;"", $F41&gt;=CW$5-4, $F41&lt;=CW$5, COUNTIF($M41:CV41,"u")=0), "u", "")</f>
        <v/>
      </c>
      <c r="CX41" s="80" t="str">
        <f>IF(AND($F41&lt;&gt;"", $F41&gt;=CX$5-4, $F41&lt;=CX$5, COUNTIF($M41:CW41,"u")=0), "u", "")</f>
        <v/>
      </c>
      <c r="CY41" s="80" t="str">
        <f>IF(AND($F41&lt;&gt;"", $F41&gt;=CY$5-4, $F41&lt;=CY$5, COUNTIF($M41:CX41,"u")=0), "u", "")</f>
        <v/>
      </c>
      <c r="CZ41" s="80" t="str">
        <f>IF(AND($F41&lt;&gt;"", $F41&gt;=CZ$5-4, $F41&lt;=CZ$5, COUNTIF($M41:CY41,"u")=0), "u", "")</f>
        <v/>
      </c>
      <c r="DA41" s="80" t="str">
        <f>IF(AND($F41&lt;&gt;"", $F41&gt;=DA$5-4, $F41&lt;=DA$5, COUNTIF($M41:CZ41,"u")=0), "u", "")</f>
        <v/>
      </c>
      <c r="DB41" s="80" t="str">
        <f>IF(AND($F41&lt;&gt;"", $F41&gt;=DB$5-4, $F41&lt;=DB$5, COUNTIF($M41:DA41,"u")=0), "u", "")</f>
        <v/>
      </c>
      <c r="DC41" s="80" t="str">
        <f>IF(AND($F41&lt;&gt;"", $F41&gt;=DC$5-4, $F41&lt;=DC$5, COUNTIF($M41:DB41,"u")=0), "u", "")</f>
        <v/>
      </c>
      <c r="DD41" s="80" t="str">
        <f>IF(AND($F41&lt;&gt;"", $F41&gt;=DD$5-4, $F41&lt;=DD$5, COUNTIF($M41:DC41,"u")=0), "u", "")</f>
        <v/>
      </c>
      <c r="DE41" s="80" t="str">
        <f>IF(AND($F41&lt;&gt;"", $F41&gt;=DE$5-4, $F41&lt;=DE$5, COUNTIF($M41:DD41,"u")=0), "u", "")</f>
        <v/>
      </c>
      <c r="DF41" s="80" t="str">
        <f>IF(AND($F41&lt;&gt;"", $F41&gt;=DF$5-4, $F41&lt;=DF$5, COUNTIF($M41:DE41,"u")=0), "u", "")</f>
        <v/>
      </c>
      <c r="DG41" s="80" t="str">
        <f>IF(AND($F41&lt;&gt;"", $F41&gt;=DG$5-4, $F41&lt;=DG$5, COUNTIF($M41:DF41,"u")=0), "u", "")</f>
        <v/>
      </c>
      <c r="DH41" s="80" t="str">
        <f>IF(AND($F41&lt;&gt;"", $F41&gt;=DH$5-4, $F41&lt;=DH$5, COUNTIF($M41:DG41,"u")=0), "u", "")</f>
        <v/>
      </c>
      <c r="DI41" s="80" t="str">
        <f>IF(AND($F41&lt;&gt;"", $F41&gt;=DI$5-4, $F41&lt;=DI$5, COUNTIF($M41:DH41,"u")=0), "u", "")</f>
        <v/>
      </c>
      <c r="DJ41" s="80" t="str">
        <f>IF(AND($F41&lt;&gt;"", $F41&gt;=DJ$5-4, $F41&lt;=DJ$5, COUNTIF($M41:DI41,"u")=0), "u", "")</f>
        <v/>
      </c>
      <c r="DK41" s="80" t="str">
        <f>IF(AND($F41&lt;&gt;"", $F41&gt;=DK$5-4, $F41&lt;=DK$5, COUNTIF($M41:DJ41,"u")=0), "u", "")</f>
        <v/>
      </c>
      <c r="DL41" s="80" t="str">
        <f>IF(AND($F41&lt;&gt;"", $F41&gt;=DL$5-4, $F41&lt;=DL$5, COUNTIF($M41:DK41,"u")=0), "u", "")</f>
        <v/>
      </c>
    </row>
    <row r="42" spans="1:116" ht="25.05" customHeight="1" x14ac:dyDescent="0.3">
      <c r="A42" s="39"/>
      <c r="B42" s="75">
        <v>37</v>
      </c>
      <c r="C42" s="97"/>
      <c r="D42" s="92"/>
      <c r="E42" s="53"/>
      <c r="F42" s="53"/>
      <c r="G42" s="83" t="str">
        <f t="shared" si="47"/>
        <v/>
      </c>
      <c r="H42" s="83" t="str">
        <f t="shared" si="47"/>
        <v/>
      </c>
      <c r="I42" s="77" t="str">
        <f t="shared" si="45"/>
        <v/>
      </c>
      <c r="J42" s="78"/>
      <c r="K42" s="86"/>
      <c r="L42" s="56"/>
      <c r="M42" s="80" t="str">
        <f t="shared" si="46"/>
        <v/>
      </c>
      <c r="N42" s="80" t="str">
        <f>IF(AND($F42&lt;&gt;"", $F42&gt;=N$5-4, $F42&lt;=N$5, COUNTIF($M42:M42,"u")=0), "u", "")</f>
        <v/>
      </c>
      <c r="O42" s="80" t="str">
        <f>IF(AND($F42&lt;&gt;"", $F42&gt;=O$5-4, $F42&lt;=O$5, COUNTIF($M42:N42,"u")=0), "u", "")</f>
        <v/>
      </c>
      <c r="P42" s="80" t="str">
        <f>IF(AND($F42&lt;&gt;"", $F42&gt;=P$5-4, $F42&lt;=P$5, COUNTIF($M42:O42,"u")=0), "u", "")</f>
        <v/>
      </c>
      <c r="Q42" s="80" t="str">
        <f>IF(AND($F42&lt;&gt;"", $F42&gt;=Q$5-4, $F42&lt;=Q$5, COUNTIF($M42:P42,"u")=0), "u", "")</f>
        <v/>
      </c>
      <c r="R42" s="80" t="str">
        <f>IF(AND($F42&lt;&gt;"", $F42&gt;=R$5-4, $F42&lt;=R$5, COUNTIF($M42:Q42,"u")=0), "u", "")</f>
        <v/>
      </c>
      <c r="S42" s="80" t="str">
        <f>IF(AND($F42&lt;&gt;"", $F42&gt;=S$5-4, $F42&lt;=S$5, COUNTIF($M42:R42,"u")=0), "u", "")</f>
        <v/>
      </c>
      <c r="T42" s="80" t="str">
        <f>IF(AND($F42&lt;&gt;"", $F42&gt;=T$5-4, $F42&lt;=T$5, COUNTIF($M42:S42,"u")=0), "u", "")</f>
        <v/>
      </c>
      <c r="U42" s="80" t="str">
        <f>IF(AND($F42&lt;&gt;"", $F42&gt;=U$5-4, $F42&lt;=U$5, COUNTIF($M42:T42,"u")=0), "u", "")</f>
        <v/>
      </c>
      <c r="V42" s="80" t="str">
        <f>IF(AND($F42&lt;&gt;"", $F42&gt;=V$5-4, $F42&lt;=V$5, COUNTIF($M42:U42,"u")=0), "u", "")</f>
        <v/>
      </c>
      <c r="W42" s="80" t="str">
        <f>IF(AND($F42&lt;&gt;"", $F42&gt;=W$5-4, $F42&lt;=W$5, COUNTIF($M42:V42,"u")=0), "u", "")</f>
        <v/>
      </c>
      <c r="X42" s="80" t="str">
        <f>IF(AND($F42&lt;&gt;"", $F42&gt;=X$5-4, $F42&lt;=X$5, COUNTIF($M42:W42,"u")=0), "u", "")</f>
        <v/>
      </c>
      <c r="Y42" s="80" t="str">
        <f>IF(AND($F42&lt;&gt;"", $F42&gt;=Y$5-4, $F42&lt;=Y$5, COUNTIF($M42:X42,"u")=0), "u", "")</f>
        <v/>
      </c>
      <c r="Z42" s="80" t="str">
        <f>IF(AND($F42&lt;&gt;"", $F42&gt;=Z$5-4, $F42&lt;=Z$5, COUNTIF($M42:Y42,"u")=0), "u", "")</f>
        <v/>
      </c>
      <c r="AA42" s="80" t="str">
        <f>IF(AND($F42&lt;&gt;"", $F42&gt;=AA$5-4, $F42&lt;=AA$5, COUNTIF($M42:Z42,"u")=0), "u", "")</f>
        <v/>
      </c>
      <c r="AB42" s="80" t="str">
        <f>IF(AND($F42&lt;&gt;"", $F42&gt;=AB$5-4, $F42&lt;=AB$5, COUNTIF($M42:AA42,"u")=0), "u", "")</f>
        <v/>
      </c>
      <c r="AC42" s="80" t="str">
        <f>IF(AND($F42&lt;&gt;"", $F42&gt;=AC$5-4, $F42&lt;=AC$5, COUNTIF($M42:AB42,"u")=0), "u", "")</f>
        <v/>
      </c>
      <c r="AD42" s="80" t="str">
        <f>IF(AND($F42&lt;&gt;"", $F42&gt;=AD$5-4, $F42&lt;=AD$5, COUNTIF($M42:AC42,"u")=0), "u", "")</f>
        <v/>
      </c>
      <c r="AE42" s="80" t="str">
        <f>IF(AND($F42&lt;&gt;"", $F42&gt;=AE$5-4, $F42&lt;=AE$5, COUNTIF($M42:AD42,"u")=0), "u", "")</f>
        <v/>
      </c>
      <c r="AF42" s="80" t="str">
        <f>IF(AND($F42&lt;&gt;"", $F42&gt;=AF$5-4, $F42&lt;=AF$5, COUNTIF($M42:AE42,"u")=0), "u", "")</f>
        <v/>
      </c>
      <c r="AG42" s="80" t="str">
        <f>IF(AND($F42&lt;&gt;"", $F42&gt;=AG$5-4, $F42&lt;=AG$5, COUNTIF($M42:AF42,"u")=0), "u", "")</f>
        <v/>
      </c>
      <c r="AH42" s="80" t="str">
        <f>IF(AND($F42&lt;&gt;"", $F42&gt;=AH$5-4, $F42&lt;=AH$5, COUNTIF($M42:AG42,"u")=0), "u", "")</f>
        <v/>
      </c>
      <c r="AI42" s="80" t="str">
        <f>IF(AND($F42&lt;&gt;"", $F42&gt;=AI$5-4, $F42&lt;=AI$5, COUNTIF($M42:AH42,"u")=0), "u", "")</f>
        <v/>
      </c>
      <c r="AJ42" s="80" t="str">
        <f>IF(AND($F42&lt;&gt;"", $F42&gt;=AJ$5-4, $F42&lt;=AJ$5, COUNTIF($M42:AI42,"u")=0), "u", "")</f>
        <v/>
      </c>
      <c r="AK42" s="80" t="str">
        <f>IF(AND($F42&lt;&gt;"", $F42&gt;=AK$5-4, $F42&lt;=AK$5, COUNTIF($M42:AJ42,"u")=0), "u", "")</f>
        <v/>
      </c>
      <c r="AL42" s="80" t="str">
        <f>IF(AND($F42&lt;&gt;"", $F42&gt;=AL$5-4, $F42&lt;=AL$5, COUNTIF($M42:AK42,"u")=0), "u", "")</f>
        <v/>
      </c>
      <c r="AM42" s="80" t="str">
        <f>IF(AND($F42&lt;&gt;"", $F42&gt;=AM$5-4, $F42&lt;=AM$5, COUNTIF($M42:AL42,"u")=0), "u", "")</f>
        <v/>
      </c>
      <c r="AN42" s="80" t="str">
        <f>IF(AND($F42&lt;&gt;"", $F42&gt;=AN$5-4, $F42&lt;=AN$5, COUNTIF($M42:AM42,"u")=0), "u", "")</f>
        <v/>
      </c>
      <c r="AO42" s="80" t="str">
        <f>IF(AND($F42&lt;&gt;"", $F42&gt;=AO$5-4, $F42&lt;=AO$5, COUNTIF($M42:AN42,"u")=0), "u", "")</f>
        <v/>
      </c>
      <c r="AP42" s="80" t="str">
        <f>IF(AND($F42&lt;&gt;"", $F42&gt;=AP$5-4, $F42&lt;=AP$5, COUNTIF($M42:AO42,"u")=0), "u", "")</f>
        <v/>
      </c>
      <c r="AQ42" s="80" t="str">
        <f>IF(AND($F42&lt;&gt;"", $F42&gt;=AQ$5-4, $F42&lt;=AQ$5, COUNTIF($M42:AP42,"u")=0), "u", "")</f>
        <v/>
      </c>
      <c r="AR42" s="80" t="str">
        <f>IF(AND($F42&lt;&gt;"", $F42&gt;=AR$5-4, $F42&lt;=AR$5, COUNTIF($M42:AQ42,"u")=0), "u", "")</f>
        <v/>
      </c>
      <c r="AS42" s="80" t="str">
        <f>IF(AND($F42&lt;&gt;"", $F42&gt;=AS$5-4, $F42&lt;=AS$5, COUNTIF($M42:AR42,"u")=0), "u", "")</f>
        <v/>
      </c>
      <c r="AT42" s="80" t="str">
        <f>IF(AND($F42&lt;&gt;"", $F42&gt;=AT$5-4, $F42&lt;=AT$5, COUNTIF($M42:AS42,"u")=0), "u", "")</f>
        <v/>
      </c>
      <c r="AU42" s="80" t="str">
        <f>IF(AND($F42&lt;&gt;"", $F42&gt;=AU$5-4, $F42&lt;=AU$5, COUNTIF($M42:AT42,"u")=0), "u", "")</f>
        <v/>
      </c>
      <c r="AV42" s="80" t="str">
        <f>IF(AND($F42&lt;&gt;"", $F42&gt;=AV$5-4, $F42&lt;=AV$5, COUNTIF($M42:AU42,"u")=0), "u", "")</f>
        <v/>
      </c>
      <c r="AW42" s="80" t="str">
        <f>IF(AND($F42&lt;&gt;"", $F42&gt;=AW$5-4, $F42&lt;=AW$5, COUNTIF($M42:AV42,"u")=0), "u", "")</f>
        <v/>
      </c>
      <c r="AX42" s="80" t="str">
        <f>IF(AND($F42&lt;&gt;"", $F42&gt;=AX$5-4, $F42&lt;=AX$5, COUNTIF($M42:AW42,"u")=0), "u", "")</f>
        <v/>
      </c>
      <c r="AY42" s="80" t="str">
        <f>IF(AND($F42&lt;&gt;"", $F42&gt;=AY$5-4, $F42&lt;=AY$5, COUNTIF($M42:AX42,"u")=0), "u", "")</f>
        <v/>
      </c>
      <c r="AZ42" s="80" t="str">
        <f>IF(AND($F42&lt;&gt;"", $F42&gt;=AZ$5-4, $F42&lt;=AZ$5, COUNTIF($M42:AY42,"u")=0), "u", "")</f>
        <v/>
      </c>
      <c r="BA42" s="80" t="str">
        <f>IF(AND($F42&lt;&gt;"", $F42&gt;=BA$5-4, $F42&lt;=BA$5, COUNTIF($M42:AZ42,"u")=0), "u", "")</f>
        <v/>
      </c>
      <c r="BB42" s="80" t="str">
        <f>IF(AND($F42&lt;&gt;"", $F42&gt;=BB$5-4, $F42&lt;=BB$5, COUNTIF($M42:BA42,"u")=0), "u", "")</f>
        <v/>
      </c>
      <c r="BC42" s="80" t="str">
        <f>IF(AND($F42&lt;&gt;"", $F42&gt;=BC$5-4, $F42&lt;=BC$5, COUNTIF($M42:BB42,"u")=0), "u", "")</f>
        <v/>
      </c>
      <c r="BD42" s="80" t="str">
        <f>IF(AND($F42&lt;&gt;"", $F42&gt;=BD$5-4, $F42&lt;=BD$5, COUNTIF($M42:BC42,"u")=0), "u", "")</f>
        <v/>
      </c>
      <c r="BE42" s="80" t="str">
        <f>IF(AND($F42&lt;&gt;"", $F42&gt;=BE$5-4, $F42&lt;=BE$5, COUNTIF($M42:BD42,"u")=0), "u", "")</f>
        <v/>
      </c>
      <c r="BF42" s="80" t="str">
        <f>IF(AND($F42&lt;&gt;"", $F42&gt;=BF$5-4, $F42&lt;=BF$5, COUNTIF($M42:BE42,"u")=0), "u", "")</f>
        <v/>
      </c>
      <c r="BG42" s="80" t="str">
        <f>IF(AND($F42&lt;&gt;"", $F42&gt;=BG$5-4, $F42&lt;=BG$5, COUNTIF($M42:BF42,"u")=0), "u", "")</f>
        <v/>
      </c>
      <c r="BH42" s="80" t="str">
        <f>IF(AND($F42&lt;&gt;"", $F42&gt;=BH$5-4, $F42&lt;=BH$5, COUNTIF($M42:BG42,"u")=0), "u", "")</f>
        <v/>
      </c>
      <c r="BI42" s="80" t="str">
        <f>IF(AND($F42&lt;&gt;"", $F42&gt;=BI$5-4, $F42&lt;=BI$5, COUNTIF($M42:BH42,"u")=0), "u", "")</f>
        <v/>
      </c>
      <c r="BJ42" s="80" t="str">
        <f>IF(AND($F42&lt;&gt;"", $F42&gt;=BJ$5-4, $F42&lt;=BJ$5, COUNTIF($M42:BI42,"u")=0), "u", "")</f>
        <v/>
      </c>
      <c r="BK42" s="80" t="str">
        <f>IF(AND($F42&lt;&gt;"", $F42&gt;=BK$5-4, $F42&lt;=BK$5, COUNTIF($M42:BJ42,"u")=0), "u", "")</f>
        <v/>
      </c>
      <c r="BL42" s="80" t="str">
        <f>IF(AND($F42&lt;&gt;"", $F42&gt;=BL$5-4, $F42&lt;=BL$5, COUNTIF($M42:BK42,"u")=0), "u", "")</f>
        <v/>
      </c>
      <c r="BM42" s="80" t="str">
        <f>IF(AND($F42&lt;&gt;"", $F42&gt;=BM$5-4, $F42&lt;=BM$5, COUNTIF($M42:BL42,"u")=0), "u", "")</f>
        <v/>
      </c>
      <c r="BN42" s="80" t="str">
        <f>IF(AND($F42&lt;&gt;"", $F42&gt;=BN$5-4, $F42&lt;=BN$5, COUNTIF($M42:BM42,"u")=0), "u", "")</f>
        <v/>
      </c>
      <c r="BO42" s="80" t="str">
        <f>IF(AND($F42&lt;&gt;"", $F42&gt;=BO$5-4, $F42&lt;=BO$5, COUNTIF($M42:BN42,"u")=0), "u", "")</f>
        <v/>
      </c>
      <c r="BP42" s="80" t="str">
        <f>IF(AND($F42&lt;&gt;"", $F42&gt;=BP$5-4, $F42&lt;=BP$5, COUNTIF($M42:BO42,"u")=0), "u", "")</f>
        <v/>
      </c>
      <c r="BQ42" s="80" t="str">
        <f>IF(AND($F42&lt;&gt;"", $F42&gt;=BQ$5-4, $F42&lt;=BQ$5, COUNTIF($M42:BP42,"u")=0), "u", "")</f>
        <v/>
      </c>
      <c r="BR42" s="80" t="str">
        <f>IF(AND($F42&lt;&gt;"", $F42&gt;=BR$5-4, $F42&lt;=BR$5, COUNTIF($M42:BQ42,"u")=0), "u", "")</f>
        <v/>
      </c>
      <c r="BS42" s="80" t="str">
        <f>IF(AND($F42&lt;&gt;"", $F42&gt;=BS$5-4, $F42&lt;=BS$5, COUNTIF($M42:BR42,"u")=0), "u", "")</f>
        <v/>
      </c>
      <c r="BT42" s="80" t="str">
        <f>IF(AND($F42&lt;&gt;"", $F42&gt;=BT$5-4, $F42&lt;=BT$5, COUNTIF($M42:BS42,"u")=0), "u", "")</f>
        <v/>
      </c>
      <c r="BU42" s="80" t="str">
        <f>IF(AND($F42&lt;&gt;"", $F42&gt;=BU$5-4, $F42&lt;=BU$5, COUNTIF($M42:BT42,"u")=0), "u", "")</f>
        <v/>
      </c>
      <c r="BV42" s="80" t="str">
        <f>IF(AND($F42&lt;&gt;"", $F42&gt;=BV$5-4, $F42&lt;=BV$5, COUNTIF($M42:BU42,"u")=0), "u", "")</f>
        <v/>
      </c>
      <c r="BW42" s="80" t="str">
        <f>IF(AND($F42&lt;&gt;"", $F42&gt;=BW$5-4, $F42&lt;=BW$5, COUNTIF($M42:BV42,"u")=0), "u", "")</f>
        <v/>
      </c>
      <c r="BX42" s="80" t="str">
        <f>IF(AND($F42&lt;&gt;"", $F42&gt;=BX$5-4, $F42&lt;=BX$5, COUNTIF($M42:BW42,"u")=0), "u", "")</f>
        <v/>
      </c>
      <c r="BY42" s="80" t="str">
        <f>IF(AND($F42&lt;&gt;"", $F42&gt;=BY$5-4, $F42&lt;=BY$5, COUNTIF($M42:BX42,"u")=0), "u", "")</f>
        <v/>
      </c>
      <c r="BZ42" s="80" t="str">
        <f>IF(AND($F42&lt;&gt;"", $F42&gt;=BZ$5-4, $F42&lt;=BZ$5, COUNTIF($M42:BY42,"u")=0), "u", "")</f>
        <v/>
      </c>
      <c r="CA42" s="80" t="str">
        <f>IF(AND($F42&lt;&gt;"", $F42&gt;=CA$5-4, $F42&lt;=CA$5, COUNTIF($M42:BZ42,"u")=0), "u", "")</f>
        <v/>
      </c>
      <c r="CB42" s="80" t="str">
        <f>IF(AND($F42&lt;&gt;"", $F42&gt;=CB$5-4, $F42&lt;=CB$5, COUNTIF($M42:CA42,"u")=0), "u", "")</f>
        <v/>
      </c>
      <c r="CC42" s="80" t="str">
        <f>IF(AND($F42&lt;&gt;"", $F42&gt;=CC$5-4, $F42&lt;=CC$5, COUNTIF($M42:CB42,"u")=0), "u", "")</f>
        <v/>
      </c>
      <c r="CD42" s="80" t="str">
        <f>IF(AND($F42&lt;&gt;"", $F42&gt;=CD$5-4, $F42&lt;=CD$5, COUNTIF($M42:CC42,"u")=0), "u", "")</f>
        <v/>
      </c>
      <c r="CE42" s="80" t="str">
        <f>IF(AND($F42&lt;&gt;"", $F42&gt;=CE$5-4, $F42&lt;=CE$5, COUNTIF($M42:CD42,"u")=0), "u", "")</f>
        <v/>
      </c>
      <c r="CF42" s="80" t="str">
        <f>IF(AND($F42&lt;&gt;"", $F42&gt;=CF$5-4, $F42&lt;=CF$5, COUNTIF($M42:CE42,"u")=0), "u", "")</f>
        <v/>
      </c>
      <c r="CG42" s="80" t="str">
        <f>IF(AND($F42&lt;&gt;"", $F42&gt;=CG$5-4, $F42&lt;=CG$5, COUNTIF($M42:CF42,"u")=0), "u", "")</f>
        <v/>
      </c>
      <c r="CH42" s="80" t="str">
        <f>IF(AND($F42&lt;&gt;"", $F42&gt;=CH$5-4, $F42&lt;=CH$5, COUNTIF($M42:CG42,"u")=0), "u", "")</f>
        <v/>
      </c>
      <c r="CI42" s="80" t="str">
        <f>IF(AND($F42&lt;&gt;"", $F42&gt;=CI$5-4, $F42&lt;=CI$5, COUNTIF($M42:CH42,"u")=0), "u", "")</f>
        <v/>
      </c>
      <c r="CJ42" s="80" t="str">
        <f>IF(AND($F42&lt;&gt;"", $F42&gt;=CJ$5-4, $F42&lt;=CJ$5, COUNTIF($M42:CI42,"u")=0), "u", "")</f>
        <v/>
      </c>
      <c r="CK42" s="80" t="str">
        <f>IF(AND($F42&lt;&gt;"", $F42&gt;=CK$5-4, $F42&lt;=CK$5, COUNTIF($M42:CJ42,"u")=0), "u", "")</f>
        <v/>
      </c>
      <c r="CL42" s="80" t="str">
        <f>IF(AND($F42&lt;&gt;"", $F42&gt;=CL$5-4, $F42&lt;=CL$5, COUNTIF($M42:CK42,"u")=0), "u", "")</f>
        <v/>
      </c>
      <c r="CM42" s="80" t="str">
        <f>IF(AND($F42&lt;&gt;"", $F42&gt;=CM$5-4, $F42&lt;=CM$5, COUNTIF($M42:CL42,"u")=0), "u", "")</f>
        <v/>
      </c>
      <c r="CN42" s="80" t="str">
        <f>IF(AND($F42&lt;&gt;"", $F42&gt;=CN$5-4, $F42&lt;=CN$5, COUNTIF($M42:CM42,"u")=0), "u", "")</f>
        <v/>
      </c>
      <c r="CO42" s="80" t="str">
        <f>IF(AND($F42&lt;&gt;"", $F42&gt;=CO$5-4, $F42&lt;=CO$5, COUNTIF($M42:CN42,"u")=0), "u", "")</f>
        <v/>
      </c>
      <c r="CP42" s="80" t="str">
        <f>IF(AND($F42&lt;&gt;"", $F42&gt;=CP$5-4, $F42&lt;=CP$5, COUNTIF($M42:CO42,"u")=0), "u", "")</f>
        <v/>
      </c>
      <c r="CQ42" s="80" t="str">
        <f>IF(AND($F42&lt;&gt;"", $F42&gt;=CQ$5-4, $F42&lt;=CQ$5, COUNTIF($M42:CP42,"u")=0), "u", "")</f>
        <v/>
      </c>
      <c r="CR42" s="80" t="str">
        <f>IF(AND($F42&lt;&gt;"", $F42&gt;=CR$5-4, $F42&lt;=CR$5, COUNTIF($M42:CQ42,"u")=0), "u", "")</f>
        <v/>
      </c>
      <c r="CS42" s="80" t="str">
        <f>IF(AND($F42&lt;&gt;"", $F42&gt;=CS$5-4, $F42&lt;=CS$5, COUNTIF($M42:CR42,"u")=0), "u", "")</f>
        <v/>
      </c>
      <c r="CT42" s="80" t="str">
        <f>IF(AND($F42&lt;&gt;"", $F42&gt;=CT$5-4, $F42&lt;=CT$5, COUNTIF($M42:CS42,"u")=0), "u", "")</f>
        <v/>
      </c>
      <c r="CU42" s="80" t="str">
        <f>IF(AND($F42&lt;&gt;"", $F42&gt;=CU$5-4, $F42&lt;=CU$5, COUNTIF($M42:CT42,"u")=0), "u", "")</f>
        <v/>
      </c>
      <c r="CV42" s="80" t="str">
        <f>IF(AND($F42&lt;&gt;"", $F42&gt;=CV$5-4, $F42&lt;=CV$5, COUNTIF($M42:CU42,"u")=0), "u", "")</f>
        <v/>
      </c>
      <c r="CW42" s="80" t="str">
        <f>IF(AND($F42&lt;&gt;"", $F42&gt;=CW$5-4, $F42&lt;=CW$5, COUNTIF($M42:CV42,"u")=0), "u", "")</f>
        <v/>
      </c>
      <c r="CX42" s="80" t="str">
        <f>IF(AND($F42&lt;&gt;"", $F42&gt;=CX$5-4, $F42&lt;=CX$5, COUNTIF($M42:CW42,"u")=0), "u", "")</f>
        <v/>
      </c>
      <c r="CY42" s="80" t="str">
        <f>IF(AND($F42&lt;&gt;"", $F42&gt;=CY$5-4, $F42&lt;=CY$5, COUNTIF($M42:CX42,"u")=0), "u", "")</f>
        <v/>
      </c>
      <c r="CZ42" s="80" t="str">
        <f>IF(AND($F42&lt;&gt;"", $F42&gt;=CZ$5-4, $F42&lt;=CZ$5, COUNTIF($M42:CY42,"u")=0), "u", "")</f>
        <v/>
      </c>
      <c r="DA42" s="80" t="str">
        <f>IF(AND($F42&lt;&gt;"", $F42&gt;=DA$5-4, $F42&lt;=DA$5, COUNTIF($M42:CZ42,"u")=0), "u", "")</f>
        <v/>
      </c>
      <c r="DB42" s="80" t="str">
        <f>IF(AND($F42&lt;&gt;"", $F42&gt;=DB$5-4, $F42&lt;=DB$5, COUNTIF($M42:DA42,"u")=0), "u", "")</f>
        <v/>
      </c>
      <c r="DC42" s="80" t="str">
        <f>IF(AND($F42&lt;&gt;"", $F42&gt;=DC$5-4, $F42&lt;=DC$5, COUNTIF($M42:DB42,"u")=0), "u", "")</f>
        <v/>
      </c>
      <c r="DD42" s="80" t="str">
        <f>IF(AND($F42&lt;&gt;"", $F42&gt;=DD$5-4, $F42&lt;=DD$5, COUNTIF($M42:DC42,"u")=0), "u", "")</f>
        <v/>
      </c>
      <c r="DE42" s="80" t="str">
        <f>IF(AND($F42&lt;&gt;"", $F42&gt;=DE$5-4, $F42&lt;=DE$5, COUNTIF($M42:DD42,"u")=0), "u", "")</f>
        <v/>
      </c>
      <c r="DF42" s="80" t="str">
        <f>IF(AND($F42&lt;&gt;"", $F42&gt;=DF$5-4, $F42&lt;=DF$5, COUNTIF($M42:DE42,"u")=0), "u", "")</f>
        <v/>
      </c>
      <c r="DG42" s="80" t="str">
        <f>IF(AND($F42&lt;&gt;"", $F42&gt;=DG$5-4, $F42&lt;=DG$5, COUNTIF($M42:DF42,"u")=0), "u", "")</f>
        <v/>
      </c>
      <c r="DH42" s="80" t="str">
        <f>IF(AND($F42&lt;&gt;"", $F42&gt;=DH$5-4, $F42&lt;=DH$5, COUNTIF($M42:DG42,"u")=0), "u", "")</f>
        <v/>
      </c>
      <c r="DI42" s="80" t="str">
        <f>IF(AND($F42&lt;&gt;"", $F42&gt;=DI$5-4, $F42&lt;=DI$5, COUNTIF($M42:DH42,"u")=0), "u", "")</f>
        <v/>
      </c>
      <c r="DJ42" s="80" t="str">
        <f>IF(AND($F42&lt;&gt;"", $F42&gt;=DJ$5-4, $F42&lt;=DJ$5, COUNTIF($M42:DI42,"u")=0), "u", "")</f>
        <v/>
      </c>
      <c r="DK42" s="80" t="str">
        <f>IF(AND($F42&lt;&gt;"", $F42&gt;=DK$5-4, $F42&lt;=DK$5, COUNTIF($M42:DJ42,"u")=0), "u", "")</f>
        <v/>
      </c>
      <c r="DL42" s="80" t="str">
        <f>IF(AND($F42&lt;&gt;"", $F42&gt;=DL$5-4, $F42&lt;=DL$5, COUNTIF($M42:DK42,"u")=0), "u", "")</f>
        <v/>
      </c>
    </row>
    <row r="43" spans="1:116" ht="25.05" customHeight="1" x14ac:dyDescent="0.3">
      <c r="A43" s="39"/>
      <c r="B43" s="75">
        <v>38</v>
      </c>
      <c r="C43" s="97"/>
      <c r="D43" s="92"/>
      <c r="E43" s="53"/>
      <c r="F43" s="53"/>
      <c r="G43" s="83" t="str">
        <f t="shared" si="47"/>
        <v/>
      </c>
      <c r="H43" s="83" t="str">
        <f t="shared" si="47"/>
        <v/>
      </c>
      <c r="I43" s="77" t="str">
        <f t="shared" si="45"/>
        <v/>
      </c>
      <c r="J43" s="78"/>
      <c r="K43" s="86"/>
      <c r="L43" s="56"/>
      <c r="M43" s="80" t="str">
        <f t="shared" si="46"/>
        <v/>
      </c>
      <c r="N43" s="80" t="str">
        <f>IF(AND($F43&lt;&gt;"", $F43&gt;=N$5-4, $F43&lt;=N$5, COUNTIF($M43:M43,"u")=0), "u", "")</f>
        <v/>
      </c>
      <c r="O43" s="80" t="str">
        <f>IF(AND($F43&lt;&gt;"", $F43&gt;=O$5-4, $F43&lt;=O$5, COUNTIF($M43:N43,"u")=0), "u", "")</f>
        <v/>
      </c>
      <c r="P43" s="80" t="str">
        <f>IF(AND($F43&lt;&gt;"", $F43&gt;=P$5-4, $F43&lt;=P$5, COUNTIF($M43:O43,"u")=0), "u", "")</f>
        <v/>
      </c>
      <c r="Q43" s="80" t="str">
        <f>IF(AND($F43&lt;&gt;"", $F43&gt;=Q$5-4, $F43&lt;=Q$5, COUNTIF($M43:P43,"u")=0), "u", "")</f>
        <v/>
      </c>
      <c r="R43" s="80" t="str">
        <f>IF(AND($F43&lt;&gt;"", $F43&gt;=R$5-4, $F43&lt;=R$5, COUNTIF($M43:Q43,"u")=0), "u", "")</f>
        <v/>
      </c>
      <c r="S43" s="80" t="str">
        <f>IF(AND($F43&lt;&gt;"", $F43&gt;=S$5-4, $F43&lt;=S$5, COUNTIF($M43:R43,"u")=0), "u", "")</f>
        <v/>
      </c>
      <c r="T43" s="80" t="str">
        <f>IF(AND($F43&lt;&gt;"", $F43&gt;=T$5-4, $F43&lt;=T$5, COUNTIF($M43:S43,"u")=0), "u", "")</f>
        <v/>
      </c>
      <c r="U43" s="80" t="str">
        <f>IF(AND($F43&lt;&gt;"", $F43&gt;=U$5-4, $F43&lt;=U$5, COUNTIF($M43:T43,"u")=0), "u", "")</f>
        <v/>
      </c>
      <c r="V43" s="80" t="str">
        <f>IF(AND($F43&lt;&gt;"", $F43&gt;=V$5-4, $F43&lt;=V$5, COUNTIF($M43:U43,"u")=0), "u", "")</f>
        <v/>
      </c>
      <c r="W43" s="80" t="str">
        <f>IF(AND($F43&lt;&gt;"", $F43&gt;=W$5-4, $F43&lt;=W$5, COUNTIF($M43:V43,"u")=0), "u", "")</f>
        <v/>
      </c>
      <c r="X43" s="80" t="str">
        <f>IF(AND($F43&lt;&gt;"", $F43&gt;=X$5-4, $F43&lt;=X$5, COUNTIF($M43:W43,"u")=0), "u", "")</f>
        <v/>
      </c>
      <c r="Y43" s="80" t="str">
        <f>IF(AND($F43&lt;&gt;"", $F43&gt;=Y$5-4, $F43&lt;=Y$5, COUNTIF($M43:X43,"u")=0), "u", "")</f>
        <v/>
      </c>
      <c r="Z43" s="80" t="str">
        <f>IF(AND($F43&lt;&gt;"", $F43&gt;=Z$5-4, $F43&lt;=Z$5, COUNTIF($M43:Y43,"u")=0), "u", "")</f>
        <v/>
      </c>
      <c r="AA43" s="80" t="str">
        <f>IF(AND($F43&lt;&gt;"", $F43&gt;=AA$5-4, $F43&lt;=AA$5, COUNTIF($M43:Z43,"u")=0), "u", "")</f>
        <v/>
      </c>
      <c r="AB43" s="80" t="str">
        <f>IF(AND($F43&lt;&gt;"", $F43&gt;=AB$5-4, $F43&lt;=AB$5, COUNTIF($M43:AA43,"u")=0), "u", "")</f>
        <v/>
      </c>
      <c r="AC43" s="80" t="str">
        <f>IF(AND($F43&lt;&gt;"", $F43&gt;=AC$5-4, $F43&lt;=AC$5, COUNTIF($M43:AB43,"u")=0), "u", "")</f>
        <v/>
      </c>
      <c r="AD43" s="80" t="str">
        <f>IF(AND($F43&lt;&gt;"", $F43&gt;=AD$5-4, $F43&lt;=AD$5, COUNTIF($M43:AC43,"u")=0), "u", "")</f>
        <v/>
      </c>
      <c r="AE43" s="80" t="str">
        <f>IF(AND($F43&lt;&gt;"", $F43&gt;=AE$5-4, $F43&lt;=AE$5, COUNTIF($M43:AD43,"u")=0), "u", "")</f>
        <v/>
      </c>
      <c r="AF43" s="80" t="str">
        <f>IF(AND($F43&lt;&gt;"", $F43&gt;=AF$5-4, $F43&lt;=AF$5, COUNTIF($M43:AE43,"u")=0), "u", "")</f>
        <v/>
      </c>
      <c r="AG43" s="80" t="str">
        <f>IF(AND($F43&lt;&gt;"", $F43&gt;=AG$5-4, $F43&lt;=AG$5, COUNTIF($M43:AF43,"u")=0), "u", "")</f>
        <v/>
      </c>
      <c r="AH43" s="80" t="str">
        <f>IF(AND($F43&lt;&gt;"", $F43&gt;=AH$5-4, $F43&lt;=AH$5, COUNTIF($M43:AG43,"u")=0), "u", "")</f>
        <v/>
      </c>
      <c r="AI43" s="80" t="str">
        <f>IF(AND($F43&lt;&gt;"", $F43&gt;=AI$5-4, $F43&lt;=AI$5, COUNTIF($M43:AH43,"u")=0), "u", "")</f>
        <v/>
      </c>
      <c r="AJ43" s="80" t="str">
        <f>IF(AND($F43&lt;&gt;"", $F43&gt;=AJ$5-4, $F43&lt;=AJ$5, COUNTIF($M43:AI43,"u")=0), "u", "")</f>
        <v/>
      </c>
      <c r="AK43" s="80" t="str">
        <f>IF(AND($F43&lt;&gt;"", $F43&gt;=AK$5-4, $F43&lt;=AK$5, COUNTIF($M43:AJ43,"u")=0), "u", "")</f>
        <v/>
      </c>
      <c r="AL43" s="80" t="str">
        <f>IF(AND($F43&lt;&gt;"", $F43&gt;=AL$5-4, $F43&lt;=AL$5, COUNTIF($M43:AK43,"u")=0), "u", "")</f>
        <v/>
      </c>
      <c r="AM43" s="80" t="str">
        <f>IF(AND($F43&lt;&gt;"", $F43&gt;=AM$5-4, $F43&lt;=AM$5, COUNTIF($M43:AL43,"u")=0), "u", "")</f>
        <v/>
      </c>
      <c r="AN43" s="80" t="str">
        <f>IF(AND($F43&lt;&gt;"", $F43&gt;=AN$5-4, $F43&lt;=AN$5, COUNTIF($M43:AM43,"u")=0), "u", "")</f>
        <v/>
      </c>
      <c r="AO43" s="80" t="str">
        <f>IF(AND($F43&lt;&gt;"", $F43&gt;=AO$5-4, $F43&lt;=AO$5, COUNTIF($M43:AN43,"u")=0), "u", "")</f>
        <v/>
      </c>
      <c r="AP43" s="80" t="str">
        <f>IF(AND($F43&lt;&gt;"", $F43&gt;=AP$5-4, $F43&lt;=AP$5, COUNTIF($M43:AO43,"u")=0), "u", "")</f>
        <v/>
      </c>
      <c r="AQ43" s="80" t="str">
        <f>IF(AND($F43&lt;&gt;"", $F43&gt;=AQ$5-4, $F43&lt;=AQ$5, COUNTIF($M43:AP43,"u")=0), "u", "")</f>
        <v/>
      </c>
      <c r="AR43" s="80" t="str">
        <f>IF(AND($F43&lt;&gt;"", $F43&gt;=AR$5-4, $F43&lt;=AR$5, COUNTIF($M43:AQ43,"u")=0), "u", "")</f>
        <v/>
      </c>
      <c r="AS43" s="80" t="str">
        <f>IF(AND($F43&lt;&gt;"", $F43&gt;=AS$5-4, $F43&lt;=AS$5, COUNTIF($M43:AR43,"u")=0), "u", "")</f>
        <v/>
      </c>
      <c r="AT43" s="80" t="str">
        <f>IF(AND($F43&lt;&gt;"", $F43&gt;=AT$5-4, $F43&lt;=AT$5, COUNTIF($M43:AS43,"u")=0), "u", "")</f>
        <v/>
      </c>
      <c r="AU43" s="80" t="str">
        <f>IF(AND($F43&lt;&gt;"", $F43&gt;=AU$5-4, $F43&lt;=AU$5, COUNTIF($M43:AT43,"u")=0), "u", "")</f>
        <v/>
      </c>
      <c r="AV43" s="80" t="str">
        <f>IF(AND($F43&lt;&gt;"", $F43&gt;=AV$5-4, $F43&lt;=AV$5, COUNTIF($M43:AU43,"u")=0), "u", "")</f>
        <v/>
      </c>
      <c r="AW43" s="80" t="str">
        <f>IF(AND($F43&lt;&gt;"", $F43&gt;=AW$5-4, $F43&lt;=AW$5, COUNTIF($M43:AV43,"u")=0), "u", "")</f>
        <v/>
      </c>
      <c r="AX43" s="80" t="str">
        <f>IF(AND($F43&lt;&gt;"", $F43&gt;=AX$5-4, $F43&lt;=AX$5, COUNTIF($M43:AW43,"u")=0), "u", "")</f>
        <v/>
      </c>
      <c r="AY43" s="80" t="str">
        <f>IF(AND($F43&lt;&gt;"", $F43&gt;=AY$5-4, $F43&lt;=AY$5, COUNTIF($M43:AX43,"u")=0), "u", "")</f>
        <v/>
      </c>
      <c r="AZ43" s="80" t="str">
        <f>IF(AND($F43&lt;&gt;"", $F43&gt;=AZ$5-4, $F43&lt;=AZ$5, COUNTIF($M43:AY43,"u")=0), "u", "")</f>
        <v/>
      </c>
      <c r="BA43" s="80" t="str">
        <f>IF(AND($F43&lt;&gt;"", $F43&gt;=BA$5-4, $F43&lt;=BA$5, COUNTIF($M43:AZ43,"u")=0), "u", "")</f>
        <v/>
      </c>
      <c r="BB43" s="80" t="str">
        <f>IF(AND($F43&lt;&gt;"", $F43&gt;=BB$5-4, $F43&lt;=BB$5, COUNTIF($M43:BA43,"u")=0), "u", "")</f>
        <v/>
      </c>
      <c r="BC43" s="80" t="str">
        <f>IF(AND($F43&lt;&gt;"", $F43&gt;=BC$5-4, $F43&lt;=BC$5, COUNTIF($M43:BB43,"u")=0), "u", "")</f>
        <v/>
      </c>
      <c r="BD43" s="80" t="str">
        <f>IF(AND($F43&lt;&gt;"", $F43&gt;=BD$5-4, $F43&lt;=BD$5, COUNTIF($M43:BC43,"u")=0), "u", "")</f>
        <v/>
      </c>
      <c r="BE43" s="80" t="str">
        <f>IF(AND($F43&lt;&gt;"", $F43&gt;=BE$5-4, $F43&lt;=BE$5, COUNTIF($M43:BD43,"u")=0), "u", "")</f>
        <v/>
      </c>
      <c r="BF43" s="80" t="str">
        <f>IF(AND($F43&lt;&gt;"", $F43&gt;=BF$5-4, $F43&lt;=BF$5, COUNTIF($M43:BE43,"u")=0), "u", "")</f>
        <v/>
      </c>
      <c r="BG43" s="80" t="str">
        <f>IF(AND($F43&lt;&gt;"", $F43&gt;=BG$5-4, $F43&lt;=BG$5, COUNTIF($M43:BF43,"u")=0), "u", "")</f>
        <v/>
      </c>
      <c r="BH43" s="80" t="str">
        <f>IF(AND($F43&lt;&gt;"", $F43&gt;=BH$5-4, $F43&lt;=BH$5, COUNTIF($M43:BG43,"u")=0), "u", "")</f>
        <v/>
      </c>
      <c r="BI43" s="80" t="str">
        <f>IF(AND($F43&lt;&gt;"", $F43&gt;=BI$5-4, $F43&lt;=BI$5, COUNTIF($M43:BH43,"u")=0), "u", "")</f>
        <v/>
      </c>
      <c r="BJ43" s="80" t="str">
        <f>IF(AND($F43&lt;&gt;"", $F43&gt;=BJ$5-4, $F43&lt;=BJ$5, COUNTIF($M43:BI43,"u")=0), "u", "")</f>
        <v/>
      </c>
      <c r="BK43" s="80" t="str">
        <f>IF(AND($F43&lt;&gt;"", $F43&gt;=BK$5-4, $F43&lt;=BK$5, COUNTIF($M43:BJ43,"u")=0), "u", "")</f>
        <v/>
      </c>
      <c r="BL43" s="80" t="str">
        <f>IF(AND($F43&lt;&gt;"", $F43&gt;=BL$5-4, $F43&lt;=BL$5, COUNTIF($M43:BK43,"u")=0), "u", "")</f>
        <v/>
      </c>
      <c r="BM43" s="80" t="str">
        <f>IF(AND($F43&lt;&gt;"", $F43&gt;=BM$5-4, $F43&lt;=BM$5, COUNTIF($M43:BL43,"u")=0), "u", "")</f>
        <v/>
      </c>
      <c r="BN43" s="80" t="str">
        <f>IF(AND($F43&lt;&gt;"", $F43&gt;=BN$5-4, $F43&lt;=BN$5, COUNTIF($M43:BM43,"u")=0), "u", "")</f>
        <v/>
      </c>
      <c r="BO43" s="80" t="str">
        <f>IF(AND($F43&lt;&gt;"", $F43&gt;=BO$5-4, $F43&lt;=BO$5, COUNTIF($M43:BN43,"u")=0), "u", "")</f>
        <v/>
      </c>
      <c r="BP43" s="80" t="str">
        <f>IF(AND($F43&lt;&gt;"", $F43&gt;=BP$5-4, $F43&lt;=BP$5, COUNTIF($M43:BO43,"u")=0), "u", "")</f>
        <v/>
      </c>
      <c r="BQ43" s="80" t="str">
        <f>IF(AND($F43&lt;&gt;"", $F43&gt;=BQ$5-4, $F43&lt;=BQ$5, COUNTIF($M43:BP43,"u")=0), "u", "")</f>
        <v/>
      </c>
      <c r="BR43" s="80" t="str">
        <f>IF(AND($F43&lt;&gt;"", $F43&gt;=BR$5-4, $F43&lt;=BR$5, COUNTIF($M43:BQ43,"u")=0), "u", "")</f>
        <v/>
      </c>
      <c r="BS43" s="80" t="str">
        <f>IF(AND($F43&lt;&gt;"", $F43&gt;=BS$5-4, $F43&lt;=BS$5, COUNTIF($M43:BR43,"u")=0), "u", "")</f>
        <v/>
      </c>
      <c r="BT43" s="80" t="str">
        <f>IF(AND($F43&lt;&gt;"", $F43&gt;=BT$5-4, $F43&lt;=BT$5, COUNTIF($M43:BS43,"u")=0), "u", "")</f>
        <v/>
      </c>
      <c r="BU43" s="80" t="str">
        <f>IF(AND($F43&lt;&gt;"", $F43&gt;=BU$5-4, $F43&lt;=BU$5, COUNTIF($M43:BT43,"u")=0), "u", "")</f>
        <v/>
      </c>
      <c r="BV43" s="80" t="str">
        <f>IF(AND($F43&lt;&gt;"", $F43&gt;=BV$5-4, $F43&lt;=BV$5, COUNTIF($M43:BU43,"u")=0), "u", "")</f>
        <v/>
      </c>
      <c r="BW43" s="80" t="str">
        <f>IF(AND($F43&lt;&gt;"", $F43&gt;=BW$5-4, $F43&lt;=BW$5, COUNTIF($M43:BV43,"u")=0), "u", "")</f>
        <v/>
      </c>
      <c r="BX43" s="80" t="str">
        <f>IF(AND($F43&lt;&gt;"", $F43&gt;=BX$5-4, $F43&lt;=BX$5, COUNTIF($M43:BW43,"u")=0), "u", "")</f>
        <v/>
      </c>
      <c r="BY43" s="80" t="str">
        <f>IF(AND($F43&lt;&gt;"", $F43&gt;=BY$5-4, $F43&lt;=BY$5, COUNTIF($M43:BX43,"u")=0), "u", "")</f>
        <v/>
      </c>
      <c r="BZ43" s="80" t="str">
        <f>IF(AND($F43&lt;&gt;"", $F43&gt;=BZ$5-4, $F43&lt;=BZ$5, COUNTIF($M43:BY43,"u")=0), "u", "")</f>
        <v/>
      </c>
      <c r="CA43" s="80" t="str">
        <f>IF(AND($F43&lt;&gt;"", $F43&gt;=CA$5-4, $F43&lt;=CA$5, COUNTIF($M43:BZ43,"u")=0), "u", "")</f>
        <v/>
      </c>
      <c r="CB43" s="80" t="str">
        <f>IF(AND($F43&lt;&gt;"", $F43&gt;=CB$5-4, $F43&lt;=CB$5, COUNTIF($M43:CA43,"u")=0), "u", "")</f>
        <v/>
      </c>
      <c r="CC43" s="80" t="str">
        <f>IF(AND($F43&lt;&gt;"", $F43&gt;=CC$5-4, $F43&lt;=CC$5, COUNTIF($M43:CB43,"u")=0), "u", "")</f>
        <v/>
      </c>
      <c r="CD43" s="80" t="str">
        <f>IF(AND($F43&lt;&gt;"", $F43&gt;=CD$5-4, $F43&lt;=CD$5, COUNTIF($M43:CC43,"u")=0), "u", "")</f>
        <v/>
      </c>
      <c r="CE43" s="80" t="str">
        <f>IF(AND($F43&lt;&gt;"", $F43&gt;=CE$5-4, $F43&lt;=CE$5, COUNTIF($M43:CD43,"u")=0), "u", "")</f>
        <v/>
      </c>
      <c r="CF43" s="80" t="str">
        <f>IF(AND($F43&lt;&gt;"", $F43&gt;=CF$5-4, $F43&lt;=CF$5, COUNTIF($M43:CE43,"u")=0), "u", "")</f>
        <v/>
      </c>
      <c r="CG43" s="80" t="str">
        <f>IF(AND($F43&lt;&gt;"", $F43&gt;=CG$5-4, $F43&lt;=CG$5, COUNTIF($M43:CF43,"u")=0), "u", "")</f>
        <v/>
      </c>
      <c r="CH43" s="80" t="str">
        <f>IF(AND($F43&lt;&gt;"", $F43&gt;=CH$5-4, $F43&lt;=CH$5, COUNTIF($M43:CG43,"u")=0), "u", "")</f>
        <v/>
      </c>
      <c r="CI43" s="80" t="str">
        <f>IF(AND($F43&lt;&gt;"", $F43&gt;=CI$5-4, $F43&lt;=CI$5, COUNTIF($M43:CH43,"u")=0), "u", "")</f>
        <v/>
      </c>
      <c r="CJ43" s="80" t="str">
        <f>IF(AND($F43&lt;&gt;"", $F43&gt;=CJ$5-4, $F43&lt;=CJ$5, COUNTIF($M43:CI43,"u")=0), "u", "")</f>
        <v/>
      </c>
      <c r="CK43" s="80" t="str">
        <f>IF(AND($F43&lt;&gt;"", $F43&gt;=CK$5-4, $F43&lt;=CK$5, COUNTIF($M43:CJ43,"u")=0), "u", "")</f>
        <v/>
      </c>
      <c r="CL43" s="80" t="str">
        <f>IF(AND($F43&lt;&gt;"", $F43&gt;=CL$5-4, $F43&lt;=CL$5, COUNTIF($M43:CK43,"u")=0), "u", "")</f>
        <v/>
      </c>
      <c r="CM43" s="80" t="str">
        <f>IF(AND($F43&lt;&gt;"", $F43&gt;=CM$5-4, $F43&lt;=CM$5, COUNTIF($M43:CL43,"u")=0), "u", "")</f>
        <v/>
      </c>
      <c r="CN43" s="80" t="str">
        <f>IF(AND($F43&lt;&gt;"", $F43&gt;=CN$5-4, $F43&lt;=CN$5, COUNTIF($M43:CM43,"u")=0), "u", "")</f>
        <v/>
      </c>
      <c r="CO43" s="80" t="str">
        <f>IF(AND($F43&lt;&gt;"", $F43&gt;=CO$5-4, $F43&lt;=CO$5, COUNTIF($M43:CN43,"u")=0), "u", "")</f>
        <v/>
      </c>
      <c r="CP43" s="80" t="str">
        <f>IF(AND($F43&lt;&gt;"", $F43&gt;=CP$5-4, $F43&lt;=CP$5, COUNTIF($M43:CO43,"u")=0), "u", "")</f>
        <v/>
      </c>
      <c r="CQ43" s="80" t="str">
        <f>IF(AND($F43&lt;&gt;"", $F43&gt;=CQ$5-4, $F43&lt;=CQ$5, COUNTIF($M43:CP43,"u")=0), "u", "")</f>
        <v/>
      </c>
      <c r="CR43" s="80" t="str">
        <f>IF(AND($F43&lt;&gt;"", $F43&gt;=CR$5-4, $F43&lt;=CR$5, COUNTIF($M43:CQ43,"u")=0), "u", "")</f>
        <v/>
      </c>
      <c r="CS43" s="80" t="str">
        <f>IF(AND($F43&lt;&gt;"", $F43&gt;=CS$5-4, $F43&lt;=CS$5, COUNTIF($M43:CR43,"u")=0), "u", "")</f>
        <v/>
      </c>
      <c r="CT43" s="80" t="str">
        <f>IF(AND($F43&lt;&gt;"", $F43&gt;=CT$5-4, $F43&lt;=CT$5, COUNTIF($M43:CS43,"u")=0), "u", "")</f>
        <v/>
      </c>
      <c r="CU43" s="80" t="str">
        <f>IF(AND($F43&lt;&gt;"", $F43&gt;=CU$5-4, $F43&lt;=CU$5, COUNTIF($M43:CT43,"u")=0), "u", "")</f>
        <v/>
      </c>
      <c r="CV43" s="80" t="str">
        <f>IF(AND($F43&lt;&gt;"", $F43&gt;=CV$5-4, $F43&lt;=CV$5, COUNTIF($M43:CU43,"u")=0), "u", "")</f>
        <v/>
      </c>
      <c r="CW43" s="80" t="str">
        <f>IF(AND($F43&lt;&gt;"", $F43&gt;=CW$5-4, $F43&lt;=CW$5, COUNTIF($M43:CV43,"u")=0), "u", "")</f>
        <v/>
      </c>
      <c r="CX43" s="80" t="str">
        <f>IF(AND($F43&lt;&gt;"", $F43&gt;=CX$5-4, $F43&lt;=CX$5, COUNTIF($M43:CW43,"u")=0), "u", "")</f>
        <v/>
      </c>
      <c r="CY43" s="80" t="str">
        <f>IF(AND($F43&lt;&gt;"", $F43&gt;=CY$5-4, $F43&lt;=CY$5, COUNTIF($M43:CX43,"u")=0), "u", "")</f>
        <v/>
      </c>
      <c r="CZ43" s="80" t="str">
        <f>IF(AND($F43&lt;&gt;"", $F43&gt;=CZ$5-4, $F43&lt;=CZ$5, COUNTIF($M43:CY43,"u")=0), "u", "")</f>
        <v/>
      </c>
      <c r="DA43" s="80" t="str">
        <f>IF(AND($F43&lt;&gt;"", $F43&gt;=DA$5-4, $F43&lt;=DA$5, COUNTIF($M43:CZ43,"u")=0), "u", "")</f>
        <v/>
      </c>
      <c r="DB43" s="80" t="str">
        <f>IF(AND($F43&lt;&gt;"", $F43&gt;=DB$5-4, $F43&lt;=DB$5, COUNTIF($M43:DA43,"u")=0), "u", "")</f>
        <v/>
      </c>
      <c r="DC43" s="80" t="str">
        <f>IF(AND($F43&lt;&gt;"", $F43&gt;=DC$5-4, $F43&lt;=DC$5, COUNTIF($M43:DB43,"u")=0), "u", "")</f>
        <v/>
      </c>
      <c r="DD43" s="80" t="str">
        <f>IF(AND($F43&lt;&gt;"", $F43&gt;=DD$5-4, $F43&lt;=DD$5, COUNTIF($M43:DC43,"u")=0), "u", "")</f>
        <v/>
      </c>
      <c r="DE43" s="80" t="str">
        <f>IF(AND($F43&lt;&gt;"", $F43&gt;=DE$5-4, $F43&lt;=DE$5, COUNTIF($M43:DD43,"u")=0), "u", "")</f>
        <v/>
      </c>
      <c r="DF43" s="80" t="str">
        <f>IF(AND($F43&lt;&gt;"", $F43&gt;=DF$5-4, $F43&lt;=DF$5, COUNTIF($M43:DE43,"u")=0), "u", "")</f>
        <v/>
      </c>
      <c r="DG43" s="80" t="str">
        <f>IF(AND($F43&lt;&gt;"", $F43&gt;=DG$5-4, $F43&lt;=DG$5, COUNTIF($M43:DF43,"u")=0), "u", "")</f>
        <v/>
      </c>
      <c r="DH43" s="80" t="str">
        <f>IF(AND($F43&lt;&gt;"", $F43&gt;=DH$5-4, $F43&lt;=DH$5, COUNTIF($M43:DG43,"u")=0), "u", "")</f>
        <v/>
      </c>
      <c r="DI43" s="80" t="str">
        <f>IF(AND($F43&lt;&gt;"", $F43&gt;=DI$5-4, $F43&lt;=DI$5, COUNTIF($M43:DH43,"u")=0), "u", "")</f>
        <v/>
      </c>
      <c r="DJ43" s="80" t="str">
        <f>IF(AND($F43&lt;&gt;"", $F43&gt;=DJ$5-4, $F43&lt;=DJ$5, COUNTIF($M43:DI43,"u")=0), "u", "")</f>
        <v/>
      </c>
      <c r="DK43" s="80" t="str">
        <f>IF(AND($F43&lt;&gt;"", $F43&gt;=DK$5-4, $F43&lt;=DK$5, COUNTIF($M43:DJ43,"u")=0), "u", "")</f>
        <v/>
      </c>
      <c r="DL43" s="80" t="str">
        <f>IF(AND($F43&lt;&gt;"", $F43&gt;=DL$5-4, $F43&lt;=DL$5, COUNTIF($M43:DK43,"u")=0), "u", "")</f>
        <v/>
      </c>
    </row>
    <row r="44" spans="1:116" ht="25.05" customHeight="1" x14ac:dyDescent="0.3">
      <c r="A44" s="39"/>
      <c r="B44" s="75">
        <v>39</v>
      </c>
      <c r="C44" s="97"/>
      <c r="D44" s="92"/>
      <c r="E44" s="53"/>
      <c r="F44" s="53"/>
      <c r="G44" s="83" t="str">
        <f t="shared" si="47"/>
        <v/>
      </c>
      <c r="H44" s="83" t="str">
        <f t="shared" si="47"/>
        <v/>
      </c>
      <c r="I44" s="77" t="str">
        <f t="shared" si="45"/>
        <v/>
      </c>
      <c r="J44" s="78"/>
      <c r="K44" s="86"/>
      <c r="L44" s="56"/>
      <c r="M44" s="80" t="str">
        <f t="shared" si="46"/>
        <v/>
      </c>
      <c r="N44" s="80" t="str">
        <f>IF(AND($F44&lt;&gt;"", $F44&gt;=N$5-4, $F44&lt;=N$5, COUNTIF($M44:M44,"u")=0), "u", "")</f>
        <v/>
      </c>
      <c r="O44" s="80" t="str">
        <f>IF(AND($F44&lt;&gt;"", $F44&gt;=O$5-4, $F44&lt;=O$5, COUNTIF($M44:N44,"u")=0), "u", "")</f>
        <v/>
      </c>
      <c r="P44" s="80" t="str">
        <f>IF(AND($F44&lt;&gt;"", $F44&gt;=P$5-4, $F44&lt;=P$5, COUNTIF($M44:O44,"u")=0), "u", "")</f>
        <v/>
      </c>
      <c r="Q44" s="80" t="str">
        <f>IF(AND($F44&lt;&gt;"", $F44&gt;=Q$5-4, $F44&lt;=Q$5, COUNTIF($M44:P44,"u")=0), "u", "")</f>
        <v/>
      </c>
      <c r="R44" s="80" t="str">
        <f>IF(AND($F44&lt;&gt;"", $F44&gt;=R$5-4, $F44&lt;=R$5, COUNTIF($M44:Q44,"u")=0), "u", "")</f>
        <v/>
      </c>
      <c r="S44" s="80" t="str">
        <f>IF(AND($F44&lt;&gt;"", $F44&gt;=S$5-4, $F44&lt;=S$5, COUNTIF($M44:R44,"u")=0), "u", "")</f>
        <v/>
      </c>
      <c r="T44" s="80" t="str">
        <f>IF(AND($F44&lt;&gt;"", $F44&gt;=T$5-4, $F44&lt;=T$5, COUNTIF($M44:S44,"u")=0), "u", "")</f>
        <v/>
      </c>
      <c r="U44" s="80" t="str">
        <f>IF(AND($F44&lt;&gt;"", $F44&gt;=U$5-4, $F44&lt;=U$5, COUNTIF($M44:T44,"u")=0), "u", "")</f>
        <v/>
      </c>
      <c r="V44" s="80" t="str">
        <f>IF(AND($F44&lt;&gt;"", $F44&gt;=V$5-4, $F44&lt;=V$5, COUNTIF($M44:U44,"u")=0), "u", "")</f>
        <v/>
      </c>
      <c r="W44" s="80" t="str">
        <f>IF(AND($F44&lt;&gt;"", $F44&gt;=W$5-4, $F44&lt;=W$5, COUNTIF($M44:V44,"u")=0), "u", "")</f>
        <v/>
      </c>
      <c r="X44" s="80" t="str">
        <f>IF(AND($F44&lt;&gt;"", $F44&gt;=X$5-4, $F44&lt;=X$5, COUNTIF($M44:W44,"u")=0), "u", "")</f>
        <v/>
      </c>
      <c r="Y44" s="80" t="str">
        <f>IF(AND($F44&lt;&gt;"", $F44&gt;=Y$5-4, $F44&lt;=Y$5, COUNTIF($M44:X44,"u")=0), "u", "")</f>
        <v/>
      </c>
      <c r="Z44" s="80" t="str">
        <f>IF(AND($F44&lt;&gt;"", $F44&gt;=Z$5-4, $F44&lt;=Z$5, COUNTIF($M44:Y44,"u")=0), "u", "")</f>
        <v/>
      </c>
      <c r="AA44" s="80" t="str">
        <f>IF(AND($F44&lt;&gt;"", $F44&gt;=AA$5-4, $F44&lt;=AA$5, COUNTIF($M44:Z44,"u")=0), "u", "")</f>
        <v/>
      </c>
      <c r="AB44" s="80" t="str">
        <f>IF(AND($F44&lt;&gt;"", $F44&gt;=AB$5-4, $F44&lt;=AB$5, COUNTIF($M44:AA44,"u")=0), "u", "")</f>
        <v/>
      </c>
      <c r="AC44" s="80" t="str">
        <f>IF(AND($F44&lt;&gt;"", $F44&gt;=AC$5-4, $F44&lt;=AC$5, COUNTIF($M44:AB44,"u")=0), "u", "")</f>
        <v/>
      </c>
      <c r="AD44" s="80" t="str">
        <f>IF(AND($F44&lt;&gt;"", $F44&gt;=AD$5-4, $F44&lt;=AD$5, COUNTIF($M44:AC44,"u")=0), "u", "")</f>
        <v/>
      </c>
      <c r="AE44" s="80" t="str">
        <f>IF(AND($F44&lt;&gt;"", $F44&gt;=AE$5-4, $F44&lt;=AE$5, COUNTIF($M44:AD44,"u")=0), "u", "")</f>
        <v/>
      </c>
      <c r="AF44" s="80" t="str">
        <f>IF(AND($F44&lt;&gt;"", $F44&gt;=AF$5-4, $F44&lt;=AF$5, COUNTIF($M44:AE44,"u")=0), "u", "")</f>
        <v/>
      </c>
      <c r="AG44" s="80" t="str">
        <f>IF(AND($F44&lt;&gt;"", $F44&gt;=AG$5-4, $F44&lt;=AG$5, COUNTIF($M44:AF44,"u")=0), "u", "")</f>
        <v/>
      </c>
      <c r="AH44" s="80" t="str">
        <f>IF(AND($F44&lt;&gt;"", $F44&gt;=AH$5-4, $F44&lt;=AH$5, COUNTIF($M44:AG44,"u")=0), "u", "")</f>
        <v/>
      </c>
      <c r="AI44" s="80" t="str">
        <f>IF(AND($F44&lt;&gt;"", $F44&gt;=AI$5-4, $F44&lt;=AI$5, COUNTIF($M44:AH44,"u")=0), "u", "")</f>
        <v/>
      </c>
      <c r="AJ44" s="80" t="str">
        <f>IF(AND($F44&lt;&gt;"", $F44&gt;=AJ$5-4, $F44&lt;=AJ$5, COUNTIF($M44:AI44,"u")=0), "u", "")</f>
        <v/>
      </c>
      <c r="AK44" s="80" t="str">
        <f>IF(AND($F44&lt;&gt;"", $F44&gt;=AK$5-4, $F44&lt;=AK$5, COUNTIF($M44:AJ44,"u")=0), "u", "")</f>
        <v/>
      </c>
      <c r="AL44" s="80" t="str">
        <f>IF(AND($F44&lt;&gt;"", $F44&gt;=AL$5-4, $F44&lt;=AL$5, COUNTIF($M44:AK44,"u")=0), "u", "")</f>
        <v/>
      </c>
      <c r="AM44" s="80" t="str">
        <f>IF(AND($F44&lt;&gt;"", $F44&gt;=AM$5-4, $F44&lt;=AM$5, COUNTIF($M44:AL44,"u")=0), "u", "")</f>
        <v/>
      </c>
      <c r="AN44" s="80" t="str">
        <f>IF(AND($F44&lt;&gt;"", $F44&gt;=AN$5-4, $F44&lt;=AN$5, COUNTIF($M44:AM44,"u")=0), "u", "")</f>
        <v/>
      </c>
      <c r="AO44" s="80" t="str">
        <f>IF(AND($F44&lt;&gt;"", $F44&gt;=AO$5-4, $F44&lt;=AO$5, COUNTIF($M44:AN44,"u")=0), "u", "")</f>
        <v/>
      </c>
      <c r="AP44" s="80" t="str">
        <f>IF(AND($F44&lt;&gt;"", $F44&gt;=AP$5-4, $F44&lt;=AP$5, COUNTIF($M44:AO44,"u")=0), "u", "")</f>
        <v/>
      </c>
      <c r="AQ44" s="80" t="str">
        <f>IF(AND($F44&lt;&gt;"", $F44&gt;=AQ$5-4, $F44&lt;=AQ$5, COUNTIF($M44:AP44,"u")=0), "u", "")</f>
        <v/>
      </c>
      <c r="AR44" s="80" t="str">
        <f>IF(AND($F44&lt;&gt;"", $F44&gt;=AR$5-4, $F44&lt;=AR$5, COUNTIF($M44:AQ44,"u")=0), "u", "")</f>
        <v/>
      </c>
      <c r="AS44" s="80" t="str">
        <f>IF(AND($F44&lt;&gt;"", $F44&gt;=AS$5-4, $F44&lt;=AS$5, COUNTIF($M44:AR44,"u")=0), "u", "")</f>
        <v/>
      </c>
      <c r="AT44" s="80" t="str">
        <f>IF(AND($F44&lt;&gt;"", $F44&gt;=AT$5-4, $F44&lt;=AT$5, COUNTIF($M44:AS44,"u")=0), "u", "")</f>
        <v/>
      </c>
      <c r="AU44" s="80" t="str">
        <f>IF(AND($F44&lt;&gt;"", $F44&gt;=AU$5-4, $F44&lt;=AU$5, COUNTIF($M44:AT44,"u")=0), "u", "")</f>
        <v/>
      </c>
      <c r="AV44" s="80" t="str">
        <f>IF(AND($F44&lt;&gt;"", $F44&gt;=AV$5-4, $F44&lt;=AV$5, COUNTIF($M44:AU44,"u")=0), "u", "")</f>
        <v/>
      </c>
      <c r="AW44" s="80" t="str">
        <f>IF(AND($F44&lt;&gt;"", $F44&gt;=AW$5-4, $F44&lt;=AW$5, COUNTIF($M44:AV44,"u")=0), "u", "")</f>
        <v/>
      </c>
      <c r="AX44" s="80" t="str">
        <f>IF(AND($F44&lt;&gt;"", $F44&gt;=AX$5-4, $F44&lt;=AX$5, COUNTIF($M44:AW44,"u")=0), "u", "")</f>
        <v/>
      </c>
      <c r="AY44" s="80" t="str">
        <f>IF(AND($F44&lt;&gt;"", $F44&gt;=AY$5-4, $F44&lt;=AY$5, COUNTIF($M44:AX44,"u")=0), "u", "")</f>
        <v/>
      </c>
      <c r="AZ44" s="80" t="str">
        <f>IF(AND($F44&lt;&gt;"", $F44&gt;=AZ$5-4, $F44&lt;=AZ$5, COUNTIF($M44:AY44,"u")=0), "u", "")</f>
        <v/>
      </c>
      <c r="BA44" s="80" t="str">
        <f>IF(AND($F44&lt;&gt;"", $F44&gt;=BA$5-4, $F44&lt;=BA$5, COUNTIF($M44:AZ44,"u")=0), "u", "")</f>
        <v/>
      </c>
      <c r="BB44" s="80" t="str">
        <f>IF(AND($F44&lt;&gt;"", $F44&gt;=BB$5-4, $F44&lt;=BB$5, COUNTIF($M44:BA44,"u")=0), "u", "")</f>
        <v/>
      </c>
      <c r="BC44" s="80" t="str">
        <f>IF(AND($F44&lt;&gt;"", $F44&gt;=BC$5-4, $F44&lt;=BC$5, COUNTIF($M44:BB44,"u")=0), "u", "")</f>
        <v/>
      </c>
      <c r="BD44" s="80" t="str">
        <f>IF(AND($F44&lt;&gt;"", $F44&gt;=BD$5-4, $F44&lt;=BD$5, COUNTIF($M44:BC44,"u")=0), "u", "")</f>
        <v/>
      </c>
      <c r="BE44" s="80" t="str">
        <f>IF(AND($F44&lt;&gt;"", $F44&gt;=BE$5-4, $F44&lt;=BE$5, COUNTIF($M44:BD44,"u")=0), "u", "")</f>
        <v/>
      </c>
      <c r="BF44" s="80" t="str">
        <f>IF(AND($F44&lt;&gt;"", $F44&gt;=BF$5-4, $F44&lt;=BF$5, COUNTIF($M44:BE44,"u")=0), "u", "")</f>
        <v/>
      </c>
      <c r="BG44" s="80" t="str">
        <f>IF(AND($F44&lt;&gt;"", $F44&gt;=BG$5-4, $F44&lt;=BG$5, COUNTIF($M44:BF44,"u")=0), "u", "")</f>
        <v/>
      </c>
      <c r="BH44" s="80" t="str">
        <f>IF(AND($F44&lt;&gt;"", $F44&gt;=BH$5-4, $F44&lt;=BH$5, COUNTIF($M44:BG44,"u")=0), "u", "")</f>
        <v/>
      </c>
      <c r="BI44" s="80" t="str">
        <f>IF(AND($F44&lt;&gt;"", $F44&gt;=BI$5-4, $F44&lt;=BI$5, COUNTIF($M44:BH44,"u")=0), "u", "")</f>
        <v/>
      </c>
      <c r="BJ44" s="80" t="str">
        <f>IF(AND($F44&lt;&gt;"", $F44&gt;=BJ$5-4, $F44&lt;=BJ$5, COUNTIF($M44:BI44,"u")=0), "u", "")</f>
        <v/>
      </c>
      <c r="BK44" s="80" t="str">
        <f>IF(AND($F44&lt;&gt;"", $F44&gt;=BK$5-4, $F44&lt;=BK$5, COUNTIF($M44:BJ44,"u")=0), "u", "")</f>
        <v/>
      </c>
      <c r="BL44" s="80" t="str">
        <f>IF(AND($F44&lt;&gt;"", $F44&gt;=BL$5-4, $F44&lt;=BL$5, COUNTIF($M44:BK44,"u")=0), "u", "")</f>
        <v/>
      </c>
      <c r="BM44" s="80" t="str">
        <f>IF(AND($F44&lt;&gt;"", $F44&gt;=BM$5-4, $F44&lt;=BM$5, COUNTIF($M44:BL44,"u")=0), "u", "")</f>
        <v/>
      </c>
      <c r="BN44" s="80" t="str">
        <f>IF(AND($F44&lt;&gt;"", $F44&gt;=BN$5-4, $F44&lt;=BN$5, COUNTIF($M44:BM44,"u")=0), "u", "")</f>
        <v/>
      </c>
      <c r="BO44" s="80" t="str">
        <f>IF(AND($F44&lt;&gt;"", $F44&gt;=BO$5-4, $F44&lt;=BO$5, COUNTIF($M44:BN44,"u")=0), "u", "")</f>
        <v/>
      </c>
      <c r="BP44" s="80" t="str">
        <f>IF(AND($F44&lt;&gt;"", $F44&gt;=BP$5-4, $F44&lt;=BP$5, COUNTIF($M44:BO44,"u")=0), "u", "")</f>
        <v/>
      </c>
      <c r="BQ44" s="80" t="str">
        <f>IF(AND($F44&lt;&gt;"", $F44&gt;=BQ$5-4, $F44&lt;=BQ$5, COUNTIF($M44:BP44,"u")=0), "u", "")</f>
        <v/>
      </c>
      <c r="BR44" s="80" t="str">
        <f>IF(AND($F44&lt;&gt;"", $F44&gt;=BR$5-4, $F44&lt;=BR$5, COUNTIF($M44:BQ44,"u")=0), "u", "")</f>
        <v/>
      </c>
      <c r="BS44" s="80" t="str">
        <f>IF(AND($F44&lt;&gt;"", $F44&gt;=BS$5-4, $F44&lt;=BS$5, COUNTIF($M44:BR44,"u")=0), "u", "")</f>
        <v/>
      </c>
      <c r="BT44" s="80" t="str">
        <f>IF(AND($F44&lt;&gt;"", $F44&gt;=BT$5-4, $F44&lt;=BT$5, COUNTIF($M44:BS44,"u")=0), "u", "")</f>
        <v/>
      </c>
      <c r="BU44" s="80" t="str">
        <f>IF(AND($F44&lt;&gt;"", $F44&gt;=BU$5-4, $F44&lt;=BU$5, COUNTIF($M44:BT44,"u")=0), "u", "")</f>
        <v/>
      </c>
      <c r="BV44" s="80" t="str">
        <f>IF(AND($F44&lt;&gt;"", $F44&gt;=BV$5-4, $F44&lt;=BV$5, COUNTIF($M44:BU44,"u")=0), "u", "")</f>
        <v/>
      </c>
      <c r="BW44" s="80" t="str">
        <f>IF(AND($F44&lt;&gt;"", $F44&gt;=BW$5-4, $F44&lt;=BW$5, COUNTIF($M44:BV44,"u")=0), "u", "")</f>
        <v/>
      </c>
      <c r="BX44" s="80" t="str">
        <f>IF(AND($F44&lt;&gt;"", $F44&gt;=BX$5-4, $F44&lt;=BX$5, COUNTIF($M44:BW44,"u")=0), "u", "")</f>
        <v/>
      </c>
      <c r="BY44" s="80" t="str">
        <f>IF(AND($F44&lt;&gt;"", $F44&gt;=BY$5-4, $F44&lt;=BY$5, COUNTIF($M44:BX44,"u")=0), "u", "")</f>
        <v/>
      </c>
      <c r="BZ44" s="80" t="str">
        <f>IF(AND($F44&lt;&gt;"", $F44&gt;=BZ$5-4, $F44&lt;=BZ$5, COUNTIF($M44:BY44,"u")=0), "u", "")</f>
        <v/>
      </c>
      <c r="CA44" s="80" t="str">
        <f>IF(AND($F44&lt;&gt;"", $F44&gt;=CA$5-4, $F44&lt;=CA$5, COUNTIF($M44:BZ44,"u")=0), "u", "")</f>
        <v/>
      </c>
      <c r="CB44" s="80" t="str">
        <f>IF(AND($F44&lt;&gt;"", $F44&gt;=CB$5-4, $F44&lt;=CB$5, COUNTIF($M44:CA44,"u")=0), "u", "")</f>
        <v/>
      </c>
      <c r="CC44" s="80" t="str">
        <f>IF(AND($F44&lt;&gt;"", $F44&gt;=CC$5-4, $F44&lt;=CC$5, COUNTIF($M44:CB44,"u")=0), "u", "")</f>
        <v/>
      </c>
      <c r="CD44" s="80" t="str">
        <f>IF(AND($F44&lt;&gt;"", $F44&gt;=CD$5-4, $F44&lt;=CD$5, COUNTIF($M44:CC44,"u")=0), "u", "")</f>
        <v/>
      </c>
      <c r="CE44" s="80" t="str">
        <f>IF(AND($F44&lt;&gt;"", $F44&gt;=CE$5-4, $F44&lt;=CE$5, COUNTIF($M44:CD44,"u")=0), "u", "")</f>
        <v/>
      </c>
      <c r="CF44" s="80" t="str">
        <f>IF(AND($F44&lt;&gt;"", $F44&gt;=CF$5-4, $F44&lt;=CF$5, COUNTIF($M44:CE44,"u")=0), "u", "")</f>
        <v/>
      </c>
      <c r="CG44" s="80" t="str">
        <f>IF(AND($F44&lt;&gt;"", $F44&gt;=CG$5-4, $F44&lt;=CG$5, COUNTIF($M44:CF44,"u")=0), "u", "")</f>
        <v/>
      </c>
      <c r="CH44" s="80" t="str">
        <f>IF(AND($F44&lt;&gt;"", $F44&gt;=CH$5-4, $F44&lt;=CH$5, COUNTIF($M44:CG44,"u")=0), "u", "")</f>
        <v/>
      </c>
      <c r="CI44" s="80" t="str">
        <f>IF(AND($F44&lt;&gt;"", $F44&gt;=CI$5-4, $F44&lt;=CI$5, COUNTIF($M44:CH44,"u")=0), "u", "")</f>
        <v/>
      </c>
      <c r="CJ44" s="80" t="str">
        <f>IF(AND($F44&lt;&gt;"", $F44&gt;=CJ$5-4, $F44&lt;=CJ$5, COUNTIF($M44:CI44,"u")=0), "u", "")</f>
        <v/>
      </c>
      <c r="CK44" s="80" t="str">
        <f>IF(AND($F44&lt;&gt;"", $F44&gt;=CK$5-4, $F44&lt;=CK$5, COUNTIF($M44:CJ44,"u")=0), "u", "")</f>
        <v/>
      </c>
      <c r="CL44" s="80" t="str">
        <f>IF(AND($F44&lt;&gt;"", $F44&gt;=CL$5-4, $F44&lt;=CL$5, COUNTIF($M44:CK44,"u")=0), "u", "")</f>
        <v/>
      </c>
      <c r="CM44" s="80" t="str">
        <f>IF(AND($F44&lt;&gt;"", $F44&gt;=CM$5-4, $F44&lt;=CM$5, COUNTIF($M44:CL44,"u")=0), "u", "")</f>
        <v/>
      </c>
      <c r="CN44" s="80" t="str">
        <f>IF(AND($F44&lt;&gt;"", $F44&gt;=CN$5-4, $F44&lt;=CN$5, COUNTIF($M44:CM44,"u")=0), "u", "")</f>
        <v/>
      </c>
      <c r="CO44" s="80" t="str">
        <f>IF(AND($F44&lt;&gt;"", $F44&gt;=CO$5-4, $F44&lt;=CO$5, COUNTIF($M44:CN44,"u")=0), "u", "")</f>
        <v/>
      </c>
      <c r="CP44" s="80" t="str">
        <f>IF(AND($F44&lt;&gt;"", $F44&gt;=CP$5-4, $F44&lt;=CP$5, COUNTIF($M44:CO44,"u")=0), "u", "")</f>
        <v/>
      </c>
      <c r="CQ44" s="80" t="str">
        <f>IF(AND($F44&lt;&gt;"", $F44&gt;=CQ$5-4, $F44&lt;=CQ$5, COUNTIF($M44:CP44,"u")=0), "u", "")</f>
        <v/>
      </c>
      <c r="CR44" s="80" t="str">
        <f>IF(AND($F44&lt;&gt;"", $F44&gt;=CR$5-4, $F44&lt;=CR$5, COUNTIF($M44:CQ44,"u")=0), "u", "")</f>
        <v/>
      </c>
      <c r="CS44" s="80" t="str">
        <f>IF(AND($F44&lt;&gt;"", $F44&gt;=CS$5-4, $F44&lt;=CS$5, COUNTIF($M44:CR44,"u")=0), "u", "")</f>
        <v/>
      </c>
      <c r="CT44" s="80" t="str">
        <f>IF(AND($F44&lt;&gt;"", $F44&gt;=CT$5-4, $F44&lt;=CT$5, COUNTIF($M44:CS44,"u")=0), "u", "")</f>
        <v/>
      </c>
      <c r="CU44" s="80" t="str">
        <f>IF(AND($F44&lt;&gt;"", $F44&gt;=CU$5-4, $F44&lt;=CU$5, COUNTIF($M44:CT44,"u")=0), "u", "")</f>
        <v/>
      </c>
      <c r="CV44" s="80" t="str">
        <f>IF(AND($F44&lt;&gt;"", $F44&gt;=CV$5-4, $F44&lt;=CV$5, COUNTIF($M44:CU44,"u")=0), "u", "")</f>
        <v/>
      </c>
      <c r="CW44" s="80" t="str">
        <f>IF(AND($F44&lt;&gt;"", $F44&gt;=CW$5-4, $F44&lt;=CW$5, COUNTIF($M44:CV44,"u")=0), "u", "")</f>
        <v/>
      </c>
      <c r="CX44" s="80" t="str">
        <f>IF(AND($F44&lt;&gt;"", $F44&gt;=CX$5-4, $F44&lt;=CX$5, COUNTIF($M44:CW44,"u")=0), "u", "")</f>
        <v/>
      </c>
      <c r="CY44" s="80" t="str">
        <f>IF(AND($F44&lt;&gt;"", $F44&gt;=CY$5-4, $F44&lt;=CY$5, COUNTIF($M44:CX44,"u")=0), "u", "")</f>
        <v/>
      </c>
      <c r="CZ44" s="80" t="str">
        <f>IF(AND($F44&lt;&gt;"", $F44&gt;=CZ$5-4, $F44&lt;=CZ$5, COUNTIF($M44:CY44,"u")=0), "u", "")</f>
        <v/>
      </c>
      <c r="DA44" s="80" t="str">
        <f>IF(AND($F44&lt;&gt;"", $F44&gt;=DA$5-4, $F44&lt;=DA$5, COUNTIF($M44:CZ44,"u")=0), "u", "")</f>
        <v/>
      </c>
      <c r="DB44" s="80" t="str">
        <f>IF(AND($F44&lt;&gt;"", $F44&gt;=DB$5-4, $F44&lt;=DB$5, COUNTIF($M44:DA44,"u")=0), "u", "")</f>
        <v/>
      </c>
      <c r="DC44" s="80" t="str">
        <f>IF(AND($F44&lt;&gt;"", $F44&gt;=DC$5-4, $F44&lt;=DC$5, COUNTIF($M44:DB44,"u")=0), "u", "")</f>
        <v/>
      </c>
      <c r="DD44" s="80" t="str">
        <f>IF(AND($F44&lt;&gt;"", $F44&gt;=DD$5-4, $F44&lt;=DD$5, COUNTIF($M44:DC44,"u")=0), "u", "")</f>
        <v/>
      </c>
      <c r="DE44" s="80" t="str">
        <f>IF(AND($F44&lt;&gt;"", $F44&gt;=DE$5-4, $F44&lt;=DE$5, COUNTIF($M44:DD44,"u")=0), "u", "")</f>
        <v/>
      </c>
      <c r="DF44" s="80" t="str">
        <f>IF(AND($F44&lt;&gt;"", $F44&gt;=DF$5-4, $F44&lt;=DF$5, COUNTIF($M44:DE44,"u")=0), "u", "")</f>
        <v/>
      </c>
      <c r="DG44" s="80" t="str">
        <f>IF(AND($F44&lt;&gt;"", $F44&gt;=DG$5-4, $F44&lt;=DG$5, COUNTIF($M44:DF44,"u")=0), "u", "")</f>
        <v/>
      </c>
      <c r="DH44" s="80" t="str">
        <f>IF(AND($F44&lt;&gt;"", $F44&gt;=DH$5-4, $F44&lt;=DH$5, COUNTIF($M44:DG44,"u")=0), "u", "")</f>
        <v/>
      </c>
      <c r="DI44" s="80" t="str">
        <f>IF(AND($F44&lt;&gt;"", $F44&gt;=DI$5-4, $F44&lt;=DI$5, COUNTIF($M44:DH44,"u")=0), "u", "")</f>
        <v/>
      </c>
      <c r="DJ44" s="80" t="str">
        <f>IF(AND($F44&lt;&gt;"", $F44&gt;=DJ$5-4, $F44&lt;=DJ$5, COUNTIF($M44:DI44,"u")=0), "u", "")</f>
        <v/>
      </c>
      <c r="DK44" s="80" t="str">
        <f>IF(AND($F44&lt;&gt;"", $F44&gt;=DK$5-4, $F44&lt;=DK$5, COUNTIF($M44:DJ44,"u")=0), "u", "")</f>
        <v/>
      </c>
      <c r="DL44" s="80" t="str">
        <f>IF(AND($F44&lt;&gt;"", $F44&gt;=DL$5-4, $F44&lt;=DL$5, COUNTIF($M44:DK44,"u")=0), "u", "")</f>
        <v/>
      </c>
    </row>
    <row r="45" spans="1:116" ht="25.05" customHeight="1" x14ac:dyDescent="0.3">
      <c r="A45" s="39"/>
      <c r="B45" s="75">
        <v>40</v>
      </c>
      <c r="C45" s="97"/>
      <c r="D45" s="92"/>
      <c r="E45" s="53"/>
      <c r="F45" s="53"/>
      <c r="G45" s="82" t="str">
        <f t="shared" si="47"/>
        <v/>
      </c>
      <c r="H45" s="82" t="str">
        <f t="shared" si="47"/>
        <v/>
      </c>
      <c r="I45" s="77" t="str">
        <f t="shared" si="45"/>
        <v/>
      </c>
      <c r="J45" s="78"/>
      <c r="K45" s="86"/>
      <c r="L45" s="56"/>
      <c r="M45" s="80" t="str">
        <f t="shared" si="46"/>
        <v/>
      </c>
      <c r="N45" s="80" t="str">
        <f>IF(AND($F45&lt;&gt;"", $F45&gt;=N$5-4, $F45&lt;=N$5, COUNTIF($M45:M45,"u")=0), "u", "")</f>
        <v/>
      </c>
      <c r="O45" s="80" t="str">
        <f>IF(AND($F45&lt;&gt;"", $F45&gt;=O$5-4, $F45&lt;=O$5, COUNTIF($M45:N45,"u")=0), "u", "")</f>
        <v/>
      </c>
      <c r="P45" s="80" t="str">
        <f>IF(AND($F45&lt;&gt;"", $F45&gt;=P$5-4, $F45&lt;=P$5, COUNTIF($M45:O45,"u")=0), "u", "")</f>
        <v/>
      </c>
      <c r="Q45" s="80" t="str">
        <f>IF(AND($F45&lt;&gt;"", $F45&gt;=Q$5-4, $F45&lt;=Q$5, COUNTIF($M45:P45,"u")=0), "u", "")</f>
        <v/>
      </c>
      <c r="R45" s="80" t="str">
        <f>IF(AND($F45&lt;&gt;"", $F45&gt;=R$5-4, $F45&lt;=R$5, COUNTIF($M45:Q45,"u")=0), "u", "")</f>
        <v/>
      </c>
      <c r="S45" s="80" t="str">
        <f>IF(AND($F45&lt;&gt;"", $F45&gt;=S$5-4, $F45&lt;=S$5, COUNTIF($M45:R45,"u")=0), "u", "")</f>
        <v/>
      </c>
      <c r="T45" s="80" t="str">
        <f>IF(AND($F45&lt;&gt;"", $F45&gt;=T$5-4, $F45&lt;=T$5, COUNTIF($M45:S45,"u")=0), "u", "")</f>
        <v/>
      </c>
      <c r="U45" s="80" t="str">
        <f>IF(AND($F45&lt;&gt;"", $F45&gt;=U$5-4, $F45&lt;=U$5, COUNTIF($M45:T45,"u")=0), "u", "")</f>
        <v/>
      </c>
      <c r="V45" s="80" t="str">
        <f>IF(AND($F45&lt;&gt;"", $F45&gt;=V$5-4, $F45&lt;=V$5, COUNTIF($M45:U45,"u")=0), "u", "")</f>
        <v/>
      </c>
      <c r="W45" s="80" t="str">
        <f>IF(AND($F45&lt;&gt;"", $F45&gt;=W$5-4, $F45&lt;=W$5, COUNTIF($M45:V45,"u")=0), "u", "")</f>
        <v/>
      </c>
      <c r="X45" s="80" t="str">
        <f>IF(AND($F45&lt;&gt;"", $F45&gt;=X$5-4, $F45&lt;=X$5, COUNTIF($M45:W45,"u")=0), "u", "")</f>
        <v/>
      </c>
      <c r="Y45" s="80" t="str">
        <f>IF(AND($F45&lt;&gt;"", $F45&gt;=Y$5-4, $F45&lt;=Y$5, COUNTIF($M45:X45,"u")=0), "u", "")</f>
        <v/>
      </c>
      <c r="Z45" s="80" t="str">
        <f>IF(AND($F45&lt;&gt;"", $F45&gt;=Z$5-4, $F45&lt;=Z$5, COUNTIF($M45:Y45,"u")=0), "u", "")</f>
        <v/>
      </c>
      <c r="AA45" s="80" t="str">
        <f>IF(AND($F45&lt;&gt;"", $F45&gt;=AA$5-4, $F45&lt;=AA$5, COUNTIF($M45:Z45,"u")=0), "u", "")</f>
        <v/>
      </c>
      <c r="AB45" s="80" t="str">
        <f>IF(AND($F45&lt;&gt;"", $F45&gt;=AB$5-4, $F45&lt;=AB$5, COUNTIF($M45:AA45,"u")=0), "u", "")</f>
        <v/>
      </c>
      <c r="AC45" s="80" t="str">
        <f>IF(AND($F45&lt;&gt;"", $F45&gt;=AC$5-4, $F45&lt;=AC$5, COUNTIF($M45:AB45,"u")=0), "u", "")</f>
        <v/>
      </c>
      <c r="AD45" s="80" t="str">
        <f>IF(AND($F45&lt;&gt;"", $F45&gt;=AD$5-4, $F45&lt;=AD$5, COUNTIF($M45:AC45,"u")=0), "u", "")</f>
        <v/>
      </c>
      <c r="AE45" s="80" t="str">
        <f>IF(AND($F45&lt;&gt;"", $F45&gt;=AE$5-4, $F45&lt;=AE$5, COUNTIF($M45:AD45,"u")=0), "u", "")</f>
        <v/>
      </c>
      <c r="AF45" s="80" t="str">
        <f>IF(AND($F45&lt;&gt;"", $F45&gt;=AF$5-4, $F45&lt;=AF$5, COUNTIF($M45:AE45,"u")=0), "u", "")</f>
        <v/>
      </c>
      <c r="AG45" s="80" t="str">
        <f>IF(AND($F45&lt;&gt;"", $F45&gt;=AG$5-4, $F45&lt;=AG$5, COUNTIF($M45:AF45,"u")=0), "u", "")</f>
        <v/>
      </c>
      <c r="AH45" s="80" t="str">
        <f>IF(AND($F45&lt;&gt;"", $F45&gt;=AH$5-4, $F45&lt;=AH$5, COUNTIF($M45:AG45,"u")=0), "u", "")</f>
        <v/>
      </c>
      <c r="AI45" s="80" t="str">
        <f>IF(AND($F45&lt;&gt;"", $F45&gt;=AI$5-4, $F45&lt;=AI$5, COUNTIF($M45:AH45,"u")=0), "u", "")</f>
        <v/>
      </c>
      <c r="AJ45" s="80" t="str">
        <f>IF(AND($F45&lt;&gt;"", $F45&gt;=AJ$5-4, $F45&lt;=AJ$5, COUNTIF($M45:AI45,"u")=0), "u", "")</f>
        <v/>
      </c>
      <c r="AK45" s="80" t="str">
        <f>IF(AND($F45&lt;&gt;"", $F45&gt;=AK$5-4, $F45&lt;=AK$5, COUNTIF($M45:AJ45,"u")=0), "u", "")</f>
        <v/>
      </c>
      <c r="AL45" s="80" t="str">
        <f>IF(AND($F45&lt;&gt;"", $F45&gt;=AL$5-4, $F45&lt;=AL$5, COUNTIF($M45:AK45,"u")=0), "u", "")</f>
        <v/>
      </c>
      <c r="AM45" s="80" t="str">
        <f>IF(AND($F45&lt;&gt;"", $F45&gt;=AM$5-4, $F45&lt;=AM$5, COUNTIF($M45:AL45,"u")=0), "u", "")</f>
        <v/>
      </c>
      <c r="AN45" s="80" t="str">
        <f>IF(AND($F45&lt;&gt;"", $F45&gt;=AN$5-4, $F45&lt;=AN$5, COUNTIF($M45:AM45,"u")=0), "u", "")</f>
        <v/>
      </c>
      <c r="AO45" s="80" t="str">
        <f>IF(AND($F45&lt;&gt;"", $F45&gt;=AO$5-4, $F45&lt;=AO$5, COUNTIF($M45:AN45,"u")=0), "u", "")</f>
        <v/>
      </c>
      <c r="AP45" s="80" t="str">
        <f>IF(AND($F45&lt;&gt;"", $F45&gt;=AP$5-4, $F45&lt;=AP$5, COUNTIF($M45:AO45,"u")=0), "u", "")</f>
        <v/>
      </c>
      <c r="AQ45" s="80" t="str">
        <f>IF(AND($F45&lt;&gt;"", $F45&gt;=AQ$5-4, $F45&lt;=AQ$5, COUNTIF($M45:AP45,"u")=0), "u", "")</f>
        <v/>
      </c>
      <c r="AR45" s="80" t="str">
        <f>IF(AND($F45&lt;&gt;"", $F45&gt;=AR$5-4, $F45&lt;=AR$5, COUNTIF($M45:AQ45,"u")=0), "u", "")</f>
        <v/>
      </c>
      <c r="AS45" s="80" t="str">
        <f>IF(AND($F45&lt;&gt;"", $F45&gt;=AS$5-4, $F45&lt;=AS$5, COUNTIF($M45:AR45,"u")=0), "u", "")</f>
        <v/>
      </c>
      <c r="AT45" s="80" t="str">
        <f>IF(AND($F45&lt;&gt;"", $F45&gt;=AT$5-4, $F45&lt;=AT$5, COUNTIF($M45:AS45,"u")=0), "u", "")</f>
        <v/>
      </c>
      <c r="AU45" s="80" t="str">
        <f>IF(AND($F45&lt;&gt;"", $F45&gt;=AU$5-4, $F45&lt;=AU$5, COUNTIF($M45:AT45,"u")=0), "u", "")</f>
        <v/>
      </c>
      <c r="AV45" s="80" t="str">
        <f>IF(AND($F45&lt;&gt;"", $F45&gt;=AV$5-4, $F45&lt;=AV$5, COUNTIF($M45:AU45,"u")=0), "u", "")</f>
        <v/>
      </c>
      <c r="AW45" s="80" t="str">
        <f>IF(AND($F45&lt;&gt;"", $F45&gt;=AW$5-4, $F45&lt;=AW$5, COUNTIF($M45:AV45,"u")=0), "u", "")</f>
        <v/>
      </c>
      <c r="AX45" s="80" t="str">
        <f>IF(AND($F45&lt;&gt;"", $F45&gt;=AX$5-4, $F45&lt;=AX$5, COUNTIF($M45:AW45,"u")=0), "u", "")</f>
        <v/>
      </c>
      <c r="AY45" s="80" t="str">
        <f>IF(AND($F45&lt;&gt;"", $F45&gt;=AY$5-4, $F45&lt;=AY$5, COUNTIF($M45:AX45,"u")=0), "u", "")</f>
        <v/>
      </c>
      <c r="AZ45" s="80" t="str">
        <f>IF(AND($F45&lt;&gt;"", $F45&gt;=AZ$5-4, $F45&lt;=AZ$5, COUNTIF($M45:AY45,"u")=0), "u", "")</f>
        <v/>
      </c>
      <c r="BA45" s="80" t="str">
        <f>IF(AND($F45&lt;&gt;"", $F45&gt;=BA$5-4, $F45&lt;=BA$5, COUNTIF($M45:AZ45,"u")=0), "u", "")</f>
        <v/>
      </c>
      <c r="BB45" s="80" t="str">
        <f>IF(AND($F45&lt;&gt;"", $F45&gt;=BB$5-4, $F45&lt;=BB$5, COUNTIF($M45:BA45,"u")=0), "u", "")</f>
        <v/>
      </c>
      <c r="BC45" s="80" t="str">
        <f>IF(AND($F45&lt;&gt;"", $F45&gt;=BC$5-4, $F45&lt;=BC$5, COUNTIF($M45:BB45,"u")=0), "u", "")</f>
        <v/>
      </c>
      <c r="BD45" s="80" t="str">
        <f>IF(AND($F45&lt;&gt;"", $F45&gt;=BD$5-4, $F45&lt;=BD$5, COUNTIF($M45:BC45,"u")=0), "u", "")</f>
        <v/>
      </c>
      <c r="BE45" s="80" t="str">
        <f>IF(AND($F45&lt;&gt;"", $F45&gt;=BE$5-4, $F45&lt;=BE$5, COUNTIF($M45:BD45,"u")=0), "u", "")</f>
        <v/>
      </c>
      <c r="BF45" s="80" t="str">
        <f>IF(AND($F45&lt;&gt;"", $F45&gt;=BF$5-4, $F45&lt;=BF$5, COUNTIF($M45:BE45,"u")=0), "u", "")</f>
        <v/>
      </c>
      <c r="BG45" s="80" t="str">
        <f>IF(AND($F45&lt;&gt;"", $F45&gt;=BG$5-4, $F45&lt;=BG$5, COUNTIF($M45:BF45,"u")=0), "u", "")</f>
        <v/>
      </c>
      <c r="BH45" s="80" t="str">
        <f>IF(AND($F45&lt;&gt;"", $F45&gt;=BH$5-4, $F45&lt;=BH$5, COUNTIF($M45:BG45,"u")=0), "u", "")</f>
        <v/>
      </c>
      <c r="BI45" s="80" t="str">
        <f>IF(AND($F45&lt;&gt;"", $F45&gt;=BI$5-4, $F45&lt;=BI$5, COUNTIF($M45:BH45,"u")=0), "u", "")</f>
        <v/>
      </c>
      <c r="BJ45" s="80" t="str">
        <f>IF(AND($F45&lt;&gt;"", $F45&gt;=BJ$5-4, $F45&lt;=BJ$5, COUNTIF($M45:BI45,"u")=0), "u", "")</f>
        <v/>
      </c>
      <c r="BK45" s="80" t="str">
        <f>IF(AND($F45&lt;&gt;"", $F45&gt;=BK$5-4, $F45&lt;=BK$5, COUNTIF($M45:BJ45,"u")=0), "u", "")</f>
        <v/>
      </c>
      <c r="BL45" s="80" t="str">
        <f>IF(AND($F45&lt;&gt;"", $F45&gt;=BL$5-4, $F45&lt;=BL$5, COUNTIF($M45:BK45,"u")=0), "u", "")</f>
        <v/>
      </c>
      <c r="BM45" s="80" t="str">
        <f>IF(AND($F45&lt;&gt;"", $F45&gt;=BM$5-4, $F45&lt;=BM$5, COUNTIF($M45:BL45,"u")=0), "u", "")</f>
        <v/>
      </c>
      <c r="BN45" s="80" t="str">
        <f>IF(AND($F45&lt;&gt;"", $F45&gt;=BN$5-4, $F45&lt;=BN$5, COUNTIF($M45:BM45,"u")=0), "u", "")</f>
        <v/>
      </c>
      <c r="BO45" s="80" t="str">
        <f>IF(AND($F45&lt;&gt;"", $F45&gt;=BO$5-4, $F45&lt;=BO$5, COUNTIF($M45:BN45,"u")=0), "u", "")</f>
        <v/>
      </c>
      <c r="BP45" s="80" t="str">
        <f>IF(AND($F45&lt;&gt;"", $F45&gt;=BP$5-4, $F45&lt;=BP$5, COUNTIF($M45:BO45,"u")=0), "u", "")</f>
        <v/>
      </c>
      <c r="BQ45" s="80" t="str">
        <f>IF(AND($F45&lt;&gt;"", $F45&gt;=BQ$5-4, $F45&lt;=BQ$5, COUNTIF($M45:BP45,"u")=0), "u", "")</f>
        <v/>
      </c>
      <c r="BR45" s="80" t="str">
        <f>IF(AND($F45&lt;&gt;"", $F45&gt;=BR$5-4, $F45&lt;=BR$5, COUNTIF($M45:BQ45,"u")=0), "u", "")</f>
        <v/>
      </c>
      <c r="BS45" s="80" t="str">
        <f>IF(AND($F45&lt;&gt;"", $F45&gt;=BS$5-4, $F45&lt;=BS$5, COUNTIF($M45:BR45,"u")=0), "u", "")</f>
        <v/>
      </c>
      <c r="BT45" s="80" t="str">
        <f>IF(AND($F45&lt;&gt;"", $F45&gt;=BT$5-4, $F45&lt;=BT$5, COUNTIF($M45:BS45,"u")=0), "u", "")</f>
        <v/>
      </c>
      <c r="BU45" s="80" t="str">
        <f>IF(AND($F45&lt;&gt;"", $F45&gt;=BU$5-4, $F45&lt;=BU$5, COUNTIF($M45:BT45,"u")=0), "u", "")</f>
        <v/>
      </c>
      <c r="BV45" s="80" t="str">
        <f>IF(AND($F45&lt;&gt;"", $F45&gt;=BV$5-4, $F45&lt;=BV$5, COUNTIF($M45:BU45,"u")=0), "u", "")</f>
        <v/>
      </c>
      <c r="BW45" s="80" t="str">
        <f>IF(AND($F45&lt;&gt;"", $F45&gt;=BW$5-4, $F45&lt;=BW$5, COUNTIF($M45:BV45,"u")=0), "u", "")</f>
        <v/>
      </c>
      <c r="BX45" s="80" t="str">
        <f>IF(AND($F45&lt;&gt;"", $F45&gt;=BX$5-4, $F45&lt;=BX$5, COUNTIF($M45:BW45,"u")=0), "u", "")</f>
        <v/>
      </c>
      <c r="BY45" s="80" t="str">
        <f>IF(AND($F45&lt;&gt;"", $F45&gt;=BY$5-4, $F45&lt;=BY$5, COUNTIF($M45:BX45,"u")=0), "u", "")</f>
        <v/>
      </c>
      <c r="BZ45" s="80" t="str">
        <f>IF(AND($F45&lt;&gt;"", $F45&gt;=BZ$5-4, $F45&lt;=BZ$5, COUNTIF($M45:BY45,"u")=0), "u", "")</f>
        <v/>
      </c>
      <c r="CA45" s="80" t="str">
        <f>IF(AND($F45&lt;&gt;"", $F45&gt;=CA$5-4, $F45&lt;=CA$5, COUNTIF($M45:BZ45,"u")=0), "u", "")</f>
        <v/>
      </c>
      <c r="CB45" s="80" t="str">
        <f>IF(AND($F45&lt;&gt;"", $F45&gt;=CB$5-4, $F45&lt;=CB$5, COUNTIF($M45:CA45,"u")=0), "u", "")</f>
        <v/>
      </c>
      <c r="CC45" s="80" t="str">
        <f>IF(AND($F45&lt;&gt;"", $F45&gt;=CC$5-4, $F45&lt;=CC$5, COUNTIF($M45:CB45,"u")=0), "u", "")</f>
        <v/>
      </c>
      <c r="CD45" s="80" t="str">
        <f>IF(AND($F45&lt;&gt;"", $F45&gt;=CD$5-4, $F45&lt;=CD$5, COUNTIF($M45:CC45,"u")=0), "u", "")</f>
        <v/>
      </c>
      <c r="CE45" s="80" t="str">
        <f>IF(AND($F45&lt;&gt;"", $F45&gt;=CE$5-4, $F45&lt;=CE$5, COUNTIF($M45:CD45,"u")=0), "u", "")</f>
        <v/>
      </c>
      <c r="CF45" s="80" t="str">
        <f>IF(AND($F45&lt;&gt;"", $F45&gt;=CF$5-4, $F45&lt;=CF$5, COUNTIF($M45:CE45,"u")=0), "u", "")</f>
        <v/>
      </c>
      <c r="CG45" s="80" t="str">
        <f>IF(AND($F45&lt;&gt;"", $F45&gt;=CG$5-4, $F45&lt;=CG$5, COUNTIF($M45:CF45,"u")=0), "u", "")</f>
        <v/>
      </c>
      <c r="CH45" s="80" t="str">
        <f>IF(AND($F45&lt;&gt;"", $F45&gt;=CH$5-4, $F45&lt;=CH$5, COUNTIF($M45:CG45,"u")=0), "u", "")</f>
        <v/>
      </c>
      <c r="CI45" s="80" t="str">
        <f>IF(AND($F45&lt;&gt;"", $F45&gt;=CI$5-4, $F45&lt;=CI$5, COUNTIF($M45:CH45,"u")=0), "u", "")</f>
        <v/>
      </c>
      <c r="CJ45" s="80" t="str">
        <f>IF(AND($F45&lt;&gt;"", $F45&gt;=CJ$5-4, $F45&lt;=CJ$5, COUNTIF($M45:CI45,"u")=0), "u", "")</f>
        <v/>
      </c>
      <c r="CK45" s="80" t="str">
        <f>IF(AND($F45&lt;&gt;"", $F45&gt;=CK$5-4, $F45&lt;=CK$5, COUNTIF($M45:CJ45,"u")=0), "u", "")</f>
        <v/>
      </c>
      <c r="CL45" s="80" t="str">
        <f>IF(AND($F45&lt;&gt;"", $F45&gt;=CL$5-4, $F45&lt;=CL$5, COUNTIF($M45:CK45,"u")=0), "u", "")</f>
        <v/>
      </c>
      <c r="CM45" s="80" t="str">
        <f>IF(AND($F45&lt;&gt;"", $F45&gt;=CM$5-4, $F45&lt;=CM$5, COUNTIF($M45:CL45,"u")=0), "u", "")</f>
        <v/>
      </c>
      <c r="CN45" s="80" t="str">
        <f>IF(AND($F45&lt;&gt;"", $F45&gt;=CN$5-4, $F45&lt;=CN$5, COUNTIF($M45:CM45,"u")=0), "u", "")</f>
        <v/>
      </c>
      <c r="CO45" s="80" t="str">
        <f>IF(AND($F45&lt;&gt;"", $F45&gt;=CO$5-4, $F45&lt;=CO$5, COUNTIF($M45:CN45,"u")=0), "u", "")</f>
        <v/>
      </c>
      <c r="CP45" s="80" t="str">
        <f>IF(AND($F45&lt;&gt;"", $F45&gt;=CP$5-4, $F45&lt;=CP$5, COUNTIF($M45:CO45,"u")=0), "u", "")</f>
        <v/>
      </c>
      <c r="CQ45" s="80" t="str">
        <f>IF(AND($F45&lt;&gt;"", $F45&gt;=CQ$5-4, $F45&lt;=CQ$5, COUNTIF($M45:CP45,"u")=0), "u", "")</f>
        <v/>
      </c>
      <c r="CR45" s="80" t="str">
        <f>IF(AND($F45&lt;&gt;"", $F45&gt;=CR$5-4, $F45&lt;=CR$5, COUNTIF($M45:CQ45,"u")=0), "u", "")</f>
        <v/>
      </c>
      <c r="CS45" s="80" t="str">
        <f>IF(AND($F45&lt;&gt;"", $F45&gt;=CS$5-4, $F45&lt;=CS$5, COUNTIF($M45:CR45,"u")=0), "u", "")</f>
        <v/>
      </c>
      <c r="CT45" s="80" t="str">
        <f>IF(AND($F45&lt;&gt;"", $F45&gt;=CT$5-4, $F45&lt;=CT$5, COUNTIF($M45:CS45,"u")=0), "u", "")</f>
        <v/>
      </c>
      <c r="CU45" s="80" t="str">
        <f>IF(AND($F45&lt;&gt;"", $F45&gt;=CU$5-4, $F45&lt;=CU$5, COUNTIF($M45:CT45,"u")=0), "u", "")</f>
        <v/>
      </c>
      <c r="CV45" s="80" t="str">
        <f>IF(AND($F45&lt;&gt;"", $F45&gt;=CV$5-4, $F45&lt;=CV$5, COUNTIF($M45:CU45,"u")=0), "u", "")</f>
        <v/>
      </c>
      <c r="CW45" s="80" t="str">
        <f>IF(AND($F45&lt;&gt;"", $F45&gt;=CW$5-4, $F45&lt;=CW$5, COUNTIF($M45:CV45,"u")=0), "u", "")</f>
        <v/>
      </c>
      <c r="CX45" s="80" t="str">
        <f>IF(AND($F45&lt;&gt;"", $F45&gt;=CX$5-4, $F45&lt;=CX$5, COUNTIF($M45:CW45,"u")=0), "u", "")</f>
        <v/>
      </c>
      <c r="CY45" s="80" t="str">
        <f>IF(AND($F45&lt;&gt;"", $F45&gt;=CY$5-4, $F45&lt;=CY$5, COUNTIF($M45:CX45,"u")=0), "u", "")</f>
        <v/>
      </c>
      <c r="CZ45" s="80" t="str">
        <f>IF(AND($F45&lt;&gt;"", $F45&gt;=CZ$5-4, $F45&lt;=CZ$5, COUNTIF($M45:CY45,"u")=0), "u", "")</f>
        <v/>
      </c>
      <c r="DA45" s="80" t="str">
        <f>IF(AND($F45&lt;&gt;"", $F45&gt;=DA$5-4, $F45&lt;=DA$5, COUNTIF($M45:CZ45,"u")=0), "u", "")</f>
        <v/>
      </c>
      <c r="DB45" s="80" t="str">
        <f>IF(AND($F45&lt;&gt;"", $F45&gt;=DB$5-4, $F45&lt;=DB$5, COUNTIF($M45:DA45,"u")=0), "u", "")</f>
        <v/>
      </c>
      <c r="DC45" s="80" t="str">
        <f>IF(AND($F45&lt;&gt;"", $F45&gt;=DC$5-4, $F45&lt;=DC$5, COUNTIF($M45:DB45,"u")=0), "u", "")</f>
        <v/>
      </c>
      <c r="DD45" s="80" t="str">
        <f>IF(AND($F45&lt;&gt;"", $F45&gt;=DD$5-4, $F45&lt;=DD$5, COUNTIF($M45:DC45,"u")=0), "u", "")</f>
        <v/>
      </c>
      <c r="DE45" s="80" t="str">
        <f>IF(AND($F45&lt;&gt;"", $F45&gt;=DE$5-4, $F45&lt;=DE$5, COUNTIF($M45:DD45,"u")=0), "u", "")</f>
        <v/>
      </c>
      <c r="DF45" s="80" t="str">
        <f>IF(AND($F45&lt;&gt;"", $F45&gt;=DF$5-4, $F45&lt;=DF$5, COUNTIF($M45:DE45,"u")=0), "u", "")</f>
        <v/>
      </c>
      <c r="DG45" s="80" t="str">
        <f>IF(AND($F45&lt;&gt;"", $F45&gt;=DG$5-4, $F45&lt;=DG$5, COUNTIF($M45:DF45,"u")=0), "u", "")</f>
        <v/>
      </c>
      <c r="DH45" s="80" t="str">
        <f>IF(AND($F45&lt;&gt;"", $F45&gt;=DH$5-4, $F45&lt;=DH$5, COUNTIF($M45:DG45,"u")=0), "u", "")</f>
        <v/>
      </c>
      <c r="DI45" s="80" t="str">
        <f>IF(AND($F45&lt;&gt;"", $F45&gt;=DI$5-4, $F45&lt;=DI$5, COUNTIF($M45:DH45,"u")=0), "u", "")</f>
        <v/>
      </c>
      <c r="DJ45" s="80" t="str">
        <f>IF(AND($F45&lt;&gt;"", $F45&gt;=DJ$5-4, $F45&lt;=DJ$5, COUNTIF($M45:DI45,"u")=0), "u", "")</f>
        <v/>
      </c>
      <c r="DK45" s="80" t="str">
        <f>IF(AND($F45&lt;&gt;"", $F45&gt;=DK$5-4, $F45&lt;=DK$5, COUNTIF($M45:DJ45,"u")=0), "u", "")</f>
        <v/>
      </c>
      <c r="DL45" s="80" t="str">
        <f>IF(AND($F45&lt;&gt;"", $F45&gt;=DL$5-4, $F45&lt;=DL$5, COUNTIF($M45:DK45,"u")=0), "u", "")</f>
        <v/>
      </c>
    </row>
    <row r="46" spans="1:116" ht="25.05" customHeight="1" x14ac:dyDescent="0.3">
      <c r="A46" s="39"/>
      <c r="B46" s="75">
        <v>41</v>
      </c>
      <c r="C46" s="97"/>
      <c r="D46" s="92"/>
      <c r="E46" s="53"/>
      <c r="F46" s="53"/>
      <c r="G46" s="83" t="str">
        <f t="shared" si="47"/>
        <v/>
      </c>
      <c r="H46" s="83" t="str">
        <f t="shared" si="47"/>
        <v/>
      </c>
      <c r="I46" s="77" t="str">
        <f t="shared" si="45"/>
        <v/>
      </c>
      <c r="J46" s="78"/>
      <c r="K46" s="86"/>
      <c r="L46" s="56"/>
      <c r="M46" s="80" t="str">
        <f t="shared" si="46"/>
        <v/>
      </c>
      <c r="N46" s="80" t="str">
        <f>IF(AND($F46&lt;&gt;"", $F46&gt;=N$5-4, $F46&lt;=N$5, COUNTIF($M46:M46,"u")=0), "u", "")</f>
        <v/>
      </c>
      <c r="O46" s="80" t="str">
        <f>IF(AND($F46&lt;&gt;"", $F46&gt;=O$5-4, $F46&lt;=O$5, COUNTIF($M46:N46,"u")=0), "u", "")</f>
        <v/>
      </c>
      <c r="P46" s="80" t="str">
        <f>IF(AND($F46&lt;&gt;"", $F46&gt;=P$5-4, $F46&lt;=P$5, COUNTIF($M46:O46,"u")=0), "u", "")</f>
        <v/>
      </c>
      <c r="Q46" s="80" t="str">
        <f>IF(AND($F46&lt;&gt;"", $F46&gt;=Q$5-4, $F46&lt;=Q$5, COUNTIF($M46:P46,"u")=0), "u", "")</f>
        <v/>
      </c>
      <c r="R46" s="80" t="str">
        <f>IF(AND($F46&lt;&gt;"", $F46&gt;=R$5-4, $F46&lt;=R$5, COUNTIF($M46:Q46,"u")=0), "u", "")</f>
        <v/>
      </c>
      <c r="S46" s="80" t="str">
        <f>IF(AND($F46&lt;&gt;"", $F46&gt;=S$5-4, $F46&lt;=S$5, COUNTIF($M46:R46,"u")=0), "u", "")</f>
        <v/>
      </c>
      <c r="T46" s="80" t="str">
        <f>IF(AND($F46&lt;&gt;"", $F46&gt;=T$5-4, $F46&lt;=T$5, COUNTIF($M46:S46,"u")=0), "u", "")</f>
        <v/>
      </c>
      <c r="U46" s="80" t="str">
        <f>IF(AND($F46&lt;&gt;"", $F46&gt;=U$5-4, $F46&lt;=U$5, COUNTIF($M46:T46,"u")=0), "u", "")</f>
        <v/>
      </c>
      <c r="V46" s="80" t="str">
        <f>IF(AND($F46&lt;&gt;"", $F46&gt;=V$5-4, $F46&lt;=V$5, COUNTIF($M46:U46,"u")=0), "u", "")</f>
        <v/>
      </c>
      <c r="W46" s="80" t="str">
        <f>IF(AND($F46&lt;&gt;"", $F46&gt;=W$5-4, $F46&lt;=W$5, COUNTIF($M46:V46,"u")=0), "u", "")</f>
        <v/>
      </c>
      <c r="X46" s="80" t="str">
        <f>IF(AND($F46&lt;&gt;"", $F46&gt;=X$5-4, $F46&lt;=X$5, COUNTIF($M46:W46,"u")=0), "u", "")</f>
        <v/>
      </c>
      <c r="Y46" s="80" t="str">
        <f>IF(AND($F46&lt;&gt;"", $F46&gt;=Y$5-4, $F46&lt;=Y$5, COUNTIF($M46:X46,"u")=0), "u", "")</f>
        <v/>
      </c>
      <c r="Z46" s="80" t="str">
        <f>IF(AND($F46&lt;&gt;"", $F46&gt;=Z$5-4, $F46&lt;=Z$5, COUNTIF($M46:Y46,"u")=0), "u", "")</f>
        <v/>
      </c>
      <c r="AA46" s="80" t="str">
        <f>IF(AND($F46&lt;&gt;"", $F46&gt;=AA$5-4, $F46&lt;=AA$5, COUNTIF($M46:Z46,"u")=0), "u", "")</f>
        <v/>
      </c>
      <c r="AB46" s="80" t="str">
        <f>IF(AND($F46&lt;&gt;"", $F46&gt;=AB$5-4, $F46&lt;=AB$5, COUNTIF($M46:AA46,"u")=0), "u", "")</f>
        <v/>
      </c>
      <c r="AC46" s="80" t="str">
        <f>IF(AND($F46&lt;&gt;"", $F46&gt;=AC$5-4, $F46&lt;=AC$5, COUNTIF($M46:AB46,"u")=0), "u", "")</f>
        <v/>
      </c>
      <c r="AD46" s="80" t="str">
        <f>IF(AND($F46&lt;&gt;"", $F46&gt;=AD$5-4, $F46&lt;=AD$5, COUNTIF($M46:AC46,"u")=0), "u", "")</f>
        <v/>
      </c>
      <c r="AE46" s="80" t="str">
        <f>IF(AND($F46&lt;&gt;"", $F46&gt;=AE$5-4, $F46&lt;=AE$5, COUNTIF($M46:AD46,"u")=0), "u", "")</f>
        <v/>
      </c>
      <c r="AF46" s="80" t="str">
        <f>IF(AND($F46&lt;&gt;"", $F46&gt;=AF$5-4, $F46&lt;=AF$5, COUNTIF($M46:AE46,"u")=0), "u", "")</f>
        <v/>
      </c>
      <c r="AG46" s="80" t="str">
        <f>IF(AND($F46&lt;&gt;"", $F46&gt;=AG$5-4, $F46&lt;=AG$5, COUNTIF($M46:AF46,"u")=0), "u", "")</f>
        <v/>
      </c>
      <c r="AH46" s="80" t="str">
        <f>IF(AND($F46&lt;&gt;"", $F46&gt;=AH$5-4, $F46&lt;=AH$5, COUNTIF($M46:AG46,"u")=0), "u", "")</f>
        <v/>
      </c>
      <c r="AI46" s="80" t="str">
        <f>IF(AND($F46&lt;&gt;"", $F46&gt;=AI$5-4, $F46&lt;=AI$5, COUNTIF($M46:AH46,"u")=0), "u", "")</f>
        <v/>
      </c>
      <c r="AJ46" s="80" t="str">
        <f>IF(AND($F46&lt;&gt;"", $F46&gt;=AJ$5-4, $F46&lt;=AJ$5, COUNTIF($M46:AI46,"u")=0), "u", "")</f>
        <v/>
      </c>
      <c r="AK46" s="80" t="str">
        <f>IF(AND($F46&lt;&gt;"", $F46&gt;=AK$5-4, $F46&lt;=AK$5, COUNTIF($M46:AJ46,"u")=0), "u", "")</f>
        <v/>
      </c>
      <c r="AL46" s="80" t="str">
        <f>IF(AND($F46&lt;&gt;"", $F46&gt;=AL$5-4, $F46&lt;=AL$5, COUNTIF($M46:AK46,"u")=0), "u", "")</f>
        <v/>
      </c>
      <c r="AM46" s="80" t="str">
        <f>IF(AND($F46&lt;&gt;"", $F46&gt;=AM$5-4, $F46&lt;=AM$5, COUNTIF($M46:AL46,"u")=0), "u", "")</f>
        <v/>
      </c>
      <c r="AN46" s="80" t="str">
        <f>IF(AND($F46&lt;&gt;"", $F46&gt;=AN$5-4, $F46&lt;=AN$5, COUNTIF($M46:AM46,"u")=0), "u", "")</f>
        <v/>
      </c>
      <c r="AO46" s="80" t="str">
        <f>IF(AND($F46&lt;&gt;"", $F46&gt;=AO$5-4, $F46&lt;=AO$5, COUNTIF($M46:AN46,"u")=0), "u", "")</f>
        <v/>
      </c>
      <c r="AP46" s="80" t="str">
        <f>IF(AND($F46&lt;&gt;"", $F46&gt;=AP$5-4, $F46&lt;=AP$5, COUNTIF($M46:AO46,"u")=0), "u", "")</f>
        <v/>
      </c>
      <c r="AQ46" s="80" t="str">
        <f>IF(AND($F46&lt;&gt;"", $F46&gt;=AQ$5-4, $F46&lt;=AQ$5, COUNTIF($M46:AP46,"u")=0), "u", "")</f>
        <v/>
      </c>
      <c r="AR46" s="80" t="str">
        <f>IF(AND($F46&lt;&gt;"", $F46&gt;=AR$5-4, $F46&lt;=AR$5, COUNTIF($M46:AQ46,"u")=0), "u", "")</f>
        <v/>
      </c>
      <c r="AS46" s="80" t="str">
        <f>IF(AND($F46&lt;&gt;"", $F46&gt;=AS$5-4, $F46&lt;=AS$5, COUNTIF($M46:AR46,"u")=0), "u", "")</f>
        <v/>
      </c>
      <c r="AT46" s="80" t="str">
        <f>IF(AND($F46&lt;&gt;"", $F46&gt;=AT$5-4, $F46&lt;=AT$5, COUNTIF($M46:AS46,"u")=0), "u", "")</f>
        <v/>
      </c>
      <c r="AU46" s="80" t="str">
        <f>IF(AND($F46&lt;&gt;"", $F46&gt;=AU$5-4, $F46&lt;=AU$5, COUNTIF($M46:AT46,"u")=0), "u", "")</f>
        <v/>
      </c>
      <c r="AV46" s="80" t="str">
        <f>IF(AND($F46&lt;&gt;"", $F46&gt;=AV$5-4, $F46&lt;=AV$5, COUNTIF($M46:AU46,"u")=0), "u", "")</f>
        <v/>
      </c>
      <c r="AW46" s="80" t="str">
        <f>IF(AND($F46&lt;&gt;"", $F46&gt;=AW$5-4, $F46&lt;=AW$5, COUNTIF($M46:AV46,"u")=0), "u", "")</f>
        <v/>
      </c>
      <c r="AX46" s="80" t="str">
        <f>IF(AND($F46&lt;&gt;"", $F46&gt;=AX$5-4, $F46&lt;=AX$5, COUNTIF($M46:AW46,"u")=0), "u", "")</f>
        <v/>
      </c>
      <c r="AY46" s="80" t="str">
        <f>IF(AND($F46&lt;&gt;"", $F46&gt;=AY$5-4, $F46&lt;=AY$5, COUNTIF($M46:AX46,"u")=0), "u", "")</f>
        <v/>
      </c>
      <c r="AZ46" s="80" t="str">
        <f>IF(AND($F46&lt;&gt;"", $F46&gt;=AZ$5-4, $F46&lt;=AZ$5, COUNTIF($M46:AY46,"u")=0), "u", "")</f>
        <v/>
      </c>
      <c r="BA46" s="80" t="str">
        <f>IF(AND($F46&lt;&gt;"", $F46&gt;=BA$5-4, $F46&lt;=BA$5, COUNTIF($M46:AZ46,"u")=0), "u", "")</f>
        <v/>
      </c>
      <c r="BB46" s="80" t="str">
        <f>IF(AND($F46&lt;&gt;"", $F46&gt;=BB$5-4, $F46&lt;=BB$5, COUNTIF($M46:BA46,"u")=0), "u", "")</f>
        <v/>
      </c>
      <c r="BC46" s="80" t="str">
        <f>IF(AND($F46&lt;&gt;"", $F46&gt;=BC$5-4, $F46&lt;=BC$5, COUNTIF($M46:BB46,"u")=0), "u", "")</f>
        <v/>
      </c>
      <c r="BD46" s="80" t="str">
        <f>IF(AND($F46&lt;&gt;"", $F46&gt;=BD$5-4, $F46&lt;=BD$5, COUNTIF($M46:BC46,"u")=0), "u", "")</f>
        <v/>
      </c>
      <c r="BE46" s="80" t="str">
        <f>IF(AND($F46&lt;&gt;"", $F46&gt;=BE$5-4, $F46&lt;=BE$5, COUNTIF($M46:BD46,"u")=0), "u", "")</f>
        <v/>
      </c>
      <c r="BF46" s="80" t="str">
        <f>IF(AND($F46&lt;&gt;"", $F46&gt;=BF$5-4, $F46&lt;=BF$5, COUNTIF($M46:BE46,"u")=0), "u", "")</f>
        <v/>
      </c>
      <c r="BG46" s="80" t="str">
        <f>IF(AND($F46&lt;&gt;"", $F46&gt;=BG$5-4, $F46&lt;=BG$5, COUNTIF($M46:BF46,"u")=0), "u", "")</f>
        <v/>
      </c>
      <c r="BH46" s="80" t="str">
        <f>IF(AND($F46&lt;&gt;"", $F46&gt;=BH$5-4, $F46&lt;=BH$5, COUNTIF($M46:BG46,"u")=0), "u", "")</f>
        <v/>
      </c>
      <c r="BI46" s="80" t="str">
        <f>IF(AND($F46&lt;&gt;"", $F46&gt;=BI$5-4, $F46&lt;=BI$5, COUNTIF($M46:BH46,"u")=0), "u", "")</f>
        <v/>
      </c>
      <c r="BJ46" s="80" t="str">
        <f>IF(AND($F46&lt;&gt;"", $F46&gt;=BJ$5-4, $F46&lt;=BJ$5, COUNTIF($M46:BI46,"u")=0), "u", "")</f>
        <v/>
      </c>
      <c r="BK46" s="80" t="str">
        <f>IF(AND($F46&lt;&gt;"", $F46&gt;=BK$5-4, $F46&lt;=BK$5, COUNTIF($M46:BJ46,"u")=0), "u", "")</f>
        <v/>
      </c>
      <c r="BL46" s="80" t="str">
        <f>IF(AND($F46&lt;&gt;"", $F46&gt;=BL$5-4, $F46&lt;=BL$5, COUNTIF($M46:BK46,"u")=0), "u", "")</f>
        <v/>
      </c>
      <c r="BM46" s="80" t="str">
        <f>IF(AND($F46&lt;&gt;"", $F46&gt;=BM$5-4, $F46&lt;=BM$5, COUNTIF($M46:BL46,"u")=0), "u", "")</f>
        <v/>
      </c>
      <c r="BN46" s="80" t="str">
        <f>IF(AND($F46&lt;&gt;"", $F46&gt;=BN$5-4, $F46&lt;=BN$5, COUNTIF($M46:BM46,"u")=0), "u", "")</f>
        <v/>
      </c>
      <c r="BO46" s="80" t="str">
        <f>IF(AND($F46&lt;&gt;"", $F46&gt;=BO$5-4, $F46&lt;=BO$5, COUNTIF($M46:BN46,"u")=0), "u", "")</f>
        <v/>
      </c>
      <c r="BP46" s="80" t="str">
        <f>IF(AND($F46&lt;&gt;"", $F46&gt;=BP$5-4, $F46&lt;=BP$5, COUNTIF($M46:BO46,"u")=0), "u", "")</f>
        <v/>
      </c>
      <c r="BQ46" s="80" t="str">
        <f>IF(AND($F46&lt;&gt;"", $F46&gt;=BQ$5-4, $F46&lt;=BQ$5, COUNTIF($M46:BP46,"u")=0), "u", "")</f>
        <v/>
      </c>
      <c r="BR46" s="80" t="str">
        <f>IF(AND($F46&lt;&gt;"", $F46&gt;=BR$5-4, $F46&lt;=BR$5, COUNTIF($M46:BQ46,"u")=0), "u", "")</f>
        <v/>
      </c>
      <c r="BS46" s="80" t="str">
        <f>IF(AND($F46&lt;&gt;"", $F46&gt;=BS$5-4, $F46&lt;=BS$5, COUNTIF($M46:BR46,"u")=0), "u", "")</f>
        <v/>
      </c>
      <c r="BT46" s="80" t="str">
        <f>IF(AND($F46&lt;&gt;"", $F46&gt;=BT$5-4, $F46&lt;=BT$5, COUNTIF($M46:BS46,"u")=0), "u", "")</f>
        <v/>
      </c>
      <c r="BU46" s="80" t="str">
        <f>IF(AND($F46&lt;&gt;"", $F46&gt;=BU$5-4, $F46&lt;=BU$5, COUNTIF($M46:BT46,"u")=0), "u", "")</f>
        <v/>
      </c>
      <c r="BV46" s="80" t="str">
        <f>IF(AND($F46&lt;&gt;"", $F46&gt;=BV$5-4, $F46&lt;=BV$5, COUNTIF($M46:BU46,"u")=0), "u", "")</f>
        <v/>
      </c>
      <c r="BW46" s="80" t="str">
        <f>IF(AND($F46&lt;&gt;"", $F46&gt;=BW$5-4, $F46&lt;=BW$5, COUNTIF($M46:BV46,"u")=0), "u", "")</f>
        <v/>
      </c>
      <c r="BX46" s="80" t="str">
        <f>IF(AND($F46&lt;&gt;"", $F46&gt;=BX$5-4, $F46&lt;=BX$5, COUNTIF($M46:BW46,"u")=0), "u", "")</f>
        <v/>
      </c>
      <c r="BY46" s="80" t="str">
        <f>IF(AND($F46&lt;&gt;"", $F46&gt;=BY$5-4, $F46&lt;=BY$5, COUNTIF($M46:BX46,"u")=0), "u", "")</f>
        <v/>
      </c>
      <c r="BZ46" s="80" t="str">
        <f>IF(AND($F46&lt;&gt;"", $F46&gt;=BZ$5-4, $F46&lt;=BZ$5, COUNTIF($M46:BY46,"u")=0), "u", "")</f>
        <v/>
      </c>
      <c r="CA46" s="80" t="str">
        <f>IF(AND($F46&lt;&gt;"", $F46&gt;=CA$5-4, $F46&lt;=CA$5, COUNTIF($M46:BZ46,"u")=0), "u", "")</f>
        <v/>
      </c>
      <c r="CB46" s="80" t="str">
        <f>IF(AND($F46&lt;&gt;"", $F46&gt;=CB$5-4, $F46&lt;=CB$5, COUNTIF($M46:CA46,"u")=0), "u", "")</f>
        <v/>
      </c>
      <c r="CC46" s="80" t="str">
        <f>IF(AND($F46&lt;&gt;"", $F46&gt;=CC$5-4, $F46&lt;=CC$5, COUNTIF($M46:CB46,"u")=0), "u", "")</f>
        <v/>
      </c>
      <c r="CD46" s="80" t="str">
        <f>IF(AND($F46&lt;&gt;"", $F46&gt;=CD$5-4, $F46&lt;=CD$5, COUNTIF($M46:CC46,"u")=0), "u", "")</f>
        <v/>
      </c>
      <c r="CE46" s="80" t="str">
        <f>IF(AND($F46&lt;&gt;"", $F46&gt;=CE$5-4, $F46&lt;=CE$5, COUNTIF($M46:CD46,"u")=0), "u", "")</f>
        <v/>
      </c>
      <c r="CF46" s="80" t="str">
        <f>IF(AND($F46&lt;&gt;"", $F46&gt;=CF$5-4, $F46&lt;=CF$5, COUNTIF($M46:CE46,"u")=0), "u", "")</f>
        <v/>
      </c>
      <c r="CG46" s="80" t="str">
        <f>IF(AND($F46&lt;&gt;"", $F46&gt;=CG$5-4, $F46&lt;=CG$5, COUNTIF($M46:CF46,"u")=0), "u", "")</f>
        <v/>
      </c>
      <c r="CH46" s="80" t="str">
        <f>IF(AND($F46&lt;&gt;"", $F46&gt;=CH$5-4, $F46&lt;=CH$5, COUNTIF($M46:CG46,"u")=0), "u", "")</f>
        <v/>
      </c>
      <c r="CI46" s="80" t="str">
        <f>IF(AND($F46&lt;&gt;"", $F46&gt;=CI$5-4, $F46&lt;=CI$5, COUNTIF($M46:CH46,"u")=0), "u", "")</f>
        <v/>
      </c>
      <c r="CJ46" s="80" t="str">
        <f>IF(AND($F46&lt;&gt;"", $F46&gt;=CJ$5-4, $F46&lt;=CJ$5, COUNTIF($M46:CI46,"u")=0), "u", "")</f>
        <v/>
      </c>
      <c r="CK46" s="80" t="str">
        <f>IF(AND($F46&lt;&gt;"", $F46&gt;=CK$5-4, $F46&lt;=CK$5, COUNTIF($M46:CJ46,"u")=0), "u", "")</f>
        <v/>
      </c>
      <c r="CL46" s="80" t="str">
        <f>IF(AND($F46&lt;&gt;"", $F46&gt;=CL$5-4, $F46&lt;=CL$5, COUNTIF($M46:CK46,"u")=0), "u", "")</f>
        <v/>
      </c>
      <c r="CM46" s="80" t="str">
        <f>IF(AND($F46&lt;&gt;"", $F46&gt;=CM$5-4, $F46&lt;=CM$5, COUNTIF($M46:CL46,"u")=0), "u", "")</f>
        <v/>
      </c>
      <c r="CN46" s="80" t="str">
        <f>IF(AND($F46&lt;&gt;"", $F46&gt;=CN$5-4, $F46&lt;=CN$5, COUNTIF($M46:CM46,"u")=0), "u", "")</f>
        <v/>
      </c>
      <c r="CO46" s="80" t="str">
        <f>IF(AND($F46&lt;&gt;"", $F46&gt;=CO$5-4, $F46&lt;=CO$5, COUNTIF($M46:CN46,"u")=0), "u", "")</f>
        <v/>
      </c>
      <c r="CP46" s="80" t="str">
        <f>IF(AND($F46&lt;&gt;"", $F46&gt;=CP$5-4, $F46&lt;=CP$5, COUNTIF($M46:CO46,"u")=0), "u", "")</f>
        <v/>
      </c>
      <c r="CQ46" s="80" t="str">
        <f>IF(AND($F46&lt;&gt;"", $F46&gt;=CQ$5-4, $F46&lt;=CQ$5, COUNTIF($M46:CP46,"u")=0), "u", "")</f>
        <v/>
      </c>
      <c r="CR46" s="80" t="str">
        <f>IF(AND($F46&lt;&gt;"", $F46&gt;=CR$5-4, $F46&lt;=CR$5, COUNTIF($M46:CQ46,"u")=0), "u", "")</f>
        <v/>
      </c>
      <c r="CS46" s="80" t="str">
        <f>IF(AND($F46&lt;&gt;"", $F46&gt;=CS$5-4, $F46&lt;=CS$5, COUNTIF($M46:CR46,"u")=0), "u", "")</f>
        <v/>
      </c>
      <c r="CT46" s="80" t="str">
        <f>IF(AND($F46&lt;&gt;"", $F46&gt;=CT$5-4, $F46&lt;=CT$5, COUNTIF($M46:CS46,"u")=0), "u", "")</f>
        <v/>
      </c>
      <c r="CU46" s="80" t="str">
        <f>IF(AND($F46&lt;&gt;"", $F46&gt;=CU$5-4, $F46&lt;=CU$5, COUNTIF($M46:CT46,"u")=0), "u", "")</f>
        <v/>
      </c>
      <c r="CV46" s="80" t="str">
        <f>IF(AND($F46&lt;&gt;"", $F46&gt;=CV$5-4, $F46&lt;=CV$5, COUNTIF($M46:CU46,"u")=0), "u", "")</f>
        <v/>
      </c>
      <c r="CW46" s="80" t="str">
        <f>IF(AND($F46&lt;&gt;"", $F46&gt;=CW$5-4, $F46&lt;=CW$5, COUNTIF($M46:CV46,"u")=0), "u", "")</f>
        <v/>
      </c>
      <c r="CX46" s="80" t="str">
        <f>IF(AND($F46&lt;&gt;"", $F46&gt;=CX$5-4, $F46&lt;=CX$5, COUNTIF($M46:CW46,"u")=0), "u", "")</f>
        <v/>
      </c>
      <c r="CY46" s="80" t="str">
        <f>IF(AND($F46&lt;&gt;"", $F46&gt;=CY$5-4, $F46&lt;=CY$5, COUNTIF($M46:CX46,"u")=0), "u", "")</f>
        <v/>
      </c>
      <c r="CZ46" s="80" t="str">
        <f>IF(AND($F46&lt;&gt;"", $F46&gt;=CZ$5-4, $F46&lt;=CZ$5, COUNTIF($M46:CY46,"u")=0), "u", "")</f>
        <v/>
      </c>
      <c r="DA46" s="80" t="str">
        <f>IF(AND($F46&lt;&gt;"", $F46&gt;=DA$5-4, $F46&lt;=DA$5, COUNTIF($M46:CZ46,"u")=0), "u", "")</f>
        <v/>
      </c>
      <c r="DB46" s="80" t="str">
        <f>IF(AND($F46&lt;&gt;"", $F46&gt;=DB$5-4, $F46&lt;=DB$5, COUNTIF($M46:DA46,"u")=0), "u", "")</f>
        <v/>
      </c>
      <c r="DC46" s="80" t="str">
        <f>IF(AND($F46&lt;&gt;"", $F46&gt;=DC$5-4, $F46&lt;=DC$5, COUNTIF($M46:DB46,"u")=0), "u", "")</f>
        <v/>
      </c>
      <c r="DD46" s="80" t="str">
        <f>IF(AND($F46&lt;&gt;"", $F46&gt;=DD$5-4, $F46&lt;=DD$5, COUNTIF($M46:DC46,"u")=0), "u", "")</f>
        <v/>
      </c>
      <c r="DE46" s="80" t="str">
        <f>IF(AND($F46&lt;&gt;"", $F46&gt;=DE$5-4, $F46&lt;=DE$5, COUNTIF($M46:DD46,"u")=0), "u", "")</f>
        <v/>
      </c>
      <c r="DF46" s="80" t="str">
        <f>IF(AND($F46&lt;&gt;"", $F46&gt;=DF$5-4, $F46&lt;=DF$5, COUNTIF($M46:DE46,"u")=0), "u", "")</f>
        <v/>
      </c>
      <c r="DG46" s="80" t="str">
        <f>IF(AND($F46&lt;&gt;"", $F46&gt;=DG$5-4, $F46&lt;=DG$5, COUNTIF($M46:DF46,"u")=0), "u", "")</f>
        <v/>
      </c>
      <c r="DH46" s="80" t="str">
        <f>IF(AND($F46&lt;&gt;"", $F46&gt;=DH$5-4, $F46&lt;=DH$5, COUNTIF($M46:DG46,"u")=0), "u", "")</f>
        <v/>
      </c>
      <c r="DI46" s="80" t="str">
        <f>IF(AND($F46&lt;&gt;"", $F46&gt;=DI$5-4, $F46&lt;=DI$5, COUNTIF($M46:DH46,"u")=0), "u", "")</f>
        <v/>
      </c>
      <c r="DJ46" s="80" t="str">
        <f>IF(AND($F46&lt;&gt;"", $F46&gt;=DJ$5-4, $F46&lt;=DJ$5, COUNTIF($M46:DI46,"u")=0), "u", "")</f>
        <v/>
      </c>
      <c r="DK46" s="80" t="str">
        <f>IF(AND($F46&lt;&gt;"", $F46&gt;=DK$5-4, $F46&lt;=DK$5, COUNTIF($M46:DJ46,"u")=0), "u", "")</f>
        <v/>
      </c>
      <c r="DL46" s="80" t="str">
        <f>IF(AND($F46&lt;&gt;"", $F46&gt;=DL$5-4, $F46&lt;=DL$5, COUNTIF($M46:DK46,"u")=0), "u", "")</f>
        <v/>
      </c>
    </row>
    <row r="47" spans="1:116" ht="25.05" customHeight="1" x14ac:dyDescent="0.3">
      <c r="A47" s="39"/>
      <c r="B47" s="75">
        <v>42</v>
      </c>
      <c r="C47" s="97"/>
      <c r="D47" s="92"/>
      <c r="E47" s="53"/>
      <c r="F47" s="53"/>
      <c r="G47" s="83" t="str">
        <f t="shared" si="47"/>
        <v/>
      </c>
      <c r="H47" s="83" t="str">
        <f t="shared" si="47"/>
        <v/>
      </c>
      <c r="I47" s="77" t="str">
        <f t="shared" si="45"/>
        <v/>
      </c>
      <c r="J47" s="78"/>
      <c r="K47" s="86"/>
      <c r="L47" s="56"/>
      <c r="M47" s="80" t="str">
        <f t="shared" si="46"/>
        <v/>
      </c>
      <c r="N47" s="80" t="str">
        <f>IF(AND($F47&lt;&gt;"", $F47&gt;=N$5-4, $F47&lt;=N$5, COUNTIF($M47:M47,"u")=0), "u", "")</f>
        <v/>
      </c>
      <c r="O47" s="80" t="str">
        <f>IF(AND($F47&lt;&gt;"", $F47&gt;=O$5-4, $F47&lt;=O$5, COUNTIF($M47:N47,"u")=0), "u", "")</f>
        <v/>
      </c>
      <c r="P47" s="80" t="str">
        <f>IF(AND($F47&lt;&gt;"", $F47&gt;=P$5-4, $F47&lt;=P$5, COUNTIF($M47:O47,"u")=0), "u", "")</f>
        <v/>
      </c>
      <c r="Q47" s="80" t="str">
        <f>IF(AND($F47&lt;&gt;"", $F47&gt;=Q$5-4, $F47&lt;=Q$5, COUNTIF($M47:P47,"u")=0), "u", "")</f>
        <v/>
      </c>
      <c r="R47" s="80" t="str">
        <f>IF(AND($F47&lt;&gt;"", $F47&gt;=R$5-4, $F47&lt;=R$5, COUNTIF($M47:Q47,"u")=0), "u", "")</f>
        <v/>
      </c>
      <c r="S47" s="80" t="str">
        <f>IF(AND($F47&lt;&gt;"", $F47&gt;=S$5-4, $F47&lt;=S$5, COUNTIF($M47:R47,"u")=0), "u", "")</f>
        <v/>
      </c>
      <c r="T47" s="80" t="str">
        <f>IF(AND($F47&lt;&gt;"", $F47&gt;=T$5-4, $F47&lt;=T$5, COUNTIF($M47:S47,"u")=0), "u", "")</f>
        <v/>
      </c>
      <c r="U47" s="80" t="str">
        <f>IF(AND($F47&lt;&gt;"", $F47&gt;=U$5-4, $F47&lt;=U$5, COUNTIF($M47:T47,"u")=0), "u", "")</f>
        <v/>
      </c>
      <c r="V47" s="80" t="str">
        <f>IF(AND($F47&lt;&gt;"", $F47&gt;=V$5-4, $F47&lt;=V$5, COUNTIF($M47:U47,"u")=0), "u", "")</f>
        <v/>
      </c>
      <c r="W47" s="80" t="str">
        <f>IF(AND($F47&lt;&gt;"", $F47&gt;=W$5-4, $F47&lt;=W$5, COUNTIF($M47:V47,"u")=0), "u", "")</f>
        <v/>
      </c>
      <c r="X47" s="80" t="str">
        <f>IF(AND($F47&lt;&gt;"", $F47&gt;=X$5-4, $F47&lt;=X$5, COUNTIF($M47:W47,"u")=0), "u", "")</f>
        <v/>
      </c>
      <c r="Y47" s="80" t="str">
        <f>IF(AND($F47&lt;&gt;"", $F47&gt;=Y$5-4, $F47&lt;=Y$5, COUNTIF($M47:X47,"u")=0), "u", "")</f>
        <v/>
      </c>
      <c r="Z47" s="80" t="str">
        <f>IF(AND($F47&lt;&gt;"", $F47&gt;=Z$5-4, $F47&lt;=Z$5, COUNTIF($M47:Y47,"u")=0), "u", "")</f>
        <v/>
      </c>
      <c r="AA47" s="80" t="str">
        <f>IF(AND($F47&lt;&gt;"", $F47&gt;=AA$5-4, $F47&lt;=AA$5, COUNTIF($M47:Z47,"u")=0), "u", "")</f>
        <v/>
      </c>
      <c r="AB47" s="80" t="str">
        <f>IF(AND($F47&lt;&gt;"", $F47&gt;=AB$5-4, $F47&lt;=AB$5, COUNTIF($M47:AA47,"u")=0), "u", "")</f>
        <v/>
      </c>
      <c r="AC47" s="80" t="str">
        <f>IF(AND($F47&lt;&gt;"", $F47&gt;=AC$5-4, $F47&lt;=AC$5, COUNTIF($M47:AB47,"u")=0), "u", "")</f>
        <v/>
      </c>
      <c r="AD47" s="80" t="str">
        <f>IF(AND($F47&lt;&gt;"", $F47&gt;=AD$5-4, $F47&lt;=AD$5, COUNTIF($M47:AC47,"u")=0), "u", "")</f>
        <v/>
      </c>
      <c r="AE47" s="80" t="str">
        <f>IF(AND($F47&lt;&gt;"", $F47&gt;=AE$5-4, $F47&lt;=AE$5, COUNTIF($M47:AD47,"u")=0), "u", "")</f>
        <v/>
      </c>
      <c r="AF47" s="80" t="str">
        <f>IF(AND($F47&lt;&gt;"", $F47&gt;=AF$5-4, $F47&lt;=AF$5, COUNTIF($M47:AE47,"u")=0), "u", "")</f>
        <v/>
      </c>
      <c r="AG47" s="80" t="str">
        <f>IF(AND($F47&lt;&gt;"", $F47&gt;=AG$5-4, $F47&lt;=AG$5, COUNTIF($M47:AF47,"u")=0), "u", "")</f>
        <v/>
      </c>
      <c r="AH47" s="80" t="str">
        <f>IF(AND($F47&lt;&gt;"", $F47&gt;=AH$5-4, $F47&lt;=AH$5, COUNTIF($M47:AG47,"u")=0), "u", "")</f>
        <v/>
      </c>
      <c r="AI47" s="80" t="str">
        <f>IF(AND($F47&lt;&gt;"", $F47&gt;=AI$5-4, $F47&lt;=AI$5, COUNTIF($M47:AH47,"u")=0), "u", "")</f>
        <v/>
      </c>
      <c r="AJ47" s="80" t="str">
        <f>IF(AND($F47&lt;&gt;"", $F47&gt;=AJ$5-4, $F47&lt;=AJ$5, COUNTIF($M47:AI47,"u")=0), "u", "")</f>
        <v/>
      </c>
      <c r="AK47" s="80" t="str">
        <f>IF(AND($F47&lt;&gt;"", $F47&gt;=AK$5-4, $F47&lt;=AK$5, COUNTIF($M47:AJ47,"u")=0), "u", "")</f>
        <v/>
      </c>
      <c r="AL47" s="80" t="str">
        <f>IF(AND($F47&lt;&gt;"", $F47&gt;=AL$5-4, $F47&lt;=AL$5, COUNTIF($M47:AK47,"u")=0), "u", "")</f>
        <v/>
      </c>
      <c r="AM47" s="80" t="str">
        <f>IF(AND($F47&lt;&gt;"", $F47&gt;=AM$5-4, $F47&lt;=AM$5, COUNTIF($M47:AL47,"u")=0), "u", "")</f>
        <v/>
      </c>
      <c r="AN47" s="80" t="str">
        <f>IF(AND($F47&lt;&gt;"", $F47&gt;=AN$5-4, $F47&lt;=AN$5, COUNTIF($M47:AM47,"u")=0), "u", "")</f>
        <v/>
      </c>
      <c r="AO47" s="80" t="str">
        <f>IF(AND($F47&lt;&gt;"", $F47&gt;=AO$5-4, $F47&lt;=AO$5, COUNTIF($M47:AN47,"u")=0), "u", "")</f>
        <v/>
      </c>
      <c r="AP47" s="80" t="str">
        <f>IF(AND($F47&lt;&gt;"", $F47&gt;=AP$5-4, $F47&lt;=AP$5, COUNTIF($M47:AO47,"u")=0), "u", "")</f>
        <v/>
      </c>
      <c r="AQ47" s="80" t="str">
        <f>IF(AND($F47&lt;&gt;"", $F47&gt;=AQ$5-4, $F47&lt;=AQ$5, COUNTIF($M47:AP47,"u")=0), "u", "")</f>
        <v/>
      </c>
      <c r="AR47" s="80" t="str">
        <f>IF(AND($F47&lt;&gt;"", $F47&gt;=AR$5-4, $F47&lt;=AR$5, COUNTIF($M47:AQ47,"u")=0), "u", "")</f>
        <v/>
      </c>
      <c r="AS47" s="80" t="str">
        <f>IF(AND($F47&lt;&gt;"", $F47&gt;=AS$5-4, $F47&lt;=AS$5, COUNTIF($M47:AR47,"u")=0), "u", "")</f>
        <v/>
      </c>
      <c r="AT47" s="80" t="str">
        <f>IF(AND($F47&lt;&gt;"", $F47&gt;=AT$5-4, $F47&lt;=AT$5, COUNTIF($M47:AS47,"u")=0), "u", "")</f>
        <v/>
      </c>
      <c r="AU47" s="80" t="str">
        <f>IF(AND($F47&lt;&gt;"", $F47&gt;=AU$5-4, $F47&lt;=AU$5, COUNTIF($M47:AT47,"u")=0), "u", "")</f>
        <v/>
      </c>
      <c r="AV47" s="80" t="str">
        <f>IF(AND($F47&lt;&gt;"", $F47&gt;=AV$5-4, $F47&lt;=AV$5, COUNTIF($M47:AU47,"u")=0), "u", "")</f>
        <v/>
      </c>
      <c r="AW47" s="80" t="str">
        <f>IF(AND($F47&lt;&gt;"", $F47&gt;=AW$5-4, $F47&lt;=AW$5, COUNTIF($M47:AV47,"u")=0), "u", "")</f>
        <v/>
      </c>
      <c r="AX47" s="80" t="str">
        <f>IF(AND($F47&lt;&gt;"", $F47&gt;=AX$5-4, $F47&lt;=AX$5, COUNTIF($M47:AW47,"u")=0), "u", "")</f>
        <v/>
      </c>
      <c r="AY47" s="80" t="str">
        <f>IF(AND($F47&lt;&gt;"", $F47&gt;=AY$5-4, $F47&lt;=AY$5, COUNTIF($M47:AX47,"u")=0), "u", "")</f>
        <v/>
      </c>
      <c r="AZ47" s="80" t="str">
        <f>IF(AND($F47&lt;&gt;"", $F47&gt;=AZ$5-4, $F47&lt;=AZ$5, COUNTIF($M47:AY47,"u")=0), "u", "")</f>
        <v/>
      </c>
      <c r="BA47" s="80" t="str">
        <f>IF(AND($F47&lt;&gt;"", $F47&gt;=BA$5-4, $F47&lt;=BA$5, COUNTIF($M47:AZ47,"u")=0), "u", "")</f>
        <v/>
      </c>
      <c r="BB47" s="80" t="str">
        <f>IF(AND($F47&lt;&gt;"", $F47&gt;=BB$5-4, $F47&lt;=BB$5, COUNTIF($M47:BA47,"u")=0), "u", "")</f>
        <v/>
      </c>
      <c r="BC47" s="80" t="str">
        <f>IF(AND($F47&lt;&gt;"", $F47&gt;=BC$5-4, $F47&lt;=BC$5, COUNTIF($M47:BB47,"u")=0), "u", "")</f>
        <v/>
      </c>
      <c r="BD47" s="80" t="str">
        <f>IF(AND($F47&lt;&gt;"", $F47&gt;=BD$5-4, $F47&lt;=BD$5, COUNTIF($M47:BC47,"u")=0), "u", "")</f>
        <v/>
      </c>
      <c r="BE47" s="80" t="str">
        <f>IF(AND($F47&lt;&gt;"", $F47&gt;=BE$5-4, $F47&lt;=BE$5, COUNTIF($M47:BD47,"u")=0), "u", "")</f>
        <v/>
      </c>
      <c r="BF47" s="80" t="str">
        <f>IF(AND($F47&lt;&gt;"", $F47&gt;=BF$5-4, $F47&lt;=BF$5, COUNTIF($M47:BE47,"u")=0), "u", "")</f>
        <v/>
      </c>
      <c r="BG47" s="80" t="str">
        <f>IF(AND($F47&lt;&gt;"", $F47&gt;=BG$5-4, $F47&lt;=BG$5, COUNTIF($M47:BF47,"u")=0), "u", "")</f>
        <v/>
      </c>
      <c r="BH47" s="80" t="str">
        <f>IF(AND($F47&lt;&gt;"", $F47&gt;=BH$5-4, $F47&lt;=BH$5, COUNTIF($M47:BG47,"u")=0), "u", "")</f>
        <v/>
      </c>
      <c r="BI47" s="80" t="str">
        <f>IF(AND($F47&lt;&gt;"", $F47&gt;=BI$5-4, $F47&lt;=BI$5, COUNTIF($M47:BH47,"u")=0), "u", "")</f>
        <v/>
      </c>
      <c r="BJ47" s="80" t="str">
        <f>IF(AND($F47&lt;&gt;"", $F47&gt;=BJ$5-4, $F47&lt;=BJ$5, COUNTIF($M47:BI47,"u")=0), "u", "")</f>
        <v/>
      </c>
      <c r="BK47" s="80" t="str">
        <f>IF(AND($F47&lt;&gt;"", $F47&gt;=BK$5-4, $F47&lt;=BK$5, COUNTIF($M47:BJ47,"u")=0), "u", "")</f>
        <v/>
      </c>
      <c r="BL47" s="80" t="str">
        <f>IF(AND($F47&lt;&gt;"", $F47&gt;=BL$5-4, $F47&lt;=BL$5, COUNTIF($M47:BK47,"u")=0), "u", "")</f>
        <v/>
      </c>
      <c r="BM47" s="80" t="str">
        <f>IF(AND($F47&lt;&gt;"", $F47&gt;=BM$5-4, $F47&lt;=BM$5, COUNTIF($M47:BL47,"u")=0), "u", "")</f>
        <v/>
      </c>
      <c r="BN47" s="80" t="str">
        <f>IF(AND($F47&lt;&gt;"", $F47&gt;=BN$5-4, $F47&lt;=BN$5, COUNTIF($M47:BM47,"u")=0), "u", "")</f>
        <v/>
      </c>
      <c r="BO47" s="80" t="str">
        <f>IF(AND($F47&lt;&gt;"", $F47&gt;=BO$5-4, $F47&lt;=BO$5, COUNTIF($M47:BN47,"u")=0), "u", "")</f>
        <v/>
      </c>
      <c r="BP47" s="80" t="str">
        <f>IF(AND($F47&lt;&gt;"", $F47&gt;=BP$5-4, $F47&lt;=BP$5, COUNTIF($M47:BO47,"u")=0), "u", "")</f>
        <v/>
      </c>
      <c r="BQ47" s="80" t="str">
        <f>IF(AND($F47&lt;&gt;"", $F47&gt;=BQ$5-4, $F47&lt;=BQ$5, COUNTIF($M47:BP47,"u")=0), "u", "")</f>
        <v/>
      </c>
      <c r="BR47" s="80" t="str">
        <f>IF(AND($F47&lt;&gt;"", $F47&gt;=BR$5-4, $F47&lt;=BR$5, COUNTIF($M47:BQ47,"u")=0), "u", "")</f>
        <v/>
      </c>
      <c r="BS47" s="80" t="str">
        <f>IF(AND($F47&lt;&gt;"", $F47&gt;=BS$5-4, $F47&lt;=BS$5, COUNTIF($M47:BR47,"u")=0), "u", "")</f>
        <v/>
      </c>
      <c r="BT47" s="80" t="str">
        <f>IF(AND($F47&lt;&gt;"", $F47&gt;=BT$5-4, $F47&lt;=BT$5, COUNTIF($M47:BS47,"u")=0), "u", "")</f>
        <v/>
      </c>
      <c r="BU47" s="80" t="str">
        <f>IF(AND($F47&lt;&gt;"", $F47&gt;=BU$5-4, $F47&lt;=BU$5, COUNTIF($M47:BT47,"u")=0), "u", "")</f>
        <v/>
      </c>
      <c r="BV47" s="80" t="str">
        <f>IF(AND($F47&lt;&gt;"", $F47&gt;=BV$5-4, $F47&lt;=BV$5, COUNTIF($M47:BU47,"u")=0), "u", "")</f>
        <v/>
      </c>
      <c r="BW47" s="80" t="str">
        <f>IF(AND($F47&lt;&gt;"", $F47&gt;=BW$5-4, $F47&lt;=BW$5, COUNTIF($M47:BV47,"u")=0), "u", "")</f>
        <v/>
      </c>
      <c r="BX47" s="80" t="str">
        <f>IF(AND($F47&lt;&gt;"", $F47&gt;=BX$5-4, $F47&lt;=BX$5, COUNTIF($M47:BW47,"u")=0), "u", "")</f>
        <v/>
      </c>
      <c r="BY47" s="80" t="str">
        <f>IF(AND($F47&lt;&gt;"", $F47&gt;=BY$5-4, $F47&lt;=BY$5, COUNTIF($M47:BX47,"u")=0), "u", "")</f>
        <v/>
      </c>
      <c r="BZ47" s="80" t="str">
        <f>IF(AND($F47&lt;&gt;"", $F47&gt;=BZ$5-4, $F47&lt;=BZ$5, COUNTIF($M47:BY47,"u")=0), "u", "")</f>
        <v/>
      </c>
      <c r="CA47" s="80" t="str">
        <f>IF(AND($F47&lt;&gt;"", $F47&gt;=CA$5-4, $F47&lt;=CA$5, COUNTIF($M47:BZ47,"u")=0), "u", "")</f>
        <v/>
      </c>
      <c r="CB47" s="80" t="str">
        <f>IF(AND($F47&lt;&gt;"", $F47&gt;=CB$5-4, $F47&lt;=CB$5, COUNTIF($M47:CA47,"u")=0), "u", "")</f>
        <v/>
      </c>
      <c r="CC47" s="80" t="str">
        <f>IF(AND($F47&lt;&gt;"", $F47&gt;=CC$5-4, $F47&lt;=CC$5, COUNTIF($M47:CB47,"u")=0), "u", "")</f>
        <v/>
      </c>
      <c r="CD47" s="80" t="str">
        <f>IF(AND($F47&lt;&gt;"", $F47&gt;=CD$5-4, $F47&lt;=CD$5, COUNTIF($M47:CC47,"u")=0), "u", "")</f>
        <v/>
      </c>
      <c r="CE47" s="80" t="str">
        <f>IF(AND($F47&lt;&gt;"", $F47&gt;=CE$5-4, $F47&lt;=CE$5, COUNTIF($M47:CD47,"u")=0), "u", "")</f>
        <v/>
      </c>
      <c r="CF47" s="80" t="str">
        <f>IF(AND($F47&lt;&gt;"", $F47&gt;=CF$5-4, $F47&lt;=CF$5, COUNTIF($M47:CE47,"u")=0), "u", "")</f>
        <v/>
      </c>
      <c r="CG47" s="80" t="str">
        <f>IF(AND($F47&lt;&gt;"", $F47&gt;=CG$5-4, $F47&lt;=CG$5, COUNTIF($M47:CF47,"u")=0), "u", "")</f>
        <v/>
      </c>
      <c r="CH47" s="80" t="str">
        <f>IF(AND($F47&lt;&gt;"", $F47&gt;=CH$5-4, $F47&lt;=CH$5, COUNTIF($M47:CG47,"u")=0), "u", "")</f>
        <v/>
      </c>
      <c r="CI47" s="80" t="str">
        <f>IF(AND($F47&lt;&gt;"", $F47&gt;=CI$5-4, $F47&lt;=CI$5, COUNTIF($M47:CH47,"u")=0), "u", "")</f>
        <v/>
      </c>
      <c r="CJ47" s="80" t="str">
        <f>IF(AND($F47&lt;&gt;"", $F47&gt;=CJ$5-4, $F47&lt;=CJ$5, COUNTIF($M47:CI47,"u")=0), "u", "")</f>
        <v/>
      </c>
      <c r="CK47" s="80" t="str">
        <f>IF(AND($F47&lt;&gt;"", $F47&gt;=CK$5-4, $F47&lt;=CK$5, COUNTIF($M47:CJ47,"u")=0), "u", "")</f>
        <v/>
      </c>
      <c r="CL47" s="80" t="str">
        <f>IF(AND($F47&lt;&gt;"", $F47&gt;=CL$5-4, $F47&lt;=CL$5, COUNTIF($M47:CK47,"u")=0), "u", "")</f>
        <v/>
      </c>
      <c r="CM47" s="80" t="str">
        <f>IF(AND($F47&lt;&gt;"", $F47&gt;=CM$5-4, $F47&lt;=CM$5, COUNTIF($M47:CL47,"u")=0), "u", "")</f>
        <v/>
      </c>
      <c r="CN47" s="80" t="str">
        <f>IF(AND($F47&lt;&gt;"", $F47&gt;=CN$5-4, $F47&lt;=CN$5, COUNTIF($M47:CM47,"u")=0), "u", "")</f>
        <v/>
      </c>
      <c r="CO47" s="80" t="str">
        <f>IF(AND($F47&lt;&gt;"", $F47&gt;=CO$5-4, $F47&lt;=CO$5, COUNTIF($M47:CN47,"u")=0), "u", "")</f>
        <v/>
      </c>
      <c r="CP47" s="80" t="str">
        <f>IF(AND($F47&lt;&gt;"", $F47&gt;=CP$5-4, $F47&lt;=CP$5, COUNTIF($M47:CO47,"u")=0), "u", "")</f>
        <v/>
      </c>
      <c r="CQ47" s="80" t="str">
        <f>IF(AND($F47&lt;&gt;"", $F47&gt;=CQ$5-4, $F47&lt;=CQ$5, COUNTIF($M47:CP47,"u")=0), "u", "")</f>
        <v/>
      </c>
      <c r="CR47" s="80" t="str">
        <f>IF(AND($F47&lt;&gt;"", $F47&gt;=CR$5-4, $F47&lt;=CR$5, COUNTIF($M47:CQ47,"u")=0), "u", "")</f>
        <v/>
      </c>
      <c r="CS47" s="80" t="str">
        <f>IF(AND($F47&lt;&gt;"", $F47&gt;=CS$5-4, $F47&lt;=CS$5, COUNTIF($M47:CR47,"u")=0), "u", "")</f>
        <v/>
      </c>
      <c r="CT47" s="80" t="str">
        <f>IF(AND($F47&lt;&gt;"", $F47&gt;=CT$5-4, $F47&lt;=CT$5, COUNTIF($M47:CS47,"u")=0), "u", "")</f>
        <v/>
      </c>
      <c r="CU47" s="80" t="str">
        <f>IF(AND($F47&lt;&gt;"", $F47&gt;=CU$5-4, $F47&lt;=CU$5, COUNTIF($M47:CT47,"u")=0), "u", "")</f>
        <v/>
      </c>
      <c r="CV47" s="80" t="str">
        <f>IF(AND($F47&lt;&gt;"", $F47&gt;=CV$5-4, $F47&lt;=CV$5, COUNTIF($M47:CU47,"u")=0), "u", "")</f>
        <v/>
      </c>
      <c r="CW47" s="80" t="str">
        <f>IF(AND($F47&lt;&gt;"", $F47&gt;=CW$5-4, $F47&lt;=CW$5, COUNTIF($M47:CV47,"u")=0), "u", "")</f>
        <v/>
      </c>
      <c r="CX47" s="80" t="str">
        <f>IF(AND($F47&lt;&gt;"", $F47&gt;=CX$5-4, $F47&lt;=CX$5, COUNTIF($M47:CW47,"u")=0), "u", "")</f>
        <v/>
      </c>
      <c r="CY47" s="80" t="str">
        <f>IF(AND($F47&lt;&gt;"", $F47&gt;=CY$5-4, $F47&lt;=CY$5, COUNTIF($M47:CX47,"u")=0), "u", "")</f>
        <v/>
      </c>
      <c r="CZ47" s="80" t="str">
        <f>IF(AND($F47&lt;&gt;"", $F47&gt;=CZ$5-4, $F47&lt;=CZ$5, COUNTIF($M47:CY47,"u")=0), "u", "")</f>
        <v/>
      </c>
      <c r="DA47" s="80" t="str">
        <f>IF(AND($F47&lt;&gt;"", $F47&gt;=DA$5-4, $F47&lt;=DA$5, COUNTIF($M47:CZ47,"u")=0), "u", "")</f>
        <v/>
      </c>
      <c r="DB47" s="80" t="str">
        <f>IF(AND($F47&lt;&gt;"", $F47&gt;=DB$5-4, $F47&lt;=DB$5, COUNTIF($M47:DA47,"u")=0), "u", "")</f>
        <v/>
      </c>
      <c r="DC47" s="80" t="str">
        <f>IF(AND($F47&lt;&gt;"", $F47&gt;=DC$5-4, $F47&lt;=DC$5, COUNTIF($M47:DB47,"u")=0), "u", "")</f>
        <v/>
      </c>
      <c r="DD47" s="80" t="str">
        <f>IF(AND($F47&lt;&gt;"", $F47&gt;=DD$5-4, $F47&lt;=DD$5, COUNTIF($M47:DC47,"u")=0), "u", "")</f>
        <v/>
      </c>
      <c r="DE47" s="80" t="str">
        <f>IF(AND($F47&lt;&gt;"", $F47&gt;=DE$5-4, $F47&lt;=DE$5, COUNTIF($M47:DD47,"u")=0), "u", "")</f>
        <v/>
      </c>
      <c r="DF47" s="80" t="str">
        <f>IF(AND($F47&lt;&gt;"", $F47&gt;=DF$5-4, $F47&lt;=DF$5, COUNTIF($M47:DE47,"u")=0), "u", "")</f>
        <v/>
      </c>
      <c r="DG47" s="80" t="str">
        <f>IF(AND($F47&lt;&gt;"", $F47&gt;=DG$5-4, $F47&lt;=DG$5, COUNTIF($M47:DF47,"u")=0), "u", "")</f>
        <v/>
      </c>
      <c r="DH47" s="80" t="str">
        <f>IF(AND($F47&lt;&gt;"", $F47&gt;=DH$5-4, $F47&lt;=DH$5, COUNTIF($M47:DG47,"u")=0), "u", "")</f>
        <v/>
      </c>
      <c r="DI47" s="80" t="str">
        <f>IF(AND($F47&lt;&gt;"", $F47&gt;=DI$5-4, $F47&lt;=DI$5, COUNTIF($M47:DH47,"u")=0), "u", "")</f>
        <v/>
      </c>
      <c r="DJ47" s="80" t="str">
        <f>IF(AND($F47&lt;&gt;"", $F47&gt;=DJ$5-4, $F47&lt;=DJ$5, COUNTIF($M47:DI47,"u")=0), "u", "")</f>
        <v/>
      </c>
      <c r="DK47" s="80" t="str">
        <f>IF(AND($F47&lt;&gt;"", $F47&gt;=DK$5-4, $F47&lt;=DK$5, COUNTIF($M47:DJ47,"u")=0), "u", "")</f>
        <v/>
      </c>
      <c r="DL47" s="80" t="str">
        <f>IF(AND($F47&lt;&gt;"", $F47&gt;=DL$5-4, $F47&lt;=DL$5, COUNTIF($M47:DK47,"u")=0), "u", "")</f>
        <v/>
      </c>
    </row>
    <row r="48" spans="1:116" ht="25.05" customHeight="1" x14ac:dyDescent="0.3">
      <c r="A48" s="39"/>
      <c r="B48" s="75">
        <v>43</v>
      </c>
      <c r="C48" s="97"/>
      <c r="D48" s="92"/>
      <c r="E48" s="53"/>
      <c r="F48" s="53"/>
      <c r="G48" s="83" t="str">
        <f t="shared" si="47"/>
        <v/>
      </c>
      <c r="H48" s="83" t="str">
        <f t="shared" si="47"/>
        <v/>
      </c>
      <c r="I48" s="77" t="str">
        <f t="shared" si="45"/>
        <v/>
      </c>
      <c r="J48" s="78"/>
      <c r="K48" s="86"/>
      <c r="L48" s="56"/>
      <c r="M48" s="80" t="str">
        <f t="shared" si="46"/>
        <v/>
      </c>
      <c r="N48" s="80" t="str">
        <f>IF(AND($F48&lt;&gt;"", $F48&gt;=N$5-4, $F48&lt;=N$5, COUNTIF($M48:M48,"u")=0), "u", "")</f>
        <v/>
      </c>
      <c r="O48" s="80" t="str">
        <f>IF(AND($F48&lt;&gt;"", $F48&gt;=O$5-4, $F48&lt;=O$5, COUNTIF($M48:N48,"u")=0), "u", "")</f>
        <v/>
      </c>
      <c r="P48" s="80" t="str">
        <f>IF(AND($F48&lt;&gt;"", $F48&gt;=P$5-4, $F48&lt;=P$5, COUNTIF($M48:O48,"u")=0), "u", "")</f>
        <v/>
      </c>
      <c r="Q48" s="80" t="str">
        <f>IF(AND($F48&lt;&gt;"", $F48&gt;=Q$5-4, $F48&lt;=Q$5, COUNTIF($M48:P48,"u")=0), "u", "")</f>
        <v/>
      </c>
      <c r="R48" s="80" t="str">
        <f>IF(AND($F48&lt;&gt;"", $F48&gt;=R$5-4, $F48&lt;=R$5, COUNTIF($M48:Q48,"u")=0), "u", "")</f>
        <v/>
      </c>
      <c r="S48" s="80" t="str">
        <f>IF(AND($F48&lt;&gt;"", $F48&gt;=S$5-4, $F48&lt;=S$5, COUNTIF($M48:R48,"u")=0), "u", "")</f>
        <v/>
      </c>
      <c r="T48" s="80" t="str">
        <f>IF(AND($F48&lt;&gt;"", $F48&gt;=T$5-4, $F48&lt;=T$5, COUNTIF($M48:S48,"u")=0), "u", "")</f>
        <v/>
      </c>
      <c r="U48" s="80" t="str">
        <f>IF(AND($F48&lt;&gt;"", $F48&gt;=U$5-4, $F48&lt;=U$5, COUNTIF($M48:T48,"u")=0), "u", "")</f>
        <v/>
      </c>
      <c r="V48" s="80" t="str">
        <f>IF(AND($F48&lt;&gt;"", $F48&gt;=V$5-4, $F48&lt;=V$5, COUNTIF($M48:U48,"u")=0), "u", "")</f>
        <v/>
      </c>
      <c r="W48" s="80" t="str">
        <f>IF(AND($F48&lt;&gt;"", $F48&gt;=W$5-4, $F48&lt;=W$5, COUNTIF($M48:V48,"u")=0), "u", "")</f>
        <v/>
      </c>
      <c r="X48" s="80" t="str">
        <f>IF(AND($F48&lt;&gt;"", $F48&gt;=X$5-4, $F48&lt;=X$5, COUNTIF($M48:W48,"u")=0), "u", "")</f>
        <v/>
      </c>
      <c r="Y48" s="80" t="str">
        <f>IF(AND($F48&lt;&gt;"", $F48&gt;=Y$5-4, $F48&lt;=Y$5, COUNTIF($M48:X48,"u")=0), "u", "")</f>
        <v/>
      </c>
      <c r="Z48" s="80" t="str">
        <f>IF(AND($F48&lt;&gt;"", $F48&gt;=Z$5-4, $F48&lt;=Z$5, COUNTIF($M48:Y48,"u")=0), "u", "")</f>
        <v/>
      </c>
      <c r="AA48" s="80" t="str">
        <f>IF(AND($F48&lt;&gt;"", $F48&gt;=AA$5-4, $F48&lt;=AA$5, COUNTIF($M48:Z48,"u")=0), "u", "")</f>
        <v/>
      </c>
      <c r="AB48" s="80" t="str">
        <f>IF(AND($F48&lt;&gt;"", $F48&gt;=AB$5-4, $F48&lt;=AB$5, COUNTIF($M48:AA48,"u")=0), "u", "")</f>
        <v/>
      </c>
      <c r="AC48" s="80" t="str">
        <f>IF(AND($F48&lt;&gt;"", $F48&gt;=AC$5-4, $F48&lt;=AC$5, COUNTIF($M48:AB48,"u")=0), "u", "")</f>
        <v/>
      </c>
      <c r="AD48" s="80" t="str">
        <f>IF(AND($F48&lt;&gt;"", $F48&gt;=AD$5-4, $F48&lt;=AD$5, COUNTIF($M48:AC48,"u")=0), "u", "")</f>
        <v/>
      </c>
      <c r="AE48" s="80" t="str">
        <f>IF(AND($F48&lt;&gt;"", $F48&gt;=AE$5-4, $F48&lt;=AE$5, COUNTIF($M48:AD48,"u")=0), "u", "")</f>
        <v/>
      </c>
      <c r="AF48" s="80" t="str">
        <f>IF(AND($F48&lt;&gt;"", $F48&gt;=AF$5-4, $F48&lt;=AF$5, COUNTIF($M48:AE48,"u")=0), "u", "")</f>
        <v/>
      </c>
      <c r="AG48" s="80" t="str">
        <f>IF(AND($F48&lt;&gt;"", $F48&gt;=AG$5-4, $F48&lt;=AG$5, COUNTIF($M48:AF48,"u")=0), "u", "")</f>
        <v/>
      </c>
      <c r="AH48" s="80" t="str">
        <f>IF(AND($F48&lt;&gt;"", $F48&gt;=AH$5-4, $F48&lt;=AH$5, COUNTIF($M48:AG48,"u")=0), "u", "")</f>
        <v/>
      </c>
      <c r="AI48" s="80" t="str">
        <f>IF(AND($F48&lt;&gt;"", $F48&gt;=AI$5-4, $F48&lt;=AI$5, COUNTIF($M48:AH48,"u")=0), "u", "")</f>
        <v/>
      </c>
      <c r="AJ48" s="80" t="str">
        <f>IF(AND($F48&lt;&gt;"", $F48&gt;=AJ$5-4, $F48&lt;=AJ$5, COUNTIF($M48:AI48,"u")=0), "u", "")</f>
        <v/>
      </c>
      <c r="AK48" s="80" t="str">
        <f>IF(AND($F48&lt;&gt;"", $F48&gt;=AK$5-4, $F48&lt;=AK$5, COUNTIF($M48:AJ48,"u")=0), "u", "")</f>
        <v/>
      </c>
      <c r="AL48" s="80" t="str">
        <f>IF(AND($F48&lt;&gt;"", $F48&gt;=AL$5-4, $F48&lt;=AL$5, COUNTIF($M48:AK48,"u")=0), "u", "")</f>
        <v/>
      </c>
      <c r="AM48" s="80" t="str">
        <f>IF(AND($F48&lt;&gt;"", $F48&gt;=AM$5-4, $F48&lt;=AM$5, COUNTIF($M48:AL48,"u")=0), "u", "")</f>
        <v/>
      </c>
      <c r="AN48" s="80" t="str">
        <f>IF(AND($F48&lt;&gt;"", $F48&gt;=AN$5-4, $F48&lt;=AN$5, COUNTIF($M48:AM48,"u")=0), "u", "")</f>
        <v/>
      </c>
      <c r="AO48" s="80" t="str">
        <f>IF(AND($F48&lt;&gt;"", $F48&gt;=AO$5-4, $F48&lt;=AO$5, COUNTIF($M48:AN48,"u")=0), "u", "")</f>
        <v/>
      </c>
      <c r="AP48" s="80" t="str">
        <f>IF(AND($F48&lt;&gt;"", $F48&gt;=AP$5-4, $F48&lt;=AP$5, COUNTIF($M48:AO48,"u")=0), "u", "")</f>
        <v/>
      </c>
      <c r="AQ48" s="80" t="str">
        <f>IF(AND($F48&lt;&gt;"", $F48&gt;=AQ$5-4, $F48&lt;=AQ$5, COUNTIF($M48:AP48,"u")=0), "u", "")</f>
        <v/>
      </c>
      <c r="AR48" s="80" t="str">
        <f>IF(AND($F48&lt;&gt;"", $F48&gt;=AR$5-4, $F48&lt;=AR$5, COUNTIF($M48:AQ48,"u")=0), "u", "")</f>
        <v/>
      </c>
      <c r="AS48" s="80" t="str">
        <f>IF(AND($F48&lt;&gt;"", $F48&gt;=AS$5-4, $F48&lt;=AS$5, COUNTIF($M48:AR48,"u")=0), "u", "")</f>
        <v/>
      </c>
      <c r="AT48" s="80" t="str">
        <f>IF(AND($F48&lt;&gt;"", $F48&gt;=AT$5-4, $F48&lt;=AT$5, COUNTIF($M48:AS48,"u")=0), "u", "")</f>
        <v/>
      </c>
      <c r="AU48" s="80" t="str">
        <f>IF(AND($F48&lt;&gt;"", $F48&gt;=AU$5-4, $F48&lt;=AU$5, COUNTIF($M48:AT48,"u")=0), "u", "")</f>
        <v/>
      </c>
      <c r="AV48" s="80" t="str">
        <f>IF(AND($F48&lt;&gt;"", $F48&gt;=AV$5-4, $F48&lt;=AV$5, COUNTIF($M48:AU48,"u")=0), "u", "")</f>
        <v/>
      </c>
      <c r="AW48" s="80" t="str">
        <f>IF(AND($F48&lt;&gt;"", $F48&gt;=AW$5-4, $F48&lt;=AW$5, COUNTIF($M48:AV48,"u")=0), "u", "")</f>
        <v/>
      </c>
      <c r="AX48" s="80" t="str">
        <f>IF(AND($F48&lt;&gt;"", $F48&gt;=AX$5-4, $F48&lt;=AX$5, COUNTIF($M48:AW48,"u")=0), "u", "")</f>
        <v/>
      </c>
      <c r="AY48" s="80" t="str">
        <f>IF(AND($F48&lt;&gt;"", $F48&gt;=AY$5-4, $F48&lt;=AY$5, COUNTIF($M48:AX48,"u")=0), "u", "")</f>
        <v/>
      </c>
      <c r="AZ48" s="80" t="str">
        <f>IF(AND($F48&lt;&gt;"", $F48&gt;=AZ$5-4, $F48&lt;=AZ$5, COUNTIF($M48:AY48,"u")=0), "u", "")</f>
        <v/>
      </c>
      <c r="BA48" s="80" t="str">
        <f>IF(AND($F48&lt;&gt;"", $F48&gt;=BA$5-4, $F48&lt;=BA$5, COUNTIF($M48:AZ48,"u")=0), "u", "")</f>
        <v/>
      </c>
      <c r="BB48" s="80" t="str">
        <f>IF(AND($F48&lt;&gt;"", $F48&gt;=BB$5-4, $F48&lt;=BB$5, COUNTIF($M48:BA48,"u")=0), "u", "")</f>
        <v/>
      </c>
      <c r="BC48" s="80" t="str">
        <f>IF(AND($F48&lt;&gt;"", $F48&gt;=BC$5-4, $F48&lt;=BC$5, COUNTIF($M48:BB48,"u")=0), "u", "")</f>
        <v/>
      </c>
      <c r="BD48" s="80" t="str">
        <f>IF(AND($F48&lt;&gt;"", $F48&gt;=BD$5-4, $F48&lt;=BD$5, COUNTIF($M48:BC48,"u")=0), "u", "")</f>
        <v/>
      </c>
      <c r="BE48" s="80" t="str">
        <f>IF(AND($F48&lt;&gt;"", $F48&gt;=BE$5-4, $F48&lt;=BE$5, COUNTIF($M48:BD48,"u")=0), "u", "")</f>
        <v/>
      </c>
      <c r="BF48" s="80" t="str">
        <f>IF(AND($F48&lt;&gt;"", $F48&gt;=BF$5-4, $F48&lt;=BF$5, COUNTIF($M48:BE48,"u")=0), "u", "")</f>
        <v/>
      </c>
      <c r="BG48" s="80" t="str">
        <f>IF(AND($F48&lt;&gt;"", $F48&gt;=BG$5-4, $F48&lt;=BG$5, COUNTIF($M48:BF48,"u")=0), "u", "")</f>
        <v/>
      </c>
      <c r="BH48" s="80" t="str">
        <f>IF(AND($F48&lt;&gt;"", $F48&gt;=BH$5-4, $F48&lt;=BH$5, COUNTIF($M48:BG48,"u")=0), "u", "")</f>
        <v/>
      </c>
      <c r="BI48" s="80" t="str">
        <f>IF(AND($F48&lt;&gt;"", $F48&gt;=BI$5-4, $F48&lt;=BI$5, COUNTIF($M48:BH48,"u")=0), "u", "")</f>
        <v/>
      </c>
      <c r="BJ48" s="80" t="str">
        <f>IF(AND($F48&lt;&gt;"", $F48&gt;=BJ$5-4, $F48&lt;=BJ$5, COUNTIF($M48:BI48,"u")=0), "u", "")</f>
        <v/>
      </c>
      <c r="BK48" s="80" t="str">
        <f>IF(AND($F48&lt;&gt;"", $F48&gt;=BK$5-4, $F48&lt;=BK$5, COUNTIF($M48:BJ48,"u")=0), "u", "")</f>
        <v/>
      </c>
      <c r="BL48" s="80" t="str">
        <f>IF(AND($F48&lt;&gt;"", $F48&gt;=BL$5-4, $F48&lt;=BL$5, COUNTIF($M48:BK48,"u")=0), "u", "")</f>
        <v/>
      </c>
      <c r="BM48" s="80" t="str">
        <f>IF(AND($F48&lt;&gt;"", $F48&gt;=BM$5-4, $F48&lt;=BM$5, COUNTIF($M48:BL48,"u")=0), "u", "")</f>
        <v/>
      </c>
      <c r="BN48" s="80" t="str">
        <f>IF(AND($F48&lt;&gt;"", $F48&gt;=BN$5-4, $F48&lt;=BN$5, COUNTIF($M48:BM48,"u")=0), "u", "")</f>
        <v/>
      </c>
      <c r="BO48" s="80" t="str">
        <f>IF(AND($F48&lt;&gt;"", $F48&gt;=BO$5-4, $F48&lt;=BO$5, COUNTIF($M48:BN48,"u")=0), "u", "")</f>
        <v/>
      </c>
      <c r="BP48" s="80" t="str">
        <f>IF(AND($F48&lt;&gt;"", $F48&gt;=BP$5-4, $F48&lt;=BP$5, COUNTIF($M48:BO48,"u")=0), "u", "")</f>
        <v/>
      </c>
      <c r="BQ48" s="80" t="str">
        <f>IF(AND($F48&lt;&gt;"", $F48&gt;=BQ$5-4, $F48&lt;=BQ$5, COUNTIF($M48:BP48,"u")=0), "u", "")</f>
        <v/>
      </c>
      <c r="BR48" s="80" t="str">
        <f>IF(AND($F48&lt;&gt;"", $F48&gt;=BR$5-4, $F48&lt;=BR$5, COUNTIF($M48:BQ48,"u")=0), "u", "")</f>
        <v/>
      </c>
      <c r="BS48" s="80" t="str">
        <f>IF(AND($F48&lt;&gt;"", $F48&gt;=BS$5-4, $F48&lt;=BS$5, COUNTIF($M48:BR48,"u")=0), "u", "")</f>
        <v/>
      </c>
      <c r="BT48" s="80" t="str">
        <f>IF(AND($F48&lt;&gt;"", $F48&gt;=BT$5-4, $F48&lt;=BT$5, COUNTIF($M48:BS48,"u")=0), "u", "")</f>
        <v/>
      </c>
      <c r="BU48" s="80" t="str">
        <f>IF(AND($F48&lt;&gt;"", $F48&gt;=BU$5-4, $F48&lt;=BU$5, COUNTIF($M48:BT48,"u")=0), "u", "")</f>
        <v/>
      </c>
      <c r="BV48" s="80" t="str">
        <f>IF(AND($F48&lt;&gt;"", $F48&gt;=BV$5-4, $F48&lt;=BV$5, COUNTIF($M48:BU48,"u")=0), "u", "")</f>
        <v/>
      </c>
      <c r="BW48" s="80" t="str">
        <f>IF(AND($F48&lt;&gt;"", $F48&gt;=BW$5-4, $F48&lt;=BW$5, COUNTIF($M48:BV48,"u")=0), "u", "")</f>
        <v/>
      </c>
      <c r="BX48" s="80" t="str">
        <f>IF(AND($F48&lt;&gt;"", $F48&gt;=BX$5-4, $F48&lt;=BX$5, COUNTIF($M48:BW48,"u")=0), "u", "")</f>
        <v/>
      </c>
      <c r="BY48" s="80" t="str">
        <f>IF(AND($F48&lt;&gt;"", $F48&gt;=BY$5-4, $F48&lt;=BY$5, COUNTIF($M48:BX48,"u")=0), "u", "")</f>
        <v/>
      </c>
      <c r="BZ48" s="80" t="str">
        <f>IF(AND($F48&lt;&gt;"", $F48&gt;=BZ$5-4, $F48&lt;=BZ$5, COUNTIF($M48:BY48,"u")=0), "u", "")</f>
        <v/>
      </c>
      <c r="CA48" s="80" t="str">
        <f>IF(AND($F48&lt;&gt;"", $F48&gt;=CA$5-4, $F48&lt;=CA$5, COUNTIF($M48:BZ48,"u")=0), "u", "")</f>
        <v/>
      </c>
      <c r="CB48" s="80" t="str">
        <f>IF(AND($F48&lt;&gt;"", $F48&gt;=CB$5-4, $F48&lt;=CB$5, COUNTIF($M48:CA48,"u")=0), "u", "")</f>
        <v/>
      </c>
      <c r="CC48" s="80" t="str">
        <f>IF(AND($F48&lt;&gt;"", $F48&gt;=CC$5-4, $F48&lt;=CC$5, COUNTIF($M48:CB48,"u")=0), "u", "")</f>
        <v/>
      </c>
      <c r="CD48" s="80" t="str">
        <f>IF(AND($F48&lt;&gt;"", $F48&gt;=CD$5-4, $F48&lt;=CD$5, COUNTIF($M48:CC48,"u")=0), "u", "")</f>
        <v/>
      </c>
      <c r="CE48" s="80" t="str">
        <f>IF(AND($F48&lt;&gt;"", $F48&gt;=CE$5-4, $F48&lt;=CE$5, COUNTIF($M48:CD48,"u")=0), "u", "")</f>
        <v/>
      </c>
      <c r="CF48" s="80" t="str">
        <f>IF(AND($F48&lt;&gt;"", $F48&gt;=CF$5-4, $F48&lt;=CF$5, COUNTIF($M48:CE48,"u")=0), "u", "")</f>
        <v/>
      </c>
      <c r="CG48" s="80" t="str">
        <f>IF(AND($F48&lt;&gt;"", $F48&gt;=CG$5-4, $F48&lt;=CG$5, COUNTIF($M48:CF48,"u")=0), "u", "")</f>
        <v/>
      </c>
      <c r="CH48" s="80" t="str">
        <f>IF(AND($F48&lt;&gt;"", $F48&gt;=CH$5-4, $F48&lt;=CH$5, COUNTIF($M48:CG48,"u")=0), "u", "")</f>
        <v/>
      </c>
      <c r="CI48" s="80" t="str">
        <f>IF(AND($F48&lt;&gt;"", $F48&gt;=CI$5-4, $F48&lt;=CI$5, COUNTIF($M48:CH48,"u")=0), "u", "")</f>
        <v/>
      </c>
      <c r="CJ48" s="80" t="str">
        <f>IF(AND($F48&lt;&gt;"", $F48&gt;=CJ$5-4, $F48&lt;=CJ$5, COUNTIF($M48:CI48,"u")=0), "u", "")</f>
        <v/>
      </c>
      <c r="CK48" s="80" t="str">
        <f>IF(AND($F48&lt;&gt;"", $F48&gt;=CK$5-4, $F48&lt;=CK$5, COUNTIF($M48:CJ48,"u")=0), "u", "")</f>
        <v/>
      </c>
      <c r="CL48" s="80" t="str">
        <f>IF(AND($F48&lt;&gt;"", $F48&gt;=CL$5-4, $F48&lt;=CL$5, COUNTIF($M48:CK48,"u")=0), "u", "")</f>
        <v/>
      </c>
      <c r="CM48" s="80" t="str">
        <f>IF(AND($F48&lt;&gt;"", $F48&gt;=CM$5-4, $F48&lt;=CM$5, COUNTIF($M48:CL48,"u")=0), "u", "")</f>
        <v/>
      </c>
      <c r="CN48" s="80" t="str">
        <f>IF(AND($F48&lt;&gt;"", $F48&gt;=CN$5-4, $F48&lt;=CN$5, COUNTIF($M48:CM48,"u")=0), "u", "")</f>
        <v/>
      </c>
      <c r="CO48" s="80" t="str">
        <f>IF(AND($F48&lt;&gt;"", $F48&gt;=CO$5-4, $F48&lt;=CO$5, COUNTIF($M48:CN48,"u")=0), "u", "")</f>
        <v/>
      </c>
      <c r="CP48" s="80" t="str">
        <f>IF(AND($F48&lt;&gt;"", $F48&gt;=CP$5-4, $F48&lt;=CP$5, COUNTIF($M48:CO48,"u")=0), "u", "")</f>
        <v/>
      </c>
      <c r="CQ48" s="80" t="str">
        <f>IF(AND($F48&lt;&gt;"", $F48&gt;=CQ$5-4, $F48&lt;=CQ$5, COUNTIF($M48:CP48,"u")=0), "u", "")</f>
        <v/>
      </c>
      <c r="CR48" s="80" t="str">
        <f>IF(AND($F48&lt;&gt;"", $F48&gt;=CR$5-4, $F48&lt;=CR$5, COUNTIF($M48:CQ48,"u")=0), "u", "")</f>
        <v/>
      </c>
      <c r="CS48" s="80" t="str">
        <f>IF(AND($F48&lt;&gt;"", $F48&gt;=CS$5-4, $F48&lt;=CS$5, COUNTIF($M48:CR48,"u")=0), "u", "")</f>
        <v/>
      </c>
      <c r="CT48" s="80" t="str">
        <f>IF(AND($F48&lt;&gt;"", $F48&gt;=CT$5-4, $F48&lt;=CT$5, COUNTIF($M48:CS48,"u")=0), "u", "")</f>
        <v/>
      </c>
      <c r="CU48" s="80" t="str">
        <f>IF(AND($F48&lt;&gt;"", $F48&gt;=CU$5-4, $F48&lt;=CU$5, COUNTIF($M48:CT48,"u")=0), "u", "")</f>
        <v/>
      </c>
      <c r="CV48" s="80" t="str">
        <f>IF(AND($F48&lt;&gt;"", $F48&gt;=CV$5-4, $F48&lt;=CV$5, COUNTIF($M48:CU48,"u")=0), "u", "")</f>
        <v/>
      </c>
      <c r="CW48" s="80" t="str">
        <f>IF(AND($F48&lt;&gt;"", $F48&gt;=CW$5-4, $F48&lt;=CW$5, COUNTIF($M48:CV48,"u")=0), "u", "")</f>
        <v/>
      </c>
      <c r="CX48" s="80" t="str">
        <f>IF(AND($F48&lt;&gt;"", $F48&gt;=CX$5-4, $F48&lt;=CX$5, COUNTIF($M48:CW48,"u")=0), "u", "")</f>
        <v/>
      </c>
      <c r="CY48" s="80" t="str">
        <f>IF(AND($F48&lt;&gt;"", $F48&gt;=CY$5-4, $F48&lt;=CY$5, COUNTIF($M48:CX48,"u")=0), "u", "")</f>
        <v/>
      </c>
      <c r="CZ48" s="80" t="str">
        <f>IF(AND($F48&lt;&gt;"", $F48&gt;=CZ$5-4, $F48&lt;=CZ$5, COUNTIF($M48:CY48,"u")=0), "u", "")</f>
        <v/>
      </c>
      <c r="DA48" s="80" t="str">
        <f>IF(AND($F48&lt;&gt;"", $F48&gt;=DA$5-4, $F48&lt;=DA$5, COUNTIF($M48:CZ48,"u")=0), "u", "")</f>
        <v/>
      </c>
      <c r="DB48" s="80" t="str">
        <f>IF(AND($F48&lt;&gt;"", $F48&gt;=DB$5-4, $F48&lt;=DB$5, COUNTIF($M48:DA48,"u")=0), "u", "")</f>
        <v/>
      </c>
      <c r="DC48" s="80" t="str">
        <f>IF(AND($F48&lt;&gt;"", $F48&gt;=DC$5-4, $F48&lt;=DC$5, COUNTIF($M48:DB48,"u")=0), "u", "")</f>
        <v/>
      </c>
      <c r="DD48" s="80" t="str">
        <f>IF(AND($F48&lt;&gt;"", $F48&gt;=DD$5-4, $F48&lt;=DD$5, COUNTIF($M48:DC48,"u")=0), "u", "")</f>
        <v/>
      </c>
      <c r="DE48" s="80" t="str">
        <f>IF(AND($F48&lt;&gt;"", $F48&gt;=DE$5-4, $F48&lt;=DE$5, COUNTIF($M48:DD48,"u")=0), "u", "")</f>
        <v/>
      </c>
      <c r="DF48" s="80" t="str">
        <f>IF(AND($F48&lt;&gt;"", $F48&gt;=DF$5-4, $F48&lt;=DF$5, COUNTIF($M48:DE48,"u")=0), "u", "")</f>
        <v/>
      </c>
      <c r="DG48" s="80" t="str">
        <f>IF(AND($F48&lt;&gt;"", $F48&gt;=DG$5-4, $F48&lt;=DG$5, COUNTIF($M48:DF48,"u")=0), "u", "")</f>
        <v/>
      </c>
      <c r="DH48" s="80" t="str">
        <f>IF(AND($F48&lt;&gt;"", $F48&gt;=DH$5-4, $F48&lt;=DH$5, COUNTIF($M48:DG48,"u")=0), "u", "")</f>
        <v/>
      </c>
      <c r="DI48" s="80" t="str">
        <f>IF(AND($F48&lt;&gt;"", $F48&gt;=DI$5-4, $F48&lt;=DI$5, COUNTIF($M48:DH48,"u")=0), "u", "")</f>
        <v/>
      </c>
      <c r="DJ48" s="80" t="str">
        <f>IF(AND($F48&lt;&gt;"", $F48&gt;=DJ$5-4, $F48&lt;=DJ$5, COUNTIF($M48:DI48,"u")=0), "u", "")</f>
        <v/>
      </c>
      <c r="DK48" s="80" t="str">
        <f>IF(AND($F48&lt;&gt;"", $F48&gt;=DK$5-4, $F48&lt;=DK$5, COUNTIF($M48:DJ48,"u")=0), "u", "")</f>
        <v/>
      </c>
      <c r="DL48" s="80" t="str">
        <f>IF(AND($F48&lt;&gt;"", $F48&gt;=DL$5-4, $F48&lt;=DL$5, COUNTIF($M48:DK48,"u")=0), "u", "")</f>
        <v/>
      </c>
    </row>
    <row r="49" spans="1:116" ht="25.05" customHeight="1" x14ac:dyDescent="0.3">
      <c r="A49" s="39"/>
      <c r="B49" s="75">
        <v>44</v>
      </c>
      <c r="C49" s="97"/>
      <c r="D49" s="92"/>
      <c r="E49" s="53"/>
      <c r="F49" s="53"/>
      <c r="G49" s="83" t="str">
        <f t="shared" si="47"/>
        <v/>
      </c>
      <c r="H49" s="83" t="str">
        <f t="shared" si="47"/>
        <v/>
      </c>
      <c r="I49" s="77" t="str">
        <f t="shared" si="45"/>
        <v/>
      </c>
      <c r="J49" s="78"/>
      <c r="K49" s="86"/>
      <c r="L49" s="56"/>
      <c r="M49" s="80" t="str">
        <f t="shared" si="46"/>
        <v/>
      </c>
      <c r="N49" s="80" t="str">
        <f>IF(AND($F49&lt;&gt;"", $F49&gt;=N$5-4, $F49&lt;=N$5, COUNTIF($M49:M49,"u")=0), "u", "")</f>
        <v/>
      </c>
      <c r="O49" s="80" t="str">
        <f>IF(AND($F49&lt;&gt;"", $F49&gt;=O$5-4, $F49&lt;=O$5, COUNTIF($M49:N49,"u")=0), "u", "")</f>
        <v/>
      </c>
      <c r="P49" s="80" t="str">
        <f>IF(AND($F49&lt;&gt;"", $F49&gt;=P$5-4, $F49&lt;=P$5, COUNTIF($M49:O49,"u")=0), "u", "")</f>
        <v/>
      </c>
      <c r="Q49" s="80" t="str">
        <f>IF(AND($F49&lt;&gt;"", $F49&gt;=Q$5-4, $F49&lt;=Q$5, COUNTIF($M49:P49,"u")=0), "u", "")</f>
        <v/>
      </c>
      <c r="R49" s="80" t="str">
        <f>IF(AND($F49&lt;&gt;"", $F49&gt;=R$5-4, $F49&lt;=R$5, COUNTIF($M49:Q49,"u")=0), "u", "")</f>
        <v/>
      </c>
      <c r="S49" s="80" t="str">
        <f>IF(AND($F49&lt;&gt;"", $F49&gt;=S$5-4, $F49&lt;=S$5, COUNTIF($M49:R49,"u")=0), "u", "")</f>
        <v/>
      </c>
      <c r="T49" s="80" t="str">
        <f>IF(AND($F49&lt;&gt;"", $F49&gt;=T$5-4, $F49&lt;=T$5, COUNTIF($M49:S49,"u")=0), "u", "")</f>
        <v/>
      </c>
      <c r="U49" s="80" t="str">
        <f>IF(AND($F49&lt;&gt;"", $F49&gt;=U$5-4, $F49&lt;=U$5, COUNTIF($M49:T49,"u")=0), "u", "")</f>
        <v/>
      </c>
      <c r="V49" s="80" t="str">
        <f>IF(AND($F49&lt;&gt;"", $F49&gt;=V$5-4, $F49&lt;=V$5, COUNTIF($M49:U49,"u")=0), "u", "")</f>
        <v/>
      </c>
      <c r="W49" s="80" t="str">
        <f>IF(AND($F49&lt;&gt;"", $F49&gt;=W$5-4, $F49&lt;=W$5, COUNTIF($M49:V49,"u")=0), "u", "")</f>
        <v/>
      </c>
      <c r="X49" s="80" t="str">
        <f>IF(AND($F49&lt;&gt;"", $F49&gt;=X$5-4, $F49&lt;=X$5, COUNTIF($M49:W49,"u")=0), "u", "")</f>
        <v/>
      </c>
      <c r="Y49" s="80" t="str">
        <f>IF(AND($F49&lt;&gt;"", $F49&gt;=Y$5-4, $F49&lt;=Y$5, COUNTIF($M49:X49,"u")=0), "u", "")</f>
        <v/>
      </c>
      <c r="Z49" s="80" t="str">
        <f>IF(AND($F49&lt;&gt;"", $F49&gt;=Z$5-4, $F49&lt;=Z$5, COUNTIF($M49:Y49,"u")=0), "u", "")</f>
        <v/>
      </c>
      <c r="AA49" s="80" t="str">
        <f>IF(AND($F49&lt;&gt;"", $F49&gt;=AA$5-4, $F49&lt;=AA$5, COUNTIF($M49:Z49,"u")=0), "u", "")</f>
        <v/>
      </c>
      <c r="AB49" s="80" t="str">
        <f>IF(AND($F49&lt;&gt;"", $F49&gt;=AB$5-4, $F49&lt;=AB$5, COUNTIF($M49:AA49,"u")=0), "u", "")</f>
        <v/>
      </c>
      <c r="AC49" s="80" t="str">
        <f>IF(AND($F49&lt;&gt;"", $F49&gt;=AC$5-4, $F49&lt;=AC$5, COUNTIF($M49:AB49,"u")=0), "u", "")</f>
        <v/>
      </c>
      <c r="AD49" s="80" t="str">
        <f>IF(AND($F49&lt;&gt;"", $F49&gt;=AD$5-4, $F49&lt;=AD$5, COUNTIF($M49:AC49,"u")=0), "u", "")</f>
        <v/>
      </c>
      <c r="AE49" s="80" t="str">
        <f>IF(AND($F49&lt;&gt;"", $F49&gt;=AE$5-4, $F49&lt;=AE$5, COUNTIF($M49:AD49,"u")=0), "u", "")</f>
        <v/>
      </c>
      <c r="AF49" s="80" t="str">
        <f>IF(AND($F49&lt;&gt;"", $F49&gt;=AF$5-4, $F49&lt;=AF$5, COUNTIF($M49:AE49,"u")=0), "u", "")</f>
        <v/>
      </c>
      <c r="AG49" s="80" t="str">
        <f>IF(AND($F49&lt;&gt;"", $F49&gt;=AG$5-4, $F49&lt;=AG$5, COUNTIF($M49:AF49,"u")=0), "u", "")</f>
        <v/>
      </c>
      <c r="AH49" s="80" t="str">
        <f>IF(AND($F49&lt;&gt;"", $F49&gt;=AH$5-4, $F49&lt;=AH$5, COUNTIF($M49:AG49,"u")=0), "u", "")</f>
        <v/>
      </c>
      <c r="AI49" s="80" t="str">
        <f>IF(AND($F49&lt;&gt;"", $F49&gt;=AI$5-4, $F49&lt;=AI$5, COUNTIF($M49:AH49,"u")=0), "u", "")</f>
        <v/>
      </c>
      <c r="AJ49" s="80" t="str">
        <f>IF(AND($F49&lt;&gt;"", $F49&gt;=AJ$5-4, $F49&lt;=AJ$5, COUNTIF($M49:AI49,"u")=0), "u", "")</f>
        <v/>
      </c>
      <c r="AK49" s="80" t="str">
        <f>IF(AND($F49&lt;&gt;"", $F49&gt;=AK$5-4, $F49&lt;=AK$5, COUNTIF($M49:AJ49,"u")=0), "u", "")</f>
        <v/>
      </c>
      <c r="AL49" s="80" t="str">
        <f>IF(AND($F49&lt;&gt;"", $F49&gt;=AL$5-4, $F49&lt;=AL$5, COUNTIF($M49:AK49,"u")=0), "u", "")</f>
        <v/>
      </c>
      <c r="AM49" s="80" t="str">
        <f>IF(AND($F49&lt;&gt;"", $F49&gt;=AM$5-4, $F49&lt;=AM$5, COUNTIF($M49:AL49,"u")=0), "u", "")</f>
        <v/>
      </c>
      <c r="AN49" s="80" t="str">
        <f>IF(AND($F49&lt;&gt;"", $F49&gt;=AN$5-4, $F49&lt;=AN$5, COUNTIF($M49:AM49,"u")=0), "u", "")</f>
        <v/>
      </c>
      <c r="AO49" s="80" t="str">
        <f>IF(AND($F49&lt;&gt;"", $F49&gt;=AO$5-4, $F49&lt;=AO$5, COUNTIF($M49:AN49,"u")=0), "u", "")</f>
        <v/>
      </c>
      <c r="AP49" s="80" t="str">
        <f>IF(AND($F49&lt;&gt;"", $F49&gt;=AP$5-4, $F49&lt;=AP$5, COUNTIF($M49:AO49,"u")=0), "u", "")</f>
        <v/>
      </c>
      <c r="AQ49" s="80" t="str">
        <f>IF(AND($F49&lt;&gt;"", $F49&gt;=AQ$5-4, $F49&lt;=AQ$5, COUNTIF($M49:AP49,"u")=0), "u", "")</f>
        <v/>
      </c>
      <c r="AR49" s="80" t="str">
        <f>IF(AND($F49&lt;&gt;"", $F49&gt;=AR$5-4, $F49&lt;=AR$5, COUNTIF($M49:AQ49,"u")=0), "u", "")</f>
        <v/>
      </c>
      <c r="AS49" s="80" t="str">
        <f>IF(AND($F49&lt;&gt;"", $F49&gt;=AS$5-4, $F49&lt;=AS$5, COUNTIF($M49:AR49,"u")=0), "u", "")</f>
        <v/>
      </c>
      <c r="AT49" s="80" t="str">
        <f>IF(AND($F49&lt;&gt;"", $F49&gt;=AT$5-4, $F49&lt;=AT$5, COUNTIF($M49:AS49,"u")=0), "u", "")</f>
        <v/>
      </c>
      <c r="AU49" s="80" t="str">
        <f>IF(AND($F49&lt;&gt;"", $F49&gt;=AU$5-4, $F49&lt;=AU$5, COUNTIF($M49:AT49,"u")=0), "u", "")</f>
        <v/>
      </c>
      <c r="AV49" s="80" t="str">
        <f>IF(AND($F49&lt;&gt;"", $F49&gt;=AV$5-4, $F49&lt;=AV$5, COUNTIF($M49:AU49,"u")=0), "u", "")</f>
        <v/>
      </c>
      <c r="AW49" s="80" t="str">
        <f>IF(AND($F49&lt;&gt;"", $F49&gt;=AW$5-4, $F49&lt;=AW$5, COUNTIF($M49:AV49,"u")=0), "u", "")</f>
        <v/>
      </c>
      <c r="AX49" s="80" t="str">
        <f>IF(AND($F49&lt;&gt;"", $F49&gt;=AX$5-4, $F49&lt;=AX$5, COUNTIF($M49:AW49,"u")=0), "u", "")</f>
        <v/>
      </c>
      <c r="AY49" s="80" t="str">
        <f>IF(AND($F49&lt;&gt;"", $F49&gt;=AY$5-4, $F49&lt;=AY$5, COUNTIF($M49:AX49,"u")=0), "u", "")</f>
        <v/>
      </c>
      <c r="AZ49" s="80" t="str">
        <f>IF(AND($F49&lt;&gt;"", $F49&gt;=AZ$5-4, $F49&lt;=AZ$5, COUNTIF($M49:AY49,"u")=0), "u", "")</f>
        <v/>
      </c>
      <c r="BA49" s="80" t="str">
        <f>IF(AND($F49&lt;&gt;"", $F49&gt;=BA$5-4, $F49&lt;=BA$5, COUNTIF($M49:AZ49,"u")=0), "u", "")</f>
        <v/>
      </c>
      <c r="BB49" s="80" t="str">
        <f>IF(AND($F49&lt;&gt;"", $F49&gt;=BB$5-4, $F49&lt;=BB$5, COUNTIF($M49:BA49,"u")=0), "u", "")</f>
        <v/>
      </c>
      <c r="BC49" s="80" t="str">
        <f>IF(AND($F49&lt;&gt;"", $F49&gt;=BC$5-4, $F49&lt;=BC$5, COUNTIF($M49:BB49,"u")=0), "u", "")</f>
        <v/>
      </c>
      <c r="BD49" s="80" t="str">
        <f>IF(AND($F49&lt;&gt;"", $F49&gt;=BD$5-4, $F49&lt;=BD$5, COUNTIF($M49:BC49,"u")=0), "u", "")</f>
        <v/>
      </c>
      <c r="BE49" s="80" t="str">
        <f>IF(AND($F49&lt;&gt;"", $F49&gt;=BE$5-4, $F49&lt;=BE$5, COUNTIF($M49:BD49,"u")=0), "u", "")</f>
        <v/>
      </c>
      <c r="BF49" s="80" t="str">
        <f>IF(AND($F49&lt;&gt;"", $F49&gt;=BF$5-4, $F49&lt;=BF$5, COUNTIF($M49:BE49,"u")=0), "u", "")</f>
        <v/>
      </c>
      <c r="BG49" s="80" t="str">
        <f>IF(AND($F49&lt;&gt;"", $F49&gt;=BG$5-4, $F49&lt;=BG$5, COUNTIF($M49:BF49,"u")=0), "u", "")</f>
        <v/>
      </c>
      <c r="BH49" s="80" t="str">
        <f>IF(AND($F49&lt;&gt;"", $F49&gt;=BH$5-4, $F49&lt;=BH$5, COUNTIF($M49:BG49,"u")=0), "u", "")</f>
        <v/>
      </c>
      <c r="BI49" s="80" t="str">
        <f>IF(AND($F49&lt;&gt;"", $F49&gt;=BI$5-4, $F49&lt;=BI$5, COUNTIF($M49:BH49,"u")=0), "u", "")</f>
        <v/>
      </c>
      <c r="BJ49" s="80" t="str">
        <f>IF(AND($F49&lt;&gt;"", $F49&gt;=BJ$5-4, $F49&lt;=BJ$5, COUNTIF($M49:BI49,"u")=0), "u", "")</f>
        <v/>
      </c>
      <c r="BK49" s="80" t="str">
        <f>IF(AND($F49&lt;&gt;"", $F49&gt;=BK$5-4, $F49&lt;=BK$5, COUNTIF($M49:BJ49,"u")=0), "u", "")</f>
        <v/>
      </c>
      <c r="BL49" s="80" t="str">
        <f>IF(AND($F49&lt;&gt;"", $F49&gt;=BL$5-4, $F49&lt;=BL$5, COUNTIF($M49:BK49,"u")=0), "u", "")</f>
        <v/>
      </c>
      <c r="BM49" s="80" t="str">
        <f>IF(AND($F49&lt;&gt;"", $F49&gt;=BM$5-4, $F49&lt;=BM$5, COUNTIF($M49:BL49,"u")=0), "u", "")</f>
        <v/>
      </c>
      <c r="BN49" s="80" t="str">
        <f>IF(AND($F49&lt;&gt;"", $F49&gt;=BN$5-4, $F49&lt;=BN$5, COUNTIF($M49:BM49,"u")=0), "u", "")</f>
        <v/>
      </c>
      <c r="BO49" s="80" t="str">
        <f>IF(AND($F49&lt;&gt;"", $F49&gt;=BO$5-4, $F49&lt;=BO$5, COUNTIF($M49:BN49,"u")=0), "u", "")</f>
        <v/>
      </c>
      <c r="BP49" s="80" t="str">
        <f>IF(AND($F49&lt;&gt;"", $F49&gt;=BP$5-4, $F49&lt;=BP$5, COUNTIF($M49:BO49,"u")=0), "u", "")</f>
        <v/>
      </c>
      <c r="BQ49" s="80" t="str">
        <f>IF(AND($F49&lt;&gt;"", $F49&gt;=BQ$5-4, $F49&lt;=BQ$5, COUNTIF($M49:BP49,"u")=0), "u", "")</f>
        <v/>
      </c>
      <c r="BR49" s="80" t="str">
        <f>IF(AND($F49&lt;&gt;"", $F49&gt;=BR$5-4, $F49&lt;=BR$5, COUNTIF($M49:BQ49,"u")=0), "u", "")</f>
        <v/>
      </c>
      <c r="BS49" s="80" t="str">
        <f>IF(AND($F49&lt;&gt;"", $F49&gt;=BS$5-4, $F49&lt;=BS$5, COUNTIF($M49:BR49,"u")=0), "u", "")</f>
        <v/>
      </c>
      <c r="BT49" s="80" t="str">
        <f>IF(AND($F49&lt;&gt;"", $F49&gt;=BT$5-4, $F49&lt;=BT$5, COUNTIF($M49:BS49,"u")=0), "u", "")</f>
        <v/>
      </c>
      <c r="BU49" s="80" t="str">
        <f>IF(AND($F49&lt;&gt;"", $F49&gt;=BU$5-4, $F49&lt;=BU$5, COUNTIF($M49:BT49,"u")=0), "u", "")</f>
        <v/>
      </c>
      <c r="BV49" s="80" t="str">
        <f>IF(AND($F49&lt;&gt;"", $F49&gt;=BV$5-4, $F49&lt;=BV$5, COUNTIF($M49:BU49,"u")=0), "u", "")</f>
        <v/>
      </c>
      <c r="BW49" s="80" t="str">
        <f>IF(AND($F49&lt;&gt;"", $F49&gt;=BW$5-4, $F49&lt;=BW$5, COUNTIF($M49:BV49,"u")=0), "u", "")</f>
        <v/>
      </c>
      <c r="BX49" s="80" t="str">
        <f>IF(AND($F49&lt;&gt;"", $F49&gt;=BX$5-4, $F49&lt;=BX$5, COUNTIF($M49:BW49,"u")=0), "u", "")</f>
        <v/>
      </c>
      <c r="BY49" s="80" t="str">
        <f>IF(AND($F49&lt;&gt;"", $F49&gt;=BY$5-4, $F49&lt;=BY$5, COUNTIF($M49:BX49,"u")=0), "u", "")</f>
        <v/>
      </c>
      <c r="BZ49" s="80" t="str">
        <f>IF(AND($F49&lt;&gt;"", $F49&gt;=BZ$5-4, $F49&lt;=BZ$5, COUNTIF($M49:BY49,"u")=0), "u", "")</f>
        <v/>
      </c>
      <c r="CA49" s="80" t="str">
        <f>IF(AND($F49&lt;&gt;"", $F49&gt;=CA$5-4, $F49&lt;=CA$5, COUNTIF($M49:BZ49,"u")=0), "u", "")</f>
        <v/>
      </c>
      <c r="CB49" s="80" t="str">
        <f>IF(AND($F49&lt;&gt;"", $F49&gt;=CB$5-4, $F49&lt;=CB$5, COUNTIF($M49:CA49,"u")=0), "u", "")</f>
        <v/>
      </c>
      <c r="CC49" s="80" t="str">
        <f>IF(AND($F49&lt;&gt;"", $F49&gt;=CC$5-4, $F49&lt;=CC$5, COUNTIF($M49:CB49,"u")=0), "u", "")</f>
        <v/>
      </c>
      <c r="CD49" s="80" t="str">
        <f>IF(AND($F49&lt;&gt;"", $F49&gt;=CD$5-4, $F49&lt;=CD$5, COUNTIF($M49:CC49,"u")=0), "u", "")</f>
        <v/>
      </c>
      <c r="CE49" s="80" t="str">
        <f>IF(AND($F49&lt;&gt;"", $F49&gt;=CE$5-4, $F49&lt;=CE$5, COUNTIF($M49:CD49,"u")=0), "u", "")</f>
        <v/>
      </c>
      <c r="CF49" s="80" t="str">
        <f>IF(AND($F49&lt;&gt;"", $F49&gt;=CF$5-4, $F49&lt;=CF$5, COUNTIF($M49:CE49,"u")=0), "u", "")</f>
        <v/>
      </c>
      <c r="CG49" s="80" t="str">
        <f>IF(AND($F49&lt;&gt;"", $F49&gt;=CG$5-4, $F49&lt;=CG$5, COUNTIF($M49:CF49,"u")=0), "u", "")</f>
        <v/>
      </c>
      <c r="CH49" s="80" t="str">
        <f>IF(AND($F49&lt;&gt;"", $F49&gt;=CH$5-4, $F49&lt;=CH$5, COUNTIF($M49:CG49,"u")=0), "u", "")</f>
        <v/>
      </c>
      <c r="CI49" s="80" t="str">
        <f>IF(AND($F49&lt;&gt;"", $F49&gt;=CI$5-4, $F49&lt;=CI$5, COUNTIF($M49:CH49,"u")=0), "u", "")</f>
        <v/>
      </c>
      <c r="CJ49" s="80" t="str">
        <f>IF(AND($F49&lt;&gt;"", $F49&gt;=CJ$5-4, $F49&lt;=CJ$5, COUNTIF($M49:CI49,"u")=0), "u", "")</f>
        <v/>
      </c>
      <c r="CK49" s="80" t="str">
        <f>IF(AND($F49&lt;&gt;"", $F49&gt;=CK$5-4, $F49&lt;=CK$5, COUNTIF($M49:CJ49,"u")=0), "u", "")</f>
        <v/>
      </c>
      <c r="CL49" s="80" t="str">
        <f>IF(AND($F49&lt;&gt;"", $F49&gt;=CL$5-4, $F49&lt;=CL$5, COUNTIF($M49:CK49,"u")=0), "u", "")</f>
        <v/>
      </c>
      <c r="CM49" s="80" t="str">
        <f>IF(AND($F49&lt;&gt;"", $F49&gt;=CM$5-4, $F49&lt;=CM$5, COUNTIF($M49:CL49,"u")=0), "u", "")</f>
        <v/>
      </c>
      <c r="CN49" s="80" t="str">
        <f>IF(AND($F49&lt;&gt;"", $F49&gt;=CN$5-4, $F49&lt;=CN$5, COUNTIF($M49:CM49,"u")=0), "u", "")</f>
        <v/>
      </c>
      <c r="CO49" s="80" t="str">
        <f>IF(AND($F49&lt;&gt;"", $F49&gt;=CO$5-4, $F49&lt;=CO$5, COUNTIF($M49:CN49,"u")=0), "u", "")</f>
        <v/>
      </c>
      <c r="CP49" s="80" t="str">
        <f>IF(AND($F49&lt;&gt;"", $F49&gt;=CP$5-4, $F49&lt;=CP$5, COUNTIF($M49:CO49,"u")=0), "u", "")</f>
        <v/>
      </c>
      <c r="CQ49" s="80" t="str">
        <f>IF(AND($F49&lt;&gt;"", $F49&gt;=CQ$5-4, $F49&lt;=CQ$5, COUNTIF($M49:CP49,"u")=0), "u", "")</f>
        <v/>
      </c>
      <c r="CR49" s="80" t="str">
        <f>IF(AND($F49&lt;&gt;"", $F49&gt;=CR$5-4, $F49&lt;=CR$5, COUNTIF($M49:CQ49,"u")=0), "u", "")</f>
        <v/>
      </c>
      <c r="CS49" s="80" t="str">
        <f>IF(AND($F49&lt;&gt;"", $F49&gt;=CS$5-4, $F49&lt;=CS$5, COUNTIF($M49:CR49,"u")=0), "u", "")</f>
        <v/>
      </c>
      <c r="CT49" s="80" t="str">
        <f>IF(AND($F49&lt;&gt;"", $F49&gt;=CT$5-4, $F49&lt;=CT$5, COUNTIF($M49:CS49,"u")=0), "u", "")</f>
        <v/>
      </c>
      <c r="CU49" s="80" t="str">
        <f>IF(AND($F49&lt;&gt;"", $F49&gt;=CU$5-4, $F49&lt;=CU$5, COUNTIF($M49:CT49,"u")=0), "u", "")</f>
        <v/>
      </c>
      <c r="CV49" s="80" t="str">
        <f>IF(AND($F49&lt;&gt;"", $F49&gt;=CV$5-4, $F49&lt;=CV$5, COUNTIF($M49:CU49,"u")=0), "u", "")</f>
        <v/>
      </c>
      <c r="CW49" s="80" t="str">
        <f>IF(AND($F49&lt;&gt;"", $F49&gt;=CW$5-4, $F49&lt;=CW$5, COUNTIF($M49:CV49,"u")=0), "u", "")</f>
        <v/>
      </c>
      <c r="CX49" s="80" t="str">
        <f>IF(AND($F49&lt;&gt;"", $F49&gt;=CX$5-4, $F49&lt;=CX$5, COUNTIF($M49:CW49,"u")=0), "u", "")</f>
        <v/>
      </c>
      <c r="CY49" s="80" t="str">
        <f>IF(AND($F49&lt;&gt;"", $F49&gt;=CY$5-4, $F49&lt;=CY$5, COUNTIF($M49:CX49,"u")=0), "u", "")</f>
        <v/>
      </c>
      <c r="CZ49" s="80" t="str">
        <f>IF(AND($F49&lt;&gt;"", $F49&gt;=CZ$5-4, $F49&lt;=CZ$5, COUNTIF($M49:CY49,"u")=0), "u", "")</f>
        <v/>
      </c>
      <c r="DA49" s="80" t="str">
        <f>IF(AND($F49&lt;&gt;"", $F49&gt;=DA$5-4, $F49&lt;=DA$5, COUNTIF($M49:CZ49,"u")=0), "u", "")</f>
        <v/>
      </c>
      <c r="DB49" s="80" t="str">
        <f>IF(AND($F49&lt;&gt;"", $F49&gt;=DB$5-4, $F49&lt;=DB$5, COUNTIF($M49:DA49,"u")=0), "u", "")</f>
        <v/>
      </c>
      <c r="DC49" s="80" t="str">
        <f>IF(AND($F49&lt;&gt;"", $F49&gt;=DC$5-4, $F49&lt;=DC$5, COUNTIF($M49:DB49,"u")=0), "u", "")</f>
        <v/>
      </c>
      <c r="DD49" s="80" t="str">
        <f>IF(AND($F49&lt;&gt;"", $F49&gt;=DD$5-4, $F49&lt;=DD$5, COUNTIF($M49:DC49,"u")=0), "u", "")</f>
        <v/>
      </c>
      <c r="DE49" s="80" t="str">
        <f>IF(AND($F49&lt;&gt;"", $F49&gt;=DE$5-4, $F49&lt;=DE$5, COUNTIF($M49:DD49,"u")=0), "u", "")</f>
        <v/>
      </c>
      <c r="DF49" s="80" t="str">
        <f>IF(AND($F49&lt;&gt;"", $F49&gt;=DF$5-4, $F49&lt;=DF$5, COUNTIF($M49:DE49,"u")=0), "u", "")</f>
        <v/>
      </c>
      <c r="DG49" s="80" t="str">
        <f>IF(AND($F49&lt;&gt;"", $F49&gt;=DG$5-4, $F49&lt;=DG$5, COUNTIF($M49:DF49,"u")=0), "u", "")</f>
        <v/>
      </c>
      <c r="DH49" s="80" t="str">
        <f>IF(AND($F49&lt;&gt;"", $F49&gt;=DH$5-4, $F49&lt;=DH$5, COUNTIF($M49:DG49,"u")=0), "u", "")</f>
        <v/>
      </c>
      <c r="DI49" s="80" t="str">
        <f>IF(AND($F49&lt;&gt;"", $F49&gt;=DI$5-4, $F49&lt;=DI$5, COUNTIF($M49:DH49,"u")=0), "u", "")</f>
        <v/>
      </c>
      <c r="DJ49" s="80" t="str">
        <f>IF(AND($F49&lt;&gt;"", $F49&gt;=DJ$5-4, $F49&lt;=DJ$5, COUNTIF($M49:DI49,"u")=0), "u", "")</f>
        <v/>
      </c>
      <c r="DK49" s="80" t="str">
        <f>IF(AND($F49&lt;&gt;"", $F49&gt;=DK$5-4, $F49&lt;=DK$5, COUNTIF($M49:DJ49,"u")=0), "u", "")</f>
        <v/>
      </c>
      <c r="DL49" s="80" t="str">
        <f>IF(AND($F49&lt;&gt;"", $F49&gt;=DL$5-4, $F49&lt;=DL$5, COUNTIF($M49:DK49,"u")=0), "u", "")</f>
        <v/>
      </c>
    </row>
    <row r="50" spans="1:116" ht="25.05" customHeight="1" x14ac:dyDescent="0.3">
      <c r="A50" s="39"/>
      <c r="B50" s="75">
        <v>45</v>
      </c>
      <c r="C50" s="97"/>
      <c r="D50" s="92"/>
      <c r="E50" s="53"/>
      <c r="F50" s="53"/>
      <c r="G50" s="83" t="str">
        <f t="shared" si="47"/>
        <v/>
      </c>
      <c r="H50" s="83" t="str">
        <f t="shared" si="47"/>
        <v/>
      </c>
      <c r="I50" s="77" t="str">
        <f t="shared" si="45"/>
        <v/>
      </c>
      <c r="J50" s="78"/>
      <c r="K50" s="86"/>
      <c r="L50" s="56"/>
      <c r="M50" s="80" t="str">
        <f t="shared" si="46"/>
        <v/>
      </c>
      <c r="N50" s="80" t="str">
        <f>IF(AND($F50&lt;&gt;"", $F50&gt;=N$5-4, $F50&lt;=N$5, COUNTIF($M50:M50,"u")=0), "u", "")</f>
        <v/>
      </c>
      <c r="O50" s="80" t="str">
        <f>IF(AND($F50&lt;&gt;"", $F50&gt;=O$5-4, $F50&lt;=O$5, COUNTIF($M50:N50,"u")=0), "u", "")</f>
        <v/>
      </c>
      <c r="P50" s="80" t="str">
        <f>IF(AND($F50&lt;&gt;"", $F50&gt;=P$5-4, $F50&lt;=P$5, COUNTIF($M50:O50,"u")=0), "u", "")</f>
        <v/>
      </c>
      <c r="Q50" s="80" t="str">
        <f>IF(AND($F50&lt;&gt;"", $F50&gt;=Q$5-4, $F50&lt;=Q$5, COUNTIF($M50:P50,"u")=0), "u", "")</f>
        <v/>
      </c>
      <c r="R50" s="80" t="str">
        <f>IF(AND($F50&lt;&gt;"", $F50&gt;=R$5-4, $F50&lt;=R$5, COUNTIF($M50:Q50,"u")=0), "u", "")</f>
        <v/>
      </c>
      <c r="S50" s="80" t="str">
        <f>IF(AND($F50&lt;&gt;"", $F50&gt;=S$5-4, $F50&lt;=S$5, COUNTIF($M50:R50,"u")=0), "u", "")</f>
        <v/>
      </c>
      <c r="T50" s="80" t="str">
        <f>IF(AND($F50&lt;&gt;"", $F50&gt;=T$5-4, $F50&lt;=T$5, COUNTIF($M50:S50,"u")=0), "u", "")</f>
        <v/>
      </c>
      <c r="U50" s="80" t="str">
        <f>IF(AND($F50&lt;&gt;"", $F50&gt;=U$5-4, $F50&lt;=U$5, COUNTIF($M50:T50,"u")=0), "u", "")</f>
        <v/>
      </c>
      <c r="V50" s="80" t="str">
        <f>IF(AND($F50&lt;&gt;"", $F50&gt;=V$5-4, $F50&lt;=V$5, COUNTIF($M50:U50,"u")=0), "u", "")</f>
        <v/>
      </c>
      <c r="W50" s="80" t="str">
        <f>IF(AND($F50&lt;&gt;"", $F50&gt;=W$5-4, $F50&lt;=W$5, COUNTIF($M50:V50,"u")=0), "u", "")</f>
        <v/>
      </c>
      <c r="X50" s="80" t="str">
        <f>IF(AND($F50&lt;&gt;"", $F50&gt;=X$5-4, $F50&lt;=X$5, COUNTIF($M50:W50,"u")=0), "u", "")</f>
        <v/>
      </c>
      <c r="Y50" s="80" t="str">
        <f>IF(AND($F50&lt;&gt;"", $F50&gt;=Y$5-4, $F50&lt;=Y$5, COUNTIF($M50:X50,"u")=0), "u", "")</f>
        <v/>
      </c>
      <c r="Z50" s="80" t="str">
        <f>IF(AND($F50&lt;&gt;"", $F50&gt;=Z$5-4, $F50&lt;=Z$5, COUNTIF($M50:Y50,"u")=0), "u", "")</f>
        <v/>
      </c>
      <c r="AA50" s="80" t="str">
        <f>IF(AND($F50&lt;&gt;"", $F50&gt;=AA$5-4, $F50&lt;=AA$5, COUNTIF($M50:Z50,"u")=0), "u", "")</f>
        <v/>
      </c>
      <c r="AB50" s="80" t="str">
        <f>IF(AND($F50&lt;&gt;"", $F50&gt;=AB$5-4, $F50&lt;=AB$5, COUNTIF($M50:AA50,"u")=0), "u", "")</f>
        <v/>
      </c>
      <c r="AC50" s="80" t="str">
        <f>IF(AND($F50&lt;&gt;"", $F50&gt;=AC$5-4, $F50&lt;=AC$5, COUNTIF($M50:AB50,"u")=0), "u", "")</f>
        <v/>
      </c>
      <c r="AD50" s="80" t="str">
        <f>IF(AND($F50&lt;&gt;"", $F50&gt;=AD$5-4, $F50&lt;=AD$5, COUNTIF($M50:AC50,"u")=0), "u", "")</f>
        <v/>
      </c>
      <c r="AE50" s="80" t="str">
        <f>IF(AND($F50&lt;&gt;"", $F50&gt;=AE$5-4, $F50&lt;=AE$5, COUNTIF($M50:AD50,"u")=0), "u", "")</f>
        <v/>
      </c>
      <c r="AF50" s="80" t="str">
        <f>IF(AND($F50&lt;&gt;"", $F50&gt;=AF$5-4, $F50&lt;=AF$5, COUNTIF($M50:AE50,"u")=0), "u", "")</f>
        <v/>
      </c>
      <c r="AG50" s="80" t="str">
        <f>IF(AND($F50&lt;&gt;"", $F50&gt;=AG$5-4, $F50&lt;=AG$5, COUNTIF($M50:AF50,"u")=0), "u", "")</f>
        <v/>
      </c>
      <c r="AH50" s="80" t="str">
        <f>IF(AND($F50&lt;&gt;"", $F50&gt;=AH$5-4, $F50&lt;=AH$5, COUNTIF($M50:AG50,"u")=0), "u", "")</f>
        <v/>
      </c>
      <c r="AI50" s="80" t="str">
        <f>IF(AND($F50&lt;&gt;"", $F50&gt;=AI$5-4, $F50&lt;=AI$5, COUNTIF($M50:AH50,"u")=0), "u", "")</f>
        <v/>
      </c>
      <c r="AJ50" s="80" t="str">
        <f>IF(AND($F50&lt;&gt;"", $F50&gt;=AJ$5-4, $F50&lt;=AJ$5, COUNTIF($M50:AI50,"u")=0), "u", "")</f>
        <v/>
      </c>
      <c r="AK50" s="80" t="str">
        <f>IF(AND($F50&lt;&gt;"", $F50&gt;=AK$5-4, $F50&lt;=AK$5, COUNTIF($M50:AJ50,"u")=0), "u", "")</f>
        <v/>
      </c>
      <c r="AL50" s="80" t="str">
        <f>IF(AND($F50&lt;&gt;"", $F50&gt;=AL$5-4, $F50&lt;=AL$5, COUNTIF($M50:AK50,"u")=0), "u", "")</f>
        <v/>
      </c>
      <c r="AM50" s="80" t="str">
        <f>IF(AND($F50&lt;&gt;"", $F50&gt;=AM$5-4, $F50&lt;=AM$5, COUNTIF($M50:AL50,"u")=0), "u", "")</f>
        <v/>
      </c>
      <c r="AN50" s="80" t="str">
        <f>IF(AND($F50&lt;&gt;"", $F50&gt;=AN$5-4, $F50&lt;=AN$5, COUNTIF($M50:AM50,"u")=0), "u", "")</f>
        <v/>
      </c>
      <c r="AO50" s="80" t="str">
        <f>IF(AND($F50&lt;&gt;"", $F50&gt;=AO$5-4, $F50&lt;=AO$5, COUNTIF($M50:AN50,"u")=0), "u", "")</f>
        <v/>
      </c>
      <c r="AP50" s="80" t="str">
        <f>IF(AND($F50&lt;&gt;"", $F50&gt;=AP$5-4, $F50&lt;=AP$5, COUNTIF($M50:AO50,"u")=0), "u", "")</f>
        <v/>
      </c>
      <c r="AQ50" s="80" t="str">
        <f>IF(AND($F50&lt;&gt;"", $F50&gt;=AQ$5-4, $F50&lt;=AQ$5, COUNTIF($M50:AP50,"u")=0), "u", "")</f>
        <v/>
      </c>
      <c r="AR50" s="80" t="str">
        <f>IF(AND($F50&lt;&gt;"", $F50&gt;=AR$5-4, $F50&lt;=AR$5, COUNTIF($M50:AQ50,"u")=0), "u", "")</f>
        <v/>
      </c>
      <c r="AS50" s="80" t="str">
        <f>IF(AND($F50&lt;&gt;"", $F50&gt;=AS$5-4, $F50&lt;=AS$5, COUNTIF($M50:AR50,"u")=0), "u", "")</f>
        <v/>
      </c>
      <c r="AT50" s="80" t="str">
        <f>IF(AND($F50&lt;&gt;"", $F50&gt;=AT$5-4, $F50&lt;=AT$5, COUNTIF($M50:AS50,"u")=0), "u", "")</f>
        <v/>
      </c>
      <c r="AU50" s="80" t="str">
        <f>IF(AND($F50&lt;&gt;"", $F50&gt;=AU$5-4, $F50&lt;=AU$5, COUNTIF($M50:AT50,"u")=0), "u", "")</f>
        <v/>
      </c>
      <c r="AV50" s="80" t="str">
        <f>IF(AND($F50&lt;&gt;"", $F50&gt;=AV$5-4, $F50&lt;=AV$5, COUNTIF($M50:AU50,"u")=0), "u", "")</f>
        <v/>
      </c>
      <c r="AW50" s="80" t="str">
        <f>IF(AND($F50&lt;&gt;"", $F50&gt;=AW$5-4, $F50&lt;=AW$5, COUNTIF($M50:AV50,"u")=0), "u", "")</f>
        <v/>
      </c>
      <c r="AX50" s="80" t="str">
        <f>IF(AND($F50&lt;&gt;"", $F50&gt;=AX$5-4, $F50&lt;=AX$5, COUNTIF($M50:AW50,"u")=0), "u", "")</f>
        <v/>
      </c>
      <c r="AY50" s="80" t="str">
        <f>IF(AND($F50&lt;&gt;"", $F50&gt;=AY$5-4, $F50&lt;=AY$5, COUNTIF($M50:AX50,"u")=0), "u", "")</f>
        <v/>
      </c>
      <c r="AZ50" s="80" t="str">
        <f>IF(AND($F50&lt;&gt;"", $F50&gt;=AZ$5-4, $F50&lt;=AZ$5, COUNTIF($M50:AY50,"u")=0), "u", "")</f>
        <v/>
      </c>
      <c r="BA50" s="80" t="str">
        <f>IF(AND($F50&lt;&gt;"", $F50&gt;=BA$5-4, $F50&lt;=BA$5, COUNTIF($M50:AZ50,"u")=0), "u", "")</f>
        <v/>
      </c>
      <c r="BB50" s="80" t="str">
        <f>IF(AND($F50&lt;&gt;"", $F50&gt;=BB$5-4, $F50&lt;=BB$5, COUNTIF($M50:BA50,"u")=0), "u", "")</f>
        <v/>
      </c>
      <c r="BC50" s="80" t="str">
        <f>IF(AND($F50&lt;&gt;"", $F50&gt;=BC$5-4, $F50&lt;=BC$5, COUNTIF($M50:BB50,"u")=0), "u", "")</f>
        <v/>
      </c>
      <c r="BD50" s="80" t="str">
        <f>IF(AND($F50&lt;&gt;"", $F50&gt;=BD$5-4, $F50&lt;=BD$5, COUNTIF($M50:BC50,"u")=0), "u", "")</f>
        <v/>
      </c>
      <c r="BE50" s="80" t="str">
        <f>IF(AND($F50&lt;&gt;"", $F50&gt;=BE$5-4, $F50&lt;=BE$5, COUNTIF($M50:BD50,"u")=0), "u", "")</f>
        <v/>
      </c>
      <c r="BF50" s="80" t="str">
        <f>IF(AND($F50&lt;&gt;"", $F50&gt;=BF$5-4, $F50&lt;=BF$5, COUNTIF($M50:BE50,"u")=0), "u", "")</f>
        <v/>
      </c>
      <c r="BG50" s="80" t="str">
        <f>IF(AND($F50&lt;&gt;"", $F50&gt;=BG$5-4, $F50&lt;=BG$5, COUNTIF($M50:BF50,"u")=0), "u", "")</f>
        <v/>
      </c>
      <c r="BH50" s="80" t="str">
        <f>IF(AND($F50&lt;&gt;"", $F50&gt;=BH$5-4, $F50&lt;=BH$5, COUNTIF($M50:BG50,"u")=0), "u", "")</f>
        <v/>
      </c>
      <c r="BI50" s="80" t="str">
        <f>IF(AND($F50&lt;&gt;"", $F50&gt;=BI$5-4, $F50&lt;=BI$5, COUNTIF($M50:BH50,"u")=0), "u", "")</f>
        <v/>
      </c>
      <c r="BJ50" s="80" t="str">
        <f>IF(AND($F50&lt;&gt;"", $F50&gt;=BJ$5-4, $F50&lt;=BJ$5, COUNTIF($M50:BI50,"u")=0), "u", "")</f>
        <v/>
      </c>
      <c r="BK50" s="80" t="str">
        <f>IF(AND($F50&lt;&gt;"", $F50&gt;=BK$5-4, $F50&lt;=BK$5, COUNTIF($M50:BJ50,"u")=0), "u", "")</f>
        <v/>
      </c>
      <c r="BL50" s="80" t="str">
        <f>IF(AND($F50&lt;&gt;"", $F50&gt;=BL$5-4, $F50&lt;=BL$5, COUNTIF($M50:BK50,"u")=0), "u", "")</f>
        <v/>
      </c>
      <c r="BM50" s="80" t="str">
        <f>IF(AND($F50&lt;&gt;"", $F50&gt;=BM$5-4, $F50&lt;=BM$5, COUNTIF($M50:BL50,"u")=0), "u", "")</f>
        <v/>
      </c>
      <c r="BN50" s="80" t="str">
        <f>IF(AND($F50&lt;&gt;"", $F50&gt;=BN$5-4, $F50&lt;=BN$5, COUNTIF($M50:BM50,"u")=0), "u", "")</f>
        <v/>
      </c>
      <c r="BO50" s="80" t="str">
        <f>IF(AND($F50&lt;&gt;"", $F50&gt;=BO$5-4, $F50&lt;=BO$5, COUNTIF($M50:BN50,"u")=0), "u", "")</f>
        <v/>
      </c>
      <c r="BP50" s="80" t="str">
        <f>IF(AND($F50&lt;&gt;"", $F50&gt;=BP$5-4, $F50&lt;=BP$5, COUNTIF($M50:BO50,"u")=0), "u", "")</f>
        <v/>
      </c>
      <c r="BQ50" s="80" t="str">
        <f>IF(AND($F50&lt;&gt;"", $F50&gt;=BQ$5-4, $F50&lt;=BQ$5, COUNTIF($M50:BP50,"u")=0), "u", "")</f>
        <v/>
      </c>
      <c r="BR50" s="80" t="str">
        <f>IF(AND($F50&lt;&gt;"", $F50&gt;=BR$5-4, $F50&lt;=BR$5, COUNTIF($M50:BQ50,"u")=0), "u", "")</f>
        <v/>
      </c>
      <c r="BS50" s="80" t="str">
        <f>IF(AND($F50&lt;&gt;"", $F50&gt;=BS$5-4, $F50&lt;=BS$5, COUNTIF($M50:BR50,"u")=0), "u", "")</f>
        <v/>
      </c>
      <c r="BT50" s="80" t="str">
        <f>IF(AND($F50&lt;&gt;"", $F50&gt;=BT$5-4, $F50&lt;=BT$5, COUNTIF($M50:BS50,"u")=0), "u", "")</f>
        <v/>
      </c>
      <c r="BU50" s="80" t="str">
        <f>IF(AND($F50&lt;&gt;"", $F50&gt;=BU$5-4, $F50&lt;=BU$5, COUNTIF($M50:BT50,"u")=0), "u", "")</f>
        <v/>
      </c>
      <c r="BV50" s="80" t="str">
        <f>IF(AND($F50&lt;&gt;"", $F50&gt;=BV$5-4, $F50&lt;=BV$5, COUNTIF($M50:BU50,"u")=0), "u", "")</f>
        <v/>
      </c>
      <c r="BW50" s="80" t="str">
        <f>IF(AND($F50&lt;&gt;"", $F50&gt;=BW$5-4, $F50&lt;=BW$5, COUNTIF($M50:BV50,"u")=0), "u", "")</f>
        <v/>
      </c>
      <c r="BX50" s="80" t="str">
        <f>IF(AND($F50&lt;&gt;"", $F50&gt;=BX$5-4, $F50&lt;=BX$5, COUNTIF($M50:BW50,"u")=0), "u", "")</f>
        <v/>
      </c>
      <c r="BY50" s="80" t="str">
        <f>IF(AND($F50&lt;&gt;"", $F50&gt;=BY$5-4, $F50&lt;=BY$5, COUNTIF($M50:BX50,"u")=0), "u", "")</f>
        <v/>
      </c>
      <c r="BZ50" s="80" t="str">
        <f>IF(AND($F50&lt;&gt;"", $F50&gt;=BZ$5-4, $F50&lt;=BZ$5, COUNTIF($M50:BY50,"u")=0), "u", "")</f>
        <v/>
      </c>
      <c r="CA50" s="80" t="str">
        <f>IF(AND($F50&lt;&gt;"", $F50&gt;=CA$5-4, $F50&lt;=CA$5, COUNTIF($M50:BZ50,"u")=0), "u", "")</f>
        <v/>
      </c>
      <c r="CB50" s="80" t="str">
        <f>IF(AND($F50&lt;&gt;"", $F50&gt;=CB$5-4, $F50&lt;=CB$5, COUNTIF($M50:CA50,"u")=0), "u", "")</f>
        <v/>
      </c>
      <c r="CC50" s="80" t="str">
        <f>IF(AND($F50&lt;&gt;"", $F50&gt;=CC$5-4, $F50&lt;=CC$5, COUNTIF($M50:CB50,"u")=0), "u", "")</f>
        <v/>
      </c>
      <c r="CD50" s="80" t="str">
        <f>IF(AND($F50&lt;&gt;"", $F50&gt;=CD$5-4, $F50&lt;=CD$5, COUNTIF($M50:CC50,"u")=0), "u", "")</f>
        <v/>
      </c>
      <c r="CE50" s="80" t="str">
        <f>IF(AND($F50&lt;&gt;"", $F50&gt;=CE$5-4, $F50&lt;=CE$5, COUNTIF($M50:CD50,"u")=0), "u", "")</f>
        <v/>
      </c>
      <c r="CF50" s="80" t="str">
        <f>IF(AND($F50&lt;&gt;"", $F50&gt;=CF$5-4, $F50&lt;=CF$5, COUNTIF($M50:CE50,"u")=0), "u", "")</f>
        <v/>
      </c>
      <c r="CG50" s="80" t="str">
        <f>IF(AND($F50&lt;&gt;"", $F50&gt;=CG$5-4, $F50&lt;=CG$5, COUNTIF($M50:CF50,"u")=0), "u", "")</f>
        <v/>
      </c>
      <c r="CH50" s="80" t="str">
        <f>IF(AND($F50&lt;&gt;"", $F50&gt;=CH$5-4, $F50&lt;=CH$5, COUNTIF($M50:CG50,"u")=0), "u", "")</f>
        <v/>
      </c>
      <c r="CI50" s="80" t="str">
        <f>IF(AND($F50&lt;&gt;"", $F50&gt;=CI$5-4, $F50&lt;=CI$5, COUNTIF($M50:CH50,"u")=0), "u", "")</f>
        <v/>
      </c>
      <c r="CJ50" s="80" t="str">
        <f>IF(AND($F50&lt;&gt;"", $F50&gt;=CJ$5-4, $F50&lt;=CJ$5, COUNTIF($M50:CI50,"u")=0), "u", "")</f>
        <v/>
      </c>
      <c r="CK50" s="80" t="str">
        <f>IF(AND($F50&lt;&gt;"", $F50&gt;=CK$5-4, $F50&lt;=CK$5, COUNTIF($M50:CJ50,"u")=0), "u", "")</f>
        <v/>
      </c>
      <c r="CL50" s="80" t="str">
        <f>IF(AND($F50&lt;&gt;"", $F50&gt;=CL$5-4, $F50&lt;=CL$5, COUNTIF($M50:CK50,"u")=0), "u", "")</f>
        <v/>
      </c>
      <c r="CM50" s="80" t="str">
        <f>IF(AND($F50&lt;&gt;"", $F50&gt;=CM$5-4, $F50&lt;=CM$5, COUNTIF($M50:CL50,"u")=0), "u", "")</f>
        <v/>
      </c>
      <c r="CN50" s="80" t="str">
        <f>IF(AND($F50&lt;&gt;"", $F50&gt;=CN$5-4, $F50&lt;=CN$5, COUNTIF($M50:CM50,"u")=0), "u", "")</f>
        <v/>
      </c>
      <c r="CO50" s="80" t="str">
        <f>IF(AND($F50&lt;&gt;"", $F50&gt;=CO$5-4, $F50&lt;=CO$5, COUNTIF($M50:CN50,"u")=0), "u", "")</f>
        <v/>
      </c>
      <c r="CP50" s="80" t="str">
        <f>IF(AND($F50&lt;&gt;"", $F50&gt;=CP$5-4, $F50&lt;=CP$5, COUNTIF($M50:CO50,"u")=0), "u", "")</f>
        <v/>
      </c>
      <c r="CQ50" s="80" t="str">
        <f>IF(AND($F50&lt;&gt;"", $F50&gt;=CQ$5-4, $F50&lt;=CQ$5, COUNTIF($M50:CP50,"u")=0), "u", "")</f>
        <v/>
      </c>
      <c r="CR50" s="80" t="str">
        <f>IF(AND($F50&lt;&gt;"", $F50&gt;=CR$5-4, $F50&lt;=CR$5, COUNTIF($M50:CQ50,"u")=0), "u", "")</f>
        <v/>
      </c>
      <c r="CS50" s="80" t="str">
        <f>IF(AND($F50&lt;&gt;"", $F50&gt;=CS$5-4, $F50&lt;=CS$5, COUNTIF($M50:CR50,"u")=0), "u", "")</f>
        <v/>
      </c>
      <c r="CT50" s="80" t="str">
        <f>IF(AND($F50&lt;&gt;"", $F50&gt;=CT$5-4, $F50&lt;=CT$5, COUNTIF($M50:CS50,"u")=0), "u", "")</f>
        <v/>
      </c>
      <c r="CU50" s="80" t="str">
        <f>IF(AND($F50&lt;&gt;"", $F50&gt;=CU$5-4, $F50&lt;=CU$5, COUNTIF($M50:CT50,"u")=0), "u", "")</f>
        <v/>
      </c>
      <c r="CV50" s="80" t="str">
        <f>IF(AND($F50&lt;&gt;"", $F50&gt;=CV$5-4, $F50&lt;=CV$5, COUNTIF($M50:CU50,"u")=0), "u", "")</f>
        <v/>
      </c>
      <c r="CW50" s="80" t="str">
        <f>IF(AND($F50&lt;&gt;"", $F50&gt;=CW$5-4, $F50&lt;=CW$5, COUNTIF($M50:CV50,"u")=0), "u", "")</f>
        <v/>
      </c>
      <c r="CX50" s="80" t="str">
        <f>IF(AND($F50&lt;&gt;"", $F50&gt;=CX$5-4, $F50&lt;=CX$5, COUNTIF($M50:CW50,"u")=0), "u", "")</f>
        <v/>
      </c>
      <c r="CY50" s="80" t="str">
        <f>IF(AND($F50&lt;&gt;"", $F50&gt;=CY$5-4, $F50&lt;=CY$5, COUNTIF($M50:CX50,"u")=0), "u", "")</f>
        <v/>
      </c>
      <c r="CZ50" s="80" t="str">
        <f>IF(AND($F50&lt;&gt;"", $F50&gt;=CZ$5-4, $F50&lt;=CZ$5, COUNTIF($M50:CY50,"u")=0), "u", "")</f>
        <v/>
      </c>
      <c r="DA50" s="80" t="str">
        <f>IF(AND($F50&lt;&gt;"", $F50&gt;=DA$5-4, $F50&lt;=DA$5, COUNTIF($M50:CZ50,"u")=0), "u", "")</f>
        <v/>
      </c>
      <c r="DB50" s="80" t="str">
        <f>IF(AND($F50&lt;&gt;"", $F50&gt;=DB$5-4, $F50&lt;=DB$5, COUNTIF($M50:DA50,"u")=0), "u", "")</f>
        <v/>
      </c>
      <c r="DC50" s="80" t="str">
        <f>IF(AND($F50&lt;&gt;"", $F50&gt;=DC$5-4, $F50&lt;=DC$5, COUNTIF($M50:DB50,"u")=0), "u", "")</f>
        <v/>
      </c>
      <c r="DD50" s="80" t="str">
        <f>IF(AND($F50&lt;&gt;"", $F50&gt;=DD$5-4, $F50&lt;=DD$5, COUNTIF($M50:DC50,"u")=0), "u", "")</f>
        <v/>
      </c>
      <c r="DE50" s="80" t="str">
        <f>IF(AND($F50&lt;&gt;"", $F50&gt;=DE$5-4, $F50&lt;=DE$5, COUNTIF($M50:DD50,"u")=0), "u", "")</f>
        <v/>
      </c>
      <c r="DF50" s="80" t="str">
        <f>IF(AND($F50&lt;&gt;"", $F50&gt;=DF$5-4, $F50&lt;=DF$5, COUNTIF($M50:DE50,"u")=0), "u", "")</f>
        <v/>
      </c>
      <c r="DG50" s="80" t="str">
        <f>IF(AND($F50&lt;&gt;"", $F50&gt;=DG$5-4, $F50&lt;=DG$5, COUNTIF($M50:DF50,"u")=0), "u", "")</f>
        <v/>
      </c>
      <c r="DH50" s="80" t="str">
        <f>IF(AND($F50&lt;&gt;"", $F50&gt;=DH$5-4, $F50&lt;=DH$5, COUNTIF($M50:DG50,"u")=0), "u", "")</f>
        <v/>
      </c>
      <c r="DI50" s="80" t="str">
        <f>IF(AND($F50&lt;&gt;"", $F50&gt;=DI$5-4, $F50&lt;=DI$5, COUNTIF($M50:DH50,"u")=0), "u", "")</f>
        <v/>
      </c>
      <c r="DJ50" s="80" t="str">
        <f>IF(AND($F50&lt;&gt;"", $F50&gt;=DJ$5-4, $F50&lt;=DJ$5, COUNTIF($M50:DI50,"u")=0), "u", "")</f>
        <v/>
      </c>
      <c r="DK50" s="80" t="str">
        <f>IF(AND($F50&lt;&gt;"", $F50&gt;=DK$5-4, $F50&lt;=DK$5, COUNTIF($M50:DJ50,"u")=0), "u", "")</f>
        <v/>
      </c>
      <c r="DL50" s="80" t="str">
        <f>IF(AND($F50&lt;&gt;"", $F50&gt;=DL$5-4, $F50&lt;=DL$5, COUNTIF($M50:DK50,"u")=0), "u", "")</f>
        <v/>
      </c>
    </row>
    <row r="51" spans="1:116" ht="25.05" customHeight="1" x14ac:dyDescent="0.3">
      <c r="A51" s="39"/>
      <c r="B51" s="75">
        <v>46</v>
      </c>
      <c r="C51" s="97"/>
      <c r="D51" s="92"/>
      <c r="E51" s="53"/>
      <c r="F51" s="53"/>
      <c r="G51" s="83" t="str">
        <f t="shared" si="47"/>
        <v/>
      </c>
      <c r="H51" s="83" t="str">
        <f t="shared" si="47"/>
        <v/>
      </c>
      <c r="I51" s="77" t="str">
        <f t="shared" si="45"/>
        <v/>
      </c>
      <c r="J51" s="78"/>
      <c r="K51" s="86"/>
      <c r="L51" s="56"/>
      <c r="M51" s="80" t="str">
        <f t="shared" si="46"/>
        <v/>
      </c>
      <c r="N51" s="80" t="str">
        <f>IF(AND($F51&lt;&gt;"", $F51&gt;=N$5-4, $F51&lt;=N$5, COUNTIF($M51:M51,"u")=0), "u", "")</f>
        <v/>
      </c>
      <c r="O51" s="80" t="str">
        <f>IF(AND($F51&lt;&gt;"", $F51&gt;=O$5-4, $F51&lt;=O$5, COUNTIF($M51:N51,"u")=0), "u", "")</f>
        <v/>
      </c>
      <c r="P51" s="80" t="str">
        <f>IF(AND($F51&lt;&gt;"", $F51&gt;=P$5-4, $F51&lt;=P$5, COUNTIF($M51:O51,"u")=0), "u", "")</f>
        <v/>
      </c>
      <c r="Q51" s="80" t="str">
        <f>IF(AND($F51&lt;&gt;"", $F51&gt;=Q$5-4, $F51&lt;=Q$5, COUNTIF($M51:P51,"u")=0), "u", "")</f>
        <v/>
      </c>
      <c r="R51" s="80" t="str">
        <f>IF(AND($F51&lt;&gt;"", $F51&gt;=R$5-4, $F51&lt;=R$5, COUNTIF($M51:Q51,"u")=0), "u", "")</f>
        <v/>
      </c>
      <c r="S51" s="80" t="str">
        <f>IF(AND($F51&lt;&gt;"", $F51&gt;=S$5-4, $F51&lt;=S$5, COUNTIF($M51:R51,"u")=0), "u", "")</f>
        <v/>
      </c>
      <c r="T51" s="80" t="str">
        <f>IF(AND($F51&lt;&gt;"", $F51&gt;=T$5-4, $F51&lt;=T$5, COUNTIF($M51:S51,"u")=0), "u", "")</f>
        <v/>
      </c>
      <c r="U51" s="80" t="str">
        <f>IF(AND($F51&lt;&gt;"", $F51&gt;=U$5-4, $F51&lt;=U$5, COUNTIF($M51:T51,"u")=0), "u", "")</f>
        <v/>
      </c>
      <c r="V51" s="80" t="str">
        <f>IF(AND($F51&lt;&gt;"", $F51&gt;=V$5-4, $F51&lt;=V$5, COUNTIF($M51:U51,"u")=0), "u", "")</f>
        <v/>
      </c>
      <c r="W51" s="80" t="str">
        <f>IF(AND($F51&lt;&gt;"", $F51&gt;=W$5-4, $F51&lt;=W$5, COUNTIF($M51:V51,"u")=0), "u", "")</f>
        <v/>
      </c>
      <c r="X51" s="80" t="str">
        <f>IF(AND($F51&lt;&gt;"", $F51&gt;=X$5-4, $F51&lt;=X$5, COUNTIF($M51:W51,"u")=0), "u", "")</f>
        <v/>
      </c>
      <c r="Y51" s="80" t="str">
        <f>IF(AND($F51&lt;&gt;"", $F51&gt;=Y$5-4, $F51&lt;=Y$5, COUNTIF($M51:X51,"u")=0), "u", "")</f>
        <v/>
      </c>
      <c r="Z51" s="80" t="str">
        <f>IF(AND($F51&lt;&gt;"", $F51&gt;=Z$5-4, $F51&lt;=Z$5, COUNTIF($M51:Y51,"u")=0), "u", "")</f>
        <v/>
      </c>
      <c r="AA51" s="80" t="str">
        <f>IF(AND($F51&lt;&gt;"", $F51&gt;=AA$5-4, $F51&lt;=AA$5, COUNTIF($M51:Z51,"u")=0), "u", "")</f>
        <v/>
      </c>
      <c r="AB51" s="80" t="str">
        <f>IF(AND($F51&lt;&gt;"", $F51&gt;=AB$5-4, $F51&lt;=AB$5, COUNTIF($M51:AA51,"u")=0), "u", "")</f>
        <v/>
      </c>
      <c r="AC51" s="80" t="str">
        <f>IF(AND($F51&lt;&gt;"", $F51&gt;=AC$5-4, $F51&lt;=AC$5, COUNTIF($M51:AB51,"u")=0), "u", "")</f>
        <v/>
      </c>
      <c r="AD51" s="80" t="str">
        <f>IF(AND($F51&lt;&gt;"", $F51&gt;=AD$5-4, $F51&lt;=AD$5, COUNTIF($M51:AC51,"u")=0), "u", "")</f>
        <v/>
      </c>
      <c r="AE51" s="80" t="str">
        <f>IF(AND($F51&lt;&gt;"", $F51&gt;=AE$5-4, $F51&lt;=AE$5, COUNTIF($M51:AD51,"u")=0), "u", "")</f>
        <v/>
      </c>
      <c r="AF51" s="80" t="str">
        <f>IF(AND($F51&lt;&gt;"", $F51&gt;=AF$5-4, $F51&lt;=AF$5, COUNTIF($M51:AE51,"u")=0), "u", "")</f>
        <v/>
      </c>
      <c r="AG51" s="80" t="str">
        <f>IF(AND($F51&lt;&gt;"", $F51&gt;=AG$5-4, $F51&lt;=AG$5, COUNTIF($M51:AF51,"u")=0), "u", "")</f>
        <v/>
      </c>
      <c r="AH51" s="80" t="str">
        <f>IF(AND($F51&lt;&gt;"", $F51&gt;=AH$5-4, $F51&lt;=AH$5, COUNTIF($M51:AG51,"u")=0), "u", "")</f>
        <v/>
      </c>
      <c r="AI51" s="80" t="str">
        <f>IF(AND($F51&lt;&gt;"", $F51&gt;=AI$5-4, $F51&lt;=AI$5, COUNTIF($M51:AH51,"u")=0), "u", "")</f>
        <v/>
      </c>
      <c r="AJ51" s="80" t="str">
        <f>IF(AND($F51&lt;&gt;"", $F51&gt;=AJ$5-4, $F51&lt;=AJ$5, COUNTIF($M51:AI51,"u")=0), "u", "")</f>
        <v/>
      </c>
      <c r="AK51" s="80" t="str">
        <f>IF(AND($F51&lt;&gt;"", $F51&gt;=AK$5-4, $F51&lt;=AK$5, COUNTIF($M51:AJ51,"u")=0), "u", "")</f>
        <v/>
      </c>
      <c r="AL51" s="80" t="str">
        <f>IF(AND($F51&lt;&gt;"", $F51&gt;=AL$5-4, $F51&lt;=AL$5, COUNTIF($M51:AK51,"u")=0), "u", "")</f>
        <v/>
      </c>
      <c r="AM51" s="80" t="str">
        <f>IF(AND($F51&lt;&gt;"", $F51&gt;=AM$5-4, $F51&lt;=AM$5, COUNTIF($M51:AL51,"u")=0), "u", "")</f>
        <v/>
      </c>
      <c r="AN51" s="80" t="str">
        <f>IF(AND($F51&lt;&gt;"", $F51&gt;=AN$5-4, $F51&lt;=AN$5, COUNTIF($M51:AM51,"u")=0), "u", "")</f>
        <v/>
      </c>
      <c r="AO51" s="80" t="str">
        <f>IF(AND($F51&lt;&gt;"", $F51&gt;=AO$5-4, $F51&lt;=AO$5, COUNTIF($M51:AN51,"u")=0), "u", "")</f>
        <v/>
      </c>
      <c r="AP51" s="80" t="str">
        <f>IF(AND($F51&lt;&gt;"", $F51&gt;=AP$5-4, $F51&lt;=AP$5, COUNTIF($M51:AO51,"u")=0), "u", "")</f>
        <v/>
      </c>
      <c r="AQ51" s="80" t="str">
        <f>IF(AND($F51&lt;&gt;"", $F51&gt;=AQ$5-4, $F51&lt;=AQ$5, COUNTIF($M51:AP51,"u")=0), "u", "")</f>
        <v/>
      </c>
      <c r="AR51" s="80" t="str">
        <f>IF(AND($F51&lt;&gt;"", $F51&gt;=AR$5-4, $F51&lt;=AR$5, COUNTIF($M51:AQ51,"u")=0), "u", "")</f>
        <v/>
      </c>
      <c r="AS51" s="80" t="str">
        <f>IF(AND($F51&lt;&gt;"", $F51&gt;=AS$5-4, $F51&lt;=AS$5, COUNTIF($M51:AR51,"u")=0), "u", "")</f>
        <v/>
      </c>
      <c r="AT51" s="80" t="str">
        <f>IF(AND($F51&lt;&gt;"", $F51&gt;=AT$5-4, $F51&lt;=AT$5, COUNTIF($M51:AS51,"u")=0), "u", "")</f>
        <v/>
      </c>
      <c r="AU51" s="80" t="str">
        <f>IF(AND($F51&lt;&gt;"", $F51&gt;=AU$5-4, $F51&lt;=AU$5, COUNTIF($M51:AT51,"u")=0), "u", "")</f>
        <v/>
      </c>
      <c r="AV51" s="80" t="str">
        <f>IF(AND($F51&lt;&gt;"", $F51&gt;=AV$5-4, $F51&lt;=AV$5, COUNTIF($M51:AU51,"u")=0), "u", "")</f>
        <v/>
      </c>
      <c r="AW51" s="80" t="str">
        <f>IF(AND($F51&lt;&gt;"", $F51&gt;=AW$5-4, $F51&lt;=AW$5, COUNTIF($M51:AV51,"u")=0), "u", "")</f>
        <v/>
      </c>
      <c r="AX51" s="80" t="str">
        <f>IF(AND($F51&lt;&gt;"", $F51&gt;=AX$5-4, $F51&lt;=AX$5, COUNTIF($M51:AW51,"u")=0), "u", "")</f>
        <v/>
      </c>
      <c r="AY51" s="80" t="str">
        <f>IF(AND($F51&lt;&gt;"", $F51&gt;=AY$5-4, $F51&lt;=AY$5, COUNTIF($M51:AX51,"u")=0), "u", "")</f>
        <v/>
      </c>
      <c r="AZ51" s="80" t="str">
        <f>IF(AND($F51&lt;&gt;"", $F51&gt;=AZ$5-4, $F51&lt;=AZ$5, COUNTIF($M51:AY51,"u")=0), "u", "")</f>
        <v/>
      </c>
      <c r="BA51" s="80" t="str">
        <f>IF(AND($F51&lt;&gt;"", $F51&gt;=BA$5-4, $F51&lt;=BA$5, COUNTIF($M51:AZ51,"u")=0), "u", "")</f>
        <v/>
      </c>
      <c r="BB51" s="80" t="str">
        <f>IF(AND($F51&lt;&gt;"", $F51&gt;=BB$5-4, $F51&lt;=BB$5, COUNTIF($M51:BA51,"u")=0), "u", "")</f>
        <v/>
      </c>
      <c r="BC51" s="80" t="str">
        <f>IF(AND($F51&lt;&gt;"", $F51&gt;=BC$5-4, $F51&lt;=BC$5, COUNTIF($M51:BB51,"u")=0), "u", "")</f>
        <v/>
      </c>
      <c r="BD51" s="80" t="str">
        <f>IF(AND($F51&lt;&gt;"", $F51&gt;=BD$5-4, $F51&lt;=BD$5, COUNTIF($M51:BC51,"u")=0), "u", "")</f>
        <v/>
      </c>
      <c r="BE51" s="80" t="str">
        <f>IF(AND($F51&lt;&gt;"", $F51&gt;=BE$5-4, $F51&lt;=BE$5, COUNTIF($M51:BD51,"u")=0), "u", "")</f>
        <v/>
      </c>
      <c r="BF51" s="80" t="str">
        <f>IF(AND($F51&lt;&gt;"", $F51&gt;=BF$5-4, $F51&lt;=BF$5, COUNTIF($M51:BE51,"u")=0), "u", "")</f>
        <v/>
      </c>
      <c r="BG51" s="80" t="str">
        <f>IF(AND($F51&lt;&gt;"", $F51&gt;=BG$5-4, $F51&lt;=BG$5, COUNTIF($M51:BF51,"u")=0), "u", "")</f>
        <v/>
      </c>
      <c r="BH51" s="80" t="str">
        <f>IF(AND($F51&lt;&gt;"", $F51&gt;=BH$5-4, $F51&lt;=BH$5, COUNTIF($M51:BG51,"u")=0), "u", "")</f>
        <v/>
      </c>
      <c r="BI51" s="80" t="str">
        <f>IF(AND($F51&lt;&gt;"", $F51&gt;=BI$5-4, $F51&lt;=BI$5, COUNTIF($M51:BH51,"u")=0), "u", "")</f>
        <v/>
      </c>
      <c r="BJ51" s="80" t="str">
        <f>IF(AND($F51&lt;&gt;"", $F51&gt;=BJ$5-4, $F51&lt;=BJ$5, COUNTIF($M51:BI51,"u")=0), "u", "")</f>
        <v/>
      </c>
      <c r="BK51" s="80" t="str">
        <f>IF(AND($F51&lt;&gt;"", $F51&gt;=BK$5-4, $F51&lt;=BK$5, COUNTIF($M51:BJ51,"u")=0), "u", "")</f>
        <v/>
      </c>
      <c r="BL51" s="80" t="str">
        <f>IF(AND($F51&lt;&gt;"", $F51&gt;=BL$5-4, $F51&lt;=BL$5, COUNTIF($M51:BK51,"u")=0), "u", "")</f>
        <v/>
      </c>
      <c r="BM51" s="80" t="str">
        <f>IF(AND($F51&lt;&gt;"", $F51&gt;=BM$5-4, $F51&lt;=BM$5, COUNTIF($M51:BL51,"u")=0), "u", "")</f>
        <v/>
      </c>
      <c r="BN51" s="80" t="str">
        <f>IF(AND($F51&lt;&gt;"", $F51&gt;=BN$5-4, $F51&lt;=BN$5, COUNTIF($M51:BM51,"u")=0), "u", "")</f>
        <v/>
      </c>
      <c r="BO51" s="80" t="str">
        <f>IF(AND($F51&lt;&gt;"", $F51&gt;=BO$5-4, $F51&lt;=BO$5, COUNTIF($M51:BN51,"u")=0), "u", "")</f>
        <v/>
      </c>
      <c r="BP51" s="80" t="str">
        <f>IF(AND($F51&lt;&gt;"", $F51&gt;=BP$5-4, $F51&lt;=BP$5, COUNTIF($M51:BO51,"u")=0), "u", "")</f>
        <v/>
      </c>
      <c r="BQ51" s="80" t="str">
        <f>IF(AND($F51&lt;&gt;"", $F51&gt;=BQ$5-4, $F51&lt;=BQ$5, COUNTIF($M51:BP51,"u")=0), "u", "")</f>
        <v/>
      </c>
      <c r="BR51" s="80" t="str">
        <f>IF(AND($F51&lt;&gt;"", $F51&gt;=BR$5-4, $F51&lt;=BR$5, COUNTIF($M51:BQ51,"u")=0), "u", "")</f>
        <v/>
      </c>
      <c r="BS51" s="80" t="str">
        <f>IF(AND($F51&lt;&gt;"", $F51&gt;=BS$5-4, $F51&lt;=BS$5, COUNTIF($M51:BR51,"u")=0), "u", "")</f>
        <v/>
      </c>
      <c r="BT51" s="80" t="str">
        <f>IF(AND($F51&lt;&gt;"", $F51&gt;=BT$5-4, $F51&lt;=BT$5, COUNTIF($M51:BS51,"u")=0), "u", "")</f>
        <v/>
      </c>
      <c r="BU51" s="80" t="str">
        <f>IF(AND($F51&lt;&gt;"", $F51&gt;=BU$5-4, $F51&lt;=BU$5, COUNTIF($M51:BT51,"u")=0), "u", "")</f>
        <v/>
      </c>
      <c r="BV51" s="80" t="str">
        <f>IF(AND($F51&lt;&gt;"", $F51&gt;=BV$5-4, $F51&lt;=BV$5, COUNTIF($M51:BU51,"u")=0), "u", "")</f>
        <v/>
      </c>
      <c r="BW51" s="80" t="str">
        <f>IF(AND($F51&lt;&gt;"", $F51&gt;=BW$5-4, $F51&lt;=BW$5, COUNTIF($M51:BV51,"u")=0), "u", "")</f>
        <v/>
      </c>
      <c r="BX51" s="80" t="str">
        <f>IF(AND($F51&lt;&gt;"", $F51&gt;=BX$5-4, $F51&lt;=BX$5, COUNTIF($M51:BW51,"u")=0), "u", "")</f>
        <v/>
      </c>
      <c r="BY51" s="80" t="str">
        <f>IF(AND($F51&lt;&gt;"", $F51&gt;=BY$5-4, $F51&lt;=BY$5, COUNTIF($M51:BX51,"u")=0), "u", "")</f>
        <v/>
      </c>
      <c r="BZ51" s="80" t="str">
        <f>IF(AND($F51&lt;&gt;"", $F51&gt;=BZ$5-4, $F51&lt;=BZ$5, COUNTIF($M51:BY51,"u")=0), "u", "")</f>
        <v/>
      </c>
      <c r="CA51" s="80" t="str">
        <f>IF(AND($F51&lt;&gt;"", $F51&gt;=CA$5-4, $F51&lt;=CA$5, COUNTIF($M51:BZ51,"u")=0), "u", "")</f>
        <v/>
      </c>
      <c r="CB51" s="80" t="str">
        <f>IF(AND($F51&lt;&gt;"", $F51&gt;=CB$5-4, $F51&lt;=CB$5, COUNTIF($M51:CA51,"u")=0), "u", "")</f>
        <v/>
      </c>
      <c r="CC51" s="80" t="str">
        <f>IF(AND($F51&lt;&gt;"", $F51&gt;=CC$5-4, $F51&lt;=CC$5, COUNTIF($M51:CB51,"u")=0), "u", "")</f>
        <v/>
      </c>
      <c r="CD51" s="80" t="str">
        <f>IF(AND($F51&lt;&gt;"", $F51&gt;=CD$5-4, $F51&lt;=CD$5, COUNTIF($M51:CC51,"u")=0), "u", "")</f>
        <v/>
      </c>
      <c r="CE51" s="80" t="str">
        <f>IF(AND($F51&lt;&gt;"", $F51&gt;=CE$5-4, $F51&lt;=CE$5, COUNTIF($M51:CD51,"u")=0), "u", "")</f>
        <v/>
      </c>
      <c r="CF51" s="80" t="str">
        <f>IF(AND($F51&lt;&gt;"", $F51&gt;=CF$5-4, $F51&lt;=CF$5, COUNTIF($M51:CE51,"u")=0), "u", "")</f>
        <v/>
      </c>
      <c r="CG51" s="80" t="str">
        <f>IF(AND($F51&lt;&gt;"", $F51&gt;=CG$5-4, $F51&lt;=CG$5, COUNTIF($M51:CF51,"u")=0), "u", "")</f>
        <v/>
      </c>
      <c r="CH51" s="80" t="str">
        <f>IF(AND($F51&lt;&gt;"", $F51&gt;=CH$5-4, $F51&lt;=CH$5, COUNTIF($M51:CG51,"u")=0), "u", "")</f>
        <v/>
      </c>
      <c r="CI51" s="80" t="str">
        <f>IF(AND($F51&lt;&gt;"", $F51&gt;=CI$5-4, $F51&lt;=CI$5, COUNTIF($M51:CH51,"u")=0), "u", "")</f>
        <v/>
      </c>
      <c r="CJ51" s="80" t="str">
        <f>IF(AND($F51&lt;&gt;"", $F51&gt;=CJ$5-4, $F51&lt;=CJ$5, COUNTIF($M51:CI51,"u")=0), "u", "")</f>
        <v/>
      </c>
      <c r="CK51" s="80" t="str">
        <f>IF(AND($F51&lt;&gt;"", $F51&gt;=CK$5-4, $F51&lt;=CK$5, COUNTIF($M51:CJ51,"u")=0), "u", "")</f>
        <v/>
      </c>
      <c r="CL51" s="80" t="str">
        <f>IF(AND($F51&lt;&gt;"", $F51&gt;=CL$5-4, $F51&lt;=CL$5, COUNTIF($M51:CK51,"u")=0), "u", "")</f>
        <v/>
      </c>
      <c r="CM51" s="80" t="str">
        <f>IF(AND($F51&lt;&gt;"", $F51&gt;=CM$5-4, $F51&lt;=CM$5, COUNTIF($M51:CL51,"u")=0), "u", "")</f>
        <v/>
      </c>
      <c r="CN51" s="80" t="str">
        <f>IF(AND($F51&lt;&gt;"", $F51&gt;=CN$5-4, $F51&lt;=CN$5, COUNTIF($M51:CM51,"u")=0), "u", "")</f>
        <v/>
      </c>
      <c r="CO51" s="80" t="str">
        <f>IF(AND($F51&lt;&gt;"", $F51&gt;=CO$5-4, $F51&lt;=CO$5, COUNTIF($M51:CN51,"u")=0), "u", "")</f>
        <v/>
      </c>
      <c r="CP51" s="80" t="str">
        <f>IF(AND($F51&lt;&gt;"", $F51&gt;=CP$5-4, $F51&lt;=CP$5, COUNTIF($M51:CO51,"u")=0), "u", "")</f>
        <v/>
      </c>
      <c r="CQ51" s="80" t="str">
        <f>IF(AND($F51&lt;&gt;"", $F51&gt;=CQ$5-4, $F51&lt;=CQ$5, COUNTIF($M51:CP51,"u")=0), "u", "")</f>
        <v/>
      </c>
      <c r="CR51" s="80" t="str">
        <f>IF(AND($F51&lt;&gt;"", $F51&gt;=CR$5-4, $F51&lt;=CR$5, COUNTIF($M51:CQ51,"u")=0), "u", "")</f>
        <v/>
      </c>
      <c r="CS51" s="80" t="str">
        <f>IF(AND($F51&lt;&gt;"", $F51&gt;=CS$5-4, $F51&lt;=CS$5, COUNTIF($M51:CR51,"u")=0), "u", "")</f>
        <v/>
      </c>
      <c r="CT51" s="80" t="str">
        <f>IF(AND($F51&lt;&gt;"", $F51&gt;=CT$5-4, $F51&lt;=CT$5, COUNTIF($M51:CS51,"u")=0), "u", "")</f>
        <v/>
      </c>
      <c r="CU51" s="80" t="str">
        <f>IF(AND($F51&lt;&gt;"", $F51&gt;=CU$5-4, $F51&lt;=CU$5, COUNTIF($M51:CT51,"u")=0), "u", "")</f>
        <v/>
      </c>
      <c r="CV51" s="80" t="str">
        <f>IF(AND($F51&lt;&gt;"", $F51&gt;=CV$5-4, $F51&lt;=CV$5, COUNTIF($M51:CU51,"u")=0), "u", "")</f>
        <v/>
      </c>
      <c r="CW51" s="80" t="str">
        <f>IF(AND($F51&lt;&gt;"", $F51&gt;=CW$5-4, $F51&lt;=CW$5, COUNTIF($M51:CV51,"u")=0), "u", "")</f>
        <v/>
      </c>
      <c r="CX51" s="80" t="str">
        <f>IF(AND($F51&lt;&gt;"", $F51&gt;=CX$5-4, $F51&lt;=CX$5, COUNTIF($M51:CW51,"u")=0), "u", "")</f>
        <v/>
      </c>
      <c r="CY51" s="80" t="str">
        <f>IF(AND($F51&lt;&gt;"", $F51&gt;=CY$5-4, $F51&lt;=CY$5, COUNTIF($M51:CX51,"u")=0), "u", "")</f>
        <v/>
      </c>
      <c r="CZ51" s="80" t="str">
        <f>IF(AND($F51&lt;&gt;"", $F51&gt;=CZ$5-4, $F51&lt;=CZ$5, COUNTIF($M51:CY51,"u")=0), "u", "")</f>
        <v/>
      </c>
      <c r="DA51" s="80" t="str">
        <f>IF(AND($F51&lt;&gt;"", $F51&gt;=DA$5-4, $F51&lt;=DA$5, COUNTIF($M51:CZ51,"u")=0), "u", "")</f>
        <v/>
      </c>
      <c r="DB51" s="80" t="str">
        <f>IF(AND($F51&lt;&gt;"", $F51&gt;=DB$5-4, $F51&lt;=DB$5, COUNTIF($M51:DA51,"u")=0), "u", "")</f>
        <v/>
      </c>
      <c r="DC51" s="80" t="str">
        <f>IF(AND($F51&lt;&gt;"", $F51&gt;=DC$5-4, $F51&lt;=DC$5, COUNTIF($M51:DB51,"u")=0), "u", "")</f>
        <v/>
      </c>
      <c r="DD51" s="80" t="str">
        <f>IF(AND($F51&lt;&gt;"", $F51&gt;=DD$5-4, $F51&lt;=DD$5, COUNTIF($M51:DC51,"u")=0), "u", "")</f>
        <v/>
      </c>
      <c r="DE51" s="80" t="str">
        <f>IF(AND($F51&lt;&gt;"", $F51&gt;=DE$5-4, $F51&lt;=DE$5, COUNTIF($M51:DD51,"u")=0), "u", "")</f>
        <v/>
      </c>
      <c r="DF51" s="80" t="str">
        <f>IF(AND($F51&lt;&gt;"", $F51&gt;=DF$5-4, $F51&lt;=DF$5, COUNTIF($M51:DE51,"u")=0), "u", "")</f>
        <v/>
      </c>
      <c r="DG51" s="80" t="str">
        <f>IF(AND($F51&lt;&gt;"", $F51&gt;=DG$5-4, $F51&lt;=DG$5, COUNTIF($M51:DF51,"u")=0), "u", "")</f>
        <v/>
      </c>
      <c r="DH51" s="80" t="str">
        <f>IF(AND($F51&lt;&gt;"", $F51&gt;=DH$5-4, $F51&lt;=DH$5, COUNTIF($M51:DG51,"u")=0), "u", "")</f>
        <v/>
      </c>
      <c r="DI51" s="80" t="str">
        <f>IF(AND($F51&lt;&gt;"", $F51&gt;=DI$5-4, $F51&lt;=DI$5, COUNTIF($M51:DH51,"u")=0), "u", "")</f>
        <v/>
      </c>
      <c r="DJ51" s="80" t="str">
        <f>IF(AND($F51&lt;&gt;"", $F51&gt;=DJ$5-4, $F51&lt;=DJ$5, COUNTIF($M51:DI51,"u")=0), "u", "")</f>
        <v/>
      </c>
      <c r="DK51" s="80" t="str">
        <f>IF(AND($F51&lt;&gt;"", $F51&gt;=DK$5-4, $F51&lt;=DK$5, COUNTIF($M51:DJ51,"u")=0), "u", "")</f>
        <v/>
      </c>
      <c r="DL51" s="80" t="str">
        <f>IF(AND($F51&lt;&gt;"", $F51&gt;=DL$5-4, $F51&lt;=DL$5, COUNTIF($M51:DK51,"u")=0), "u", "")</f>
        <v/>
      </c>
    </row>
    <row r="52" spans="1:116" ht="25.05" customHeight="1" x14ac:dyDescent="0.3">
      <c r="A52" s="39"/>
      <c r="B52" s="75">
        <v>47</v>
      </c>
      <c r="C52" s="97"/>
      <c r="D52" s="92"/>
      <c r="E52" s="53"/>
      <c r="F52" s="53"/>
      <c r="G52" s="83" t="str">
        <f t="shared" si="47"/>
        <v/>
      </c>
      <c r="H52" s="83" t="str">
        <f t="shared" si="47"/>
        <v/>
      </c>
      <c r="I52" s="77" t="str">
        <f t="shared" si="45"/>
        <v/>
      </c>
      <c r="J52" s="78"/>
      <c r="K52" s="86"/>
      <c r="L52" s="56"/>
      <c r="M52" s="80" t="str">
        <f t="shared" si="46"/>
        <v/>
      </c>
      <c r="N52" s="80" t="str">
        <f>IF(AND($F52&lt;&gt;"", $F52&gt;=N$5-4, $F52&lt;=N$5, COUNTIF($M52:M52,"u")=0), "u", "")</f>
        <v/>
      </c>
      <c r="O52" s="80" t="str">
        <f>IF(AND($F52&lt;&gt;"", $F52&gt;=O$5-4, $F52&lt;=O$5, COUNTIF($M52:N52,"u")=0), "u", "")</f>
        <v/>
      </c>
      <c r="P52" s="80" t="str">
        <f>IF(AND($F52&lt;&gt;"", $F52&gt;=P$5-4, $F52&lt;=P$5, COUNTIF($M52:O52,"u")=0), "u", "")</f>
        <v/>
      </c>
      <c r="Q52" s="80" t="str">
        <f>IF(AND($F52&lt;&gt;"", $F52&gt;=Q$5-4, $F52&lt;=Q$5, COUNTIF($M52:P52,"u")=0), "u", "")</f>
        <v/>
      </c>
      <c r="R52" s="80" t="str">
        <f>IF(AND($F52&lt;&gt;"", $F52&gt;=R$5-4, $F52&lt;=R$5, COUNTIF($M52:Q52,"u")=0), "u", "")</f>
        <v/>
      </c>
      <c r="S52" s="80" t="str">
        <f>IF(AND($F52&lt;&gt;"", $F52&gt;=S$5-4, $F52&lt;=S$5, COUNTIF($M52:R52,"u")=0), "u", "")</f>
        <v/>
      </c>
      <c r="T52" s="80" t="str">
        <f>IF(AND($F52&lt;&gt;"", $F52&gt;=T$5-4, $F52&lt;=T$5, COUNTIF($M52:S52,"u")=0), "u", "")</f>
        <v/>
      </c>
      <c r="U52" s="80" t="str">
        <f>IF(AND($F52&lt;&gt;"", $F52&gt;=U$5-4, $F52&lt;=U$5, COUNTIF($M52:T52,"u")=0), "u", "")</f>
        <v/>
      </c>
      <c r="V52" s="80" t="str">
        <f>IF(AND($F52&lt;&gt;"", $F52&gt;=V$5-4, $F52&lt;=V$5, COUNTIF($M52:U52,"u")=0), "u", "")</f>
        <v/>
      </c>
      <c r="W52" s="80" t="str">
        <f>IF(AND($F52&lt;&gt;"", $F52&gt;=W$5-4, $F52&lt;=W$5, COUNTIF($M52:V52,"u")=0), "u", "")</f>
        <v/>
      </c>
      <c r="X52" s="80" t="str">
        <f>IF(AND($F52&lt;&gt;"", $F52&gt;=X$5-4, $F52&lt;=X$5, COUNTIF($M52:W52,"u")=0), "u", "")</f>
        <v/>
      </c>
      <c r="Y52" s="80" t="str">
        <f>IF(AND($F52&lt;&gt;"", $F52&gt;=Y$5-4, $F52&lt;=Y$5, COUNTIF($M52:X52,"u")=0), "u", "")</f>
        <v/>
      </c>
      <c r="Z52" s="80" t="str">
        <f>IF(AND($F52&lt;&gt;"", $F52&gt;=Z$5-4, $F52&lt;=Z$5, COUNTIF($M52:Y52,"u")=0), "u", "")</f>
        <v/>
      </c>
      <c r="AA52" s="80" t="str">
        <f>IF(AND($F52&lt;&gt;"", $F52&gt;=AA$5-4, $F52&lt;=AA$5, COUNTIF($M52:Z52,"u")=0), "u", "")</f>
        <v/>
      </c>
      <c r="AB52" s="80" t="str">
        <f>IF(AND($F52&lt;&gt;"", $F52&gt;=AB$5-4, $F52&lt;=AB$5, COUNTIF($M52:AA52,"u")=0), "u", "")</f>
        <v/>
      </c>
      <c r="AC52" s="80" t="str">
        <f>IF(AND($F52&lt;&gt;"", $F52&gt;=AC$5-4, $F52&lt;=AC$5, COUNTIF($M52:AB52,"u")=0), "u", "")</f>
        <v/>
      </c>
      <c r="AD52" s="80" t="str">
        <f>IF(AND($F52&lt;&gt;"", $F52&gt;=AD$5-4, $F52&lt;=AD$5, COUNTIF($M52:AC52,"u")=0), "u", "")</f>
        <v/>
      </c>
      <c r="AE52" s="80" t="str">
        <f>IF(AND($F52&lt;&gt;"", $F52&gt;=AE$5-4, $F52&lt;=AE$5, COUNTIF($M52:AD52,"u")=0), "u", "")</f>
        <v/>
      </c>
      <c r="AF52" s="80" t="str">
        <f>IF(AND($F52&lt;&gt;"", $F52&gt;=AF$5-4, $F52&lt;=AF$5, COUNTIF($M52:AE52,"u")=0), "u", "")</f>
        <v/>
      </c>
      <c r="AG52" s="80" t="str">
        <f>IF(AND($F52&lt;&gt;"", $F52&gt;=AG$5-4, $F52&lt;=AG$5, COUNTIF($M52:AF52,"u")=0), "u", "")</f>
        <v/>
      </c>
      <c r="AH52" s="80" t="str">
        <f>IF(AND($F52&lt;&gt;"", $F52&gt;=AH$5-4, $F52&lt;=AH$5, COUNTIF($M52:AG52,"u")=0), "u", "")</f>
        <v/>
      </c>
      <c r="AI52" s="80" t="str">
        <f>IF(AND($F52&lt;&gt;"", $F52&gt;=AI$5-4, $F52&lt;=AI$5, COUNTIF($M52:AH52,"u")=0), "u", "")</f>
        <v/>
      </c>
      <c r="AJ52" s="80" t="str">
        <f>IF(AND($F52&lt;&gt;"", $F52&gt;=AJ$5-4, $F52&lt;=AJ$5, COUNTIF($M52:AI52,"u")=0), "u", "")</f>
        <v/>
      </c>
      <c r="AK52" s="80" t="str">
        <f>IF(AND($F52&lt;&gt;"", $F52&gt;=AK$5-4, $F52&lt;=AK$5, COUNTIF($M52:AJ52,"u")=0), "u", "")</f>
        <v/>
      </c>
      <c r="AL52" s="80" t="str">
        <f>IF(AND($F52&lt;&gt;"", $F52&gt;=AL$5-4, $F52&lt;=AL$5, COUNTIF($M52:AK52,"u")=0), "u", "")</f>
        <v/>
      </c>
      <c r="AM52" s="80" t="str">
        <f>IF(AND($F52&lt;&gt;"", $F52&gt;=AM$5-4, $F52&lt;=AM$5, COUNTIF($M52:AL52,"u")=0), "u", "")</f>
        <v/>
      </c>
      <c r="AN52" s="80" t="str">
        <f>IF(AND($F52&lt;&gt;"", $F52&gt;=AN$5-4, $F52&lt;=AN$5, COUNTIF($M52:AM52,"u")=0), "u", "")</f>
        <v/>
      </c>
      <c r="AO52" s="80" t="str">
        <f>IF(AND($F52&lt;&gt;"", $F52&gt;=AO$5-4, $F52&lt;=AO$5, COUNTIF($M52:AN52,"u")=0), "u", "")</f>
        <v/>
      </c>
      <c r="AP52" s="80" t="str">
        <f>IF(AND($F52&lt;&gt;"", $F52&gt;=AP$5-4, $F52&lt;=AP$5, COUNTIF($M52:AO52,"u")=0), "u", "")</f>
        <v/>
      </c>
      <c r="AQ52" s="80" t="str">
        <f>IF(AND($F52&lt;&gt;"", $F52&gt;=AQ$5-4, $F52&lt;=AQ$5, COUNTIF($M52:AP52,"u")=0), "u", "")</f>
        <v/>
      </c>
      <c r="AR52" s="80" t="str">
        <f>IF(AND($F52&lt;&gt;"", $F52&gt;=AR$5-4, $F52&lt;=AR$5, COUNTIF($M52:AQ52,"u")=0), "u", "")</f>
        <v/>
      </c>
      <c r="AS52" s="80" t="str">
        <f>IF(AND($F52&lt;&gt;"", $F52&gt;=AS$5-4, $F52&lt;=AS$5, COUNTIF($M52:AR52,"u")=0), "u", "")</f>
        <v/>
      </c>
      <c r="AT52" s="80" t="str">
        <f>IF(AND($F52&lt;&gt;"", $F52&gt;=AT$5-4, $F52&lt;=AT$5, COUNTIF($M52:AS52,"u")=0), "u", "")</f>
        <v/>
      </c>
      <c r="AU52" s="80" t="str">
        <f>IF(AND($F52&lt;&gt;"", $F52&gt;=AU$5-4, $F52&lt;=AU$5, COUNTIF($M52:AT52,"u")=0), "u", "")</f>
        <v/>
      </c>
      <c r="AV52" s="80" t="str">
        <f>IF(AND($F52&lt;&gt;"", $F52&gt;=AV$5-4, $F52&lt;=AV$5, COUNTIF($M52:AU52,"u")=0), "u", "")</f>
        <v/>
      </c>
      <c r="AW52" s="80" t="str">
        <f>IF(AND($F52&lt;&gt;"", $F52&gt;=AW$5-4, $F52&lt;=AW$5, COUNTIF($M52:AV52,"u")=0), "u", "")</f>
        <v/>
      </c>
      <c r="AX52" s="80" t="str">
        <f>IF(AND($F52&lt;&gt;"", $F52&gt;=AX$5-4, $F52&lt;=AX$5, COUNTIF($M52:AW52,"u")=0), "u", "")</f>
        <v/>
      </c>
      <c r="AY52" s="80" t="str">
        <f>IF(AND($F52&lt;&gt;"", $F52&gt;=AY$5-4, $F52&lt;=AY$5, COUNTIF($M52:AX52,"u")=0), "u", "")</f>
        <v/>
      </c>
      <c r="AZ52" s="80" t="str">
        <f>IF(AND($F52&lt;&gt;"", $F52&gt;=AZ$5-4, $F52&lt;=AZ$5, COUNTIF($M52:AY52,"u")=0), "u", "")</f>
        <v/>
      </c>
      <c r="BA52" s="80" t="str">
        <f>IF(AND($F52&lt;&gt;"", $F52&gt;=BA$5-4, $F52&lt;=BA$5, COUNTIF($M52:AZ52,"u")=0), "u", "")</f>
        <v/>
      </c>
      <c r="BB52" s="80" t="str">
        <f>IF(AND($F52&lt;&gt;"", $F52&gt;=BB$5-4, $F52&lt;=BB$5, COUNTIF($M52:BA52,"u")=0), "u", "")</f>
        <v/>
      </c>
      <c r="BC52" s="80" t="str">
        <f>IF(AND($F52&lt;&gt;"", $F52&gt;=BC$5-4, $F52&lt;=BC$5, COUNTIF($M52:BB52,"u")=0), "u", "")</f>
        <v/>
      </c>
      <c r="BD52" s="80" t="str">
        <f>IF(AND($F52&lt;&gt;"", $F52&gt;=BD$5-4, $F52&lt;=BD$5, COUNTIF($M52:BC52,"u")=0), "u", "")</f>
        <v/>
      </c>
      <c r="BE52" s="80" t="str">
        <f>IF(AND($F52&lt;&gt;"", $F52&gt;=BE$5-4, $F52&lt;=BE$5, COUNTIF($M52:BD52,"u")=0), "u", "")</f>
        <v/>
      </c>
      <c r="BF52" s="80" t="str">
        <f>IF(AND($F52&lt;&gt;"", $F52&gt;=BF$5-4, $F52&lt;=BF$5, COUNTIF($M52:BE52,"u")=0), "u", "")</f>
        <v/>
      </c>
      <c r="BG52" s="80" t="str">
        <f>IF(AND($F52&lt;&gt;"", $F52&gt;=BG$5-4, $F52&lt;=BG$5, COUNTIF($M52:BF52,"u")=0), "u", "")</f>
        <v/>
      </c>
      <c r="BH52" s="80" t="str">
        <f>IF(AND($F52&lt;&gt;"", $F52&gt;=BH$5-4, $F52&lt;=BH$5, COUNTIF($M52:BG52,"u")=0), "u", "")</f>
        <v/>
      </c>
      <c r="BI52" s="80" t="str">
        <f>IF(AND($F52&lt;&gt;"", $F52&gt;=BI$5-4, $F52&lt;=BI$5, COUNTIF($M52:BH52,"u")=0), "u", "")</f>
        <v/>
      </c>
      <c r="BJ52" s="80" t="str">
        <f>IF(AND($F52&lt;&gt;"", $F52&gt;=BJ$5-4, $F52&lt;=BJ$5, COUNTIF($M52:BI52,"u")=0), "u", "")</f>
        <v/>
      </c>
      <c r="BK52" s="80" t="str">
        <f>IF(AND($F52&lt;&gt;"", $F52&gt;=BK$5-4, $F52&lt;=BK$5, COUNTIF($M52:BJ52,"u")=0), "u", "")</f>
        <v/>
      </c>
      <c r="BL52" s="80" t="str">
        <f>IF(AND($F52&lt;&gt;"", $F52&gt;=BL$5-4, $F52&lt;=BL$5, COUNTIF($M52:BK52,"u")=0), "u", "")</f>
        <v/>
      </c>
      <c r="BM52" s="80" t="str">
        <f>IF(AND($F52&lt;&gt;"", $F52&gt;=BM$5-4, $F52&lt;=BM$5, COUNTIF($M52:BL52,"u")=0), "u", "")</f>
        <v/>
      </c>
      <c r="BN52" s="80" t="str">
        <f>IF(AND($F52&lt;&gt;"", $F52&gt;=BN$5-4, $F52&lt;=BN$5, COUNTIF($M52:BM52,"u")=0), "u", "")</f>
        <v/>
      </c>
      <c r="BO52" s="80" t="str">
        <f>IF(AND($F52&lt;&gt;"", $F52&gt;=BO$5-4, $F52&lt;=BO$5, COUNTIF($M52:BN52,"u")=0), "u", "")</f>
        <v/>
      </c>
      <c r="BP52" s="80" t="str">
        <f>IF(AND($F52&lt;&gt;"", $F52&gt;=BP$5-4, $F52&lt;=BP$5, COUNTIF($M52:BO52,"u")=0), "u", "")</f>
        <v/>
      </c>
      <c r="BQ52" s="80" t="str">
        <f>IF(AND($F52&lt;&gt;"", $F52&gt;=BQ$5-4, $F52&lt;=BQ$5, COUNTIF($M52:BP52,"u")=0), "u", "")</f>
        <v/>
      </c>
      <c r="BR52" s="80" t="str">
        <f>IF(AND($F52&lt;&gt;"", $F52&gt;=BR$5-4, $F52&lt;=BR$5, COUNTIF($M52:BQ52,"u")=0), "u", "")</f>
        <v/>
      </c>
      <c r="BS52" s="80" t="str">
        <f>IF(AND($F52&lt;&gt;"", $F52&gt;=BS$5-4, $F52&lt;=BS$5, COUNTIF($M52:BR52,"u")=0), "u", "")</f>
        <v/>
      </c>
      <c r="BT52" s="80" t="str">
        <f>IF(AND($F52&lt;&gt;"", $F52&gt;=BT$5-4, $F52&lt;=BT$5, COUNTIF($M52:BS52,"u")=0), "u", "")</f>
        <v/>
      </c>
      <c r="BU52" s="80" t="str">
        <f>IF(AND($F52&lt;&gt;"", $F52&gt;=BU$5-4, $F52&lt;=BU$5, COUNTIF($M52:BT52,"u")=0), "u", "")</f>
        <v/>
      </c>
      <c r="BV52" s="80" t="str">
        <f>IF(AND($F52&lt;&gt;"", $F52&gt;=BV$5-4, $F52&lt;=BV$5, COUNTIF($M52:BU52,"u")=0), "u", "")</f>
        <v/>
      </c>
      <c r="BW52" s="80" t="str">
        <f>IF(AND($F52&lt;&gt;"", $F52&gt;=BW$5-4, $F52&lt;=BW$5, COUNTIF($M52:BV52,"u")=0), "u", "")</f>
        <v/>
      </c>
      <c r="BX52" s="80" t="str">
        <f>IF(AND($F52&lt;&gt;"", $F52&gt;=BX$5-4, $F52&lt;=BX$5, COUNTIF($M52:BW52,"u")=0), "u", "")</f>
        <v/>
      </c>
      <c r="BY52" s="80" t="str">
        <f>IF(AND($F52&lt;&gt;"", $F52&gt;=BY$5-4, $F52&lt;=BY$5, COUNTIF($M52:BX52,"u")=0), "u", "")</f>
        <v/>
      </c>
      <c r="BZ52" s="80" t="str">
        <f>IF(AND($F52&lt;&gt;"", $F52&gt;=BZ$5-4, $F52&lt;=BZ$5, COUNTIF($M52:BY52,"u")=0), "u", "")</f>
        <v/>
      </c>
      <c r="CA52" s="80" t="str">
        <f>IF(AND($F52&lt;&gt;"", $F52&gt;=CA$5-4, $F52&lt;=CA$5, COUNTIF($M52:BZ52,"u")=0), "u", "")</f>
        <v/>
      </c>
      <c r="CB52" s="80" t="str">
        <f>IF(AND($F52&lt;&gt;"", $F52&gt;=CB$5-4, $F52&lt;=CB$5, COUNTIF($M52:CA52,"u")=0), "u", "")</f>
        <v/>
      </c>
      <c r="CC52" s="80" t="str">
        <f>IF(AND($F52&lt;&gt;"", $F52&gt;=CC$5-4, $F52&lt;=CC$5, COUNTIF($M52:CB52,"u")=0), "u", "")</f>
        <v/>
      </c>
      <c r="CD52" s="80" t="str">
        <f>IF(AND($F52&lt;&gt;"", $F52&gt;=CD$5-4, $F52&lt;=CD$5, COUNTIF($M52:CC52,"u")=0), "u", "")</f>
        <v/>
      </c>
      <c r="CE52" s="80" t="str">
        <f>IF(AND($F52&lt;&gt;"", $F52&gt;=CE$5-4, $F52&lt;=CE$5, COUNTIF($M52:CD52,"u")=0), "u", "")</f>
        <v/>
      </c>
      <c r="CF52" s="80" t="str">
        <f>IF(AND($F52&lt;&gt;"", $F52&gt;=CF$5-4, $F52&lt;=CF$5, COUNTIF($M52:CE52,"u")=0), "u", "")</f>
        <v/>
      </c>
      <c r="CG52" s="80" t="str">
        <f>IF(AND($F52&lt;&gt;"", $F52&gt;=CG$5-4, $F52&lt;=CG$5, COUNTIF($M52:CF52,"u")=0), "u", "")</f>
        <v/>
      </c>
      <c r="CH52" s="80" t="str">
        <f>IF(AND($F52&lt;&gt;"", $F52&gt;=CH$5-4, $F52&lt;=CH$5, COUNTIF($M52:CG52,"u")=0), "u", "")</f>
        <v/>
      </c>
      <c r="CI52" s="80" t="str">
        <f>IF(AND($F52&lt;&gt;"", $F52&gt;=CI$5-4, $F52&lt;=CI$5, COUNTIF($M52:CH52,"u")=0), "u", "")</f>
        <v/>
      </c>
      <c r="CJ52" s="80" t="str">
        <f>IF(AND($F52&lt;&gt;"", $F52&gt;=CJ$5-4, $F52&lt;=CJ$5, COUNTIF($M52:CI52,"u")=0), "u", "")</f>
        <v/>
      </c>
      <c r="CK52" s="80" t="str">
        <f>IF(AND($F52&lt;&gt;"", $F52&gt;=CK$5-4, $F52&lt;=CK$5, COUNTIF($M52:CJ52,"u")=0), "u", "")</f>
        <v/>
      </c>
      <c r="CL52" s="80" t="str">
        <f>IF(AND($F52&lt;&gt;"", $F52&gt;=CL$5-4, $F52&lt;=CL$5, COUNTIF($M52:CK52,"u")=0), "u", "")</f>
        <v/>
      </c>
      <c r="CM52" s="80" t="str">
        <f>IF(AND($F52&lt;&gt;"", $F52&gt;=CM$5-4, $F52&lt;=CM$5, COUNTIF($M52:CL52,"u")=0), "u", "")</f>
        <v/>
      </c>
      <c r="CN52" s="80" t="str">
        <f>IF(AND($F52&lt;&gt;"", $F52&gt;=CN$5-4, $F52&lt;=CN$5, COUNTIF($M52:CM52,"u")=0), "u", "")</f>
        <v/>
      </c>
      <c r="CO52" s="80" t="str">
        <f>IF(AND($F52&lt;&gt;"", $F52&gt;=CO$5-4, $F52&lt;=CO$5, COUNTIF($M52:CN52,"u")=0), "u", "")</f>
        <v/>
      </c>
      <c r="CP52" s="80" t="str">
        <f>IF(AND($F52&lt;&gt;"", $F52&gt;=CP$5-4, $F52&lt;=CP$5, COUNTIF($M52:CO52,"u")=0), "u", "")</f>
        <v/>
      </c>
      <c r="CQ52" s="80" t="str">
        <f>IF(AND($F52&lt;&gt;"", $F52&gt;=CQ$5-4, $F52&lt;=CQ$5, COUNTIF($M52:CP52,"u")=0), "u", "")</f>
        <v/>
      </c>
      <c r="CR52" s="80" t="str">
        <f>IF(AND($F52&lt;&gt;"", $F52&gt;=CR$5-4, $F52&lt;=CR$5, COUNTIF($M52:CQ52,"u")=0), "u", "")</f>
        <v/>
      </c>
      <c r="CS52" s="80" t="str">
        <f>IF(AND($F52&lt;&gt;"", $F52&gt;=CS$5-4, $F52&lt;=CS$5, COUNTIF($M52:CR52,"u")=0), "u", "")</f>
        <v/>
      </c>
      <c r="CT52" s="80" t="str">
        <f>IF(AND($F52&lt;&gt;"", $F52&gt;=CT$5-4, $F52&lt;=CT$5, COUNTIF($M52:CS52,"u")=0), "u", "")</f>
        <v/>
      </c>
      <c r="CU52" s="80" t="str">
        <f>IF(AND($F52&lt;&gt;"", $F52&gt;=CU$5-4, $F52&lt;=CU$5, COUNTIF($M52:CT52,"u")=0), "u", "")</f>
        <v/>
      </c>
      <c r="CV52" s="80" t="str">
        <f>IF(AND($F52&lt;&gt;"", $F52&gt;=CV$5-4, $F52&lt;=CV$5, COUNTIF($M52:CU52,"u")=0), "u", "")</f>
        <v/>
      </c>
      <c r="CW52" s="80" t="str">
        <f>IF(AND($F52&lt;&gt;"", $F52&gt;=CW$5-4, $F52&lt;=CW$5, COUNTIF($M52:CV52,"u")=0), "u", "")</f>
        <v/>
      </c>
      <c r="CX52" s="80" t="str">
        <f>IF(AND($F52&lt;&gt;"", $F52&gt;=CX$5-4, $F52&lt;=CX$5, COUNTIF($M52:CW52,"u")=0), "u", "")</f>
        <v/>
      </c>
      <c r="CY52" s="80" t="str">
        <f>IF(AND($F52&lt;&gt;"", $F52&gt;=CY$5-4, $F52&lt;=CY$5, COUNTIF($M52:CX52,"u")=0), "u", "")</f>
        <v/>
      </c>
      <c r="CZ52" s="80" t="str">
        <f>IF(AND($F52&lt;&gt;"", $F52&gt;=CZ$5-4, $F52&lt;=CZ$5, COUNTIF($M52:CY52,"u")=0), "u", "")</f>
        <v/>
      </c>
      <c r="DA52" s="80" t="str">
        <f>IF(AND($F52&lt;&gt;"", $F52&gt;=DA$5-4, $F52&lt;=DA$5, COUNTIF($M52:CZ52,"u")=0), "u", "")</f>
        <v/>
      </c>
      <c r="DB52" s="80" t="str">
        <f>IF(AND($F52&lt;&gt;"", $F52&gt;=DB$5-4, $F52&lt;=DB$5, COUNTIF($M52:DA52,"u")=0), "u", "")</f>
        <v/>
      </c>
      <c r="DC52" s="80" t="str">
        <f>IF(AND($F52&lt;&gt;"", $F52&gt;=DC$5-4, $F52&lt;=DC$5, COUNTIF($M52:DB52,"u")=0), "u", "")</f>
        <v/>
      </c>
      <c r="DD52" s="80" t="str">
        <f>IF(AND($F52&lt;&gt;"", $F52&gt;=DD$5-4, $F52&lt;=DD$5, COUNTIF($M52:DC52,"u")=0), "u", "")</f>
        <v/>
      </c>
      <c r="DE52" s="80" t="str">
        <f>IF(AND($F52&lt;&gt;"", $F52&gt;=DE$5-4, $F52&lt;=DE$5, COUNTIF($M52:DD52,"u")=0), "u", "")</f>
        <v/>
      </c>
      <c r="DF52" s="80" t="str">
        <f>IF(AND($F52&lt;&gt;"", $F52&gt;=DF$5-4, $F52&lt;=DF$5, COUNTIF($M52:DE52,"u")=0), "u", "")</f>
        <v/>
      </c>
      <c r="DG52" s="80" t="str">
        <f>IF(AND($F52&lt;&gt;"", $F52&gt;=DG$5-4, $F52&lt;=DG$5, COUNTIF($M52:DF52,"u")=0), "u", "")</f>
        <v/>
      </c>
      <c r="DH52" s="80" t="str">
        <f>IF(AND($F52&lt;&gt;"", $F52&gt;=DH$5-4, $F52&lt;=DH$5, COUNTIF($M52:DG52,"u")=0), "u", "")</f>
        <v/>
      </c>
      <c r="DI52" s="80" t="str">
        <f>IF(AND($F52&lt;&gt;"", $F52&gt;=DI$5-4, $F52&lt;=DI$5, COUNTIF($M52:DH52,"u")=0), "u", "")</f>
        <v/>
      </c>
      <c r="DJ52" s="80" t="str">
        <f>IF(AND($F52&lt;&gt;"", $F52&gt;=DJ$5-4, $F52&lt;=DJ$5, COUNTIF($M52:DI52,"u")=0), "u", "")</f>
        <v/>
      </c>
      <c r="DK52" s="80" t="str">
        <f>IF(AND($F52&lt;&gt;"", $F52&gt;=DK$5-4, $F52&lt;=DK$5, COUNTIF($M52:DJ52,"u")=0), "u", "")</f>
        <v/>
      </c>
      <c r="DL52" s="80" t="str">
        <f>IF(AND($F52&lt;&gt;"", $F52&gt;=DL$5-4, $F52&lt;=DL$5, COUNTIF($M52:DK52,"u")=0), "u", "")</f>
        <v/>
      </c>
    </row>
    <row r="53" spans="1:116" ht="25.05" customHeight="1" x14ac:dyDescent="0.3">
      <c r="A53" s="39"/>
      <c r="B53" s="75">
        <v>48</v>
      </c>
      <c r="C53" s="97"/>
      <c r="D53" s="92"/>
      <c r="E53" s="53"/>
      <c r="F53" s="53"/>
      <c r="G53" s="83" t="str">
        <f t="shared" si="47"/>
        <v/>
      </c>
      <c r="H53" s="83" t="str">
        <f t="shared" si="47"/>
        <v/>
      </c>
      <c r="I53" s="77" t="str">
        <f t="shared" si="45"/>
        <v/>
      </c>
      <c r="J53" s="78"/>
      <c r="K53" s="86"/>
      <c r="L53" s="56"/>
      <c r="M53" s="80" t="str">
        <f t="shared" si="46"/>
        <v/>
      </c>
      <c r="N53" s="80" t="str">
        <f>IF(AND($F53&lt;&gt;"", $F53&gt;=N$5-4, $F53&lt;=N$5, COUNTIF($M53:M53,"u")=0), "u", "")</f>
        <v/>
      </c>
      <c r="O53" s="80" t="str">
        <f>IF(AND($F53&lt;&gt;"", $F53&gt;=O$5-4, $F53&lt;=O$5, COUNTIF($M53:N53,"u")=0), "u", "")</f>
        <v/>
      </c>
      <c r="P53" s="80" t="str">
        <f>IF(AND($F53&lt;&gt;"", $F53&gt;=P$5-4, $F53&lt;=P$5, COUNTIF($M53:O53,"u")=0), "u", "")</f>
        <v/>
      </c>
      <c r="Q53" s="80" t="str">
        <f>IF(AND($F53&lt;&gt;"", $F53&gt;=Q$5-4, $F53&lt;=Q$5, COUNTIF($M53:P53,"u")=0), "u", "")</f>
        <v/>
      </c>
      <c r="R53" s="80" t="str">
        <f>IF(AND($F53&lt;&gt;"", $F53&gt;=R$5-4, $F53&lt;=R$5, COUNTIF($M53:Q53,"u")=0), "u", "")</f>
        <v/>
      </c>
      <c r="S53" s="80" t="str">
        <f>IF(AND($F53&lt;&gt;"", $F53&gt;=S$5-4, $F53&lt;=S$5, COUNTIF($M53:R53,"u")=0), "u", "")</f>
        <v/>
      </c>
      <c r="T53" s="80" t="str">
        <f>IF(AND($F53&lt;&gt;"", $F53&gt;=T$5-4, $F53&lt;=T$5, COUNTIF($M53:S53,"u")=0), "u", "")</f>
        <v/>
      </c>
      <c r="U53" s="80" t="str">
        <f>IF(AND($F53&lt;&gt;"", $F53&gt;=U$5-4, $F53&lt;=U$5, COUNTIF($M53:T53,"u")=0), "u", "")</f>
        <v/>
      </c>
      <c r="V53" s="80" t="str">
        <f>IF(AND($F53&lt;&gt;"", $F53&gt;=V$5-4, $F53&lt;=V$5, COUNTIF($M53:U53,"u")=0), "u", "")</f>
        <v/>
      </c>
      <c r="W53" s="80" t="str">
        <f>IF(AND($F53&lt;&gt;"", $F53&gt;=W$5-4, $F53&lt;=W$5, COUNTIF($M53:V53,"u")=0), "u", "")</f>
        <v/>
      </c>
      <c r="X53" s="80" t="str">
        <f>IF(AND($F53&lt;&gt;"", $F53&gt;=X$5-4, $F53&lt;=X$5, COUNTIF($M53:W53,"u")=0), "u", "")</f>
        <v/>
      </c>
      <c r="Y53" s="80" t="str">
        <f>IF(AND($F53&lt;&gt;"", $F53&gt;=Y$5-4, $F53&lt;=Y$5, COUNTIF($M53:X53,"u")=0), "u", "")</f>
        <v/>
      </c>
      <c r="Z53" s="80" t="str">
        <f>IF(AND($F53&lt;&gt;"", $F53&gt;=Z$5-4, $F53&lt;=Z$5, COUNTIF($M53:Y53,"u")=0), "u", "")</f>
        <v/>
      </c>
      <c r="AA53" s="80" t="str">
        <f>IF(AND($F53&lt;&gt;"", $F53&gt;=AA$5-4, $F53&lt;=AA$5, COUNTIF($M53:Z53,"u")=0), "u", "")</f>
        <v/>
      </c>
      <c r="AB53" s="80" t="str">
        <f>IF(AND($F53&lt;&gt;"", $F53&gt;=AB$5-4, $F53&lt;=AB$5, COUNTIF($M53:AA53,"u")=0), "u", "")</f>
        <v/>
      </c>
      <c r="AC53" s="80" t="str">
        <f>IF(AND($F53&lt;&gt;"", $F53&gt;=AC$5-4, $F53&lt;=AC$5, COUNTIF($M53:AB53,"u")=0), "u", "")</f>
        <v/>
      </c>
      <c r="AD53" s="80" t="str">
        <f>IF(AND($F53&lt;&gt;"", $F53&gt;=AD$5-4, $F53&lt;=AD$5, COUNTIF($M53:AC53,"u")=0), "u", "")</f>
        <v/>
      </c>
      <c r="AE53" s="80" t="str">
        <f>IF(AND($F53&lt;&gt;"", $F53&gt;=AE$5-4, $F53&lt;=AE$5, COUNTIF($M53:AD53,"u")=0), "u", "")</f>
        <v/>
      </c>
      <c r="AF53" s="80" t="str">
        <f>IF(AND($F53&lt;&gt;"", $F53&gt;=AF$5-4, $F53&lt;=AF$5, COUNTIF($M53:AE53,"u")=0), "u", "")</f>
        <v/>
      </c>
      <c r="AG53" s="80" t="str">
        <f>IF(AND($F53&lt;&gt;"", $F53&gt;=AG$5-4, $F53&lt;=AG$5, COUNTIF($M53:AF53,"u")=0), "u", "")</f>
        <v/>
      </c>
      <c r="AH53" s="80" t="str">
        <f>IF(AND($F53&lt;&gt;"", $F53&gt;=AH$5-4, $F53&lt;=AH$5, COUNTIF($M53:AG53,"u")=0), "u", "")</f>
        <v/>
      </c>
      <c r="AI53" s="80" t="str">
        <f>IF(AND($F53&lt;&gt;"", $F53&gt;=AI$5-4, $F53&lt;=AI$5, COUNTIF($M53:AH53,"u")=0), "u", "")</f>
        <v/>
      </c>
      <c r="AJ53" s="80" t="str">
        <f>IF(AND($F53&lt;&gt;"", $F53&gt;=AJ$5-4, $F53&lt;=AJ$5, COUNTIF($M53:AI53,"u")=0), "u", "")</f>
        <v/>
      </c>
      <c r="AK53" s="80" t="str">
        <f>IF(AND($F53&lt;&gt;"", $F53&gt;=AK$5-4, $F53&lt;=AK$5, COUNTIF($M53:AJ53,"u")=0), "u", "")</f>
        <v/>
      </c>
      <c r="AL53" s="80" t="str">
        <f>IF(AND($F53&lt;&gt;"", $F53&gt;=AL$5-4, $F53&lt;=AL$5, COUNTIF($M53:AK53,"u")=0), "u", "")</f>
        <v/>
      </c>
      <c r="AM53" s="80" t="str">
        <f>IF(AND($F53&lt;&gt;"", $F53&gt;=AM$5-4, $F53&lt;=AM$5, COUNTIF($M53:AL53,"u")=0), "u", "")</f>
        <v/>
      </c>
      <c r="AN53" s="80" t="str">
        <f>IF(AND($F53&lt;&gt;"", $F53&gt;=AN$5-4, $F53&lt;=AN$5, COUNTIF($M53:AM53,"u")=0), "u", "")</f>
        <v/>
      </c>
      <c r="AO53" s="80" t="str">
        <f>IF(AND($F53&lt;&gt;"", $F53&gt;=AO$5-4, $F53&lt;=AO$5, COUNTIF($M53:AN53,"u")=0), "u", "")</f>
        <v/>
      </c>
      <c r="AP53" s="80" t="str">
        <f>IF(AND($F53&lt;&gt;"", $F53&gt;=AP$5-4, $F53&lt;=AP$5, COUNTIF($M53:AO53,"u")=0), "u", "")</f>
        <v/>
      </c>
      <c r="AQ53" s="80" t="str">
        <f>IF(AND($F53&lt;&gt;"", $F53&gt;=AQ$5-4, $F53&lt;=AQ$5, COUNTIF($M53:AP53,"u")=0), "u", "")</f>
        <v/>
      </c>
      <c r="AR53" s="80" t="str">
        <f>IF(AND($F53&lt;&gt;"", $F53&gt;=AR$5-4, $F53&lt;=AR$5, COUNTIF($M53:AQ53,"u")=0), "u", "")</f>
        <v/>
      </c>
      <c r="AS53" s="80" t="str">
        <f>IF(AND($F53&lt;&gt;"", $F53&gt;=AS$5-4, $F53&lt;=AS$5, COUNTIF($M53:AR53,"u")=0), "u", "")</f>
        <v/>
      </c>
      <c r="AT53" s="80" t="str">
        <f>IF(AND($F53&lt;&gt;"", $F53&gt;=AT$5-4, $F53&lt;=AT$5, COUNTIF($M53:AS53,"u")=0), "u", "")</f>
        <v/>
      </c>
      <c r="AU53" s="80" t="str">
        <f>IF(AND($F53&lt;&gt;"", $F53&gt;=AU$5-4, $F53&lt;=AU$5, COUNTIF($M53:AT53,"u")=0), "u", "")</f>
        <v/>
      </c>
      <c r="AV53" s="80" t="str">
        <f>IF(AND($F53&lt;&gt;"", $F53&gt;=AV$5-4, $F53&lt;=AV$5, COUNTIF($M53:AU53,"u")=0), "u", "")</f>
        <v/>
      </c>
      <c r="AW53" s="80" t="str">
        <f>IF(AND($F53&lt;&gt;"", $F53&gt;=AW$5-4, $F53&lt;=AW$5, COUNTIF($M53:AV53,"u")=0), "u", "")</f>
        <v/>
      </c>
      <c r="AX53" s="80" t="str">
        <f>IF(AND($F53&lt;&gt;"", $F53&gt;=AX$5-4, $F53&lt;=AX$5, COUNTIF($M53:AW53,"u")=0), "u", "")</f>
        <v/>
      </c>
      <c r="AY53" s="80" t="str">
        <f>IF(AND($F53&lt;&gt;"", $F53&gt;=AY$5-4, $F53&lt;=AY$5, COUNTIF($M53:AX53,"u")=0), "u", "")</f>
        <v/>
      </c>
      <c r="AZ53" s="80" t="str">
        <f>IF(AND($F53&lt;&gt;"", $F53&gt;=AZ$5-4, $F53&lt;=AZ$5, COUNTIF($M53:AY53,"u")=0), "u", "")</f>
        <v/>
      </c>
      <c r="BA53" s="80" t="str">
        <f>IF(AND($F53&lt;&gt;"", $F53&gt;=BA$5-4, $F53&lt;=BA$5, COUNTIF($M53:AZ53,"u")=0), "u", "")</f>
        <v/>
      </c>
      <c r="BB53" s="80" t="str">
        <f>IF(AND($F53&lt;&gt;"", $F53&gt;=BB$5-4, $F53&lt;=BB$5, COUNTIF($M53:BA53,"u")=0), "u", "")</f>
        <v/>
      </c>
      <c r="BC53" s="80" t="str">
        <f>IF(AND($F53&lt;&gt;"", $F53&gt;=BC$5-4, $F53&lt;=BC$5, COUNTIF($M53:BB53,"u")=0), "u", "")</f>
        <v/>
      </c>
      <c r="BD53" s="80" t="str">
        <f>IF(AND($F53&lt;&gt;"", $F53&gt;=BD$5-4, $F53&lt;=BD$5, COUNTIF($M53:BC53,"u")=0), "u", "")</f>
        <v/>
      </c>
      <c r="BE53" s="80" t="str">
        <f>IF(AND($F53&lt;&gt;"", $F53&gt;=BE$5-4, $F53&lt;=BE$5, COUNTIF($M53:BD53,"u")=0), "u", "")</f>
        <v/>
      </c>
      <c r="BF53" s="80" t="str">
        <f>IF(AND($F53&lt;&gt;"", $F53&gt;=BF$5-4, $F53&lt;=BF$5, COUNTIF($M53:BE53,"u")=0), "u", "")</f>
        <v/>
      </c>
      <c r="BG53" s="80" t="str">
        <f>IF(AND($F53&lt;&gt;"", $F53&gt;=BG$5-4, $F53&lt;=BG$5, COUNTIF($M53:BF53,"u")=0), "u", "")</f>
        <v/>
      </c>
      <c r="BH53" s="80" t="str">
        <f>IF(AND($F53&lt;&gt;"", $F53&gt;=BH$5-4, $F53&lt;=BH$5, COUNTIF($M53:BG53,"u")=0), "u", "")</f>
        <v/>
      </c>
      <c r="BI53" s="80" t="str">
        <f>IF(AND($F53&lt;&gt;"", $F53&gt;=BI$5-4, $F53&lt;=BI$5, COUNTIF($M53:BH53,"u")=0), "u", "")</f>
        <v/>
      </c>
      <c r="BJ53" s="80" t="str">
        <f>IF(AND($F53&lt;&gt;"", $F53&gt;=BJ$5-4, $F53&lt;=BJ$5, COUNTIF($M53:BI53,"u")=0), "u", "")</f>
        <v/>
      </c>
      <c r="BK53" s="80" t="str">
        <f>IF(AND($F53&lt;&gt;"", $F53&gt;=BK$5-4, $F53&lt;=BK$5, COUNTIF($M53:BJ53,"u")=0), "u", "")</f>
        <v/>
      </c>
      <c r="BL53" s="80" t="str">
        <f>IF(AND($F53&lt;&gt;"", $F53&gt;=BL$5-4, $F53&lt;=BL$5, COUNTIF($M53:BK53,"u")=0), "u", "")</f>
        <v/>
      </c>
      <c r="BM53" s="80" t="str">
        <f>IF(AND($F53&lt;&gt;"", $F53&gt;=BM$5-4, $F53&lt;=BM$5, COUNTIF($M53:BL53,"u")=0), "u", "")</f>
        <v/>
      </c>
      <c r="BN53" s="80" t="str">
        <f>IF(AND($F53&lt;&gt;"", $F53&gt;=BN$5-4, $F53&lt;=BN$5, COUNTIF($M53:BM53,"u")=0), "u", "")</f>
        <v/>
      </c>
      <c r="BO53" s="80" t="str">
        <f>IF(AND($F53&lt;&gt;"", $F53&gt;=BO$5-4, $F53&lt;=BO$5, COUNTIF($M53:BN53,"u")=0), "u", "")</f>
        <v/>
      </c>
      <c r="BP53" s="80" t="str">
        <f>IF(AND($F53&lt;&gt;"", $F53&gt;=BP$5-4, $F53&lt;=BP$5, COUNTIF($M53:BO53,"u")=0), "u", "")</f>
        <v/>
      </c>
      <c r="BQ53" s="80" t="str">
        <f>IF(AND($F53&lt;&gt;"", $F53&gt;=BQ$5-4, $F53&lt;=BQ$5, COUNTIF($M53:BP53,"u")=0), "u", "")</f>
        <v/>
      </c>
      <c r="BR53" s="80" t="str">
        <f>IF(AND($F53&lt;&gt;"", $F53&gt;=BR$5-4, $F53&lt;=BR$5, COUNTIF($M53:BQ53,"u")=0), "u", "")</f>
        <v/>
      </c>
      <c r="BS53" s="80" t="str">
        <f>IF(AND($F53&lt;&gt;"", $F53&gt;=BS$5-4, $F53&lt;=BS$5, COUNTIF($M53:BR53,"u")=0), "u", "")</f>
        <v/>
      </c>
      <c r="BT53" s="80" t="str">
        <f>IF(AND($F53&lt;&gt;"", $F53&gt;=BT$5-4, $F53&lt;=BT$5, COUNTIF($M53:BS53,"u")=0), "u", "")</f>
        <v/>
      </c>
      <c r="BU53" s="80" t="str">
        <f>IF(AND($F53&lt;&gt;"", $F53&gt;=BU$5-4, $F53&lt;=BU$5, COUNTIF($M53:BT53,"u")=0), "u", "")</f>
        <v/>
      </c>
      <c r="BV53" s="80" t="str">
        <f>IF(AND($F53&lt;&gt;"", $F53&gt;=BV$5-4, $F53&lt;=BV$5, COUNTIF($M53:BU53,"u")=0), "u", "")</f>
        <v/>
      </c>
      <c r="BW53" s="80" t="str">
        <f>IF(AND($F53&lt;&gt;"", $F53&gt;=BW$5-4, $F53&lt;=BW$5, COUNTIF($M53:BV53,"u")=0), "u", "")</f>
        <v/>
      </c>
      <c r="BX53" s="80" t="str">
        <f>IF(AND($F53&lt;&gt;"", $F53&gt;=BX$5-4, $F53&lt;=BX$5, COUNTIF($M53:BW53,"u")=0), "u", "")</f>
        <v/>
      </c>
      <c r="BY53" s="80" t="str">
        <f>IF(AND($F53&lt;&gt;"", $F53&gt;=BY$5-4, $F53&lt;=BY$5, COUNTIF($M53:BX53,"u")=0), "u", "")</f>
        <v/>
      </c>
      <c r="BZ53" s="80" t="str">
        <f>IF(AND($F53&lt;&gt;"", $F53&gt;=BZ$5-4, $F53&lt;=BZ$5, COUNTIF($M53:BY53,"u")=0), "u", "")</f>
        <v/>
      </c>
      <c r="CA53" s="80" t="str">
        <f>IF(AND($F53&lt;&gt;"", $F53&gt;=CA$5-4, $F53&lt;=CA$5, COUNTIF($M53:BZ53,"u")=0), "u", "")</f>
        <v/>
      </c>
      <c r="CB53" s="80" t="str">
        <f>IF(AND($F53&lt;&gt;"", $F53&gt;=CB$5-4, $F53&lt;=CB$5, COUNTIF($M53:CA53,"u")=0), "u", "")</f>
        <v/>
      </c>
      <c r="CC53" s="80" t="str">
        <f>IF(AND($F53&lt;&gt;"", $F53&gt;=CC$5-4, $F53&lt;=CC$5, COUNTIF($M53:CB53,"u")=0), "u", "")</f>
        <v/>
      </c>
      <c r="CD53" s="80" t="str">
        <f>IF(AND($F53&lt;&gt;"", $F53&gt;=CD$5-4, $F53&lt;=CD$5, COUNTIF($M53:CC53,"u")=0), "u", "")</f>
        <v/>
      </c>
      <c r="CE53" s="80" t="str">
        <f>IF(AND($F53&lt;&gt;"", $F53&gt;=CE$5-4, $F53&lt;=CE$5, COUNTIF($M53:CD53,"u")=0), "u", "")</f>
        <v/>
      </c>
      <c r="CF53" s="80" t="str">
        <f>IF(AND($F53&lt;&gt;"", $F53&gt;=CF$5-4, $F53&lt;=CF$5, COUNTIF($M53:CE53,"u")=0), "u", "")</f>
        <v/>
      </c>
      <c r="CG53" s="80" t="str">
        <f>IF(AND($F53&lt;&gt;"", $F53&gt;=CG$5-4, $F53&lt;=CG$5, COUNTIF($M53:CF53,"u")=0), "u", "")</f>
        <v/>
      </c>
      <c r="CH53" s="80" t="str">
        <f>IF(AND($F53&lt;&gt;"", $F53&gt;=CH$5-4, $F53&lt;=CH$5, COUNTIF($M53:CG53,"u")=0), "u", "")</f>
        <v/>
      </c>
      <c r="CI53" s="80" t="str">
        <f>IF(AND($F53&lt;&gt;"", $F53&gt;=CI$5-4, $F53&lt;=CI$5, COUNTIF($M53:CH53,"u")=0), "u", "")</f>
        <v/>
      </c>
      <c r="CJ53" s="80" t="str">
        <f>IF(AND($F53&lt;&gt;"", $F53&gt;=CJ$5-4, $F53&lt;=CJ$5, COUNTIF($M53:CI53,"u")=0), "u", "")</f>
        <v/>
      </c>
      <c r="CK53" s="80" t="str">
        <f>IF(AND($F53&lt;&gt;"", $F53&gt;=CK$5-4, $F53&lt;=CK$5, COUNTIF($M53:CJ53,"u")=0), "u", "")</f>
        <v/>
      </c>
      <c r="CL53" s="80" t="str">
        <f>IF(AND($F53&lt;&gt;"", $F53&gt;=CL$5-4, $F53&lt;=CL$5, COUNTIF($M53:CK53,"u")=0), "u", "")</f>
        <v/>
      </c>
      <c r="CM53" s="80" t="str">
        <f>IF(AND($F53&lt;&gt;"", $F53&gt;=CM$5-4, $F53&lt;=CM$5, COUNTIF($M53:CL53,"u")=0), "u", "")</f>
        <v/>
      </c>
      <c r="CN53" s="80" t="str">
        <f>IF(AND($F53&lt;&gt;"", $F53&gt;=CN$5-4, $F53&lt;=CN$5, COUNTIF($M53:CM53,"u")=0), "u", "")</f>
        <v/>
      </c>
      <c r="CO53" s="80" t="str">
        <f>IF(AND($F53&lt;&gt;"", $F53&gt;=CO$5-4, $F53&lt;=CO$5, COUNTIF($M53:CN53,"u")=0), "u", "")</f>
        <v/>
      </c>
      <c r="CP53" s="80" t="str">
        <f>IF(AND($F53&lt;&gt;"", $F53&gt;=CP$5-4, $F53&lt;=CP$5, COUNTIF($M53:CO53,"u")=0), "u", "")</f>
        <v/>
      </c>
      <c r="CQ53" s="80" t="str">
        <f>IF(AND($F53&lt;&gt;"", $F53&gt;=CQ$5-4, $F53&lt;=CQ$5, COUNTIF($M53:CP53,"u")=0), "u", "")</f>
        <v/>
      </c>
      <c r="CR53" s="80" t="str">
        <f>IF(AND($F53&lt;&gt;"", $F53&gt;=CR$5-4, $F53&lt;=CR$5, COUNTIF($M53:CQ53,"u")=0), "u", "")</f>
        <v/>
      </c>
      <c r="CS53" s="80" t="str">
        <f>IF(AND($F53&lt;&gt;"", $F53&gt;=CS$5-4, $F53&lt;=CS$5, COUNTIF($M53:CR53,"u")=0), "u", "")</f>
        <v/>
      </c>
      <c r="CT53" s="80" t="str">
        <f>IF(AND($F53&lt;&gt;"", $F53&gt;=CT$5-4, $F53&lt;=CT$5, COUNTIF($M53:CS53,"u")=0), "u", "")</f>
        <v/>
      </c>
      <c r="CU53" s="80" t="str">
        <f>IF(AND($F53&lt;&gt;"", $F53&gt;=CU$5-4, $F53&lt;=CU$5, COUNTIF($M53:CT53,"u")=0), "u", "")</f>
        <v/>
      </c>
      <c r="CV53" s="80" t="str">
        <f>IF(AND($F53&lt;&gt;"", $F53&gt;=CV$5-4, $F53&lt;=CV$5, COUNTIF($M53:CU53,"u")=0), "u", "")</f>
        <v/>
      </c>
      <c r="CW53" s="80" t="str">
        <f>IF(AND($F53&lt;&gt;"", $F53&gt;=CW$5-4, $F53&lt;=CW$5, COUNTIF($M53:CV53,"u")=0), "u", "")</f>
        <v/>
      </c>
      <c r="CX53" s="80" t="str">
        <f>IF(AND($F53&lt;&gt;"", $F53&gt;=CX$5-4, $F53&lt;=CX$5, COUNTIF($M53:CW53,"u")=0), "u", "")</f>
        <v/>
      </c>
      <c r="CY53" s="80" t="str">
        <f>IF(AND($F53&lt;&gt;"", $F53&gt;=CY$5-4, $F53&lt;=CY$5, COUNTIF($M53:CX53,"u")=0), "u", "")</f>
        <v/>
      </c>
      <c r="CZ53" s="80" t="str">
        <f>IF(AND($F53&lt;&gt;"", $F53&gt;=CZ$5-4, $F53&lt;=CZ$5, COUNTIF($M53:CY53,"u")=0), "u", "")</f>
        <v/>
      </c>
      <c r="DA53" s="80" t="str">
        <f>IF(AND($F53&lt;&gt;"", $F53&gt;=DA$5-4, $F53&lt;=DA$5, COUNTIF($M53:CZ53,"u")=0), "u", "")</f>
        <v/>
      </c>
      <c r="DB53" s="80" t="str">
        <f>IF(AND($F53&lt;&gt;"", $F53&gt;=DB$5-4, $F53&lt;=DB$5, COUNTIF($M53:DA53,"u")=0), "u", "")</f>
        <v/>
      </c>
      <c r="DC53" s="80" t="str">
        <f>IF(AND($F53&lt;&gt;"", $F53&gt;=DC$5-4, $F53&lt;=DC$5, COUNTIF($M53:DB53,"u")=0), "u", "")</f>
        <v/>
      </c>
      <c r="DD53" s="80" t="str">
        <f>IF(AND($F53&lt;&gt;"", $F53&gt;=DD$5-4, $F53&lt;=DD$5, COUNTIF($M53:DC53,"u")=0), "u", "")</f>
        <v/>
      </c>
      <c r="DE53" s="80" t="str">
        <f>IF(AND($F53&lt;&gt;"", $F53&gt;=DE$5-4, $F53&lt;=DE$5, COUNTIF($M53:DD53,"u")=0), "u", "")</f>
        <v/>
      </c>
      <c r="DF53" s="80" t="str">
        <f>IF(AND($F53&lt;&gt;"", $F53&gt;=DF$5-4, $F53&lt;=DF$5, COUNTIF($M53:DE53,"u")=0), "u", "")</f>
        <v/>
      </c>
      <c r="DG53" s="80" t="str">
        <f>IF(AND($F53&lt;&gt;"", $F53&gt;=DG$5-4, $F53&lt;=DG$5, COUNTIF($M53:DF53,"u")=0), "u", "")</f>
        <v/>
      </c>
      <c r="DH53" s="80" t="str">
        <f>IF(AND($F53&lt;&gt;"", $F53&gt;=DH$5-4, $F53&lt;=DH$5, COUNTIF($M53:DG53,"u")=0), "u", "")</f>
        <v/>
      </c>
      <c r="DI53" s="80" t="str">
        <f>IF(AND($F53&lt;&gt;"", $F53&gt;=DI$5-4, $F53&lt;=DI$5, COUNTIF($M53:DH53,"u")=0), "u", "")</f>
        <v/>
      </c>
      <c r="DJ53" s="80" t="str">
        <f>IF(AND($F53&lt;&gt;"", $F53&gt;=DJ$5-4, $F53&lt;=DJ$5, COUNTIF($M53:DI53,"u")=0), "u", "")</f>
        <v/>
      </c>
      <c r="DK53" s="80" t="str">
        <f>IF(AND($F53&lt;&gt;"", $F53&gt;=DK$5-4, $F53&lt;=DK$5, COUNTIF($M53:DJ53,"u")=0), "u", "")</f>
        <v/>
      </c>
      <c r="DL53" s="80" t="str">
        <f>IF(AND($F53&lt;&gt;"", $F53&gt;=DL$5-4, $F53&lt;=DL$5, COUNTIF($M53:DK53,"u")=0), "u", "")</f>
        <v/>
      </c>
    </row>
    <row r="54" spans="1:116" ht="25.05" customHeight="1" x14ac:dyDescent="0.3">
      <c r="A54" s="39"/>
      <c r="B54" s="75">
        <v>49</v>
      </c>
      <c r="C54" s="97"/>
      <c r="D54" s="92"/>
      <c r="E54" s="53"/>
      <c r="F54" s="53"/>
      <c r="G54" s="83" t="str">
        <f t="shared" si="47"/>
        <v/>
      </c>
      <c r="H54" s="83" t="str">
        <f t="shared" si="47"/>
        <v/>
      </c>
      <c r="I54" s="77" t="str">
        <f t="shared" si="45"/>
        <v/>
      </c>
      <c r="J54" s="78"/>
      <c r="K54" s="86"/>
      <c r="L54" s="56"/>
      <c r="M54" s="80" t="str">
        <f t="shared" si="46"/>
        <v/>
      </c>
      <c r="N54" s="80" t="str">
        <f>IF(AND($F54&lt;&gt;"", $F54&gt;=N$5-4, $F54&lt;=N$5, COUNTIF($M54:M54,"u")=0), "u", "")</f>
        <v/>
      </c>
      <c r="O54" s="80" t="str">
        <f>IF(AND($F54&lt;&gt;"", $F54&gt;=O$5-4, $F54&lt;=O$5, COUNTIF($M54:N54,"u")=0), "u", "")</f>
        <v/>
      </c>
      <c r="P54" s="80" t="str">
        <f>IF(AND($F54&lt;&gt;"", $F54&gt;=P$5-4, $F54&lt;=P$5, COUNTIF($M54:O54,"u")=0), "u", "")</f>
        <v/>
      </c>
      <c r="Q54" s="80" t="str">
        <f>IF(AND($F54&lt;&gt;"", $F54&gt;=Q$5-4, $F54&lt;=Q$5, COUNTIF($M54:P54,"u")=0), "u", "")</f>
        <v/>
      </c>
      <c r="R54" s="80" t="str">
        <f>IF(AND($F54&lt;&gt;"", $F54&gt;=R$5-4, $F54&lt;=R$5, COUNTIF($M54:Q54,"u")=0), "u", "")</f>
        <v/>
      </c>
      <c r="S54" s="80" t="str">
        <f>IF(AND($F54&lt;&gt;"", $F54&gt;=S$5-4, $F54&lt;=S$5, COUNTIF($M54:R54,"u")=0), "u", "")</f>
        <v/>
      </c>
      <c r="T54" s="80" t="str">
        <f>IF(AND($F54&lt;&gt;"", $F54&gt;=T$5-4, $F54&lt;=T$5, COUNTIF($M54:S54,"u")=0), "u", "")</f>
        <v/>
      </c>
      <c r="U54" s="80" t="str">
        <f>IF(AND($F54&lt;&gt;"", $F54&gt;=U$5-4, $F54&lt;=U$5, COUNTIF($M54:T54,"u")=0), "u", "")</f>
        <v/>
      </c>
      <c r="V54" s="80" t="str">
        <f>IF(AND($F54&lt;&gt;"", $F54&gt;=V$5-4, $F54&lt;=V$5, COUNTIF($M54:U54,"u")=0), "u", "")</f>
        <v/>
      </c>
      <c r="W54" s="80" t="str">
        <f>IF(AND($F54&lt;&gt;"", $F54&gt;=W$5-4, $F54&lt;=W$5, COUNTIF($M54:V54,"u")=0), "u", "")</f>
        <v/>
      </c>
      <c r="X54" s="80" t="str">
        <f>IF(AND($F54&lt;&gt;"", $F54&gt;=X$5-4, $F54&lt;=X$5, COUNTIF($M54:W54,"u")=0), "u", "")</f>
        <v/>
      </c>
      <c r="Y54" s="80" t="str">
        <f>IF(AND($F54&lt;&gt;"", $F54&gt;=Y$5-4, $F54&lt;=Y$5, COUNTIF($M54:X54,"u")=0), "u", "")</f>
        <v/>
      </c>
      <c r="Z54" s="80" t="str">
        <f>IF(AND($F54&lt;&gt;"", $F54&gt;=Z$5-4, $F54&lt;=Z$5, COUNTIF($M54:Y54,"u")=0), "u", "")</f>
        <v/>
      </c>
      <c r="AA54" s="80" t="str">
        <f>IF(AND($F54&lt;&gt;"", $F54&gt;=AA$5-4, $F54&lt;=AA$5, COUNTIF($M54:Z54,"u")=0), "u", "")</f>
        <v/>
      </c>
      <c r="AB54" s="80" t="str">
        <f>IF(AND($F54&lt;&gt;"", $F54&gt;=AB$5-4, $F54&lt;=AB$5, COUNTIF($M54:AA54,"u")=0), "u", "")</f>
        <v/>
      </c>
      <c r="AC54" s="80" t="str">
        <f>IF(AND($F54&lt;&gt;"", $F54&gt;=AC$5-4, $F54&lt;=AC$5, COUNTIF($M54:AB54,"u")=0), "u", "")</f>
        <v/>
      </c>
      <c r="AD54" s="80" t="str">
        <f>IF(AND($F54&lt;&gt;"", $F54&gt;=AD$5-4, $F54&lt;=AD$5, COUNTIF($M54:AC54,"u")=0), "u", "")</f>
        <v/>
      </c>
      <c r="AE54" s="80" t="str">
        <f>IF(AND($F54&lt;&gt;"", $F54&gt;=AE$5-4, $F54&lt;=AE$5, COUNTIF($M54:AD54,"u")=0), "u", "")</f>
        <v/>
      </c>
      <c r="AF54" s="80" t="str">
        <f>IF(AND($F54&lt;&gt;"", $F54&gt;=AF$5-4, $F54&lt;=AF$5, COUNTIF($M54:AE54,"u")=0), "u", "")</f>
        <v/>
      </c>
      <c r="AG54" s="80" t="str">
        <f>IF(AND($F54&lt;&gt;"", $F54&gt;=AG$5-4, $F54&lt;=AG$5, COUNTIF($M54:AF54,"u")=0), "u", "")</f>
        <v/>
      </c>
      <c r="AH54" s="80" t="str">
        <f>IF(AND($F54&lt;&gt;"", $F54&gt;=AH$5-4, $F54&lt;=AH$5, COUNTIF($M54:AG54,"u")=0), "u", "")</f>
        <v/>
      </c>
      <c r="AI54" s="80" t="str">
        <f>IF(AND($F54&lt;&gt;"", $F54&gt;=AI$5-4, $F54&lt;=AI$5, COUNTIF($M54:AH54,"u")=0), "u", "")</f>
        <v/>
      </c>
      <c r="AJ54" s="80" t="str">
        <f>IF(AND($F54&lt;&gt;"", $F54&gt;=AJ$5-4, $F54&lt;=AJ$5, COUNTIF($M54:AI54,"u")=0), "u", "")</f>
        <v/>
      </c>
      <c r="AK54" s="80" t="str">
        <f>IF(AND($F54&lt;&gt;"", $F54&gt;=AK$5-4, $F54&lt;=AK$5, COUNTIF($M54:AJ54,"u")=0), "u", "")</f>
        <v/>
      </c>
      <c r="AL54" s="80" t="str">
        <f>IF(AND($F54&lt;&gt;"", $F54&gt;=AL$5-4, $F54&lt;=AL$5, COUNTIF($M54:AK54,"u")=0), "u", "")</f>
        <v/>
      </c>
      <c r="AM54" s="80" t="str">
        <f>IF(AND($F54&lt;&gt;"", $F54&gt;=AM$5-4, $F54&lt;=AM$5, COUNTIF($M54:AL54,"u")=0), "u", "")</f>
        <v/>
      </c>
      <c r="AN54" s="80" t="str">
        <f>IF(AND($F54&lt;&gt;"", $F54&gt;=AN$5-4, $F54&lt;=AN$5, COUNTIF($M54:AM54,"u")=0), "u", "")</f>
        <v/>
      </c>
      <c r="AO54" s="80" t="str">
        <f>IF(AND($F54&lt;&gt;"", $F54&gt;=AO$5-4, $F54&lt;=AO$5, COUNTIF($M54:AN54,"u")=0), "u", "")</f>
        <v/>
      </c>
      <c r="AP54" s="80" t="str">
        <f>IF(AND($F54&lt;&gt;"", $F54&gt;=AP$5-4, $F54&lt;=AP$5, COUNTIF($M54:AO54,"u")=0), "u", "")</f>
        <v/>
      </c>
      <c r="AQ54" s="80" t="str">
        <f>IF(AND($F54&lt;&gt;"", $F54&gt;=AQ$5-4, $F54&lt;=AQ$5, COUNTIF($M54:AP54,"u")=0), "u", "")</f>
        <v/>
      </c>
      <c r="AR54" s="80" t="str">
        <f>IF(AND($F54&lt;&gt;"", $F54&gt;=AR$5-4, $F54&lt;=AR$5, COUNTIF($M54:AQ54,"u")=0), "u", "")</f>
        <v/>
      </c>
      <c r="AS54" s="80" t="str">
        <f>IF(AND($F54&lt;&gt;"", $F54&gt;=AS$5-4, $F54&lt;=AS$5, COUNTIF($M54:AR54,"u")=0), "u", "")</f>
        <v/>
      </c>
      <c r="AT54" s="80" t="str">
        <f>IF(AND($F54&lt;&gt;"", $F54&gt;=AT$5-4, $F54&lt;=AT$5, COUNTIF($M54:AS54,"u")=0), "u", "")</f>
        <v/>
      </c>
      <c r="AU54" s="80" t="str">
        <f>IF(AND($F54&lt;&gt;"", $F54&gt;=AU$5-4, $F54&lt;=AU$5, COUNTIF($M54:AT54,"u")=0), "u", "")</f>
        <v/>
      </c>
      <c r="AV54" s="80" t="str">
        <f>IF(AND($F54&lt;&gt;"", $F54&gt;=AV$5-4, $F54&lt;=AV$5, COUNTIF($M54:AU54,"u")=0), "u", "")</f>
        <v/>
      </c>
      <c r="AW54" s="80" t="str">
        <f>IF(AND($F54&lt;&gt;"", $F54&gt;=AW$5-4, $F54&lt;=AW$5, COUNTIF($M54:AV54,"u")=0), "u", "")</f>
        <v/>
      </c>
      <c r="AX54" s="80" t="str">
        <f>IF(AND($F54&lt;&gt;"", $F54&gt;=AX$5-4, $F54&lt;=AX$5, COUNTIF($M54:AW54,"u")=0), "u", "")</f>
        <v/>
      </c>
      <c r="AY54" s="80" t="str">
        <f>IF(AND($F54&lt;&gt;"", $F54&gt;=AY$5-4, $F54&lt;=AY$5, COUNTIF($M54:AX54,"u")=0), "u", "")</f>
        <v/>
      </c>
      <c r="AZ54" s="80" t="str">
        <f>IF(AND($F54&lt;&gt;"", $F54&gt;=AZ$5-4, $F54&lt;=AZ$5, COUNTIF($M54:AY54,"u")=0), "u", "")</f>
        <v/>
      </c>
      <c r="BA54" s="80" t="str">
        <f>IF(AND($F54&lt;&gt;"", $F54&gt;=BA$5-4, $F54&lt;=BA$5, COUNTIF($M54:AZ54,"u")=0), "u", "")</f>
        <v/>
      </c>
      <c r="BB54" s="80" t="str">
        <f>IF(AND($F54&lt;&gt;"", $F54&gt;=BB$5-4, $F54&lt;=BB$5, COUNTIF($M54:BA54,"u")=0), "u", "")</f>
        <v/>
      </c>
      <c r="BC54" s="80" t="str">
        <f>IF(AND($F54&lt;&gt;"", $F54&gt;=BC$5-4, $F54&lt;=BC$5, COUNTIF($M54:BB54,"u")=0), "u", "")</f>
        <v/>
      </c>
      <c r="BD54" s="80" t="str">
        <f>IF(AND($F54&lt;&gt;"", $F54&gt;=BD$5-4, $F54&lt;=BD$5, COUNTIF($M54:BC54,"u")=0), "u", "")</f>
        <v/>
      </c>
      <c r="BE54" s="80" t="str">
        <f>IF(AND($F54&lt;&gt;"", $F54&gt;=BE$5-4, $F54&lt;=BE$5, COUNTIF($M54:BD54,"u")=0), "u", "")</f>
        <v/>
      </c>
      <c r="BF54" s="80" t="str">
        <f>IF(AND($F54&lt;&gt;"", $F54&gt;=BF$5-4, $F54&lt;=BF$5, COUNTIF($M54:BE54,"u")=0), "u", "")</f>
        <v/>
      </c>
      <c r="BG54" s="80" t="str">
        <f>IF(AND($F54&lt;&gt;"", $F54&gt;=BG$5-4, $F54&lt;=BG$5, COUNTIF($M54:BF54,"u")=0), "u", "")</f>
        <v/>
      </c>
      <c r="BH54" s="80" t="str">
        <f>IF(AND($F54&lt;&gt;"", $F54&gt;=BH$5-4, $F54&lt;=BH$5, COUNTIF($M54:BG54,"u")=0), "u", "")</f>
        <v/>
      </c>
      <c r="BI54" s="80" t="str">
        <f>IF(AND($F54&lt;&gt;"", $F54&gt;=BI$5-4, $F54&lt;=BI$5, COUNTIF($M54:BH54,"u")=0), "u", "")</f>
        <v/>
      </c>
      <c r="BJ54" s="80" t="str">
        <f>IF(AND($F54&lt;&gt;"", $F54&gt;=BJ$5-4, $F54&lt;=BJ$5, COUNTIF($M54:BI54,"u")=0), "u", "")</f>
        <v/>
      </c>
      <c r="BK54" s="80" t="str">
        <f>IF(AND($F54&lt;&gt;"", $F54&gt;=BK$5-4, $F54&lt;=BK$5, COUNTIF($M54:BJ54,"u")=0), "u", "")</f>
        <v/>
      </c>
      <c r="BL54" s="80" t="str">
        <f>IF(AND($F54&lt;&gt;"", $F54&gt;=BL$5-4, $F54&lt;=BL$5, COUNTIF($M54:BK54,"u")=0), "u", "")</f>
        <v/>
      </c>
      <c r="BM54" s="80" t="str">
        <f>IF(AND($F54&lt;&gt;"", $F54&gt;=BM$5-4, $F54&lt;=BM$5, COUNTIF($M54:BL54,"u")=0), "u", "")</f>
        <v/>
      </c>
      <c r="BN54" s="80" t="str">
        <f>IF(AND($F54&lt;&gt;"", $F54&gt;=BN$5-4, $F54&lt;=BN$5, COUNTIF($M54:BM54,"u")=0), "u", "")</f>
        <v/>
      </c>
      <c r="BO54" s="80" t="str">
        <f>IF(AND($F54&lt;&gt;"", $F54&gt;=BO$5-4, $F54&lt;=BO$5, COUNTIF($M54:BN54,"u")=0), "u", "")</f>
        <v/>
      </c>
      <c r="BP54" s="80" t="str">
        <f>IF(AND($F54&lt;&gt;"", $F54&gt;=BP$5-4, $F54&lt;=BP$5, COUNTIF($M54:BO54,"u")=0), "u", "")</f>
        <v/>
      </c>
      <c r="BQ54" s="80" t="str">
        <f>IF(AND($F54&lt;&gt;"", $F54&gt;=BQ$5-4, $F54&lt;=BQ$5, COUNTIF($M54:BP54,"u")=0), "u", "")</f>
        <v/>
      </c>
      <c r="BR54" s="80" t="str">
        <f>IF(AND($F54&lt;&gt;"", $F54&gt;=BR$5-4, $F54&lt;=BR$5, COUNTIF($M54:BQ54,"u")=0), "u", "")</f>
        <v/>
      </c>
      <c r="BS54" s="80" t="str">
        <f>IF(AND($F54&lt;&gt;"", $F54&gt;=BS$5-4, $F54&lt;=BS$5, COUNTIF($M54:BR54,"u")=0), "u", "")</f>
        <v/>
      </c>
      <c r="BT54" s="80" t="str">
        <f>IF(AND($F54&lt;&gt;"", $F54&gt;=BT$5-4, $F54&lt;=BT$5, COUNTIF($M54:BS54,"u")=0), "u", "")</f>
        <v/>
      </c>
      <c r="BU54" s="80" t="str">
        <f>IF(AND($F54&lt;&gt;"", $F54&gt;=BU$5-4, $F54&lt;=BU$5, COUNTIF($M54:BT54,"u")=0), "u", "")</f>
        <v/>
      </c>
      <c r="BV54" s="80" t="str">
        <f>IF(AND($F54&lt;&gt;"", $F54&gt;=BV$5-4, $F54&lt;=BV$5, COUNTIF($M54:BU54,"u")=0), "u", "")</f>
        <v/>
      </c>
      <c r="BW54" s="80" t="str">
        <f>IF(AND($F54&lt;&gt;"", $F54&gt;=BW$5-4, $F54&lt;=BW$5, COUNTIF($M54:BV54,"u")=0), "u", "")</f>
        <v/>
      </c>
      <c r="BX54" s="80" t="str">
        <f>IF(AND($F54&lt;&gt;"", $F54&gt;=BX$5-4, $F54&lt;=BX$5, COUNTIF($M54:BW54,"u")=0), "u", "")</f>
        <v/>
      </c>
      <c r="BY54" s="80" t="str">
        <f>IF(AND($F54&lt;&gt;"", $F54&gt;=BY$5-4, $F54&lt;=BY$5, COUNTIF($M54:BX54,"u")=0), "u", "")</f>
        <v/>
      </c>
      <c r="BZ54" s="80" t="str">
        <f>IF(AND($F54&lt;&gt;"", $F54&gt;=BZ$5-4, $F54&lt;=BZ$5, COUNTIF($M54:BY54,"u")=0), "u", "")</f>
        <v/>
      </c>
      <c r="CA54" s="80" t="str">
        <f>IF(AND($F54&lt;&gt;"", $F54&gt;=CA$5-4, $F54&lt;=CA$5, COUNTIF($M54:BZ54,"u")=0), "u", "")</f>
        <v/>
      </c>
      <c r="CB54" s="80" t="str">
        <f>IF(AND($F54&lt;&gt;"", $F54&gt;=CB$5-4, $F54&lt;=CB$5, COUNTIF($M54:CA54,"u")=0), "u", "")</f>
        <v/>
      </c>
      <c r="CC54" s="80" t="str">
        <f>IF(AND($F54&lt;&gt;"", $F54&gt;=CC$5-4, $F54&lt;=CC$5, COUNTIF($M54:CB54,"u")=0), "u", "")</f>
        <v/>
      </c>
      <c r="CD54" s="80" t="str">
        <f>IF(AND($F54&lt;&gt;"", $F54&gt;=CD$5-4, $F54&lt;=CD$5, COUNTIF($M54:CC54,"u")=0), "u", "")</f>
        <v/>
      </c>
      <c r="CE54" s="80" t="str">
        <f>IF(AND($F54&lt;&gt;"", $F54&gt;=CE$5-4, $F54&lt;=CE$5, COUNTIF($M54:CD54,"u")=0), "u", "")</f>
        <v/>
      </c>
      <c r="CF54" s="80" t="str">
        <f>IF(AND($F54&lt;&gt;"", $F54&gt;=CF$5-4, $F54&lt;=CF$5, COUNTIF($M54:CE54,"u")=0), "u", "")</f>
        <v/>
      </c>
      <c r="CG54" s="80" t="str">
        <f>IF(AND($F54&lt;&gt;"", $F54&gt;=CG$5-4, $F54&lt;=CG$5, COUNTIF($M54:CF54,"u")=0), "u", "")</f>
        <v/>
      </c>
      <c r="CH54" s="80" t="str">
        <f>IF(AND($F54&lt;&gt;"", $F54&gt;=CH$5-4, $F54&lt;=CH$5, COUNTIF($M54:CG54,"u")=0), "u", "")</f>
        <v/>
      </c>
      <c r="CI54" s="80" t="str">
        <f>IF(AND($F54&lt;&gt;"", $F54&gt;=CI$5-4, $F54&lt;=CI$5, COUNTIF($M54:CH54,"u")=0), "u", "")</f>
        <v/>
      </c>
      <c r="CJ54" s="80" t="str">
        <f>IF(AND($F54&lt;&gt;"", $F54&gt;=CJ$5-4, $F54&lt;=CJ$5, COUNTIF($M54:CI54,"u")=0), "u", "")</f>
        <v/>
      </c>
      <c r="CK54" s="80" t="str">
        <f>IF(AND($F54&lt;&gt;"", $F54&gt;=CK$5-4, $F54&lt;=CK$5, COUNTIF($M54:CJ54,"u")=0), "u", "")</f>
        <v/>
      </c>
      <c r="CL54" s="80" t="str">
        <f>IF(AND($F54&lt;&gt;"", $F54&gt;=CL$5-4, $F54&lt;=CL$5, COUNTIF($M54:CK54,"u")=0), "u", "")</f>
        <v/>
      </c>
      <c r="CM54" s="80" t="str">
        <f>IF(AND($F54&lt;&gt;"", $F54&gt;=CM$5-4, $F54&lt;=CM$5, COUNTIF($M54:CL54,"u")=0), "u", "")</f>
        <v/>
      </c>
      <c r="CN54" s="80" t="str">
        <f>IF(AND($F54&lt;&gt;"", $F54&gt;=CN$5-4, $F54&lt;=CN$5, COUNTIF($M54:CM54,"u")=0), "u", "")</f>
        <v/>
      </c>
      <c r="CO54" s="80" t="str">
        <f>IF(AND($F54&lt;&gt;"", $F54&gt;=CO$5-4, $F54&lt;=CO$5, COUNTIF($M54:CN54,"u")=0), "u", "")</f>
        <v/>
      </c>
      <c r="CP54" s="80" t="str">
        <f>IF(AND($F54&lt;&gt;"", $F54&gt;=CP$5-4, $F54&lt;=CP$5, COUNTIF($M54:CO54,"u")=0), "u", "")</f>
        <v/>
      </c>
      <c r="CQ54" s="80" t="str">
        <f>IF(AND($F54&lt;&gt;"", $F54&gt;=CQ$5-4, $F54&lt;=CQ$5, COUNTIF($M54:CP54,"u")=0), "u", "")</f>
        <v/>
      </c>
      <c r="CR54" s="80" t="str">
        <f>IF(AND($F54&lt;&gt;"", $F54&gt;=CR$5-4, $F54&lt;=CR$5, COUNTIF($M54:CQ54,"u")=0), "u", "")</f>
        <v/>
      </c>
      <c r="CS54" s="80" t="str">
        <f>IF(AND($F54&lt;&gt;"", $F54&gt;=CS$5-4, $F54&lt;=CS$5, COUNTIF($M54:CR54,"u")=0), "u", "")</f>
        <v/>
      </c>
      <c r="CT54" s="80" t="str">
        <f>IF(AND($F54&lt;&gt;"", $F54&gt;=CT$5-4, $F54&lt;=CT$5, COUNTIF($M54:CS54,"u")=0), "u", "")</f>
        <v/>
      </c>
      <c r="CU54" s="80" t="str">
        <f>IF(AND($F54&lt;&gt;"", $F54&gt;=CU$5-4, $F54&lt;=CU$5, COUNTIF($M54:CT54,"u")=0), "u", "")</f>
        <v/>
      </c>
      <c r="CV54" s="80" t="str">
        <f>IF(AND($F54&lt;&gt;"", $F54&gt;=CV$5-4, $F54&lt;=CV$5, COUNTIF($M54:CU54,"u")=0), "u", "")</f>
        <v/>
      </c>
      <c r="CW54" s="80" t="str">
        <f>IF(AND($F54&lt;&gt;"", $F54&gt;=CW$5-4, $F54&lt;=CW$5, COUNTIF($M54:CV54,"u")=0), "u", "")</f>
        <v/>
      </c>
      <c r="CX54" s="80" t="str">
        <f>IF(AND($F54&lt;&gt;"", $F54&gt;=CX$5-4, $F54&lt;=CX$5, COUNTIF($M54:CW54,"u")=0), "u", "")</f>
        <v/>
      </c>
      <c r="CY54" s="80" t="str">
        <f>IF(AND($F54&lt;&gt;"", $F54&gt;=CY$5-4, $F54&lt;=CY$5, COUNTIF($M54:CX54,"u")=0), "u", "")</f>
        <v/>
      </c>
      <c r="CZ54" s="80" t="str">
        <f>IF(AND($F54&lt;&gt;"", $F54&gt;=CZ$5-4, $F54&lt;=CZ$5, COUNTIF($M54:CY54,"u")=0), "u", "")</f>
        <v/>
      </c>
      <c r="DA54" s="80" t="str">
        <f>IF(AND($F54&lt;&gt;"", $F54&gt;=DA$5-4, $F54&lt;=DA$5, COUNTIF($M54:CZ54,"u")=0), "u", "")</f>
        <v/>
      </c>
      <c r="DB54" s="80" t="str">
        <f>IF(AND($F54&lt;&gt;"", $F54&gt;=DB$5-4, $F54&lt;=DB$5, COUNTIF($M54:DA54,"u")=0), "u", "")</f>
        <v/>
      </c>
      <c r="DC54" s="80" t="str">
        <f>IF(AND($F54&lt;&gt;"", $F54&gt;=DC$5-4, $F54&lt;=DC$5, COUNTIF($M54:DB54,"u")=0), "u", "")</f>
        <v/>
      </c>
      <c r="DD54" s="80" t="str">
        <f>IF(AND($F54&lt;&gt;"", $F54&gt;=DD$5-4, $F54&lt;=DD$5, COUNTIF($M54:DC54,"u")=0), "u", "")</f>
        <v/>
      </c>
      <c r="DE54" s="80" t="str">
        <f>IF(AND($F54&lt;&gt;"", $F54&gt;=DE$5-4, $F54&lt;=DE$5, COUNTIF($M54:DD54,"u")=0), "u", "")</f>
        <v/>
      </c>
      <c r="DF54" s="80" t="str">
        <f>IF(AND($F54&lt;&gt;"", $F54&gt;=DF$5-4, $F54&lt;=DF$5, COUNTIF($M54:DE54,"u")=0), "u", "")</f>
        <v/>
      </c>
      <c r="DG54" s="80" t="str">
        <f>IF(AND($F54&lt;&gt;"", $F54&gt;=DG$5-4, $F54&lt;=DG$5, COUNTIF($M54:DF54,"u")=0), "u", "")</f>
        <v/>
      </c>
      <c r="DH54" s="80" t="str">
        <f>IF(AND($F54&lt;&gt;"", $F54&gt;=DH$5-4, $F54&lt;=DH$5, COUNTIF($M54:DG54,"u")=0), "u", "")</f>
        <v/>
      </c>
      <c r="DI54" s="80" t="str">
        <f>IF(AND($F54&lt;&gt;"", $F54&gt;=DI$5-4, $F54&lt;=DI$5, COUNTIF($M54:DH54,"u")=0), "u", "")</f>
        <v/>
      </c>
      <c r="DJ54" s="80" t="str">
        <f>IF(AND($F54&lt;&gt;"", $F54&gt;=DJ$5-4, $F54&lt;=DJ$5, COUNTIF($M54:DI54,"u")=0), "u", "")</f>
        <v/>
      </c>
      <c r="DK54" s="80" t="str">
        <f>IF(AND($F54&lt;&gt;"", $F54&gt;=DK$5-4, $F54&lt;=DK$5, COUNTIF($M54:DJ54,"u")=0), "u", "")</f>
        <v/>
      </c>
      <c r="DL54" s="80" t="str">
        <f>IF(AND($F54&lt;&gt;"", $F54&gt;=DL$5-4, $F54&lt;=DL$5, COUNTIF($M54:DK54,"u")=0), "u", "")</f>
        <v/>
      </c>
    </row>
    <row r="55" spans="1:116" ht="25.05" customHeight="1" x14ac:dyDescent="0.3">
      <c r="A55" s="39"/>
      <c r="B55" s="75">
        <v>50</v>
      </c>
      <c r="C55" s="97"/>
      <c r="D55" s="92"/>
      <c r="E55" s="53"/>
      <c r="F55" s="53"/>
      <c r="G55" s="83" t="str">
        <f t="shared" si="47"/>
        <v/>
      </c>
      <c r="H55" s="83" t="str">
        <f t="shared" si="47"/>
        <v/>
      </c>
      <c r="I55" s="77" t="str">
        <f t="shared" si="45"/>
        <v/>
      </c>
      <c r="J55" s="78"/>
      <c r="K55" s="86"/>
      <c r="L55" s="56"/>
      <c r="M55" s="80" t="str">
        <f t="shared" si="46"/>
        <v/>
      </c>
      <c r="N55" s="80" t="str">
        <f>IF(AND($F55&lt;&gt;"", $F55&gt;=N$5-4, $F55&lt;=N$5, COUNTIF($M55:M55,"u")=0), "u", "")</f>
        <v/>
      </c>
      <c r="O55" s="80" t="str">
        <f>IF(AND($F55&lt;&gt;"", $F55&gt;=O$5-4, $F55&lt;=O$5, COUNTIF($M55:N55,"u")=0), "u", "")</f>
        <v/>
      </c>
      <c r="P55" s="80" t="str">
        <f>IF(AND($F55&lt;&gt;"", $F55&gt;=P$5-4, $F55&lt;=P$5, COUNTIF($M55:O55,"u")=0), "u", "")</f>
        <v/>
      </c>
      <c r="Q55" s="80" t="str">
        <f>IF(AND($F55&lt;&gt;"", $F55&gt;=Q$5-4, $F55&lt;=Q$5, COUNTIF($M55:P55,"u")=0), "u", "")</f>
        <v/>
      </c>
      <c r="R55" s="80" t="str">
        <f>IF(AND($F55&lt;&gt;"", $F55&gt;=R$5-4, $F55&lt;=R$5, COUNTIF($M55:Q55,"u")=0), "u", "")</f>
        <v/>
      </c>
      <c r="S55" s="80" t="str">
        <f>IF(AND($F55&lt;&gt;"", $F55&gt;=S$5-4, $F55&lt;=S$5, COUNTIF($M55:R55,"u")=0), "u", "")</f>
        <v/>
      </c>
      <c r="T55" s="80" t="str">
        <f>IF(AND($F55&lt;&gt;"", $F55&gt;=T$5-4, $F55&lt;=T$5, COUNTIF($M55:S55,"u")=0), "u", "")</f>
        <v/>
      </c>
      <c r="U55" s="80" t="str">
        <f>IF(AND($F55&lt;&gt;"", $F55&gt;=U$5-4, $F55&lt;=U$5, COUNTIF($M55:T55,"u")=0), "u", "")</f>
        <v/>
      </c>
      <c r="V55" s="80" t="str">
        <f>IF(AND($F55&lt;&gt;"", $F55&gt;=V$5-4, $F55&lt;=V$5, COUNTIF($M55:U55,"u")=0), "u", "")</f>
        <v/>
      </c>
      <c r="W55" s="80" t="str">
        <f>IF(AND($F55&lt;&gt;"", $F55&gt;=W$5-4, $F55&lt;=W$5, COUNTIF($M55:V55,"u")=0), "u", "")</f>
        <v/>
      </c>
      <c r="X55" s="80" t="str">
        <f>IF(AND($F55&lt;&gt;"", $F55&gt;=X$5-4, $F55&lt;=X$5, COUNTIF($M55:W55,"u")=0), "u", "")</f>
        <v/>
      </c>
      <c r="Y55" s="80" t="str">
        <f>IF(AND($F55&lt;&gt;"", $F55&gt;=Y$5-4, $F55&lt;=Y$5, COUNTIF($M55:X55,"u")=0), "u", "")</f>
        <v/>
      </c>
      <c r="Z55" s="80" t="str">
        <f>IF(AND($F55&lt;&gt;"", $F55&gt;=Z$5-4, $F55&lt;=Z$5, COUNTIF($M55:Y55,"u")=0), "u", "")</f>
        <v/>
      </c>
      <c r="AA55" s="80" t="str">
        <f>IF(AND($F55&lt;&gt;"", $F55&gt;=AA$5-4, $F55&lt;=AA$5, COUNTIF($M55:Z55,"u")=0), "u", "")</f>
        <v/>
      </c>
      <c r="AB55" s="80" t="str">
        <f>IF(AND($F55&lt;&gt;"", $F55&gt;=AB$5-4, $F55&lt;=AB$5, COUNTIF($M55:AA55,"u")=0), "u", "")</f>
        <v/>
      </c>
      <c r="AC55" s="80" t="str">
        <f>IF(AND($F55&lt;&gt;"", $F55&gt;=AC$5-4, $F55&lt;=AC$5, COUNTIF($M55:AB55,"u")=0), "u", "")</f>
        <v/>
      </c>
      <c r="AD55" s="80" t="str">
        <f>IF(AND($F55&lt;&gt;"", $F55&gt;=AD$5-4, $F55&lt;=AD$5, COUNTIF($M55:AC55,"u")=0), "u", "")</f>
        <v/>
      </c>
      <c r="AE55" s="80" t="str">
        <f>IF(AND($F55&lt;&gt;"", $F55&gt;=AE$5-4, $F55&lt;=AE$5, COUNTIF($M55:AD55,"u")=0), "u", "")</f>
        <v/>
      </c>
      <c r="AF55" s="80" t="str">
        <f>IF(AND($F55&lt;&gt;"", $F55&gt;=AF$5-4, $F55&lt;=AF$5, COUNTIF($M55:AE55,"u")=0), "u", "")</f>
        <v/>
      </c>
      <c r="AG55" s="80" t="str">
        <f>IF(AND($F55&lt;&gt;"", $F55&gt;=AG$5-4, $F55&lt;=AG$5, COUNTIF($M55:AF55,"u")=0), "u", "")</f>
        <v/>
      </c>
      <c r="AH55" s="80" t="str">
        <f>IF(AND($F55&lt;&gt;"", $F55&gt;=AH$5-4, $F55&lt;=AH$5, COUNTIF($M55:AG55,"u")=0), "u", "")</f>
        <v/>
      </c>
      <c r="AI55" s="80" t="str">
        <f>IF(AND($F55&lt;&gt;"", $F55&gt;=AI$5-4, $F55&lt;=AI$5, COUNTIF($M55:AH55,"u")=0), "u", "")</f>
        <v/>
      </c>
      <c r="AJ55" s="80" t="str">
        <f>IF(AND($F55&lt;&gt;"", $F55&gt;=AJ$5-4, $F55&lt;=AJ$5, COUNTIF($M55:AI55,"u")=0), "u", "")</f>
        <v/>
      </c>
      <c r="AK55" s="80" t="str">
        <f>IF(AND($F55&lt;&gt;"", $F55&gt;=AK$5-4, $F55&lt;=AK$5, COUNTIF($M55:AJ55,"u")=0), "u", "")</f>
        <v/>
      </c>
      <c r="AL55" s="80" t="str">
        <f>IF(AND($F55&lt;&gt;"", $F55&gt;=AL$5-4, $F55&lt;=AL$5, COUNTIF($M55:AK55,"u")=0), "u", "")</f>
        <v/>
      </c>
      <c r="AM55" s="80" t="str">
        <f>IF(AND($F55&lt;&gt;"", $F55&gt;=AM$5-4, $F55&lt;=AM$5, COUNTIF($M55:AL55,"u")=0), "u", "")</f>
        <v/>
      </c>
      <c r="AN55" s="80" t="str">
        <f>IF(AND($F55&lt;&gt;"", $F55&gt;=AN$5-4, $F55&lt;=AN$5, COUNTIF($M55:AM55,"u")=0), "u", "")</f>
        <v/>
      </c>
      <c r="AO55" s="80" t="str">
        <f>IF(AND($F55&lt;&gt;"", $F55&gt;=AO$5-4, $F55&lt;=AO$5, COUNTIF($M55:AN55,"u")=0), "u", "")</f>
        <v/>
      </c>
      <c r="AP55" s="80" t="str">
        <f>IF(AND($F55&lt;&gt;"", $F55&gt;=AP$5-4, $F55&lt;=AP$5, COUNTIF($M55:AO55,"u")=0), "u", "")</f>
        <v/>
      </c>
      <c r="AQ55" s="80" t="str">
        <f>IF(AND($F55&lt;&gt;"", $F55&gt;=AQ$5-4, $F55&lt;=AQ$5, COUNTIF($M55:AP55,"u")=0), "u", "")</f>
        <v/>
      </c>
      <c r="AR55" s="80" t="str">
        <f>IF(AND($F55&lt;&gt;"", $F55&gt;=AR$5-4, $F55&lt;=AR$5, COUNTIF($M55:AQ55,"u")=0), "u", "")</f>
        <v/>
      </c>
      <c r="AS55" s="80" t="str">
        <f>IF(AND($F55&lt;&gt;"", $F55&gt;=AS$5-4, $F55&lt;=AS$5, COUNTIF($M55:AR55,"u")=0), "u", "")</f>
        <v/>
      </c>
      <c r="AT55" s="80" t="str">
        <f>IF(AND($F55&lt;&gt;"", $F55&gt;=AT$5-4, $F55&lt;=AT$5, COUNTIF($M55:AS55,"u")=0), "u", "")</f>
        <v/>
      </c>
      <c r="AU55" s="80" t="str">
        <f>IF(AND($F55&lt;&gt;"", $F55&gt;=AU$5-4, $F55&lt;=AU$5, COUNTIF($M55:AT55,"u")=0), "u", "")</f>
        <v/>
      </c>
      <c r="AV55" s="80" t="str">
        <f>IF(AND($F55&lt;&gt;"", $F55&gt;=AV$5-4, $F55&lt;=AV$5, COUNTIF($M55:AU55,"u")=0), "u", "")</f>
        <v/>
      </c>
      <c r="AW55" s="80" t="str">
        <f>IF(AND($F55&lt;&gt;"", $F55&gt;=AW$5-4, $F55&lt;=AW$5, COUNTIF($M55:AV55,"u")=0), "u", "")</f>
        <v/>
      </c>
      <c r="AX55" s="80" t="str">
        <f>IF(AND($F55&lt;&gt;"", $F55&gt;=AX$5-4, $F55&lt;=AX$5, COUNTIF($M55:AW55,"u")=0), "u", "")</f>
        <v/>
      </c>
      <c r="AY55" s="80" t="str">
        <f>IF(AND($F55&lt;&gt;"", $F55&gt;=AY$5-4, $F55&lt;=AY$5, COUNTIF($M55:AX55,"u")=0), "u", "")</f>
        <v/>
      </c>
      <c r="AZ55" s="80" t="str">
        <f>IF(AND($F55&lt;&gt;"", $F55&gt;=AZ$5-4, $F55&lt;=AZ$5, COUNTIF($M55:AY55,"u")=0), "u", "")</f>
        <v/>
      </c>
      <c r="BA55" s="80" t="str">
        <f>IF(AND($F55&lt;&gt;"", $F55&gt;=BA$5-4, $F55&lt;=BA$5, COUNTIF($M55:AZ55,"u")=0), "u", "")</f>
        <v/>
      </c>
      <c r="BB55" s="80" t="str">
        <f>IF(AND($F55&lt;&gt;"", $F55&gt;=BB$5-4, $F55&lt;=BB$5, COUNTIF($M55:BA55,"u")=0), "u", "")</f>
        <v/>
      </c>
      <c r="BC55" s="80" t="str">
        <f>IF(AND($F55&lt;&gt;"", $F55&gt;=BC$5-4, $F55&lt;=BC$5, COUNTIF($M55:BB55,"u")=0), "u", "")</f>
        <v/>
      </c>
      <c r="BD55" s="80" t="str">
        <f>IF(AND($F55&lt;&gt;"", $F55&gt;=BD$5-4, $F55&lt;=BD$5, COUNTIF($M55:BC55,"u")=0), "u", "")</f>
        <v/>
      </c>
      <c r="BE55" s="80" t="str">
        <f>IF(AND($F55&lt;&gt;"", $F55&gt;=BE$5-4, $F55&lt;=BE$5, COUNTIF($M55:BD55,"u")=0), "u", "")</f>
        <v/>
      </c>
      <c r="BF55" s="80" t="str">
        <f>IF(AND($F55&lt;&gt;"", $F55&gt;=BF$5-4, $F55&lt;=BF$5, COUNTIF($M55:BE55,"u")=0), "u", "")</f>
        <v/>
      </c>
      <c r="BG55" s="80" t="str">
        <f>IF(AND($F55&lt;&gt;"", $F55&gt;=BG$5-4, $F55&lt;=BG$5, COUNTIF($M55:BF55,"u")=0), "u", "")</f>
        <v/>
      </c>
      <c r="BH55" s="80" t="str">
        <f>IF(AND($F55&lt;&gt;"", $F55&gt;=BH$5-4, $F55&lt;=BH$5, COUNTIF($M55:BG55,"u")=0), "u", "")</f>
        <v/>
      </c>
      <c r="BI55" s="80" t="str">
        <f>IF(AND($F55&lt;&gt;"", $F55&gt;=BI$5-4, $F55&lt;=BI$5, COUNTIF($M55:BH55,"u")=0), "u", "")</f>
        <v/>
      </c>
      <c r="BJ55" s="80" t="str">
        <f>IF(AND($F55&lt;&gt;"", $F55&gt;=BJ$5-4, $F55&lt;=BJ$5, COUNTIF($M55:BI55,"u")=0), "u", "")</f>
        <v/>
      </c>
      <c r="BK55" s="80" t="str">
        <f>IF(AND($F55&lt;&gt;"", $F55&gt;=BK$5-4, $F55&lt;=BK$5, COUNTIF($M55:BJ55,"u")=0), "u", "")</f>
        <v/>
      </c>
      <c r="BL55" s="80" t="str">
        <f>IF(AND($F55&lt;&gt;"", $F55&gt;=BL$5-4, $F55&lt;=BL$5, COUNTIF($M55:BK55,"u")=0), "u", "")</f>
        <v/>
      </c>
      <c r="BM55" s="80" t="str">
        <f>IF(AND($F55&lt;&gt;"", $F55&gt;=BM$5-4, $F55&lt;=BM$5, COUNTIF($M55:BL55,"u")=0), "u", "")</f>
        <v/>
      </c>
      <c r="BN55" s="80" t="str">
        <f>IF(AND($F55&lt;&gt;"", $F55&gt;=BN$5-4, $F55&lt;=BN$5, COUNTIF($M55:BM55,"u")=0), "u", "")</f>
        <v/>
      </c>
      <c r="BO55" s="80" t="str">
        <f>IF(AND($F55&lt;&gt;"", $F55&gt;=BO$5-4, $F55&lt;=BO$5, COUNTIF($M55:BN55,"u")=0), "u", "")</f>
        <v/>
      </c>
      <c r="BP55" s="80" t="str">
        <f>IF(AND($F55&lt;&gt;"", $F55&gt;=BP$5-4, $F55&lt;=BP$5, COUNTIF($M55:BO55,"u")=0), "u", "")</f>
        <v/>
      </c>
      <c r="BQ55" s="80" t="str">
        <f>IF(AND($F55&lt;&gt;"", $F55&gt;=BQ$5-4, $F55&lt;=BQ$5, COUNTIF($M55:BP55,"u")=0), "u", "")</f>
        <v/>
      </c>
      <c r="BR55" s="80" t="str">
        <f>IF(AND($F55&lt;&gt;"", $F55&gt;=BR$5-4, $F55&lt;=BR$5, COUNTIF($M55:BQ55,"u")=0), "u", "")</f>
        <v/>
      </c>
      <c r="BS55" s="80" t="str">
        <f>IF(AND($F55&lt;&gt;"", $F55&gt;=BS$5-4, $F55&lt;=BS$5, COUNTIF($M55:BR55,"u")=0), "u", "")</f>
        <v/>
      </c>
      <c r="BT55" s="80" t="str">
        <f>IF(AND($F55&lt;&gt;"", $F55&gt;=BT$5-4, $F55&lt;=BT$5, COUNTIF($M55:BS55,"u")=0), "u", "")</f>
        <v/>
      </c>
      <c r="BU55" s="80" t="str">
        <f>IF(AND($F55&lt;&gt;"", $F55&gt;=BU$5-4, $F55&lt;=BU$5, COUNTIF($M55:BT55,"u")=0), "u", "")</f>
        <v/>
      </c>
      <c r="BV55" s="80" t="str">
        <f>IF(AND($F55&lt;&gt;"", $F55&gt;=BV$5-4, $F55&lt;=BV$5, COUNTIF($M55:BU55,"u")=0), "u", "")</f>
        <v/>
      </c>
      <c r="BW55" s="80" t="str">
        <f>IF(AND($F55&lt;&gt;"", $F55&gt;=BW$5-4, $F55&lt;=BW$5, COUNTIF($M55:BV55,"u")=0), "u", "")</f>
        <v/>
      </c>
      <c r="BX55" s="80" t="str">
        <f>IF(AND($F55&lt;&gt;"", $F55&gt;=BX$5-4, $F55&lt;=BX$5, COUNTIF($M55:BW55,"u")=0), "u", "")</f>
        <v/>
      </c>
      <c r="BY55" s="80" t="str">
        <f>IF(AND($F55&lt;&gt;"", $F55&gt;=BY$5-4, $F55&lt;=BY$5, COUNTIF($M55:BX55,"u")=0), "u", "")</f>
        <v/>
      </c>
      <c r="BZ55" s="80" t="str">
        <f>IF(AND($F55&lt;&gt;"", $F55&gt;=BZ$5-4, $F55&lt;=BZ$5, COUNTIF($M55:BY55,"u")=0), "u", "")</f>
        <v/>
      </c>
      <c r="CA55" s="80" t="str">
        <f>IF(AND($F55&lt;&gt;"", $F55&gt;=CA$5-4, $F55&lt;=CA$5, COUNTIF($M55:BZ55,"u")=0), "u", "")</f>
        <v/>
      </c>
      <c r="CB55" s="80" t="str">
        <f>IF(AND($F55&lt;&gt;"", $F55&gt;=CB$5-4, $F55&lt;=CB$5, COUNTIF($M55:CA55,"u")=0), "u", "")</f>
        <v/>
      </c>
      <c r="CC55" s="80" t="str">
        <f>IF(AND($F55&lt;&gt;"", $F55&gt;=CC$5-4, $F55&lt;=CC$5, COUNTIF($M55:CB55,"u")=0), "u", "")</f>
        <v/>
      </c>
      <c r="CD55" s="80" t="str">
        <f>IF(AND($F55&lt;&gt;"", $F55&gt;=CD$5-4, $F55&lt;=CD$5, COUNTIF($M55:CC55,"u")=0), "u", "")</f>
        <v/>
      </c>
      <c r="CE55" s="80" t="str">
        <f>IF(AND($F55&lt;&gt;"", $F55&gt;=CE$5-4, $F55&lt;=CE$5, COUNTIF($M55:CD55,"u")=0), "u", "")</f>
        <v/>
      </c>
      <c r="CF55" s="80" t="str">
        <f>IF(AND($F55&lt;&gt;"", $F55&gt;=CF$5-4, $F55&lt;=CF$5, COUNTIF($M55:CE55,"u")=0), "u", "")</f>
        <v/>
      </c>
      <c r="CG55" s="80" t="str">
        <f>IF(AND($F55&lt;&gt;"", $F55&gt;=CG$5-4, $F55&lt;=CG$5, COUNTIF($M55:CF55,"u")=0), "u", "")</f>
        <v/>
      </c>
      <c r="CH55" s="80" t="str">
        <f>IF(AND($F55&lt;&gt;"", $F55&gt;=CH$5-4, $F55&lt;=CH$5, COUNTIF($M55:CG55,"u")=0), "u", "")</f>
        <v/>
      </c>
      <c r="CI55" s="80" t="str">
        <f>IF(AND($F55&lt;&gt;"", $F55&gt;=CI$5-4, $F55&lt;=CI$5, COUNTIF($M55:CH55,"u")=0), "u", "")</f>
        <v/>
      </c>
      <c r="CJ55" s="80" t="str">
        <f>IF(AND($F55&lt;&gt;"", $F55&gt;=CJ$5-4, $F55&lt;=CJ$5, COUNTIF($M55:CI55,"u")=0), "u", "")</f>
        <v/>
      </c>
      <c r="CK55" s="80" t="str">
        <f>IF(AND($F55&lt;&gt;"", $F55&gt;=CK$5-4, $F55&lt;=CK$5, COUNTIF($M55:CJ55,"u")=0), "u", "")</f>
        <v/>
      </c>
      <c r="CL55" s="80" t="str">
        <f>IF(AND($F55&lt;&gt;"", $F55&gt;=CL$5-4, $F55&lt;=CL$5, COUNTIF($M55:CK55,"u")=0), "u", "")</f>
        <v/>
      </c>
      <c r="CM55" s="80" t="str">
        <f>IF(AND($F55&lt;&gt;"", $F55&gt;=CM$5-4, $F55&lt;=CM$5, COUNTIF($M55:CL55,"u")=0), "u", "")</f>
        <v/>
      </c>
      <c r="CN55" s="80" t="str">
        <f>IF(AND($F55&lt;&gt;"", $F55&gt;=CN$5-4, $F55&lt;=CN$5, COUNTIF($M55:CM55,"u")=0), "u", "")</f>
        <v/>
      </c>
      <c r="CO55" s="80" t="str">
        <f>IF(AND($F55&lt;&gt;"", $F55&gt;=CO$5-4, $F55&lt;=CO$5, COUNTIF($M55:CN55,"u")=0), "u", "")</f>
        <v/>
      </c>
      <c r="CP55" s="80" t="str">
        <f>IF(AND($F55&lt;&gt;"", $F55&gt;=CP$5-4, $F55&lt;=CP$5, COUNTIF($M55:CO55,"u")=0), "u", "")</f>
        <v/>
      </c>
      <c r="CQ55" s="80" t="str">
        <f>IF(AND($F55&lt;&gt;"", $F55&gt;=CQ$5-4, $F55&lt;=CQ$5, COUNTIF($M55:CP55,"u")=0), "u", "")</f>
        <v/>
      </c>
      <c r="CR55" s="80" t="str">
        <f>IF(AND($F55&lt;&gt;"", $F55&gt;=CR$5-4, $F55&lt;=CR$5, COUNTIF($M55:CQ55,"u")=0), "u", "")</f>
        <v/>
      </c>
      <c r="CS55" s="80" t="str">
        <f>IF(AND($F55&lt;&gt;"", $F55&gt;=CS$5-4, $F55&lt;=CS$5, COUNTIF($M55:CR55,"u")=0), "u", "")</f>
        <v/>
      </c>
      <c r="CT55" s="80" t="str">
        <f>IF(AND($F55&lt;&gt;"", $F55&gt;=CT$5-4, $F55&lt;=CT$5, COUNTIF($M55:CS55,"u")=0), "u", "")</f>
        <v/>
      </c>
      <c r="CU55" s="80" t="str">
        <f>IF(AND($F55&lt;&gt;"", $F55&gt;=CU$5-4, $F55&lt;=CU$5, COUNTIF($M55:CT55,"u")=0), "u", "")</f>
        <v/>
      </c>
      <c r="CV55" s="80" t="str">
        <f>IF(AND($F55&lt;&gt;"", $F55&gt;=CV$5-4, $F55&lt;=CV$5, COUNTIF($M55:CU55,"u")=0), "u", "")</f>
        <v/>
      </c>
      <c r="CW55" s="80" t="str">
        <f>IF(AND($F55&lt;&gt;"", $F55&gt;=CW$5-4, $F55&lt;=CW$5, COUNTIF($M55:CV55,"u")=0), "u", "")</f>
        <v/>
      </c>
      <c r="CX55" s="80" t="str">
        <f>IF(AND($F55&lt;&gt;"", $F55&gt;=CX$5-4, $F55&lt;=CX$5, COUNTIF($M55:CW55,"u")=0), "u", "")</f>
        <v/>
      </c>
      <c r="CY55" s="80" t="str">
        <f>IF(AND($F55&lt;&gt;"", $F55&gt;=CY$5-4, $F55&lt;=CY$5, COUNTIF($M55:CX55,"u")=0), "u", "")</f>
        <v/>
      </c>
      <c r="CZ55" s="80" t="str">
        <f>IF(AND($F55&lt;&gt;"", $F55&gt;=CZ$5-4, $F55&lt;=CZ$5, COUNTIF($M55:CY55,"u")=0), "u", "")</f>
        <v/>
      </c>
      <c r="DA55" s="80" t="str">
        <f>IF(AND($F55&lt;&gt;"", $F55&gt;=DA$5-4, $F55&lt;=DA$5, COUNTIF($M55:CZ55,"u")=0), "u", "")</f>
        <v/>
      </c>
      <c r="DB55" s="80" t="str">
        <f>IF(AND($F55&lt;&gt;"", $F55&gt;=DB$5-4, $F55&lt;=DB$5, COUNTIF($M55:DA55,"u")=0), "u", "")</f>
        <v/>
      </c>
      <c r="DC55" s="80" t="str">
        <f>IF(AND($F55&lt;&gt;"", $F55&gt;=DC$5-4, $F55&lt;=DC$5, COUNTIF($M55:DB55,"u")=0), "u", "")</f>
        <v/>
      </c>
      <c r="DD55" s="80" t="str">
        <f>IF(AND($F55&lt;&gt;"", $F55&gt;=DD$5-4, $F55&lt;=DD$5, COUNTIF($M55:DC55,"u")=0), "u", "")</f>
        <v/>
      </c>
      <c r="DE55" s="80" t="str">
        <f>IF(AND($F55&lt;&gt;"", $F55&gt;=DE$5-4, $F55&lt;=DE$5, COUNTIF($M55:DD55,"u")=0), "u", "")</f>
        <v/>
      </c>
      <c r="DF55" s="80" t="str">
        <f>IF(AND($F55&lt;&gt;"", $F55&gt;=DF$5-4, $F55&lt;=DF$5, COUNTIF($M55:DE55,"u")=0), "u", "")</f>
        <v/>
      </c>
      <c r="DG55" s="80" t="str">
        <f>IF(AND($F55&lt;&gt;"", $F55&gt;=DG$5-4, $F55&lt;=DG$5, COUNTIF($M55:DF55,"u")=0), "u", "")</f>
        <v/>
      </c>
      <c r="DH55" s="80" t="str">
        <f>IF(AND($F55&lt;&gt;"", $F55&gt;=DH$5-4, $F55&lt;=DH$5, COUNTIF($M55:DG55,"u")=0), "u", "")</f>
        <v/>
      </c>
      <c r="DI55" s="80" t="str">
        <f>IF(AND($F55&lt;&gt;"", $F55&gt;=DI$5-4, $F55&lt;=DI$5, COUNTIF($M55:DH55,"u")=0), "u", "")</f>
        <v/>
      </c>
      <c r="DJ55" s="80" t="str">
        <f>IF(AND($F55&lt;&gt;"", $F55&gt;=DJ$5-4, $F55&lt;=DJ$5, COUNTIF($M55:DI55,"u")=0), "u", "")</f>
        <v/>
      </c>
      <c r="DK55" s="80" t="str">
        <f>IF(AND($F55&lt;&gt;"", $F55&gt;=DK$5-4, $F55&lt;=DK$5, COUNTIF($M55:DJ55,"u")=0), "u", "")</f>
        <v/>
      </c>
      <c r="DL55" s="80" t="str">
        <f>IF(AND($F55&lt;&gt;"", $F55&gt;=DL$5-4, $F55&lt;=DL$5, COUNTIF($M55:DK55,"u")=0), "u", "")</f>
        <v/>
      </c>
    </row>
    <row r="56" spans="1:116" ht="25.05" customHeight="1" x14ac:dyDescent="0.3">
      <c r="A56" s="39"/>
      <c r="B56" s="75">
        <v>51</v>
      </c>
      <c r="C56" s="97"/>
      <c r="D56" s="92"/>
      <c r="E56" s="53"/>
      <c r="F56" s="53"/>
      <c r="G56" s="83" t="str">
        <f t="shared" si="47"/>
        <v/>
      </c>
      <c r="H56" s="83" t="str">
        <f t="shared" si="47"/>
        <v/>
      </c>
      <c r="I56" s="77" t="str">
        <f t="shared" si="45"/>
        <v/>
      </c>
      <c r="J56" s="78"/>
      <c r="K56" s="86"/>
      <c r="L56" s="56"/>
      <c r="M56" s="80" t="str">
        <f t="shared" si="46"/>
        <v/>
      </c>
      <c r="N56" s="80" t="str">
        <f>IF(AND($F56&lt;&gt;"", $F56&gt;=N$5-4, $F56&lt;=N$5, COUNTIF($M56:M56,"u")=0), "u", "")</f>
        <v/>
      </c>
      <c r="O56" s="80" t="str">
        <f>IF(AND($F56&lt;&gt;"", $F56&gt;=O$5-4, $F56&lt;=O$5, COUNTIF($M56:N56,"u")=0), "u", "")</f>
        <v/>
      </c>
      <c r="P56" s="80" t="str">
        <f>IF(AND($F56&lt;&gt;"", $F56&gt;=P$5-4, $F56&lt;=P$5, COUNTIF($M56:O56,"u")=0), "u", "")</f>
        <v/>
      </c>
      <c r="Q56" s="80" t="str">
        <f>IF(AND($F56&lt;&gt;"", $F56&gt;=Q$5-4, $F56&lt;=Q$5, COUNTIF($M56:P56,"u")=0), "u", "")</f>
        <v/>
      </c>
      <c r="R56" s="80" t="str">
        <f>IF(AND($F56&lt;&gt;"", $F56&gt;=R$5-4, $F56&lt;=R$5, COUNTIF($M56:Q56,"u")=0), "u", "")</f>
        <v/>
      </c>
      <c r="S56" s="80" t="str">
        <f>IF(AND($F56&lt;&gt;"", $F56&gt;=S$5-4, $F56&lt;=S$5, COUNTIF($M56:R56,"u")=0), "u", "")</f>
        <v/>
      </c>
      <c r="T56" s="80" t="str">
        <f>IF(AND($F56&lt;&gt;"", $F56&gt;=T$5-4, $F56&lt;=T$5, COUNTIF($M56:S56,"u")=0), "u", "")</f>
        <v/>
      </c>
      <c r="U56" s="80" t="str">
        <f>IF(AND($F56&lt;&gt;"", $F56&gt;=U$5-4, $F56&lt;=U$5, COUNTIF($M56:T56,"u")=0), "u", "")</f>
        <v/>
      </c>
      <c r="V56" s="80" t="str">
        <f>IF(AND($F56&lt;&gt;"", $F56&gt;=V$5-4, $F56&lt;=V$5, COUNTIF($M56:U56,"u")=0), "u", "")</f>
        <v/>
      </c>
      <c r="W56" s="80" t="str">
        <f>IF(AND($F56&lt;&gt;"", $F56&gt;=W$5-4, $F56&lt;=W$5, COUNTIF($M56:V56,"u")=0), "u", "")</f>
        <v/>
      </c>
      <c r="X56" s="80" t="str">
        <f>IF(AND($F56&lt;&gt;"", $F56&gt;=X$5-4, $F56&lt;=X$5, COUNTIF($M56:W56,"u")=0), "u", "")</f>
        <v/>
      </c>
      <c r="Y56" s="80" t="str">
        <f>IF(AND($F56&lt;&gt;"", $F56&gt;=Y$5-4, $F56&lt;=Y$5, COUNTIF($M56:X56,"u")=0), "u", "")</f>
        <v/>
      </c>
      <c r="Z56" s="80" t="str">
        <f>IF(AND($F56&lt;&gt;"", $F56&gt;=Z$5-4, $F56&lt;=Z$5, COUNTIF($M56:Y56,"u")=0), "u", "")</f>
        <v/>
      </c>
      <c r="AA56" s="80" t="str">
        <f>IF(AND($F56&lt;&gt;"", $F56&gt;=AA$5-4, $F56&lt;=AA$5, COUNTIF($M56:Z56,"u")=0), "u", "")</f>
        <v/>
      </c>
      <c r="AB56" s="80" t="str">
        <f>IF(AND($F56&lt;&gt;"", $F56&gt;=AB$5-4, $F56&lt;=AB$5, COUNTIF($M56:AA56,"u")=0), "u", "")</f>
        <v/>
      </c>
      <c r="AC56" s="80" t="str">
        <f>IF(AND($F56&lt;&gt;"", $F56&gt;=AC$5-4, $F56&lt;=AC$5, COUNTIF($M56:AB56,"u")=0), "u", "")</f>
        <v/>
      </c>
      <c r="AD56" s="80" t="str">
        <f>IF(AND($F56&lt;&gt;"", $F56&gt;=AD$5-4, $F56&lt;=AD$5, COUNTIF($M56:AC56,"u")=0), "u", "")</f>
        <v/>
      </c>
      <c r="AE56" s="80" t="str">
        <f>IF(AND($F56&lt;&gt;"", $F56&gt;=AE$5-4, $F56&lt;=AE$5, COUNTIF($M56:AD56,"u")=0), "u", "")</f>
        <v/>
      </c>
      <c r="AF56" s="80" t="str">
        <f>IF(AND($F56&lt;&gt;"", $F56&gt;=AF$5-4, $F56&lt;=AF$5, COUNTIF($M56:AE56,"u")=0), "u", "")</f>
        <v/>
      </c>
      <c r="AG56" s="80" t="str">
        <f>IF(AND($F56&lt;&gt;"", $F56&gt;=AG$5-4, $F56&lt;=AG$5, COUNTIF($M56:AF56,"u")=0), "u", "")</f>
        <v/>
      </c>
      <c r="AH56" s="80" t="str">
        <f>IF(AND($F56&lt;&gt;"", $F56&gt;=AH$5-4, $F56&lt;=AH$5, COUNTIF($M56:AG56,"u")=0), "u", "")</f>
        <v/>
      </c>
      <c r="AI56" s="80" t="str">
        <f>IF(AND($F56&lt;&gt;"", $F56&gt;=AI$5-4, $F56&lt;=AI$5, COUNTIF($M56:AH56,"u")=0), "u", "")</f>
        <v/>
      </c>
      <c r="AJ56" s="80" t="str">
        <f>IF(AND($F56&lt;&gt;"", $F56&gt;=AJ$5-4, $F56&lt;=AJ$5, COUNTIF($M56:AI56,"u")=0), "u", "")</f>
        <v/>
      </c>
      <c r="AK56" s="80" t="str">
        <f>IF(AND($F56&lt;&gt;"", $F56&gt;=AK$5-4, $F56&lt;=AK$5, COUNTIF($M56:AJ56,"u")=0), "u", "")</f>
        <v/>
      </c>
      <c r="AL56" s="80" t="str">
        <f>IF(AND($F56&lt;&gt;"", $F56&gt;=AL$5-4, $F56&lt;=AL$5, COUNTIF($M56:AK56,"u")=0), "u", "")</f>
        <v/>
      </c>
      <c r="AM56" s="80" t="str">
        <f>IF(AND($F56&lt;&gt;"", $F56&gt;=AM$5-4, $F56&lt;=AM$5, COUNTIF($M56:AL56,"u")=0), "u", "")</f>
        <v/>
      </c>
      <c r="AN56" s="80" t="str">
        <f>IF(AND($F56&lt;&gt;"", $F56&gt;=AN$5-4, $F56&lt;=AN$5, COUNTIF($M56:AM56,"u")=0), "u", "")</f>
        <v/>
      </c>
      <c r="AO56" s="80" t="str">
        <f>IF(AND($F56&lt;&gt;"", $F56&gt;=AO$5-4, $F56&lt;=AO$5, COUNTIF($M56:AN56,"u")=0), "u", "")</f>
        <v/>
      </c>
      <c r="AP56" s="80" t="str">
        <f>IF(AND($F56&lt;&gt;"", $F56&gt;=AP$5-4, $F56&lt;=AP$5, COUNTIF($M56:AO56,"u")=0), "u", "")</f>
        <v/>
      </c>
      <c r="AQ56" s="80" t="str">
        <f>IF(AND($F56&lt;&gt;"", $F56&gt;=AQ$5-4, $F56&lt;=AQ$5, COUNTIF($M56:AP56,"u")=0), "u", "")</f>
        <v/>
      </c>
      <c r="AR56" s="80" t="str">
        <f>IF(AND($F56&lt;&gt;"", $F56&gt;=AR$5-4, $F56&lt;=AR$5, COUNTIF($M56:AQ56,"u")=0), "u", "")</f>
        <v/>
      </c>
      <c r="AS56" s="80" t="str">
        <f>IF(AND($F56&lt;&gt;"", $F56&gt;=AS$5-4, $F56&lt;=AS$5, COUNTIF($M56:AR56,"u")=0), "u", "")</f>
        <v/>
      </c>
      <c r="AT56" s="80" t="str">
        <f>IF(AND($F56&lt;&gt;"", $F56&gt;=AT$5-4, $F56&lt;=AT$5, COUNTIF($M56:AS56,"u")=0), "u", "")</f>
        <v/>
      </c>
      <c r="AU56" s="80" t="str">
        <f>IF(AND($F56&lt;&gt;"", $F56&gt;=AU$5-4, $F56&lt;=AU$5, COUNTIF($M56:AT56,"u")=0), "u", "")</f>
        <v/>
      </c>
      <c r="AV56" s="80" t="str">
        <f>IF(AND($F56&lt;&gt;"", $F56&gt;=AV$5-4, $F56&lt;=AV$5, COUNTIF($M56:AU56,"u")=0), "u", "")</f>
        <v/>
      </c>
      <c r="AW56" s="80" t="str">
        <f>IF(AND($F56&lt;&gt;"", $F56&gt;=AW$5-4, $F56&lt;=AW$5, COUNTIF($M56:AV56,"u")=0), "u", "")</f>
        <v/>
      </c>
      <c r="AX56" s="80" t="str">
        <f>IF(AND($F56&lt;&gt;"", $F56&gt;=AX$5-4, $F56&lt;=AX$5, COUNTIF($M56:AW56,"u")=0), "u", "")</f>
        <v/>
      </c>
      <c r="AY56" s="80" t="str">
        <f>IF(AND($F56&lt;&gt;"", $F56&gt;=AY$5-4, $F56&lt;=AY$5, COUNTIF($M56:AX56,"u")=0), "u", "")</f>
        <v/>
      </c>
      <c r="AZ56" s="80" t="str">
        <f>IF(AND($F56&lt;&gt;"", $F56&gt;=AZ$5-4, $F56&lt;=AZ$5, COUNTIF($M56:AY56,"u")=0), "u", "")</f>
        <v/>
      </c>
      <c r="BA56" s="80" t="str">
        <f>IF(AND($F56&lt;&gt;"", $F56&gt;=BA$5-4, $F56&lt;=BA$5, COUNTIF($M56:AZ56,"u")=0), "u", "")</f>
        <v/>
      </c>
      <c r="BB56" s="80" t="str">
        <f>IF(AND($F56&lt;&gt;"", $F56&gt;=BB$5-4, $F56&lt;=BB$5, COUNTIF($M56:BA56,"u")=0), "u", "")</f>
        <v/>
      </c>
      <c r="BC56" s="80" t="str">
        <f>IF(AND($F56&lt;&gt;"", $F56&gt;=BC$5-4, $F56&lt;=BC$5, COUNTIF($M56:BB56,"u")=0), "u", "")</f>
        <v/>
      </c>
      <c r="BD56" s="80" t="str">
        <f>IF(AND($F56&lt;&gt;"", $F56&gt;=BD$5-4, $F56&lt;=BD$5, COUNTIF($M56:BC56,"u")=0), "u", "")</f>
        <v/>
      </c>
      <c r="BE56" s="80" t="str">
        <f>IF(AND($F56&lt;&gt;"", $F56&gt;=BE$5-4, $F56&lt;=BE$5, COUNTIF($M56:BD56,"u")=0), "u", "")</f>
        <v/>
      </c>
      <c r="BF56" s="80" t="str">
        <f>IF(AND($F56&lt;&gt;"", $F56&gt;=BF$5-4, $F56&lt;=BF$5, COUNTIF($M56:BE56,"u")=0), "u", "")</f>
        <v/>
      </c>
      <c r="BG56" s="80" t="str">
        <f>IF(AND($F56&lt;&gt;"", $F56&gt;=BG$5-4, $F56&lt;=BG$5, COUNTIF($M56:BF56,"u")=0), "u", "")</f>
        <v/>
      </c>
      <c r="BH56" s="80" t="str">
        <f>IF(AND($F56&lt;&gt;"", $F56&gt;=BH$5-4, $F56&lt;=BH$5, COUNTIF($M56:BG56,"u")=0), "u", "")</f>
        <v/>
      </c>
      <c r="BI56" s="80" t="str">
        <f>IF(AND($F56&lt;&gt;"", $F56&gt;=BI$5-4, $F56&lt;=BI$5, COUNTIF($M56:BH56,"u")=0), "u", "")</f>
        <v/>
      </c>
      <c r="BJ56" s="80" t="str">
        <f>IF(AND($F56&lt;&gt;"", $F56&gt;=BJ$5-4, $F56&lt;=BJ$5, COUNTIF($M56:BI56,"u")=0), "u", "")</f>
        <v/>
      </c>
      <c r="BK56" s="80" t="str">
        <f>IF(AND($F56&lt;&gt;"", $F56&gt;=BK$5-4, $F56&lt;=BK$5, COUNTIF($M56:BJ56,"u")=0), "u", "")</f>
        <v/>
      </c>
      <c r="BL56" s="80" t="str">
        <f>IF(AND($F56&lt;&gt;"", $F56&gt;=BL$5-4, $F56&lt;=BL$5, COUNTIF($M56:BK56,"u")=0), "u", "")</f>
        <v/>
      </c>
      <c r="BM56" s="80" t="str">
        <f>IF(AND($F56&lt;&gt;"", $F56&gt;=BM$5-4, $F56&lt;=BM$5, COUNTIF($M56:BL56,"u")=0), "u", "")</f>
        <v/>
      </c>
      <c r="BN56" s="80" t="str">
        <f>IF(AND($F56&lt;&gt;"", $F56&gt;=BN$5-4, $F56&lt;=BN$5, COUNTIF($M56:BM56,"u")=0), "u", "")</f>
        <v/>
      </c>
      <c r="BO56" s="80" t="str">
        <f>IF(AND($F56&lt;&gt;"", $F56&gt;=BO$5-4, $F56&lt;=BO$5, COUNTIF($M56:BN56,"u")=0), "u", "")</f>
        <v/>
      </c>
      <c r="BP56" s="80" t="str">
        <f>IF(AND($F56&lt;&gt;"", $F56&gt;=BP$5-4, $F56&lt;=BP$5, COUNTIF($M56:BO56,"u")=0), "u", "")</f>
        <v/>
      </c>
      <c r="BQ56" s="80" t="str">
        <f>IF(AND($F56&lt;&gt;"", $F56&gt;=BQ$5-4, $F56&lt;=BQ$5, COUNTIF($M56:BP56,"u")=0), "u", "")</f>
        <v/>
      </c>
      <c r="BR56" s="80" t="str">
        <f>IF(AND($F56&lt;&gt;"", $F56&gt;=BR$5-4, $F56&lt;=BR$5, COUNTIF($M56:BQ56,"u")=0), "u", "")</f>
        <v/>
      </c>
      <c r="BS56" s="80" t="str">
        <f>IF(AND($F56&lt;&gt;"", $F56&gt;=BS$5-4, $F56&lt;=BS$5, COUNTIF($M56:BR56,"u")=0), "u", "")</f>
        <v/>
      </c>
      <c r="BT56" s="80" t="str">
        <f>IF(AND($F56&lt;&gt;"", $F56&gt;=BT$5-4, $F56&lt;=BT$5, COUNTIF($M56:BS56,"u")=0), "u", "")</f>
        <v/>
      </c>
      <c r="BU56" s="80" t="str">
        <f>IF(AND($F56&lt;&gt;"", $F56&gt;=BU$5-4, $F56&lt;=BU$5, COUNTIF($M56:BT56,"u")=0), "u", "")</f>
        <v/>
      </c>
      <c r="BV56" s="80" t="str">
        <f>IF(AND($F56&lt;&gt;"", $F56&gt;=BV$5-4, $F56&lt;=BV$5, COUNTIF($M56:BU56,"u")=0), "u", "")</f>
        <v/>
      </c>
      <c r="BW56" s="80" t="str">
        <f>IF(AND($F56&lt;&gt;"", $F56&gt;=BW$5-4, $F56&lt;=BW$5, COUNTIF($M56:BV56,"u")=0), "u", "")</f>
        <v/>
      </c>
      <c r="BX56" s="80" t="str">
        <f>IF(AND($F56&lt;&gt;"", $F56&gt;=BX$5-4, $F56&lt;=BX$5, COUNTIF($M56:BW56,"u")=0), "u", "")</f>
        <v/>
      </c>
      <c r="BY56" s="80" t="str">
        <f>IF(AND($F56&lt;&gt;"", $F56&gt;=BY$5-4, $F56&lt;=BY$5, COUNTIF($M56:BX56,"u")=0), "u", "")</f>
        <v/>
      </c>
      <c r="BZ56" s="80" t="str">
        <f>IF(AND($F56&lt;&gt;"", $F56&gt;=BZ$5-4, $F56&lt;=BZ$5, COUNTIF($M56:BY56,"u")=0), "u", "")</f>
        <v/>
      </c>
      <c r="CA56" s="80" t="str">
        <f>IF(AND($F56&lt;&gt;"", $F56&gt;=CA$5-4, $F56&lt;=CA$5, COUNTIF($M56:BZ56,"u")=0), "u", "")</f>
        <v/>
      </c>
      <c r="CB56" s="80" t="str">
        <f>IF(AND($F56&lt;&gt;"", $F56&gt;=CB$5-4, $F56&lt;=CB$5, COUNTIF($M56:CA56,"u")=0), "u", "")</f>
        <v/>
      </c>
      <c r="CC56" s="80" t="str">
        <f>IF(AND($F56&lt;&gt;"", $F56&gt;=CC$5-4, $F56&lt;=CC$5, COUNTIF($M56:CB56,"u")=0), "u", "")</f>
        <v/>
      </c>
      <c r="CD56" s="80" t="str">
        <f>IF(AND($F56&lt;&gt;"", $F56&gt;=CD$5-4, $F56&lt;=CD$5, COUNTIF($M56:CC56,"u")=0), "u", "")</f>
        <v/>
      </c>
      <c r="CE56" s="80" t="str">
        <f>IF(AND($F56&lt;&gt;"", $F56&gt;=CE$5-4, $F56&lt;=CE$5, COUNTIF($M56:CD56,"u")=0), "u", "")</f>
        <v/>
      </c>
      <c r="CF56" s="80" t="str">
        <f>IF(AND($F56&lt;&gt;"", $F56&gt;=CF$5-4, $F56&lt;=CF$5, COUNTIF($M56:CE56,"u")=0), "u", "")</f>
        <v/>
      </c>
      <c r="CG56" s="80" t="str">
        <f>IF(AND($F56&lt;&gt;"", $F56&gt;=CG$5-4, $F56&lt;=CG$5, COUNTIF($M56:CF56,"u")=0), "u", "")</f>
        <v/>
      </c>
      <c r="CH56" s="80" t="str">
        <f>IF(AND($F56&lt;&gt;"", $F56&gt;=CH$5-4, $F56&lt;=CH$5, COUNTIF($M56:CG56,"u")=0), "u", "")</f>
        <v/>
      </c>
      <c r="CI56" s="80" t="str">
        <f>IF(AND($F56&lt;&gt;"", $F56&gt;=CI$5-4, $F56&lt;=CI$5, COUNTIF($M56:CH56,"u")=0), "u", "")</f>
        <v/>
      </c>
      <c r="CJ56" s="80" t="str">
        <f>IF(AND($F56&lt;&gt;"", $F56&gt;=CJ$5-4, $F56&lt;=CJ$5, COUNTIF($M56:CI56,"u")=0), "u", "")</f>
        <v/>
      </c>
      <c r="CK56" s="80" t="str">
        <f>IF(AND($F56&lt;&gt;"", $F56&gt;=CK$5-4, $F56&lt;=CK$5, COUNTIF($M56:CJ56,"u")=0), "u", "")</f>
        <v/>
      </c>
      <c r="CL56" s="80" t="str">
        <f>IF(AND($F56&lt;&gt;"", $F56&gt;=CL$5-4, $F56&lt;=CL$5, COUNTIF($M56:CK56,"u")=0), "u", "")</f>
        <v/>
      </c>
      <c r="CM56" s="80" t="str">
        <f>IF(AND($F56&lt;&gt;"", $F56&gt;=CM$5-4, $F56&lt;=CM$5, COUNTIF($M56:CL56,"u")=0), "u", "")</f>
        <v/>
      </c>
      <c r="CN56" s="80" t="str">
        <f>IF(AND($F56&lt;&gt;"", $F56&gt;=CN$5-4, $F56&lt;=CN$5, COUNTIF($M56:CM56,"u")=0), "u", "")</f>
        <v/>
      </c>
      <c r="CO56" s="80" t="str">
        <f>IF(AND($F56&lt;&gt;"", $F56&gt;=CO$5-4, $F56&lt;=CO$5, COUNTIF($M56:CN56,"u")=0), "u", "")</f>
        <v/>
      </c>
      <c r="CP56" s="80" t="str">
        <f>IF(AND($F56&lt;&gt;"", $F56&gt;=CP$5-4, $F56&lt;=CP$5, COUNTIF($M56:CO56,"u")=0), "u", "")</f>
        <v/>
      </c>
      <c r="CQ56" s="80" t="str">
        <f>IF(AND($F56&lt;&gt;"", $F56&gt;=CQ$5-4, $F56&lt;=CQ$5, COUNTIF($M56:CP56,"u")=0), "u", "")</f>
        <v/>
      </c>
      <c r="CR56" s="80" t="str">
        <f>IF(AND($F56&lt;&gt;"", $F56&gt;=CR$5-4, $F56&lt;=CR$5, COUNTIF($M56:CQ56,"u")=0), "u", "")</f>
        <v/>
      </c>
      <c r="CS56" s="80" t="str">
        <f>IF(AND($F56&lt;&gt;"", $F56&gt;=CS$5-4, $F56&lt;=CS$5, COUNTIF($M56:CR56,"u")=0), "u", "")</f>
        <v/>
      </c>
      <c r="CT56" s="80" t="str">
        <f>IF(AND($F56&lt;&gt;"", $F56&gt;=CT$5-4, $F56&lt;=CT$5, COUNTIF($M56:CS56,"u")=0), "u", "")</f>
        <v/>
      </c>
      <c r="CU56" s="80" t="str">
        <f>IF(AND($F56&lt;&gt;"", $F56&gt;=CU$5-4, $F56&lt;=CU$5, COUNTIF($M56:CT56,"u")=0), "u", "")</f>
        <v/>
      </c>
      <c r="CV56" s="80" t="str">
        <f>IF(AND($F56&lt;&gt;"", $F56&gt;=CV$5-4, $F56&lt;=CV$5, COUNTIF($M56:CU56,"u")=0), "u", "")</f>
        <v/>
      </c>
      <c r="CW56" s="80" t="str">
        <f>IF(AND($F56&lt;&gt;"", $F56&gt;=CW$5-4, $F56&lt;=CW$5, COUNTIF($M56:CV56,"u")=0), "u", "")</f>
        <v/>
      </c>
      <c r="CX56" s="80" t="str">
        <f>IF(AND($F56&lt;&gt;"", $F56&gt;=CX$5-4, $F56&lt;=CX$5, COUNTIF($M56:CW56,"u")=0), "u", "")</f>
        <v/>
      </c>
      <c r="CY56" s="80" t="str">
        <f>IF(AND($F56&lt;&gt;"", $F56&gt;=CY$5-4, $F56&lt;=CY$5, COUNTIF($M56:CX56,"u")=0), "u", "")</f>
        <v/>
      </c>
      <c r="CZ56" s="80" t="str">
        <f>IF(AND($F56&lt;&gt;"", $F56&gt;=CZ$5-4, $F56&lt;=CZ$5, COUNTIF($M56:CY56,"u")=0), "u", "")</f>
        <v/>
      </c>
      <c r="DA56" s="80" t="str">
        <f>IF(AND($F56&lt;&gt;"", $F56&gt;=DA$5-4, $F56&lt;=DA$5, COUNTIF($M56:CZ56,"u")=0), "u", "")</f>
        <v/>
      </c>
      <c r="DB56" s="80" t="str">
        <f>IF(AND($F56&lt;&gt;"", $F56&gt;=DB$5-4, $F56&lt;=DB$5, COUNTIF($M56:DA56,"u")=0), "u", "")</f>
        <v/>
      </c>
      <c r="DC56" s="80" t="str">
        <f>IF(AND($F56&lt;&gt;"", $F56&gt;=DC$5-4, $F56&lt;=DC$5, COUNTIF($M56:DB56,"u")=0), "u", "")</f>
        <v/>
      </c>
      <c r="DD56" s="80" t="str">
        <f>IF(AND($F56&lt;&gt;"", $F56&gt;=DD$5-4, $F56&lt;=DD$5, COUNTIF($M56:DC56,"u")=0), "u", "")</f>
        <v/>
      </c>
      <c r="DE56" s="80" t="str">
        <f>IF(AND($F56&lt;&gt;"", $F56&gt;=DE$5-4, $F56&lt;=DE$5, COUNTIF($M56:DD56,"u")=0), "u", "")</f>
        <v/>
      </c>
      <c r="DF56" s="80" t="str">
        <f>IF(AND($F56&lt;&gt;"", $F56&gt;=DF$5-4, $F56&lt;=DF$5, COUNTIF($M56:DE56,"u")=0), "u", "")</f>
        <v/>
      </c>
      <c r="DG56" s="80" t="str">
        <f>IF(AND($F56&lt;&gt;"", $F56&gt;=DG$5-4, $F56&lt;=DG$5, COUNTIF($M56:DF56,"u")=0), "u", "")</f>
        <v/>
      </c>
      <c r="DH56" s="80" t="str">
        <f>IF(AND($F56&lt;&gt;"", $F56&gt;=DH$5-4, $F56&lt;=DH$5, COUNTIF($M56:DG56,"u")=0), "u", "")</f>
        <v/>
      </c>
      <c r="DI56" s="80" t="str">
        <f>IF(AND($F56&lt;&gt;"", $F56&gt;=DI$5-4, $F56&lt;=DI$5, COUNTIF($M56:DH56,"u")=0), "u", "")</f>
        <v/>
      </c>
      <c r="DJ56" s="80" t="str">
        <f>IF(AND($F56&lt;&gt;"", $F56&gt;=DJ$5-4, $F56&lt;=DJ$5, COUNTIF($M56:DI56,"u")=0), "u", "")</f>
        <v/>
      </c>
      <c r="DK56" s="80" t="str">
        <f>IF(AND($F56&lt;&gt;"", $F56&gt;=DK$5-4, $F56&lt;=DK$5, COUNTIF($M56:DJ56,"u")=0), "u", "")</f>
        <v/>
      </c>
      <c r="DL56" s="80" t="str">
        <f>IF(AND($F56&lt;&gt;"", $F56&gt;=DL$5-4, $F56&lt;=DL$5, COUNTIF($M56:DK56,"u")=0), "u", "")</f>
        <v/>
      </c>
    </row>
    <row r="57" spans="1:116" ht="25.05" customHeight="1" x14ac:dyDescent="0.3">
      <c r="A57" s="39"/>
      <c r="B57" s="75">
        <v>52</v>
      </c>
      <c r="C57" s="97"/>
      <c r="D57" s="92"/>
      <c r="E57" s="53"/>
      <c r="F57" s="53"/>
      <c r="G57" s="83" t="str">
        <f t="shared" si="47"/>
        <v/>
      </c>
      <c r="H57" s="83" t="str">
        <f t="shared" si="47"/>
        <v/>
      </c>
      <c r="I57" s="77" t="str">
        <f t="shared" si="45"/>
        <v/>
      </c>
      <c r="J57" s="78"/>
      <c r="K57" s="86"/>
      <c r="L57" s="56"/>
      <c r="M57" s="80" t="str">
        <f t="shared" si="46"/>
        <v/>
      </c>
      <c r="N57" s="80" t="str">
        <f>IF(AND($F57&lt;&gt;"", $F57&gt;=N$5-4, $F57&lt;=N$5, COUNTIF($M57:M57,"u")=0), "u", "")</f>
        <v/>
      </c>
      <c r="O57" s="80" t="str">
        <f>IF(AND($F57&lt;&gt;"", $F57&gt;=O$5-4, $F57&lt;=O$5, COUNTIF($M57:N57,"u")=0), "u", "")</f>
        <v/>
      </c>
      <c r="P57" s="80" t="str">
        <f>IF(AND($F57&lt;&gt;"", $F57&gt;=P$5-4, $F57&lt;=P$5, COUNTIF($M57:O57,"u")=0), "u", "")</f>
        <v/>
      </c>
      <c r="Q57" s="80" t="str">
        <f>IF(AND($F57&lt;&gt;"", $F57&gt;=Q$5-4, $F57&lt;=Q$5, COUNTIF($M57:P57,"u")=0), "u", "")</f>
        <v/>
      </c>
      <c r="R57" s="80" t="str">
        <f>IF(AND($F57&lt;&gt;"", $F57&gt;=R$5-4, $F57&lt;=R$5, COUNTIF($M57:Q57,"u")=0), "u", "")</f>
        <v/>
      </c>
      <c r="S57" s="80" t="str">
        <f>IF(AND($F57&lt;&gt;"", $F57&gt;=S$5-4, $F57&lt;=S$5, COUNTIF($M57:R57,"u")=0), "u", "")</f>
        <v/>
      </c>
      <c r="T57" s="80" t="str">
        <f>IF(AND($F57&lt;&gt;"", $F57&gt;=T$5-4, $F57&lt;=T$5, COUNTIF($M57:S57,"u")=0), "u", "")</f>
        <v/>
      </c>
      <c r="U57" s="80" t="str">
        <f>IF(AND($F57&lt;&gt;"", $F57&gt;=U$5-4, $F57&lt;=U$5, COUNTIF($M57:T57,"u")=0), "u", "")</f>
        <v/>
      </c>
      <c r="V57" s="80" t="str">
        <f>IF(AND($F57&lt;&gt;"", $F57&gt;=V$5-4, $F57&lt;=V$5, COUNTIF($M57:U57,"u")=0), "u", "")</f>
        <v/>
      </c>
      <c r="W57" s="80" t="str">
        <f>IF(AND($F57&lt;&gt;"", $F57&gt;=W$5-4, $F57&lt;=W$5, COUNTIF($M57:V57,"u")=0), "u", "")</f>
        <v/>
      </c>
      <c r="X57" s="80" t="str">
        <f>IF(AND($F57&lt;&gt;"", $F57&gt;=X$5-4, $F57&lt;=X$5, COUNTIF($M57:W57,"u")=0), "u", "")</f>
        <v/>
      </c>
      <c r="Y57" s="80" t="str">
        <f>IF(AND($F57&lt;&gt;"", $F57&gt;=Y$5-4, $F57&lt;=Y$5, COUNTIF($M57:X57,"u")=0), "u", "")</f>
        <v/>
      </c>
      <c r="Z57" s="80" t="str">
        <f>IF(AND($F57&lt;&gt;"", $F57&gt;=Z$5-4, $F57&lt;=Z$5, COUNTIF($M57:Y57,"u")=0), "u", "")</f>
        <v/>
      </c>
      <c r="AA57" s="80" t="str">
        <f>IF(AND($F57&lt;&gt;"", $F57&gt;=AA$5-4, $F57&lt;=AA$5, COUNTIF($M57:Z57,"u")=0), "u", "")</f>
        <v/>
      </c>
      <c r="AB57" s="80" t="str">
        <f>IF(AND($F57&lt;&gt;"", $F57&gt;=AB$5-4, $F57&lt;=AB$5, COUNTIF($M57:AA57,"u")=0), "u", "")</f>
        <v/>
      </c>
      <c r="AC57" s="80" t="str">
        <f>IF(AND($F57&lt;&gt;"", $F57&gt;=AC$5-4, $F57&lt;=AC$5, COUNTIF($M57:AB57,"u")=0), "u", "")</f>
        <v/>
      </c>
      <c r="AD57" s="80" t="str">
        <f>IF(AND($F57&lt;&gt;"", $F57&gt;=AD$5-4, $F57&lt;=AD$5, COUNTIF($M57:AC57,"u")=0), "u", "")</f>
        <v/>
      </c>
      <c r="AE57" s="80" t="str">
        <f>IF(AND($F57&lt;&gt;"", $F57&gt;=AE$5-4, $F57&lt;=AE$5, COUNTIF($M57:AD57,"u")=0), "u", "")</f>
        <v/>
      </c>
      <c r="AF57" s="80" t="str">
        <f>IF(AND($F57&lt;&gt;"", $F57&gt;=AF$5-4, $F57&lt;=AF$5, COUNTIF($M57:AE57,"u")=0), "u", "")</f>
        <v/>
      </c>
      <c r="AG57" s="80" t="str">
        <f>IF(AND($F57&lt;&gt;"", $F57&gt;=AG$5-4, $F57&lt;=AG$5, COUNTIF($M57:AF57,"u")=0), "u", "")</f>
        <v/>
      </c>
      <c r="AH57" s="80" t="str">
        <f>IF(AND($F57&lt;&gt;"", $F57&gt;=AH$5-4, $F57&lt;=AH$5, COUNTIF($M57:AG57,"u")=0), "u", "")</f>
        <v/>
      </c>
      <c r="AI57" s="80" t="str">
        <f>IF(AND($F57&lt;&gt;"", $F57&gt;=AI$5-4, $F57&lt;=AI$5, COUNTIF($M57:AH57,"u")=0), "u", "")</f>
        <v/>
      </c>
      <c r="AJ57" s="80" t="str">
        <f>IF(AND($F57&lt;&gt;"", $F57&gt;=AJ$5-4, $F57&lt;=AJ$5, COUNTIF($M57:AI57,"u")=0), "u", "")</f>
        <v/>
      </c>
      <c r="AK57" s="80" t="str">
        <f>IF(AND($F57&lt;&gt;"", $F57&gt;=AK$5-4, $F57&lt;=AK$5, COUNTIF($M57:AJ57,"u")=0), "u", "")</f>
        <v/>
      </c>
      <c r="AL57" s="80" t="str">
        <f>IF(AND($F57&lt;&gt;"", $F57&gt;=AL$5-4, $F57&lt;=AL$5, COUNTIF($M57:AK57,"u")=0), "u", "")</f>
        <v/>
      </c>
      <c r="AM57" s="80" t="str">
        <f>IF(AND($F57&lt;&gt;"", $F57&gt;=AM$5-4, $F57&lt;=AM$5, COUNTIF($M57:AL57,"u")=0), "u", "")</f>
        <v/>
      </c>
      <c r="AN57" s="80" t="str">
        <f>IF(AND($F57&lt;&gt;"", $F57&gt;=AN$5-4, $F57&lt;=AN$5, COUNTIF($M57:AM57,"u")=0), "u", "")</f>
        <v/>
      </c>
      <c r="AO57" s="80" t="str">
        <f>IF(AND($F57&lt;&gt;"", $F57&gt;=AO$5-4, $F57&lt;=AO$5, COUNTIF($M57:AN57,"u")=0), "u", "")</f>
        <v/>
      </c>
      <c r="AP57" s="80" t="str">
        <f>IF(AND($F57&lt;&gt;"", $F57&gt;=AP$5-4, $F57&lt;=AP$5, COUNTIF($M57:AO57,"u")=0), "u", "")</f>
        <v/>
      </c>
      <c r="AQ57" s="80" t="str">
        <f>IF(AND($F57&lt;&gt;"", $F57&gt;=AQ$5-4, $F57&lt;=AQ$5, COUNTIF($M57:AP57,"u")=0), "u", "")</f>
        <v/>
      </c>
      <c r="AR57" s="80" t="str">
        <f>IF(AND($F57&lt;&gt;"", $F57&gt;=AR$5-4, $F57&lt;=AR$5, COUNTIF($M57:AQ57,"u")=0), "u", "")</f>
        <v/>
      </c>
      <c r="AS57" s="80" t="str">
        <f>IF(AND($F57&lt;&gt;"", $F57&gt;=AS$5-4, $F57&lt;=AS$5, COUNTIF($M57:AR57,"u")=0), "u", "")</f>
        <v/>
      </c>
      <c r="AT57" s="80" t="str">
        <f>IF(AND($F57&lt;&gt;"", $F57&gt;=AT$5-4, $F57&lt;=AT$5, COUNTIF($M57:AS57,"u")=0), "u", "")</f>
        <v/>
      </c>
      <c r="AU57" s="80" t="str">
        <f>IF(AND($F57&lt;&gt;"", $F57&gt;=AU$5-4, $F57&lt;=AU$5, COUNTIF($M57:AT57,"u")=0), "u", "")</f>
        <v/>
      </c>
      <c r="AV57" s="80" t="str">
        <f>IF(AND($F57&lt;&gt;"", $F57&gt;=AV$5-4, $F57&lt;=AV$5, COUNTIF($M57:AU57,"u")=0), "u", "")</f>
        <v/>
      </c>
      <c r="AW57" s="80" t="str">
        <f>IF(AND($F57&lt;&gt;"", $F57&gt;=AW$5-4, $F57&lt;=AW$5, COUNTIF($M57:AV57,"u")=0), "u", "")</f>
        <v/>
      </c>
      <c r="AX57" s="80" t="str">
        <f>IF(AND($F57&lt;&gt;"", $F57&gt;=AX$5-4, $F57&lt;=AX$5, COUNTIF($M57:AW57,"u")=0), "u", "")</f>
        <v/>
      </c>
      <c r="AY57" s="80" t="str">
        <f>IF(AND($F57&lt;&gt;"", $F57&gt;=AY$5-4, $F57&lt;=AY$5, COUNTIF($M57:AX57,"u")=0), "u", "")</f>
        <v/>
      </c>
      <c r="AZ57" s="80" t="str">
        <f>IF(AND($F57&lt;&gt;"", $F57&gt;=AZ$5-4, $F57&lt;=AZ$5, COUNTIF($M57:AY57,"u")=0), "u", "")</f>
        <v/>
      </c>
      <c r="BA57" s="80" t="str">
        <f>IF(AND($F57&lt;&gt;"", $F57&gt;=BA$5-4, $F57&lt;=BA$5, COUNTIF($M57:AZ57,"u")=0), "u", "")</f>
        <v/>
      </c>
      <c r="BB57" s="80" t="str">
        <f>IF(AND($F57&lt;&gt;"", $F57&gt;=BB$5-4, $F57&lt;=BB$5, COUNTIF($M57:BA57,"u")=0), "u", "")</f>
        <v/>
      </c>
      <c r="BC57" s="80" t="str">
        <f>IF(AND($F57&lt;&gt;"", $F57&gt;=BC$5-4, $F57&lt;=BC$5, COUNTIF($M57:BB57,"u")=0), "u", "")</f>
        <v/>
      </c>
      <c r="BD57" s="80" t="str">
        <f>IF(AND($F57&lt;&gt;"", $F57&gt;=BD$5-4, $F57&lt;=BD$5, COUNTIF($M57:BC57,"u")=0), "u", "")</f>
        <v/>
      </c>
      <c r="BE57" s="80" t="str">
        <f>IF(AND($F57&lt;&gt;"", $F57&gt;=BE$5-4, $F57&lt;=BE$5, COUNTIF($M57:BD57,"u")=0), "u", "")</f>
        <v/>
      </c>
      <c r="BF57" s="80" t="str">
        <f>IF(AND($F57&lt;&gt;"", $F57&gt;=BF$5-4, $F57&lt;=BF$5, COUNTIF($M57:BE57,"u")=0), "u", "")</f>
        <v/>
      </c>
      <c r="BG57" s="80" t="str">
        <f>IF(AND($F57&lt;&gt;"", $F57&gt;=BG$5-4, $F57&lt;=BG$5, COUNTIF($M57:BF57,"u")=0), "u", "")</f>
        <v/>
      </c>
      <c r="BH57" s="80" t="str">
        <f>IF(AND($F57&lt;&gt;"", $F57&gt;=BH$5-4, $F57&lt;=BH$5, COUNTIF($M57:BG57,"u")=0), "u", "")</f>
        <v/>
      </c>
      <c r="BI57" s="80" t="str">
        <f>IF(AND($F57&lt;&gt;"", $F57&gt;=BI$5-4, $F57&lt;=BI$5, COUNTIF($M57:BH57,"u")=0), "u", "")</f>
        <v/>
      </c>
      <c r="BJ57" s="80" t="str">
        <f>IF(AND($F57&lt;&gt;"", $F57&gt;=BJ$5-4, $F57&lt;=BJ$5, COUNTIF($M57:BI57,"u")=0), "u", "")</f>
        <v/>
      </c>
      <c r="BK57" s="80" t="str">
        <f>IF(AND($F57&lt;&gt;"", $F57&gt;=BK$5-4, $F57&lt;=BK$5, COUNTIF($M57:BJ57,"u")=0), "u", "")</f>
        <v/>
      </c>
      <c r="BL57" s="80" t="str">
        <f>IF(AND($F57&lt;&gt;"", $F57&gt;=BL$5-4, $F57&lt;=BL$5, COUNTIF($M57:BK57,"u")=0), "u", "")</f>
        <v/>
      </c>
      <c r="BM57" s="80" t="str">
        <f>IF(AND($F57&lt;&gt;"", $F57&gt;=BM$5-4, $F57&lt;=BM$5, COUNTIF($M57:BL57,"u")=0), "u", "")</f>
        <v/>
      </c>
      <c r="BN57" s="80" t="str">
        <f>IF(AND($F57&lt;&gt;"", $F57&gt;=BN$5-4, $F57&lt;=BN$5, COUNTIF($M57:BM57,"u")=0), "u", "")</f>
        <v/>
      </c>
      <c r="BO57" s="80" t="str">
        <f>IF(AND($F57&lt;&gt;"", $F57&gt;=BO$5-4, $F57&lt;=BO$5, COUNTIF($M57:BN57,"u")=0), "u", "")</f>
        <v/>
      </c>
      <c r="BP57" s="80" t="str">
        <f>IF(AND($F57&lt;&gt;"", $F57&gt;=BP$5-4, $F57&lt;=BP$5, COUNTIF($M57:BO57,"u")=0), "u", "")</f>
        <v/>
      </c>
      <c r="BQ57" s="80" t="str">
        <f>IF(AND($F57&lt;&gt;"", $F57&gt;=BQ$5-4, $F57&lt;=BQ$5, COUNTIF($M57:BP57,"u")=0), "u", "")</f>
        <v/>
      </c>
      <c r="BR57" s="80" t="str">
        <f>IF(AND($F57&lt;&gt;"", $F57&gt;=BR$5-4, $F57&lt;=BR$5, COUNTIF($M57:BQ57,"u")=0), "u", "")</f>
        <v/>
      </c>
      <c r="BS57" s="80" t="str">
        <f>IF(AND($F57&lt;&gt;"", $F57&gt;=BS$5-4, $F57&lt;=BS$5, COUNTIF($M57:BR57,"u")=0), "u", "")</f>
        <v/>
      </c>
      <c r="BT57" s="80" t="str">
        <f>IF(AND($F57&lt;&gt;"", $F57&gt;=BT$5-4, $F57&lt;=BT$5, COUNTIF($M57:BS57,"u")=0), "u", "")</f>
        <v/>
      </c>
      <c r="BU57" s="80" t="str">
        <f>IF(AND($F57&lt;&gt;"", $F57&gt;=BU$5-4, $F57&lt;=BU$5, COUNTIF($M57:BT57,"u")=0), "u", "")</f>
        <v/>
      </c>
      <c r="BV57" s="80" t="str">
        <f>IF(AND($F57&lt;&gt;"", $F57&gt;=BV$5-4, $F57&lt;=BV$5, COUNTIF($M57:BU57,"u")=0), "u", "")</f>
        <v/>
      </c>
      <c r="BW57" s="80" t="str">
        <f>IF(AND($F57&lt;&gt;"", $F57&gt;=BW$5-4, $F57&lt;=BW$5, COUNTIF($M57:BV57,"u")=0), "u", "")</f>
        <v/>
      </c>
      <c r="BX57" s="80" t="str">
        <f>IF(AND($F57&lt;&gt;"", $F57&gt;=BX$5-4, $F57&lt;=BX$5, COUNTIF($M57:BW57,"u")=0), "u", "")</f>
        <v/>
      </c>
      <c r="BY57" s="80" t="str">
        <f>IF(AND($F57&lt;&gt;"", $F57&gt;=BY$5-4, $F57&lt;=BY$5, COUNTIF($M57:BX57,"u")=0), "u", "")</f>
        <v/>
      </c>
      <c r="BZ57" s="80" t="str">
        <f>IF(AND($F57&lt;&gt;"", $F57&gt;=BZ$5-4, $F57&lt;=BZ$5, COUNTIF($M57:BY57,"u")=0), "u", "")</f>
        <v/>
      </c>
      <c r="CA57" s="80" t="str">
        <f>IF(AND($F57&lt;&gt;"", $F57&gt;=CA$5-4, $F57&lt;=CA$5, COUNTIF($M57:BZ57,"u")=0), "u", "")</f>
        <v/>
      </c>
      <c r="CB57" s="80" t="str">
        <f>IF(AND($F57&lt;&gt;"", $F57&gt;=CB$5-4, $F57&lt;=CB$5, COUNTIF($M57:CA57,"u")=0), "u", "")</f>
        <v/>
      </c>
      <c r="CC57" s="80" t="str">
        <f>IF(AND($F57&lt;&gt;"", $F57&gt;=CC$5-4, $F57&lt;=CC$5, COUNTIF($M57:CB57,"u")=0), "u", "")</f>
        <v/>
      </c>
      <c r="CD57" s="80" t="str">
        <f>IF(AND($F57&lt;&gt;"", $F57&gt;=CD$5-4, $F57&lt;=CD$5, COUNTIF($M57:CC57,"u")=0), "u", "")</f>
        <v/>
      </c>
      <c r="CE57" s="80" t="str">
        <f>IF(AND($F57&lt;&gt;"", $F57&gt;=CE$5-4, $F57&lt;=CE$5, COUNTIF($M57:CD57,"u")=0), "u", "")</f>
        <v/>
      </c>
      <c r="CF57" s="80" t="str">
        <f>IF(AND($F57&lt;&gt;"", $F57&gt;=CF$5-4, $F57&lt;=CF$5, COUNTIF($M57:CE57,"u")=0), "u", "")</f>
        <v/>
      </c>
      <c r="CG57" s="80" t="str">
        <f>IF(AND($F57&lt;&gt;"", $F57&gt;=CG$5-4, $F57&lt;=CG$5, COUNTIF($M57:CF57,"u")=0), "u", "")</f>
        <v/>
      </c>
      <c r="CH57" s="80" t="str">
        <f>IF(AND($F57&lt;&gt;"", $F57&gt;=CH$5-4, $F57&lt;=CH$5, COUNTIF($M57:CG57,"u")=0), "u", "")</f>
        <v/>
      </c>
      <c r="CI57" s="80" t="str">
        <f>IF(AND($F57&lt;&gt;"", $F57&gt;=CI$5-4, $F57&lt;=CI$5, COUNTIF($M57:CH57,"u")=0), "u", "")</f>
        <v/>
      </c>
      <c r="CJ57" s="80" t="str">
        <f>IF(AND($F57&lt;&gt;"", $F57&gt;=CJ$5-4, $F57&lt;=CJ$5, COUNTIF($M57:CI57,"u")=0), "u", "")</f>
        <v/>
      </c>
      <c r="CK57" s="80" t="str">
        <f>IF(AND($F57&lt;&gt;"", $F57&gt;=CK$5-4, $F57&lt;=CK$5, COUNTIF($M57:CJ57,"u")=0), "u", "")</f>
        <v/>
      </c>
      <c r="CL57" s="80" t="str">
        <f>IF(AND($F57&lt;&gt;"", $F57&gt;=CL$5-4, $F57&lt;=CL$5, COUNTIF($M57:CK57,"u")=0), "u", "")</f>
        <v/>
      </c>
      <c r="CM57" s="80" t="str">
        <f>IF(AND($F57&lt;&gt;"", $F57&gt;=CM$5-4, $F57&lt;=CM$5, COUNTIF($M57:CL57,"u")=0), "u", "")</f>
        <v/>
      </c>
      <c r="CN57" s="80" t="str">
        <f>IF(AND($F57&lt;&gt;"", $F57&gt;=CN$5-4, $F57&lt;=CN$5, COUNTIF($M57:CM57,"u")=0), "u", "")</f>
        <v/>
      </c>
      <c r="CO57" s="80" t="str">
        <f>IF(AND($F57&lt;&gt;"", $F57&gt;=CO$5-4, $F57&lt;=CO$5, COUNTIF($M57:CN57,"u")=0), "u", "")</f>
        <v/>
      </c>
      <c r="CP57" s="80" t="str">
        <f>IF(AND($F57&lt;&gt;"", $F57&gt;=CP$5-4, $F57&lt;=CP$5, COUNTIF($M57:CO57,"u")=0), "u", "")</f>
        <v/>
      </c>
      <c r="CQ57" s="80" t="str">
        <f>IF(AND($F57&lt;&gt;"", $F57&gt;=CQ$5-4, $F57&lt;=CQ$5, COUNTIF($M57:CP57,"u")=0), "u", "")</f>
        <v/>
      </c>
      <c r="CR57" s="80" t="str">
        <f>IF(AND($F57&lt;&gt;"", $F57&gt;=CR$5-4, $F57&lt;=CR$5, COUNTIF($M57:CQ57,"u")=0), "u", "")</f>
        <v/>
      </c>
      <c r="CS57" s="80" t="str">
        <f>IF(AND($F57&lt;&gt;"", $F57&gt;=CS$5-4, $F57&lt;=CS$5, COUNTIF($M57:CR57,"u")=0), "u", "")</f>
        <v/>
      </c>
      <c r="CT57" s="80" t="str">
        <f>IF(AND($F57&lt;&gt;"", $F57&gt;=CT$5-4, $F57&lt;=CT$5, COUNTIF($M57:CS57,"u")=0), "u", "")</f>
        <v/>
      </c>
      <c r="CU57" s="80" t="str">
        <f>IF(AND($F57&lt;&gt;"", $F57&gt;=CU$5-4, $F57&lt;=CU$5, COUNTIF($M57:CT57,"u")=0), "u", "")</f>
        <v/>
      </c>
      <c r="CV57" s="80" t="str">
        <f>IF(AND($F57&lt;&gt;"", $F57&gt;=CV$5-4, $F57&lt;=CV$5, COUNTIF($M57:CU57,"u")=0), "u", "")</f>
        <v/>
      </c>
      <c r="CW57" s="80" t="str">
        <f>IF(AND($F57&lt;&gt;"", $F57&gt;=CW$5-4, $F57&lt;=CW$5, COUNTIF($M57:CV57,"u")=0), "u", "")</f>
        <v/>
      </c>
      <c r="CX57" s="80" t="str">
        <f>IF(AND($F57&lt;&gt;"", $F57&gt;=CX$5-4, $F57&lt;=CX$5, COUNTIF($M57:CW57,"u")=0), "u", "")</f>
        <v/>
      </c>
      <c r="CY57" s="80" t="str">
        <f>IF(AND($F57&lt;&gt;"", $F57&gt;=CY$5-4, $F57&lt;=CY$5, COUNTIF($M57:CX57,"u")=0), "u", "")</f>
        <v/>
      </c>
      <c r="CZ57" s="80" t="str">
        <f>IF(AND($F57&lt;&gt;"", $F57&gt;=CZ$5-4, $F57&lt;=CZ$5, COUNTIF($M57:CY57,"u")=0), "u", "")</f>
        <v/>
      </c>
      <c r="DA57" s="80" t="str">
        <f>IF(AND($F57&lt;&gt;"", $F57&gt;=DA$5-4, $F57&lt;=DA$5, COUNTIF($M57:CZ57,"u")=0), "u", "")</f>
        <v/>
      </c>
      <c r="DB57" s="80" t="str">
        <f>IF(AND($F57&lt;&gt;"", $F57&gt;=DB$5-4, $F57&lt;=DB$5, COUNTIF($M57:DA57,"u")=0), "u", "")</f>
        <v/>
      </c>
      <c r="DC57" s="80" t="str">
        <f>IF(AND($F57&lt;&gt;"", $F57&gt;=DC$5-4, $F57&lt;=DC$5, COUNTIF($M57:DB57,"u")=0), "u", "")</f>
        <v/>
      </c>
      <c r="DD57" s="80" t="str">
        <f>IF(AND($F57&lt;&gt;"", $F57&gt;=DD$5-4, $F57&lt;=DD$5, COUNTIF($M57:DC57,"u")=0), "u", "")</f>
        <v/>
      </c>
      <c r="DE57" s="80" t="str">
        <f>IF(AND($F57&lt;&gt;"", $F57&gt;=DE$5-4, $F57&lt;=DE$5, COUNTIF($M57:DD57,"u")=0), "u", "")</f>
        <v/>
      </c>
      <c r="DF57" s="80" t="str">
        <f>IF(AND($F57&lt;&gt;"", $F57&gt;=DF$5-4, $F57&lt;=DF$5, COUNTIF($M57:DE57,"u")=0), "u", "")</f>
        <v/>
      </c>
      <c r="DG57" s="80" t="str">
        <f>IF(AND($F57&lt;&gt;"", $F57&gt;=DG$5-4, $F57&lt;=DG$5, COUNTIF($M57:DF57,"u")=0), "u", "")</f>
        <v/>
      </c>
      <c r="DH57" s="80" t="str">
        <f>IF(AND($F57&lt;&gt;"", $F57&gt;=DH$5-4, $F57&lt;=DH$5, COUNTIF($M57:DG57,"u")=0), "u", "")</f>
        <v/>
      </c>
      <c r="DI57" s="80" t="str">
        <f>IF(AND($F57&lt;&gt;"", $F57&gt;=DI$5-4, $F57&lt;=DI$5, COUNTIF($M57:DH57,"u")=0), "u", "")</f>
        <v/>
      </c>
      <c r="DJ57" s="80" t="str">
        <f>IF(AND($F57&lt;&gt;"", $F57&gt;=DJ$5-4, $F57&lt;=DJ$5, COUNTIF($M57:DI57,"u")=0), "u", "")</f>
        <v/>
      </c>
      <c r="DK57" s="80" t="str">
        <f>IF(AND($F57&lt;&gt;"", $F57&gt;=DK$5-4, $F57&lt;=DK$5, COUNTIF($M57:DJ57,"u")=0), "u", "")</f>
        <v/>
      </c>
      <c r="DL57" s="80" t="str">
        <f>IF(AND($F57&lt;&gt;"", $F57&gt;=DL$5-4, $F57&lt;=DL$5, COUNTIF($M57:DK57,"u")=0), "u", "")</f>
        <v/>
      </c>
    </row>
    <row r="58" spans="1:116" ht="25.05" customHeight="1" x14ac:dyDescent="0.3">
      <c r="A58" s="39"/>
      <c r="B58" s="75">
        <v>53</v>
      </c>
      <c r="C58" s="97"/>
      <c r="D58" s="92"/>
      <c r="E58" s="53"/>
      <c r="F58" s="53"/>
      <c r="G58" s="83" t="str">
        <f t="shared" si="47"/>
        <v/>
      </c>
      <c r="H58" s="83" t="str">
        <f t="shared" si="47"/>
        <v/>
      </c>
      <c r="I58" s="77" t="str">
        <f t="shared" si="45"/>
        <v/>
      </c>
      <c r="J58" s="78"/>
      <c r="K58" s="86"/>
      <c r="L58" s="56"/>
      <c r="M58" s="80" t="str">
        <f t="shared" si="46"/>
        <v/>
      </c>
      <c r="N58" s="80" t="str">
        <f>IF(AND($F58&lt;&gt;"", $F58&gt;=N$5-4, $F58&lt;=N$5, COUNTIF($M58:M58,"u")=0), "u", "")</f>
        <v/>
      </c>
      <c r="O58" s="80" t="str">
        <f>IF(AND($F58&lt;&gt;"", $F58&gt;=O$5-4, $F58&lt;=O$5, COUNTIF($M58:N58,"u")=0), "u", "")</f>
        <v/>
      </c>
      <c r="P58" s="80" t="str">
        <f>IF(AND($F58&lt;&gt;"", $F58&gt;=P$5-4, $F58&lt;=P$5, COUNTIF($M58:O58,"u")=0), "u", "")</f>
        <v/>
      </c>
      <c r="Q58" s="80" t="str">
        <f>IF(AND($F58&lt;&gt;"", $F58&gt;=Q$5-4, $F58&lt;=Q$5, COUNTIF($M58:P58,"u")=0), "u", "")</f>
        <v/>
      </c>
      <c r="R58" s="80" t="str">
        <f>IF(AND($F58&lt;&gt;"", $F58&gt;=R$5-4, $F58&lt;=R$5, COUNTIF($M58:Q58,"u")=0), "u", "")</f>
        <v/>
      </c>
      <c r="S58" s="80" t="str">
        <f>IF(AND($F58&lt;&gt;"", $F58&gt;=S$5-4, $F58&lt;=S$5, COUNTIF($M58:R58,"u")=0), "u", "")</f>
        <v/>
      </c>
      <c r="T58" s="80" t="str">
        <f>IF(AND($F58&lt;&gt;"", $F58&gt;=T$5-4, $F58&lt;=T$5, COUNTIF($M58:S58,"u")=0), "u", "")</f>
        <v/>
      </c>
      <c r="U58" s="80" t="str">
        <f>IF(AND($F58&lt;&gt;"", $F58&gt;=U$5-4, $F58&lt;=U$5, COUNTIF($M58:T58,"u")=0), "u", "")</f>
        <v/>
      </c>
      <c r="V58" s="80" t="str">
        <f>IF(AND($F58&lt;&gt;"", $F58&gt;=V$5-4, $F58&lt;=V$5, COUNTIF($M58:U58,"u")=0), "u", "")</f>
        <v/>
      </c>
      <c r="W58" s="80" t="str">
        <f>IF(AND($F58&lt;&gt;"", $F58&gt;=W$5-4, $F58&lt;=W$5, COUNTIF($M58:V58,"u")=0), "u", "")</f>
        <v/>
      </c>
      <c r="X58" s="80" t="str">
        <f>IF(AND($F58&lt;&gt;"", $F58&gt;=X$5-4, $F58&lt;=X$5, COUNTIF($M58:W58,"u")=0), "u", "")</f>
        <v/>
      </c>
      <c r="Y58" s="80" t="str">
        <f>IF(AND($F58&lt;&gt;"", $F58&gt;=Y$5-4, $F58&lt;=Y$5, COUNTIF($M58:X58,"u")=0), "u", "")</f>
        <v/>
      </c>
      <c r="Z58" s="80" t="str">
        <f>IF(AND($F58&lt;&gt;"", $F58&gt;=Z$5-4, $F58&lt;=Z$5, COUNTIF($M58:Y58,"u")=0), "u", "")</f>
        <v/>
      </c>
      <c r="AA58" s="80" t="str">
        <f>IF(AND($F58&lt;&gt;"", $F58&gt;=AA$5-4, $F58&lt;=AA$5, COUNTIF($M58:Z58,"u")=0), "u", "")</f>
        <v/>
      </c>
      <c r="AB58" s="80" t="str">
        <f>IF(AND($F58&lt;&gt;"", $F58&gt;=AB$5-4, $F58&lt;=AB$5, COUNTIF($M58:AA58,"u")=0), "u", "")</f>
        <v/>
      </c>
      <c r="AC58" s="80" t="str">
        <f>IF(AND($F58&lt;&gt;"", $F58&gt;=AC$5-4, $F58&lt;=AC$5, COUNTIF($M58:AB58,"u")=0), "u", "")</f>
        <v/>
      </c>
      <c r="AD58" s="80" t="str">
        <f>IF(AND($F58&lt;&gt;"", $F58&gt;=AD$5-4, $F58&lt;=AD$5, COUNTIF($M58:AC58,"u")=0), "u", "")</f>
        <v/>
      </c>
      <c r="AE58" s="80" t="str">
        <f>IF(AND($F58&lt;&gt;"", $F58&gt;=AE$5-4, $F58&lt;=AE$5, COUNTIF($M58:AD58,"u")=0), "u", "")</f>
        <v/>
      </c>
      <c r="AF58" s="80" t="str">
        <f>IF(AND($F58&lt;&gt;"", $F58&gt;=AF$5-4, $F58&lt;=AF$5, COUNTIF($M58:AE58,"u")=0), "u", "")</f>
        <v/>
      </c>
      <c r="AG58" s="80" t="str">
        <f>IF(AND($F58&lt;&gt;"", $F58&gt;=AG$5-4, $F58&lt;=AG$5, COUNTIF($M58:AF58,"u")=0), "u", "")</f>
        <v/>
      </c>
      <c r="AH58" s="80" t="str">
        <f>IF(AND($F58&lt;&gt;"", $F58&gt;=AH$5-4, $F58&lt;=AH$5, COUNTIF($M58:AG58,"u")=0), "u", "")</f>
        <v/>
      </c>
      <c r="AI58" s="80" t="str">
        <f>IF(AND($F58&lt;&gt;"", $F58&gt;=AI$5-4, $F58&lt;=AI$5, COUNTIF($M58:AH58,"u")=0), "u", "")</f>
        <v/>
      </c>
      <c r="AJ58" s="80" t="str">
        <f>IF(AND($F58&lt;&gt;"", $F58&gt;=AJ$5-4, $F58&lt;=AJ$5, COUNTIF($M58:AI58,"u")=0), "u", "")</f>
        <v/>
      </c>
      <c r="AK58" s="80" t="str">
        <f>IF(AND($F58&lt;&gt;"", $F58&gt;=AK$5-4, $F58&lt;=AK$5, COUNTIF($M58:AJ58,"u")=0), "u", "")</f>
        <v/>
      </c>
      <c r="AL58" s="80" t="str">
        <f>IF(AND($F58&lt;&gt;"", $F58&gt;=AL$5-4, $F58&lt;=AL$5, COUNTIF($M58:AK58,"u")=0), "u", "")</f>
        <v/>
      </c>
      <c r="AM58" s="80" t="str">
        <f>IF(AND($F58&lt;&gt;"", $F58&gt;=AM$5-4, $F58&lt;=AM$5, COUNTIF($M58:AL58,"u")=0), "u", "")</f>
        <v/>
      </c>
      <c r="AN58" s="80" t="str">
        <f>IF(AND($F58&lt;&gt;"", $F58&gt;=AN$5-4, $F58&lt;=AN$5, COUNTIF($M58:AM58,"u")=0), "u", "")</f>
        <v/>
      </c>
      <c r="AO58" s="80" t="str">
        <f>IF(AND($F58&lt;&gt;"", $F58&gt;=AO$5-4, $F58&lt;=AO$5, COUNTIF($M58:AN58,"u")=0), "u", "")</f>
        <v/>
      </c>
      <c r="AP58" s="80" t="str">
        <f>IF(AND($F58&lt;&gt;"", $F58&gt;=AP$5-4, $F58&lt;=AP$5, COUNTIF($M58:AO58,"u")=0), "u", "")</f>
        <v/>
      </c>
      <c r="AQ58" s="80" t="str">
        <f>IF(AND($F58&lt;&gt;"", $F58&gt;=AQ$5-4, $F58&lt;=AQ$5, COUNTIF($M58:AP58,"u")=0), "u", "")</f>
        <v/>
      </c>
      <c r="AR58" s="80" t="str">
        <f>IF(AND($F58&lt;&gt;"", $F58&gt;=AR$5-4, $F58&lt;=AR$5, COUNTIF($M58:AQ58,"u")=0), "u", "")</f>
        <v/>
      </c>
      <c r="AS58" s="80" t="str">
        <f>IF(AND($F58&lt;&gt;"", $F58&gt;=AS$5-4, $F58&lt;=AS$5, COUNTIF($M58:AR58,"u")=0), "u", "")</f>
        <v/>
      </c>
      <c r="AT58" s="80" t="str">
        <f>IF(AND($F58&lt;&gt;"", $F58&gt;=AT$5-4, $F58&lt;=AT$5, COUNTIF($M58:AS58,"u")=0), "u", "")</f>
        <v/>
      </c>
      <c r="AU58" s="80" t="str">
        <f>IF(AND($F58&lt;&gt;"", $F58&gt;=AU$5-4, $F58&lt;=AU$5, COUNTIF($M58:AT58,"u")=0), "u", "")</f>
        <v/>
      </c>
      <c r="AV58" s="80" t="str">
        <f>IF(AND($F58&lt;&gt;"", $F58&gt;=AV$5-4, $F58&lt;=AV$5, COUNTIF($M58:AU58,"u")=0), "u", "")</f>
        <v/>
      </c>
      <c r="AW58" s="80" t="str">
        <f>IF(AND($F58&lt;&gt;"", $F58&gt;=AW$5-4, $F58&lt;=AW$5, COUNTIF($M58:AV58,"u")=0), "u", "")</f>
        <v/>
      </c>
      <c r="AX58" s="80" t="str">
        <f>IF(AND($F58&lt;&gt;"", $F58&gt;=AX$5-4, $F58&lt;=AX$5, COUNTIF($M58:AW58,"u")=0), "u", "")</f>
        <v/>
      </c>
      <c r="AY58" s="80" t="str">
        <f>IF(AND($F58&lt;&gt;"", $F58&gt;=AY$5-4, $F58&lt;=AY$5, COUNTIF($M58:AX58,"u")=0), "u", "")</f>
        <v/>
      </c>
      <c r="AZ58" s="80" t="str">
        <f>IF(AND($F58&lt;&gt;"", $F58&gt;=AZ$5-4, $F58&lt;=AZ$5, COUNTIF($M58:AY58,"u")=0), "u", "")</f>
        <v/>
      </c>
      <c r="BA58" s="80" t="str">
        <f>IF(AND($F58&lt;&gt;"", $F58&gt;=BA$5-4, $F58&lt;=BA$5, COUNTIF($M58:AZ58,"u")=0), "u", "")</f>
        <v/>
      </c>
      <c r="BB58" s="80" t="str">
        <f>IF(AND($F58&lt;&gt;"", $F58&gt;=BB$5-4, $F58&lt;=BB$5, COUNTIF($M58:BA58,"u")=0), "u", "")</f>
        <v/>
      </c>
      <c r="BC58" s="80" t="str">
        <f>IF(AND($F58&lt;&gt;"", $F58&gt;=BC$5-4, $F58&lt;=BC$5, COUNTIF($M58:BB58,"u")=0), "u", "")</f>
        <v/>
      </c>
      <c r="BD58" s="80" t="str">
        <f>IF(AND($F58&lt;&gt;"", $F58&gt;=BD$5-4, $F58&lt;=BD$5, COUNTIF($M58:BC58,"u")=0), "u", "")</f>
        <v/>
      </c>
      <c r="BE58" s="80" t="str">
        <f>IF(AND($F58&lt;&gt;"", $F58&gt;=BE$5-4, $F58&lt;=BE$5, COUNTIF($M58:BD58,"u")=0), "u", "")</f>
        <v/>
      </c>
      <c r="BF58" s="80" t="str">
        <f>IF(AND($F58&lt;&gt;"", $F58&gt;=BF$5-4, $F58&lt;=BF$5, COUNTIF($M58:BE58,"u")=0), "u", "")</f>
        <v/>
      </c>
      <c r="BG58" s="80" t="str">
        <f>IF(AND($F58&lt;&gt;"", $F58&gt;=BG$5-4, $F58&lt;=BG$5, COUNTIF($M58:BF58,"u")=0), "u", "")</f>
        <v/>
      </c>
      <c r="BH58" s="80" t="str">
        <f>IF(AND($F58&lt;&gt;"", $F58&gt;=BH$5-4, $F58&lt;=BH$5, COUNTIF($M58:BG58,"u")=0), "u", "")</f>
        <v/>
      </c>
      <c r="BI58" s="80" t="str">
        <f>IF(AND($F58&lt;&gt;"", $F58&gt;=BI$5-4, $F58&lt;=BI$5, COUNTIF($M58:BH58,"u")=0), "u", "")</f>
        <v/>
      </c>
      <c r="BJ58" s="80" t="str">
        <f>IF(AND($F58&lt;&gt;"", $F58&gt;=BJ$5-4, $F58&lt;=BJ$5, COUNTIF($M58:BI58,"u")=0), "u", "")</f>
        <v/>
      </c>
      <c r="BK58" s="80" t="str">
        <f>IF(AND($F58&lt;&gt;"", $F58&gt;=BK$5-4, $F58&lt;=BK$5, COUNTIF($M58:BJ58,"u")=0), "u", "")</f>
        <v/>
      </c>
      <c r="BL58" s="80" t="str">
        <f>IF(AND($F58&lt;&gt;"", $F58&gt;=BL$5-4, $F58&lt;=BL$5, COUNTIF($M58:BK58,"u")=0), "u", "")</f>
        <v/>
      </c>
      <c r="BM58" s="80" t="str">
        <f>IF(AND($F58&lt;&gt;"", $F58&gt;=BM$5-4, $F58&lt;=BM$5, COUNTIF($M58:BL58,"u")=0), "u", "")</f>
        <v/>
      </c>
      <c r="BN58" s="80" t="str">
        <f>IF(AND($F58&lt;&gt;"", $F58&gt;=BN$5-4, $F58&lt;=BN$5, COUNTIF($M58:BM58,"u")=0), "u", "")</f>
        <v/>
      </c>
      <c r="BO58" s="80" t="str">
        <f>IF(AND($F58&lt;&gt;"", $F58&gt;=BO$5-4, $F58&lt;=BO$5, COUNTIF($M58:BN58,"u")=0), "u", "")</f>
        <v/>
      </c>
      <c r="BP58" s="80" t="str">
        <f>IF(AND($F58&lt;&gt;"", $F58&gt;=BP$5-4, $F58&lt;=BP$5, COUNTIF($M58:BO58,"u")=0), "u", "")</f>
        <v/>
      </c>
      <c r="BQ58" s="80" t="str">
        <f>IF(AND($F58&lt;&gt;"", $F58&gt;=BQ$5-4, $F58&lt;=BQ$5, COUNTIF($M58:BP58,"u")=0), "u", "")</f>
        <v/>
      </c>
      <c r="BR58" s="80" t="str">
        <f>IF(AND($F58&lt;&gt;"", $F58&gt;=BR$5-4, $F58&lt;=BR$5, COUNTIF($M58:BQ58,"u")=0), "u", "")</f>
        <v/>
      </c>
      <c r="BS58" s="80" t="str">
        <f>IF(AND($F58&lt;&gt;"", $F58&gt;=BS$5-4, $F58&lt;=BS$5, COUNTIF($M58:BR58,"u")=0), "u", "")</f>
        <v/>
      </c>
      <c r="BT58" s="80" t="str">
        <f>IF(AND($F58&lt;&gt;"", $F58&gt;=BT$5-4, $F58&lt;=BT$5, COUNTIF($M58:BS58,"u")=0), "u", "")</f>
        <v/>
      </c>
      <c r="BU58" s="80" t="str">
        <f>IF(AND($F58&lt;&gt;"", $F58&gt;=BU$5-4, $F58&lt;=BU$5, COUNTIF($M58:BT58,"u")=0), "u", "")</f>
        <v/>
      </c>
      <c r="BV58" s="80" t="str">
        <f>IF(AND($F58&lt;&gt;"", $F58&gt;=BV$5-4, $F58&lt;=BV$5, COUNTIF($M58:BU58,"u")=0), "u", "")</f>
        <v/>
      </c>
      <c r="BW58" s="80" t="str">
        <f>IF(AND($F58&lt;&gt;"", $F58&gt;=BW$5-4, $F58&lt;=BW$5, COUNTIF($M58:BV58,"u")=0), "u", "")</f>
        <v/>
      </c>
      <c r="BX58" s="80" t="str">
        <f>IF(AND($F58&lt;&gt;"", $F58&gt;=BX$5-4, $F58&lt;=BX$5, COUNTIF($M58:BW58,"u")=0), "u", "")</f>
        <v/>
      </c>
      <c r="BY58" s="80" t="str">
        <f>IF(AND($F58&lt;&gt;"", $F58&gt;=BY$5-4, $F58&lt;=BY$5, COUNTIF($M58:BX58,"u")=0), "u", "")</f>
        <v/>
      </c>
      <c r="BZ58" s="80" t="str">
        <f>IF(AND($F58&lt;&gt;"", $F58&gt;=BZ$5-4, $F58&lt;=BZ$5, COUNTIF($M58:BY58,"u")=0), "u", "")</f>
        <v/>
      </c>
      <c r="CA58" s="80" t="str">
        <f>IF(AND($F58&lt;&gt;"", $F58&gt;=CA$5-4, $F58&lt;=CA$5, COUNTIF($M58:BZ58,"u")=0), "u", "")</f>
        <v/>
      </c>
      <c r="CB58" s="80" t="str">
        <f>IF(AND($F58&lt;&gt;"", $F58&gt;=CB$5-4, $F58&lt;=CB$5, COUNTIF($M58:CA58,"u")=0), "u", "")</f>
        <v/>
      </c>
      <c r="CC58" s="80" t="str">
        <f>IF(AND($F58&lt;&gt;"", $F58&gt;=CC$5-4, $F58&lt;=CC$5, COUNTIF($M58:CB58,"u")=0), "u", "")</f>
        <v/>
      </c>
      <c r="CD58" s="80" t="str">
        <f>IF(AND($F58&lt;&gt;"", $F58&gt;=CD$5-4, $F58&lt;=CD$5, COUNTIF($M58:CC58,"u")=0), "u", "")</f>
        <v/>
      </c>
      <c r="CE58" s="80" t="str">
        <f>IF(AND($F58&lt;&gt;"", $F58&gt;=CE$5-4, $F58&lt;=CE$5, COUNTIF($M58:CD58,"u")=0), "u", "")</f>
        <v/>
      </c>
      <c r="CF58" s="80" t="str">
        <f>IF(AND($F58&lt;&gt;"", $F58&gt;=CF$5-4, $F58&lt;=CF$5, COUNTIF($M58:CE58,"u")=0), "u", "")</f>
        <v/>
      </c>
      <c r="CG58" s="80" t="str">
        <f>IF(AND($F58&lt;&gt;"", $F58&gt;=CG$5-4, $F58&lt;=CG$5, COUNTIF($M58:CF58,"u")=0), "u", "")</f>
        <v/>
      </c>
      <c r="CH58" s="80" t="str">
        <f>IF(AND($F58&lt;&gt;"", $F58&gt;=CH$5-4, $F58&lt;=CH$5, COUNTIF($M58:CG58,"u")=0), "u", "")</f>
        <v/>
      </c>
      <c r="CI58" s="80" t="str">
        <f>IF(AND($F58&lt;&gt;"", $F58&gt;=CI$5-4, $F58&lt;=CI$5, COUNTIF($M58:CH58,"u")=0), "u", "")</f>
        <v/>
      </c>
      <c r="CJ58" s="80" t="str">
        <f>IF(AND($F58&lt;&gt;"", $F58&gt;=CJ$5-4, $F58&lt;=CJ$5, COUNTIF($M58:CI58,"u")=0), "u", "")</f>
        <v/>
      </c>
      <c r="CK58" s="80" t="str">
        <f>IF(AND($F58&lt;&gt;"", $F58&gt;=CK$5-4, $F58&lt;=CK$5, COUNTIF($M58:CJ58,"u")=0), "u", "")</f>
        <v/>
      </c>
      <c r="CL58" s="80" t="str">
        <f>IF(AND($F58&lt;&gt;"", $F58&gt;=CL$5-4, $F58&lt;=CL$5, COUNTIF($M58:CK58,"u")=0), "u", "")</f>
        <v/>
      </c>
      <c r="CM58" s="80" t="str">
        <f>IF(AND($F58&lt;&gt;"", $F58&gt;=CM$5-4, $F58&lt;=CM$5, COUNTIF($M58:CL58,"u")=0), "u", "")</f>
        <v/>
      </c>
      <c r="CN58" s="80" t="str">
        <f>IF(AND($F58&lt;&gt;"", $F58&gt;=CN$5-4, $F58&lt;=CN$5, COUNTIF($M58:CM58,"u")=0), "u", "")</f>
        <v/>
      </c>
      <c r="CO58" s="80" t="str">
        <f>IF(AND($F58&lt;&gt;"", $F58&gt;=CO$5-4, $F58&lt;=CO$5, COUNTIF($M58:CN58,"u")=0), "u", "")</f>
        <v/>
      </c>
      <c r="CP58" s="80" t="str">
        <f>IF(AND($F58&lt;&gt;"", $F58&gt;=CP$5-4, $F58&lt;=CP$5, COUNTIF($M58:CO58,"u")=0), "u", "")</f>
        <v/>
      </c>
      <c r="CQ58" s="80" t="str">
        <f>IF(AND($F58&lt;&gt;"", $F58&gt;=CQ$5-4, $F58&lt;=CQ$5, COUNTIF($M58:CP58,"u")=0), "u", "")</f>
        <v/>
      </c>
      <c r="CR58" s="80" t="str">
        <f>IF(AND($F58&lt;&gt;"", $F58&gt;=CR$5-4, $F58&lt;=CR$5, COUNTIF($M58:CQ58,"u")=0), "u", "")</f>
        <v/>
      </c>
      <c r="CS58" s="80" t="str">
        <f>IF(AND($F58&lt;&gt;"", $F58&gt;=CS$5-4, $F58&lt;=CS$5, COUNTIF($M58:CR58,"u")=0), "u", "")</f>
        <v/>
      </c>
      <c r="CT58" s="80" t="str">
        <f>IF(AND($F58&lt;&gt;"", $F58&gt;=CT$5-4, $F58&lt;=CT$5, COUNTIF($M58:CS58,"u")=0), "u", "")</f>
        <v/>
      </c>
      <c r="CU58" s="80" t="str">
        <f>IF(AND($F58&lt;&gt;"", $F58&gt;=CU$5-4, $F58&lt;=CU$5, COUNTIF($M58:CT58,"u")=0), "u", "")</f>
        <v/>
      </c>
      <c r="CV58" s="80" t="str">
        <f>IF(AND($F58&lt;&gt;"", $F58&gt;=CV$5-4, $F58&lt;=CV$5, COUNTIF($M58:CU58,"u")=0), "u", "")</f>
        <v/>
      </c>
      <c r="CW58" s="80" t="str">
        <f>IF(AND($F58&lt;&gt;"", $F58&gt;=CW$5-4, $F58&lt;=CW$5, COUNTIF($M58:CV58,"u")=0), "u", "")</f>
        <v/>
      </c>
      <c r="CX58" s="80" t="str">
        <f>IF(AND($F58&lt;&gt;"", $F58&gt;=CX$5-4, $F58&lt;=CX$5, COUNTIF($M58:CW58,"u")=0), "u", "")</f>
        <v/>
      </c>
      <c r="CY58" s="80" t="str">
        <f>IF(AND($F58&lt;&gt;"", $F58&gt;=CY$5-4, $F58&lt;=CY$5, COUNTIF($M58:CX58,"u")=0), "u", "")</f>
        <v/>
      </c>
      <c r="CZ58" s="80" t="str">
        <f>IF(AND($F58&lt;&gt;"", $F58&gt;=CZ$5-4, $F58&lt;=CZ$5, COUNTIF($M58:CY58,"u")=0), "u", "")</f>
        <v/>
      </c>
      <c r="DA58" s="80" t="str">
        <f>IF(AND($F58&lt;&gt;"", $F58&gt;=DA$5-4, $F58&lt;=DA$5, COUNTIF($M58:CZ58,"u")=0), "u", "")</f>
        <v/>
      </c>
      <c r="DB58" s="80" t="str">
        <f>IF(AND($F58&lt;&gt;"", $F58&gt;=DB$5-4, $F58&lt;=DB$5, COUNTIF($M58:DA58,"u")=0), "u", "")</f>
        <v/>
      </c>
      <c r="DC58" s="80" t="str">
        <f>IF(AND($F58&lt;&gt;"", $F58&gt;=DC$5-4, $F58&lt;=DC$5, COUNTIF($M58:DB58,"u")=0), "u", "")</f>
        <v/>
      </c>
      <c r="DD58" s="80" t="str">
        <f>IF(AND($F58&lt;&gt;"", $F58&gt;=DD$5-4, $F58&lt;=DD$5, COUNTIF($M58:DC58,"u")=0), "u", "")</f>
        <v/>
      </c>
      <c r="DE58" s="80" t="str">
        <f>IF(AND($F58&lt;&gt;"", $F58&gt;=DE$5-4, $F58&lt;=DE$5, COUNTIF($M58:DD58,"u")=0), "u", "")</f>
        <v/>
      </c>
      <c r="DF58" s="80" t="str">
        <f>IF(AND($F58&lt;&gt;"", $F58&gt;=DF$5-4, $F58&lt;=DF$5, COUNTIF($M58:DE58,"u")=0), "u", "")</f>
        <v/>
      </c>
      <c r="DG58" s="80" t="str">
        <f>IF(AND($F58&lt;&gt;"", $F58&gt;=DG$5-4, $F58&lt;=DG$5, COUNTIF($M58:DF58,"u")=0), "u", "")</f>
        <v/>
      </c>
      <c r="DH58" s="80" t="str">
        <f>IF(AND($F58&lt;&gt;"", $F58&gt;=DH$5-4, $F58&lt;=DH$5, COUNTIF($M58:DG58,"u")=0), "u", "")</f>
        <v/>
      </c>
      <c r="DI58" s="80" t="str">
        <f>IF(AND($F58&lt;&gt;"", $F58&gt;=DI$5-4, $F58&lt;=DI$5, COUNTIF($M58:DH58,"u")=0), "u", "")</f>
        <v/>
      </c>
      <c r="DJ58" s="80" t="str">
        <f>IF(AND($F58&lt;&gt;"", $F58&gt;=DJ$5-4, $F58&lt;=DJ$5, COUNTIF($M58:DI58,"u")=0), "u", "")</f>
        <v/>
      </c>
      <c r="DK58" s="80" t="str">
        <f>IF(AND($F58&lt;&gt;"", $F58&gt;=DK$5-4, $F58&lt;=DK$5, COUNTIF($M58:DJ58,"u")=0), "u", "")</f>
        <v/>
      </c>
      <c r="DL58" s="80" t="str">
        <f>IF(AND($F58&lt;&gt;"", $F58&gt;=DL$5-4, $F58&lt;=DL$5, COUNTIF($M58:DK58,"u")=0), "u", "")</f>
        <v/>
      </c>
    </row>
    <row r="59" spans="1:116" ht="25.05" customHeight="1" x14ac:dyDescent="0.3">
      <c r="A59" s="39"/>
      <c r="B59" s="75">
        <v>54</v>
      </c>
      <c r="C59" s="97"/>
      <c r="D59" s="92"/>
      <c r="E59" s="53"/>
      <c r="F59" s="53"/>
      <c r="G59" s="83" t="str">
        <f t="shared" si="47"/>
        <v/>
      </c>
      <c r="H59" s="83" t="str">
        <f t="shared" si="47"/>
        <v/>
      </c>
      <c r="I59" s="77" t="str">
        <f t="shared" si="45"/>
        <v/>
      </c>
      <c r="J59" s="78"/>
      <c r="K59" s="86"/>
      <c r="L59" s="56"/>
      <c r="M59" s="80" t="str">
        <f t="shared" si="46"/>
        <v/>
      </c>
      <c r="N59" s="80" t="str">
        <f>IF(AND($F59&lt;&gt;"", $F59&gt;=N$5-4, $F59&lt;=N$5, COUNTIF($M59:M59,"u")=0), "u", "")</f>
        <v/>
      </c>
      <c r="O59" s="80" t="str">
        <f>IF(AND($F59&lt;&gt;"", $F59&gt;=O$5-4, $F59&lt;=O$5, COUNTIF($M59:N59,"u")=0), "u", "")</f>
        <v/>
      </c>
      <c r="P59" s="80" t="str">
        <f>IF(AND($F59&lt;&gt;"", $F59&gt;=P$5-4, $F59&lt;=P$5, COUNTIF($M59:O59,"u")=0), "u", "")</f>
        <v/>
      </c>
      <c r="Q59" s="80" t="str">
        <f>IF(AND($F59&lt;&gt;"", $F59&gt;=Q$5-4, $F59&lt;=Q$5, COUNTIF($M59:P59,"u")=0), "u", "")</f>
        <v/>
      </c>
      <c r="R59" s="80" t="str">
        <f>IF(AND($F59&lt;&gt;"", $F59&gt;=R$5-4, $F59&lt;=R$5, COUNTIF($M59:Q59,"u")=0), "u", "")</f>
        <v/>
      </c>
      <c r="S59" s="80" t="str">
        <f>IF(AND($F59&lt;&gt;"", $F59&gt;=S$5-4, $F59&lt;=S$5, COUNTIF($M59:R59,"u")=0), "u", "")</f>
        <v/>
      </c>
      <c r="T59" s="80" t="str">
        <f>IF(AND($F59&lt;&gt;"", $F59&gt;=T$5-4, $F59&lt;=T$5, COUNTIF($M59:S59,"u")=0), "u", "")</f>
        <v/>
      </c>
      <c r="U59" s="80" t="str">
        <f>IF(AND($F59&lt;&gt;"", $F59&gt;=U$5-4, $F59&lt;=U$5, COUNTIF($M59:T59,"u")=0), "u", "")</f>
        <v/>
      </c>
      <c r="V59" s="80" t="str">
        <f>IF(AND($F59&lt;&gt;"", $F59&gt;=V$5-4, $F59&lt;=V$5, COUNTIF($M59:U59,"u")=0), "u", "")</f>
        <v/>
      </c>
      <c r="W59" s="80" t="str">
        <f>IF(AND($F59&lt;&gt;"", $F59&gt;=W$5-4, $F59&lt;=W$5, COUNTIF($M59:V59,"u")=0), "u", "")</f>
        <v/>
      </c>
      <c r="X59" s="80" t="str">
        <f>IF(AND($F59&lt;&gt;"", $F59&gt;=X$5-4, $F59&lt;=X$5, COUNTIF($M59:W59,"u")=0), "u", "")</f>
        <v/>
      </c>
      <c r="Y59" s="80" t="str">
        <f>IF(AND($F59&lt;&gt;"", $F59&gt;=Y$5-4, $F59&lt;=Y$5, COUNTIF($M59:X59,"u")=0), "u", "")</f>
        <v/>
      </c>
      <c r="Z59" s="80" t="str">
        <f>IF(AND($F59&lt;&gt;"", $F59&gt;=Z$5-4, $F59&lt;=Z$5, COUNTIF($M59:Y59,"u")=0), "u", "")</f>
        <v/>
      </c>
      <c r="AA59" s="80" t="str">
        <f>IF(AND($F59&lt;&gt;"", $F59&gt;=AA$5-4, $F59&lt;=AA$5, COUNTIF($M59:Z59,"u")=0), "u", "")</f>
        <v/>
      </c>
      <c r="AB59" s="80" t="str">
        <f>IF(AND($F59&lt;&gt;"", $F59&gt;=AB$5-4, $F59&lt;=AB$5, COUNTIF($M59:AA59,"u")=0), "u", "")</f>
        <v/>
      </c>
      <c r="AC59" s="80" t="str">
        <f>IF(AND($F59&lt;&gt;"", $F59&gt;=AC$5-4, $F59&lt;=AC$5, COUNTIF($M59:AB59,"u")=0), "u", "")</f>
        <v/>
      </c>
      <c r="AD59" s="80" t="str">
        <f>IF(AND($F59&lt;&gt;"", $F59&gt;=AD$5-4, $F59&lt;=AD$5, COUNTIF($M59:AC59,"u")=0), "u", "")</f>
        <v/>
      </c>
      <c r="AE59" s="80" t="str">
        <f>IF(AND($F59&lt;&gt;"", $F59&gt;=AE$5-4, $F59&lt;=AE$5, COUNTIF($M59:AD59,"u")=0), "u", "")</f>
        <v/>
      </c>
      <c r="AF59" s="80" t="str">
        <f>IF(AND($F59&lt;&gt;"", $F59&gt;=AF$5-4, $F59&lt;=AF$5, COUNTIF($M59:AE59,"u")=0), "u", "")</f>
        <v/>
      </c>
      <c r="AG59" s="80" t="str">
        <f>IF(AND($F59&lt;&gt;"", $F59&gt;=AG$5-4, $F59&lt;=AG$5, COUNTIF($M59:AF59,"u")=0), "u", "")</f>
        <v/>
      </c>
      <c r="AH59" s="80" t="str">
        <f>IF(AND($F59&lt;&gt;"", $F59&gt;=AH$5-4, $F59&lt;=AH$5, COUNTIF($M59:AG59,"u")=0), "u", "")</f>
        <v/>
      </c>
      <c r="AI59" s="80" t="str">
        <f>IF(AND($F59&lt;&gt;"", $F59&gt;=AI$5-4, $F59&lt;=AI$5, COUNTIF($M59:AH59,"u")=0), "u", "")</f>
        <v/>
      </c>
      <c r="AJ59" s="80" t="str">
        <f>IF(AND($F59&lt;&gt;"", $F59&gt;=AJ$5-4, $F59&lt;=AJ$5, COUNTIF($M59:AI59,"u")=0), "u", "")</f>
        <v/>
      </c>
      <c r="AK59" s="80" t="str">
        <f>IF(AND($F59&lt;&gt;"", $F59&gt;=AK$5-4, $F59&lt;=AK$5, COUNTIF($M59:AJ59,"u")=0), "u", "")</f>
        <v/>
      </c>
      <c r="AL59" s="80" t="str">
        <f>IF(AND($F59&lt;&gt;"", $F59&gt;=AL$5-4, $F59&lt;=AL$5, COUNTIF($M59:AK59,"u")=0), "u", "")</f>
        <v/>
      </c>
      <c r="AM59" s="80" t="str">
        <f>IF(AND($F59&lt;&gt;"", $F59&gt;=AM$5-4, $F59&lt;=AM$5, COUNTIF($M59:AL59,"u")=0), "u", "")</f>
        <v/>
      </c>
      <c r="AN59" s="80" t="str">
        <f>IF(AND($F59&lt;&gt;"", $F59&gt;=AN$5-4, $F59&lt;=AN$5, COUNTIF($M59:AM59,"u")=0), "u", "")</f>
        <v/>
      </c>
      <c r="AO59" s="80" t="str">
        <f>IF(AND($F59&lt;&gt;"", $F59&gt;=AO$5-4, $F59&lt;=AO$5, COUNTIF($M59:AN59,"u")=0), "u", "")</f>
        <v/>
      </c>
      <c r="AP59" s="80" t="str">
        <f>IF(AND($F59&lt;&gt;"", $F59&gt;=AP$5-4, $F59&lt;=AP$5, COUNTIF($M59:AO59,"u")=0), "u", "")</f>
        <v/>
      </c>
      <c r="AQ59" s="80" t="str">
        <f>IF(AND($F59&lt;&gt;"", $F59&gt;=AQ$5-4, $F59&lt;=AQ$5, COUNTIF($M59:AP59,"u")=0), "u", "")</f>
        <v/>
      </c>
      <c r="AR59" s="80" t="str">
        <f>IF(AND($F59&lt;&gt;"", $F59&gt;=AR$5-4, $F59&lt;=AR$5, COUNTIF($M59:AQ59,"u")=0), "u", "")</f>
        <v/>
      </c>
      <c r="AS59" s="80" t="str">
        <f>IF(AND($F59&lt;&gt;"", $F59&gt;=AS$5-4, $F59&lt;=AS$5, COUNTIF($M59:AR59,"u")=0), "u", "")</f>
        <v/>
      </c>
      <c r="AT59" s="80" t="str">
        <f>IF(AND($F59&lt;&gt;"", $F59&gt;=AT$5-4, $F59&lt;=AT$5, COUNTIF($M59:AS59,"u")=0), "u", "")</f>
        <v/>
      </c>
      <c r="AU59" s="80" t="str">
        <f>IF(AND($F59&lt;&gt;"", $F59&gt;=AU$5-4, $F59&lt;=AU$5, COUNTIF($M59:AT59,"u")=0), "u", "")</f>
        <v/>
      </c>
      <c r="AV59" s="80" t="str">
        <f>IF(AND($F59&lt;&gt;"", $F59&gt;=AV$5-4, $F59&lt;=AV$5, COUNTIF($M59:AU59,"u")=0), "u", "")</f>
        <v/>
      </c>
      <c r="AW59" s="80" t="str">
        <f>IF(AND($F59&lt;&gt;"", $F59&gt;=AW$5-4, $F59&lt;=AW$5, COUNTIF($M59:AV59,"u")=0), "u", "")</f>
        <v/>
      </c>
      <c r="AX59" s="80" t="str">
        <f>IF(AND($F59&lt;&gt;"", $F59&gt;=AX$5-4, $F59&lt;=AX$5, COUNTIF($M59:AW59,"u")=0), "u", "")</f>
        <v/>
      </c>
      <c r="AY59" s="80" t="str">
        <f>IF(AND($F59&lt;&gt;"", $F59&gt;=AY$5-4, $F59&lt;=AY$5, COUNTIF($M59:AX59,"u")=0), "u", "")</f>
        <v/>
      </c>
      <c r="AZ59" s="80" t="str">
        <f>IF(AND($F59&lt;&gt;"", $F59&gt;=AZ$5-4, $F59&lt;=AZ$5, COUNTIF($M59:AY59,"u")=0), "u", "")</f>
        <v/>
      </c>
      <c r="BA59" s="80" t="str">
        <f>IF(AND($F59&lt;&gt;"", $F59&gt;=BA$5-4, $F59&lt;=BA$5, COUNTIF($M59:AZ59,"u")=0), "u", "")</f>
        <v/>
      </c>
      <c r="BB59" s="80" t="str">
        <f>IF(AND($F59&lt;&gt;"", $F59&gt;=BB$5-4, $F59&lt;=BB$5, COUNTIF($M59:BA59,"u")=0), "u", "")</f>
        <v/>
      </c>
      <c r="BC59" s="80" t="str">
        <f>IF(AND($F59&lt;&gt;"", $F59&gt;=BC$5-4, $F59&lt;=BC$5, COUNTIF($M59:BB59,"u")=0), "u", "")</f>
        <v/>
      </c>
      <c r="BD59" s="80" t="str">
        <f>IF(AND($F59&lt;&gt;"", $F59&gt;=BD$5-4, $F59&lt;=BD$5, COUNTIF($M59:BC59,"u")=0), "u", "")</f>
        <v/>
      </c>
      <c r="BE59" s="80" t="str">
        <f>IF(AND($F59&lt;&gt;"", $F59&gt;=BE$5-4, $F59&lt;=BE$5, COUNTIF($M59:BD59,"u")=0), "u", "")</f>
        <v/>
      </c>
      <c r="BF59" s="80" t="str">
        <f>IF(AND($F59&lt;&gt;"", $F59&gt;=BF$5-4, $F59&lt;=BF$5, COUNTIF($M59:BE59,"u")=0), "u", "")</f>
        <v/>
      </c>
      <c r="BG59" s="80" t="str">
        <f>IF(AND($F59&lt;&gt;"", $F59&gt;=BG$5-4, $F59&lt;=BG$5, COUNTIF($M59:BF59,"u")=0), "u", "")</f>
        <v/>
      </c>
      <c r="BH59" s="80" t="str">
        <f>IF(AND($F59&lt;&gt;"", $F59&gt;=BH$5-4, $F59&lt;=BH$5, COUNTIF($M59:BG59,"u")=0), "u", "")</f>
        <v/>
      </c>
      <c r="BI59" s="80" t="str">
        <f>IF(AND($F59&lt;&gt;"", $F59&gt;=BI$5-4, $F59&lt;=BI$5, COUNTIF($M59:BH59,"u")=0), "u", "")</f>
        <v/>
      </c>
      <c r="BJ59" s="80" t="str">
        <f>IF(AND($F59&lt;&gt;"", $F59&gt;=BJ$5-4, $F59&lt;=BJ$5, COUNTIF($M59:BI59,"u")=0), "u", "")</f>
        <v/>
      </c>
      <c r="BK59" s="80" t="str">
        <f>IF(AND($F59&lt;&gt;"", $F59&gt;=BK$5-4, $F59&lt;=BK$5, COUNTIF($M59:BJ59,"u")=0), "u", "")</f>
        <v/>
      </c>
      <c r="BL59" s="80" t="str">
        <f>IF(AND($F59&lt;&gt;"", $F59&gt;=BL$5-4, $F59&lt;=BL$5, COUNTIF($M59:BK59,"u")=0), "u", "")</f>
        <v/>
      </c>
      <c r="BM59" s="80" t="str">
        <f>IF(AND($F59&lt;&gt;"", $F59&gt;=BM$5-4, $F59&lt;=BM$5, COUNTIF($M59:BL59,"u")=0), "u", "")</f>
        <v/>
      </c>
      <c r="BN59" s="80" t="str">
        <f>IF(AND($F59&lt;&gt;"", $F59&gt;=BN$5-4, $F59&lt;=BN$5, COUNTIF($M59:BM59,"u")=0), "u", "")</f>
        <v/>
      </c>
      <c r="BO59" s="80" t="str">
        <f>IF(AND($F59&lt;&gt;"", $F59&gt;=BO$5-4, $F59&lt;=BO$5, COUNTIF($M59:BN59,"u")=0), "u", "")</f>
        <v/>
      </c>
      <c r="BP59" s="80" t="str">
        <f>IF(AND($F59&lt;&gt;"", $F59&gt;=BP$5-4, $F59&lt;=BP$5, COUNTIF($M59:BO59,"u")=0), "u", "")</f>
        <v/>
      </c>
      <c r="BQ59" s="80" t="str">
        <f>IF(AND($F59&lt;&gt;"", $F59&gt;=BQ$5-4, $F59&lt;=BQ$5, COUNTIF($M59:BP59,"u")=0), "u", "")</f>
        <v/>
      </c>
      <c r="BR59" s="80" t="str">
        <f>IF(AND($F59&lt;&gt;"", $F59&gt;=BR$5-4, $F59&lt;=BR$5, COUNTIF($M59:BQ59,"u")=0), "u", "")</f>
        <v/>
      </c>
      <c r="BS59" s="80" t="str">
        <f>IF(AND($F59&lt;&gt;"", $F59&gt;=BS$5-4, $F59&lt;=BS$5, COUNTIF($M59:BR59,"u")=0), "u", "")</f>
        <v/>
      </c>
      <c r="BT59" s="80" t="str">
        <f>IF(AND($F59&lt;&gt;"", $F59&gt;=BT$5-4, $F59&lt;=BT$5, COUNTIF($M59:BS59,"u")=0), "u", "")</f>
        <v/>
      </c>
      <c r="BU59" s="80" t="str">
        <f>IF(AND($F59&lt;&gt;"", $F59&gt;=BU$5-4, $F59&lt;=BU$5, COUNTIF($M59:BT59,"u")=0), "u", "")</f>
        <v/>
      </c>
      <c r="BV59" s="80" t="str">
        <f>IF(AND($F59&lt;&gt;"", $F59&gt;=BV$5-4, $F59&lt;=BV$5, COUNTIF($M59:BU59,"u")=0), "u", "")</f>
        <v/>
      </c>
      <c r="BW59" s="80" t="str">
        <f>IF(AND($F59&lt;&gt;"", $F59&gt;=BW$5-4, $F59&lt;=BW$5, COUNTIF($M59:BV59,"u")=0), "u", "")</f>
        <v/>
      </c>
      <c r="BX59" s="80" t="str">
        <f>IF(AND($F59&lt;&gt;"", $F59&gt;=BX$5-4, $F59&lt;=BX$5, COUNTIF($M59:BW59,"u")=0), "u", "")</f>
        <v/>
      </c>
      <c r="BY59" s="80" t="str">
        <f>IF(AND($F59&lt;&gt;"", $F59&gt;=BY$5-4, $F59&lt;=BY$5, COUNTIF($M59:BX59,"u")=0), "u", "")</f>
        <v/>
      </c>
      <c r="BZ59" s="80" t="str">
        <f>IF(AND($F59&lt;&gt;"", $F59&gt;=BZ$5-4, $F59&lt;=BZ$5, COUNTIF($M59:BY59,"u")=0), "u", "")</f>
        <v/>
      </c>
      <c r="CA59" s="80" t="str">
        <f>IF(AND($F59&lt;&gt;"", $F59&gt;=CA$5-4, $F59&lt;=CA$5, COUNTIF($M59:BZ59,"u")=0), "u", "")</f>
        <v/>
      </c>
      <c r="CB59" s="80" t="str">
        <f>IF(AND($F59&lt;&gt;"", $F59&gt;=CB$5-4, $F59&lt;=CB$5, COUNTIF($M59:CA59,"u")=0), "u", "")</f>
        <v/>
      </c>
      <c r="CC59" s="80" t="str">
        <f>IF(AND($F59&lt;&gt;"", $F59&gt;=CC$5-4, $F59&lt;=CC$5, COUNTIF($M59:CB59,"u")=0), "u", "")</f>
        <v/>
      </c>
      <c r="CD59" s="80" t="str">
        <f>IF(AND($F59&lt;&gt;"", $F59&gt;=CD$5-4, $F59&lt;=CD$5, COUNTIF($M59:CC59,"u")=0), "u", "")</f>
        <v/>
      </c>
      <c r="CE59" s="80" t="str">
        <f>IF(AND($F59&lt;&gt;"", $F59&gt;=CE$5-4, $F59&lt;=CE$5, COUNTIF($M59:CD59,"u")=0), "u", "")</f>
        <v/>
      </c>
      <c r="CF59" s="80" t="str">
        <f>IF(AND($F59&lt;&gt;"", $F59&gt;=CF$5-4, $F59&lt;=CF$5, COUNTIF($M59:CE59,"u")=0), "u", "")</f>
        <v/>
      </c>
      <c r="CG59" s="80" t="str">
        <f>IF(AND($F59&lt;&gt;"", $F59&gt;=CG$5-4, $F59&lt;=CG$5, COUNTIF($M59:CF59,"u")=0), "u", "")</f>
        <v/>
      </c>
      <c r="CH59" s="80" t="str">
        <f>IF(AND($F59&lt;&gt;"", $F59&gt;=CH$5-4, $F59&lt;=CH$5, COUNTIF($M59:CG59,"u")=0), "u", "")</f>
        <v/>
      </c>
      <c r="CI59" s="80" t="str">
        <f>IF(AND($F59&lt;&gt;"", $F59&gt;=CI$5-4, $F59&lt;=CI$5, COUNTIF($M59:CH59,"u")=0), "u", "")</f>
        <v/>
      </c>
      <c r="CJ59" s="80" t="str">
        <f>IF(AND($F59&lt;&gt;"", $F59&gt;=CJ$5-4, $F59&lt;=CJ$5, COUNTIF($M59:CI59,"u")=0), "u", "")</f>
        <v/>
      </c>
      <c r="CK59" s="80" t="str">
        <f>IF(AND($F59&lt;&gt;"", $F59&gt;=CK$5-4, $F59&lt;=CK$5, COUNTIF($M59:CJ59,"u")=0), "u", "")</f>
        <v/>
      </c>
      <c r="CL59" s="80" t="str">
        <f>IF(AND($F59&lt;&gt;"", $F59&gt;=CL$5-4, $F59&lt;=CL$5, COUNTIF($M59:CK59,"u")=0), "u", "")</f>
        <v/>
      </c>
      <c r="CM59" s="80" t="str">
        <f>IF(AND($F59&lt;&gt;"", $F59&gt;=CM$5-4, $F59&lt;=CM$5, COUNTIF($M59:CL59,"u")=0), "u", "")</f>
        <v/>
      </c>
      <c r="CN59" s="80" t="str">
        <f>IF(AND($F59&lt;&gt;"", $F59&gt;=CN$5-4, $F59&lt;=CN$5, COUNTIF($M59:CM59,"u")=0), "u", "")</f>
        <v/>
      </c>
      <c r="CO59" s="80" t="str">
        <f>IF(AND($F59&lt;&gt;"", $F59&gt;=CO$5-4, $F59&lt;=CO$5, COUNTIF($M59:CN59,"u")=0), "u", "")</f>
        <v/>
      </c>
      <c r="CP59" s="80" t="str">
        <f>IF(AND($F59&lt;&gt;"", $F59&gt;=CP$5-4, $F59&lt;=CP$5, COUNTIF($M59:CO59,"u")=0), "u", "")</f>
        <v/>
      </c>
      <c r="CQ59" s="80" t="str">
        <f>IF(AND($F59&lt;&gt;"", $F59&gt;=CQ$5-4, $F59&lt;=CQ$5, COUNTIF($M59:CP59,"u")=0), "u", "")</f>
        <v/>
      </c>
      <c r="CR59" s="80" t="str">
        <f>IF(AND($F59&lt;&gt;"", $F59&gt;=CR$5-4, $F59&lt;=CR$5, COUNTIF($M59:CQ59,"u")=0), "u", "")</f>
        <v/>
      </c>
      <c r="CS59" s="80" t="str">
        <f>IF(AND($F59&lt;&gt;"", $F59&gt;=CS$5-4, $F59&lt;=CS$5, COUNTIF($M59:CR59,"u")=0), "u", "")</f>
        <v/>
      </c>
      <c r="CT59" s="80" t="str">
        <f>IF(AND($F59&lt;&gt;"", $F59&gt;=CT$5-4, $F59&lt;=CT$5, COUNTIF($M59:CS59,"u")=0), "u", "")</f>
        <v/>
      </c>
      <c r="CU59" s="80" t="str">
        <f>IF(AND($F59&lt;&gt;"", $F59&gt;=CU$5-4, $F59&lt;=CU$5, COUNTIF($M59:CT59,"u")=0), "u", "")</f>
        <v/>
      </c>
      <c r="CV59" s="80" t="str">
        <f>IF(AND($F59&lt;&gt;"", $F59&gt;=CV$5-4, $F59&lt;=CV$5, COUNTIF($M59:CU59,"u")=0), "u", "")</f>
        <v/>
      </c>
      <c r="CW59" s="80" t="str">
        <f>IF(AND($F59&lt;&gt;"", $F59&gt;=CW$5-4, $F59&lt;=CW$5, COUNTIF($M59:CV59,"u")=0), "u", "")</f>
        <v/>
      </c>
      <c r="CX59" s="80" t="str">
        <f>IF(AND($F59&lt;&gt;"", $F59&gt;=CX$5-4, $F59&lt;=CX$5, COUNTIF($M59:CW59,"u")=0), "u", "")</f>
        <v/>
      </c>
      <c r="CY59" s="80" t="str">
        <f>IF(AND($F59&lt;&gt;"", $F59&gt;=CY$5-4, $F59&lt;=CY$5, COUNTIF($M59:CX59,"u")=0), "u", "")</f>
        <v/>
      </c>
      <c r="CZ59" s="80" t="str">
        <f>IF(AND($F59&lt;&gt;"", $F59&gt;=CZ$5-4, $F59&lt;=CZ$5, COUNTIF($M59:CY59,"u")=0), "u", "")</f>
        <v/>
      </c>
      <c r="DA59" s="80" t="str">
        <f>IF(AND($F59&lt;&gt;"", $F59&gt;=DA$5-4, $F59&lt;=DA$5, COUNTIF($M59:CZ59,"u")=0), "u", "")</f>
        <v/>
      </c>
      <c r="DB59" s="80" t="str">
        <f>IF(AND($F59&lt;&gt;"", $F59&gt;=DB$5-4, $F59&lt;=DB$5, COUNTIF($M59:DA59,"u")=0), "u", "")</f>
        <v/>
      </c>
      <c r="DC59" s="80" t="str">
        <f>IF(AND($F59&lt;&gt;"", $F59&gt;=DC$5-4, $F59&lt;=DC$5, COUNTIF($M59:DB59,"u")=0), "u", "")</f>
        <v/>
      </c>
      <c r="DD59" s="80" t="str">
        <f>IF(AND($F59&lt;&gt;"", $F59&gt;=DD$5-4, $F59&lt;=DD$5, COUNTIF($M59:DC59,"u")=0), "u", "")</f>
        <v/>
      </c>
      <c r="DE59" s="80" t="str">
        <f>IF(AND($F59&lt;&gt;"", $F59&gt;=DE$5-4, $F59&lt;=DE$5, COUNTIF($M59:DD59,"u")=0), "u", "")</f>
        <v/>
      </c>
      <c r="DF59" s="80" t="str">
        <f>IF(AND($F59&lt;&gt;"", $F59&gt;=DF$5-4, $F59&lt;=DF$5, COUNTIF($M59:DE59,"u")=0), "u", "")</f>
        <v/>
      </c>
      <c r="DG59" s="80" t="str">
        <f>IF(AND($F59&lt;&gt;"", $F59&gt;=DG$5-4, $F59&lt;=DG$5, COUNTIF($M59:DF59,"u")=0), "u", "")</f>
        <v/>
      </c>
      <c r="DH59" s="80" t="str">
        <f>IF(AND($F59&lt;&gt;"", $F59&gt;=DH$5-4, $F59&lt;=DH$5, COUNTIF($M59:DG59,"u")=0), "u", "")</f>
        <v/>
      </c>
      <c r="DI59" s="80" t="str">
        <f>IF(AND($F59&lt;&gt;"", $F59&gt;=DI$5-4, $F59&lt;=DI$5, COUNTIF($M59:DH59,"u")=0), "u", "")</f>
        <v/>
      </c>
      <c r="DJ59" s="80" t="str">
        <f>IF(AND($F59&lt;&gt;"", $F59&gt;=DJ$5-4, $F59&lt;=DJ$5, COUNTIF($M59:DI59,"u")=0), "u", "")</f>
        <v/>
      </c>
      <c r="DK59" s="80" t="str">
        <f>IF(AND($F59&lt;&gt;"", $F59&gt;=DK$5-4, $F59&lt;=DK$5, COUNTIF($M59:DJ59,"u")=0), "u", "")</f>
        <v/>
      </c>
      <c r="DL59" s="80" t="str">
        <f>IF(AND($F59&lt;&gt;"", $F59&gt;=DL$5-4, $F59&lt;=DL$5, COUNTIF($M59:DK59,"u")=0), "u", "")</f>
        <v/>
      </c>
    </row>
    <row r="60" spans="1:116" ht="25.05" customHeight="1" x14ac:dyDescent="0.3">
      <c r="A60" s="39"/>
      <c r="B60" s="75">
        <v>55</v>
      </c>
      <c r="C60" s="97"/>
      <c r="D60" s="92"/>
      <c r="E60" s="53"/>
      <c r="F60" s="53"/>
      <c r="G60" s="83" t="str">
        <f t="shared" si="47"/>
        <v/>
      </c>
      <c r="H60" s="83" t="str">
        <f t="shared" si="47"/>
        <v/>
      </c>
      <c r="I60" s="77" t="str">
        <f t="shared" si="45"/>
        <v/>
      </c>
      <c r="J60" s="78"/>
      <c r="K60" s="86"/>
      <c r="L60" s="56"/>
      <c r="M60" s="80" t="str">
        <f t="shared" si="46"/>
        <v/>
      </c>
      <c r="N60" s="80" t="str">
        <f>IF(AND($F60&lt;&gt;"", $F60&gt;=N$5-4, $F60&lt;=N$5, COUNTIF($M60:M60,"u")=0), "u", "")</f>
        <v/>
      </c>
      <c r="O60" s="80" t="str">
        <f>IF(AND($F60&lt;&gt;"", $F60&gt;=O$5-4, $F60&lt;=O$5, COUNTIF($M60:N60,"u")=0), "u", "")</f>
        <v/>
      </c>
      <c r="P60" s="80" t="str">
        <f>IF(AND($F60&lt;&gt;"", $F60&gt;=P$5-4, $F60&lt;=P$5, COUNTIF($M60:O60,"u")=0), "u", "")</f>
        <v/>
      </c>
      <c r="Q60" s="80" t="str">
        <f>IF(AND($F60&lt;&gt;"", $F60&gt;=Q$5-4, $F60&lt;=Q$5, COUNTIF($M60:P60,"u")=0), "u", "")</f>
        <v/>
      </c>
      <c r="R60" s="80" t="str">
        <f>IF(AND($F60&lt;&gt;"", $F60&gt;=R$5-4, $F60&lt;=R$5, COUNTIF($M60:Q60,"u")=0), "u", "")</f>
        <v/>
      </c>
      <c r="S60" s="80" t="str">
        <f>IF(AND($F60&lt;&gt;"", $F60&gt;=S$5-4, $F60&lt;=S$5, COUNTIF($M60:R60,"u")=0), "u", "")</f>
        <v/>
      </c>
      <c r="T60" s="80" t="str">
        <f>IF(AND($F60&lt;&gt;"", $F60&gt;=T$5-4, $F60&lt;=T$5, COUNTIF($M60:S60,"u")=0), "u", "")</f>
        <v/>
      </c>
      <c r="U60" s="80" t="str">
        <f>IF(AND($F60&lt;&gt;"", $F60&gt;=U$5-4, $F60&lt;=U$5, COUNTIF($M60:T60,"u")=0), "u", "")</f>
        <v/>
      </c>
      <c r="V60" s="80" t="str">
        <f>IF(AND($F60&lt;&gt;"", $F60&gt;=V$5-4, $F60&lt;=V$5, COUNTIF($M60:U60,"u")=0), "u", "")</f>
        <v/>
      </c>
      <c r="W60" s="80" t="str">
        <f>IF(AND($F60&lt;&gt;"", $F60&gt;=W$5-4, $F60&lt;=W$5, COUNTIF($M60:V60,"u")=0), "u", "")</f>
        <v/>
      </c>
      <c r="X60" s="80" t="str">
        <f>IF(AND($F60&lt;&gt;"", $F60&gt;=X$5-4, $F60&lt;=X$5, COUNTIF($M60:W60,"u")=0), "u", "")</f>
        <v/>
      </c>
      <c r="Y60" s="80" t="str">
        <f>IF(AND($F60&lt;&gt;"", $F60&gt;=Y$5-4, $F60&lt;=Y$5, COUNTIF($M60:X60,"u")=0), "u", "")</f>
        <v/>
      </c>
      <c r="Z60" s="80" t="str">
        <f>IF(AND($F60&lt;&gt;"", $F60&gt;=Z$5-4, $F60&lt;=Z$5, COUNTIF($M60:Y60,"u")=0), "u", "")</f>
        <v/>
      </c>
      <c r="AA60" s="80" t="str">
        <f>IF(AND($F60&lt;&gt;"", $F60&gt;=AA$5-4, $F60&lt;=AA$5, COUNTIF($M60:Z60,"u")=0), "u", "")</f>
        <v/>
      </c>
      <c r="AB60" s="80" t="str">
        <f>IF(AND($F60&lt;&gt;"", $F60&gt;=AB$5-4, $F60&lt;=AB$5, COUNTIF($M60:AA60,"u")=0), "u", "")</f>
        <v/>
      </c>
      <c r="AC60" s="80" t="str">
        <f>IF(AND($F60&lt;&gt;"", $F60&gt;=AC$5-4, $F60&lt;=AC$5, COUNTIF($M60:AB60,"u")=0), "u", "")</f>
        <v/>
      </c>
      <c r="AD60" s="80" t="str">
        <f>IF(AND($F60&lt;&gt;"", $F60&gt;=AD$5-4, $F60&lt;=AD$5, COUNTIF($M60:AC60,"u")=0), "u", "")</f>
        <v/>
      </c>
      <c r="AE60" s="80" t="str">
        <f>IF(AND($F60&lt;&gt;"", $F60&gt;=AE$5-4, $F60&lt;=AE$5, COUNTIF($M60:AD60,"u")=0), "u", "")</f>
        <v/>
      </c>
      <c r="AF60" s="80" t="str">
        <f>IF(AND($F60&lt;&gt;"", $F60&gt;=AF$5-4, $F60&lt;=AF$5, COUNTIF($M60:AE60,"u")=0), "u", "")</f>
        <v/>
      </c>
      <c r="AG60" s="80" t="str">
        <f>IF(AND($F60&lt;&gt;"", $F60&gt;=AG$5-4, $F60&lt;=AG$5, COUNTIF($M60:AF60,"u")=0), "u", "")</f>
        <v/>
      </c>
      <c r="AH60" s="80" t="str">
        <f>IF(AND($F60&lt;&gt;"", $F60&gt;=AH$5-4, $F60&lt;=AH$5, COUNTIF($M60:AG60,"u")=0), "u", "")</f>
        <v/>
      </c>
      <c r="AI60" s="80" t="str">
        <f>IF(AND($F60&lt;&gt;"", $F60&gt;=AI$5-4, $F60&lt;=AI$5, COUNTIF($M60:AH60,"u")=0), "u", "")</f>
        <v/>
      </c>
      <c r="AJ60" s="80" t="str">
        <f>IF(AND($F60&lt;&gt;"", $F60&gt;=AJ$5-4, $F60&lt;=AJ$5, COUNTIF($M60:AI60,"u")=0), "u", "")</f>
        <v/>
      </c>
      <c r="AK60" s="80" t="str">
        <f>IF(AND($F60&lt;&gt;"", $F60&gt;=AK$5-4, $F60&lt;=AK$5, COUNTIF($M60:AJ60,"u")=0), "u", "")</f>
        <v/>
      </c>
      <c r="AL60" s="80" t="str">
        <f>IF(AND($F60&lt;&gt;"", $F60&gt;=AL$5-4, $F60&lt;=AL$5, COUNTIF($M60:AK60,"u")=0), "u", "")</f>
        <v/>
      </c>
      <c r="AM60" s="80" t="str">
        <f>IF(AND($F60&lt;&gt;"", $F60&gt;=AM$5-4, $F60&lt;=AM$5, COUNTIF($M60:AL60,"u")=0), "u", "")</f>
        <v/>
      </c>
      <c r="AN60" s="80" t="str">
        <f>IF(AND($F60&lt;&gt;"", $F60&gt;=AN$5-4, $F60&lt;=AN$5, COUNTIF($M60:AM60,"u")=0), "u", "")</f>
        <v/>
      </c>
      <c r="AO60" s="80" t="str">
        <f>IF(AND($F60&lt;&gt;"", $F60&gt;=AO$5-4, $F60&lt;=AO$5, COUNTIF($M60:AN60,"u")=0), "u", "")</f>
        <v/>
      </c>
      <c r="AP60" s="80" t="str">
        <f>IF(AND($F60&lt;&gt;"", $F60&gt;=AP$5-4, $F60&lt;=AP$5, COUNTIF($M60:AO60,"u")=0), "u", "")</f>
        <v/>
      </c>
      <c r="AQ60" s="80" t="str">
        <f>IF(AND($F60&lt;&gt;"", $F60&gt;=AQ$5-4, $F60&lt;=AQ$5, COUNTIF($M60:AP60,"u")=0), "u", "")</f>
        <v/>
      </c>
      <c r="AR60" s="80" t="str">
        <f>IF(AND($F60&lt;&gt;"", $F60&gt;=AR$5-4, $F60&lt;=AR$5, COUNTIF($M60:AQ60,"u")=0), "u", "")</f>
        <v/>
      </c>
      <c r="AS60" s="80" t="str">
        <f>IF(AND($F60&lt;&gt;"", $F60&gt;=AS$5-4, $F60&lt;=AS$5, COUNTIF($M60:AR60,"u")=0), "u", "")</f>
        <v/>
      </c>
      <c r="AT60" s="80" t="str">
        <f>IF(AND($F60&lt;&gt;"", $F60&gt;=AT$5-4, $F60&lt;=AT$5, COUNTIF($M60:AS60,"u")=0), "u", "")</f>
        <v/>
      </c>
      <c r="AU60" s="80" t="str">
        <f>IF(AND($F60&lt;&gt;"", $F60&gt;=AU$5-4, $F60&lt;=AU$5, COUNTIF($M60:AT60,"u")=0), "u", "")</f>
        <v/>
      </c>
      <c r="AV60" s="80" t="str">
        <f>IF(AND($F60&lt;&gt;"", $F60&gt;=AV$5-4, $F60&lt;=AV$5, COUNTIF($M60:AU60,"u")=0), "u", "")</f>
        <v/>
      </c>
      <c r="AW60" s="80" t="str">
        <f>IF(AND($F60&lt;&gt;"", $F60&gt;=AW$5-4, $F60&lt;=AW$5, COUNTIF($M60:AV60,"u")=0), "u", "")</f>
        <v/>
      </c>
      <c r="AX60" s="80" t="str">
        <f>IF(AND($F60&lt;&gt;"", $F60&gt;=AX$5-4, $F60&lt;=AX$5, COUNTIF($M60:AW60,"u")=0), "u", "")</f>
        <v/>
      </c>
      <c r="AY60" s="80" t="str">
        <f>IF(AND($F60&lt;&gt;"", $F60&gt;=AY$5-4, $F60&lt;=AY$5, COUNTIF($M60:AX60,"u")=0), "u", "")</f>
        <v/>
      </c>
      <c r="AZ60" s="80" t="str">
        <f>IF(AND($F60&lt;&gt;"", $F60&gt;=AZ$5-4, $F60&lt;=AZ$5, COUNTIF($M60:AY60,"u")=0), "u", "")</f>
        <v/>
      </c>
      <c r="BA60" s="80" t="str">
        <f>IF(AND($F60&lt;&gt;"", $F60&gt;=BA$5-4, $F60&lt;=BA$5, COUNTIF($M60:AZ60,"u")=0), "u", "")</f>
        <v/>
      </c>
      <c r="BB60" s="80" t="str">
        <f>IF(AND($F60&lt;&gt;"", $F60&gt;=BB$5-4, $F60&lt;=BB$5, COUNTIF($M60:BA60,"u")=0), "u", "")</f>
        <v/>
      </c>
      <c r="BC60" s="80" t="str">
        <f>IF(AND($F60&lt;&gt;"", $F60&gt;=BC$5-4, $F60&lt;=BC$5, COUNTIF($M60:BB60,"u")=0), "u", "")</f>
        <v/>
      </c>
      <c r="BD60" s="80" t="str">
        <f>IF(AND($F60&lt;&gt;"", $F60&gt;=BD$5-4, $F60&lt;=BD$5, COUNTIF($M60:BC60,"u")=0), "u", "")</f>
        <v/>
      </c>
      <c r="BE60" s="80" t="str">
        <f>IF(AND($F60&lt;&gt;"", $F60&gt;=BE$5-4, $F60&lt;=BE$5, COUNTIF($M60:BD60,"u")=0), "u", "")</f>
        <v/>
      </c>
      <c r="BF60" s="80" t="str">
        <f>IF(AND($F60&lt;&gt;"", $F60&gt;=BF$5-4, $F60&lt;=BF$5, COUNTIF($M60:BE60,"u")=0), "u", "")</f>
        <v/>
      </c>
      <c r="BG60" s="80" t="str">
        <f>IF(AND($F60&lt;&gt;"", $F60&gt;=BG$5-4, $F60&lt;=BG$5, COUNTIF($M60:BF60,"u")=0), "u", "")</f>
        <v/>
      </c>
      <c r="BH60" s="80" t="str">
        <f>IF(AND($F60&lt;&gt;"", $F60&gt;=BH$5-4, $F60&lt;=BH$5, COUNTIF($M60:BG60,"u")=0), "u", "")</f>
        <v/>
      </c>
      <c r="BI60" s="80" t="str">
        <f>IF(AND($F60&lt;&gt;"", $F60&gt;=BI$5-4, $F60&lt;=BI$5, COUNTIF($M60:BH60,"u")=0), "u", "")</f>
        <v/>
      </c>
      <c r="BJ60" s="80" t="str">
        <f>IF(AND($F60&lt;&gt;"", $F60&gt;=BJ$5-4, $F60&lt;=BJ$5, COUNTIF($M60:BI60,"u")=0), "u", "")</f>
        <v/>
      </c>
      <c r="BK60" s="80" t="str">
        <f>IF(AND($F60&lt;&gt;"", $F60&gt;=BK$5-4, $F60&lt;=BK$5, COUNTIF($M60:BJ60,"u")=0), "u", "")</f>
        <v/>
      </c>
      <c r="BL60" s="80" t="str">
        <f>IF(AND($F60&lt;&gt;"", $F60&gt;=BL$5-4, $F60&lt;=BL$5, COUNTIF($M60:BK60,"u")=0), "u", "")</f>
        <v/>
      </c>
      <c r="BM60" s="80" t="str">
        <f>IF(AND($F60&lt;&gt;"", $F60&gt;=BM$5-4, $F60&lt;=BM$5, COUNTIF($M60:BL60,"u")=0), "u", "")</f>
        <v/>
      </c>
      <c r="BN60" s="80" t="str">
        <f>IF(AND($F60&lt;&gt;"", $F60&gt;=BN$5-4, $F60&lt;=BN$5, COUNTIF($M60:BM60,"u")=0), "u", "")</f>
        <v/>
      </c>
      <c r="BO60" s="80" t="str">
        <f>IF(AND($F60&lt;&gt;"", $F60&gt;=BO$5-4, $F60&lt;=BO$5, COUNTIF($M60:BN60,"u")=0), "u", "")</f>
        <v/>
      </c>
      <c r="BP60" s="80" t="str">
        <f>IF(AND($F60&lt;&gt;"", $F60&gt;=BP$5-4, $F60&lt;=BP$5, COUNTIF($M60:BO60,"u")=0), "u", "")</f>
        <v/>
      </c>
      <c r="BQ60" s="80" t="str">
        <f>IF(AND($F60&lt;&gt;"", $F60&gt;=BQ$5-4, $F60&lt;=BQ$5, COUNTIF($M60:BP60,"u")=0), "u", "")</f>
        <v/>
      </c>
      <c r="BR60" s="80" t="str">
        <f>IF(AND($F60&lt;&gt;"", $F60&gt;=BR$5-4, $F60&lt;=BR$5, COUNTIF($M60:BQ60,"u")=0), "u", "")</f>
        <v/>
      </c>
      <c r="BS60" s="80" t="str">
        <f>IF(AND($F60&lt;&gt;"", $F60&gt;=BS$5-4, $F60&lt;=BS$5, COUNTIF($M60:BR60,"u")=0), "u", "")</f>
        <v/>
      </c>
      <c r="BT60" s="80" t="str">
        <f>IF(AND($F60&lt;&gt;"", $F60&gt;=BT$5-4, $F60&lt;=BT$5, COUNTIF($M60:BS60,"u")=0), "u", "")</f>
        <v/>
      </c>
      <c r="BU60" s="80" t="str">
        <f>IF(AND($F60&lt;&gt;"", $F60&gt;=BU$5-4, $F60&lt;=BU$5, COUNTIF($M60:BT60,"u")=0), "u", "")</f>
        <v/>
      </c>
      <c r="BV60" s="80" t="str">
        <f>IF(AND($F60&lt;&gt;"", $F60&gt;=BV$5-4, $F60&lt;=BV$5, COUNTIF($M60:BU60,"u")=0), "u", "")</f>
        <v/>
      </c>
      <c r="BW60" s="80" t="str">
        <f>IF(AND($F60&lt;&gt;"", $F60&gt;=BW$5-4, $F60&lt;=BW$5, COUNTIF($M60:BV60,"u")=0), "u", "")</f>
        <v/>
      </c>
      <c r="BX60" s="80" t="str">
        <f>IF(AND($F60&lt;&gt;"", $F60&gt;=BX$5-4, $F60&lt;=BX$5, COUNTIF($M60:BW60,"u")=0), "u", "")</f>
        <v/>
      </c>
      <c r="BY60" s="80" t="str">
        <f>IF(AND($F60&lt;&gt;"", $F60&gt;=BY$5-4, $F60&lt;=BY$5, COUNTIF($M60:BX60,"u")=0), "u", "")</f>
        <v/>
      </c>
      <c r="BZ60" s="80" t="str">
        <f>IF(AND($F60&lt;&gt;"", $F60&gt;=BZ$5-4, $F60&lt;=BZ$5, COUNTIF($M60:BY60,"u")=0), "u", "")</f>
        <v/>
      </c>
      <c r="CA60" s="80" t="str">
        <f>IF(AND($F60&lt;&gt;"", $F60&gt;=CA$5-4, $F60&lt;=CA$5, COUNTIF($M60:BZ60,"u")=0), "u", "")</f>
        <v/>
      </c>
      <c r="CB60" s="80" t="str">
        <f>IF(AND($F60&lt;&gt;"", $F60&gt;=CB$5-4, $F60&lt;=CB$5, COUNTIF($M60:CA60,"u")=0), "u", "")</f>
        <v/>
      </c>
      <c r="CC60" s="80" t="str">
        <f>IF(AND($F60&lt;&gt;"", $F60&gt;=CC$5-4, $F60&lt;=CC$5, COUNTIF($M60:CB60,"u")=0), "u", "")</f>
        <v/>
      </c>
      <c r="CD60" s="80" t="str">
        <f>IF(AND($F60&lt;&gt;"", $F60&gt;=CD$5-4, $F60&lt;=CD$5, COUNTIF($M60:CC60,"u")=0), "u", "")</f>
        <v/>
      </c>
      <c r="CE60" s="80" t="str">
        <f>IF(AND($F60&lt;&gt;"", $F60&gt;=CE$5-4, $F60&lt;=CE$5, COUNTIF($M60:CD60,"u")=0), "u", "")</f>
        <v/>
      </c>
      <c r="CF60" s="80" t="str">
        <f>IF(AND($F60&lt;&gt;"", $F60&gt;=CF$5-4, $F60&lt;=CF$5, COUNTIF($M60:CE60,"u")=0), "u", "")</f>
        <v/>
      </c>
      <c r="CG60" s="80" t="str">
        <f>IF(AND($F60&lt;&gt;"", $F60&gt;=CG$5-4, $F60&lt;=CG$5, COUNTIF($M60:CF60,"u")=0), "u", "")</f>
        <v/>
      </c>
      <c r="CH60" s="80" t="str">
        <f>IF(AND($F60&lt;&gt;"", $F60&gt;=CH$5-4, $F60&lt;=CH$5, COUNTIF($M60:CG60,"u")=0), "u", "")</f>
        <v/>
      </c>
      <c r="CI60" s="80" t="str">
        <f>IF(AND($F60&lt;&gt;"", $F60&gt;=CI$5-4, $F60&lt;=CI$5, COUNTIF($M60:CH60,"u")=0), "u", "")</f>
        <v/>
      </c>
      <c r="CJ60" s="80" t="str">
        <f>IF(AND($F60&lt;&gt;"", $F60&gt;=CJ$5-4, $F60&lt;=CJ$5, COUNTIF($M60:CI60,"u")=0), "u", "")</f>
        <v/>
      </c>
      <c r="CK60" s="80" t="str">
        <f>IF(AND($F60&lt;&gt;"", $F60&gt;=CK$5-4, $F60&lt;=CK$5, COUNTIF($M60:CJ60,"u")=0), "u", "")</f>
        <v/>
      </c>
      <c r="CL60" s="80" t="str">
        <f>IF(AND($F60&lt;&gt;"", $F60&gt;=CL$5-4, $F60&lt;=CL$5, COUNTIF($M60:CK60,"u")=0), "u", "")</f>
        <v/>
      </c>
      <c r="CM60" s="80" t="str">
        <f>IF(AND($F60&lt;&gt;"", $F60&gt;=CM$5-4, $F60&lt;=CM$5, COUNTIF($M60:CL60,"u")=0), "u", "")</f>
        <v/>
      </c>
      <c r="CN60" s="80" t="str">
        <f>IF(AND($F60&lt;&gt;"", $F60&gt;=CN$5-4, $F60&lt;=CN$5, COUNTIF($M60:CM60,"u")=0), "u", "")</f>
        <v/>
      </c>
      <c r="CO60" s="80" t="str">
        <f>IF(AND($F60&lt;&gt;"", $F60&gt;=CO$5-4, $F60&lt;=CO$5, COUNTIF($M60:CN60,"u")=0), "u", "")</f>
        <v/>
      </c>
      <c r="CP60" s="80" t="str">
        <f>IF(AND($F60&lt;&gt;"", $F60&gt;=CP$5-4, $F60&lt;=CP$5, COUNTIF($M60:CO60,"u")=0), "u", "")</f>
        <v/>
      </c>
      <c r="CQ60" s="80" t="str">
        <f>IF(AND($F60&lt;&gt;"", $F60&gt;=CQ$5-4, $F60&lt;=CQ$5, COUNTIF($M60:CP60,"u")=0), "u", "")</f>
        <v/>
      </c>
      <c r="CR60" s="80" t="str">
        <f>IF(AND($F60&lt;&gt;"", $F60&gt;=CR$5-4, $F60&lt;=CR$5, COUNTIF($M60:CQ60,"u")=0), "u", "")</f>
        <v/>
      </c>
      <c r="CS60" s="80" t="str">
        <f>IF(AND($F60&lt;&gt;"", $F60&gt;=CS$5-4, $F60&lt;=CS$5, COUNTIF($M60:CR60,"u")=0), "u", "")</f>
        <v/>
      </c>
      <c r="CT60" s="80" t="str">
        <f>IF(AND($F60&lt;&gt;"", $F60&gt;=CT$5-4, $F60&lt;=CT$5, COUNTIF($M60:CS60,"u")=0), "u", "")</f>
        <v/>
      </c>
      <c r="CU60" s="80" t="str">
        <f>IF(AND($F60&lt;&gt;"", $F60&gt;=CU$5-4, $F60&lt;=CU$5, COUNTIF($M60:CT60,"u")=0), "u", "")</f>
        <v/>
      </c>
      <c r="CV60" s="80" t="str">
        <f>IF(AND($F60&lt;&gt;"", $F60&gt;=CV$5-4, $F60&lt;=CV$5, COUNTIF($M60:CU60,"u")=0), "u", "")</f>
        <v/>
      </c>
      <c r="CW60" s="80" t="str">
        <f>IF(AND($F60&lt;&gt;"", $F60&gt;=CW$5-4, $F60&lt;=CW$5, COUNTIF($M60:CV60,"u")=0), "u", "")</f>
        <v/>
      </c>
      <c r="CX60" s="80" t="str">
        <f>IF(AND($F60&lt;&gt;"", $F60&gt;=CX$5-4, $F60&lt;=CX$5, COUNTIF($M60:CW60,"u")=0), "u", "")</f>
        <v/>
      </c>
      <c r="CY60" s="80" t="str">
        <f>IF(AND($F60&lt;&gt;"", $F60&gt;=CY$5-4, $F60&lt;=CY$5, COUNTIF($M60:CX60,"u")=0), "u", "")</f>
        <v/>
      </c>
      <c r="CZ60" s="80" t="str">
        <f>IF(AND($F60&lt;&gt;"", $F60&gt;=CZ$5-4, $F60&lt;=CZ$5, COUNTIF($M60:CY60,"u")=0), "u", "")</f>
        <v/>
      </c>
      <c r="DA60" s="80" t="str">
        <f>IF(AND($F60&lt;&gt;"", $F60&gt;=DA$5-4, $F60&lt;=DA$5, COUNTIF($M60:CZ60,"u")=0), "u", "")</f>
        <v/>
      </c>
      <c r="DB60" s="80" t="str">
        <f>IF(AND($F60&lt;&gt;"", $F60&gt;=DB$5-4, $F60&lt;=DB$5, COUNTIF($M60:DA60,"u")=0), "u", "")</f>
        <v/>
      </c>
      <c r="DC60" s="80" t="str">
        <f>IF(AND($F60&lt;&gt;"", $F60&gt;=DC$5-4, $F60&lt;=DC$5, COUNTIF($M60:DB60,"u")=0), "u", "")</f>
        <v/>
      </c>
      <c r="DD60" s="80" t="str">
        <f>IF(AND($F60&lt;&gt;"", $F60&gt;=DD$5-4, $F60&lt;=DD$5, COUNTIF($M60:DC60,"u")=0), "u", "")</f>
        <v/>
      </c>
      <c r="DE60" s="80" t="str">
        <f>IF(AND($F60&lt;&gt;"", $F60&gt;=DE$5-4, $F60&lt;=DE$5, COUNTIF($M60:DD60,"u")=0), "u", "")</f>
        <v/>
      </c>
      <c r="DF60" s="80" t="str">
        <f>IF(AND($F60&lt;&gt;"", $F60&gt;=DF$5-4, $F60&lt;=DF$5, COUNTIF($M60:DE60,"u")=0), "u", "")</f>
        <v/>
      </c>
      <c r="DG60" s="80" t="str">
        <f>IF(AND($F60&lt;&gt;"", $F60&gt;=DG$5-4, $F60&lt;=DG$5, COUNTIF($M60:DF60,"u")=0), "u", "")</f>
        <v/>
      </c>
      <c r="DH60" s="80" t="str">
        <f>IF(AND($F60&lt;&gt;"", $F60&gt;=DH$5-4, $F60&lt;=DH$5, COUNTIF($M60:DG60,"u")=0), "u", "")</f>
        <v/>
      </c>
      <c r="DI60" s="80" t="str">
        <f>IF(AND($F60&lt;&gt;"", $F60&gt;=DI$5-4, $F60&lt;=DI$5, COUNTIF($M60:DH60,"u")=0), "u", "")</f>
        <v/>
      </c>
      <c r="DJ60" s="80" t="str">
        <f>IF(AND($F60&lt;&gt;"", $F60&gt;=DJ$5-4, $F60&lt;=DJ$5, COUNTIF($M60:DI60,"u")=0), "u", "")</f>
        <v/>
      </c>
      <c r="DK60" s="80" t="str">
        <f>IF(AND($F60&lt;&gt;"", $F60&gt;=DK$5-4, $F60&lt;=DK$5, COUNTIF($M60:DJ60,"u")=0), "u", "")</f>
        <v/>
      </c>
      <c r="DL60" s="80" t="str">
        <f>IF(AND($F60&lt;&gt;"", $F60&gt;=DL$5-4, $F60&lt;=DL$5, COUNTIF($M60:DK60,"u")=0), "u", "")</f>
        <v/>
      </c>
    </row>
    <row r="61" spans="1:116" ht="25.05" customHeight="1" x14ac:dyDescent="0.3">
      <c r="A61" s="39"/>
      <c r="B61" s="75">
        <v>56</v>
      </c>
      <c r="C61" s="97"/>
      <c r="D61" s="92"/>
      <c r="E61" s="53"/>
      <c r="F61" s="53"/>
      <c r="G61" s="83" t="str">
        <f t="shared" si="47"/>
        <v/>
      </c>
      <c r="H61" s="83" t="str">
        <f t="shared" si="47"/>
        <v/>
      </c>
      <c r="I61" s="77" t="str">
        <f t="shared" si="45"/>
        <v/>
      </c>
      <c r="J61" s="78"/>
      <c r="K61" s="86"/>
      <c r="L61" s="56"/>
      <c r="M61" s="80" t="str">
        <f t="shared" si="46"/>
        <v/>
      </c>
      <c r="N61" s="80" t="str">
        <f>IF(AND($F61&lt;&gt;"", $F61&gt;=N$5-4, $F61&lt;=N$5, COUNTIF($M61:M61,"u")=0), "u", "")</f>
        <v/>
      </c>
      <c r="O61" s="80" t="str">
        <f>IF(AND($F61&lt;&gt;"", $F61&gt;=O$5-4, $F61&lt;=O$5, COUNTIF($M61:N61,"u")=0), "u", "")</f>
        <v/>
      </c>
      <c r="P61" s="80" t="str">
        <f>IF(AND($F61&lt;&gt;"", $F61&gt;=P$5-4, $F61&lt;=P$5, COUNTIF($M61:O61,"u")=0), "u", "")</f>
        <v/>
      </c>
      <c r="Q61" s="80" t="str">
        <f>IF(AND($F61&lt;&gt;"", $F61&gt;=Q$5-4, $F61&lt;=Q$5, COUNTIF($M61:P61,"u")=0), "u", "")</f>
        <v/>
      </c>
      <c r="R61" s="80" t="str">
        <f>IF(AND($F61&lt;&gt;"", $F61&gt;=R$5-4, $F61&lt;=R$5, COUNTIF($M61:Q61,"u")=0), "u", "")</f>
        <v/>
      </c>
      <c r="S61" s="80" t="str">
        <f>IF(AND($F61&lt;&gt;"", $F61&gt;=S$5-4, $F61&lt;=S$5, COUNTIF($M61:R61,"u")=0), "u", "")</f>
        <v/>
      </c>
      <c r="T61" s="80" t="str">
        <f>IF(AND($F61&lt;&gt;"", $F61&gt;=T$5-4, $F61&lt;=T$5, COUNTIF($M61:S61,"u")=0), "u", "")</f>
        <v/>
      </c>
      <c r="U61" s="80" t="str">
        <f>IF(AND($F61&lt;&gt;"", $F61&gt;=U$5-4, $F61&lt;=U$5, COUNTIF($M61:T61,"u")=0), "u", "")</f>
        <v/>
      </c>
      <c r="V61" s="80" t="str">
        <f>IF(AND($F61&lt;&gt;"", $F61&gt;=V$5-4, $F61&lt;=V$5, COUNTIF($M61:U61,"u")=0), "u", "")</f>
        <v/>
      </c>
      <c r="W61" s="80" t="str">
        <f>IF(AND($F61&lt;&gt;"", $F61&gt;=W$5-4, $F61&lt;=W$5, COUNTIF($M61:V61,"u")=0), "u", "")</f>
        <v/>
      </c>
      <c r="X61" s="80" t="str">
        <f>IF(AND($F61&lt;&gt;"", $F61&gt;=X$5-4, $F61&lt;=X$5, COUNTIF($M61:W61,"u")=0), "u", "")</f>
        <v/>
      </c>
      <c r="Y61" s="80" t="str">
        <f>IF(AND($F61&lt;&gt;"", $F61&gt;=Y$5-4, $F61&lt;=Y$5, COUNTIF($M61:X61,"u")=0), "u", "")</f>
        <v/>
      </c>
      <c r="Z61" s="80" t="str">
        <f>IF(AND($F61&lt;&gt;"", $F61&gt;=Z$5-4, $F61&lt;=Z$5, COUNTIF($M61:Y61,"u")=0), "u", "")</f>
        <v/>
      </c>
      <c r="AA61" s="80" t="str">
        <f>IF(AND($F61&lt;&gt;"", $F61&gt;=AA$5-4, $F61&lt;=AA$5, COUNTIF($M61:Z61,"u")=0), "u", "")</f>
        <v/>
      </c>
      <c r="AB61" s="80" t="str">
        <f>IF(AND($F61&lt;&gt;"", $F61&gt;=AB$5-4, $F61&lt;=AB$5, COUNTIF($M61:AA61,"u")=0), "u", "")</f>
        <v/>
      </c>
      <c r="AC61" s="80" t="str">
        <f>IF(AND($F61&lt;&gt;"", $F61&gt;=AC$5-4, $F61&lt;=AC$5, COUNTIF($M61:AB61,"u")=0), "u", "")</f>
        <v/>
      </c>
      <c r="AD61" s="80" t="str">
        <f>IF(AND($F61&lt;&gt;"", $F61&gt;=AD$5-4, $F61&lt;=AD$5, COUNTIF($M61:AC61,"u")=0), "u", "")</f>
        <v/>
      </c>
      <c r="AE61" s="80" t="str">
        <f>IF(AND($F61&lt;&gt;"", $F61&gt;=AE$5-4, $F61&lt;=AE$5, COUNTIF($M61:AD61,"u")=0), "u", "")</f>
        <v/>
      </c>
      <c r="AF61" s="80" t="str">
        <f>IF(AND($F61&lt;&gt;"", $F61&gt;=AF$5-4, $F61&lt;=AF$5, COUNTIF($M61:AE61,"u")=0), "u", "")</f>
        <v/>
      </c>
      <c r="AG61" s="80" t="str">
        <f>IF(AND($F61&lt;&gt;"", $F61&gt;=AG$5-4, $F61&lt;=AG$5, COUNTIF($M61:AF61,"u")=0), "u", "")</f>
        <v/>
      </c>
      <c r="AH61" s="80" t="str">
        <f>IF(AND($F61&lt;&gt;"", $F61&gt;=AH$5-4, $F61&lt;=AH$5, COUNTIF($M61:AG61,"u")=0), "u", "")</f>
        <v/>
      </c>
      <c r="AI61" s="80" t="str">
        <f>IF(AND($F61&lt;&gt;"", $F61&gt;=AI$5-4, $F61&lt;=AI$5, COUNTIF($M61:AH61,"u")=0), "u", "")</f>
        <v/>
      </c>
      <c r="AJ61" s="80" t="str">
        <f>IF(AND($F61&lt;&gt;"", $F61&gt;=AJ$5-4, $F61&lt;=AJ$5, COUNTIF($M61:AI61,"u")=0), "u", "")</f>
        <v/>
      </c>
      <c r="AK61" s="80" t="str">
        <f>IF(AND($F61&lt;&gt;"", $F61&gt;=AK$5-4, $F61&lt;=AK$5, COUNTIF($M61:AJ61,"u")=0), "u", "")</f>
        <v/>
      </c>
      <c r="AL61" s="80" t="str">
        <f>IF(AND($F61&lt;&gt;"", $F61&gt;=AL$5-4, $F61&lt;=AL$5, COUNTIF($M61:AK61,"u")=0), "u", "")</f>
        <v/>
      </c>
      <c r="AM61" s="80" t="str">
        <f>IF(AND($F61&lt;&gt;"", $F61&gt;=AM$5-4, $F61&lt;=AM$5, COUNTIF($M61:AL61,"u")=0), "u", "")</f>
        <v/>
      </c>
      <c r="AN61" s="80" t="str">
        <f>IF(AND($F61&lt;&gt;"", $F61&gt;=AN$5-4, $F61&lt;=AN$5, COUNTIF($M61:AM61,"u")=0), "u", "")</f>
        <v/>
      </c>
      <c r="AO61" s="80" t="str">
        <f>IF(AND($F61&lt;&gt;"", $F61&gt;=AO$5-4, $F61&lt;=AO$5, COUNTIF($M61:AN61,"u")=0), "u", "")</f>
        <v/>
      </c>
      <c r="AP61" s="80" t="str">
        <f>IF(AND($F61&lt;&gt;"", $F61&gt;=AP$5-4, $F61&lt;=AP$5, COUNTIF($M61:AO61,"u")=0), "u", "")</f>
        <v/>
      </c>
      <c r="AQ61" s="80" t="str">
        <f>IF(AND($F61&lt;&gt;"", $F61&gt;=AQ$5-4, $F61&lt;=AQ$5, COUNTIF($M61:AP61,"u")=0), "u", "")</f>
        <v/>
      </c>
      <c r="AR61" s="80" t="str">
        <f>IF(AND($F61&lt;&gt;"", $F61&gt;=AR$5-4, $F61&lt;=AR$5, COUNTIF($M61:AQ61,"u")=0), "u", "")</f>
        <v/>
      </c>
      <c r="AS61" s="80" t="str">
        <f>IF(AND($F61&lt;&gt;"", $F61&gt;=AS$5-4, $F61&lt;=AS$5, COUNTIF($M61:AR61,"u")=0), "u", "")</f>
        <v/>
      </c>
      <c r="AT61" s="80" t="str">
        <f>IF(AND($F61&lt;&gt;"", $F61&gt;=AT$5-4, $F61&lt;=AT$5, COUNTIF($M61:AS61,"u")=0), "u", "")</f>
        <v/>
      </c>
      <c r="AU61" s="80" t="str">
        <f>IF(AND($F61&lt;&gt;"", $F61&gt;=AU$5-4, $F61&lt;=AU$5, COUNTIF($M61:AT61,"u")=0), "u", "")</f>
        <v/>
      </c>
      <c r="AV61" s="80" t="str">
        <f>IF(AND($F61&lt;&gt;"", $F61&gt;=AV$5-4, $F61&lt;=AV$5, COUNTIF($M61:AU61,"u")=0), "u", "")</f>
        <v/>
      </c>
      <c r="AW61" s="80" t="str">
        <f>IF(AND($F61&lt;&gt;"", $F61&gt;=AW$5-4, $F61&lt;=AW$5, COUNTIF($M61:AV61,"u")=0), "u", "")</f>
        <v/>
      </c>
      <c r="AX61" s="80" t="str">
        <f>IF(AND($F61&lt;&gt;"", $F61&gt;=AX$5-4, $F61&lt;=AX$5, COUNTIF($M61:AW61,"u")=0), "u", "")</f>
        <v/>
      </c>
      <c r="AY61" s="80" t="str">
        <f>IF(AND($F61&lt;&gt;"", $F61&gt;=AY$5-4, $F61&lt;=AY$5, COUNTIF($M61:AX61,"u")=0), "u", "")</f>
        <v/>
      </c>
      <c r="AZ61" s="80" t="str">
        <f>IF(AND($F61&lt;&gt;"", $F61&gt;=AZ$5-4, $F61&lt;=AZ$5, COUNTIF($M61:AY61,"u")=0), "u", "")</f>
        <v/>
      </c>
      <c r="BA61" s="80" t="str">
        <f>IF(AND($F61&lt;&gt;"", $F61&gt;=BA$5-4, $F61&lt;=BA$5, COUNTIF($M61:AZ61,"u")=0), "u", "")</f>
        <v/>
      </c>
      <c r="BB61" s="80" t="str">
        <f>IF(AND($F61&lt;&gt;"", $F61&gt;=BB$5-4, $F61&lt;=BB$5, COUNTIF($M61:BA61,"u")=0), "u", "")</f>
        <v/>
      </c>
      <c r="BC61" s="80" t="str">
        <f>IF(AND($F61&lt;&gt;"", $F61&gt;=BC$5-4, $F61&lt;=BC$5, COUNTIF($M61:BB61,"u")=0), "u", "")</f>
        <v/>
      </c>
      <c r="BD61" s="80" t="str">
        <f>IF(AND($F61&lt;&gt;"", $F61&gt;=BD$5-4, $F61&lt;=BD$5, COUNTIF($M61:BC61,"u")=0), "u", "")</f>
        <v/>
      </c>
      <c r="BE61" s="80" t="str">
        <f>IF(AND($F61&lt;&gt;"", $F61&gt;=BE$5-4, $F61&lt;=BE$5, COUNTIF($M61:BD61,"u")=0), "u", "")</f>
        <v/>
      </c>
      <c r="BF61" s="80" t="str">
        <f>IF(AND($F61&lt;&gt;"", $F61&gt;=BF$5-4, $F61&lt;=BF$5, COUNTIF($M61:BE61,"u")=0), "u", "")</f>
        <v/>
      </c>
      <c r="BG61" s="80" t="str">
        <f>IF(AND($F61&lt;&gt;"", $F61&gt;=BG$5-4, $F61&lt;=BG$5, COUNTIF($M61:BF61,"u")=0), "u", "")</f>
        <v/>
      </c>
      <c r="BH61" s="80" t="str">
        <f>IF(AND($F61&lt;&gt;"", $F61&gt;=BH$5-4, $F61&lt;=BH$5, COUNTIF($M61:BG61,"u")=0), "u", "")</f>
        <v/>
      </c>
      <c r="BI61" s="80" t="str">
        <f>IF(AND($F61&lt;&gt;"", $F61&gt;=BI$5-4, $F61&lt;=BI$5, COUNTIF($M61:BH61,"u")=0), "u", "")</f>
        <v/>
      </c>
      <c r="BJ61" s="80" t="str">
        <f>IF(AND($F61&lt;&gt;"", $F61&gt;=BJ$5-4, $F61&lt;=BJ$5, COUNTIF($M61:BI61,"u")=0), "u", "")</f>
        <v/>
      </c>
      <c r="BK61" s="80" t="str">
        <f>IF(AND($F61&lt;&gt;"", $F61&gt;=BK$5-4, $F61&lt;=BK$5, COUNTIF($M61:BJ61,"u")=0), "u", "")</f>
        <v/>
      </c>
      <c r="BL61" s="80" t="str">
        <f>IF(AND($F61&lt;&gt;"", $F61&gt;=BL$5-4, $F61&lt;=BL$5, COUNTIF($M61:BK61,"u")=0), "u", "")</f>
        <v/>
      </c>
      <c r="BM61" s="80" t="str">
        <f>IF(AND($F61&lt;&gt;"", $F61&gt;=BM$5-4, $F61&lt;=BM$5, COUNTIF($M61:BL61,"u")=0), "u", "")</f>
        <v/>
      </c>
      <c r="BN61" s="80" t="str">
        <f>IF(AND($F61&lt;&gt;"", $F61&gt;=BN$5-4, $F61&lt;=BN$5, COUNTIF($M61:BM61,"u")=0), "u", "")</f>
        <v/>
      </c>
      <c r="BO61" s="80" t="str">
        <f>IF(AND($F61&lt;&gt;"", $F61&gt;=BO$5-4, $F61&lt;=BO$5, COUNTIF($M61:BN61,"u")=0), "u", "")</f>
        <v/>
      </c>
      <c r="BP61" s="80" t="str">
        <f>IF(AND($F61&lt;&gt;"", $F61&gt;=BP$5-4, $F61&lt;=BP$5, COUNTIF($M61:BO61,"u")=0), "u", "")</f>
        <v/>
      </c>
      <c r="BQ61" s="80" t="str">
        <f>IF(AND($F61&lt;&gt;"", $F61&gt;=BQ$5-4, $F61&lt;=BQ$5, COUNTIF($M61:BP61,"u")=0), "u", "")</f>
        <v/>
      </c>
      <c r="BR61" s="80" t="str">
        <f>IF(AND($F61&lt;&gt;"", $F61&gt;=BR$5-4, $F61&lt;=BR$5, COUNTIF($M61:BQ61,"u")=0), "u", "")</f>
        <v/>
      </c>
      <c r="BS61" s="80" t="str">
        <f>IF(AND($F61&lt;&gt;"", $F61&gt;=BS$5-4, $F61&lt;=BS$5, COUNTIF($M61:BR61,"u")=0), "u", "")</f>
        <v/>
      </c>
      <c r="BT61" s="80" t="str">
        <f>IF(AND($F61&lt;&gt;"", $F61&gt;=BT$5-4, $F61&lt;=BT$5, COUNTIF($M61:BS61,"u")=0), "u", "")</f>
        <v/>
      </c>
      <c r="BU61" s="80" t="str">
        <f>IF(AND($F61&lt;&gt;"", $F61&gt;=BU$5-4, $F61&lt;=BU$5, COUNTIF($M61:BT61,"u")=0), "u", "")</f>
        <v/>
      </c>
      <c r="BV61" s="80" t="str">
        <f>IF(AND($F61&lt;&gt;"", $F61&gt;=BV$5-4, $F61&lt;=BV$5, COUNTIF($M61:BU61,"u")=0), "u", "")</f>
        <v/>
      </c>
      <c r="BW61" s="80" t="str">
        <f>IF(AND($F61&lt;&gt;"", $F61&gt;=BW$5-4, $F61&lt;=BW$5, COUNTIF($M61:BV61,"u")=0), "u", "")</f>
        <v/>
      </c>
      <c r="BX61" s="80" t="str">
        <f>IF(AND($F61&lt;&gt;"", $F61&gt;=BX$5-4, $F61&lt;=BX$5, COUNTIF($M61:BW61,"u")=0), "u", "")</f>
        <v/>
      </c>
      <c r="BY61" s="80" t="str">
        <f>IF(AND($F61&lt;&gt;"", $F61&gt;=BY$5-4, $F61&lt;=BY$5, COUNTIF($M61:BX61,"u")=0), "u", "")</f>
        <v/>
      </c>
      <c r="BZ61" s="80" t="str">
        <f>IF(AND($F61&lt;&gt;"", $F61&gt;=BZ$5-4, $F61&lt;=BZ$5, COUNTIF($M61:BY61,"u")=0), "u", "")</f>
        <v/>
      </c>
      <c r="CA61" s="80" t="str">
        <f>IF(AND($F61&lt;&gt;"", $F61&gt;=CA$5-4, $F61&lt;=CA$5, COUNTIF($M61:BZ61,"u")=0), "u", "")</f>
        <v/>
      </c>
      <c r="CB61" s="80" t="str">
        <f>IF(AND($F61&lt;&gt;"", $F61&gt;=CB$5-4, $F61&lt;=CB$5, COUNTIF($M61:CA61,"u")=0), "u", "")</f>
        <v/>
      </c>
      <c r="CC61" s="80" t="str">
        <f>IF(AND($F61&lt;&gt;"", $F61&gt;=CC$5-4, $F61&lt;=CC$5, COUNTIF($M61:CB61,"u")=0), "u", "")</f>
        <v/>
      </c>
      <c r="CD61" s="80" t="str">
        <f>IF(AND($F61&lt;&gt;"", $F61&gt;=CD$5-4, $F61&lt;=CD$5, COUNTIF($M61:CC61,"u")=0), "u", "")</f>
        <v/>
      </c>
      <c r="CE61" s="80" t="str">
        <f>IF(AND($F61&lt;&gt;"", $F61&gt;=CE$5-4, $F61&lt;=CE$5, COUNTIF($M61:CD61,"u")=0), "u", "")</f>
        <v/>
      </c>
      <c r="CF61" s="80" t="str">
        <f>IF(AND($F61&lt;&gt;"", $F61&gt;=CF$5-4, $F61&lt;=CF$5, COUNTIF($M61:CE61,"u")=0), "u", "")</f>
        <v/>
      </c>
      <c r="CG61" s="80" t="str">
        <f>IF(AND($F61&lt;&gt;"", $F61&gt;=CG$5-4, $F61&lt;=CG$5, COUNTIF($M61:CF61,"u")=0), "u", "")</f>
        <v/>
      </c>
      <c r="CH61" s="80" t="str">
        <f>IF(AND($F61&lt;&gt;"", $F61&gt;=CH$5-4, $F61&lt;=CH$5, COUNTIF($M61:CG61,"u")=0), "u", "")</f>
        <v/>
      </c>
      <c r="CI61" s="80" t="str">
        <f>IF(AND($F61&lt;&gt;"", $F61&gt;=CI$5-4, $F61&lt;=CI$5, COUNTIF($M61:CH61,"u")=0), "u", "")</f>
        <v/>
      </c>
      <c r="CJ61" s="80" t="str">
        <f>IF(AND($F61&lt;&gt;"", $F61&gt;=CJ$5-4, $F61&lt;=CJ$5, COUNTIF($M61:CI61,"u")=0), "u", "")</f>
        <v/>
      </c>
      <c r="CK61" s="80" t="str">
        <f>IF(AND($F61&lt;&gt;"", $F61&gt;=CK$5-4, $F61&lt;=CK$5, COUNTIF($M61:CJ61,"u")=0), "u", "")</f>
        <v/>
      </c>
      <c r="CL61" s="80" t="str">
        <f>IF(AND($F61&lt;&gt;"", $F61&gt;=CL$5-4, $F61&lt;=CL$5, COUNTIF($M61:CK61,"u")=0), "u", "")</f>
        <v/>
      </c>
      <c r="CM61" s="80" t="str">
        <f>IF(AND($F61&lt;&gt;"", $F61&gt;=CM$5-4, $F61&lt;=CM$5, COUNTIF($M61:CL61,"u")=0), "u", "")</f>
        <v/>
      </c>
      <c r="CN61" s="80" t="str">
        <f>IF(AND($F61&lt;&gt;"", $F61&gt;=CN$5-4, $F61&lt;=CN$5, COUNTIF($M61:CM61,"u")=0), "u", "")</f>
        <v/>
      </c>
      <c r="CO61" s="80" t="str">
        <f>IF(AND($F61&lt;&gt;"", $F61&gt;=CO$5-4, $F61&lt;=CO$5, COUNTIF($M61:CN61,"u")=0), "u", "")</f>
        <v/>
      </c>
      <c r="CP61" s="80" t="str">
        <f>IF(AND($F61&lt;&gt;"", $F61&gt;=CP$5-4, $F61&lt;=CP$5, COUNTIF($M61:CO61,"u")=0), "u", "")</f>
        <v/>
      </c>
      <c r="CQ61" s="80" t="str">
        <f>IF(AND($F61&lt;&gt;"", $F61&gt;=CQ$5-4, $F61&lt;=CQ$5, COUNTIF($M61:CP61,"u")=0), "u", "")</f>
        <v/>
      </c>
      <c r="CR61" s="80" t="str">
        <f>IF(AND($F61&lt;&gt;"", $F61&gt;=CR$5-4, $F61&lt;=CR$5, COUNTIF($M61:CQ61,"u")=0), "u", "")</f>
        <v/>
      </c>
      <c r="CS61" s="80" t="str">
        <f>IF(AND($F61&lt;&gt;"", $F61&gt;=CS$5-4, $F61&lt;=CS$5, COUNTIF($M61:CR61,"u")=0), "u", "")</f>
        <v/>
      </c>
      <c r="CT61" s="80" t="str">
        <f>IF(AND($F61&lt;&gt;"", $F61&gt;=CT$5-4, $F61&lt;=CT$5, COUNTIF($M61:CS61,"u")=0), "u", "")</f>
        <v/>
      </c>
      <c r="CU61" s="80" t="str">
        <f>IF(AND($F61&lt;&gt;"", $F61&gt;=CU$5-4, $F61&lt;=CU$5, COUNTIF($M61:CT61,"u")=0), "u", "")</f>
        <v/>
      </c>
      <c r="CV61" s="80" t="str">
        <f>IF(AND($F61&lt;&gt;"", $F61&gt;=CV$5-4, $F61&lt;=CV$5, COUNTIF($M61:CU61,"u")=0), "u", "")</f>
        <v/>
      </c>
      <c r="CW61" s="80" t="str">
        <f>IF(AND($F61&lt;&gt;"", $F61&gt;=CW$5-4, $F61&lt;=CW$5, COUNTIF($M61:CV61,"u")=0), "u", "")</f>
        <v/>
      </c>
      <c r="CX61" s="80" t="str">
        <f>IF(AND($F61&lt;&gt;"", $F61&gt;=CX$5-4, $F61&lt;=CX$5, COUNTIF($M61:CW61,"u")=0), "u", "")</f>
        <v/>
      </c>
      <c r="CY61" s="80" t="str">
        <f>IF(AND($F61&lt;&gt;"", $F61&gt;=CY$5-4, $F61&lt;=CY$5, COUNTIF($M61:CX61,"u")=0), "u", "")</f>
        <v/>
      </c>
      <c r="CZ61" s="80" t="str">
        <f>IF(AND($F61&lt;&gt;"", $F61&gt;=CZ$5-4, $F61&lt;=CZ$5, COUNTIF($M61:CY61,"u")=0), "u", "")</f>
        <v/>
      </c>
      <c r="DA61" s="80" t="str">
        <f>IF(AND($F61&lt;&gt;"", $F61&gt;=DA$5-4, $F61&lt;=DA$5, COUNTIF($M61:CZ61,"u")=0), "u", "")</f>
        <v/>
      </c>
      <c r="DB61" s="80" t="str">
        <f>IF(AND($F61&lt;&gt;"", $F61&gt;=DB$5-4, $F61&lt;=DB$5, COUNTIF($M61:DA61,"u")=0), "u", "")</f>
        <v/>
      </c>
      <c r="DC61" s="80" t="str">
        <f>IF(AND($F61&lt;&gt;"", $F61&gt;=DC$5-4, $F61&lt;=DC$5, COUNTIF($M61:DB61,"u")=0), "u", "")</f>
        <v/>
      </c>
      <c r="DD61" s="80" t="str">
        <f>IF(AND($F61&lt;&gt;"", $F61&gt;=DD$5-4, $F61&lt;=DD$5, COUNTIF($M61:DC61,"u")=0), "u", "")</f>
        <v/>
      </c>
      <c r="DE61" s="80" t="str">
        <f>IF(AND($F61&lt;&gt;"", $F61&gt;=DE$5-4, $F61&lt;=DE$5, COUNTIF($M61:DD61,"u")=0), "u", "")</f>
        <v/>
      </c>
      <c r="DF61" s="80" t="str">
        <f>IF(AND($F61&lt;&gt;"", $F61&gt;=DF$5-4, $F61&lt;=DF$5, COUNTIF($M61:DE61,"u")=0), "u", "")</f>
        <v/>
      </c>
      <c r="DG61" s="80" t="str">
        <f>IF(AND($F61&lt;&gt;"", $F61&gt;=DG$5-4, $F61&lt;=DG$5, COUNTIF($M61:DF61,"u")=0), "u", "")</f>
        <v/>
      </c>
      <c r="DH61" s="80" t="str">
        <f>IF(AND($F61&lt;&gt;"", $F61&gt;=DH$5-4, $F61&lt;=DH$5, COUNTIF($M61:DG61,"u")=0), "u", "")</f>
        <v/>
      </c>
      <c r="DI61" s="80" t="str">
        <f>IF(AND($F61&lt;&gt;"", $F61&gt;=DI$5-4, $F61&lt;=DI$5, COUNTIF($M61:DH61,"u")=0), "u", "")</f>
        <v/>
      </c>
      <c r="DJ61" s="80" t="str">
        <f>IF(AND($F61&lt;&gt;"", $F61&gt;=DJ$5-4, $F61&lt;=DJ$5, COUNTIF($M61:DI61,"u")=0), "u", "")</f>
        <v/>
      </c>
      <c r="DK61" s="80" t="str">
        <f>IF(AND($F61&lt;&gt;"", $F61&gt;=DK$5-4, $F61&lt;=DK$5, COUNTIF($M61:DJ61,"u")=0), "u", "")</f>
        <v/>
      </c>
      <c r="DL61" s="80" t="str">
        <f>IF(AND($F61&lt;&gt;"", $F61&gt;=DL$5-4, $F61&lt;=DL$5, COUNTIF($M61:DK61,"u")=0), "u", "")</f>
        <v/>
      </c>
    </row>
    <row r="62" spans="1:116" ht="25.05" customHeight="1" x14ac:dyDescent="0.3">
      <c r="A62" s="39"/>
      <c r="B62" s="75">
        <v>57</v>
      </c>
      <c r="C62" s="97"/>
      <c r="D62" s="92"/>
      <c r="E62" s="53"/>
      <c r="F62" s="53"/>
      <c r="G62" s="83" t="str">
        <f t="shared" si="47"/>
        <v/>
      </c>
      <c r="H62" s="83" t="str">
        <f t="shared" si="47"/>
        <v/>
      </c>
      <c r="I62" s="77" t="str">
        <f t="shared" si="45"/>
        <v/>
      </c>
      <c r="J62" s="78"/>
      <c r="K62" s="86"/>
      <c r="L62" s="56"/>
      <c r="M62" s="80" t="str">
        <f t="shared" si="46"/>
        <v/>
      </c>
      <c r="N62" s="80" t="str">
        <f>IF(AND($F62&lt;&gt;"", $F62&gt;=N$5-4, $F62&lt;=N$5, COUNTIF($M62:M62,"u")=0), "u", "")</f>
        <v/>
      </c>
      <c r="O62" s="80" t="str">
        <f>IF(AND($F62&lt;&gt;"", $F62&gt;=O$5-4, $F62&lt;=O$5, COUNTIF($M62:N62,"u")=0), "u", "")</f>
        <v/>
      </c>
      <c r="P62" s="80" t="str">
        <f>IF(AND($F62&lt;&gt;"", $F62&gt;=P$5-4, $F62&lt;=P$5, COUNTIF($M62:O62,"u")=0), "u", "")</f>
        <v/>
      </c>
      <c r="Q62" s="80" t="str">
        <f>IF(AND($F62&lt;&gt;"", $F62&gt;=Q$5-4, $F62&lt;=Q$5, COUNTIF($M62:P62,"u")=0), "u", "")</f>
        <v/>
      </c>
      <c r="R62" s="80" t="str">
        <f>IF(AND($F62&lt;&gt;"", $F62&gt;=R$5-4, $F62&lt;=R$5, COUNTIF($M62:Q62,"u")=0), "u", "")</f>
        <v/>
      </c>
      <c r="S62" s="80" t="str">
        <f>IF(AND($F62&lt;&gt;"", $F62&gt;=S$5-4, $F62&lt;=S$5, COUNTIF($M62:R62,"u")=0), "u", "")</f>
        <v/>
      </c>
      <c r="T62" s="80" t="str">
        <f>IF(AND($F62&lt;&gt;"", $F62&gt;=T$5-4, $F62&lt;=T$5, COUNTIF($M62:S62,"u")=0), "u", "")</f>
        <v/>
      </c>
      <c r="U62" s="80" t="str">
        <f>IF(AND($F62&lt;&gt;"", $F62&gt;=U$5-4, $F62&lt;=U$5, COUNTIF($M62:T62,"u")=0), "u", "")</f>
        <v/>
      </c>
      <c r="V62" s="80" t="str">
        <f>IF(AND($F62&lt;&gt;"", $F62&gt;=V$5-4, $F62&lt;=V$5, COUNTIF($M62:U62,"u")=0), "u", "")</f>
        <v/>
      </c>
      <c r="W62" s="80" t="str">
        <f>IF(AND($F62&lt;&gt;"", $F62&gt;=W$5-4, $F62&lt;=W$5, COUNTIF($M62:V62,"u")=0), "u", "")</f>
        <v/>
      </c>
      <c r="X62" s="80" t="str">
        <f>IF(AND($F62&lt;&gt;"", $F62&gt;=X$5-4, $F62&lt;=X$5, COUNTIF($M62:W62,"u")=0), "u", "")</f>
        <v/>
      </c>
      <c r="Y62" s="80" t="str">
        <f>IF(AND($F62&lt;&gt;"", $F62&gt;=Y$5-4, $F62&lt;=Y$5, COUNTIF($M62:X62,"u")=0), "u", "")</f>
        <v/>
      </c>
      <c r="Z62" s="80" t="str">
        <f>IF(AND($F62&lt;&gt;"", $F62&gt;=Z$5-4, $F62&lt;=Z$5, COUNTIF($M62:Y62,"u")=0), "u", "")</f>
        <v/>
      </c>
      <c r="AA62" s="80" t="str">
        <f>IF(AND($F62&lt;&gt;"", $F62&gt;=AA$5-4, $F62&lt;=AA$5, COUNTIF($M62:Z62,"u")=0), "u", "")</f>
        <v/>
      </c>
      <c r="AB62" s="80" t="str">
        <f>IF(AND($F62&lt;&gt;"", $F62&gt;=AB$5-4, $F62&lt;=AB$5, COUNTIF($M62:AA62,"u")=0), "u", "")</f>
        <v/>
      </c>
      <c r="AC62" s="80" t="str">
        <f>IF(AND($F62&lt;&gt;"", $F62&gt;=AC$5-4, $F62&lt;=AC$5, COUNTIF($M62:AB62,"u")=0), "u", "")</f>
        <v/>
      </c>
      <c r="AD62" s="80" t="str">
        <f>IF(AND($F62&lt;&gt;"", $F62&gt;=AD$5-4, $F62&lt;=AD$5, COUNTIF($M62:AC62,"u")=0), "u", "")</f>
        <v/>
      </c>
      <c r="AE62" s="80" t="str">
        <f>IF(AND($F62&lt;&gt;"", $F62&gt;=AE$5-4, $F62&lt;=AE$5, COUNTIF($M62:AD62,"u")=0), "u", "")</f>
        <v/>
      </c>
      <c r="AF62" s="80" t="str">
        <f>IF(AND($F62&lt;&gt;"", $F62&gt;=AF$5-4, $F62&lt;=AF$5, COUNTIF($M62:AE62,"u")=0), "u", "")</f>
        <v/>
      </c>
      <c r="AG62" s="80" t="str">
        <f>IF(AND($F62&lt;&gt;"", $F62&gt;=AG$5-4, $F62&lt;=AG$5, COUNTIF($M62:AF62,"u")=0), "u", "")</f>
        <v/>
      </c>
      <c r="AH62" s="80" t="str">
        <f>IF(AND($F62&lt;&gt;"", $F62&gt;=AH$5-4, $F62&lt;=AH$5, COUNTIF($M62:AG62,"u")=0), "u", "")</f>
        <v/>
      </c>
      <c r="AI62" s="80" t="str">
        <f>IF(AND($F62&lt;&gt;"", $F62&gt;=AI$5-4, $F62&lt;=AI$5, COUNTIF($M62:AH62,"u")=0), "u", "")</f>
        <v/>
      </c>
      <c r="AJ62" s="80" t="str">
        <f>IF(AND($F62&lt;&gt;"", $F62&gt;=AJ$5-4, $F62&lt;=AJ$5, COUNTIF($M62:AI62,"u")=0), "u", "")</f>
        <v/>
      </c>
      <c r="AK62" s="80" t="str">
        <f>IF(AND($F62&lt;&gt;"", $F62&gt;=AK$5-4, $F62&lt;=AK$5, COUNTIF($M62:AJ62,"u")=0), "u", "")</f>
        <v/>
      </c>
      <c r="AL62" s="80" t="str">
        <f>IF(AND($F62&lt;&gt;"", $F62&gt;=AL$5-4, $F62&lt;=AL$5, COUNTIF($M62:AK62,"u")=0), "u", "")</f>
        <v/>
      </c>
      <c r="AM62" s="80" t="str">
        <f>IF(AND($F62&lt;&gt;"", $F62&gt;=AM$5-4, $F62&lt;=AM$5, COUNTIF($M62:AL62,"u")=0), "u", "")</f>
        <v/>
      </c>
      <c r="AN62" s="80" t="str">
        <f>IF(AND($F62&lt;&gt;"", $F62&gt;=AN$5-4, $F62&lt;=AN$5, COUNTIF($M62:AM62,"u")=0), "u", "")</f>
        <v/>
      </c>
      <c r="AO62" s="80" t="str">
        <f>IF(AND($F62&lt;&gt;"", $F62&gt;=AO$5-4, $F62&lt;=AO$5, COUNTIF($M62:AN62,"u")=0), "u", "")</f>
        <v/>
      </c>
      <c r="AP62" s="80" t="str">
        <f>IF(AND($F62&lt;&gt;"", $F62&gt;=AP$5-4, $F62&lt;=AP$5, COUNTIF($M62:AO62,"u")=0), "u", "")</f>
        <v/>
      </c>
      <c r="AQ62" s="80" t="str">
        <f>IF(AND($F62&lt;&gt;"", $F62&gt;=AQ$5-4, $F62&lt;=AQ$5, COUNTIF($M62:AP62,"u")=0), "u", "")</f>
        <v/>
      </c>
      <c r="AR62" s="80" t="str">
        <f>IF(AND($F62&lt;&gt;"", $F62&gt;=AR$5-4, $F62&lt;=AR$5, COUNTIF($M62:AQ62,"u")=0), "u", "")</f>
        <v/>
      </c>
      <c r="AS62" s="80" t="str">
        <f>IF(AND($F62&lt;&gt;"", $F62&gt;=AS$5-4, $F62&lt;=AS$5, COUNTIF($M62:AR62,"u")=0), "u", "")</f>
        <v/>
      </c>
      <c r="AT62" s="80" t="str">
        <f>IF(AND($F62&lt;&gt;"", $F62&gt;=AT$5-4, $F62&lt;=AT$5, COUNTIF($M62:AS62,"u")=0), "u", "")</f>
        <v/>
      </c>
      <c r="AU62" s="80" t="str">
        <f>IF(AND($F62&lt;&gt;"", $F62&gt;=AU$5-4, $F62&lt;=AU$5, COUNTIF($M62:AT62,"u")=0), "u", "")</f>
        <v/>
      </c>
      <c r="AV62" s="80" t="str">
        <f>IF(AND($F62&lt;&gt;"", $F62&gt;=AV$5-4, $F62&lt;=AV$5, COUNTIF($M62:AU62,"u")=0), "u", "")</f>
        <v/>
      </c>
      <c r="AW62" s="80" t="str">
        <f>IF(AND($F62&lt;&gt;"", $F62&gt;=AW$5-4, $F62&lt;=AW$5, COUNTIF($M62:AV62,"u")=0), "u", "")</f>
        <v/>
      </c>
      <c r="AX62" s="80" t="str">
        <f>IF(AND($F62&lt;&gt;"", $F62&gt;=AX$5-4, $F62&lt;=AX$5, COUNTIF($M62:AW62,"u")=0), "u", "")</f>
        <v/>
      </c>
      <c r="AY62" s="80" t="str">
        <f>IF(AND($F62&lt;&gt;"", $F62&gt;=AY$5-4, $F62&lt;=AY$5, COUNTIF($M62:AX62,"u")=0), "u", "")</f>
        <v/>
      </c>
      <c r="AZ62" s="80" t="str">
        <f>IF(AND($F62&lt;&gt;"", $F62&gt;=AZ$5-4, $F62&lt;=AZ$5, COUNTIF($M62:AY62,"u")=0), "u", "")</f>
        <v/>
      </c>
      <c r="BA62" s="80" t="str">
        <f>IF(AND($F62&lt;&gt;"", $F62&gt;=BA$5-4, $F62&lt;=BA$5, COUNTIF($M62:AZ62,"u")=0), "u", "")</f>
        <v/>
      </c>
      <c r="BB62" s="80" t="str">
        <f>IF(AND($F62&lt;&gt;"", $F62&gt;=BB$5-4, $F62&lt;=BB$5, COUNTIF($M62:BA62,"u")=0), "u", "")</f>
        <v/>
      </c>
      <c r="BC62" s="80" t="str">
        <f>IF(AND($F62&lt;&gt;"", $F62&gt;=BC$5-4, $F62&lt;=BC$5, COUNTIF($M62:BB62,"u")=0), "u", "")</f>
        <v/>
      </c>
      <c r="BD62" s="80" t="str">
        <f>IF(AND($F62&lt;&gt;"", $F62&gt;=BD$5-4, $F62&lt;=BD$5, COUNTIF($M62:BC62,"u")=0), "u", "")</f>
        <v/>
      </c>
      <c r="BE62" s="80" t="str">
        <f>IF(AND($F62&lt;&gt;"", $F62&gt;=BE$5-4, $F62&lt;=BE$5, COUNTIF($M62:BD62,"u")=0), "u", "")</f>
        <v/>
      </c>
      <c r="BF62" s="80" t="str">
        <f>IF(AND($F62&lt;&gt;"", $F62&gt;=BF$5-4, $F62&lt;=BF$5, COUNTIF($M62:BE62,"u")=0), "u", "")</f>
        <v/>
      </c>
      <c r="BG62" s="80" t="str">
        <f>IF(AND($F62&lt;&gt;"", $F62&gt;=BG$5-4, $F62&lt;=BG$5, COUNTIF($M62:BF62,"u")=0), "u", "")</f>
        <v/>
      </c>
      <c r="BH62" s="80" t="str">
        <f>IF(AND($F62&lt;&gt;"", $F62&gt;=BH$5-4, $F62&lt;=BH$5, COUNTIF($M62:BG62,"u")=0), "u", "")</f>
        <v/>
      </c>
      <c r="BI62" s="80" t="str">
        <f>IF(AND($F62&lt;&gt;"", $F62&gt;=BI$5-4, $F62&lt;=BI$5, COUNTIF($M62:BH62,"u")=0), "u", "")</f>
        <v/>
      </c>
      <c r="BJ62" s="80" t="str">
        <f>IF(AND($F62&lt;&gt;"", $F62&gt;=BJ$5-4, $F62&lt;=BJ$5, COUNTIF($M62:BI62,"u")=0), "u", "")</f>
        <v/>
      </c>
      <c r="BK62" s="80" t="str">
        <f>IF(AND($F62&lt;&gt;"", $F62&gt;=BK$5-4, $F62&lt;=BK$5, COUNTIF($M62:BJ62,"u")=0), "u", "")</f>
        <v/>
      </c>
      <c r="BL62" s="80" t="str">
        <f>IF(AND($F62&lt;&gt;"", $F62&gt;=BL$5-4, $F62&lt;=BL$5, COUNTIF($M62:BK62,"u")=0), "u", "")</f>
        <v/>
      </c>
      <c r="BM62" s="80" t="str">
        <f>IF(AND($F62&lt;&gt;"", $F62&gt;=BM$5-4, $F62&lt;=BM$5, COUNTIF($M62:BL62,"u")=0), "u", "")</f>
        <v/>
      </c>
      <c r="BN62" s="80" t="str">
        <f>IF(AND($F62&lt;&gt;"", $F62&gt;=BN$5-4, $F62&lt;=BN$5, COUNTIF($M62:BM62,"u")=0), "u", "")</f>
        <v/>
      </c>
      <c r="BO62" s="80" t="str">
        <f>IF(AND($F62&lt;&gt;"", $F62&gt;=BO$5-4, $F62&lt;=BO$5, COUNTIF($M62:BN62,"u")=0), "u", "")</f>
        <v/>
      </c>
      <c r="BP62" s="80" t="str">
        <f>IF(AND($F62&lt;&gt;"", $F62&gt;=BP$5-4, $F62&lt;=BP$5, COUNTIF($M62:BO62,"u")=0), "u", "")</f>
        <v/>
      </c>
      <c r="BQ62" s="80" t="str">
        <f>IF(AND($F62&lt;&gt;"", $F62&gt;=BQ$5-4, $F62&lt;=BQ$5, COUNTIF($M62:BP62,"u")=0), "u", "")</f>
        <v/>
      </c>
      <c r="BR62" s="80" t="str">
        <f>IF(AND($F62&lt;&gt;"", $F62&gt;=BR$5-4, $F62&lt;=BR$5, COUNTIF($M62:BQ62,"u")=0), "u", "")</f>
        <v/>
      </c>
      <c r="BS62" s="80" t="str">
        <f>IF(AND($F62&lt;&gt;"", $F62&gt;=BS$5-4, $F62&lt;=BS$5, COUNTIF($M62:BR62,"u")=0), "u", "")</f>
        <v/>
      </c>
      <c r="BT62" s="80" t="str">
        <f>IF(AND($F62&lt;&gt;"", $F62&gt;=BT$5-4, $F62&lt;=BT$5, COUNTIF($M62:BS62,"u")=0), "u", "")</f>
        <v/>
      </c>
      <c r="BU62" s="80" t="str">
        <f>IF(AND($F62&lt;&gt;"", $F62&gt;=BU$5-4, $F62&lt;=BU$5, COUNTIF($M62:BT62,"u")=0), "u", "")</f>
        <v/>
      </c>
      <c r="BV62" s="80" t="str">
        <f>IF(AND($F62&lt;&gt;"", $F62&gt;=BV$5-4, $F62&lt;=BV$5, COUNTIF($M62:BU62,"u")=0), "u", "")</f>
        <v/>
      </c>
      <c r="BW62" s="80" t="str">
        <f>IF(AND($F62&lt;&gt;"", $F62&gt;=BW$5-4, $F62&lt;=BW$5, COUNTIF($M62:BV62,"u")=0), "u", "")</f>
        <v/>
      </c>
      <c r="BX62" s="80" t="str">
        <f>IF(AND($F62&lt;&gt;"", $F62&gt;=BX$5-4, $F62&lt;=BX$5, COUNTIF($M62:BW62,"u")=0), "u", "")</f>
        <v/>
      </c>
      <c r="BY62" s="80" t="str">
        <f>IF(AND($F62&lt;&gt;"", $F62&gt;=BY$5-4, $F62&lt;=BY$5, COUNTIF($M62:BX62,"u")=0), "u", "")</f>
        <v/>
      </c>
      <c r="BZ62" s="80" t="str">
        <f>IF(AND($F62&lt;&gt;"", $F62&gt;=BZ$5-4, $F62&lt;=BZ$5, COUNTIF($M62:BY62,"u")=0), "u", "")</f>
        <v/>
      </c>
      <c r="CA62" s="80" t="str">
        <f>IF(AND($F62&lt;&gt;"", $F62&gt;=CA$5-4, $F62&lt;=CA$5, COUNTIF($M62:BZ62,"u")=0), "u", "")</f>
        <v/>
      </c>
      <c r="CB62" s="80" t="str">
        <f>IF(AND($F62&lt;&gt;"", $F62&gt;=CB$5-4, $F62&lt;=CB$5, COUNTIF($M62:CA62,"u")=0), "u", "")</f>
        <v/>
      </c>
      <c r="CC62" s="80" t="str">
        <f>IF(AND($F62&lt;&gt;"", $F62&gt;=CC$5-4, $F62&lt;=CC$5, COUNTIF($M62:CB62,"u")=0), "u", "")</f>
        <v/>
      </c>
      <c r="CD62" s="80" t="str">
        <f>IF(AND($F62&lt;&gt;"", $F62&gt;=CD$5-4, $F62&lt;=CD$5, COUNTIF($M62:CC62,"u")=0), "u", "")</f>
        <v/>
      </c>
      <c r="CE62" s="80" t="str">
        <f>IF(AND($F62&lt;&gt;"", $F62&gt;=CE$5-4, $F62&lt;=CE$5, COUNTIF($M62:CD62,"u")=0), "u", "")</f>
        <v/>
      </c>
      <c r="CF62" s="80" t="str">
        <f>IF(AND($F62&lt;&gt;"", $F62&gt;=CF$5-4, $F62&lt;=CF$5, COUNTIF($M62:CE62,"u")=0), "u", "")</f>
        <v/>
      </c>
      <c r="CG62" s="80" t="str">
        <f>IF(AND($F62&lt;&gt;"", $F62&gt;=CG$5-4, $F62&lt;=CG$5, COUNTIF($M62:CF62,"u")=0), "u", "")</f>
        <v/>
      </c>
      <c r="CH62" s="80" t="str">
        <f>IF(AND($F62&lt;&gt;"", $F62&gt;=CH$5-4, $F62&lt;=CH$5, COUNTIF($M62:CG62,"u")=0), "u", "")</f>
        <v/>
      </c>
      <c r="CI62" s="80" t="str">
        <f>IF(AND($F62&lt;&gt;"", $F62&gt;=CI$5-4, $F62&lt;=CI$5, COUNTIF($M62:CH62,"u")=0), "u", "")</f>
        <v/>
      </c>
      <c r="CJ62" s="80" t="str">
        <f>IF(AND($F62&lt;&gt;"", $F62&gt;=CJ$5-4, $F62&lt;=CJ$5, COUNTIF($M62:CI62,"u")=0), "u", "")</f>
        <v/>
      </c>
      <c r="CK62" s="80" t="str">
        <f>IF(AND($F62&lt;&gt;"", $F62&gt;=CK$5-4, $F62&lt;=CK$5, COUNTIF($M62:CJ62,"u")=0), "u", "")</f>
        <v/>
      </c>
      <c r="CL62" s="80" t="str">
        <f>IF(AND($F62&lt;&gt;"", $F62&gt;=CL$5-4, $F62&lt;=CL$5, COUNTIF($M62:CK62,"u")=0), "u", "")</f>
        <v/>
      </c>
      <c r="CM62" s="80" t="str">
        <f>IF(AND($F62&lt;&gt;"", $F62&gt;=CM$5-4, $F62&lt;=CM$5, COUNTIF($M62:CL62,"u")=0), "u", "")</f>
        <v/>
      </c>
      <c r="CN62" s="80" t="str">
        <f>IF(AND($F62&lt;&gt;"", $F62&gt;=CN$5-4, $F62&lt;=CN$5, COUNTIF($M62:CM62,"u")=0), "u", "")</f>
        <v/>
      </c>
      <c r="CO62" s="80" t="str">
        <f>IF(AND($F62&lt;&gt;"", $F62&gt;=CO$5-4, $F62&lt;=CO$5, COUNTIF($M62:CN62,"u")=0), "u", "")</f>
        <v/>
      </c>
      <c r="CP62" s="80" t="str">
        <f>IF(AND($F62&lt;&gt;"", $F62&gt;=CP$5-4, $F62&lt;=CP$5, COUNTIF($M62:CO62,"u")=0), "u", "")</f>
        <v/>
      </c>
      <c r="CQ62" s="80" t="str">
        <f>IF(AND($F62&lt;&gt;"", $F62&gt;=CQ$5-4, $F62&lt;=CQ$5, COUNTIF($M62:CP62,"u")=0), "u", "")</f>
        <v/>
      </c>
      <c r="CR62" s="80" t="str">
        <f>IF(AND($F62&lt;&gt;"", $F62&gt;=CR$5-4, $F62&lt;=CR$5, COUNTIF($M62:CQ62,"u")=0), "u", "")</f>
        <v/>
      </c>
      <c r="CS62" s="80" t="str">
        <f>IF(AND($F62&lt;&gt;"", $F62&gt;=CS$5-4, $F62&lt;=CS$5, COUNTIF($M62:CR62,"u")=0), "u", "")</f>
        <v/>
      </c>
      <c r="CT62" s="80" t="str">
        <f>IF(AND($F62&lt;&gt;"", $F62&gt;=CT$5-4, $F62&lt;=CT$5, COUNTIF($M62:CS62,"u")=0), "u", "")</f>
        <v/>
      </c>
      <c r="CU62" s="80" t="str">
        <f>IF(AND($F62&lt;&gt;"", $F62&gt;=CU$5-4, $F62&lt;=CU$5, COUNTIF($M62:CT62,"u")=0), "u", "")</f>
        <v/>
      </c>
      <c r="CV62" s="80" t="str">
        <f>IF(AND($F62&lt;&gt;"", $F62&gt;=CV$5-4, $F62&lt;=CV$5, COUNTIF($M62:CU62,"u")=0), "u", "")</f>
        <v/>
      </c>
      <c r="CW62" s="80" t="str">
        <f>IF(AND($F62&lt;&gt;"", $F62&gt;=CW$5-4, $F62&lt;=CW$5, COUNTIF($M62:CV62,"u")=0), "u", "")</f>
        <v/>
      </c>
      <c r="CX62" s="80" t="str">
        <f>IF(AND($F62&lt;&gt;"", $F62&gt;=CX$5-4, $F62&lt;=CX$5, COUNTIF($M62:CW62,"u")=0), "u", "")</f>
        <v/>
      </c>
      <c r="CY62" s="80" t="str">
        <f>IF(AND($F62&lt;&gt;"", $F62&gt;=CY$5-4, $F62&lt;=CY$5, COUNTIF($M62:CX62,"u")=0), "u", "")</f>
        <v/>
      </c>
      <c r="CZ62" s="80" t="str">
        <f>IF(AND($F62&lt;&gt;"", $F62&gt;=CZ$5-4, $F62&lt;=CZ$5, COUNTIF($M62:CY62,"u")=0), "u", "")</f>
        <v/>
      </c>
      <c r="DA62" s="80" t="str">
        <f>IF(AND($F62&lt;&gt;"", $F62&gt;=DA$5-4, $F62&lt;=DA$5, COUNTIF($M62:CZ62,"u")=0), "u", "")</f>
        <v/>
      </c>
      <c r="DB62" s="80" t="str">
        <f>IF(AND($F62&lt;&gt;"", $F62&gt;=DB$5-4, $F62&lt;=DB$5, COUNTIF($M62:DA62,"u")=0), "u", "")</f>
        <v/>
      </c>
      <c r="DC62" s="80" t="str">
        <f>IF(AND($F62&lt;&gt;"", $F62&gt;=DC$5-4, $F62&lt;=DC$5, COUNTIF($M62:DB62,"u")=0), "u", "")</f>
        <v/>
      </c>
      <c r="DD62" s="80" t="str">
        <f>IF(AND($F62&lt;&gt;"", $F62&gt;=DD$5-4, $F62&lt;=DD$5, COUNTIF($M62:DC62,"u")=0), "u", "")</f>
        <v/>
      </c>
      <c r="DE62" s="80" t="str">
        <f>IF(AND($F62&lt;&gt;"", $F62&gt;=DE$5-4, $F62&lt;=DE$5, COUNTIF($M62:DD62,"u")=0), "u", "")</f>
        <v/>
      </c>
      <c r="DF62" s="80" t="str">
        <f>IF(AND($F62&lt;&gt;"", $F62&gt;=DF$5-4, $F62&lt;=DF$5, COUNTIF($M62:DE62,"u")=0), "u", "")</f>
        <v/>
      </c>
      <c r="DG62" s="80" t="str">
        <f>IF(AND($F62&lt;&gt;"", $F62&gt;=DG$5-4, $F62&lt;=DG$5, COUNTIF($M62:DF62,"u")=0), "u", "")</f>
        <v/>
      </c>
      <c r="DH62" s="80" t="str">
        <f>IF(AND($F62&lt;&gt;"", $F62&gt;=DH$5-4, $F62&lt;=DH$5, COUNTIF($M62:DG62,"u")=0), "u", "")</f>
        <v/>
      </c>
      <c r="DI62" s="80" t="str">
        <f>IF(AND($F62&lt;&gt;"", $F62&gt;=DI$5-4, $F62&lt;=DI$5, COUNTIF($M62:DH62,"u")=0), "u", "")</f>
        <v/>
      </c>
      <c r="DJ62" s="80" t="str">
        <f>IF(AND($F62&lt;&gt;"", $F62&gt;=DJ$5-4, $F62&lt;=DJ$5, COUNTIF($M62:DI62,"u")=0), "u", "")</f>
        <v/>
      </c>
      <c r="DK62" s="80" t="str">
        <f>IF(AND($F62&lt;&gt;"", $F62&gt;=DK$5-4, $F62&lt;=DK$5, COUNTIF($M62:DJ62,"u")=0), "u", "")</f>
        <v/>
      </c>
      <c r="DL62" s="80" t="str">
        <f>IF(AND($F62&lt;&gt;"", $F62&gt;=DL$5-4, $F62&lt;=DL$5, COUNTIF($M62:DK62,"u")=0), "u", "")</f>
        <v/>
      </c>
    </row>
    <row r="63" spans="1:116" ht="25.05" customHeight="1" x14ac:dyDescent="0.3">
      <c r="A63" s="39"/>
      <c r="B63" s="75">
        <v>58</v>
      </c>
      <c r="C63" s="97"/>
      <c r="D63" s="92"/>
      <c r="E63" s="53"/>
      <c r="F63" s="53"/>
      <c r="G63" s="83" t="str">
        <f t="shared" si="47"/>
        <v/>
      </c>
      <c r="H63" s="83" t="str">
        <f t="shared" si="47"/>
        <v/>
      </c>
      <c r="I63" s="77" t="str">
        <f t="shared" si="45"/>
        <v/>
      </c>
      <c r="J63" s="78"/>
      <c r="K63" s="86"/>
      <c r="L63" s="56"/>
      <c r="M63" s="80" t="str">
        <f t="shared" si="46"/>
        <v/>
      </c>
      <c r="N63" s="80" t="str">
        <f>IF(AND($F63&lt;&gt;"", $F63&gt;=N$5-4, $F63&lt;=N$5, COUNTIF($M63:M63,"u")=0), "u", "")</f>
        <v/>
      </c>
      <c r="O63" s="80" t="str">
        <f>IF(AND($F63&lt;&gt;"", $F63&gt;=O$5-4, $F63&lt;=O$5, COUNTIF($M63:N63,"u")=0), "u", "")</f>
        <v/>
      </c>
      <c r="P63" s="80" t="str">
        <f>IF(AND($F63&lt;&gt;"", $F63&gt;=P$5-4, $F63&lt;=P$5, COUNTIF($M63:O63,"u")=0), "u", "")</f>
        <v/>
      </c>
      <c r="Q63" s="80" t="str">
        <f>IF(AND($F63&lt;&gt;"", $F63&gt;=Q$5-4, $F63&lt;=Q$5, COUNTIF($M63:P63,"u")=0), "u", "")</f>
        <v/>
      </c>
      <c r="R63" s="80" t="str">
        <f>IF(AND($F63&lt;&gt;"", $F63&gt;=R$5-4, $F63&lt;=R$5, COUNTIF($M63:Q63,"u")=0), "u", "")</f>
        <v/>
      </c>
      <c r="S63" s="80" t="str">
        <f>IF(AND($F63&lt;&gt;"", $F63&gt;=S$5-4, $F63&lt;=S$5, COUNTIF($M63:R63,"u")=0), "u", "")</f>
        <v/>
      </c>
      <c r="T63" s="80" t="str">
        <f>IF(AND($F63&lt;&gt;"", $F63&gt;=T$5-4, $F63&lt;=T$5, COUNTIF($M63:S63,"u")=0), "u", "")</f>
        <v/>
      </c>
      <c r="U63" s="80" t="str">
        <f>IF(AND($F63&lt;&gt;"", $F63&gt;=U$5-4, $F63&lt;=U$5, COUNTIF($M63:T63,"u")=0), "u", "")</f>
        <v/>
      </c>
      <c r="V63" s="80" t="str">
        <f>IF(AND($F63&lt;&gt;"", $F63&gt;=V$5-4, $F63&lt;=V$5, COUNTIF($M63:U63,"u")=0), "u", "")</f>
        <v/>
      </c>
      <c r="W63" s="80" t="str">
        <f>IF(AND($F63&lt;&gt;"", $F63&gt;=W$5-4, $F63&lt;=W$5, COUNTIF($M63:V63,"u")=0), "u", "")</f>
        <v/>
      </c>
      <c r="X63" s="80" t="str">
        <f>IF(AND($F63&lt;&gt;"", $F63&gt;=X$5-4, $F63&lt;=X$5, COUNTIF($M63:W63,"u")=0), "u", "")</f>
        <v/>
      </c>
      <c r="Y63" s="80" t="str">
        <f>IF(AND($F63&lt;&gt;"", $F63&gt;=Y$5-4, $F63&lt;=Y$5, COUNTIF($M63:X63,"u")=0), "u", "")</f>
        <v/>
      </c>
      <c r="Z63" s="80" t="str">
        <f>IF(AND($F63&lt;&gt;"", $F63&gt;=Z$5-4, $F63&lt;=Z$5, COUNTIF($M63:Y63,"u")=0), "u", "")</f>
        <v/>
      </c>
      <c r="AA63" s="80" t="str">
        <f>IF(AND($F63&lt;&gt;"", $F63&gt;=AA$5-4, $F63&lt;=AA$5, COUNTIF($M63:Z63,"u")=0), "u", "")</f>
        <v/>
      </c>
      <c r="AB63" s="80" t="str">
        <f>IF(AND($F63&lt;&gt;"", $F63&gt;=AB$5-4, $F63&lt;=AB$5, COUNTIF($M63:AA63,"u")=0), "u", "")</f>
        <v/>
      </c>
      <c r="AC63" s="80" t="str">
        <f>IF(AND($F63&lt;&gt;"", $F63&gt;=AC$5-4, $F63&lt;=AC$5, COUNTIF($M63:AB63,"u")=0), "u", "")</f>
        <v/>
      </c>
      <c r="AD63" s="80" t="str">
        <f>IF(AND($F63&lt;&gt;"", $F63&gt;=AD$5-4, $F63&lt;=AD$5, COUNTIF($M63:AC63,"u")=0), "u", "")</f>
        <v/>
      </c>
      <c r="AE63" s="80" t="str">
        <f>IF(AND($F63&lt;&gt;"", $F63&gt;=AE$5-4, $F63&lt;=AE$5, COUNTIF($M63:AD63,"u")=0), "u", "")</f>
        <v/>
      </c>
      <c r="AF63" s="80" t="str">
        <f>IF(AND($F63&lt;&gt;"", $F63&gt;=AF$5-4, $F63&lt;=AF$5, COUNTIF($M63:AE63,"u")=0), "u", "")</f>
        <v/>
      </c>
      <c r="AG63" s="80" t="str">
        <f>IF(AND($F63&lt;&gt;"", $F63&gt;=AG$5-4, $F63&lt;=AG$5, COUNTIF($M63:AF63,"u")=0), "u", "")</f>
        <v/>
      </c>
      <c r="AH63" s="80" t="str">
        <f>IF(AND($F63&lt;&gt;"", $F63&gt;=AH$5-4, $F63&lt;=AH$5, COUNTIF($M63:AG63,"u")=0), "u", "")</f>
        <v/>
      </c>
      <c r="AI63" s="80" t="str">
        <f>IF(AND($F63&lt;&gt;"", $F63&gt;=AI$5-4, $F63&lt;=AI$5, COUNTIF($M63:AH63,"u")=0), "u", "")</f>
        <v/>
      </c>
      <c r="AJ63" s="80" t="str">
        <f>IF(AND($F63&lt;&gt;"", $F63&gt;=AJ$5-4, $F63&lt;=AJ$5, COUNTIF($M63:AI63,"u")=0), "u", "")</f>
        <v/>
      </c>
      <c r="AK63" s="80" t="str">
        <f>IF(AND($F63&lt;&gt;"", $F63&gt;=AK$5-4, $F63&lt;=AK$5, COUNTIF($M63:AJ63,"u")=0), "u", "")</f>
        <v/>
      </c>
      <c r="AL63" s="80" t="str">
        <f>IF(AND($F63&lt;&gt;"", $F63&gt;=AL$5-4, $F63&lt;=AL$5, COUNTIF($M63:AK63,"u")=0), "u", "")</f>
        <v/>
      </c>
      <c r="AM63" s="80" t="str">
        <f>IF(AND($F63&lt;&gt;"", $F63&gt;=AM$5-4, $F63&lt;=AM$5, COUNTIF($M63:AL63,"u")=0), "u", "")</f>
        <v/>
      </c>
      <c r="AN63" s="80" t="str">
        <f>IF(AND($F63&lt;&gt;"", $F63&gt;=AN$5-4, $F63&lt;=AN$5, COUNTIF($M63:AM63,"u")=0), "u", "")</f>
        <v/>
      </c>
      <c r="AO63" s="80" t="str">
        <f>IF(AND($F63&lt;&gt;"", $F63&gt;=AO$5-4, $F63&lt;=AO$5, COUNTIF($M63:AN63,"u")=0), "u", "")</f>
        <v/>
      </c>
      <c r="AP63" s="80" t="str">
        <f>IF(AND($F63&lt;&gt;"", $F63&gt;=AP$5-4, $F63&lt;=AP$5, COUNTIF($M63:AO63,"u")=0), "u", "")</f>
        <v/>
      </c>
      <c r="AQ63" s="80" t="str">
        <f>IF(AND($F63&lt;&gt;"", $F63&gt;=AQ$5-4, $F63&lt;=AQ$5, COUNTIF($M63:AP63,"u")=0), "u", "")</f>
        <v/>
      </c>
      <c r="AR63" s="80" t="str">
        <f>IF(AND($F63&lt;&gt;"", $F63&gt;=AR$5-4, $F63&lt;=AR$5, COUNTIF($M63:AQ63,"u")=0), "u", "")</f>
        <v/>
      </c>
      <c r="AS63" s="80" t="str">
        <f>IF(AND($F63&lt;&gt;"", $F63&gt;=AS$5-4, $F63&lt;=AS$5, COUNTIF($M63:AR63,"u")=0), "u", "")</f>
        <v/>
      </c>
      <c r="AT63" s="80" t="str">
        <f>IF(AND($F63&lt;&gt;"", $F63&gt;=AT$5-4, $F63&lt;=AT$5, COUNTIF($M63:AS63,"u")=0), "u", "")</f>
        <v/>
      </c>
      <c r="AU63" s="80" t="str">
        <f>IF(AND($F63&lt;&gt;"", $F63&gt;=AU$5-4, $F63&lt;=AU$5, COUNTIF($M63:AT63,"u")=0), "u", "")</f>
        <v/>
      </c>
      <c r="AV63" s="80" t="str">
        <f>IF(AND($F63&lt;&gt;"", $F63&gt;=AV$5-4, $F63&lt;=AV$5, COUNTIF($M63:AU63,"u")=0), "u", "")</f>
        <v/>
      </c>
      <c r="AW63" s="80" t="str">
        <f>IF(AND($F63&lt;&gt;"", $F63&gt;=AW$5-4, $F63&lt;=AW$5, COUNTIF($M63:AV63,"u")=0), "u", "")</f>
        <v/>
      </c>
      <c r="AX63" s="80" t="str">
        <f>IF(AND($F63&lt;&gt;"", $F63&gt;=AX$5-4, $F63&lt;=AX$5, COUNTIF($M63:AW63,"u")=0), "u", "")</f>
        <v/>
      </c>
      <c r="AY63" s="80" t="str">
        <f>IF(AND($F63&lt;&gt;"", $F63&gt;=AY$5-4, $F63&lt;=AY$5, COUNTIF($M63:AX63,"u")=0), "u", "")</f>
        <v/>
      </c>
      <c r="AZ63" s="80" t="str">
        <f>IF(AND($F63&lt;&gt;"", $F63&gt;=AZ$5-4, $F63&lt;=AZ$5, COUNTIF($M63:AY63,"u")=0), "u", "")</f>
        <v/>
      </c>
      <c r="BA63" s="80" t="str">
        <f>IF(AND($F63&lt;&gt;"", $F63&gt;=BA$5-4, $F63&lt;=BA$5, COUNTIF($M63:AZ63,"u")=0), "u", "")</f>
        <v/>
      </c>
      <c r="BB63" s="80" t="str">
        <f>IF(AND($F63&lt;&gt;"", $F63&gt;=BB$5-4, $F63&lt;=BB$5, COUNTIF($M63:BA63,"u")=0), "u", "")</f>
        <v/>
      </c>
      <c r="BC63" s="80" t="str">
        <f>IF(AND($F63&lt;&gt;"", $F63&gt;=BC$5-4, $F63&lt;=BC$5, COUNTIF($M63:BB63,"u")=0), "u", "")</f>
        <v/>
      </c>
      <c r="BD63" s="80" t="str">
        <f>IF(AND($F63&lt;&gt;"", $F63&gt;=BD$5-4, $F63&lt;=BD$5, COUNTIF($M63:BC63,"u")=0), "u", "")</f>
        <v/>
      </c>
      <c r="BE63" s="80" t="str">
        <f>IF(AND($F63&lt;&gt;"", $F63&gt;=BE$5-4, $F63&lt;=BE$5, COUNTIF($M63:BD63,"u")=0), "u", "")</f>
        <v/>
      </c>
      <c r="BF63" s="80" t="str">
        <f>IF(AND($F63&lt;&gt;"", $F63&gt;=BF$5-4, $F63&lt;=BF$5, COUNTIF($M63:BE63,"u")=0), "u", "")</f>
        <v/>
      </c>
      <c r="BG63" s="80" t="str">
        <f>IF(AND($F63&lt;&gt;"", $F63&gt;=BG$5-4, $F63&lt;=BG$5, COUNTIF($M63:BF63,"u")=0), "u", "")</f>
        <v/>
      </c>
      <c r="BH63" s="80" t="str">
        <f>IF(AND($F63&lt;&gt;"", $F63&gt;=BH$5-4, $F63&lt;=BH$5, COUNTIF($M63:BG63,"u")=0), "u", "")</f>
        <v/>
      </c>
      <c r="BI63" s="80" t="str">
        <f>IF(AND($F63&lt;&gt;"", $F63&gt;=BI$5-4, $F63&lt;=BI$5, COUNTIF($M63:BH63,"u")=0), "u", "")</f>
        <v/>
      </c>
      <c r="BJ63" s="80" t="str">
        <f>IF(AND($F63&lt;&gt;"", $F63&gt;=BJ$5-4, $F63&lt;=BJ$5, COUNTIF($M63:BI63,"u")=0), "u", "")</f>
        <v/>
      </c>
      <c r="BK63" s="80" t="str">
        <f>IF(AND($F63&lt;&gt;"", $F63&gt;=BK$5-4, $F63&lt;=BK$5, COUNTIF($M63:BJ63,"u")=0), "u", "")</f>
        <v/>
      </c>
      <c r="BL63" s="80" t="str">
        <f>IF(AND($F63&lt;&gt;"", $F63&gt;=BL$5-4, $F63&lt;=BL$5, COUNTIF($M63:BK63,"u")=0), "u", "")</f>
        <v/>
      </c>
      <c r="BM63" s="80" t="str">
        <f>IF(AND($F63&lt;&gt;"", $F63&gt;=BM$5-4, $F63&lt;=BM$5, COUNTIF($M63:BL63,"u")=0), "u", "")</f>
        <v/>
      </c>
      <c r="BN63" s="80" t="str">
        <f>IF(AND($F63&lt;&gt;"", $F63&gt;=BN$5-4, $F63&lt;=BN$5, COUNTIF($M63:BM63,"u")=0), "u", "")</f>
        <v/>
      </c>
      <c r="BO63" s="80" t="str">
        <f>IF(AND($F63&lt;&gt;"", $F63&gt;=BO$5-4, $F63&lt;=BO$5, COUNTIF($M63:BN63,"u")=0), "u", "")</f>
        <v/>
      </c>
      <c r="BP63" s="80" t="str">
        <f>IF(AND($F63&lt;&gt;"", $F63&gt;=BP$5-4, $F63&lt;=BP$5, COUNTIF($M63:BO63,"u")=0), "u", "")</f>
        <v/>
      </c>
      <c r="BQ63" s="80" t="str">
        <f>IF(AND($F63&lt;&gt;"", $F63&gt;=BQ$5-4, $F63&lt;=BQ$5, COUNTIF($M63:BP63,"u")=0), "u", "")</f>
        <v/>
      </c>
      <c r="BR63" s="80" t="str">
        <f>IF(AND($F63&lt;&gt;"", $F63&gt;=BR$5-4, $F63&lt;=BR$5, COUNTIF($M63:BQ63,"u")=0), "u", "")</f>
        <v/>
      </c>
      <c r="BS63" s="80" t="str">
        <f>IF(AND($F63&lt;&gt;"", $F63&gt;=BS$5-4, $F63&lt;=BS$5, COUNTIF($M63:BR63,"u")=0), "u", "")</f>
        <v/>
      </c>
      <c r="BT63" s="80" t="str">
        <f>IF(AND($F63&lt;&gt;"", $F63&gt;=BT$5-4, $F63&lt;=BT$5, COUNTIF($M63:BS63,"u")=0), "u", "")</f>
        <v/>
      </c>
      <c r="BU63" s="80" t="str">
        <f>IF(AND($F63&lt;&gt;"", $F63&gt;=BU$5-4, $F63&lt;=BU$5, COUNTIF($M63:BT63,"u")=0), "u", "")</f>
        <v/>
      </c>
      <c r="BV63" s="80" t="str">
        <f>IF(AND($F63&lt;&gt;"", $F63&gt;=BV$5-4, $F63&lt;=BV$5, COUNTIF($M63:BU63,"u")=0), "u", "")</f>
        <v/>
      </c>
      <c r="BW63" s="80" t="str">
        <f>IF(AND($F63&lt;&gt;"", $F63&gt;=BW$5-4, $F63&lt;=BW$5, COUNTIF($M63:BV63,"u")=0), "u", "")</f>
        <v/>
      </c>
      <c r="BX63" s="80" t="str">
        <f>IF(AND($F63&lt;&gt;"", $F63&gt;=BX$5-4, $F63&lt;=BX$5, COUNTIF($M63:BW63,"u")=0), "u", "")</f>
        <v/>
      </c>
      <c r="BY63" s="80" t="str">
        <f>IF(AND($F63&lt;&gt;"", $F63&gt;=BY$5-4, $F63&lt;=BY$5, COUNTIF($M63:BX63,"u")=0), "u", "")</f>
        <v/>
      </c>
      <c r="BZ63" s="80" t="str">
        <f>IF(AND($F63&lt;&gt;"", $F63&gt;=BZ$5-4, $F63&lt;=BZ$5, COUNTIF($M63:BY63,"u")=0), "u", "")</f>
        <v/>
      </c>
      <c r="CA63" s="80" t="str">
        <f>IF(AND($F63&lt;&gt;"", $F63&gt;=CA$5-4, $F63&lt;=CA$5, COUNTIF($M63:BZ63,"u")=0), "u", "")</f>
        <v/>
      </c>
      <c r="CB63" s="80" t="str">
        <f>IF(AND($F63&lt;&gt;"", $F63&gt;=CB$5-4, $F63&lt;=CB$5, COUNTIF($M63:CA63,"u")=0), "u", "")</f>
        <v/>
      </c>
      <c r="CC63" s="80" t="str">
        <f>IF(AND($F63&lt;&gt;"", $F63&gt;=CC$5-4, $F63&lt;=CC$5, COUNTIF($M63:CB63,"u")=0), "u", "")</f>
        <v/>
      </c>
      <c r="CD63" s="80" t="str">
        <f>IF(AND($F63&lt;&gt;"", $F63&gt;=CD$5-4, $F63&lt;=CD$5, COUNTIF($M63:CC63,"u")=0), "u", "")</f>
        <v/>
      </c>
      <c r="CE63" s="80" t="str">
        <f>IF(AND($F63&lt;&gt;"", $F63&gt;=CE$5-4, $F63&lt;=CE$5, COUNTIF($M63:CD63,"u")=0), "u", "")</f>
        <v/>
      </c>
      <c r="CF63" s="80" t="str">
        <f>IF(AND($F63&lt;&gt;"", $F63&gt;=CF$5-4, $F63&lt;=CF$5, COUNTIF($M63:CE63,"u")=0), "u", "")</f>
        <v/>
      </c>
      <c r="CG63" s="80" t="str">
        <f>IF(AND($F63&lt;&gt;"", $F63&gt;=CG$5-4, $F63&lt;=CG$5, COUNTIF($M63:CF63,"u")=0), "u", "")</f>
        <v/>
      </c>
      <c r="CH63" s="80" t="str">
        <f>IF(AND($F63&lt;&gt;"", $F63&gt;=CH$5-4, $F63&lt;=CH$5, COUNTIF($M63:CG63,"u")=0), "u", "")</f>
        <v/>
      </c>
      <c r="CI63" s="80" t="str">
        <f>IF(AND($F63&lt;&gt;"", $F63&gt;=CI$5-4, $F63&lt;=CI$5, COUNTIF($M63:CH63,"u")=0), "u", "")</f>
        <v/>
      </c>
      <c r="CJ63" s="80" t="str">
        <f>IF(AND($F63&lt;&gt;"", $F63&gt;=CJ$5-4, $F63&lt;=CJ$5, COUNTIF($M63:CI63,"u")=0), "u", "")</f>
        <v/>
      </c>
      <c r="CK63" s="80" t="str">
        <f>IF(AND($F63&lt;&gt;"", $F63&gt;=CK$5-4, $F63&lt;=CK$5, COUNTIF($M63:CJ63,"u")=0), "u", "")</f>
        <v/>
      </c>
      <c r="CL63" s="80" t="str">
        <f>IF(AND($F63&lt;&gt;"", $F63&gt;=CL$5-4, $F63&lt;=CL$5, COUNTIF($M63:CK63,"u")=0), "u", "")</f>
        <v/>
      </c>
      <c r="CM63" s="80" t="str">
        <f>IF(AND($F63&lt;&gt;"", $F63&gt;=CM$5-4, $F63&lt;=CM$5, COUNTIF($M63:CL63,"u")=0), "u", "")</f>
        <v/>
      </c>
      <c r="CN63" s="80" t="str">
        <f>IF(AND($F63&lt;&gt;"", $F63&gt;=CN$5-4, $F63&lt;=CN$5, COUNTIF($M63:CM63,"u")=0), "u", "")</f>
        <v/>
      </c>
      <c r="CO63" s="80" t="str">
        <f>IF(AND($F63&lt;&gt;"", $F63&gt;=CO$5-4, $F63&lt;=CO$5, COUNTIF($M63:CN63,"u")=0), "u", "")</f>
        <v/>
      </c>
      <c r="CP63" s="80" t="str">
        <f>IF(AND($F63&lt;&gt;"", $F63&gt;=CP$5-4, $F63&lt;=CP$5, COUNTIF($M63:CO63,"u")=0), "u", "")</f>
        <v/>
      </c>
      <c r="CQ63" s="80" t="str">
        <f>IF(AND($F63&lt;&gt;"", $F63&gt;=CQ$5-4, $F63&lt;=CQ$5, COUNTIF($M63:CP63,"u")=0), "u", "")</f>
        <v/>
      </c>
      <c r="CR63" s="80" t="str">
        <f>IF(AND($F63&lt;&gt;"", $F63&gt;=CR$5-4, $F63&lt;=CR$5, COUNTIF($M63:CQ63,"u")=0), "u", "")</f>
        <v/>
      </c>
      <c r="CS63" s="80" t="str">
        <f>IF(AND($F63&lt;&gt;"", $F63&gt;=CS$5-4, $F63&lt;=CS$5, COUNTIF($M63:CR63,"u")=0), "u", "")</f>
        <v/>
      </c>
      <c r="CT63" s="80" t="str">
        <f>IF(AND($F63&lt;&gt;"", $F63&gt;=CT$5-4, $F63&lt;=CT$5, COUNTIF($M63:CS63,"u")=0), "u", "")</f>
        <v/>
      </c>
      <c r="CU63" s="80" t="str">
        <f>IF(AND($F63&lt;&gt;"", $F63&gt;=CU$5-4, $F63&lt;=CU$5, COUNTIF($M63:CT63,"u")=0), "u", "")</f>
        <v/>
      </c>
      <c r="CV63" s="80" t="str">
        <f>IF(AND($F63&lt;&gt;"", $F63&gt;=CV$5-4, $F63&lt;=CV$5, COUNTIF($M63:CU63,"u")=0), "u", "")</f>
        <v/>
      </c>
      <c r="CW63" s="80" t="str">
        <f>IF(AND($F63&lt;&gt;"", $F63&gt;=CW$5-4, $F63&lt;=CW$5, COUNTIF($M63:CV63,"u")=0), "u", "")</f>
        <v/>
      </c>
      <c r="CX63" s="80" t="str">
        <f>IF(AND($F63&lt;&gt;"", $F63&gt;=CX$5-4, $F63&lt;=CX$5, COUNTIF($M63:CW63,"u")=0), "u", "")</f>
        <v/>
      </c>
      <c r="CY63" s="80" t="str">
        <f>IF(AND($F63&lt;&gt;"", $F63&gt;=CY$5-4, $F63&lt;=CY$5, COUNTIF($M63:CX63,"u")=0), "u", "")</f>
        <v/>
      </c>
      <c r="CZ63" s="80" t="str">
        <f>IF(AND($F63&lt;&gt;"", $F63&gt;=CZ$5-4, $F63&lt;=CZ$5, COUNTIF($M63:CY63,"u")=0), "u", "")</f>
        <v/>
      </c>
      <c r="DA63" s="80" t="str">
        <f>IF(AND($F63&lt;&gt;"", $F63&gt;=DA$5-4, $F63&lt;=DA$5, COUNTIF($M63:CZ63,"u")=0), "u", "")</f>
        <v/>
      </c>
      <c r="DB63" s="80" t="str">
        <f>IF(AND($F63&lt;&gt;"", $F63&gt;=DB$5-4, $F63&lt;=DB$5, COUNTIF($M63:DA63,"u")=0), "u", "")</f>
        <v/>
      </c>
      <c r="DC63" s="80" t="str">
        <f>IF(AND($F63&lt;&gt;"", $F63&gt;=DC$5-4, $F63&lt;=DC$5, COUNTIF($M63:DB63,"u")=0), "u", "")</f>
        <v/>
      </c>
      <c r="DD63" s="80" t="str">
        <f>IF(AND($F63&lt;&gt;"", $F63&gt;=DD$5-4, $F63&lt;=DD$5, COUNTIF($M63:DC63,"u")=0), "u", "")</f>
        <v/>
      </c>
      <c r="DE63" s="80" t="str">
        <f>IF(AND($F63&lt;&gt;"", $F63&gt;=DE$5-4, $F63&lt;=DE$5, COUNTIF($M63:DD63,"u")=0), "u", "")</f>
        <v/>
      </c>
      <c r="DF63" s="80" t="str">
        <f>IF(AND($F63&lt;&gt;"", $F63&gt;=DF$5-4, $F63&lt;=DF$5, COUNTIF($M63:DE63,"u")=0), "u", "")</f>
        <v/>
      </c>
      <c r="DG63" s="80" t="str">
        <f>IF(AND($F63&lt;&gt;"", $F63&gt;=DG$5-4, $F63&lt;=DG$5, COUNTIF($M63:DF63,"u")=0), "u", "")</f>
        <v/>
      </c>
      <c r="DH63" s="80" t="str">
        <f>IF(AND($F63&lt;&gt;"", $F63&gt;=DH$5-4, $F63&lt;=DH$5, COUNTIF($M63:DG63,"u")=0), "u", "")</f>
        <v/>
      </c>
      <c r="DI63" s="80" t="str">
        <f>IF(AND($F63&lt;&gt;"", $F63&gt;=DI$5-4, $F63&lt;=DI$5, COUNTIF($M63:DH63,"u")=0), "u", "")</f>
        <v/>
      </c>
      <c r="DJ63" s="80" t="str">
        <f>IF(AND($F63&lt;&gt;"", $F63&gt;=DJ$5-4, $F63&lt;=DJ$5, COUNTIF($M63:DI63,"u")=0), "u", "")</f>
        <v/>
      </c>
      <c r="DK63" s="80" t="str">
        <f>IF(AND($F63&lt;&gt;"", $F63&gt;=DK$5-4, $F63&lt;=DK$5, COUNTIF($M63:DJ63,"u")=0), "u", "")</f>
        <v/>
      </c>
      <c r="DL63" s="80" t="str">
        <f>IF(AND($F63&lt;&gt;"", $F63&gt;=DL$5-4, $F63&lt;=DL$5, COUNTIF($M63:DK63,"u")=0), "u", "")</f>
        <v/>
      </c>
    </row>
    <row r="64" spans="1:116" ht="25.05" customHeight="1" x14ac:dyDescent="0.3">
      <c r="A64" s="39"/>
      <c r="B64" s="75">
        <v>59</v>
      </c>
      <c r="C64" s="97"/>
      <c r="D64" s="92"/>
      <c r="E64" s="53"/>
      <c r="F64" s="53"/>
      <c r="G64" s="83" t="str">
        <f t="shared" si="47"/>
        <v/>
      </c>
      <c r="H64" s="83" t="str">
        <f t="shared" si="47"/>
        <v/>
      </c>
      <c r="I64" s="77" t="str">
        <f t="shared" si="45"/>
        <v/>
      </c>
      <c r="J64" s="78"/>
      <c r="K64" s="86"/>
      <c r="L64" s="56"/>
      <c r="M64" s="80" t="str">
        <f t="shared" si="46"/>
        <v/>
      </c>
      <c r="N64" s="80" t="str">
        <f>IF(AND($F64&lt;&gt;"", $F64&gt;=N$5-4, $F64&lt;=N$5, COUNTIF($M64:M64,"u")=0), "u", "")</f>
        <v/>
      </c>
      <c r="O64" s="80" t="str">
        <f>IF(AND($F64&lt;&gt;"", $F64&gt;=O$5-4, $F64&lt;=O$5, COUNTIF($M64:N64,"u")=0), "u", "")</f>
        <v/>
      </c>
      <c r="P64" s="80" t="str">
        <f>IF(AND($F64&lt;&gt;"", $F64&gt;=P$5-4, $F64&lt;=P$5, COUNTIF($M64:O64,"u")=0), "u", "")</f>
        <v/>
      </c>
      <c r="Q64" s="80" t="str">
        <f>IF(AND($F64&lt;&gt;"", $F64&gt;=Q$5-4, $F64&lt;=Q$5, COUNTIF($M64:P64,"u")=0), "u", "")</f>
        <v/>
      </c>
      <c r="R64" s="80" t="str">
        <f>IF(AND($F64&lt;&gt;"", $F64&gt;=R$5-4, $F64&lt;=R$5, COUNTIF($M64:Q64,"u")=0), "u", "")</f>
        <v/>
      </c>
      <c r="S64" s="80" t="str">
        <f>IF(AND($F64&lt;&gt;"", $F64&gt;=S$5-4, $F64&lt;=S$5, COUNTIF($M64:R64,"u")=0), "u", "")</f>
        <v/>
      </c>
      <c r="T64" s="80" t="str">
        <f>IF(AND($F64&lt;&gt;"", $F64&gt;=T$5-4, $F64&lt;=T$5, COUNTIF($M64:S64,"u")=0), "u", "")</f>
        <v/>
      </c>
      <c r="U64" s="80" t="str">
        <f>IF(AND($F64&lt;&gt;"", $F64&gt;=U$5-4, $F64&lt;=U$5, COUNTIF($M64:T64,"u")=0), "u", "")</f>
        <v/>
      </c>
      <c r="V64" s="80" t="str">
        <f>IF(AND($F64&lt;&gt;"", $F64&gt;=V$5-4, $F64&lt;=V$5, COUNTIF($M64:U64,"u")=0), "u", "")</f>
        <v/>
      </c>
      <c r="W64" s="80" t="str">
        <f>IF(AND($F64&lt;&gt;"", $F64&gt;=W$5-4, $F64&lt;=W$5, COUNTIF($M64:V64,"u")=0), "u", "")</f>
        <v/>
      </c>
      <c r="X64" s="80" t="str">
        <f>IF(AND($F64&lt;&gt;"", $F64&gt;=X$5-4, $F64&lt;=X$5, COUNTIF($M64:W64,"u")=0), "u", "")</f>
        <v/>
      </c>
      <c r="Y64" s="80" t="str">
        <f>IF(AND($F64&lt;&gt;"", $F64&gt;=Y$5-4, $F64&lt;=Y$5, COUNTIF($M64:X64,"u")=0), "u", "")</f>
        <v/>
      </c>
      <c r="Z64" s="80" t="str">
        <f>IF(AND($F64&lt;&gt;"", $F64&gt;=Z$5-4, $F64&lt;=Z$5, COUNTIF($M64:Y64,"u")=0), "u", "")</f>
        <v/>
      </c>
      <c r="AA64" s="80" t="str">
        <f>IF(AND($F64&lt;&gt;"", $F64&gt;=AA$5-4, $F64&lt;=AA$5, COUNTIF($M64:Z64,"u")=0), "u", "")</f>
        <v/>
      </c>
      <c r="AB64" s="80" t="str">
        <f>IF(AND($F64&lt;&gt;"", $F64&gt;=AB$5-4, $F64&lt;=AB$5, COUNTIF($M64:AA64,"u")=0), "u", "")</f>
        <v/>
      </c>
      <c r="AC64" s="80" t="str">
        <f>IF(AND($F64&lt;&gt;"", $F64&gt;=AC$5-4, $F64&lt;=AC$5, COUNTIF($M64:AB64,"u")=0), "u", "")</f>
        <v/>
      </c>
      <c r="AD64" s="80" t="str">
        <f>IF(AND($F64&lt;&gt;"", $F64&gt;=AD$5-4, $F64&lt;=AD$5, COUNTIF($M64:AC64,"u")=0), "u", "")</f>
        <v/>
      </c>
      <c r="AE64" s="80" t="str">
        <f>IF(AND($F64&lt;&gt;"", $F64&gt;=AE$5-4, $F64&lt;=AE$5, COUNTIF($M64:AD64,"u")=0), "u", "")</f>
        <v/>
      </c>
      <c r="AF64" s="80" t="str">
        <f>IF(AND($F64&lt;&gt;"", $F64&gt;=AF$5-4, $F64&lt;=AF$5, COUNTIF($M64:AE64,"u")=0), "u", "")</f>
        <v/>
      </c>
      <c r="AG64" s="80" t="str">
        <f>IF(AND($F64&lt;&gt;"", $F64&gt;=AG$5-4, $F64&lt;=AG$5, COUNTIF($M64:AF64,"u")=0), "u", "")</f>
        <v/>
      </c>
      <c r="AH64" s="80" t="str">
        <f>IF(AND($F64&lt;&gt;"", $F64&gt;=AH$5-4, $F64&lt;=AH$5, COUNTIF($M64:AG64,"u")=0), "u", "")</f>
        <v/>
      </c>
      <c r="AI64" s="80" t="str">
        <f>IF(AND($F64&lt;&gt;"", $F64&gt;=AI$5-4, $F64&lt;=AI$5, COUNTIF($M64:AH64,"u")=0), "u", "")</f>
        <v/>
      </c>
      <c r="AJ64" s="80" t="str">
        <f>IF(AND($F64&lt;&gt;"", $F64&gt;=AJ$5-4, $F64&lt;=AJ$5, COUNTIF($M64:AI64,"u")=0), "u", "")</f>
        <v/>
      </c>
      <c r="AK64" s="80" t="str">
        <f>IF(AND($F64&lt;&gt;"", $F64&gt;=AK$5-4, $F64&lt;=AK$5, COUNTIF($M64:AJ64,"u")=0), "u", "")</f>
        <v/>
      </c>
      <c r="AL64" s="80" t="str">
        <f>IF(AND($F64&lt;&gt;"", $F64&gt;=AL$5-4, $F64&lt;=AL$5, COUNTIF($M64:AK64,"u")=0), "u", "")</f>
        <v/>
      </c>
      <c r="AM64" s="80" t="str">
        <f>IF(AND($F64&lt;&gt;"", $F64&gt;=AM$5-4, $F64&lt;=AM$5, COUNTIF($M64:AL64,"u")=0), "u", "")</f>
        <v/>
      </c>
      <c r="AN64" s="80" t="str">
        <f>IF(AND($F64&lt;&gt;"", $F64&gt;=AN$5-4, $F64&lt;=AN$5, COUNTIF($M64:AM64,"u")=0), "u", "")</f>
        <v/>
      </c>
      <c r="AO64" s="80" t="str">
        <f>IF(AND($F64&lt;&gt;"", $F64&gt;=AO$5-4, $F64&lt;=AO$5, COUNTIF($M64:AN64,"u")=0), "u", "")</f>
        <v/>
      </c>
      <c r="AP64" s="80" t="str">
        <f>IF(AND($F64&lt;&gt;"", $F64&gt;=AP$5-4, $F64&lt;=AP$5, COUNTIF($M64:AO64,"u")=0), "u", "")</f>
        <v/>
      </c>
      <c r="AQ64" s="80" t="str">
        <f>IF(AND($F64&lt;&gt;"", $F64&gt;=AQ$5-4, $F64&lt;=AQ$5, COUNTIF($M64:AP64,"u")=0), "u", "")</f>
        <v/>
      </c>
      <c r="AR64" s="80" t="str">
        <f>IF(AND($F64&lt;&gt;"", $F64&gt;=AR$5-4, $F64&lt;=AR$5, COUNTIF($M64:AQ64,"u")=0), "u", "")</f>
        <v/>
      </c>
      <c r="AS64" s="80" t="str">
        <f>IF(AND($F64&lt;&gt;"", $F64&gt;=AS$5-4, $F64&lt;=AS$5, COUNTIF($M64:AR64,"u")=0), "u", "")</f>
        <v/>
      </c>
      <c r="AT64" s="80" t="str">
        <f>IF(AND($F64&lt;&gt;"", $F64&gt;=AT$5-4, $F64&lt;=AT$5, COUNTIF($M64:AS64,"u")=0), "u", "")</f>
        <v/>
      </c>
      <c r="AU64" s="80" t="str">
        <f>IF(AND($F64&lt;&gt;"", $F64&gt;=AU$5-4, $F64&lt;=AU$5, COUNTIF($M64:AT64,"u")=0), "u", "")</f>
        <v/>
      </c>
      <c r="AV64" s="80" t="str">
        <f>IF(AND($F64&lt;&gt;"", $F64&gt;=AV$5-4, $F64&lt;=AV$5, COUNTIF($M64:AU64,"u")=0), "u", "")</f>
        <v/>
      </c>
      <c r="AW64" s="80" t="str">
        <f>IF(AND($F64&lt;&gt;"", $F64&gt;=AW$5-4, $F64&lt;=AW$5, COUNTIF($M64:AV64,"u")=0), "u", "")</f>
        <v/>
      </c>
      <c r="AX64" s="80" t="str">
        <f>IF(AND($F64&lt;&gt;"", $F64&gt;=AX$5-4, $F64&lt;=AX$5, COUNTIF($M64:AW64,"u")=0), "u", "")</f>
        <v/>
      </c>
      <c r="AY64" s="80" t="str">
        <f>IF(AND($F64&lt;&gt;"", $F64&gt;=AY$5-4, $F64&lt;=AY$5, COUNTIF($M64:AX64,"u")=0), "u", "")</f>
        <v/>
      </c>
      <c r="AZ64" s="80" t="str">
        <f>IF(AND($F64&lt;&gt;"", $F64&gt;=AZ$5-4, $F64&lt;=AZ$5, COUNTIF($M64:AY64,"u")=0), "u", "")</f>
        <v/>
      </c>
      <c r="BA64" s="80" t="str">
        <f>IF(AND($F64&lt;&gt;"", $F64&gt;=BA$5-4, $F64&lt;=BA$5, COUNTIF($M64:AZ64,"u")=0), "u", "")</f>
        <v/>
      </c>
      <c r="BB64" s="80" t="str">
        <f>IF(AND($F64&lt;&gt;"", $F64&gt;=BB$5-4, $F64&lt;=BB$5, COUNTIF($M64:BA64,"u")=0), "u", "")</f>
        <v/>
      </c>
      <c r="BC64" s="80" t="str">
        <f>IF(AND($F64&lt;&gt;"", $F64&gt;=BC$5-4, $F64&lt;=BC$5, COUNTIF($M64:BB64,"u")=0), "u", "")</f>
        <v/>
      </c>
      <c r="BD64" s="80" t="str">
        <f>IF(AND($F64&lt;&gt;"", $F64&gt;=BD$5-4, $F64&lt;=BD$5, COUNTIF($M64:BC64,"u")=0), "u", "")</f>
        <v/>
      </c>
      <c r="BE64" s="80" t="str">
        <f>IF(AND($F64&lt;&gt;"", $F64&gt;=BE$5-4, $F64&lt;=BE$5, COUNTIF($M64:BD64,"u")=0), "u", "")</f>
        <v/>
      </c>
      <c r="BF64" s="80" t="str">
        <f>IF(AND($F64&lt;&gt;"", $F64&gt;=BF$5-4, $F64&lt;=BF$5, COUNTIF($M64:BE64,"u")=0), "u", "")</f>
        <v/>
      </c>
      <c r="BG64" s="80" t="str">
        <f>IF(AND($F64&lt;&gt;"", $F64&gt;=BG$5-4, $F64&lt;=BG$5, COUNTIF($M64:BF64,"u")=0), "u", "")</f>
        <v/>
      </c>
      <c r="BH64" s="80" t="str">
        <f>IF(AND($F64&lt;&gt;"", $F64&gt;=BH$5-4, $F64&lt;=BH$5, COUNTIF($M64:BG64,"u")=0), "u", "")</f>
        <v/>
      </c>
      <c r="BI64" s="80" t="str">
        <f>IF(AND($F64&lt;&gt;"", $F64&gt;=BI$5-4, $F64&lt;=BI$5, COUNTIF($M64:BH64,"u")=0), "u", "")</f>
        <v/>
      </c>
      <c r="BJ64" s="80" t="str">
        <f>IF(AND($F64&lt;&gt;"", $F64&gt;=BJ$5-4, $F64&lt;=BJ$5, COUNTIF($M64:BI64,"u")=0), "u", "")</f>
        <v/>
      </c>
      <c r="BK64" s="80" t="str">
        <f>IF(AND($F64&lt;&gt;"", $F64&gt;=BK$5-4, $F64&lt;=BK$5, COUNTIF($M64:BJ64,"u")=0), "u", "")</f>
        <v/>
      </c>
      <c r="BL64" s="80" t="str">
        <f>IF(AND($F64&lt;&gt;"", $F64&gt;=BL$5-4, $F64&lt;=BL$5, COUNTIF($M64:BK64,"u")=0), "u", "")</f>
        <v/>
      </c>
      <c r="BM64" s="80" t="str">
        <f>IF(AND($F64&lt;&gt;"", $F64&gt;=BM$5-4, $F64&lt;=BM$5, COUNTIF($M64:BL64,"u")=0), "u", "")</f>
        <v/>
      </c>
      <c r="BN64" s="80" t="str">
        <f>IF(AND($F64&lt;&gt;"", $F64&gt;=BN$5-4, $F64&lt;=BN$5, COUNTIF($M64:BM64,"u")=0), "u", "")</f>
        <v/>
      </c>
      <c r="BO64" s="80" t="str">
        <f>IF(AND($F64&lt;&gt;"", $F64&gt;=BO$5-4, $F64&lt;=BO$5, COUNTIF($M64:BN64,"u")=0), "u", "")</f>
        <v/>
      </c>
      <c r="BP64" s="80" t="str">
        <f>IF(AND($F64&lt;&gt;"", $F64&gt;=BP$5-4, $F64&lt;=BP$5, COUNTIF($M64:BO64,"u")=0), "u", "")</f>
        <v/>
      </c>
      <c r="BQ64" s="80" t="str">
        <f>IF(AND($F64&lt;&gt;"", $F64&gt;=BQ$5-4, $F64&lt;=BQ$5, COUNTIF($M64:BP64,"u")=0), "u", "")</f>
        <v/>
      </c>
      <c r="BR64" s="80" t="str">
        <f>IF(AND($F64&lt;&gt;"", $F64&gt;=BR$5-4, $F64&lt;=BR$5, COUNTIF($M64:BQ64,"u")=0), "u", "")</f>
        <v/>
      </c>
      <c r="BS64" s="80" t="str">
        <f>IF(AND($F64&lt;&gt;"", $F64&gt;=BS$5-4, $F64&lt;=BS$5, COUNTIF($M64:BR64,"u")=0), "u", "")</f>
        <v/>
      </c>
      <c r="BT64" s="80" t="str">
        <f>IF(AND($F64&lt;&gt;"", $F64&gt;=BT$5-4, $F64&lt;=BT$5, COUNTIF($M64:BS64,"u")=0), "u", "")</f>
        <v/>
      </c>
      <c r="BU64" s="80" t="str">
        <f>IF(AND($F64&lt;&gt;"", $F64&gt;=BU$5-4, $F64&lt;=BU$5, COUNTIF($M64:BT64,"u")=0), "u", "")</f>
        <v/>
      </c>
      <c r="BV64" s="80" t="str">
        <f>IF(AND($F64&lt;&gt;"", $F64&gt;=BV$5-4, $F64&lt;=BV$5, COUNTIF($M64:BU64,"u")=0), "u", "")</f>
        <v/>
      </c>
      <c r="BW64" s="80" t="str">
        <f>IF(AND($F64&lt;&gt;"", $F64&gt;=BW$5-4, $F64&lt;=BW$5, COUNTIF($M64:BV64,"u")=0), "u", "")</f>
        <v/>
      </c>
      <c r="BX64" s="80" t="str">
        <f>IF(AND($F64&lt;&gt;"", $F64&gt;=BX$5-4, $F64&lt;=BX$5, COUNTIF($M64:BW64,"u")=0), "u", "")</f>
        <v/>
      </c>
      <c r="BY64" s="80" t="str">
        <f>IF(AND($F64&lt;&gt;"", $F64&gt;=BY$5-4, $F64&lt;=BY$5, COUNTIF($M64:BX64,"u")=0), "u", "")</f>
        <v/>
      </c>
      <c r="BZ64" s="80" t="str">
        <f>IF(AND($F64&lt;&gt;"", $F64&gt;=BZ$5-4, $F64&lt;=BZ$5, COUNTIF($M64:BY64,"u")=0), "u", "")</f>
        <v/>
      </c>
      <c r="CA64" s="80" t="str">
        <f>IF(AND($F64&lt;&gt;"", $F64&gt;=CA$5-4, $F64&lt;=CA$5, COUNTIF($M64:BZ64,"u")=0), "u", "")</f>
        <v/>
      </c>
      <c r="CB64" s="80" t="str">
        <f>IF(AND($F64&lt;&gt;"", $F64&gt;=CB$5-4, $F64&lt;=CB$5, COUNTIF($M64:CA64,"u")=0), "u", "")</f>
        <v/>
      </c>
      <c r="CC64" s="80" t="str">
        <f>IF(AND($F64&lt;&gt;"", $F64&gt;=CC$5-4, $F64&lt;=CC$5, COUNTIF($M64:CB64,"u")=0), "u", "")</f>
        <v/>
      </c>
      <c r="CD64" s="80" t="str">
        <f>IF(AND($F64&lt;&gt;"", $F64&gt;=CD$5-4, $F64&lt;=CD$5, COUNTIF($M64:CC64,"u")=0), "u", "")</f>
        <v/>
      </c>
      <c r="CE64" s="80" t="str">
        <f>IF(AND($F64&lt;&gt;"", $F64&gt;=CE$5-4, $F64&lt;=CE$5, COUNTIF($M64:CD64,"u")=0), "u", "")</f>
        <v/>
      </c>
      <c r="CF64" s="80" t="str">
        <f>IF(AND($F64&lt;&gt;"", $F64&gt;=CF$5-4, $F64&lt;=CF$5, COUNTIF($M64:CE64,"u")=0), "u", "")</f>
        <v/>
      </c>
      <c r="CG64" s="80" t="str">
        <f>IF(AND($F64&lt;&gt;"", $F64&gt;=CG$5-4, $F64&lt;=CG$5, COUNTIF($M64:CF64,"u")=0), "u", "")</f>
        <v/>
      </c>
      <c r="CH64" s="80" t="str">
        <f>IF(AND($F64&lt;&gt;"", $F64&gt;=CH$5-4, $F64&lt;=CH$5, COUNTIF($M64:CG64,"u")=0), "u", "")</f>
        <v/>
      </c>
      <c r="CI64" s="80" t="str">
        <f>IF(AND($F64&lt;&gt;"", $F64&gt;=CI$5-4, $F64&lt;=CI$5, COUNTIF($M64:CH64,"u")=0), "u", "")</f>
        <v/>
      </c>
      <c r="CJ64" s="80" t="str">
        <f>IF(AND($F64&lt;&gt;"", $F64&gt;=CJ$5-4, $F64&lt;=CJ$5, COUNTIF($M64:CI64,"u")=0), "u", "")</f>
        <v/>
      </c>
      <c r="CK64" s="80" t="str">
        <f>IF(AND($F64&lt;&gt;"", $F64&gt;=CK$5-4, $F64&lt;=CK$5, COUNTIF($M64:CJ64,"u")=0), "u", "")</f>
        <v/>
      </c>
      <c r="CL64" s="80" t="str">
        <f>IF(AND($F64&lt;&gt;"", $F64&gt;=CL$5-4, $F64&lt;=CL$5, COUNTIF($M64:CK64,"u")=0), "u", "")</f>
        <v/>
      </c>
      <c r="CM64" s="80" t="str">
        <f>IF(AND($F64&lt;&gt;"", $F64&gt;=CM$5-4, $F64&lt;=CM$5, COUNTIF($M64:CL64,"u")=0), "u", "")</f>
        <v/>
      </c>
      <c r="CN64" s="80" t="str">
        <f>IF(AND($F64&lt;&gt;"", $F64&gt;=CN$5-4, $F64&lt;=CN$5, COUNTIF($M64:CM64,"u")=0), "u", "")</f>
        <v/>
      </c>
      <c r="CO64" s="80" t="str">
        <f>IF(AND($F64&lt;&gt;"", $F64&gt;=CO$5-4, $F64&lt;=CO$5, COUNTIF($M64:CN64,"u")=0), "u", "")</f>
        <v/>
      </c>
      <c r="CP64" s="80" t="str">
        <f>IF(AND($F64&lt;&gt;"", $F64&gt;=CP$5-4, $F64&lt;=CP$5, COUNTIF($M64:CO64,"u")=0), "u", "")</f>
        <v/>
      </c>
      <c r="CQ64" s="80" t="str">
        <f>IF(AND($F64&lt;&gt;"", $F64&gt;=CQ$5-4, $F64&lt;=CQ$5, COUNTIF($M64:CP64,"u")=0), "u", "")</f>
        <v/>
      </c>
      <c r="CR64" s="80" t="str">
        <f>IF(AND($F64&lt;&gt;"", $F64&gt;=CR$5-4, $F64&lt;=CR$5, COUNTIF($M64:CQ64,"u")=0), "u", "")</f>
        <v/>
      </c>
      <c r="CS64" s="80" t="str">
        <f>IF(AND($F64&lt;&gt;"", $F64&gt;=CS$5-4, $F64&lt;=CS$5, COUNTIF($M64:CR64,"u")=0), "u", "")</f>
        <v/>
      </c>
      <c r="CT64" s="80" t="str">
        <f>IF(AND($F64&lt;&gt;"", $F64&gt;=CT$5-4, $F64&lt;=CT$5, COUNTIF($M64:CS64,"u")=0), "u", "")</f>
        <v/>
      </c>
      <c r="CU64" s="80" t="str">
        <f>IF(AND($F64&lt;&gt;"", $F64&gt;=CU$5-4, $F64&lt;=CU$5, COUNTIF($M64:CT64,"u")=0), "u", "")</f>
        <v/>
      </c>
      <c r="CV64" s="80" t="str">
        <f>IF(AND($F64&lt;&gt;"", $F64&gt;=CV$5-4, $F64&lt;=CV$5, COUNTIF($M64:CU64,"u")=0), "u", "")</f>
        <v/>
      </c>
      <c r="CW64" s="80" t="str">
        <f>IF(AND($F64&lt;&gt;"", $F64&gt;=CW$5-4, $F64&lt;=CW$5, COUNTIF($M64:CV64,"u")=0), "u", "")</f>
        <v/>
      </c>
      <c r="CX64" s="80" t="str">
        <f>IF(AND($F64&lt;&gt;"", $F64&gt;=CX$5-4, $F64&lt;=CX$5, COUNTIF($M64:CW64,"u")=0), "u", "")</f>
        <v/>
      </c>
      <c r="CY64" s="80" t="str">
        <f>IF(AND($F64&lt;&gt;"", $F64&gt;=CY$5-4, $F64&lt;=CY$5, COUNTIF($M64:CX64,"u")=0), "u", "")</f>
        <v/>
      </c>
      <c r="CZ64" s="80" t="str">
        <f>IF(AND($F64&lt;&gt;"", $F64&gt;=CZ$5-4, $F64&lt;=CZ$5, COUNTIF($M64:CY64,"u")=0), "u", "")</f>
        <v/>
      </c>
      <c r="DA64" s="80" t="str">
        <f>IF(AND($F64&lt;&gt;"", $F64&gt;=DA$5-4, $F64&lt;=DA$5, COUNTIF($M64:CZ64,"u")=0), "u", "")</f>
        <v/>
      </c>
      <c r="DB64" s="80" t="str">
        <f>IF(AND($F64&lt;&gt;"", $F64&gt;=DB$5-4, $F64&lt;=DB$5, COUNTIF($M64:DA64,"u")=0), "u", "")</f>
        <v/>
      </c>
      <c r="DC64" s="80" t="str">
        <f>IF(AND($F64&lt;&gt;"", $F64&gt;=DC$5-4, $F64&lt;=DC$5, COUNTIF($M64:DB64,"u")=0), "u", "")</f>
        <v/>
      </c>
      <c r="DD64" s="80" t="str">
        <f>IF(AND($F64&lt;&gt;"", $F64&gt;=DD$5-4, $F64&lt;=DD$5, COUNTIF($M64:DC64,"u")=0), "u", "")</f>
        <v/>
      </c>
      <c r="DE64" s="80" t="str">
        <f>IF(AND($F64&lt;&gt;"", $F64&gt;=DE$5-4, $F64&lt;=DE$5, COUNTIF($M64:DD64,"u")=0), "u", "")</f>
        <v/>
      </c>
      <c r="DF64" s="80" t="str">
        <f>IF(AND($F64&lt;&gt;"", $F64&gt;=DF$5-4, $F64&lt;=DF$5, COUNTIF($M64:DE64,"u")=0), "u", "")</f>
        <v/>
      </c>
      <c r="DG64" s="80" t="str">
        <f>IF(AND($F64&lt;&gt;"", $F64&gt;=DG$5-4, $F64&lt;=DG$5, COUNTIF($M64:DF64,"u")=0), "u", "")</f>
        <v/>
      </c>
      <c r="DH64" s="80" t="str">
        <f>IF(AND($F64&lt;&gt;"", $F64&gt;=DH$5-4, $F64&lt;=DH$5, COUNTIF($M64:DG64,"u")=0), "u", "")</f>
        <v/>
      </c>
      <c r="DI64" s="80" t="str">
        <f>IF(AND($F64&lt;&gt;"", $F64&gt;=DI$5-4, $F64&lt;=DI$5, COUNTIF($M64:DH64,"u")=0), "u", "")</f>
        <v/>
      </c>
      <c r="DJ64" s="80" t="str">
        <f>IF(AND($F64&lt;&gt;"", $F64&gt;=DJ$5-4, $F64&lt;=DJ$5, COUNTIF($M64:DI64,"u")=0), "u", "")</f>
        <v/>
      </c>
      <c r="DK64" s="80" t="str">
        <f>IF(AND($F64&lt;&gt;"", $F64&gt;=DK$5-4, $F64&lt;=DK$5, COUNTIF($M64:DJ64,"u")=0), "u", "")</f>
        <v/>
      </c>
      <c r="DL64" s="80" t="str">
        <f>IF(AND($F64&lt;&gt;"", $F64&gt;=DL$5-4, $F64&lt;=DL$5, COUNTIF($M64:DK64,"u")=0), "u", "")</f>
        <v/>
      </c>
    </row>
    <row r="65" spans="1:116" ht="25.05" customHeight="1" x14ac:dyDescent="0.3">
      <c r="A65" s="39"/>
      <c r="B65" s="75">
        <v>60</v>
      </c>
      <c r="C65" s="97"/>
      <c r="D65" s="92"/>
      <c r="E65" s="53"/>
      <c r="F65" s="53"/>
      <c r="G65" s="83" t="str">
        <f t="shared" si="47"/>
        <v/>
      </c>
      <c r="H65" s="83" t="str">
        <f t="shared" si="47"/>
        <v/>
      </c>
      <c r="I65" s="77" t="str">
        <f t="shared" si="45"/>
        <v/>
      </c>
      <c r="J65" s="78"/>
      <c r="K65" s="86"/>
      <c r="L65" s="56"/>
      <c r="M65" s="80" t="str">
        <f t="shared" si="46"/>
        <v/>
      </c>
      <c r="N65" s="80" t="str">
        <f>IF(AND($F65&lt;&gt;"", $F65&gt;=N$5-4, $F65&lt;=N$5, COUNTIF($M65:M65,"u")=0), "u", "")</f>
        <v/>
      </c>
      <c r="O65" s="80" t="str">
        <f>IF(AND($F65&lt;&gt;"", $F65&gt;=O$5-4, $F65&lt;=O$5, COUNTIF($M65:N65,"u")=0), "u", "")</f>
        <v/>
      </c>
      <c r="P65" s="80" t="str">
        <f>IF(AND($F65&lt;&gt;"", $F65&gt;=P$5-4, $F65&lt;=P$5, COUNTIF($M65:O65,"u")=0), "u", "")</f>
        <v/>
      </c>
      <c r="Q65" s="80" t="str">
        <f>IF(AND($F65&lt;&gt;"", $F65&gt;=Q$5-4, $F65&lt;=Q$5, COUNTIF($M65:P65,"u")=0), "u", "")</f>
        <v/>
      </c>
      <c r="R65" s="80" t="str">
        <f>IF(AND($F65&lt;&gt;"", $F65&gt;=R$5-4, $F65&lt;=R$5, COUNTIF($M65:Q65,"u")=0), "u", "")</f>
        <v/>
      </c>
      <c r="S65" s="80" t="str">
        <f>IF(AND($F65&lt;&gt;"", $F65&gt;=S$5-4, $F65&lt;=S$5, COUNTIF($M65:R65,"u")=0), "u", "")</f>
        <v/>
      </c>
      <c r="T65" s="80" t="str">
        <f>IF(AND($F65&lt;&gt;"", $F65&gt;=T$5-4, $F65&lt;=T$5, COUNTIF($M65:S65,"u")=0), "u", "")</f>
        <v/>
      </c>
      <c r="U65" s="80" t="str">
        <f>IF(AND($F65&lt;&gt;"", $F65&gt;=U$5-4, $F65&lt;=U$5, COUNTIF($M65:T65,"u")=0), "u", "")</f>
        <v/>
      </c>
      <c r="V65" s="80" t="str">
        <f>IF(AND($F65&lt;&gt;"", $F65&gt;=V$5-4, $F65&lt;=V$5, COUNTIF($M65:U65,"u")=0), "u", "")</f>
        <v/>
      </c>
      <c r="W65" s="80" t="str">
        <f>IF(AND($F65&lt;&gt;"", $F65&gt;=W$5-4, $F65&lt;=W$5, COUNTIF($M65:V65,"u")=0), "u", "")</f>
        <v/>
      </c>
      <c r="X65" s="80" t="str">
        <f>IF(AND($F65&lt;&gt;"", $F65&gt;=X$5-4, $F65&lt;=X$5, COUNTIF($M65:W65,"u")=0), "u", "")</f>
        <v/>
      </c>
      <c r="Y65" s="80" t="str">
        <f>IF(AND($F65&lt;&gt;"", $F65&gt;=Y$5-4, $F65&lt;=Y$5, COUNTIF($M65:X65,"u")=0), "u", "")</f>
        <v/>
      </c>
      <c r="Z65" s="80" t="str">
        <f>IF(AND($F65&lt;&gt;"", $F65&gt;=Z$5-4, $F65&lt;=Z$5, COUNTIF($M65:Y65,"u")=0), "u", "")</f>
        <v/>
      </c>
      <c r="AA65" s="80" t="str">
        <f>IF(AND($F65&lt;&gt;"", $F65&gt;=AA$5-4, $F65&lt;=AA$5, COUNTIF($M65:Z65,"u")=0), "u", "")</f>
        <v/>
      </c>
      <c r="AB65" s="80" t="str">
        <f>IF(AND($F65&lt;&gt;"", $F65&gt;=AB$5-4, $F65&lt;=AB$5, COUNTIF($M65:AA65,"u")=0), "u", "")</f>
        <v/>
      </c>
      <c r="AC65" s="80" t="str">
        <f>IF(AND($F65&lt;&gt;"", $F65&gt;=AC$5-4, $F65&lt;=AC$5, COUNTIF($M65:AB65,"u")=0), "u", "")</f>
        <v/>
      </c>
      <c r="AD65" s="80" t="str">
        <f>IF(AND($F65&lt;&gt;"", $F65&gt;=AD$5-4, $F65&lt;=AD$5, COUNTIF($M65:AC65,"u")=0), "u", "")</f>
        <v/>
      </c>
      <c r="AE65" s="80" t="str">
        <f>IF(AND($F65&lt;&gt;"", $F65&gt;=AE$5-4, $F65&lt;=AE$5, COUNTIF($M65:AD65,"u")=0), "u", "")</f>
        <v/>
      </c>
      <c r="AF65" s="80" t="str">
        <f>IF(AND($F65&lt;&gt;"", $F65&gt;=AF$5-4, $F65&lt;=AF$5, COUNTIF($M65:AE65,"u")=0), "u", "")</f>
        <v/>
      </c>
      <c r="AG65" s="80" t="str">
        <f>IF(AND($F65&lt;&gt;"", $F65&gt;=AG$5-4, $F65&lt;=AG$5, COUNTIF($M65:AF65,"u")=0), "u", "")</f>
        <v/>
      </c>
      <c r="AH65" s="80" t="str">
        <f>IF(AND($F65&lt;&gt;"", $F65&gt;=AH$5-4, $F65&lt;=AH$5, COUNTIF($M65:AG65,"u")=0), "u", "")</f>
        <v/>
      </c>
      <c r="AI65" s="80" t="str">
        <f>IF(AND($F65&lt;&gt;"", $F65&gt;=AI$5-4, $F65&lt;=AI$5, COUNTIF($M65:AH65,"u")=0), "u", "")</f>
        <v/>
      </c>
      <c r="AJ65" s="80" t="str">
        <f>IF(AND($F65&lt;&gt;"", $F65&gt;=AJ$5-4, $F65&lt;=AJ$5, COUNTIF($M65:AI65,"u")=0), "u", "")</f>
        <v/>
      </c>
      <c r="AK65" s="80" t="str">
        <f>IF(AND($F65&lt;&gt;"", $F65&gt;=AK$5-4, $F65&lt;=AK$5, COUNTIF($M65:AJ65,"u")=0), "u", "")</f>
        <v/>
      </c>
      <c r="AL65" s="80" t="str">
        <f>IF(AND($F65&lt;&gt;"", $F65&gt;=AL$5-4, $F65&lt;=AL$5, COUNTIF($M65:AK65,"u")=0), "u", "")</f>
        <v/>
      </c>
      <c r="AM65" s="80" t="str">
        <f>IF(AND($F65&lt;&gt;"", $F65&gt;=AM$5-4, $F65&lt;=AM$5, COUNTIF($M65:AL65,"u")=0), "u", "")</f>
        <v/>
      </c>
      <c r="AN65" s="80" t="str">
        <f>IF(AND($F65&lt;&gt;"", $F65&gt;=AN$5-4, $F65&lt;=AN$5, COUNTIF($M65:AM65,"u")=0), "u", "")</f>
        <v/>
      </c>
      <c r="AO65" s="80" t="str">
        <f>IF(AND($F65&lt;&gt;"", $F65&gt;=AO$5-4, $F65&lt;=AO$5, COUNTIF($M65:AN65,"u")=0), "u", "")</f>
        <v/>
      </c>
      <c r="AP65" s="80" t="str">
        <f>IF(AND($F65&lt;&gt;"", $F65&gt;=AP$5-4, $F65&lt;=AP$5, COUNTIF($M65:AO65,"u")=0), "u", "")</f>
        <v/>
      </c>
      <c r="AQ65" s="80" t="str">
        <f>IF(AND($F65&lt;&gt;"", $F65&gt;=AQ$5-4, $F65&lt;=AQ$5, COUNTIF($M65:AP65,"u")=0), "u", "")</f>
        <v/>
      </c>
      <c r="AR65" s="80" t="str">
        <f>IF(AND($F65&lt;&gt;"", $F65&gt;=AR$5-4, $F65&lt;=AR$5, COUNTIF($M65:AQ65,"u")=0), "u", "")</f>
        <v/>
      </c>
      <c r="AS65" s="80" t="str">
        <f>IF(AND($F65&lt;&gt;"", $F65&gt;=AS$5-4, $F65&lt;=AS$5, COUNTIF($M65:AR65,"u")=0), "u", "")</f>
        <v/>
      </c>
      <c r="AT65" s="80" t="str">
        <f>IF(AND($F65&lt;&gt;"", $F65&gt;=AT$5-4, $F65&lt;=AT$5, COUNTIF($M65:AS65,"u")=0), "u", "")</f>
        <v/>
      </c>
      <c r="AU65" s="80" t="str">
        <f>IF(AND($F65&lt;&gt;"", $F65&gt;=AU$5-4, $F65&lt;=AU$5, COUNTIF($M65:AT65,"u")=0), "u", "")</f>
        <v/>
      </c>
      <c r="AV65" s="80" t="str">
        <f>IF(AND($F65&lt;&gt;"", $F65&gt;=AV$5-4, $F65&lt;=AV$5, COUNTIF($M65:AU65,"u")=0), "u", "")</f>
        <v/>
      </c>
      <c r="AW65" s="80" t="str">
        <f>IF(AND($F65&lt;&gt;"", $F65&gt;=AW$5-4, $F65&lt;=AW$5, COUNTIF($M65:AV65,"u")=0), "u", "")</f>
        <v/>
      </c>
      <c r="AX65" s="80" t="str">
        <f>IF(AND($F65&lt;&gt;"", $F65&gt;=AX$5-4, $F65&lt;=AX$5, COUNTIF($M65:AW65,"u")=0), "u", "")</f>
        <v/>
      </c>
      <c r="AY65" s="80" t="str">
        <f>IF(AND($F65&lt;&gt;"", $F65&gt;=AY$5-4, $F65&lt;=AY$5, COUNTIF($M65:AX65,"u")=0), "u", "")</f>
        <v/>
      </c>
      <c r="AZ65" s="80" t="str">
        <f>IF(AND($F65&lt;&gt;"", $F65&gt;=AZ$5-4, $F65&lt;=AZ$5, COUNTIF($M65:AY65,"u")=0), "u", "")</f>
        <v/>
      </c>
      <c r="BA65" s="80" t="str">
        <f>IF(AND($F65&lt;&gt;"", $F65&gt;=BA$5-4, $F65&lt;=BA$5, COUNTIF($M65:AZ65,"u")=0), "u", "")</f>
        <v/>
      </c>
      <c r="BB65" s="80" t="str">
        <f>IF(AND($F65&lt;&gt;"", $F65&gt;=BB$5-4, $F65&lt;=BB$5, COUNTIF($M65:BA65,"u")=0), "u", "")</f>
        <v/>
      </c>
      <c r="BC65" s="80" t="str">
        <f>IF(AND($F65&lt;&gt;"", $F65&gt;=BC$5-4, $F65&lt;=BC$5, COUNTIF($M65:BB65,"u")=0), "u", "")</f>
        <v/>
      </c>
      <c r="BD65" s="80" t="str">
        <f>IF(AND($F65&lt;&gt;"", $F65&gt;=BD$5-4, $F65&lt;=BD$5, COUNTIF($M65:BC65,"u")=0), "u", "")</f>
        <v/>
      </c>
      <c r="BE65" s="80" t="str">
        <f>IF(AND($F65&lt;&gt;"", $F65&gt;=BE$5-4, $F65&lt;=BE$5, COUNTIF($M65:BD65,"u")=0), "u", "")</f>
        <v/>
      </c>
      <c r="BF65" s="80" t="str">
        <f>IF(AND($F65&lt;&gt;"", $F65&gt;=BF$5-4, $F65&lt;=BF$5, COUNTIF($M65:BE65,"u")=0), "u", "")</f>
        <v/>
      </c>
      <c r="BG65" s="80" t="str">
        <f>IF(AND($F65&lt;&gt;"", $F65&gt;=BG$5-4, $F65&lt;=BG$5, COUNTIF($M65:BF65,"u")=0), "u", "")</f>
        <v/>
      </c>
      <c r="BH65" s="80" t="str">
        <f>IF(AND($F65&lt;&gt;"", $F65&gt;=BH$5-4, $F65&lt;=BH$5, COUNTIF($M65:BG65,"u")=0), "u", "")</f>
        <v/>
      </c>
      <c r="BI65" s="80" t="str">
        <f>IF(AND($F65&lt;&gt;"", $F65&gt;=BI$5-4, $F65&lt;=BI$5, COUNTIF($M65:BH65,"u")=0), "u", "")</f>
        <v/>
      </c>
      <c r="BJ65" s="80" t="str">
        <f>IF(AND($F65&lt;&gt;"", $F65&gt;=BJ$5-4, $F65&lt;=BJ$5, COUNTIF($M65:BI65,"u")=0), "u", "")</f>
        <v/>
      </c>
      <c r="BK65" s="80" t="str">
        <f>IF(AND($F65&lt;&gt;"", $F65&gt;=BK$5-4, $F65&lt;=BK$5, COUNTIF($M65:BJ65,"u")=0), "u", "")</f>
        <v/>
      </c>
      <c r="BL65" s="80" t="str">
        <f>IF(AND($F65&lt;&gt;"", $F65&gt;=BL$5-4, $F65&lt;=BL$5, COUNTIF($M65:BK65,"u")=0), "u", "")</f>
        <v/>
      </c>
      <c r="BM65" s="80" t="str">
        <f>IF(AND($F65&lt;&gt;"", $F65&gt;=BM$5-4, $F65&lt;=BM$5, COUNTIF($M65:BL65,"u")=0), "u", "")</f>
        <v/>
      </c>
      <c r="BN65" s="80" t="str">
        <f>IF(AND($F65&lt;&gt;"", $F65&gt;=BN$5-4, $F65&lt;=BN$5, COUNTIF($M65:BM65,"u")=0), "u", "")</f>
        <v/>
      </c>
      <c r="BO65" s="80" t="str">
        <f>IF(AND($F65&lt;&gt;"", $F65&gt;=BO$5-4, $F65&lt;=BO$5, COUNTIF($M65:BN65,"u")=0), "u", "")</f>
        <v/>
      </c>
      <c r="BP65" s="80" t="str">
        <f>IF(AND($F65&lt;&gt;"", $F65&gt;=BP$5-4, $F65&lt;=BP$5, COUNTIF($M65:BO65,"u")=0), "u", "")</f>
        <v/>
      </c>
      <c r="BQ65" s="80" t="str">
        <f>IF(AND($F65&lt;&gt;"", $F65&gt;=BQ$5-4, $F65&lt;=BQ$5, COUNTIF($M65:BP65,"u")=0), "u", "")</f>
        <v/>
      </c>
      <c r="BR65" s="80" t="str">
        <f>IF(AND($F65&lt;&gt;"", $F65&gt;=BR$5-4, $F65&lt;=BR$5, COUNTIF($M65:BQ65,"u")=0), "u", "")</f>
        <v/>
      </c>
      <c r="BS65" s="80" t="str">
        <f>IF(AND($F65&lt;&gt;"", $F65&gt;=BS$5-4, $F65&lt;=BS$5, COUNTIF($M65:BR65,"u")=0), "u", "")</f>
        <v/>
      </c>
      <c r="BT65" s="80" t="str">
        <f>IF(AND($F65&lt;&gt;"", $F65&gt;=BT$5-4, $F65&lt;=BT$5, COUNTIF($M65:BS65,"u")=0), "u", "")</f>
        <v/>
      </c>
      <c r="BU65" s="80" t="str">
        <f>IF(AND($F65&lt;&gt;"", $F65&gt;=BU$5-4, $F65&lt;=BU$5, COUNTIF($M65:BT65,"u")=0), "u", "")</f>
        <v/>
      </c>
      <c r="BV65" s="80" t="str">
        <f>IF(AND($F65&lt;&gt;"", $F65&gt;=BV$5-4, $F65&lt;=BV$5, COUNTIF($M65:BU65,"u")=0), "u", "")</f>
        <v/>
      </c>
      <c r="BW65" s="80" t="str">
        <f>IF(AND($F65&lt;&gt;"", $F65&gt;=BW$5-4, $F65&lt;=BW$5, COUNTIF($M65:BV65,"u")=0), "u", "")</f>
        <v/>
      </c>
      <c r="BX65" s="80" t="str">
        <f>IF(AND($F65&lt;&gt;"", $F65&gt;=BX$5-4, $F65&lt;=BX$5, COUNTIF($M65:BW65,"u")=0), "u", "")</f>
        <v/>
      </c>
      <c r="BY65" s="80" t="str">
        <f>IF(AND($F65&lt;&gt;"", $F65&gt;=BY$5-4, $F65&lt;=BY$5, COUNTIF($M65:BX65,"u")=0), "u", "")</f>
        <v/>
      </c>
      <c r="BZ65" s="80" t="str">
        <f>IF(AND($F65&lt;&gt;"", $F65&gt;=BZ$5-4, $F65&lt;=BZ$5, COUNTIF($M65:BY65,"u")=0), "u", "")</f>
        <v/>
      </c>
      <c r="CA65" s="80" t="str">
        <f>IF(AND($F65&lt;&gt;"", $F65&gt;=CA$5-4, $F65&lt;=CA$5, COUNTIF($M65:BZ65,"u")=0), "u", "")</f>
        <v/>
      </c>
      <c r="CB65" s="80" t="str">
        <f>IF(AND($F65&lt;&gt;"", $F65&gt;=CB$5-4, $F65&lt;=CB$5, COUNTIF($M65:CA65,"u")=0), "u", "")</f>
        <v/>
      </c>
      <c r="CC65" s="80" t="str">
        <f>IF(AND($F65&lt;&gt;"", $F65&gt;=CC$5-4, $F65&lt;=CC$5, COUNTIF($M65:CB65,"u")=0), "u", "")</f>
        <v/>
      </c>
      <c r="CD65" s="80" t="str">
        <f>IF(AND($F65&lt;&gt;"", $F65&gt;=CD$5-4, $F65&lt;=CD$5, COUNTIF($M65:CC65,"u")=0), "u", "")</f>
        <v/>
      </c>
      <c r="CE65" s="80" t="str">
        <f>IF(AND($F65&lt;&gt;"", $F65&gt;=CE$5-4, $F65&lt;=CE$5, COUNTIF($M65:CD65,"u")=0), "u", "")</f>
        <v/>
      </c>
      <c r="CF65" s="80" t="str">
        <f>IF(AND($F65&lt;&gt;"", $F65&gt;=CF$5-4, $F65&lt;=CF$5, COUNTIF($M65:CE65,"u")=0), "u", "")</f>
        <v/>
      </c>
      <c r="CG65" s="80" t="str">
        <f>IF(AND($F65&lt;&gt;"", $F65&gt;=CG$5-4, $F65&lt;=CG$5, COUNTIF($M65:CF65,"u")=0), "u", "")</f>
        <v/>
      </c>
      <c r="CH65" s="80" t="str">
        <f>IF(AND($F65&lt;&gt;"", $F65&gt;=CH$5-4, $F65&lt;=CH$5, COUNTIF($M65:CG65,"u")=0), "u", "")</f>
        <v/>
      </c>
      <c r="CI65" s="80" t="str">
        <f>IF(AND($F65&lt;&gt;"", $F65&gt;=CI$5-4, $F65&lt;=CI$5, COUNTIF($M65:CH65,"u")=0), "u", "")</f>
        <v/>
      </c>
      <c r="CJ65" s="80" t="str">
        <f>IF(AND($F65&lt;&gt;"", $F65&gt;=CJ$5-4, $F65&lt;=CJ$5, COUNTIF($M65:CI65,"u")=0), "u", "")</f>
        <v/>
      </c>
      <c r="CK65" s="80" t="str">
        <f>IF(AND($F65&lt;&gt;"", $F65&gt;=CK$5-4, $F65&lt;=CK$5, COUNTIF($M65:CJ65,"u")=0), "u", "")</f>
        <v/>
      </c>
      <c r="CL65" s="80" t="str">
        <f>IF(AND($F65&lt;&gt;"", $F65&gt;=CL$5-4, $F65&lt;=CL$5, COUNTIF($M65:CK65,"u")=0), "u", "")</f>
        <v/>
      </c>
      <c r="CM65" s="80" t="str">
        <f>IF(AND($F65&lt;&gt;"", $F65&gt;=CM$5-4, $F65&lt;=CM$5, COUNTIF($M65:CL65,"u")=0), "u", "")</f>
        <v/>
      </c>
      <c r="CN65" s="80" t="str">
        <f>IF(AND($F65&lt;&gt;"", $F65&gt;=CN$5-4, $F65&lt;=CN$5, COUNTIF($M65:CM65,"u")=0), "u", "")</f>
        <v/>
      </c>
      <c r="CO65" s="80" t="str">
        <f>IF(AND($F65&lt;&gt;"", $F65&gt;=CO$5-4, $F65&lt;=CO$5, COUNTIF($M65:CN65,"u")=0), "u", "")</f>
        <v/>
      </c>
      <c r="CP65" s="80" t="str">
        <f>IF(AND($F65&lt;&gt;"", $F65&gt;=CP$5-4, $F65&lt;=CP$5, COUNTIF($M65:CO65,"u")=0), "u", "")</f>
        <v/>
      </c>
      <c r="CQ65" s="80" t="str">
        <f>IF(AND($F65&lt;&gt;"", $F65&gt;=CQ$5-4, $F65&lt;=CQ$5, COUNTIF($M65:CP65,"u")=0), "u", "")</f>
        <v/>
      </c>
      <c r="CR65" s="80" t="str">
        <f>IF(AND($F65&lt;&gt;"", $F65&gt;=CR$5-4, $F65&lt;=CR$5, COUNTIF($M65:CQ65,"u")=0), "u", "")</f>
        <v/>
      </c>
      <c r="CS65" s="80" t="str">
        <f>IF(AND($F65&lt;&gt;"", $F65&gt;=CS$5-4, $F65&lt;=CS$5, COUNTIF($M65:CR65,"u")=0), "u", "")</f>
        <v/>
      </c>
      <c r="CT65" s="80" t="str">
        <f>IF(AND($F65&lt;&gt;"", $F65&gt;=CT$5-4, $F65&lt;=CT$5, COUNTIF($M65:CS65,"u")=0), "u", "")</f>
        <v/>
      </c>
      <c r="CU65" s="80" t="str">
        <f>IF(AND($F65&lt;&gt;"", $F65&gt;=CU$5-4, $F65&lt;=CU$5, COUNTIF($M65:CT65,"u")=0), "u", "")</f>
        <v/>
      </c>
      <c r="CV65" s="80" t="str">
        <f>IF(AND($F65&lt;&gt;"", $F65&gt;=CV$5-4, $F65&lt;=CV$5, COUNTIF($M65:CU65,"u")=0), "u", "")</f>
        <v/>
      </c>
      <c r="CW65" s="80" t="str">
        <f>IF(AND($F65&lt;&gt;"", $F65&gt;=CW$5-4, $F65&lt;=CW$5, COUNTIF($M65:CV65,"u")=0), "u", "")</f>
        <v/>
      </c>
      <c r="CX65" s="80" t="str">
        <f>IF(AND($F65&lt;&gt;"", $F65&gt;=CX$5-4, $F65&lt;=CX$5, COUNTIF($M65:CW65,"u")=0), "u", "")</f>
        <v/>
      </c>
      <c r="CY65" s="80" t="str">
        <f>IF(AND($F65&lt;&gt;"", $F65&gt;=CY$5-4, $F65&lt;=CY$5, COUNTIF($M65:CX65,"u")=0), "u", "")</f>
        <v/>
      </c>
      <c r="CZ65" s="80" t="str">
        <f>IF(AND($F65&lt;&gt;"", $F65&gt;=CZ$5-4, $F65&lt;=CZ$5, COUNTIF($M65:CY65,"u")=0), "u", "")</f>
        <v/>
      </c>
      <c r="DA65" s="80" t="str">
        <f>IF(AND($F65&lt;&gt;"", $F65&gt;=DA$5-4, $F65&lt;=DA$5, COUNTIF($M65:CZ65,"u")=0), "u", "")</f>
        <v/>
      </c>
      <c r="DB65" s="80" t="str">
        <f>IF(AND($F65&lt;&gt;"", $F65&gt;=DB$5-4, $F65&lt;=DB$5, COUNTIF($M65:DA65,"u")=0), "u", "")</f>
        <v/>
      </c>
      <c r="DC65" s="80" t="str">
        <f>IF(AND($F65&lt;&gt;"", $F65&gt;=DC$5-4, $F65&lt;=DC$5, COUNTIF($M65:DB65,"u")=0), "u", "")</f>
        <v/>
      </c>
      <c r="DD65" s="80" t="str">
        <f>IF(AND($F65&lt;&gt;"", $F65&gt;=DD$5-4, $F65&lt;=DD$5, COUNTIF($M65:DC65,"u")=0), "u", "")</f>
        <v/>
      </c>
      <c r="DE65" s="80" t="str">
        <f>IF(AND($F65&lt;&gt;"", $F65&gt;=DE$5-4, $F65&lt;=DE$5, COUNTIF($M65:DD65,"u")=0), "u", "")</f>
        <v/>
      </c>
      <c r="DF65" s="80" t="str">
        <f>IF(AND($F65&lt;&gt;"", $F65&gt;=DF$5-4, $F65&lt;=DF$5, COUNTIF($M65:DE65,"u")=0), "u", "")</f>
        <v/>
      </c>
      <c r="DG65" s="80" t="str">
        <f>IF(AND($F65&lt;&gt;"", $F65&gt;=DG$5-4, $F65&lt;=DG$5, COUNTIF($M65:DF65,"u")=0), "u", "")</f>
        <v/>
      </c>
      <c r="DH65" s="80" t="str">
        <f>IF(AND($F65&lt;&gt;"", $F65&gt;=DH$5-4, $F65&lt;=DH$5, COUNTIF($M65:DG65,"u")=0), "u", "")</f>
        <v/>
      </c>
      <c r="DI65" s="80" t="str">
        <f>IF(AND($F65&lt;&gt;"", $F65&gt;=DI$5-4, $F65&lt;=DI$5, COUNTIF($M65:DH65,"u")=0), "u", "")</f>
        <v/>
      </c>
      <c r="DJ65" s="80" t="str">
        <f>IF(AND($F65&lt;&gt;"", $F65&gt;=DJ$5-4, $F65&lt;=DJ$5, COUNTIF($M65:DI65,"u")=0), "u", "")</f>
        <v/>
      </c>
      <c r="DK65" s="80" t="str">
        <f>IF(AND($F65&lt;&gt;"", $F65&gt;=DK$5-4, $F65&lt;=DK$5, COUNTIF($M65:DJ65,"u")=0), "u", "")</f>
        <v/>
      </c>
      <c r="DL65" s="80" t="str">
        <f>IF(AND($F65&lt;&gt;"", $F65&gt;=DL$5-4, $F65&lt;=DL$5, COUNTIF($M65:DK65,"u")=0), "u", "")</f>
        <v/>
      </c>
    </row>
    <row r="66" spans="1:116" ht="25.05" customHeight="1" x14ac:dyDescent="0.3">
      <c r="A66" s="39"/>
      <c r="B66" s="75">
        <v>61</v>
      </c>
      <c r="C66" s="97"/>
      <c r="D66" s="92"/>
      <c r="E66" s="53"/>
      <c r="F66" s="53"/>
      <c r="G66" s="83" t="str">
        <f t="shared" si="47"/>
        <v/>
      </c>
      <c r="H66" s="83" t="str">
        <f t="shared" si="47"/>
        <v/>
      </c>
      <c r="I66" s="77" t="str">
        <f t="shared" si="45"/>
        <v/>
      </c>
      <c r="J66" s="78"/>
      <c r="K66" s="86"/>
      <c r="L66" s="56"/>
      <c r="M66" s="80" t="str">
        <f t="shared" si="46"/>
        <v/>
      </c>
      <c r="N66" s="80" t="str">
        <f>IF(AND($F66&lt;&gt;"", $F66&gt;=N$5-4, $F66&lt;=N$5, COUNTIF($M66:M66,"u")=0), "u", "")</f>
        <v/>
      </c>
      <c r="O66" s="80" t="str">
        <f>IF(AND($F66&lt;&gt;"", $F66&gt;=O$5-4, $F66&lt;=O$5, COUNTIF($M66:N66,"u")=0), "u", "")</f>
        <v/>
      </c>
      <c r="P66" s="80" t="str">
        <f>IF(AND($F66&lt;&gt;"", $F66&gt;=P$5-4, $F66&lt;=P$5, COUNTIF($M66:O66,"u")=0), "u", "")</f>
        <v/>
      </c>
      <c r="Q66" s="80" t="str">
        <f>IF(AND($F66&lt;&gt;"", $F66&gt;=Q$5-4, $F66&lt;=Q$5, COUNTIF($M66:P66,"u")=0), "u", "")</f>
        <v/>
      </c>
      <c r="R66" s="80" t="str">
        <f>IF(AND($F66&lt;&gt;"", $F66&gt;=R$5-4, $F66&lt;=R$5, COUNTIF($M66:Q66,"u")=0), "u", "")</f>
        <v/>
      </c>
      <c r="S66" s="80" t="str">
        <f>IF(AND($F66&lt;&gt;"", $F66&gt;=S$5-4, $F66&lt;=S$5, COUNTIF($M66:R66,"u")=0), "u", "")</f>
        <v/>
      </c>
      <c r="T66" s="80" t="str">
        <f>IF(AND($F66&lt;&gt;"", $F66&gt;=T$5-4, $F66&lt;=T$5, COUNTIF($M66:S66,"u")=0), "u", "")</f>
        <v/>
      </c>
      <c r="U66" s="80" t="str">
        <f>IF(AND($F66&lt;&gt;"", $F66&gt;=U$5-4, $F66&lt;=U$5, COUNTIF($M66:T66,"u")=0), "u", "")</f>
        <v/>
      </c>
      <c r="V66" s="80" t="str">
        <f>IF(AND($F66&lt;&gt;"", $F66&gt;=V$5-4, $F66&lt;=V$5, COUNTIF($M66:U66,"u")=0), "u", "")</f>
        <v/>
      </c>
      <c r="W66" s="80" t="str">
        <f>IF(AND($F66&lt;&gt;"", $F66&gt;=W$5-4, $F66&lt;=W$5, COUNTIF($M66:V66,"u")=0), "u", "")</f>
        <v/>
      </c>
      <c r="X66" s="80" t="str">
        <f>IF(AND($F66&lt;&gt;"", $F66&gt;=X$5-4, $F66&lt;=X$5, COUNTIF($M66:W66,"u")=0), "u", "")</f>
        <v/>
      </c>
      <c r="Y66" s="80" t="str">
        <f>IF(AND($F66&lt;&gt;"", $F66&gt;=Y$5-4, $F66&lt;=Y$5, COUNTIF($M66:X66,"u")=0), "u", "")</f>
        <v/>
      </c>
      <c r="Z66" s="80" t="str">
        <f>IF(AND($F66&lt;&gt;"", $F66&gt;=Z$5-4, $F66&lt;=Z$5, COUNTIF($M66:Y66,"u")=0), "u", "")</f>
        <v/>
      </c>
      <c r="AA66" s="80" t="str">
        <f>IF(AND($F66&lt;&gt;"", $F66&gt;=AA$5-4, $F66&lt;=AA$5, COUNTIF($M66:Z66,"u")=0), "u", "")</f>
        <v/>
      </c>
      <c r="AB66" s="80" t="str">
        <f>IF(AND($F66&lt;&gt;"", $F66&gt;=AB$5-4, $F66&lt;=AB$5, COUNTIF($M66:AA66,"u")=0), "u", "")</f>
        <v/>
      </c>
      <c r="AC66" s="80" t="str">
        <f>IF(AND($F66&lt;&gt;"", $F66&gt;=AC$5-4, $F66&lt;=AC$5, COUNTIF($M66:AB66,"u")=0), "u", "")</f>
        <v/>
      </c>
      <c r="AD66" s="80" t="str">
        <f>IF(AND($F66&lt;&gt;"", $F66&gt;=AD$5-4, $F66&lt;=AD$5, COUNTIF($M66:AC66,"u")=0), "u", "")</f>
        <v/>
      </c>
      <c r="AE66" s="80" t="str">
        <f>IF(AND($F66&lt;&gt;"", $F66&gt;=AE$5-4, $F66&lt;=AE$5, COUNTIF($M66:AD66,"u")=0), "u", "")</f>
        <v/>
      </c>
      <c r="AF66" s="80" t="str">
        <f>IF(AND($F66&lt;&gt;"", $F66&gt;=AF$5-4, $F66&lt;=AF$5, COUNTIF($M66:AE66,"u")=0), "u", "")</f>
        <v/>
      </c>
      <c r="AG66" s="80" t="str">
        <f>IF(AND($F66&lt;&gt;"", $F66&gt;=AG$5-4, $F66&lt;=AG$5, COUNTIF($M66:AF66,"u")=0), "u", "")</f>
        <v/>
      </c>
      <c r="AH66" s="80" t="str">
        <f>IF(AND($F66&lt;&gt;"", $F66&gt;=AH$5-4, $F66&lt;=AH$5, COUNTIF($M66:AG66,"u")=0), "u", "")</f>
        <v/>
      </c>
      <c r="AI66" s="80" t="str">
        <f>IF(AND($F66&lt;&gt;"", $F66&gt;=AI$5-4, $F66&lt;=AI$5, COUNTIF($M66:AH66,"u")=0), "u", "")</f>
        <v/>
      </c>
      <c r="AJ66" s="80" t="str">
        <f>IF(AND($F66&lt;&gt;"", $F66&gt;=AJ$5-4, $F66&lt;=AJ$5, COUNTIF($M66:AI66,"u")=0), "u", "")</f>
        <v/>
      </c>
      <c r="AK66" s="80" t="str">
        <f>IF(AND($F66&lt;&gt;"", $F66&gt;=AK$5-4, $F66&lt;=AK$5, COUNTIF($M66:AJ66,"u")=0), "u", "")</f>
        <v/>
      </c>
      <c r="AL66" s="80" t="str">
        <f>IF(AND($F66&lt;&gt;"", $F66&gt;=AL$5-4, $F66&lt;=AL$5, COUNTIF($M66:AK66,"u")=0), "u", "")</f>
        <v/>
      </c>
      <c r="AM66" s="80" t="str">
        <f>IF(AND($F66&lt;&gt;"", $F66&gt;=AM$5-4, $F66&lt;=AM$5, COUNTIF($M66:AL66,"u")=0), "u", "")</f>
        <v/>
      </c>
      <c r="AN66" s="80" t="str">
        <f>IF(AND($F66&lt;&gt;"", $F66&gt;=AN$5-4, $F66&lt;=AN$5, COUNTIF($M66:AM66,"u")=0), "u", "")</f>
        <v/>
      </c>
      <c r="AO66" s="80" t="str">
        <f>IF(AND($F66&lt;&gt;"", $F66&gt;=AO$5-4, $F66&lt;=AO$5, COUNTIF($M66:AN66,"u")=0), "u", "")</f>
        <v/>
      </c>
      <c r="AP66" s="80" t="str">
        <f>IF(AND($F66&lt;&gt;"", $F66&gt;=AP$5-4, $F66&lt;=AP$5, COUNTIF($M66:AO66,"u")=0), "u", "")</f>
        <v/>
      </c>
      <c r="AQ66" s="80" t="str">
        <f>IF(AND($F66&lt;&gt;"", $F66&gt;=AQ$5-4, $F66&lt;=AQ$5, COUNTIF($M66:AP66,"u")=0), "u", "")</f>
        <v/>
      </c>
      <c r="AR66" s="80" t="str">
        <f>IF(AND($F66&lt;&gt;"", $F66&gt;=AR$5-4, $F66&lt;=AR$5, COUNTIF($M66:AQ66,"u")=0), "u", "")</f>
        <v/>
      </c>
      <c r="AS66" s="80" t="str">
        <f>IF(AND($F66&lt;&gt;"", $F66&gt;=AS$5-4, $F66&lt;=AS$5, COUNTIF($M66:AR66,"u")=0), "u", "")</f>
        <v/>
      </c>
      <c r="AT66" s="80" t="str">
        <f>IF(AND($F66&lt;&gt;"", $F66&gt;=AT$5-4, $F66&lt;=AT$5, COUNTIF($M66:AS66,"u")=0), "u", "")</f>
        <v/>
      </c>
      <c r="AU66" s="80" t="str">
        <f>IF(AND($F66&lt;&gt;"", $F66&gt;=AU$5-4, $F66&lt;=AU$5, COUNTIF($M66:AT66,"u")=0), "u", "")</f>
        <v/>
      </c>
      <c r="AV66" s="80" t="str">
        <f>IF(AND($F66&lt;&gt;"", $F66&gt;=AV$5-4, $F66&lt;=AV$5, COUNTIF($M66:AU66,"u")=0), "u", "")</f>
        <v/>
      </c>
      <c r="AW66" s="80" t="str">
        <f>IF(AND($F66&lt;&gt;"", $F66&gt;=AW$5-4, $F66&lt;=AW$5, COUNTIF($M66:AV66,"u")=0), "u", "")</f>
        <v/>
      </c>
      <c r="AX66" s="80" t="str">
        <f>IF(AND($F66&lt;&gt;"", $F66&gt;=AX$5-4, $F66&lt;=AX$5, COUNTIF($M66:AW66,"u")=0), "u", "")</f>
        <v/>
      </c>
      <c r="AY66" s="80" t="str">
        <f>IF(AND($F66&lt;&gt;"", $F66&gt;=AY$5-4, $F66&lt;=AY$5, COUNTIF($M66:AX66,"u")=0), "u", "")</f>
        <v/>
      </c>
      <c r="AZ66" s="80" t="str">
        <f>IF(AND($F66&lt;&gt;"", $F66&gt;=AZ$5-4, $F66&lt;=AZ$5, COUNTIF($M66:AY66,"u")=0), "u", "")</f>
        <v/>
      </c>
      <c r="BA66" s="80" t="str">
        <f>IF(AND($F66&lt;&gt;"", $F66&gt;=BA$5-4, $F66&lt;=BA$5, COUNTIF($M66:AZ66,"u")=0), "u", "")</f>
        <v/>
      </c>
      <c r="BB66" s="80" t="str">
        <f>IF(AND($F66&lt;&gt;"", $F66&gt;=BB$5-4, $F66&lt;=BB$5, COUNTIF($M66:BA66,"u")=0), "u", "")</f>
        <v/>
      </c>
      <c r="BC66" s="80" t="str">
        <f>IF(AND($F66&lt;&gt;"", $F66&gt;=BC$5-4, $F66&lt;=BC$5, COUNTIF($M66:BB66,"u")=0), "u", "")</f>
        <v/>
      </c>
      <c r="BD66" s="80" t="str">
        <f>IF(AND($F66&lt;&gt;"", $F66&gt;=BD$5-4, $F66&lt;=BD$5, COUNTIF($M66:BC66,"u")=0), "u", "")</f>
        <v/>
      </c>
      <c r="BE66" s="80" t="str">
        <f>IF(AND($F66&lt;&gt;"", $F66&gt;=BE$5-4, $F66&lt;=BE$5, COUNTIF($M66:BD66,"u")=0), "u", "")</f>
        <v/>
      </c>
      <c r="BF66" s="80" t="str">
        <f>IF(AND($F66&lt;&gt;"", $F66&gt;=BF$5-4, $F66&lt;=BF$5, COUNTIF($M66:BE66,"u")=0), "u", "")</f>
        <v/>
      </c>
      <c r="BG66" s="80" t="str">
        <f>IF(AND($F66&lt;&gt;"", $F66&gt;=BG$5-4, $F66&lt;=BG$5, COUNTIF($M66:BF66,"u")=0), "u", "")</f>
        <v/>
      </c>
      <c r="BH66" s="80" t="str">
        <f>IF(AND($F66&lt;&gt;"", $F66&gt;=BH$5-4, $F66&lt;=BH$5, COUNTIF($M66:BG66,"u")=0), "u", "")</f>
        <v/>
      </c>
      <c r="BI66" s="80" t="str">
        <f>IF(AND($F66&lt;&gt;"", $F66&gt;=BI$5-4, $F66&lt;=BI$5, COUNTIF($M66:BH66,"u")=0), "u", "")</f>
        <v/>
      </c>
      <c r="BJ66" s="80" t="str">
        <f>IF(AND($F66&lt;&gt;"", $F66&gt;=BJ$5-4, $F66&lt;=BJ$5, COUNTIF($M66:BI66,"u")=0), "u", "")</f>
        <v/>
      </c>
      <c r="BK66" s="80" t="str">
        <f>IF(AND($F66&lt;&gt;"", $F66&gt;=BK$5-4, $F66&lt;=BK$5, COUNTIF($M66:BJ66,"u")=0), "u", "")</f>
        <v/>
      </c>
      <c r="BL66" s="80" t="str">
        <f>IF(AND($F66&lt;&gt;"", $F66&gt;=BL$5-4, $F66&lt;=BL$5, COUNTIF($M66:BK66,"u")=0), "u", "")</f>
        <v/>
      </c>
      <c r="BM66" s="80" t="str">
        <f>IF(AND($F66&lt;&gt;"", $F66&gt;=BM$5-4, $F66&lt;=BM$5, COUNTIF($M66:BL66,"u")=0), "u", "")</f>
        <v/>
      </c>
      <c r="BN66" s="80" t="str">
        <f>IF(AND($F66&lt;&gt;"", $F66&gt;=BN$5-4, $F66&lt;=BN$5, COUNTIF($M66:BM66,"u")=0), "u", "")</f>
        <v/>
      </c>
      <c r="BO66" s="80" t="str">
        <f>IF(AND($F66&lt;&gt;"", $F66&gt;=BO$5-4, $F66&lt;=BO$5, COUNTIF($M66:BN66,"u")=0), "u", "")</f>
        <v/>
      </c>
      <c r="BP66" s="80" t="str">
        <f>IF(AND($F66&lt;&gt;"", $F66&gt;=BP$5-4, $F66&lt;=BP$5, COUNTIF($M66:BO66,"u")=0), "u", "")</f>
        <v/>
      </c>
      <c r="BQ66" s="80" t="str">
        <f>IF(AND($F66&lt;&gt;"", $F66&gt;=BQ$5-4, $F66&lt;=BQ$5, COUNTIF($M66:BP66,"u")=0), "u", "")</f>
        <v/>
      </c>
      <c r="BR66" s="80" t="str">
        <f>IF(AND($F66&lt;&gt;"", $F66&gt;=BR$5-4, $F66&lt;=BR$5, COUNTIF($M66:BQ66,"u")=0), "u", "")</f>
        <v/>
      </c>
      <c r="BS66" s="80" t="str">
        <f>IF(AND($F66&lt;&gt;"", $F66&gt;=BS$5-4, $F66&lt;=BS$5, COUNTIF($M66:BR66,"u")=0), "u", "")</f>
        <v/>
      </c>
      <c r="BT66" s="80" t="str">
        <f>IF(AND($F66&lt;&gt;"", $F66&gt;=BT$5-4, $F66&lt;=BT$5, COUNTIF($M66:BS66,"u")=0), "u", "")</f>
        <v/>
      </c>
      <c r="BU66" s="80" t="str">
        <f>IF(AND($F66&lt;&gt;"", $F66&gt;=BU$5-4, $F66&lt;=BU$5, COUNTIF($M66:BT66,"u")=0), "u", "")</f>
        <v/>
      </c>
      <c r="BV66" s="80" t="str">
        <f>IF(AND($F66&lt;&gt;"", $F66&gt;=BV$5-4, $F66&lt;=BV$5, COUNTIF($M66:BU66,"u")=0), "u", "")</f>
        <v/>
      </c>
      <c r="BW66" s="80" t="str">
        <f>IF(AND($F66&lt;&gt;"", $F66&gt;=BW$5-4, $F66&lt;=BW$5, COUNTIF($M66:BV66,"u")=0), "u", "")</f>
        <v/>
      </c>
      <c r="BX66" s="80" t="str">
        <f>IF(AND($F66&lt;&gt;"", $F66&gt;=BX$5-4, $F66&lt;=BX$5, COUNTIF($M66:BW66,"u")=0), "u", "")</f>
        <v/>
      </c>
      <c r="BY66" s="80" t="str">
        <f>IF(AND($F66&lt;&gt;"", $F66&gt;=BY$5-4, $F66&lt;=BY$5, COUNTIF($M66:BX66,"u")=0), "u", "")</f>
        <v/>
      </c>
      <c r="BZ66" s="80" t="str">
        <f>IF(AND($F66&lt;&gt;"", $F66&gt;=BZ$5-4, $F66&lt;=BZ$5, COUNTIF($M66:BY66,"u")=0), "u", "")</f>
        <v/>
      </c>
      <c r="CA66" s="80" t="str">
        <f>IF(AND($F66&lt;&gt;"", $F66&gt;=CA$5-4, $F66&lt;=CA$5, COUNTIF($M66:BZ66,"u")=0), "u", "")</f>
        <v/>
      </c>
      <c r="CB66" s="80" t="str">
        <f>IF(AND($F66&lt;&gt;"", $F66&gt;=CB$5-4, $F66&lt;=CB$5, COUNTIF($M66:CA66,"u")=0), "u", "")</f>
        <v/>
      </c>
      <c r="CC66" s="80" t="str">
        <f>IF(AND($F66&lt;&gt;"", $F66&gt;=CC$5-4, $F66&lt;=CC$5, COUNTIF($M66:CB66,"u")=0), "u", "")</f>
        <v/>
      </c>
      <c r="CD66" s="80" t="str">
        <f>IF(AND($F66&lt;&gt;"", $F66&gt;=CD$5-4, $F66&lt;=CD$5, COUNTIF($M66:CC66,"u")=0), "u", "")</f>
        <v/>
      </c>
      <c r="CE66" s="80" t="str">
        <f>IF(AND($F66&lt;&gt;"", $F66&gt;=CE$5-4, $F66&lt;=CE$5, COUNTIF($M66:CD66,"u")=0), "u", "")</f>
        <v/>
      </c>
      <c r="CF66" s="80" t="str">
        <f>IF(AND($F66&lt;&gt;"", $F66&gt;=CF$5-4, $F66&lt;=CF$5, COUNTIF($M66:CE66,"u")=0), "u", "")</f>
        <v/>
      </c>
      <c r="CG66" s="80" t="str">
        <f>IF(AND($F66&lt;&gt;"", $F66&gt;=CG$5-4, $F66&lt;=CG$5, COUNTIF($M66:CF66,"u")=0), "u", "")</f>
        <v/>
      </c>
      <c r="CH66" s="80" t="str">
        <f>IF(AND($F66&lt;&gt;"", $F66&gt;=CH$5-4, $F66&lt;=CH$5, COUNTIF($M66:CG66,"u")=0), "u", "")</f>
        <v/>
      </c>
      <c r="CI66" s="80" t="str">
        <f>IF(AND($F66&lt;&gt;"", $F66&gt;=CI$5-4, $F66&lt;=CI$5, COUNTIF($M66:CH66,"u")=0), "u", "")</f>
        <v/>
      </c>
      <c r="CJ66" s="80" t="str">
        <f>IF(AND($F66&lt;&gt;"", $F66&gt;=CJ$5-4, $F66&lt;=CJ$5, COUNTIF($M66:CI66,"u")=0), "u", "")</f>
        <v/>
      </c>
      <c r="CK66" s="80" t="str">
        <f>IF(AND($F66&lt;&gt;"", $F66&gt;=CK$5-4, $F66&lt;=CK$5, COUNTIF($M66:CJ66,"u")=0), "u", "")</f>
        <v/>
      </c>
      <c r="CL66" s="80" t="str">
        <f>IF(AND($F66&lt;&gt;"", $F66&gt;=CL$5-4, $F66&lt;=CL$5, COUNTIF($M66:CK66,"u")=0), "u", "")</f>
        <v/>
      </c>
      <c r="CM66" s="80" t="str">
        <f>IF(AND($F66&lt;&gt;"", $F66&gt;=CM$5-4, $F66&lt;=CM$5, COUNTIF($M66:CL66,"u")=0), "u", "")</f>
        <v/>
      </c>
      <c r="CN66" s="80" t="str">
        <f>IF(AND($F66&lt;&gt;"", $F66&gt;=CN$5-4, $F66&lt;=CN$5, COUNTIF($M66:CM66,"u")=0), "u", "")</f>
        <v/>
      </c>
      <c r="CO66" s="80" t="str">
        <f>IF(AND($F66&lt;&gt;"", $F66&gt;=CO$5-4, $F66&lt;=CO$5, COUNTIF($M66:CN66,"u")=0), "u", "")</f>
        <v/>
      </c>
      <c r="CP66" s="80" t="str">
        <f>IF(AND($F66&lt;&gt;"", $F66&gt;=CP$5-4, $F66&lt;=CP$5, COUNTIF($M66:CO66,"u")=0), "u", "")</f>
        <v/>
      </c>
      <c r="CQ66" s="80" t="str">
        <f>IF(AND($F66&lt;&gt;"", $F66&gt;=CQ$5-4, $F66&lt;=CQ$5, COUNTIF($M66:CP66,"u")=0), "u", "")</f>
        <v/>
      </c>
      <c r="CR66" s="80" t="str">
        <f>IF(AND($F66&lt;&gt;"", $F66&gt;=CR$5-4, $F66&lt;=CR$5, COUNTIF($M66:CQ66,"u")=0), "u", "")</f>
        <v/>
      </c>
      <c r="CS66" s="80" t="str">
        <f>IF(AND($F66&lt;&gt;"", $F66&gt;=CS$5-4, $F66&lt;=CS$5, COUNTIF($M66:CR66,"u")=0), "u", "")</f>
        <v/>
      </c>
      <c r="CT66" s="80" t="str">
        <f>IF(AND($F66&lt;&gt;"", $F66&gt;=CT$5-4, $F66&lt;=CT$5, COUNTIF($M66:CS66,"u")=0), "u", "")</f>
        <v/>
      </c>
      <c r="CU66" s="80" t="str">
        <f>IF(AND($F66&lt;&gt;"", $F66&gt;=CU$5-4, $F66&lt;=CU$5, COUNTIF($M66:CT66,"u")=0), "u", "")</f>
        <v/>
      </c>
      <c r="CV66" s="80" t="str">
        <f>IF(AND($F66&lt;&gt;"", $F66&gt;=CV$5-4, $F66&lt;=CV$5, COUNTIF($M66:CU66,"u")=0), "u", "")</f>
        <v/>
      </c>
      <c r="CW66" s="80" t="str">
        <f>IF(AND($F66&lt;&gt;"", $F66&gt;=CW$5-4, $F66&lt;=CW$5, COUNTIF($M66:CV66,"u")=0), "u", "")</f>
        <v/>
      </c>
      <c r="CX66" s="80" t="str">
        <f>IF(AND($F66&lt;&gt;"", $F66&gt;=CX$5-4, $F66&lt;=CX$5, COUNTIF($M66:CW66,"u")=0), "u", "")</f>
        <v/>
      </c>
      <c r="CY66" s="80" t="str">
        <f>IF(AND($F66&lt;&gt;"", $F66&gt;=CY$5-4, $F66&lt;=CY$5, COUNTIF($M66:CX66,"u")=0), "u", "")</f>
        <v/>
      </c>
      <c r="CZ66" s="80" t="str">
        <f>IF(AND($F66&lt;&gt;"", $F66&gt;=CZ$5-4, $F66&lt;=CZ$5, COUNTIF($M66:CY66,"u")=0), "u", "")</f>
        <v/>
      </c>
      <c r="DA66" s="80" t="str">
        <f>IF(AND($F66&lt;&gt;"", $F66&gt;=DA$5-4, $F66&lt;=DA$5, COUNTIF($M66:CZ66,"u")=0), "u", "")</f>
        <v/>
      </c>
      <c r="DB66" s="80" t="str">
        <f>IF(AND($F66&lt;&gt;"", $F66&gt;=DB$5-4, $F66&lt;=DB$5, COUNTIF($M66:DA66,"u")=0), "u", "")</f>
        <v/>
      </c>
      <c r="DC66" s="80" t="str">
        <f>IF(AND($F66&lt;&gt;"", $F66&gt;=DC$5-4, $F66&lt;=DC$5, COUNTIF($M66:DB66,"u")=0), "u", "")</f>
        <v/>
      </c>
      <c r="DD66" s="80" t="str">
        <f>IF(AND($F66&lt;&gt;"", $F66&gt;=DD$5-4, $F66&lt;=DD$5, COUNTIF($M66:DC66,"u")=0), "u", "")</f>
        <v/>
      </c>
      <c r="DE66" s="80" t="str">
        <f>IF(AND($F66&lt;&gt;"", $F66&gt;=DE$5-4, $F66&lt;=DE$5, COUNTIF($M66:DD66,"u")=0), "u", "")</f>
        <v/>
      </c>
      <c r="DF66" s="80" t="str">
        <f>IF(AND($F66&lt;&gt;"", $F66&gt;=DF$5-4, $F66&lt;=DF$5, COUNTIF($M66:DE66,"u")=0), "u", "")</f>
        <v/>
      </c>
      <c r="DG66" s="80" t="str">
        <f>IF(AND($F66&lt;&gt;"", $F66&gt;=DG$5-4, $F66&lt;=DG$5, COUNTIF($M66:DF66,"u")=0), "u", "")</f>
        <v/>
      </c>
      <c r="DH66" s="80" t="str">
        <f>IF(AND($F66&lt;&gt;"", $F66&gt;=DH$5-4, $F66&lt;=DH$5, COUNTIF($M66:DG66,"u")=0), "u", "")</f>
        <v/>
      </c>
      <c r="DI66" s="80" t="str">
        <f>IF(AND($F66&lt;&gt;"", $F66&gt;=DI$5-4, $F66&lt;=DI$5, COUNTIF($M66:DH66,"u")=0), "u", "")</f>
        <v/>
      </c>
      <c r="DJ66" s="80" t="str">
        <f>IF(AND($F66&lt;&gt;"", $F66&gt;=DJ$5-4, $F66&lt;=DJ$5, COUNTIF($M66:DI66,"u")=0), "u", "")</f>
        <v/>
      </c>
      <c r="DK66" s="80" t="str">
        <f>IF(AND($F66&lt;&gt;"", $F66&gt;=DK$5-4, $F66&lt;=DK$5, COUNTIF($M66:DJ66,"u")=0), "u", "")</f>
        <v/>
      </c>
      <c r="DL66" s="80" t="str">
        <f>IF(AND($F66&lt;&gt;"", $F66&gt;=DL$5-4, $F66&lt;=DL$5, COUNTIF($M66:DK66,"u")=0), "u", "")</f>
        <v/>
      </c>
    </row>
    <row r="67" spans="1:116" ht="25.05" customHeight="1" x14ac:dyDescent="0.3">
      <c r="A67" s="39"/>
      <c r="B67" s="75">
        <v>62</v>
      </c>
      <c r="C67" s="97"/>
      <c r="D67" s="92"/>
      <c r="E67" s="53"/>
      <c r="F67" s="53"/>
      <c r="G67" s="83" t="str">
        <f t="shared" si="47"/>
        <v/>
      </c>
      <c r="H67" s="83" t="str">
        <f t="shared" si="47"/>
        <v/>
      </c>
      <c r="I67" s="77" t="str">
        <f t="shared" si="45"/>
        <v/>
      </c>
      <c r="J67" s="78"/>
      <c r="K67" s="86"/>
      <c r="L67" s="56"/>
      <c r="M67" s="80" t="str">
        <f t="shared" si="46"/>
        <v/>
      </c>
      <c r="N67" s="80" t="str">
        <f>IF(AND($F67&lt;&gt;"", $F67&gt;=N$5-4, $F67&lt;=N$5, COUNTIF($M67:M67,"u")=0), "u", "")</f>
        <v/>
      </c>
      <c r="O67" s="80" t="str">
        <f>IF(AND($F67&lt;&gt;"", $F67&gt;=O$5-4, $F67&lt;=O$5, COUNTIF($M67:N67,"u")=0), "u", "")</f>
        <v/>
      </c>
      <c r="P67" s="80" t="str">
        <f>IF(AND($F67&lt;&gt;"", $F67&gt;=P$5-4, $F67&lt;=P$5, COUNTIF($M67:O67,"u")=0), "u", "")</f>
        <v/>
      </c>
      <c r="Q67" s="80" t="str">
        <f>IF(AND($F67&lt;&gt;"", $F67&gt;=Q$5-4, $F67&lt;=Q$5, COUNTIF($M67:P67,"u")=0), "u", "")</f>
        <v/>
      </c>
      <c r="R67" s="80" t="str">
        <f>IF(AND($F67&lt;&gt;"", $F67&gt;=R$5-4, $F67&lt;=R$5, COUNTIF($M67:Q67,"u")=0), "u", "")</f>
        <v/>
      </c>
      <c r="S67" s="80" t="str">
        <f>IF(AND($F67&lt;&gt;"", $F67&gt;=S$5-4, $F67&lt;=S$5, COUNTIF($M67:R67,"u")=0), "u", "")</f>
        <v/>
      </c>
      <c r="T67" s="80" t="str">
        <f>IF(AND($F67&lt;&gt;"", $F67&gt;=T$5-4, $F67&lt;=T$5, COUNTIF($M67:S67,"u")=0), "u", "")</f>
        <v/>
      </c>
      <c r="U67" s="80" t="str">
        <f>IF(AND($F67&lt;&gt;"", $F67&gt;=U$5-4, $F67&lt;=U$5, COUNTIF($M67:T67,"u")=0), "u", "")</f>
        <v/>
      </c>
      <c r="V67" s="80" t="str">
        <f>IF(AND($F67&lt;&gt;"", $F67&gt;=V$5-4, $F67&lt;=V$5, COUNTIF($M67:U67,"u")=0), "u", "")</f>
        <v/>
      </c>
      <c r="W67" s="80" t="str">
        <f>IF(AND($F67&lt;&gt;"", $F67&gt;=W$5-4, $F67&lt;=W$5, COUNTIF($M67:V67,"u")=0), "u", "")</f>
        <v/>
      </c>
      <c r="X67" s="80" t="str">
        <f>IF(AND($F67&lt;&gt;"", $F67&gt;=X$5-4, $F67&lt;=X$5, COUNTIF($M67:W67,"u")=0), "u", "")</f>
        <v/>
      </c>
      <c r="Y67" s="80" t="str">
        <f>IF(AND($F67&lt;&gt;"", $F67&gt;=Y$5-4, $F67&lt;=Y$5, COUNTIF($M67:X67,"u")=0), "u", "")</f>
        <v/>
      </c>
      <c r="Z67" s="80" t="str">
        <f>IF(AND($F67&lt;&gt;"", $F67&gt;=Z$5-4, $F67&lt;=Z$5, COUNTIF($M67:Y67,"u")=0), "u", "")</f>
        <v/>
      </c>
      <c r="AA67" s="80" t="str">
        <f>IF(AND($F67&lt;&gt;"", $F67&gt;=AA$5-4, $F67&lt;=AA$5, COUNTIF($M67:Z67,"u")=0), "u", "")</f>
        <v/>
      </c>
      <c r="AB67" s="80" t="str">
        <f>IF(AND($F67&lt;&gt;"", $F67&gt;=AB$5-4, $F67&lt;=AB$5, COUNTIF($M67:AA67,"u")=0), "u", "")</f>
        <v/>
      </c>
      <c r="AC67" s="80" t="str">
        <f>IF(AND($F67&lt;&gt;"", $F67&gt;=AC$5-4, $F67&lt;=AC$5, COUNTIF($M67:AB67,"u")=0), "u", "")</f>
        <v/>
      </c>
      <c r="AD67" s="80" t="str">
        <f>IF(AND($F67&lt;&gt;"", $F67&gt;=AD$5-4, $F67&lt;=AD$5, COUNTIF($M67:AC67,"u")=0), "u", "")</f>
        <v/>
      </c>
      <c r="AE67" s="80" t="str">
        <f>IF(AND($F67&lt;&gt;"", $F67&gt;=AE$5-4, $F67&lt;=AE$5, COUNTIF($M67:AD67,"u")=0), "u", "")</f>
        <v/>
      </c>
      <c r="AF67" s="80" t="str">
        <f>IF(AND($F67&lt;&gt;"", $F67&gt;=AF$5-4, $F67&lt;=AF$5, COUNTIF($M67:AE67,"u")=0), "u", "")</f>
        <v/>
      </c>
      <c r="AG67" s="80" t="str">
        <f>IF(AND($F67&lt;&gt;"", $F67&gt;=AG$5-4, $F67&lt;=AG$5, COUNTIF($M67:AF67,"u")=0), "u", "")</f>
        <v/>
      </c>
      <c r="AH67" s="80" t="str">
        <f>IF(AND($F67&lt;&gt;"", $F67&gt;=AH$5-4, $F67&lt;=AH$5, COUNTIF($M67:AG67,"u")=0), "u", "")</f>
        <v/>
      </c>
      <c r="AI67" s="80" t="str">
        <f>IF(AND($F67&lt;&gt;"", $F67&gt;=AI$5-4, $F67&lt;=AI$5, COUNTIF($M67:AH67,"u")=0), "u", "")</f>
        <v/>
      </c>
      <c r="AJ67" s="80" t="str">
        <f>IF(AND($F67&lt;&gt;"", $F67&gt;=AJ$5-4, $F67&lt;=AJ$5, COUNTIF($M67:AI67,"u")=0), "u", "")</f>
        <v/>
      </c>
      <c r="AK67" s="80" t="str">
        <f>IF(AND($F67&lt;&gt;"", $F67&gt;=AK$5-4, $F67&lt;=AK$5, COUNTIF($M67:AJ67,"u")=0), "u", "")</f>
        <v/>
      </c>
      <c r="AL67" s="80" t="str">
        <f>IF(AND($F67&lt;&gt;"", $F67&gt;=AL$5-4, $F67&lt;=AL$5, COUNTIF($M67:AK67,"u")=0), "u", "")</f>
        <v/>
      </c>
      <c r="AM67" s="80" t="str">
        <f>IF(AND($F67&lt;&gt;"", $F67&gt;=AM$5-4, $F67&lt;=AM$5, COUNTIF($M67:AL67,"u")=0), "u", "")</f>
        <v/>
      </c>
      <c r="AN67" s="80" t="str">
        <f>IF(AND($F67&lt;&gt;"", $F67&gt;=AN$5-4, $F67&lt;=AN$5, COUNTIF($M67:AM67,"u")=0), "u", "")</f>
        <v/>
      </c>
      <c r="AO67" s="80" t="str">
        <f>IF(AND($F67&lt;&gt;"", $F67&gt;=AO$5-4, $F67&lt;=AO$5, COUNTIF($M67:AN67,"u")=0), "u", "")</f>
        <v/>
      </c>
      <c r="AP67" s="80" t="str">
        <f>IF(AND($F67&lt;&gt;"", $F67&gt;=AP$5-4, $F67&lt;=AP$5, COUNTIF($M67:AO67,"u")=0), "u", "")</f>
        <v/>
      </c>
      <c r="AQ67" s="80" t="str">
        <f>IF(AND($F67&lt;&gt;"", $F67&gt;=AQ$5-4, $F67&lt;=AQ$5, COUNTIF($M67:AP67,"u")=0), "u", "")</f>
        <v/>
      </c>
      <c r="AR67" s="80" t="str">
        <f>IF(AND($F67&lt;&gt;"", $F67&gt;=AR$5-4, $F67&lt;=AR$5, COUNTIF($M67:AQ67,"u")=0), "u", "")</f>
        <v/>
      </c>
      <c r="AS67" s="80" t="str">
        <f>IF(AND($F67&lt;&gt;"", $F67&gt;=AS$5-4, $F67&lt;=AS$5, COUNTIF($M67:AR67,"u")=0), "u", "")</f>
        <v/>
      </c>
      <c r="AT67" s="80" t="str">
        <f>IF(AND($F67&lt;&gt;"", $F67&gt;=AT$5-4, $F67&lt;=AT$5, COUNTIF($M67:AS67,"u")=0), "u", "")</f>
        <v/>
      </c>
      <c r="AU67" s="80" t="str">
        <f>IF(AND($F67&lt;&gt;"", $F67&gt;=AU$5-4, $F67&lt;=AU$5, COUNTIF($M67:AT67,"u")=0), "u", "")</f>
        <v/>
      </c>
      <c r="AV67" s="80" t="str">
        <f>IF(AND($F67&lt;&gt;"", $F67&gt;=AV$5-4, $F67&lt;=AV$5, COUNTIF($M67:AU67,"u")=0), "u", "")</f>
        <v/>
      </c>
      <c r="AW67" s="80" t="str">
        <f>IF(AND($F67&lt;&gt;"", $F67&gt;=AW$5-4, $F67&lt;=AW$5, COUNTIF($M67:AV67,"u")=0), "u", "")</f>
        <v/>
      </c>
      <c r="AX67" s="80" t="str">
        <f>IF(AND($F67&lt;&gt;"", $F67&gt;=AX$5-4, $F67&lt;=AX$5, COUNTIF($M67:AW67,"u")=0), "u", "")</f>
        <v/>
      </c>
      <c r="AY67" s="80" t="str">
        <f>IF(AND($F67&lt;&gt;"", $F67&gt;=AY$5-4, $F67&lt;=AY$5, COUNTIF($M67:AX67,"u")=0), "u", "")</f>
        <v/>
      </c>
      <c r="AZ67" s="80" t="str">
        <f>IF(AND($F67&lt;&gt;"", $F67&gt;=AZ$5-4, $F67&lt;=AZ$5, COUNTIF($M67:AY67,"u")=0), "u", "")</f>
        <v/>
      </c>
      <c r="BA67" s="80" t="str">
        <f>IF(AND($F67&lt;&gt;"", $F67&gt;=BA$5-4, $F67&lt;=BA$5, COUNTIF($M67:AZ67,"u")=0), "u", "")</f>
        <v/>
      </c>
      <c r="BB67" s="80" t="str">
        <f>IF(AND($F67&lt;&gt;"", $F67&gt;=BB$5-4, $F67&lt;=BB$5, COUNTIF($M67:BA67,"u")=0), "u", "")</f>
        <v/>
      </c>
      <c r="BC67" s="80" t="str">
        <f>IF(AND($F67&lt;&gt;"", $F67&gt;=BC$5-4, $F67&lt;=BC$5, COUNTIF($M67:BB67,"u")=0), "u", "")</f>
        <v/>
      </c>
      <c r="BD67" s="80" t="str">
        <f>IF(AND($F67&lt;&gt;"", $F67&gt;=BD$5-4, $F67&lt;=BD$5, COUNTIF($M67:BC67,"u")=0), "u", "")</f>
        <v/>
      </c>
      <c r="BE67" s="80" t="str">
        <f>IF(AND($F67&lt;&gt;"", $F67&gt;=BE$5-4, $F67&lt;=BE$5, COUNTIF($M67:BD67,"u")=0), "u", "")</f>
        <v/>
      </c>
      <c r="BF67" s="80" t="str">
        <f>IF(AND($F67&lt;&gt;"", $F67&gt;=BF$5-4, $F67&lt;=BF$5, COUNTIF($M67:BE67,"u")=0), "u", "")</f>
        <v/>
      </c>
      <c r="BG67" s="80" t="str">
        <f>IF(AND($F67&lt;&gt;"", $F67&gt;=BG$5-4, $F67&lt;=BG$5, COUNTIF($M67:BF67,"u")=0), "u", "")</f>
        <v/>
      </c>
      <c r="BH67" s="80" t="str">
        <f>IF(AND($F67&lt;&gt;"", $F67&gt;=BH$5-4, $F67&lt;=BH$5, COUNTIF($M67:BG67,"u")=0), "u", "")</f>
        <v/>
      </c>
      <c r="BI67" s="80" t="str">
        <f>IF(AND($F67&lt;&gt;"", $F67&gt;=BI$5-4, $F67&lt;=BI$5, COUNTIF($M67:BH67,"u")=0), "u", "")</f>
        <v/>
      </c>
      <c r="BJ67" s="80" t="str">
        <f>IF(AND($F67&lt;&gt;"", $F67&gt;=BJ$5-4, $F67&lt;=BJ$5, COUNTIF($M67:BI67,"u")=0), "u", "")</f>
        <v/>
      </c>
      <c r="BK67" s="80" t="str">
        <f>IF(AND($F67&lt;&gt;"", $F67&gt;=BK$5-4, $F67&lt;=BK$5, COUNTIF($M67:BJ67,"u")=0), "u", "")</f>
        <v/>
      </c>
      <c r="BL67" s="80" t="str">
        <f>IF(AND($F67&lt;&gt;"", $F67&gt;=BL$5-4, $F67&lt;=BL$5, COUNTIF($M67:BK67,"u")=0), "u", "")</f>
        <v/>
      </c>
      <c r="BM67" s="80" t="str">
        <f>IF(AND($F67&lt;&gt;"", $F67&gt;=BM$5-4, $F67&lt;=BM$5, COUNTIF($M67:BL67,"u")=0), "u", "")</f>
        <v/>
      </c>
      <c r="BN67" s="80" t="str">
        <f>IF(AND($F67&lt;&gt;"", $F67&gt;=BN$5-4, $F67&lt;=BN$5, COUNTIF($M67:BM67,"u")=0), "u", "")</f>
        <v/>
      </c>
      <c r="BO67" s="80" t="str">
        <f>IF(AND($F67&lt;&gt;"", $F67&gt;=BO$5-4, $F67&lt;=BO$5, COUNTIF($M67:BN67,"u")=0), "u", "")</f>
        <v/>
      </c>
      <c r="BP67" s="80" t="str">
        <f>IF(AND($F67&lt;&gt;"", $F67&gt;=BP$5-4, $F67&lt;=BP$5, COUNTIF($M67:BO67,"u")=0), "u", "")</f>
        <v/>
      </c>
      <c r="BQ67" s="80" t="str">
        <f>IF(AND($F67&lt;&gt;"", $F67&gt;=BQ$5-4, $F67&lt;=BQ$5, COUNTIF($M67:BP67,"u")=0), "u", "")</f>
        <v/>
      </c>
      <c r="BR67" s="80" t="str">
        <f>IF(AND($F67&lt;&gt;"", $F67&gt;=BR$5-4, $F67&lt;=BR$5, COUNTIF($M67:BQ67,"u")=0), "u", "")</f>
        <v/>
      </c>
      <c r="BS67" s="80" t="str">
        <f>IF(AND($F67&lt;&gt;"", $F67&gt;=BS$5-4, $F67&lt;=BS$5, COUNTIF($M67:BR67,"u")=0), "u", "")</f>
        <v/>
      </c>
      <c r="BT67" s="80" t="str">
        <f>IF(AND($F67&lt;&gt;"", $F67&gt;=BT$5-4, $F67&lt;=BT$5, COUNTIF($M67:BS67,"u")=0), "u", "")</f>
        <v/>
      </c>
      <c r="BU67" s="80" t="str">
        <f>IF(AND($F67&lt;&gt;"", $F67&gt;=BU$5-4, $F67&lt;=BU$5, COUNTIF($M67:BT67,"u")=0), "u", "")</f>
        <v/>
      </c>
      <c r="BV67" s="80" t="str">
        <f>IF(AND($F67&lt;&gt;"", $F67&gt;=BV$5-4, $F67&lt;=BV$5, COUNTIF($M67:BU67,"u")=0), "u", "")</f>
        <v/>
      </c>
      <c r="BW67" s="80" t="str">
        <f>IF(AND($F67&lt;&gt;"", $F67&gt;=BW$5-4, $F67&lt;=BW$5, COUNTIF($M67:BV67,"u")=0), "u", "")</f>
        <v/>
      </c>
      <c r="BX67" s="80" t="str">
        <f>IF(AND($F67&lt;&gt;"", $F67&gt;=BX$5-4, $F67&lt;=BX$5, COUNTIF($M67:BW67,"u")=0), "u", "")</f>
        <v/>
      </c>
      <c r="BY67" s="80" t="str">
        <f>IF(AND($F67&lt;&gt;"", $F67&gt;=BY$5-4, $F67&lt;=BY$5, COUNTIF($M67:BX67,"u")=0), "u", "")</f>
        <v/>
      </c>
      <c r="BZ67" s="80" t="str">
        <f>IF(AND($F67&lt;&gt;"", $F67&gt;=BZ$5-4, $F67&lt;=BZ$5, COUNTIF($M67:BY67,"u")=0), "u", "")</f>
        <v/>
      </c>
      <c r="CA67" s="80" t="str">
        <f>IF(AND($F67&lt;&gt;"", $F67&gt;=CA$5-4, $F67&lt;=CA$5, COUNTIF($M67:BZ67,"u")=0), "u", "")</f>
        <v/>
      </c>
      <c r="CB67" s="80" t="str">
        <f>IF(AND($F67&lt;&gt;"", $F67&gt;=CB$5-4, $F67&lt;=CB$5, COUNTIF($M67:CA67,"u")=0), "u", "")</f>
        <v/>
      </c>
      <c r="CC67" s="80" t="str">
        <f>IF(AND($F67&lt;&gt;"", $F67&gt;=CC$5-4, $F67&lt;=CC$5, COUNTIF($M67:CB67,"u")=0), "u", "")</f>
        <v/>
      </c>
      <c r="CD67" s="80" t="str">
        <f>IF(AND($F67&lt;&gt;"", $F67&gt;=CD$5-4, $F67&lt;=CD$5, COUNTIF($M67:CC67,"u")=0), "u", "")</f>
        <v/>
      </c>
      <c r="CE67" s="80" t="str">
        <f>IF(AND($F67&lt;&gt;"", $F67&gt;=CE$5-4, $F67&lt;=CE$5, COUNTIF($M67:CD67,"u")=0), "u", "")</f>
        <v/>
      </c>
      <c r="CF67" s="80" t="str">
        <f>IF(AND($F67&lt;&gt;"", $F67&gt;=CF$5-4, $F67&lt;=CF$5, COUNTIF($M67:CE67,"u")=0), "u", "")</f>
        <v/>
      </c>
      <c r="CG67" s="80" t="str">
        <f>IF(AND($F67&lt;&gt;"", $F67&gt;=CG$5-4, $F67&lt;=CG$5, COUNTIF($M67:CF67,"u")=0), "u", "")</f>
        <v/>
      </c>
      <c r="CH67" s="80" t="str">
        <f>IF(AND($F67&lt;&gt;"", $F67&gt;=CH$5-4, $F67&lt;=CH$5, COUNTIF($M67:CG67,"u")=0), "u", "")</f>
        <v/>
      </c>
      <c r="CI67" s="80" t="str">
        <f>IF(AND($F67&lt;&gt;"", $F67&gt;=CI$5-4, $F67&lt;=CI$5, COUNTIF($M67:CH67,"u")=0), "u", "")</f>
        <v/>
      </c>
      <c r="CJ67" s="80" t="str">
        <f>IF(AND($F67&lt;&gt;"", $F67&gt;=CJ$5-4, $F67&lt;=CJ$5, COUNTIF($M67:CI67,"u")=0), "u", "")</f>
        <v/>
      </c>
      <c r="CK67" s="80" t="str">
        <f>IF(AND($F67&lt;&gt;"", $F67&gt;=CK$5-4, $F67&lt;=CK$5, COUNTIF($M67:CJ67,"u")=0), "u", "")</f>
        <v/>
      </c>
      <c r="CL67" s="80" t="str">
        <f>IF(AND($F67&lt;&gt;"", $F67&gt;=CL$5-4, $F67&lt;=CL$5, COUNTIF($M67:CK67,"u")=0), "u", "")</f>
        <v/>
      </c>
      <c r="CM67" s="80" t="str">
        <f>IF(AND($F67&lt;&gt;"", $F67&gt;=CM$5-4, $F67&lt;=CM$5, COUNTIF($M67:CL67,"u")=0), "u", "")</f>
        <v/>
      </c>
      <c r="CN67" s="80" t="str">
        <f>IF(AND($F67&lt;&gt;"", $F67&gt;=CN$5-4, $F67&lt;=CN$5, COUNTIF($M67:CM67,"u")=0), "u", "")</f>
        <v/>
      </c>
      <c r="CO67" s="80" t="str">
        <f>IF(AND($F67&lt;&gt;"", $F67&gt;=CO$5-4, $F67&lt;=CO$5, COUNTIF($M67:CN67,"u")=0), "u", "")</f>
        <v/>
      </c>
      <c r="CP67" s="80" t="str">
        <f>IF(AND($F67&lt;&gt;"", $F67&gt;=CP$5-4, $F67&lt;=CP$5, COUNTIF($M67:CO67,"u")=0), "u", "")</f>
        <v/>
      </c>
      <c r="CQ67" s="80" t="str">
        <f>IF(AND($F67&lt;&gt;"", $F67&gt;=CQ$5-4, $F67&lt;=CQ$5, COUNTIF($M67:CP67,"u")=0), "u", "")</f>
        <v/>
      </c>
      <c r="CR67" s="80" t="str">
        <f>IF(AND($F67&lt;&gt;"", $F67&gt;=CR$5-4, $F67&lt;=CR$5, COUNTIF($M67:CQ67,"u")=0), "u", "")</f>
        <v/>
      </c>
      <c r="CS67" s="80" t="str">
        <f>IF(AND($F67&lt;&gt;"", $F67&gt;=CS$5-4, $F67&lt;=CS$5, COUNTIF($M67:CR67,"u")=0), "u", "")</f>
        <v/>
      </c>
      <c r="CT67" s="80" t="str">
        <f>IF(AND($F67&lt;&gt;"", $F67&gt;=CT$5-4, $F67&lt;=CT$5, COUNTIF($M67:CS67,"u")=0), "u", "")</f>
        <v/>
      </c>
      <c r="CU67" s="80" t="str">
        <f>IF(AND($F67&lt;&gt;"", $F67&gt;=CU$5-4, $F67&lt;=CU$5, COUNTIF($M67:CT67,"u")=0), "u", "")</f>
        <v/>
      </c>
      <c r="CV67" s="80" t="str">
        <f>IF(AND($F67&lt;&gt;"", $F67&gt;=CV$5-4, $F67&lt;=CV$5, COUNTIF($M67:CU67,"u")=0), "u", "")</f>
        <v/>
      </c>
      <c r="CW67" s="80" t="str">
        <f>IF(AND($F67&lt;&gt;"", $F67&gt;=CW$5-4, $F67&lt;=CW$5, COUNTIF($M67:CV67,"u")=0), "u", "")</f>
        <v/>
      </c>
      <c r="CX67" s="80" t="str">
        <f>IF(AND($F67&lt;&gt;"", $F67&gt;=CX$5-4, $F67&lt;=CX$5, COUNTIF($M67:CW67,"u")=0), "u", "")</f>
        <v/>
      </c>
      <c r="CY67" s="80" t="str">
        <f>IF(AND($F67&lt;&gt;"", $F67&gt;=CY$5-4, $F67&lt;=CY$5, COUNTIF($M67:CX67,"u")=0), "u", "")</f>
        <v/>
      </c>
      <c r="CZ67" s="80" t="str">
        <f>IF(AND($F67&lt;&gt;"", $F67&gt;=CZ$5-4, $F67&lt;=CZ$5, COUNTIF($M67:CY67,"u")=0), "u", "")</f>
        <v/>
      </c>
      <c r="DA67" s="80" t="str">
        <f>IF(AND($F67&lt;&gt;"", $F67&gt;=DA$5-4, $F67&lt;=DA$5, COUNTIF($M67:CZ67,"u")=0), "u", "")</f>
        <v/>
      </c>
      <c r="DB67" s="80" t="str">
        <f>IF(AND($F67&lt;&gt;"", $F67&gt;=DB$5-4, $F67&lt;=DB$5, COUNTIF($M67:DA67,"u")=0), "u", "")</f>
        <v/>
      </c>
      <c r="DC67" s="80" t="str">
        <f>IF(AND($F67&lt;&gt;"", $F67&gt;=DC$5-4, $F67&lt;=DC$5, COUNTIF($M67:DB67,"u")=0), "u", "")</f>
        <v/>
      </c>
      <c r="DD67" s="80" t="str">
        <f>IF(AND($F67&lt;&gt;"", $F67&gt;=DD$5-4, $F67&lt;=DD$5, COUNTIF($M67:DC67,"u")=0), "u", "")</f>
        <v/>
      </c>
      <c r="DE67" s="80" t="str">
        <f>IF(AND($F67&lt;&gt;"", $F67&gt;=DE$5-4, $F67&lt;=DE$5, COUNTIF($M67:DD67,"u")=0), "u", "")</f>
        <v/>
      </c>
      <c r="DF67" s="80" t="str">
        <f>IF(AND($F67&lt;&gt;"", $F67&gt;=DF$5-4, $F67&lt;=DF$5, COUNTIF($M67:DE67,"u")=0), "u", "")</f>
        <v/>
      </c>
      <c r="DG67" s="80" t="str">
        <f>IF(AND($F67&lt;&gt;"", $F67&gt;=DG$5-4, $F67&lt;=DG$5, COUNTIF($M67:DF67,"u")=0), "u", "")</f>
        <v/>
      </c>
      <c r="DH67" s="80" t="str">
        <f>IF(AND($F67&lt;&gt;"", $F67&gt;=DH$5-4, $F67&lt;=DH$5, COUNTIF($M67:DG67,"u")=0), "u", "")</f>
        <v/>
      </c>
      <c r="DI67" s="80" t="str">
        <f>IF(AND($F67&lt;&gt;"", $F67&gt;=DI$5-4, $F67&lt;=DI$5, COUNTIF($M67:DH67,"u")=0), "u", "")</f>
        <v/>
      </c>
      <c r="DJ67" s="80" t="str">
        <f>IF(AND($F67&lt;&gt;"", $F67&gt;=DJ$5-4, $F67&lt;=DJ$5, COUNTIF($M67:DI67,"u")=0), "u", "")</f>
        <v/>
      </c>
      <c r="DK67" s="80" t="str">
        <f>IF(AND($F67&lt;&gt;"", $F67&gt;=DK$5-4, $F67&lt;=DK$5, COUNTIF($M67:DJ67,"u")=0), "u", "")</f>
        <v/>
      </c>
      <c r="DL67" s="80" t="str">
        <f>IF(AND($F67&lt;&gt;"", $F67&gt;=DL$5-4, $F67&lt;=DL$5, COUNTIF($M67:DK67,"u")=0), "u", "")</f>
        <v/>
      </c>
    </row>
    <row r="68" spans="1:116" ht="25.05" customHeight="1" x14ac:dyDescent="0.3">
      <c r="A68" s="39"/>
      <c r="B68" s="75">
        <v>63</v>
      </c>
      <c r="C68" s="97"/>
      <c r="D68" s="92"/>
      <c r="E68" s="53"/>
      <c r="F68" s="53"/>
      <c r="G68" s="83" t="str">
        <f t="shared" si="47"/>
        <v/>
      </c>
      <c r="H68" s="83" t="str">
        <f t="shared" si="47"/>
        <v/>
      </c>
      <c r="I68" s="77" t="str">
        <f t="shared" si="45"/>
        <v/>
      </c>
      <c r="J68" s="78"/>
      <c r="K68" s="86"/>
      <c r="L68" s="56"/>
      <c r="M68" s="80" t="str">
        <f t="shared" si="46"/>
        <v/>
      </c>
      <c r="N68" s="80" t="str">
        <f>IF(AND($F68&lt;&gt;"", $F68&gt;=N$5-4, $F68&lt;=N$5, COUNTIF($M68:M68,"u")=0), "u", "")</f>
        <v/>
      </c>
      <c r="O68" s="80" t="str">
        <f>IF(AND($F68&lt;&gt;"", $F68&gt;=O$5-4, $F68&lt;=O$5, COUNTIF($M68:N68,"u")=0), "u", "")</f>
        <v/>
      </c>
      <c r="P68" s="80" t="str">
        <f>IF(AND($F68&lt;&gt;"", $F68&gt;=P$5-4, $F68&lt;=P$5, COUNTIF($M68:O68,"u")=0), "u", "")</f>
        <v/>
      </c>
      <c r="Q68" s="80" t="str">
        <f>IF(AND($F68&lt;&gt;"", $F68&gt;=Q$5-4, $F68&lt;=Q$5, COUNTIF($M68:P68,"u")=0), "u", "")</f>
        <v/>
      </c>
      <c r="R68" s="80" t="str">
        <f>IF(AND($F68&lt;&gt;"", $F68&gt;=R$5-4, $F68&lt;=R$5, COUNTIF($M68:Q68,"u")=0), "u", "")</f>
        <v/>
      </c>
      <c r="S68" s="80" t="str">
        <f>IF(AND($F68&lt;&gt;"", $F68&gt;=S$5-4, $F68&lt;=S$5, COUNTIF($M68:R68,"u")=0), "u", "")</f>
        <v/>
      </c>
      <c r="T68" s="80" t="str">
        <f>IF(AND($F68&lt;&gt;"", $F68&gt;=T$5-4, $F68&lt;=T$5, COUNTIF($M68:S68,"u")=0), "u", "")</f>
        <v/>
      </c>
      <c r="U68" s="80" t="str">
        <f>IF(AND($F68&lt;&gt;"", $F68&gt;=U$5-4, $F68&lt;=U$5, COUNTIF($M68:T68,"u")=0), "u", "")</f>
        <v/>
      </c>
      <c r="V68" s="80" t="str">
        <f>IF(AND($F68&lt;&gt;"", $F68&gt;=V$5-4, $F68&lt;=V$5, COUNTIF($M68:U68,"u")=0), "u", "")</f>
        <v/>
      </c>
      <c r="W68" s="80" t="str">
        <f>IF(AND($F68&lt;&gt;"", $F68&gt;=W$5-4, $F68&lt;=W$5, COUNTIF($M68:V68,"u")=0), "u", "")</f>
        <v/>
      </c>
      <c r="X68" s="80" t="str">
        <f>IF(AND($F68&lt;&gt;"", $F68&gt;=X$5-4, $F68&lt;=X$5, COUNTIF($M68:W68,"u")=0), "u", "")</f>
        <v/>
      </c>
      <c r="Y68" s="80" t="str">
        <f>IF(AND($F68&lt;&gt;"", $F68&gt;=Y$5-4, $F68&lt;=Y$5, COUNTIF($M68:X68,"u")=0), "u", "")</f>
        <v/>
      </c>
      <c r="Z68" s="80" t="str">
        <f>IF(AND($F68&lt;&gt;"", $F68&gt;=Z$5-4, $F68&lt;=Z$5, COUNTIF($M68:Y68,"u")=0), "u", "")</f>
        <v/>
      </c>
      <c r="AA68" s="80" t="str">
        <f>IF(AND($F68&lt;&gt;"", $F68&gt;=AA$5-4, $F68&lt;=AA$5, COUNTIF($M68:Z68,"u")=0), "u", "")</f>
        <v/>
      </c>
      <c r="AB68" s="80" t="str">
        <f>IF(AND($F68&lt;&gt;"", $F68&gt;=AB$5-4, $F68&lt;=AB$5, COUNTIF($M68:AA68,"u")=0), "u", "")</f>
        <v/>
      </c>
      <c r="AC68" s="80" t="str">
        <f>IF(AND($F68&lt;&gt;"", $F68&gt;=AC$5-4, $F68&lt;=AC$5, COUNTIF($M68:AB68,"u")=0), "u", "")</f>
        <v/>
      </c>
      <c r="AD68" s="80" t="str">
        <f>IF(AND($F68&lt;&gt;"", $F68&gt;=AD$5-4, $F68&lt;=AD$5, COUNTIF($M68:AC68,"u")=0), "u", "")</f>
        <v/>
      </c>
      <c r="AE68" s="80" t="str">
        <f>IF(AND($F68&lt;&gt;"", $F68&gt;=AE$5-4, $F68&lt;=AE$5, COUNTIF($M68:AD68,"u")=0), "u", "")</f>
        <v/>
      </c>
      <c r="AF68" s="80" t="str">
        <f>IF(AND($F68&lt;&gt;"", $F68&gt;=AF$5-4, $F68&lt;=AF$5, COUNTIF($M68:AE68,"u")=0), "u", "")</f>
        <v/>
      </c>
      <c r="AG68" s="80" t="str">
        <f>IF(AND($F68&lt;&gt;"", $F68&gt;=AG$5-4, $F68&lt;=AG$5, COUNTIF($M68:AF68,"u")=0), "u", "")</f>
        <v/>
      </c>
      <c r="AH68" s="80" t="str">
        <f>IF(AND($F68&lt;&gt;"", $F68&gt;=AH$5-4, $F68&lt;=AH$5, COUNTIF($M68:AG68,"u")=0), "u", "")</f>
        <v/>
      </c>
      <c r="AI68" s="80" t="str">
        <f>IF(AND($F68&lt;&gt;"", $F68&gt;=AI$5-4, $F68&lt;=AI$5, COUNTIF($M68:AH68,"u")=0), "u", "")</f>
        <v/>
      </c>
      <c r="AJ68" s="80" t="str">
        <f>IF(AND($F68&lt;&gt;"", $F68&gt;=AJ$5-4, $F68&lt;=AJ$5, COUNTIF($M68:AI68,"u")=0), "u", "")</f>
        <v/>
      </c>
      <c r="AK68" s="80" t="str">
        <f>IF(AND($F68&lt;&gt;"", $F68&gt;=AK$5-4, $F68&lt;=AK$5, COUNTIF($M68:AJ68,"u")=0), "u", "")</f>
        <v/>
      </c>
      <c r="AL68" s="80" t="str">
        <f>IF(AND($F68&lt;&gt;"", $F68&gt;=AL$5-4, $F68&lt;=AL$5, COUNTIF($M68:AK68,"u")=0), "u", "")</f>
        <v/>
      </c>
      <c r="AM68" s="80" t="str">
        <f>IF(AND($F68&lt;&gt;"", $F68&gt;=AM$5-4, $F68&lt;=AM$5, COUNTIF($M68:AL68,"u")=0), "u", "")</f>
        <v/>
      </c>
      <c r="AN68" s="80" t="str">
        <f>IF(AND($F68&lt;&gt;"", $F68&gt;=AN$5-4, $F68&lt;=AN$5, COUNTIF($M68:AM68,"u")=0), "u", "")</f>
        <v/>
      </c>
      <c r="AO68" s="80" t="str">
        <f>IF(AND($F68&lt;&gt;"", $F68&gt;=AO$5-4, $F68&lt;=AO$5, COUNTIF($M68:AN68,"u")=0), "u", "")</f>
        <v/>
      </c>
      <c r="AP68" s="80" t="str">
        <f>IF(AND($F68&lt;&gt;"", $F68&gt;=AP$5-4, $F68&lt;=AP$5, COUNTIF($M68:AO68,"u")=0), "u", "")</f>
        <v/>
      </c>
      <c r="AQ68" s="80" t="str">
        <f>IF(AND($F68&lt;&gt;"", $F68&gt;=AQ$5-4, $F68&lt;=AQ$5, COUNTIF($M68:AP68,"u")=0), "u", "")</f>
        <v/>
      </c>
      <c r="AR68" s="80" t="str">
        <f>IF(AND($F68&lt;&gt;"", $F68&gt;=AR$5-4, $F68&lt;=AR$5, COUNTIF($M68:AQ68,"u")=0), "u", "")</f>
        <v/>
      </c>
      <c r="AS68" s="80" t="str">
        <f>IF(AND($F68&lt;&gt;"", $F68&gt;=AS$5-4, $F68&lt;=AS$5, COUNTIF($M68:AR68,"u")=0), "u", "")</f>
        <v/>
      </c>
      <c r="AT68" s="80" t="str">
        <f>IF(AND($F68&lt;&gt;"", $F68&gt;=AT$5-4, $F68&lt;=AT$5, COUNTIF($M68:AS68,"u")=0), "u", "")</f>
        <v/>
      </c>
      <c r="AU68" s="80" t="str">
        <f>IF(AND($F68&lt;&gt;"", $F68&gt;=AU$5-4, $F68&lt;=AU$5, COUNTIF($M68:AT68,"u")=0), "u", "")</f>
        <v/>
      </c>
      <c r="AV68" s="80" t="str">
        <f>IF(AND($F68&lt;&gt;"", $F68&gt;=AV$5-4, $F68&lt;=AV$5, COUNTIF($M68:AU68,"u")=0), "u", "")</f>
        <v/>
      </c>
      <c r="AW68" s="80" t="str">
        <f>IF(AND($F68&lt;&gt;"", $F68&gt;=AW$5-4, $F68&lt;=AW$5, COUNTIF($M68:AV68,"u")=0), "u", "")</f>
        <v/>
      </c>
      <c r="AX68" s="80" t="str">
        <f>IF(AND($F68&lt;&gt;"", $F68&gt;=AX$5-4, $F68&lt;=AX$5, COUNTIF($M68:AW68,"u")=0), "u", "")</f>
        <v/>
      </c>
      <c r="AY68" s="80" t="str">
        <f>IF(AND($F68&lt;&gt;"", $F68&gt;=AY$5-4, $F68&lt;=AY$5, COUNTIF($M68:AX68,"u")=0), "u", "")</f>
        <v/>
      </c>
      <c r="AZ68" s="80" t="str">
        <f>IF(AND($F68&lt;&gt;"", $F68&gt;=AZ$5-4, $F68&lt;=AZ$5, COUNTIF($M68:AY68,"u")=0), "u", "")</f>
        <v/>
      </c>
      <c r="BA68" s="80" t="str">
        <f>IF(AND($F68&lt;&gt;"", $F68&gt;=BA$5-4, $F68&lt;=BA$5, COUNTIF($M68:AZ68,"u")=0), "u", "")</f>
        <v/>
      </c>
      <c r="BB68" s="80" t="str">
        <f>IF(AND($F68&lt;&gt;"", $F68&gt;=BB$5-4, $F68&lt;=BB$5, COUNTIF($M68:BA68,"u")=0), "u", "")</f>
        <v/>
      </c>
      <c r="BC68" s="80" t="str">
        <f>IF(AND($F68&lt;&gt;"", $F68&gt;=BC$5-4, $F68&lt;=BC$5, COUNTIF($M68:BB68,"u")=0), "u", "")</f>
        <v/>
      </c>
      <c r="BD68" s="80" t="str">
        <f>IF(AND($F68&lt;&gt;"", $F68&gt;=BD$5-4, $F68&lt;=BD$5, COUNTIF($M68:BC68,"u")=0), "u", "")</f>
        <v/>
      </c>
      <c r="BE68" s="80" t="str">
        <f>IF(AND($F68&lt;&gt;"", $F68&gt;=BE$5-4, $F68&lt;=BE$5, COUNTIF($M68:BD68,"u")=0), "u", "")</f>
        <v/>
      </c>
      <c r="BF68" s="80" t="str">
        <f>IF(AND($F68&lt;&gt;"", $F68&gt;=BF$5-4, $F68&lt;=BF$5, COUNTIF($M68:BE68,"u")=0), "u", "")</f>
        <v/>
      </c>
      <c r="BG68" s="80" t="str">
        <f>IF(AND($F68&lt;&gt;"", $F68&gt;=BG$5-4, $F68&lt;=BG$5, COUNTIF($M68:BF68,"u")=0), "u", "")</f>
        <v/>
      </c>
      <c r="BH68" s="80" t="str">
        <f>IF(AND($F68&lt;&gt;"", $F68&gt;=BH$5-4, $F68&lt;=BH$5, COUNTIF($M68:BG68,"u")=0), "u", "")</f>
        <v/>
      </c>
      <c r="BI68" s="80" t="str">
        <f>IF(AND($F68&lt;&gt;"", $F68&gt;=BI$5-4, $F68&lt;=BI$5, COUNTIF($M68:BH68,"u")=0), "u", "")</f>
        <v/>
      </c>
      <c r="BJ68" s="80" t="str">
        <f>IF(AND($F68&lt;&gt;"", $F68&gt;=BJ$5-4, $F68&lt;=BJ$5, COUNTIF($M68:BI68,"u")=0), "u", "")</f>
        <v/>
      </c>
      <c r="BK68" s="80" t="str">
        <f>IF(AND($F68&lt;&gt;"", $F68&gt;=BK$5-4, $F68&lt;=BK$5, COUNTIF($M68:BJ68,"u")=0), "u", "")</f>
        <v/>
      </c>
      <c r="BL68" s="80" t="str">
        <f>IF(AND($F68&lt;&gt;"", $F68&gt;=BL$5-4, $F68&lt;=BL$5, COUNTIF($M68:BK68,"u")=0), "u", "")</f>
        <v/>
      </c>
      <c r="BM68" s="80" t="str">
        <f>IF(AND($F68&lt;&gt;"", $F68&gt;=BM$5-4, $F68&lt;=BM$5, COUNTIF($M68:BL68,"u")=0), "u", "")</f>
        <v/>
      </c>
      <c r="BN68" s="80" t="str">
        <f>IF(AND($F68&lt;&gt;"", $F68&gt;=BN$5-4, $F68&lt;=BN$5, COUNTIF($M68:BM68,"u")=0), "u", "")</f>
        <v/>
      </c>
      <c r="BO68" s="80" t="str">
        <f>IF(AND($F68&lt;&gt;"", $F68&gt;=BO$5-4, $F68&lt;=BO$5, COUNTIF($M68:BN68,"u")=0), "u", "")</f>
        <v/>
      </c>
      <c r="BP68" s="80" t="str">
        <f>IF(AND($F68&lt;&gt;"", $F68&gt;=BP$5-4, $F68&lt;=BP$5, COUNTIF($M68:BO68,"u")=0), "u", "")</f>
        <v/>
      </c>
      <c r="BQ68" s="80" t="str">
        <f>IF(AND($F68&lt;&gt;"", $F68&gt;=BQ$5-4, $F68&lt;=BQ$5, COUNTIF($M68:BP68,"u")=0), "u", "")</f>
        <v/>
      </c>
      <c r="BR68" s="80" t="str">
        <f>IF(AND($F68&lt;&gt;"", $F68&gt;=BR$5-4, $F68&lt;=BR$5, COUNTIF($M68:BQ68,"u")=0), "u", "")</f>
        <v/>
      </c>
      <c r="BS68" s="80" t="str">
        <f>IF(AND($F68&lt;&gt;"", $F68&gt;=BS$5-4, $F68&lt;=BS$5, COUNTIF($M68:BR68,"u")=0), "u", "")</f>
        <v/>
      </c>
      <c r="BT68" s="80" t="str">
        <f>IF(AND($F68&lt;&gt;"", $F68&gt;=BT$5-4, $F68&lt;=BT$5, COUNTIF($M68:BS68,"u")=0), "u", "")</f>
        <v/>
      </c>
      <c r="BU68" s="80" t="str">
        <f>IF(AND($F68&lt;&gt;"", $F68&gt;=BU$5-4, $F68&lt;=BU$5, COUNTIF($M68:BT68,"u")=0), "u", "")</f>
        <v/>
      </c>
      <c r="BV68" s="80" t="str">
        <f>IF(AND($F68&lt;&gt;"", $F68&gt;=BV$5-4, $F68&lt;=BV$5, COUNTIF($M68:BU68,"u")=0), "u", "")</f>
        <v/>
      </c>
      <c r="BW68" s="80" t="str">
        <f>IF(AND($F68&lt;&gt;"", $F68&gt;=BW$5-4, $F68&lt;=BW$5, COUNTIF($M68:BV68,"u")=0), "u", "")</f>
        <v/>
      </c>
      <c r="BX68" s="80" t="str">
        <f>IF(AND($F68&lt;&gt;"", $F68&gt;=BX$5-4, $F68&lt;=BX$5, COUNTIF($M68:BW68,"u")=0), "u", "")</f>
        <v/>
      </c>
      <c r="BY68" s="80" t="str">
        <f>IF(AND($F68&lt;&gt;"", $F68&gt;=BY$5-4, $F68&lt;=BY$5, COUNTIF($M68:BX68,"u")=0), "u", "")</f>
        <v/>
      </c>
      <c r="BZ68" s="80" t="str">
        <f>IF(AND($F68&lt;&gt;"", $F68&gt;=BZ$5-4, $F68&lt;=BZ$5, COUNTIF($M68:BY68,"u")=0), "u", "")</f>
        <v/>
      </c>
      <c r="CA68" s="80" t="str">
        <f>IF(AND($F68&lt;&gt;"", $F68&gt;=CA$5-4, $F68&lt;=CA$5, COUNTIF($M68:BZ68,"u")=0), "u", "")</f>
        <v/>
      </c>
      <c r="CB68" s="80" t="str">
        <f>IF(AND($F68&lt;&gt;"", $F68&gt;=CB$5-4, $F68&lt;=CB$5, COUNTIF($M68:CA68,"u")=0), "u", "")</f>
        <v/>
      </c>
      <c r="CC68" s="80" t="str">
        <f>IF(AND($F68&lt;&gt;"", $F68&gt;=CC$5-4, $F68&lt;=CC$5, COUNTIF($M68:CB68,"u")=0), "u", "")</f>
        <v/>
      </c>
      <c r="CD68" s="80" t="str">
        <f>IF(AND($F68&lt;&gt;"", $F68&gt;=CD$5-4, $F68&lt;=CD$5, COUNTIF($M68:CC68,"u")=0), "u", "")</f>
        <v/>
      </c>
      <c r="CE68" s="80" t="str">
        <f>IF(AND($F68&lt;&gt;"", $F68&gt;=CE$5-4, $F68&lt;=CE$5, COUNTIF($M68:CD68,"u")=0), "u", "")</f>
        <v/>
      </c>
      <c r="CF68" s="80" t="str">
        <f>IF(AND($F68&lt;&gt;"", $F68&gt;=CF$5-4, $F68&lt;=CF$5, COUNTIF($M68:CE68,"u")=0), "u", "")</f>
        <v/>
      </c>
      <c r="CG68" s="80" t="str">
        <f>IF(AND($F68&lt;&gt;"", $F68&gt;=CG$5-4, $F68&lt;=CG$5, COUNTIF($M68:CF68,"u")=0), "u", "")</f>
        <v/>
      </c>
      <c r="CH68" s="80" t="str">
        <f>IF(AND($F68&lt;&gt;"", $F68&gt;=CH$5-4, $F68&lt;=CH$5, COUNTIF($M68:CG68,"u")=0), "u", "")</f>
        <v/>
      </c>
      <c r="CI68" s="80" t="str">
        <f>IF(AND($F68&lt;&gt;"", $F68&gt;=CI$5-4, $F68&lt;=CI$5, COUNTIF($M68:CH68,"u")=0), "u", "")</f>
        <v/>
      </c>
      <c r="CJ68" s="80" t="str">
        <f>IF(AND($F68&lt;&gt;"", $F68&gt;=CJ$5-4, $F68&lt;=CJ$5, COUNTIF($M68:CI68,"u")=0), "u", "")</f>
        <v/>
      </c>
      <c r="CK68" s="80" t="str">
        <f>IF(AND($F68&lt;&gt;"", $F68&gt;=CK$5-4, $F68&lt;=CK$5, COUNTIF($M68:CJ68,"u")=0), "u", "")</f>
        <v/>
      </c>
      <c r="CL68" s="80" t="str">
        <f>IF(AND($F68&lt;&gt;"", $F68&gt;=CL$5-4, $F68&lt;=CL$5, COUNTIF($M68:CK68,"u")=0), "u", "")</f>
        <v/>
      </c>
      <c r="CM68" s="80" t="str">
        <f>IF(AND($F68&lt;&gt;"", $F68&gt;=CM$5-4, $F68&lt;=CM$5, COUNTIF($M68:CL68,"u")=0), "u", "")</f>
        <v/>
      </c>
      <c r="CN68" s="80" t="str">
        <f>IF(AND($F68&lt;&gt;"", $F68&gt;=CN$5-4, $F68&lt;=CN$5, COUNTIF($M68:CM68,"u")=0), "u", "")</f>
        <v/>
      </c>
      <c r="CO68" s="80" t="str">
        <f>IF(AND($F68&lt;&gt;"", $F68&gt;=CO$5-4, $F68&lt;=CO$5, COUNTIF($M68:CN68,"u")=0), "u", "")</f>
        <v/>
      </c>
      <c r="CP68" s="80" t="str">
        <f>IF(AND($F68&lt;&gt;"", $F68&gt;=CP$5-4, $F68&lt;=CP$5, COUNTIF($M68:CO68,"u")=0), "u", "")</f>
        <v/>
      </c>
      <c r="CQ68" s="80" t="str">
        <f>IF(AND($F68&lt;&gt;"", $F68&gt;=CQ$5-4, $F68&lt;=CQ$5, COUNTIF($M68:CP68,"u")=0), "u", "")</f>
        <v/>
      </c>
      <c r="CR68" s="80" t="str">
        <f>IF(AND($F68&lt;&gt;"", $F68&gt;=CR$5-4, $F68&lt;=CR$5, COUNTIF($M68:CQ68,"u")=0), "u", "")</f>
        <v/>
      </c>
      <c r="CS68" s="80" t="str">
        <f>IF(AND($F68&lt;&gt;"", $F68&gt;=CS$5-4, $F68&lt;=CS$5, COUNTIF($M68:CR68,"u")=0), "u", "")</f>
        <v/>
      </c>
      <c r="CT68" s="80" t="str">
        <f>IF(AND($F68&lt;&gt;"", $F68&gt;=CT$5-4, $F68&lt;=CT$5, COUNTIF($M68:CS68,"u")=0), "u", "")</f>
        <v/>
      </c>
      <c r="CU68" s="80" t="str">
        <f>IF(AND($F68&lt;&gt;"", $F68&gt;=CU$5-4, $F68&lt;=CU$5, COUNTIF($M68:CT68,"u")=0), "u", "")</f>
        <v/>
      </c>
      <c r="CV68" s="80" t="str">
        <f>IF(AND($F68&lt;&gt;"", $F68&gt;=CV$5-4, $F68&lt;=CV$5, COUNTIF($M68:CU68,"u")=0), "u", "")</f>
        <v/>
      </c>
      <c r="CW68" s="80" t="str">
        <f>IF(AND($F68&lt;&gt;"", $F68&gt;=CW$5-4, $F68&lt;=CW$5, COUNTIF($M68:CV68,"u")=0), "u", "")</f>
        <v/>
      </c>
      <c r="CX68" s="80" t="str">
        <f>IF(AND($F68&lt;&gt;"", $F68&gt;=CX$5-4, $F68&lt;=CX$5, COUNTIF($M68:CW68,"u")=0), "u", "")</f>
        <v/>
      </c>
      <c r="CY68" s="80" t="str">
        <f>IF(AND($F68&lt;&gt;"", $F68&gt;=CY$5-4, $F68&lt;=CY$5, COUNTIF($M68:CX68,"u")=0), "u", "")</f>
        <v/>
      </c>
      <c r="CZ68" s="80" t="str">
        <f>IF(AND($F68&lt;&gt;"", $F68&gt;=CZ$5-4, $F68&lt;=CZ$5, COUNTIF($M68:CY68,"u")=0), "u", "")</f>
        <v/>
      </c>
      <c r="DA68" s="80" t="str">
        <f>IF(AND($F68&lt;&gt;"", $F68&gt;=DA$5-4, $F68&lt;=DA$5, COUNTIF($M68:CZ68,"u")=0), "u", "")</f>
        <v/>
      </c>
      <c r="DB68" s="80" t="str">
        <f>IF(AND($F68&lt;&gt;"", $F68&gt;=DB$5-4, $F68&lt;=DB$5, COUNTIF($M68:DA68,"u")=0), "u", "")</f>
        <v/>
      </c>
      <c r="DC68" s="80" t="str">
        <f>IF(AND($F68&lt;&gt;"", $F68&gt;=DC$5-4, $F68&lt;=DC$5, COUNTIF($M68:DB68,"u")=0), "u", "")</f>
        <v/>
      </c>
      <c r="DD68" s="80" t="str">
        <f>IF(AND($F68&lt;&gt;"", $F68&gt;=DD$5-4, $F68&lt;=DD$5, COUNTIF($M68:DC68,"u")=0), "u", "")</f>
        <v/>
      </c>
      <c r="DE68" s="80" t="str">
        <f>IF(AND($F68&lt;&gt;"", $F68&gt;=DE$5-4, $F68&lt;=DE$5, COUNTIF($M68:DD68,"u")=0), "u", "")</f>
        <v/>
      </c>
      <c r="DF68" s="80" t="str">
        <f>IF(AND($F68&lt;&gt;"", $F68&gt;=DF$5-4, $F68&lt;=DF$5, COUNTIF($M68:DE68,"u")=0), "u", "")</f>
        <v/>
      </c>
      <c r="DG68" s="80" t="str">
        <f>IF(AND($F68&lt;&gt;"", $F68&gt;=DG$5-4, $F68&lt;=DG$5, COUNTIF($M68:DF68,"u")=0), "u", "")</f>
        <v/>
      </c>
      <c r="DH68" s="80" t="str">
        <f>IF(AND($F68&lt;&gt;"", $F68&gt;=DH$5-4, $F68&lt;=DH$5, COUNTIF($M68:DG68,"u")=0), "u", "")</f>
        <v/>
      </c>
      <c r="DI68" s="80" t="str">
        <f>IF(AND($F68&lt;&gt;"", $F68&gt;=DI$5-4, $F68&lt;=DI$5, COUNTIF($M68:DH68,"u")=0), "u", "")</f>
        <v/>
      </c>
      <c r="DJ68" s="80" t="str">
        <f>IF(AND($F68&lt;&gt;"", $F68&gt;=DJ$5-4, $F68&lt;=DJ$5, COUNTIF($M68:DI68,"u")=0), "u", "")</f>
        <v/>
      </c>
      <c r="DK68" s="80" t="str">
        <f>IF(AND($F68&lt;&gt;"", $F68&gt;=DK$5-4, $F68&lt;=DK$5, COUNTIF($M68:DJ68,"u")=0), "u", "")</f>
        <v/>
      </c>
      <c r="DL68" s="80" t="str">
        <f>IF(AND($F68&lt;&gt;"", $F68&gt;=DL$5-4, $F68&lt;=DL$5, COUNTIF($M68:DK68,"u")=0), "u", "")</f>
        <v/>
      </c>
    </row>
    <row r="69" spans="1:116" ht="25.05" customHeight="1" x14ac:dyDescent="0.3">
      <c r="A69" s="39"/>
      <c r="B69" s="75">
        <v>64</v>
      </c>
      <c r="C69" s="97"/>
      <c r="D69" s="92"/>
      <c r="E69" s="53"/>
      <c r="F69" s="53"/>
      <c r="G69" s="83" t="str">
        <f t="shared" si="47"/>
        <v/>
      </c>
      <c r="H69" s="83" t="str">
        <f t="shared" si="47"/>
        <v/>
      </c>
      <c r="I69" s="77" t="str">
        <f t="shared" si="45"/>
        <v/>
      </c>
      <c r="J69" s="78"/>
      <c r="K69" s="86"/>
      <c r="L69" s="56"/>
      <c r="M69" s="80" t="str">
        <f t="shared" si="46"/>
        <v/>
      </c>
      <c r="N69" s="80" t="str">
        <f>IF(AND($F69&lt;&gt;"", $F69&gt;=N$5-4, $F69&lt;=N$5, COUNTIF($M69:M69,"u")=0), "u", "")</f>
        <v/>
      </c>
      <c r="O69" s="80" t="str">
        <f>IF(AND($F69&lt;&gt;"", $F69&gt;=O$5-4, $F69&lt;=O$5, COUNTIF($M69:N69,"u")=0), "u", "")</f>
        <v/>
      </c>
      <c r="P69" s="80" t="str">
        <f>IF(AND($F69&lt;&gt;"", $F69&gt;=P$5-4, $F69&lt;=P$5, COUNTIF($M69:O69,"u")=0), "u", "")</f>
        <v/>
      </c>
      <c r="Q69" s="80" t="str">
        <f>IF(AND($F69&lt;&gt;"", $F69&gt;=Q$5-4, $F69&lt;=Q$5, COUNTIF($M69:P69,"u")=0), "u", "")</f>
        <v/>
      </c>
      <c r="R69" s="80" t="str">
        <f>IF(AND($F69&lt;&gt;"", $F69&gt;=R$5-4, $F69&lt;=R$5, COUNTIF($M69:Q69,"u")=0), "u", "")</f>
        <v/>
      </c>
      <c r="S69" s="80" t="str">
        <f>IF(AND($F69&lt;&gt;"", $F69&gt;=S$5-4, $F69&lt;=S$5, COUNTIF($M69:R69,"u")=0), "u", "")</f>
        <v/>
      </c>
      <c r="T69" s="80" t="str">
        <f>IF(AND($F69&lt;&gt;"", $F69&gt;=T$5-4, $F69&lt;=T$5, COUNTIF($M69:S69,"u")=0), "u", "")</f>
        <v/>
      </c>
      <c r="U69" s="80" t="str">
        <f>IF(AND($F69&lt;&gt;"", $F69&gt;=U$5-4, $F69&lt;=U$5, COUNTIF($M69:T69,"u")=0), "u", "")</f>
        <v/>
      </c>
      <c r="V69" s="80" t="str">
        <f>IF(AND($F69&lt;&gt;"", $F69&gt;=V$5-4, $F69&lt;=V$5, COUNTIF($M69:U69,"u")=0), "u", "")</f>
        <v/>
      </c>
      <c r="W69" s="80" t="str">
        <f>IF(AND($F69&lt;&gt;"", $F69&gt;=W$5-4, $F69&lt;=W$5, COUNTIF($M69:V69,"u")=0), "u", "")</f>
        <v/>
      </c>
      <c r="X69" s="80" t="str">
        <f>IF(AND($F69&lt;&gt;"", $F69&gt;=X$5-4, $F69&lt;=X$5, COUNTIF($M69:W69,"u")=0), "u", "")</f>
        <v/>
      </c>
      <c r="Y69" s="80" t="str">
        <f>IF(AND($F69&lt;&gt;"", $F69&gt;=Y$5-4, $F69&lt;=Y$5, COUNTIF($M69:X69,"u")=0), "u", "")</f>
        <v/>
      </c>
      <c r="Z69" s="80" t="str">
        <f>IF(AND($F69&lt;&gt;"", $F69&gt;=Z$5-4, $F69&lt;=Z$5, COUNTIF($M69:Y69,"u")=0), "u", "")</f>
        <v/>
      </c>
      <c r="AA69" s="80" t="str">
        <f>IF(AND($F69&lt;&gt;"", $F69&gt;=AA$5-4, $F69&lt;=AA$5, COUNTIF($M69:Z69,"u")=0), "u", "")</f>
        <v/>
      </c>
      <c r="AB69" s="80" t="str">
        <f>IF(AND($F69&lt;&gt;"", $F69&gt;=AB$5-4, $F69&lt;=AB$5, COUNTIF($M69:AA69,"u")=0), "u", "")</f>
        <v/>
      </c>
      <c r="AC69" s="80" t="str">
        <f>IF(AND($F69&lt;&gt;"", $F69&gt;=AC$5-4, $F69&lt;=AC$5, COUNTIF($M69:AB69,"u")=0), "u", "")</f>
        <v/>
      </c>
      <c r="AD69" s="80" t="str">
        <f>IF(AND($F69&lt;&gt;"", $F69&gt;=AD$5-4, $F69&lt;=AD$5, COUNTIF($M69:AC69,"u")=0), "u", "")</f>
        <v/>
      </c>
      <c r="AE69" s="80" t="str">
        <f>IF(AND($F69&lt;&gt;"", $F69&gt;=AE$5-4, $F69&lt;=AE$5, COUNTIF($M69:AD69,"u")=0), "u", "")</f>
        <v/>
      </c>
      <c r="AF69" s="80" t="str">
        <f>IF(AND($F69&lt;&gt;"", $F69&gt;=AF$5-4, $F69&lt;=AF$5, COUNTIF($M69:AE69,"u")=0), "u", "")</f>
        <v/>
      </c>
      <c r="AG69" s="80" t="str">
        <f>IF(AND($F69&lt;&gt;"", $F69&gt;=AG$5-4, $F69&lt;=AG$5, COUNTIF($M69:AF69,"u")=0), "u", "")</f>
        <v/>
      </c>
      <c r="AH69" s="80" t="str">
        <f>IF(AND($F69&lt;&gt;"", $F69&gt;=AH$5-4, $F69&lt;=AH$5, COUNTIF($M69:AG69,"u")=0), "u", "")</f>
        <v/>
      </c>
      <c r="AI69" s="80" t="str">
        <f>IF(AND($F69&lt;&gt;"", $F69&gt;=AI$5-4, $F69&lt;=AI$5, COUNTIF($M69:AH69,"u")=0), "u", "")</f>
        <v/>
      </c>
      <c r="AJ69" s="80" t="str">
        <f>IF(AND($F69&lt;&gt;"", $F69&gt;=AJ$5-4, $F69&lt;=AJ$5, COUNTIF($M69:AI69,"u")=0), "u", "")</f>
        <v/>
      </c>
      <c r="AK69" s="80" t="str">
        <f>IF(AND($F69&lt;&gt;"", $F69&gt;=AK$5-4, $F69&lt;=AK$5, COUNTIF($M69:AJ69,"u")=0), "u", "")</f>
        <v/>
      </c>
      <c r="AL69" s="80" t="str">
        <f>IF(AND($F69&lt;&gt;"", $F69&gt;=AL$5-4, $F69&lt;=AL$5, COUNTIF($M69:AK69,"u")=0), "u", "")</f>
        <v/>
      </c>
      <c r="AM69" s="80" t="str">
        <f>IF(AND($F69&lt;&gt;"", $F69&gt;=AM$5-4, $F69&lt;=AM$5, COUNTIF($M69:AL69,"u")=0), "u", "")</f>
        <v/>
      </c>
      <c r="AN69" s="80" t="str">
        <f>IF(AND($F69&lt;&gt;"", $F69&gt;=AN$5-4, $F69&lt;=AN$5, COUNTIF($M69:AM69,"u")=0), "u", "")</f>
        <v/>
      </c>
      <c r="AO69" s="80" t="str">
        <f>IF(AND($F69&lt;&gt;"", $F69&gt;=AO$5-4, $F69&lt;=AO$5, COUNTIF($M69:AN69,"u")=0), "u", "")</f>
        <v/>
      </c>
      <c r="AP69" s="80" t="str">
        <f>IF(AND($F69&lt;&gt;"", $F69&gt;=AP$5-4, $F69&lt;=AP$5, COUNTIF($M69:AO69,"u")=0), "u", "")</f>
        <v/>
      </c>
      <c r="AQ69" s="80" t="str">
        <f>IF(AND($F69&lt;&gt;"", $F69&gt;=AQ$5-4, $F69&lt;=AQ$5, COUNTIF($M69:AP69,"u")=0), "u", "")</f>
        <v/>
      </c>
      <c r="AR69" s="80" t="str">
        <f>IF(AND($F69&lt;&gt;"", $F69&gt;=AR$5-4, $F69&lt;=AR$5, COUNTIF($M69:AQ69,"u")=0), "u", "")</f>
        <v/>
      </c>
      <c r="AS69" s="80" t="str">
        <f>IF(AND($F69&lt;&gt;"", $F69&gt;=AS$5-4, $F69&lt;=AS$5, COUNTIF($M69:AR69,"u")=0), "u", "")</f>
        <v/>
      </c>
      <c r="AT69" s="80" t="str">
        <f>IF(AND($F69&lt;&gt;"", $F69&gt;=AT$5-4, $F69&lt;=AT$5, COUNTIF($M69:AS69,"u")=0), "u", "")</f>
        <v/>
      </c>
      <c r="AU69" s="80" t="str">
        <f>IF(AND($F69&lt;&gt;"", $F69&gt;=AU$5-4, $F69&lt;=AU$5, COUNTIF($M69:AT69,"u")=0), "u", "")</f>
        <v/>
      </c>
      <c r="AV69" s="80" t="str">
        <f>IF(AND($F69&lt;&gt;"", $F69&gt;=AV$5-4, $F69&lt;=AV$5, COUNTIF($M69:AU69,"u")=0), "u", "")</f>
        <v/>
      </c>
      <c r="AW69" s="80" t="str">
        <f>IF(AND($F69&lt;&gt;"", $F69&gt;=AW$5-4, $F69&lt;=AW$5, COUNTIF($M69:AV69,"u")=0), "u", "")</f>
        <v/>
      </c>
      <c r="AX69" s="80" t="str">
        <f>IF(AND($F69&lt;&gt;"", $F69&gt;=AX$5-4, $F69&lt;=AX$5, COUNTIF($M69:AW69,"u")=0), "u", "")</f>
        <v/>
      </c>
      <c r="AY69" s="80" t="str">
        <f>IF(AND($F69&lt;&gt;"", $F69&gt;=AY$5-4, $F69&lt;=AY$5, COUNTIF($M69:AX69,"u")=0), "u", "")</f>
        <v/>
      </c>
      <c r="AZ69" s="80" t="str">
        <f>IF(AND($F69&lt;&gt;"", $F69&gt;=AZ$5-4, $F69&lt;=AZ$5, COUNTIF($M69:AY69,"u")=0), "u", "")</f>
        <v/>
      </c>
      <c r="BA69" s="80" t="str">
        <f>IF(AND($F69&lt;&gt;"", $F69&gt;=BA$5-4, $F69&lt;=BA$5, COUNTIF($M69:AZ69,"u")=0), "u", "")</f>
        <v/>
      </c>
      <c r="BB69" s="80" t="str">
        <f>IF(AND($F69&lt;&gt;"", $F69&gt;=BB$5-4, $F69&lt;=BB$5, COUNTIF($M69:BA69,"u")=0), "u", "")</f>
        <v/>
      </c>
      <c r="BC69" s="80" t="str">
        <f>IF(AND($F69&lt;&gt;"", $F69&gt;=BC$5-4, $F69&lt;=BC$5, COUNTIF($M69:BB69,"u")=0), "u", "")</f>
        <v/>
      </c>
      <c r="BD69" s="80" t="str">
        <f>IF(AND($F69&lt;&gt;"", $F69&gt;=BD$5-4, $F69&lt;=BD$5, COUNTIF($M69:BC69,"u")=0), "u", "")</f>
        <v/>
      </c>
      <c r="BE69" s="80" t="str">
        <f>IF(AND($F69&lt;&gt;"", $F69&gt;=BE$5-4, $F69&lt;=BE$5, COUNTIF($M69:BD69,"u")=0), "u", "")</f>
        <v/>
      </c>
      <c r="BF69" s="80" t="str">
        <f>IF(AND($F69&lt;&gt;"", $F69&gt;=BF$5-4, $F69&lt;=BF$5, COUNTIF($M69:BE69,"u")=0), "u", "")</f>
        <v/>
      </c>
      <c r="BG69" s="80" t="str">
        <f>IF(AND($F69&lt;&gt;"", $F69&gt;=BG$5-4, $F69&lt;=BG$5, COUNTIF($M69:BF69,"u")=0), "u", "")</f>
        <v/>
      </c>
      <c r="BH69" s="80" t="str">
        <f>IF(AND($F69&lt;&gt;"", $F69&gt;=BH$5-4, $F69&lt;=BH$5, COUNTIF($M69:BG69,"u")=0), "u", "")</f>
        <v/>
      </c>
      <c r="BI69" s="80" t="str">
        <f>IF(AND($F69&lt;&gt;"", $F69&gt;=BI$5-4, $F69&lt;=BI$5, COUNTIF($M69:BH69,"u")=0), "u", "")</f>
        <v/>
      </c>
      <c r="BJ69" s="80" t="str">
        <f>IF(AND($F69&lt;&gt;"", $F69&gt;=BJ$5-4, $F69&lt;=BJ$5, COUNTIF($M69:BI69,"u")=0), "u", "")</f>
        <v/>
      </c>
      <c r="BK69" s="80" t="str">
        <f>IF(AND($F69&lt;&gt;"", $F69&gt;=BK$5-4, $F69&lt;=BK$5, COUNTIF($M69:BJ69,"u")=0), "u", "")</f>
        <v/>
      </c>
      <c r="BL69" s="80" t="str">
        <f>IF(AND($F69&lt;&gt;"", $F69&gt;=BL$5-4, $F69&lt;=BL$5, COUNTIF($M69:BK69,"u")=0), "u", "")</f>
        <v/>
      </c>
      <c r="BM69" s="80" t="str">
        <f>IF(AND($F69&lt;&gt;"", $F69&gt;=BM$5-4, $F69&lt;=BM$5, COUNTIF($M69:BL69,"u")=0), "u", "")</f>
        <v/>
      </c>
      <c r="BN69" s="80" t="str">
        <f>IF(AND($F69&lt;&gt;"", $F69&gt;=BN$5-4, $F69&lt;=BN$5, COUNTIF($M69:BM69,"u")=0), "u", "")</f>
        <v/>
      </c>
      <c r="BO69" s="80" t="str">
        <f>IF(AND($F69&lt;&gt;"", $F69&gt;=BO$5-4, $F69&lt;=BO$5, COUNTIF($M69:BN69,"u")=0), "u", "")</f>
        <v/>
      </c>
      <c r="BP69" s="80" t="str">
        <f>IF(AND($F69&lt;&gt;"", $F69&gt;=BP$5-4, $F69&lt;=BP$5, COUNTIF($M69:BO69,"u")=0), "u", "")</f>
        <v/>
      </c>
      <c r="BQ69" s="80" t="str">
        <f>IF(AND($F69&lt;&gt;"", $F69&gt;=BQ$5-4, $F69&lt;=BQ$5, COUNTIF($M69:BP69,"u")=0), "u", "")</f>
        <v/>
      </c>
      <c r="BR69" s="80" t="str">
        <f>IF(AND($F69&lt;&gt;"", $F69&gt;=BR$5-4, $F69&lt;=BR$5, COUNTIF($M69:BQ69,"u")=0), "u", "")</f>
        <v/>
      </c>
      <c r="BS69" s="80" t="str">
        <f>IF(AND($F69&lt;&gt;"", $F69&gt;=BS$5-4, $F69&lt;=BS$5, COUNTIF($M69:BR69,"u")=0), "u", "")</f>
        <v/>
      </c>
      <c r="BT69" s="80" t="str">
        <f>IF(AND($F69&lt;&gt;"", $F69&gt;=BT$5-4, $F69&lt;=BT$5, COUNTIF($M69:BS69,"u")=0), "u", "")</f>
        <v/>
      </c>
      <c r="BU69" s="80" t="str">
        <f>IF(AND($F69&lt;&gt;"", $F69&gt;=BU$5-4, $F69&lt;=BU$5, COUNTIF($M69:BT69,"u")=0), "u", "")</f>
        <v/>
      </c>
      <c r="BV69" s="80" t="str">
        <f>IF(AND($F69&lt;&gt;"", $F69&gt;=BV$5-4, $F69&lt;=BV$5, COUNTIF($M69:BU69,"u")=0), "u", "")</f>
        <v/>
      </c>
      <c r="BW69" s="80" t="str">
        <f>IF(AND($F69&lt;&gt;"", $F69&gt;=BW$5-4, $F69&lt;=BW$5, COUNTIF($M69:BV69,"u")=0), "u", "")</f>
        <v/>
      </c>
      <c r="BX69" s="80" t="str">
        <f>IF(AND($F69&lt;&gt;"", $F69&gt;=BX$5-4, $F69&lt;=BX$5, COUNTIF($M69:BW69,"u")=0), "u", "")</f>
        <v/>
      </c>
      <c r="BY69" s="80" t="str">
        <f>IF(AND($F69&lt;&gt;"", $F69&gt;=BY$5-4, $F69&lt;=BY$5, COUNTIF($M69:BX69,"u")=0), "u", "")</f>
        <v/>
      </c>
      <c r="BZ69" s="80" t="str">
        <f>IF(AND($F69&lt;&gt;"", $F69&gt;=BZ$5-4, $F69&lt;=BZ$5, COUNTIF($M69:BY69,"u")=0), "u", "")</f>
        <v/>
      </c>
      <c r="CA69" s="80" t="str">
        <f>IF(AND($F69&lt;&gt;"", $F69&gt;=CA$5-4, $F69&lt;=CA$5, COUNTIF($M69:BZ69,"u")=0), "u", "")</f>
        <v/>
      </c>
      <c r="CB69" s="80" t="str">
        <f>IF(AND($F69&lt;&gt;"", $F69&gt;=CB$5-4, $F69&lt;=CB$5, COUNTIF($M69:CA69,"u")=0), "u", "")</f>
        <v/>
      </c>
      <c r="CC69" s="80" t="str">
        <f>IF(AND($F69&lt;&gt;"", $F69&gt;=CC$5-4, $F69&lt;=CC$5, COUNTIF($M69:CB69,"u")=0), "u", "")</f>
        <v/>
      </c>
      <c r="CD69" s="80" t="str">
        <f>IF(AND($F69&lt;&gt;"", $F69&gt;=CD$5-4, $F69&lt;=CD$5, COUNTIF($M69:CC69,"u")=0), "u", "")</f>
        <v/>
      </c>
      <c r="CE69" s="80" t="str">
        <f>IF(AND($F69&lt;&gt;"", $F69&gt;=CE$5-4, $F69&lt;=CE$5, COUNTIF($M69:CD69,"u")=0), "u", "")</f>
        <v/>
      </c>
      <c r="CF69" s="80" t="str">
        <f>IF(AND($F69&lt;&gt;"", $F69&gt;=CF$5-4, $F69&lt;=CF$5, COUNTIF($M69:CE69,"u")=0), "u", "")</f>
        <v/>
      </c>
      <c r="CG69" s="80" t="str">
        <f>IF(AND($F69&lt;&gt;"", $F69&gt;=CG$5-4, $F69&lt;=CG$5, COUNTIF($M69:CF69,"u")=0), "u", "")</f>
        <v/>
      </c>
      <c r="CH69" s="80" t="str">
        <f>IF(AND($F69&lt;&gt;"", $F69&gt;=CH$5-4, $F69&lt;=CH$5, COUNTIF($M69:CG69,"u")=0), "u", "")</f>
        <v/>
      </c>
      <c r="CI69" s="80" t="str">
        <f>IF(AND($F69&lt;&gt;"", $F69&gt;=CI$5-4, $F69&lt;=CI$5, COUNTIF($M69:CH69,"u")=0), "u", "")</f>
        <v/>
      </c>
      <c r="CJ69" s="80" t="str">
        <f>IF(AND($F69&lt;&gt;"", $F69&gt;=CJ$5-4, $F69&lt;=CJ$5, COUNTIF($M69:CI69,"u")=0), "u", "")</f>
        <v/>
      </c>
      <c r="CK69" s="80" t="str">
        <f>IF(AND($F69&lt;&gt;"", $F69&gt;=CK$5-4, $F69&lt;=CK$5, COUNTIF($M69:CJ69,"u")=0), "u", "")</f>
        <v/>
      </c>
      <c r="CL69" s="80" t="str">
        <f>IF(AND($F69&lt;&gt;"", $F69&gt;=CL$5-4, $F69&lt;=CL$5, COUNTIF($M69:CK69,"u")=0), "u", "")</f>
        <v/>
      </c>
      <c r="CM69" s="80" t="str">
        <f>IF(AND($F69&lt;&gt;"", $F69&gt;=CM$5-4, $F69&lt;=CM$5, COUNTIF($M69:CL69,"u")=0), "u", "")</f>
        <v/>
      </c>
      <c r="CN69" s="80" t="str">
        <f>IF(AND($F69&lt;&gt;"", $F69&gt;=CN$5-4, $F69&lt;=CN$5, COUNTIF($M69:CM69,"u")=0), "u", "")</f>
        <v/>
      </c>
      <c r="CO69" s="80" t="str">
        <f>IF(AND($F69&lt;&gt;"", $F69&gt;=CO$5-4, $F69&lt;=CO$5, COUNTIF($M69:CN69,"u")=0), "u", "")</f>
        <v/>
      </c>
      <c r="CP69" s="80" t="str">
        <f>IF(AND($F69&lt;&gt;"", $F69&gt;=CP$5-4, $F69&lt;=CP$5, COUNTIF($M69:CO69,"u")=0), "u", "")</f>
        <v/>
      </c>
      <c r="CQ69" s="80" t="str">
        <f>IF(AND($F69&lt;&gt;"", $F69&gt;=CQ$5-4, $F69&lt;=CQ$5, COUNTIF($M69:CP69,"u")=0), "u", "")</f>
        <v/>
      </c>
      <c r="CR69" s="80" t="str">
        <f>IF(AND($F69&lt;&gt;"", $F69&gt;=CR$5-4, $F69&lt;=CR$5, COUNTIF($M69:CQ69,"u")=0), "u", "")</f>
        <v/>
      </c>
      <c r="CS69" s="80" t="str">
        <f>IF(AND($F69&lt;&gt;"", $F69&gt;=CS$5-4, $F69&lt;=CS$5, COUNTIF($M69:CR69,"u")=0), "u", "")</f>
        <v/>
      </c>
      <c r="CT69" s="80" t="str">
        <f>IF(AND($F69&lt;&gt;"", $F69&gt;=CT$5-4, $F69&lt;=CT$5, COUNTIF($M69:CS69,"u")=0), "u", "")</f>
        <v/>
      </c>
      <c r="CU69" s="80" t="str">
        <f>IF(AND($F69&lt;&gt;"", $F69&gt;=CU$5-4, $F69&lt;=CU$5, COUNTIF($M69:CT69,"u")=0), "u", "")</f>
        <v/>
      </c>
      <c r="CV69" s="80" t="str">
        <f>IF(AND($F69&lt;&gt;"", $F69&gt;=CV$5-4, $F69&lt;=CV$5, COUNTIF($M69:CU69,"u")=0), "u", "")</f>
        <v/>
      </c>
      <c r="CW69" s="80" t="str">
        <f>IF(AND($F69&lt;&gt;"", $F69&gt;=CW$5-4, $F69&lt;=CW$5, COUNTIF($M69:CV69,"u")=0), "u", "")</f>
        <v/>
      </c>
      <c r="CX69" s="80" t="str">
        <f>IF(AND($F69&lt;&gt;"", $F69&gt;=CX$5-4, $F69&lt;=CX$5, COUNTIF($M69:CW69,"u")=0), "u", "")</f>
        <v/>
      </c>
      <c r="CY69" s="80" t="str">
        <f>IF(AND($F69&lt;&gt;"", $F69&gt;=CY$5-4, $F69&lt;=CY$5, COUNTIF($M69:CX69,"u")=0), "u", "")</f>
        <v/>
      </c>
      <c r="CZ69" s="80" t="str">
        <f>IF(AND($F69&lt;&gt;"", $F69&gt;=CZ$5-4, $F69&lt;=CZ$5, COUNTIF($M69:CY69,"u")=0), "u", "")</f>
        <v/>
      </c>
      <c r="DA69" s="80" t="str">
        <f>IF(AND($F69&lt;&gt;"", $F69&gt;=DA$5-4, $F69&lt;=DA$5, COUNTIF($M69:CZ69,"u")=0), "u", "")</f>
        <v/>
      </c>
      <c r="DB69" s="80" t="str">
        <f>IF(AND($F69&lt;&gt;"", $F69&gt;=DB$5-4, $F69&lt;=DB$5, COUNTIF($M69:DA69,"u")=0), "u", "")</f>
        <v/>
      </c>
      <c r="DC69" s="80" t="str">
        <f>IF(AND($F69&lt;&gt;"", $F69&gt;=DC$5-4, $F69&lt;=DC$5, COUNTIF($M69:DB69,"u")=0), "u", "")</f>
        <v/>
      </c>
      <c r="DD69" s="80" t="str">
        <f>IF(AND($F69&lt;&gt;"", $F69&gt;=DD$5-4, $F69&lt;=DD$5, COUNTIF($M69:DC69,"u")=0), "u", "")</f>
        <v/>
      </c>
      <c r="DE69" s="80" t="str">
        <f>IF(AND($F69&lt;&gt;"", $F69&gt;=DE$5-4, $F69&lt;=DE$5, COUNTIF($M69:DD69,"u")=0), "u", "")</f>
        <v/>
      </c>
      <c r="DF69" s="80" t="str">
        <f>IF(AND($F69&lt;&gt;"", $F69&gt;=DF$5-4, $F69&lt;=DF$5, COUNTIF($M69:DE69,"u")=0), "u", "")</f>
        <v/>
      </c>
      <c r="DG69" s="80" t="str">
        <f>IF(AND($F69&lt;&gt;"", $F69&gt;=DG$5-4, $F69&lt;=DG$5, COUNTIF($M69:DF69,"u")=0), "u", "")</f>
        <v/>
      </c>
      <c r="DH69" s="80" t="str">
        <f>IF(AND($F69&lt;&gt;"", $F69&gt;=DH$5-4, $F69&lt;=DH$5, COUNTIF($M69:DG69,"u")=0), "u", "")</f>
        <v/>
      </c>
      <c r="DI69" s="80" t="str">
        <f>IF(AND($F69&lt;&gt;"", $F69&gt;=DI$5-4, $F69&lt;=DI$5, COUNTIF($M69:DH69,"u")=0), "u", "")</f>
        <v/>
      </c>
      <c r="DJ69" s="80" t="str">
        <f>IF(AND($F69&lt;&gt;"", $F69&gt;=DJ$5-4, $F69&lt;=DJ$5, COUNTIF($M69:DI69,"u")=0), "u", "")</f>
        <v/>
      </c>
      <c r="DK69" s="80" t="str">
        <f>IF(AND($F69&lt;&gt;"", $F69&gt;=DK$5-4, $F69&lt;=DK$5, COUNTIF($M69:DJ69,"u")=0), "u", "")</f>
        <v/>
      </c>
      <c r="DL69" s="80" t="str">
        <f>IF(AND($F69&lt;&gt;"", $F69&gt;=DL$5-4, $F69&lt;=DL$5, COUNTIF($M69:DK69,"u")=0), "u", "")</f>
        <v/>
      </c>
    </row>
    <row r="70" spans="1:116" ht="25.05" customHeight="1" x14ac:dyDescent="0.3">
      <c r="A70" s="39"/>
      <c r="B70" s="75">
        <v>65</v>
      </c>
      <c r="C70" s="97"/>
      <c r="D70" s="92"/>
      <c r="E70" s="53"/>
      <c r="F70" s="53"/>
      <c r="G70" s="83" t="str">
        <f t="shared" si="47"/>
        <v/>
      </c>
      <c r="H70" s="83" t="str">
        <f t="shared" si="47"/>
        <v/>
      </c>
      <c r="I70" s="77" t="str">
        <f t="shared" ref="I70:I133" si="48">IF(F70="","",NETWORKDAYS(E70,F70))</f>
        <v/>
      </c>
      <c r="J70" s="78"/>
      <c r="K70" s="86"/>
      <c r="L70" s="56"/>
      <c r="M70" s="80" t="str">
        <f t="shared" si="46"/>
        <v/>
      </c>
      <c r="N70" s="80" t="str">
        <f>IF(AND($F70&lt;&gt;"", $F70&gt;=N$5-4, $F70&lt;=N$5, COUNTIF($M70:M70,"u")=0), "u", "")</f>
        <v/>
      </c>
      <c r="O70" s="80" t="str">
        <f>IF(AND($F70&lt;&gt;"", $F70&gt;=O$5-4, $F70&lt;=O$5, COUNTIF($M70:N70,"u")=0), "u", "")</f>
        <v/>
      </c>
      <c r="P70" s="80" t="str">
        <f>IF(AND($F70&lt;&gt;"", $F70&gt;=P$5-4, $F70&lt;=P$5, COUNTIF($M70:O70,"u")=0), "u", "")</f>
        <v/>
      </c>
      <c r="Q70" s="80" t="str">
        <f>IF(AND($F70&lt;&gt;"", $F70&gt;=Q$5-4, $F70&lt;=Q$5, COUNTIF($M70:P70,"u")=0), "u", "")</f>
        <v/>
      </c>
      <c r="R70" s="80" t="str">
        <f>IF(AND($F70&lt;&gt;"", $F70&gt;=R$5-4, $F70&lt;=R$5, COUNTIF($M70:Q70,"u")=0), "u", "")</f>
        <v/>
      </c>
      <c r="S70" s="80" t="str">
        <f>IF(AND($F70&lt;&gt;"", $F70&gt;=S$5-4, $F70&lt;=S$5, COUNTIF($M70:R70,"u")=0), "u", "")</f>
        <v/>
      </c>
      <c r="T70" s="80" t="str">
        <f>IF(AND($F70&lt;&gt;"", $F70&gt;=T$5-4, $F70&lt;=T$5, COUNTIF($M70:S70,"u")=0), "u", "")</f>
        <v/>
      </c>
      <c r="U70" s="80" t="str">
        <f>IF(AND($F70&lt;&gt;"", $F70&gt;=U$5-4, $F70&lt;=U$5, COUNTIF($M70:T70,"u")=0), "u", "")</f>
        <v/>
      </c>
      <c r="V70" s="80" t="str">
        <f>IF(AND($F70&lt;&gt;"", $F70&gt;=V$5-4, $F70&lt;=V$5, COUNTIF($M70:U70,"u")=0), "u", "")</f>
        <v/>
      </c>
      <c r="W70" s="80" t="str">
        <f>IF(AND($F70&lt;&gt;"", $F70&gt;=W$5-4, $F70&lt;=W$5, COUNTIF($M70:V70,"u")=0), "u", "")</f>
        <v/>
      </c>
      <c r="X70" s="80" t="str">
        <f>IF(AND($F70&lt;&gt;"", $F70&gt;=X$5-4, $F70&lt;=X$5, COUNTIF($M70:W70,"u")=0), "u", "")</f>
        <v/>
      </c>
      <c r="Y70" s="80" t="str">
        <f>IF(AND($F70&lt;&gt;"", $F70&gt;=Y$5-4, $F70&lt;=Y$5, COUNTIF($M70:X70,"u")=0), "u", "")</f>
        <v/>
      </c>
      <c r="Z70" s="80" t="str">
        <f>IF(AND($F70&lt;&gt;"", $F70&gt;=Z$5-4, $F70&lt;=Z$5, COUNTIF($M70:Y70,"u")=0), "u", "")</f>
        <v/>
      </c>
      <c r="AA70" s="80" t="str">
        <f>IF(AND($F70&lt;&gt;"", $F70&gt;=AA$5-4, $F70&lt;=AA$5, COUNTIF($M70:Z70,"u")=0), "u", "")</f>
        <v/>
      </c>
      <c r="AB70" s="80" t="str">
        <f>IF(AND($F70&lt;&gt;"", $F70&gt;=AB$5-4, $F70&lt;=AB$5, COUNTIF($M70:AA70,"u")=0), "u", "")</f>
        <v/>
      </c>
      <c r="AC70" s="80" t="str">
        <f>IF(AND($F70&lt;&gt;"", $F70&gt;=AC$5-4, $F70&lt;=AC$5, COUNTIF($M70:AB70,"u")=0), "u", "")</f>
        <v/>
      </c>
      <c r="AD70" s="80" t="str">
        <f>IF(AND($F70&lt;&gt;"", $F70&gt;=AD$5-4, $F70&lt;=AD$5, COUNTIF($M70:AC70,"u")=0), "u", "")</f>
        <v/>
      </c>
      <c r="AE70" s="80" t="str">
        <f>IF(AND($F70&lt;&gt;"", $F70&gt;=AE$5-4, $F70&lt;=AE$5, COUNTIF($M70:AD70,"u")=0), "u", "")</f>
        <v/>
      </c>
      <c r="AF70" s="80" t="str">
        <f>IF(AND($F70&lt;&gt;"", $F70&gt;=AF$5-4, $F70&lt;=AF$5, COUNTIF($M70:AE70,"u")=0), "u", "")</f>
        <v/>
      </c>
      <c r="AG70" s="80" t="str">
        <f>IF(AND($F70&lt;&gt;"", $F70&gt;=AG$5-4, $F70&lt;=AG$5, COUNTIF($M70:AF70,"u")=0), "u", "")</f>
        <v/>
      </c>
      <c r="AH70" s="80" t="str">
        <f>IF(AND($F70&lt;&gt;"", $F70&gt;=AH$5-4, $F70&lt;=AH$5, COUNTIF($M70:AG70,"u")=0), "u", "")</f>
        <v/>
      </c>
      <c r="AI70" s="80" t="str">
        <f>IF(AND($F70&lt;&gt;"", $F70&gt;=AI$5-4, $F70&lt;=AI$5, COUNTIF($M70:AH70,"u")=0), "u", "")</f>
        <v/>
      </c>
      <c r="AJ70" s="80" t="str">
        <f>IF(AND($F70&lt;&gt;"", $F70&gt;=AJ$5-4, $F70&lt;=AJ$5, COUNTIF($M70:AI70,"u")=0), "u", "")</f>
        <v/>
      </c>
      <c r="AK70" s="80" t="str">
        <f>IF(AND($F70&lt;&gt;"", $F70&gt;=AK$5-4, $F70&lt;=AK$5, COUNTIF($M70:AJ70,"u")=0), "u", "")</f>
        <v/>
      </c>
      <c r="AL70" s="80" t="str">
        <f>IF(AND($F70&lt;&gt;"", $F70&gt;=AL$5-4, $F70&lt;=AL$5, COUNTIF($M70:AK70,"u")=0), "u", "")</f>
        <v/>
      </c>
      <c r="AM70" s="80" t="str">
        <f>IF(AND($F70&lt;&gt;"", $F70&gt;=AM$5-4, $F70&lt;=AM$5, COUNTIF($M70:AL70,"u")=0), "u", "")</f>
        <v/>
      </c>
      <c r="AN70" s="80" t="str">
        <f>IF(AND($F70&lt;&gt;"", $F70&gt;=AN$5-4, $F70&lt;=AN$5, COUNTIF($M70:AM70,"u")=0), "u", "")</f>
        <v/>
      </c>
      <c r="AO70" s="80" t="str">
        <f>IF(AND($F70&lt;&gt;"", $F70&gt;=AO$5-4, $F70&lt;=AO$5, COUNTIF($M70:AN70,"u")=0), "u", "")</f>
        <v/>
      </c>
      <c r="AP70" s="80" t="str">
        <f>IF(AND($F70&lt;&gt;"", $F70&gt;=AP$5-4, $F70&lt;=AP$5, COUNTIF($M70:AO70,"u")=0), "u", "")</f>
        <v/>
      </c>
      <c r="AQ70" s="80" t="str">
        <f>IF(AND($F70&lt;&gt;"", $F70&gt;=AQ$5-4, $F70&lt;=AQ$5, COUNTIF($M70:AP70,"u")=0), "u", "")</f>
        <v/>
      </c>
      <c r="AR70" s="80" t="str">
        <f>IF(AND($F70&lt;&gt;"", $F70&gt;=AR$5-4, $F70&lt;=AR$5, COUNTIF($M70:AQ70,"u")=0), "u", "")</f>
        <v/>
      </c>
      <c r="AS70" s="80" t="str">
        <f>IF(AND($F70&lt;&gt;"", $F70&gt;=AS$5-4, $F70&lt;=AS$5, COUNTIF($M70:AR70,"u")=0), "u", "")</f>
        <v/>
      </c>
      <c r="AT70" s="80" t="str">
        <f>IF(AND($F70&lt;&gt;"", $F70&gt;=AT$5-4, $F70&lt;=AT$5, COUNTIF($M70:AS70,"u")=0), "u", "")</f>
        <v/>
      </c>
      <c r="AU70" s="80" t="str">
        <f>IF(AND($F70&lt;&gt;"", $F70&gt;=AU$5-4, $F70&lt;=AU$5, COUNTIF($M70:AT70,"u")=0), "u", "")</f>
        <v/>
      </c>
      <c r="AV70" s="80" t="str">
        <f>IF(AND($F70&lt;&gt;"", $F70&gt;=AV$5-4, $F70&lt;=AV$5, COUNTIF($M70:AU70,"u")=0), "u", "")</f>
        <v/>
      </c>
      <c r="AW70" s="80" t="str">
        <f>IF(AND($F70&lt;&gt;"", $F70&gt;=AW$5-4, $F70&lt;=AW$5, COUNTIF($M70:AV70,"u")=0), "u", "")</f>
        <v/>
      </c>
      <c r="AX70" s="80" t="str">
        <f>IF(AND($F70&lt;&gt;"", $F70&gt;=AX$5-4, $F70&lt;=AX$5, COUNTIF($M70:AW70,"u")=0), "u", "")</f>
        <v/>
      </c>
      <c r="AY70" s="80" t="str">
        <f>IF(AND($F70&lt;&gt;"", $F70&gt;=AY$5-4, $F70&lt;=AY$5, COUNTIF($M70:AX70,"u")=0), "u", "")</f>
        <v/>
      </c>
      <c r="AZ70" s="80" t="str">
        <f>IF(AND($F70&lt;&gt;"", $F70&gt;=AZ$5-4, $F70&lt;=AZ$5, COUNTIF($M70:AY70,"u")=0), "u", "")</f>
        <v/>
      </c>
      <c r="BA70" s="80" t="str">
        <f>IF(AND($F70&lt;&gt;"", $F70&gt;=BA$5-4, $F70&lt;=BA$5, COUNTIF($M70:AZ70,"u")=0), "u", "")</f>
        <v/>
      </c>
      <c r="BB70" s="80" t="str">
        <f>IF(AND($F70&lt;&gt;"", $F70&gt;=BB$5-4, $F70&lt;=BB$5, COUNTIF($M70:BA70,"u")=0), "u", "")</f>
        <v/>
      </c>
      <c r="BC70" s="80" t="str">
        <f>IF(AND($F70&lt;&gt;"", $F70&gt;=BC$5-4, $F70&lt;=BC$5, COUNTIF($M70:BB70,"u")=0), "u", "")</f>
        <v/>
      </c>
      <c r="BD70" s="80" t="str">
        <f>IF(AND($F70&lt;&gt;"", $F70&gt;=BD$5-4, $F70&lt;=BD$5, COUNTIF($M70:BC70,"u")=0), "u", "")</f>
        <v/>
      </c>
      <c r="BE70" s="80" t="str">
        <f>IF(AND($F70&lt;&gt;"", $F70&gt;=BE$5-4, $F70&lt;=BE$5, COUNTIF($M70:BD70,"u")=0), "u", "")</f>
        <v/>
      </c>
      <c r="BF70" s="80" t="str">
        <f>IF(AND($F70&lt;&gt;"", $F70&gt;=BF$5-4, $F70&lt;=BF$5, COUNTIF($M70:BE70,"u")=0), "u", "")</f>
        <v/>
      </c>
      <c r="BG70" s="80" t="str">
        <f>IF(AND($F70&lt;&gt;"", $F70&gt;=BG$5-4, $F70&lt;=BG$5, COUNTIF($M70:BF70,"u")=0), "u", "")</f>
        <v/>
      </c>
      <c r="BH70" s="80" t="str">
        <f>IF(AND($F70&lt;&gt;"", $F70&gt;=BH$5-4, $F70&lt;=BH$5, COUNTIF($M70:BG70,"u")=0), "u", "")</f>
        <v/>
      </c>
      <c r="BI70" s="80" t="str">
        <f>IF(AND($F70&lt;&gt;"", $F70&gt;=BI$5-4, $F70&lt;=BI$5, COUNTIF($M70:BH70,"u")=0), "u", "")</f>
        <v/>
      </c>
      <c r="BJ70" s="80" t="str">
        <f>IF(AND($F70&lt;&gt;"", $F70&gt;=BJ$5-4, $F70&lt;=BJ$5, COUNTIF($M70:BI70,"u")=0), "u", "")</f>
        <v/>
      </c>
      <c r="BK70" s="80" t="str">
        <f>IF(AND($F70&lt;&gt;"", $F70&gt;=BK$5-4, $F70&lt;=BK$5, COUNTIF($M70:BJ70,"u")=0), "u", "")</f>
        <v/>
      </c>
      <c r="BL70" s="80" t="str">
        <f>IF(AND($F70&lt;&gt;"", $F70&gt;=BL$5-4, $F70&lt;=BL$5, COUNTIF($M70:BK70,"u")=0), "u", "")</f>
        <v/>
      </c>
      <c r="BM70" s="80" t="str">
        <f>IF(AND($F70&lt;&gt;"", $F70&gt;=BM$5-4, $F70&lt;=BM$5, COUNTIF($M70:BL70,"u")=0), "u", "")</f>
        <v/>
      </c>
      <c r="BN70" s="80" t="str">
        <f>IF(AND($F70&lt;&gt;"", $F70&gt;=BN$5-4, $F70&lt;=BN$5, COUNTIF($M70:BM70,"u")=0), "u", "")</f>
        <v/>
      </c>
      <c r="BO70" s="80" t="str">
        <f>IF(AND($F70&lt;&gt;"", $F70&gt;=BO$5-4, $F70&lt;=BO$5, COUNTIF($M70:BN70,"u")=0), "u", "")</f>
        <v/>
      </c>
      <c r="BP70" s="80" t="str">
        <f>IF(AND($F70&lt;&gt;"", $F70&gt;=BP$5-4, $F70&lt;=BP$5, COUNTIF($M70:BO70,"u")=0), "u", "")</f>
        <v/>
      </c>
      <c r="BQ70" s="80" t="str">
        <f>IF(AND($F70&lt;&gt;"", $F70&gt;=BQ$5-4, $F70&lt;=BQ$5, COUNTIF($M70:BP70,"u")=0), "u", "")</f>
        <v/>
      </c>
      <c r="BR70" s="80" t="str">
        <f>IF(AND($F70&lt;&gt;"", $F70&gt;=BR$5-4, $F70&lt;=BR$5, COUNTIF($M70:BQ70,"u")=0), "u", "")</f>
        <v/>
      </c>
      <c r="BS70" s="80" t="str">
        <f>IF(AND($F70&lt;&gt;"", $F70&gt;=BS$5-4, $F70&lt;=BS$5, COUNTIF($M70:BR70,"u")=0), "u", "")</f>
        <v/>
      </c>
      <c r="BT70" s="80" t="str">
        <f>IF(AND($F70&lt;&gt;"", $F70&gt;=BT$5-4, $F70&lt;=BT$5, COUNTIF($M70:BS70,"u")=0), "u", "")</f>
        <v/>
      </c>
      <c r="BU70" s="80" t="str">
        <f>IF(AND($F70&lt;&gt;"", $F70&gt;=BU$5-4, $F70&lt;=BU$5, COUNTIF($M70:BT70,"u")=0), "u", "")</f>
        <v/>
      </c>
      <c r="BV70" s="80" t="str">
        <f>IF(AND($F70&lt;&gt;"", $F70&gt;=BV$5-4, $F70&lt;=BV$5, COUNTIF($M70:BU70,"u")=0), "u", "")</f>
        <v/>
      </c>
      <c r="BW70" s="80" t="str">
        <f>IF(AND($F70&lt;&gt;"", $F70&gt;=BW$5-4, $F70&lt;=BW$5, COUNTIF($M70:BV70,"u")=0), "u", "")</f>
        <v/>
      </c>
      <c r="BX70" s="80" t="str">
        <f>IF(AND($F70&lt;&gt;"", $F70&gt;=BX$5-4, $F70&lt;=BX$5, COUNTIF($M70:BW70,"u")=0), "u", "")</f>
        <v/>
      </c>
      <c r="BY70" s="80" t="str">
        <f>IF(AND($F70&lt;&gt;"", $F70&gt;=BY$5-4, $F70&lt;=BY$5, COUNTIF($M70:BX70,"u")=0), "u", "")</f>
        <v/>
      </c>
      <c r="BZ70" s="80" t="str">
        <f>IF(AND($F70&lt;&gt;"", $F70&gt;=BZ$5-4, $F70&lt;=BZ$5, COUNTIF($M70:BY70,"u")=0), "u", "")</f>
        <v/>
      </c>
      <c r="CA70" s="80" t="str">
        <f>IF(AND($F70&lt;&gt;"", $F70&gt;=CA$5-4, $F70&lt;=CA$5, COUNTIF($M70:BZ70,"u")=0), "u", "")</f>
        <v/>
      </c>
      <c r="CB70" s="80" t="str">
        <f>IF(AND($F70&lt;&gt;"", $F70&gt;=CB$5-4, $F70&lt;=CB$5, COUNTIF($M70:CA70,"u")=0), "u", "")</f>
        <v/>
      </c>
      <c r="CC70" s="80" t="str">
        <f>IF(AND($F70&lt;&gt;"", $F70&gt;=CC$5-4, $F70&lt;=CC$5, COUNTIF($M70:CB70,"u")=0), "u", "")</f>
        <v/>
      </c>
      <c r="CD70" s="80" t="str">
        <f>IF(AND($F70&lt;&gt;"", $F70&gt;=CD$5-4, $F70&lt;=CD$5, COUNTIF($M70:CC70,"u")=0), "u", "")</f>
        <v/>
      </c>
      <c r="CE70" s="80" t="str">
        <f>IF(AND($F70&lt;&gt;"", $F70&gt;=CE$5-4, $F70&lt;=CE$5, COUNTIF($M70:CD70,"u")=0), "u", "")</f>
        <v/>
      </c>
      <c r="CF70" s="80" t="str">
        <f>IF(AND($F70&lt;&gt;"", $F70&gt;=CF$5-4, $F70&lt;=CF$5, COUNTIF($M70:CE70,"u")=0), "u", "")</f>
        <v/>
      </c>
      <c r="CG70" s="80" t="str">
        <f>IF(AND($F70&lt;&gt;"", $F70&gt;=CG$5-4, $F70&lt;=CG$5, COUNTIF($M70:CF70,"u")=0), "u", "")</f>
        <v/>
      </c>
      <c r="CH70" s="80" t="str">
        <f>IF(AND($F70&lt;&gt;"", $F70&gt;=CH$5-4, $F70&lt;=CH$5, COUNTIF($M70:CG70,"u")=0), "u", "")</f>
        <v/>
      </c>
      <c r="CI70" s="80" t="str">
        <f>IF(AND($F70&lt;&gt;"", $F70&gt;=CI$5-4, $F70&lt;=CI$5, COUNTIF($M70:CH70,"u")=0), "u", "")</f>
        <v/>
      </c>
      <c r="CJ70" s="80" t="str">
        <f>IF(AND($F70&lt;&gt;"", $F70&gt;=CJ$5-4, $F70&lt;=CJ$5, COUNTIF($M70:CI70,"u")=0), "u", "")</f>
        <v/>
      </c>
      <c r="CK70" s="80" t="str">
        <f>IF(AND($F70&lt;&gt;"", $F70&gt;=CK$5-4, $F70&lt;=CK$5, COUNTIF($M70:CJ70,"u")=0), "u", "")</f>
        <v/>
      </c>
      <c r="CL70" s="80" t="str">
        <f>IF(AND($F70&lt;&gt;"", $F70&gt;=CL$5-4, $F70&lt;=CL$5, COUNTIF($M70:CK70,"u")=0), "u", "")</f>
        <v/>
      </c>
      <c r="CM70" s="80" t="str">
        <f>IF(AND($F70&lt;&gt;"", $F70&gt;=CM$5-4, $F70&lt;=CM$5, COUNTIF($M70:CL70,"u")=0), "u", "")</f>
        <v/>
      </c>
      <c r="CN70" s="80" t="str">
        <f>IF(AND($F70&lt;&gt;"", $F70&gt;=CN$5-4, $F70&lt;=CN$5, COUNTIF($M70:CM70,"u")=0), "u", "")</f>
        <v/>
      </c>
      <c r="CO70" s="80" t="str">
        <f>IF(AND($F70&lt;&gt;"", $F70&gt;=CO$5-4, $F70&lt;=CO$5, COUNTIF($M70:CN70,"u")=0), "u", "")</f>
        <v/>
      </c>
      <c r="CP70" s="80" t="str">
        <f>IF(AND($F70&lt;&gt;"", $F70&gt;=CP$5-4, $F70&lt;=CP$5, COUNTIF($M70:CO70,"u")=0), "u", "")</f>
        <v/>
      </c>
      <c r="CQ70" s="80" t="str">
        <f>IF(AND($F70&lt;&gt;"", $F70&gt;=CQ$5-4, $F70&lt;=CQ$5, COUNTIF($M70:CP70,"u")=0), "u", "")</f>
        <v/>
      </c>
      <c r="CR70" s="80" t="str">
        <f>IF(AND($F70&lt;&gt;"", $F70&gt;=CR$5-4, $F70&lt;=CR$5, COUNTIF($M70:CQ70,"u")=0), "u", "")</f>
        <v/>
      </c>
      <c r="CS70" s="80" t="str">
        <f>IF(AND($F70&lt;&gt;"", $F70&gt;=CS$5-4, $F70&lt;=CS$5, COUNTIF($M70:CR70,"u")=0), "u", "")</f>
        <v/>
      </c>
      <c r="CT70" s="80" t="str">
        <f>IF(AND($F70&lt;&gt;"", $F70&gt;=CT$5-4, $F70&lt;=CT$5, COUNTIF($M70:CS70,"u")=0), "u", "")</f>
        <v/>
      </c>
      <c r="CU70" s="80" t="str">
        <f>IF(AND($F70&lt;&gt;"", $F70&gt;=CU$5-4, $F70&lt;=CU$5, COUNTIF($M70:CT70,"u")=0), "u", "")</f>
        <v/>
      </c>
      <c r="CV70" s="80" t="str">
        <f>IF(AND($F70&lt;&gt;"", $F70&gt;=CV$5-4, $F70&lt;=CV$5, COUNTIF($M70:CU70,"u")=0), "u", "")</f>
        <v/>
      </c>
      <c r="CW70" s="80" t="str">
        <f>IF(AND($F70&lt;&gt;"", $F70&gt;=CW$5-4, $F70&lt;=CW$5, COUNTIF($M70:CV70,"u")=0), "u", "")</f>
        <v/>
      </c>
      <c r="CX70" s="80" t="str">
        <f>IF(AND($F70&lt;&gt;"", $F70&gt;=CX$5-4, $F70&lt;=CX$5, COUNTIF($M70:CW70,"u")=0), "u", "")</f>
        <v/>
      </c>
      <c r="CY70" s="80" t="str">
        <f>IF(AND($F70&lt;&gt;"", $F70&gt;=CY$5-4, $F70&lt;=CY$5, COUNTIF($M70:CX70,"u")=0), "u", "")</f>
        <v/>
      </c>
      <c r="CZ70" s="80" t="str">
        <f>IF(AND($F70&lt;&gt;"", $F70&gt;=CZ$5-4, $F70&lt;=CZ$5, COUNTIF($M70:CY70,"u")=0), "u", "")</f>
        <v/>
      </c>
      <c r="DA70" s="80" t="str">
        <f>IF(AND($F70&lt;&gt;"", $F70&gt;=DA$5-4, $F70&lt;=DA$5, COUNTIF($M70:CZ70,"u")=0), "u", "")</f>
        <v/>
      </c>
      <c r="DB70" s="80" t="str">
        <f>IF(AND($F70&lt;&gt;"", $F70&gt;=DB$5-4, $F70&lt;=DB$5, COUNTIF($M70:DA70,"u")=0), "u", "")</f>
        <v/>
      </c>
      <c r="DC70" s="80" t="str">
        <f>IF(AND($F70&lt;&gt;"", $F70&gt;=DC$5-4, $F70&lt;=DC$5, COUNTIF($M70:DB70,"u")=0), "u", "")</f>
        <v/>
      </c>
      <c r="DD70" s="80" t="str">
        <f>IF(AND($F70&lt;&gt;"", $F70&gt;=DD$5-4, $F70&lt;=DD$5, COUNTIF($M70:DC70,"u")=0), "u", "")</f>
        <v/>
      </c>
      <c r="DE70" s="80" t="str">
        <f>IF(AND($F70&lt;&gt;"", $F70&gt;=DE$5-4, $F70&lt;=DE$5, COUNTIF($M70:DD70,"u")=0), "u", "")</f>
        <v/>
      </c>
      <c r="DF70" s="80" t="str">
        <f>IF(AND($F70&lt;&gt;"", $F70&gt;=DF$5-4, $F70&lt;=DF$5, COUNTIF($M70:DE70,"u")=0), "u", "")</f>
        <v/>
      </c>
      <c r="DG70" s="80" t="str">
        <f>IF(AND($F70&lt;&gt;"", $F70&gt;=DG$5-4, $F70&lt;=DG$5, COUNTIF($M70:DF70,"u")=0), "u", "")</f>
        <v/>
      </c>
      <c r="DH70" s="80" t="str">
        <f>IF(AND($F70&lt;&gt;"", $F70&gt;=DH$5-4, $F70&lt;=DH$5, COUNTIF($M70:DG70,"u")=0), "u", "")</f>
        <v/>
      </c>
      <c r="DI70" s="80" t="str">
        <f>IF(AND($F70&lt;&gt;"", $F70&gt;=DI$5-4, $F70&lt;=DI$5, COUNTIF($M70:DH70,"u")=0), "u", "")</f>
        <v/>
      </c>
      <c r="DJ70" s="80" t="str">
        <f>IF(AND($F70&lt;&gt;"", $F70&gt;=DJ$5-4, $F70&lt;=DJ$5, COUNTIF($M70:DI70,"u")=0), "u", "")</f>
        <v/>
      </c>
      <c r="DK70" s="80" t="str">
        <f>IF(AND($F70&lt;&gt;"", $F70&gt;=DK$5-4, $F70&lt;=DK$5, COUNTIF($M70:DJ70,"u")=0), "u", "")</f>
        <v/>
      </c>
      <c r="DL70" s="80" t="str">
        <f>IF(AND($F70&lt;&gt;"", $F70&gt;=DL$5-4, $F70&lt;=DL$5, COUNTIF($M70:DK70,"u")=0), "u", "")</f>
        <v/>
      </c>
    </row>
    <row r="71" spans="1:116" ht="25.05" customHeight="1" x14ac:dyDescent="0.3">
      <c r="A71" s="39"/>
      <c r="B71" s="75">
        <v>66</v>
      </c>
      <c r="C71" s="97"/>
      <c r="D71" s="92"/>
      <c r="E71" s="53"/>
      <c r="F71" s="53"/>
      <c r="G71" s="83" t="str">
        <f t="shared" si="47"/>
        <v/>
      </c>
      <c r="H71" s="83" t="str">
        <f t="shared" si="47"/>
        <v/>
      </c>
      <c r="I71" s="77" t="str">
        <f t="shared" si="48"/>
        <v/>
      </c>
      <c r="J71" s="78"/>
      <c r="K71" s="86"/>
      <c r="L71" s="56"/>
      <c r="M71" s="80" t="str">
        <f t="shared" ref="M71:M134" si="49">IF(AND($F71&lt;&gt;"", $F71&gt;=M$5-4, $F71&lt;=M$5), "u", "")</f>
        <v/>
      </c>
      <c r="N71" s="80" t="str">
        <f>IF(AND($F71&lt;&gt;"", $F71&gt;=N$5-4, $F71&lt;=N$5, COUNTIF($M71:M71,"u")=0), "u", "")</f>
        <v/>
      </c>
      <c r="O71" s="80" t="str">
        <f>IF(AND($F71&lt;&gt;"", $F71&gt;=O$5-4, $F71&lt;=O$5, COUNTIF($M71:N71,"u")=0), "u", "")</f>
        <v/>
      </c>
      <c r="P71" s="80" t="str">
        <f>IF(AND($F71&lt;&gt;"", $F71&gt;=P$5-4, $F71&lt;=P$5, COUNTIF($M71:O71,"u")=0), "u", "")</f>
        <v/>
      </c>
      <c r="Q71" s="80" t="str">
        <f>IF(AND($F71&lt;&gt;"", $F71&gt;=Q$5-4, $F71&lt;=Q$5, COUNTIF($M71:P71,"u")=0), "u", "")</f>
        <v/>
      </c>
      <c r="R71" s="80" t="str">
        <f>IF(AND($F71&lt;&gt;"", $F71&gt;=R$5-4, $F71&lt;=R$5, COUNTIF($M71:Q71,"u")=0), "u", "")</f>
        <v/>
      </c>
      <c r="S71" s="80" t="str">
        <f>IF(AND($F71&lt;&gt;"", $F71&gt;=S$5-4, $F71&lt;=S$5, COUNTIF($M71:R71,"u")=0), "u", "")</f>
        <v/>
      </c>
      <c r="T71" s="80" t="str">
        <f>IF(AND($F71&lt;&gt;"", $F71&gt;=T$5-4, $F71&lt;=T$5, COUNTIF($M71:S71,"u")=0), "u", "")</f>
        <v/>
      </c>
      <c r="U71" s="80" t="str">
        <f>IF(AND($F71&lt;&gt;"", $F71&gt;=U$5-4, $F71&lt;=U$5, COUNTIF($M71:T71,"u")=0), "u", "")</f>
        <v/>
      </c>
      <c r="V71" s="80" t="str">
        <f>IF(AND($F71&lt;&gt;"", $F71&gt;=V$5-4, $F71&lt;=V$5, COUNTIF($M71:U71,"u")=0), "u", "")</f>
        <v/>
      </c>
      <c r="W71" s="80" t="str">
        <f>IF(AND($F71&lt;&gt;"", $F71&gt;=W$5-4, $F71&lt;=W$5, COUNTIF($M71:V71,"u")=0), "u", "")</f>
        <v/>
      </c>
      <c r="X71" s="80" t="str">
        <f>IF(AND($F71&lt;&gt;"", $F71&gt;=X$5-4, $F71&lt;=X$5, COUNTIF($M71:W71,"u")=0), "u", "")</f>
        <v/>
      </c>
      <c r="Y71" s="80" t="str">
        <f>IF(AND($F71&lt;&gt;"", $F71&gt;=Y$5-4, $F71&lt;=Y$5, COUNTIF($M71:X71,"u")=0), "u", "")</f>
        <v/>
      </c>
      <c r="Z71" s="80" t="str">
        <f>IF(AND($F71&lt;&gt;"", $F71&gt;=Z$5-4, $F71&lt;=Z$5, COUNTIF($M71:Y71,"u")=0), "u", "")</f>
        <v/>
      </c>
      <c r="AA71" s="80" t="str">
        <f>IF(AND($F71&lt;&gt;"", $F71&gt;=AA$5-4, $F71&lt;=AA$5, COUNTIF($M71:Z71,"u")=0), "u", "")</f>
        <v/>
      </c>
      <c r="AB71" s="80" t="str">
        <f>IF(AND($F71&lt;&gt;"", $F71&gt;=AB$5-4, $F71&lt;=AB$5, COUNTIF($M71:AA71,"u")=0), "u", "")</f>
        <v/>
      </c>
      <c r="AC71" s="80" t="str">
        <f>IF(AND($F71&lt;&gt;"", $F71&gt;=AC$5-4, $F71&lt;=AC$5, COUNTIF($M71:AB71,"u")=0), "u", "")</f>
        <v/>
      </c>
      <c r="AD71" s="80" t="str">
        <f>IF(AND($F71&lt;&gt;"", $F71&gt;=AD$5-4, $F71&lt;=AD$5, COUNTIF($M71:AC71,"u")=0), "u", "")</f>
        <v/>
      </c>
      <c r="AE71" s="80" t="str">
        <f>IF(AND($F71&lt;&gt;"", $F71&gt;=AE$5-4, $F71&lt;=AE$5, COUNTIF($M71:AD71,"u")=0), "u", "")</f>
        <v/>
      </c>
      <c r="AF71" s="80" t="str">
        <f>IF(AND($F71&lt;&gt;"", $F71&gt;=AF$5-4, $F71&lt;=AF$5, COUNTIF($M71:AE71,"u")=0), "u", "")</f>
        <v/>
      </c>
      <c r="AG71" s="80" t="str">
        <f>IF(AND($F71&lt;&gt;"", $F71&gt;=AG$5-4, $F71&lt;=AG$5, COUNTIF($M71:AF71,"u")=0), "u", "")</f>
        <v/>
      </c>
      <c r="AH71" s="80" t="str">
        <f>IF(AND($F71&lt;&gt;"", $F71&gt;=AH$5-4, $F71&lt;=AH$5, COUNTIF($M71:AG71,"u")=0), "u", "")</f>
        <v/>
      </c>
      <c r="AI71" s="80" t="str">
        <f>IF(AND($F71&lt;&gt;"", $F71&gt;=AI$5-4, $F71&lt;=AI$5, COUNTIF($M71:AH71,"u")=0), "u", "")</f>
        <v/>
      </c>
      <c r="AJ71" s="80" t="str">
        <f>IF(AND($F71&lt;&gt;"", $F71&gt;=AJ$5-4, $F71&lt;=AJ$5, COUNTIF($M71:AI71,"u")=0), "u", "")</f>
        <v/>
      </c>
      <c r="AK71" s="80" t="str">
        <f>IF(AND($F71&lt;&gt;"", $F71&gt;=AK$5-4, $F71&lt;=AK$5, COUNTIF($M71:AJ71,"u")=0), "u", "")</f>
        <v/>
      </c>
      <c r="AL71" s="80" t="str">
        <f>IF(AND($F71&lt;&gt;"", $F71&gt;=AL$5-4, $F71&lt;=AL$5, COUNTIF($M71:AK71,"u")=0), "u", "")</f>
        <v/>
      </c>
      <c r="AM71" s="80" t="str">
        <f>IF(AND($F71&lt;&gt;"", $F71&gt;=AM$5-4, $F71&lt;=AM$5, COUNTIF($M71:AL71,"u")=0), "u", "")</f>
        <v/>
      </c>
      <c r="AN71" s="80" t="str">
        <f>IF(AND($F71&lt;&gt;"", $F71&gt;=AN$5-4, $F71&lt;=AN$5, COUNTIF($M71:AM71,"u")=0), "u", "")</f>
        <v/>
      </c>
      <c r="AO71" s="80" t="str">
        <f>IF(AND($F71&lt;&gt;"", $F71&gt;=AO$5-4, $F71&lt;=AO$5, COUNTIF($M71:AN71,"u")=0), "u", "")</f>
        <v/>
      </c>
      <c r="AP71" s="80" t="str">
        <f>IF(AND($F71&lt;&gt;"", $F71&gt;=AP$5-4, $F71&lt;=AP$5, COUNTIF($M71:AO71,"u")=0), "u", "")</f>
        <v/>
      </c>
      <c r="AQ71" s="80" t="str">
        <f>IF(AND($F71&lt;&gt;"", $F71&gt;=AQ$5-4, $F71&lt;=AQ$5, COUNTIF($M71:AP71,"u")=0), "u", "")</f>
        <v/>
      </c>
      <c r="AR71" s="80" t="str">
        <f>IF(AND($F71&lt;&gt;"", $F71&gt;=AR$5-4, $F71&lt;=AR$5, COUNTIF($M71:AQ71,"u")=0), "u", "")</f>
        <v/>
      </c>
      <c r="AS71" s="80" t="str">
        <f>IF(AND($F71&lt;&gt;"", $F71&gt;=AS$5-4, $F71&lt;=AS$5, COUNTIF($M71:AR71,"u")=0), "u", "")</f>
        <v/>
      </c>
      <c r="AT71" s="80" t="str">
        <f>IF(AND($F71&lt;&gt;"", $F71&gt;=AT$5-4, $F71&lt;=AT$5, COUNTIF($M71:AS71,"u")=0), "u", "")</f>
        <v/>
      </c>
      <c r="AU71" s="80" t="str">
        <f>IF(AND($F71&lt;&gt;"", $F71&gt;=AU$5-4, $F71&lt;=AU$5, COUNTIF($M71:AT71,"u")=0), "u", "")</f>
        <v/>
      </c>
      <c r="AV71" s="80" t="str">
        <f>IF(AND($F71&lt;&gt;"", $F71&gt;=AV$5-4, $F71&lt;=AV$5, COUNTIF($M71:AU71,"u")=0), "u", "")</f>
        <v/>
      </c>
      <c r="AW71" s="80" t="str">
        <f>IF(AND($F71&lt;&gt;"", $F71&gt;=AW$5-4, $F71&lt;=AW$5, COUNTIF($M71:AV71,"u")=0), "u", "")</f>
        <v/>
      </c>
      <c r="AX71" s="80" t="str">
        <f>IF(AND($F71&lt;&gt;"", $F71&gt;=AX$5-4, $F71&lt;=AX$5, COUNTIF($M71:AW71,"u")=0), "u", "")</f>
        <v/>
      </c>
      <c r="AY71" s="80" t="str">
        <f>IF(AND($F71&lt;&gt;"", $F71&gt;=AY$5-4, $F71&lt;=AY$5, COUNTIF($M71:AX71,"u")=0), "u", "")</f>
        <v/>
      </c>
      <c r="AZ71" s="80" t="str">
        <f>IF(AND($F71&lt;&gt;"", $F71&gt;=AZ$5-4, $F71&lt;=AZ$5, COUNTIF($M71:AY71,"u")=0), "u", "")</f>
        <v/>
      </c>
      <c r="BA71" s="80" t="str">
        <f>IF(AND($F71&lt;&gt;"", $F71&gt;=BA$5-4, $F71&lt;=BA$5, COUNTIF($M71:AZ71,"u")=0), "u", "")</f>
        <v/>
      </c>
      <c r="BB71" s="80" t="str">
        <f>IF(AND($F71&lt;&gt;"", $F71&gt;=BB$5-4, $F71&lt;=BB$5, COUNTIF($M71:BA71,"u")=0), "u", "")</f>
        <v/>
      </c>
      <c r="BC71" s="80" t="str">
        <f>IF(AND($F71&lt;&gt;"", $F71&gt;=BC$5-4, $F71&lt;=BC$5, COUNTIF($M71:BB71,"u")=0), "u", "")</f>
        <v/>
      </c>
      <c r="BD71" s="80" t="str">
        <f>IF(AND($F71&lt;&gt;"", $F71&gt;=BD$5-4, $F71&lt;=BD$5, COUNTIF($M71:BC71,"u")=0), "u", "")</f>
        <v/>
      </c>
      <c r="BE71" s="80" t="str">
        <f>IF(AND($F71&lt;&gt;"", $F71&gt;=BE$5-4, $F71&lt;=BE$5, COUNTIF($M71:BD71,"u")=0), "u", "")</f>
        <v/>
      </c>
      <c r="BF71" s="80" t="str">
        <f>IF(AND($F71&lt;&gt;"", $F71&gt;=BF$5-4, $F71&lt;=BF$5, COUNTIF($M71:BE71,"u")=0), "u", "")</f>
        <v/>
      </c>
      <c r="BG71" s="80" t="str">
        <f>IF(AND($F71&lt;&gt;"", $F71&gt;=BG$5-4, $F71&lt;=BG$5, COUNTIF($M71:BF71,"u")=0), "u", "")</f>
        <v/>
      </c>
      <c r="BH71" s="80" t="str">
        <f>IF(AND($F71&lt;&gt;"", $F71&gt;=BH$5-4, $F71&lt;=BH$5, COUNTIF($M71:BG71,"u")=0), "u", "")</f>
        <v/>
      </c>
      <c r="BI71" s="80" t="str">
        <f>IF(AND($F71&lt;&gt;"", $F71&gt;=BI$5-4, $F71&lt;=BI$5, COUNTIF($M71:BH71,"u")=0), "u", "")</f>
        <v/>
      </c>
      <c r="BJ71" s="80" t="str">
        <f>IF(AND($F71&lt;&gt;"", $F71&gt;=BJ$5-4, $F71&lt;=BJ$5, COUNTIF($M71:BI71,"u")=0), "u", "")</f>
        <v/>
      </c>
      <c r="BK71" s="80" t="str">
        <f>IF(AND($F71&lt;&gt;"", $F71&gt;=BK$5-4, $F71&lt;=BK$5, COUNTIF($M71:BJ71,"u")=0), "u", "")</f>
        <v/>
      </c>
      <c r="BL71" s="80" t="str">
        <f>IF(AND($F71&lt;&gt;"", $F71&gt;=BL$5-4, $F71&lt;=BL$5, COUNTIF($M71:BK71,"u")=0), "u", "")</f>
        <v/>
      </c>
      <c r="BM71" s="80" t="str">
        <f>IF(AND($F71&lt;&gt;"", $F71&gt;=BM$5-4, $F71&lt;=BM$5, COUNTIF($M71:BL71,"u")=0), "u", "")</f>
        <v/>
      </c>
      <c r="BN71" s="80" t="str">
        <f>IF(AND($F71&lt;&gt;"", $F71&gt;=BN$5-4, $F71&lt;=BN$5, COUNTIF($M71:BM71,"u")=0), "u", "")</f>
        <v/>
      </c>
      <c r="BO71" s="80" t="str">
        <f>IF(AND($F71&lt;&gt;"", $F71&gt;=BO$5-4, $F71&lt;=BO$5, COUNTIF($M71:BN71,"u")=0), "u", "")</f>
        <v/>
      </c>
      <c r="BP71" s="80" t="str">
        <f>IF(AND($F71&lt;&gt;"", $F71&gt;=BP$5-4, $F71&lt;=BP$5, COUNTIF($M71:BO71,"u")=0), "u", "")</f>
        <v/>
      </c>
      <c r="BQ71" s="80" t="str">
        <f>IF(AND($F71&lt;&gt;"", $F71&gt;=BQ$5-4, $F71&lt;=BQ$5, COUNTIF($M71:BP71,"u")=0), "u", "")</f>
        <v/>
      </c>
      <c r="BR71" s="80" t="str">
        <f>IF(AND($F71&lt;&gt;"", $F71&gt;=BR$5-4, $F71&lt;=BR$5, COUNTIF($M71:BQ71,"u")=0), "u", "")</f>
        <v/>
      </c>
      <c r="BS71" s="80" t="str">
        <f>IF(AND($F71&lt;&gt;"", $F71&gt;=BS$5-4, $F71&lt;=BS$5, COUNTIF($M71:BR71,"u")=0), "u", "")</f>
        <v/>
      </c>
      <c r="BT71" s="80" t="str">
        <f>IF(AND($F71&lt;&gt;"", $F71&gt;=BT$5-4, $F71&lt;=BT$5, COUNTIF($M71:BS71,"u")=0), "u", "")</f>
        <v/>
      </c>
      <c r="BU71" s="80" t="str">
        <f>IF(AND($F71&lt;&gt;"", $F71&gt;=BU$5-4, $F71&lt;=BU$5, COUNTIF($M71:BT71,"u")=0), "u", "")</f>
        <v/>
      </c>
      <c r="BV71" s="80" t="str">
        <f>IF(AND($F71&lt;&gt;"", $F71&gt;=BV$5-4, $F71&lt;=BV$5, COUNTIF($M71:BU71,"u")=0), "u", "")</f>
        <v/>
      </c>
      <c r="BW71" s="80" t="str">
        <f>IF(AND($F71&lt;&gt;"", $F71&gt;=BW$5-4, $F71&lt;=BW$5, COUNTIF($M71:BV71,"u")=0), "u", "")</f>
        <v/>
      </c>
      <c r="BX71" s="80" t="str">
        <f>IF(AND($F71&lt;&gt;"", $F71&gt;=BX$5-4, $F71&lt;=BX$5, COUNTIF($M71:BW71,"u")=0), "u", "")</f>
        <v/>
      </c>
      <c r="BY71" s="80" t="str">
        <f>IF(AND($F71&lt;&gt;"", $F71&gt;=BY$5-4, $F71&lt;=BY$5, COUNTIF($M71:BX71,"u")=0), "u", "")</f>
        <v/>
      </c>
      <c r="BZ71" s="80" t="str">
        <f>IF(AND($F71&lt;&gt;"", $F71&gt;=BZ$5-4, $F71&lt;=BZ$5, COUNTIF($M71:BY71,"u")=0), "u", "")</f>
        <v/>
      </c>
      <c r="CA71" s="80" t="str">
        <f>IF(AND($F71&lt;&gt;"", $F71&gt;=CA$5-4, $F71&lt;=CA$5, COUNTIF($M71:BZ71,"u")=0), "u", "")</f>
        <v/>
      </c>
      <c r="CB71" s="80" t="str">
        <f>IF(AND($F71&lt;&gt;"", $F71&gt;=CB$5-4, $F71&lt;=CB$5, COUNTIF($M71:CA71,"u")=0), "u", "")</f>
        <v/>
      </c>
      <c r="CC71" s="80" t="str">
        <f>IF(AND($F71&lt;&gt;"", $F71&gt;=CC$5-4, $F71&lt;=CC$5, COUNTIF($M71:CB71,"u")=0), "u", "")</f>
        <v/>
      </c>
      <c r="CD71" s="80" t="str">
        <f>IF(AND($F71&lt;&gt;"", $F71&gt;=CD$5-4, $F71&lt;=CD$5, COUNTIF($M71:CC71,"u")=0), "u", "")</f>
        <v/>
      </c>
      <c r="CE71" s="80" t="str">
        <f>IF(AND($F71&lt;&gt;"", $F71&gt;=CE$5-4, $F71&lt;=CE$5, COUNTIF($M71:CD71,"u")=0), "u", "")</f>
        <v/>
      </c>
      <c r="CF71" s="80" t="str">
        <f>IF(AND($F71&lt;&gt;"", $F71&gt;=CF$5-4, $F71&lt;=CF$5, COUNTIF($M71:CE71,"u")=0), "u", "")</f>
        <v/>
      </c>
      <c r="CG71" s="80" t="str">
        <f>IF(AND($F71&lt;&gt;"", $F71&gt;=CG$5-4, $F71&lt;=CG$5, COUNTIF($M71:CF71,"u")=0), "u", "")</f>
        <v/>
      </c>
      <c r="CH71" s="80" t="str">
        <f>IF(AND($F71&lt;&gt;"", $F71&gt;=CH$5-4, $F71&lt;=CH$5, COUNTIF($M71:CG71,"u")=0), "u", "")</f>
        <v/>
      </c>
      <c r="CI71" s="80" t="str">
        <f>IF(AND($F71&lt;&gt;"", $F71&gt;=CI$5-4, $F71&lt;=CI$5, COUNTIF($M71:CH71,"u")=0), "u", "")</f>
        <v/>
      </c>
      <c r="CJ71" s="80" t="str">
        <f>IF(AND($F71&lt;&gt;"", $F71&gt;=CJ$5-4, $F71&lt;=CJ$5, COUNTIF($M71:CI71,"u")=0), "u", "")</f>
        <v/>
      </c>
      <c r="CK71" s="80" t="str">
        <f>IF(AND($F71&lt;&gt;"", $F71&gt;=CK$5-4, $F71&lt;=CK$5, COUNTIF($M71:CJ71,"u")=0), "u", "")</f>
        <v/>
      </c>
      <c r="CL71" s="80" t="str">
        <f>IF(AND($F71&lt;&gt;"", $F71&gt;=CL$5-4, $F71&lt;=CL$5, COUNTIF($M71:CK71,"u")=0), "u", "")</f>
        <v/>
      </c>
      <c r="CM71" s="80" t="str">
        <f>IF(AND($F71&lt;&gt;"", $F71&gt;=CM$5-4, $F71&lt;=CM$5, COUNTIF($M71:CL71,"u")=0), "u", "")</f>
        <v/>
      </c>
      <c r="CN71" s="80" t="str">
        <f>IF(AND($F71&lt;&gt;"", $F71&gt;=CN$5-4, $F71&lt;=CN$5, COUNTIF($M71:CM71,"u")=0), "u", "")</f>
        <v/>
      </c>
      <c r="CO71" s="80" t="str">
        <f>IF(AND($F71&lt;&gt;"", $F71&gt;=CO$5-4, $F71&lt;=CO$5, COUNTIF($M71:CN71,"u")=0), "u", "")</f>
        <v/>
      </c>
      <c r="CP71" s="80" t="str">
        <f>IF(AND($F71&lt;&gt;"", $F71&gt;=CP$5-4, $F71&lt;=CP$5, COUNTIF($M71:CO71,"u")=0), "u", "")</f>
        <v/>
      </c>
      <c r="CQ71" s="80" t="str">
        <f>IF(AND($F71&lt;&gt;"", $F71&gt;=CQ$5-4, $F71&lt;=CQ$5, COUNTIF($M71:CP71,"u")=0), "u", "")</f>
        <v/>
      </c>
      <c r="CR71" s="80" t="str">
        <f>IF(AND($F71&lt;&gt;"", $F71&gt;=CR$5-4, $F71&lt;=CR$5, COUNTIF($M71:CQ71,"u")=0), "u", "")</f>
        <v/>
      </c>
      <c r="CS71" s="80" t="str">
        <f>IF(AND($F71&lt;&gt;"", $F71&gt;=CS$5-4, $F71&lt;=CS$5, COUNTIF($M71:CR71,"u")=0), "u", "")</f>
        <v/>
      </c>
      <c r="CT71" s="80" t="str">
        <f>IF(AND($F71&lt;&gt;"", $F71&gt;=CT$5-4, $F71&lt;=CT$5, COUNTIF($M71:CS71,"u")=0), "u", "")</f>
        <v/>
      </c>
      <c r="CU71" s="80" t="str">
        <f>IF(AND($F71&lt;&gt;"", $F71&gt;=CU$5-4, $F71&lt;=CU$5, COUNTIF($M71:CT71,"u")=0), "u", "")</f>
        <v/>
      </c>
      <c r="CV71" s="80" t="str">
        <f>IF(AND($F71&lt;&gt;"", $F71&gt;=CV$5-4, $F71&lt;=CV$5, COUNTIF($M71:CU71,"u")=0), "u", "")</f>
        <v/>
      </c>
      <c r="CW71" s="80" t="str">
        <f>IF(AND($F71&lt;&gt;"", $F71&gt;=CW$5-4, $F71&lt;=CW$5, COUNTIF($M71:CV71,"u")=0), "u", "")</f>
        <v/>
      </c>
      <c r="CX71" s="80" t="str">
        <f>IF(AND($F71&lt;&gt;"", $F71&gt;=CX$5-4, $F71&lt;=CX$5, COUNTIF($M71:CW71,"u")=0), "u", "")</f>
        <v/>
      </c>
      <c r="CY71" s="80" t="str">
        <f>IF(AND($F71&lt;&gt;"", $F71&gt;=CY$5-4, $F71&lt;=CY$5, COUNTIF($M71:CX71,"u")=0), "u", "")</f>
        <v/>
      </c>
      <c r="CZ71" s="80" t="str">
        <f>IF(AND($F71&lt;&gt;"", $F71&gt;=CZ$5-4, $F71&lt;=CZ$5, COUNTIF($M71:CY71,"u")=0), "u", "")</f>
        <v/>
      </c>
      <c r="DA71" s="80" t="str">
        <f>IF(AND($F71&lt;&gt;"", $F71&gt;=DA$5-4, $F71&lt;=DA$5, COUNTIF($M71:CZ71,"u")=0), "u", "")</f>
        <v/>
      </c>
      <c r="DB71" s="80" t="str">
        <f>IF(AND($F71&lt;&gt;"", $F71&gt;=DB$5-4, $F71&lt;=DB$5, COUNTIF($M71:DA71,"u")=0), "u", "")</f>
        <v/>
      </c>
      <c r="DC71" s="80" t="str">
        <f>IF(AND($F71&lt;&gt;"", $F71&gt;=DC$5-4, $F71&lt;=DC$5, COUNTIF($M71:DB71,"u")=0), "u", "")</f>
        <v/>
      </c>
      <c r="DD71" s="80" t="str">
        <f>IF(AND($F71&lt;&gt;"", $F71&gt;=DD$5-4, $F71&lt;=DD$5, COUNTIF($M71:DC71,"u")=0), "u", "")</f>
        <v/>
      </c>
      <c r="DE71" s="80" t="str">
        <f>IF(AND($F71&lt;&gt;"", $F71&gt;=DE$5-4, $F71&lt;=DE$5, COUNTIF($M71:DD71,"u")=0), "u", "")</f>
        <v/>
      </c>
      <c r="DF71" s="80" t="str">
        <f>IF(AND($F71&lt;&gt;"", $F71&gt;=DF$5-4, $F71&lt;=DF$5, COUNTIF($M71:DE71,"u")=0), "u", "")</f>
        <v/>
      </c>
      <c r="DG71" s="80" t="str">
        <f>IF(AND($F71&lt;&gt;"", $F71&gt;=DG$5-4, $F71&lt;=DG$5, COUNTIF($M71:DF71,"u")=0), "u", "")</f>
        <v/>
      </c>
      <c r="DH71" s="80" t="str">
        <f>IF(AND($F71&lt;&gt;"", $F71&gt;=DH$5-4, $F71&lt;=DH$5, COUNTIF($M71:DG71,"u")=0), "u", "")</f>
        <v/>
      </c>
      <c r="DI71" s="80" t="str">
        <f>IF(AND($F71&lt;&gt;"", $F71&gt;=DI$5-4, $F71&lt;=DI$5, COUNTIF($M71:DH71,"u")=0), "u", "")</f>
        <v/>
      </c>
      <c r="DJ71" s="80" t="str">
        <f>IF(AND($F71&lt;&gt;"", $F71&gt;=DJ$5-4, $F71&lt;=DJ$5, COUNTIF($M71:DI71,"u")=0), "u", "")</f>
        <v/>
      </c>
      <c r="DK71" s="80" t="str">
        <f>IF(AND($F71&lt;&gt;"", $F71&gt;=DK$5-4, $F71&lt;=DK$5, COUNTIF($M71:DJ71,"u")=0), "u", "")</f>
        <v/>
      </c>
      <c r="DL71" s="80" t="str">
        <f>IF(AND($F71&lt;&gt;"", $F71&gt;=DL$5-4, $F71&lt;=DL$5, COUNTIF($M71:DK71,"u")=0), "u", "")</f>
        <v/>
      </c>
    </row>
    <row r="72" spans="1:116" ht="25.05" customHeight="1" x14ac:dyDescent="0.3">
      <c r="A72" s="39"/>
      <c r="B72" s="75">
        <v>67</v>
      </c>
      <c r="C72" s="97"/>
      <c r="D72" s="92"/>
      <c r="E72" s="53"/>
      <c r="F72" s="53"/>
      <c r="G72" s="83" t="str">
        <f t="shared" si="47"/>
        <v/>
      </c>
      <c r="H72" s="83" t="str">
        <f t="shared" si="47"/>
        <v/>
      </c>
      <c r="I72" s="77" t="str">
        <f t="shared" si="48"/>
        <v/>
      </c>
      <c r="J72" s="78"/>
      <c r="K72" s="86"/>
      <c r="L72" s="56"/>
      <c r="M72" s="80" t="str">
        <f t="shared" si="49"/>
        <v/>
      </c>
      <c r="N72" s="80" t="str">
        <f>IF(AND($F72&lt;&gt;"", $F72&gt;=N$5-4, $F72&lt;=N$5, COUNTIF($M72:M72,"u")=0), "u", "")</f>
        <v/>
      </c>
      <c r="O72" s="80" t="str">
        <f>IF(AND($F72&lt;&gt;"", $F72&gt;=O$5-4, $F72&lt;=O$5, COUNTIF($M72:N72,"u")=0), "u", "")</f>
        <v/>
      </c>
      <c r="P72" s="80" t="str">
        <f>IF(AND($F72&lt;&gt;"", $F72&gt;=P$5-4, $F72&lt;=P$5, COUNTIF($M72:O72,"u")=0), "u", "")</f>
        <v/>
      </c>
      <c r="Q72" s="80" t="str">
        <f>IF(AND($F72&lt;&gt;"", $F72&gt;=Q$5-4, $F72&lt;=Q$5, COUNTIF($M72:P72,"u")=0), "u", "")</f>
        <v/>
      </c>
      <c r="R72" s="80" t="str">
        <f>IF(AND($F72&lt;&gt;"", $F72&gt;=R$5-4, $F72&lt;=R$5, COUNTIF($M72:Q72,"u")=0), "u", "")</f>
        <v/>
      </c>
      <c r="S72" s="80" t="str">
        <f>IF(AND($F72&lt;&gt;"", $F72&gt;=S$5-4, $F72&lt;=S$5, COUNTIF($M72:R72,"u")=0), "u", "")</f>
        <v/>
      </c>
      <c r="T72" s="80" t="str">
        <f>IF(AND($F72&lt;&gt;"", $F72&gt;=T$5-4, $F72&lt;=T$5, COUNTIF($M72:S72,"u")=0), "u", "")</f>
        <v/>
      </c>
      <c r="U72" s="80" t="str">
        <f>IF(AND($F72&lt;&gt;"", $F72&gt;=U$5-4, $F72&lt;=U$5, COUNTIF($M72:T72,"u")=0), "u", "")</f>
        <v/>
      </c>
      <c r="V72" s="80" t="str">
        <f>IF(AND($F72&lt;&gt;"", $F72&gt;=V$5-4, $F72&lt;=V$5, COUNTIF($M72:U72,"u")=0), "u", "")</f>
        <v/>
      </c>
      <c r="W72" s="80" t="str">
        <f>IF(AND($F72&lt;&gt;"", $F72&gt;=W$5-4, $F72&lt;=W$5, COUNTIF($M72:V72,"u")=0), "u", "")</f>
        <v/>
      </c>
      <c r="X72" s="80" t="str">
        <f>IF(AND($F72&lt;&gt;"", $F72&gt;=X$5-4, $F72&lt;=X$5, COUNTIF($M72:W72,"u")=0), "u", "")</f>
        <v/>
      </c>
      <c r="Y72" s="80" t="str">
        <f>IF(AND($F72&lt;&gt;"", $F72&gt;=Y$5-4, $F72&lt;=Y$5, COUNTIF($M72:X72,"u")=0), "u", "")</f>
        <v/>
      </c>
      <c r="Z72" s="80" t="str">
        <f>IF(AND($F72&lt;&gt;"", $F72&gt;=Z$5-4, $F72&lt;=Z$5, COUNTIF($M72:Y72,"u")=0), "u", "")</f>
        <v/>
      </c>
      <c r="AA72" s="80" t="str">
        <f>IF(AND($F72&lt;&gt;"", $F72&gt;=AA$5-4, $F72&lt;=AA$5, COUNTIF($M72:Z72,"u")=0), "u", "")</f>
        <v/>
      </c>
      <c r="AB72" s="80" t="str">
        <f>IF(AND($F72&lt;&gt;"", $F72&gt;=AB$5-4, $F72&lt;=AB$5, COUNTIF($M72:AA72,"u")=0), "u", "")</f>
        <v/>
      </c>
      <c r="AC72" s="80" t="str">
        <f>IF(AND($F72&lt;&gt;"", $F72&gt;=AC$5-4, $F72&lt;=AC$5, COUNTIF($M72:AB72,"u")=0), "u", "")</f>
        <v/>
      </c>
      <c r="AD72" s="80" t="str">
        <f>IF(AND($F72&lt;&gt;"", $F72&gt;=AD$5-4, $F72&lt;=AD$5, COUNTIF($M72:AC72,"u")=0), "u", "")</f>
        <v/>
      </c>
      <c r="AE72" s="80" t="str">
        <f>IF(AND($F72&lt;&gt;"", $F72&gt;=AE$5-4, $F72&lt;=AE$5, COUNTIF($M72:AD72,"u")=0), "u", "")</f>
        <v/>
      </c>
      <c r="AF72" s="80" t="str">
        <f>IF(AND($F72&lt;&gt;"", $F72&gt;=AF$5-4, $F72&lt;=AF$5, COUNTIF($M72:AE72,"u")=0), "u", "")</f>
        <v/>
      </c>
      <c r="AG72" s="80" t="str">
        <f>IF(AND($F72&lt;&gt;"", $F72&gt;=AG$5-4, $F72&lt;=AG$5, COUNTIF($M72:AF72,"u")=0), "u", "")</f>
        <v/>
      </c>
      <c r="AH72" s="80" t="str">
        <f>IF(AND($F72&lt;&gt;"", $F72&gt;=AH$5-4, $F72&lt;=AH$5, COUNTIF($M72:AG72,"u")=0), "u", "")</f>
        <v/>
      </c>
      <c r="AI72" s="80" t="str">
        <f>IF(AND($F72&lt;&gt;"", $F72&gt;=AI$5-4, $F72&lt;=AI$5, COUNTIF($M72:AH72,"u")=0), "u", "")</f>
        <v/>
      </c>
      <c r="AJ72" s="80" t="str">
        <f>IF(AND($F72&lt;&gt;"", $F72&gt;=AJ$5-4, $F72&lt;=AJ$5, COUNTIF($M72:AI72,"u")=0), "u", "")</f>
        <v/>
      </c>
      <c r="AK72" s="80" t="str">
        <f>IF(AND($F72&lt;&gt;"", $F72&gt;=AK$5-4, $F72&lt;=AK$5, COUNTIF($M72:AJ72,"u")=0), "u", "")</f>
        <v/>
      </c>
      <c r="AL72" s="80" t="str">
        <f>IF(AND($F72&lt;&gt;"", $F72&gt;=AL$5-4, $F72&lt;=AL$5, COUNTIF($M72:AK72,"u")=0), "u", "")</f>
        <v/>
      </c>
      <c r="AM72" s="80" t="str">
        <f>IF(AND($F72&lt;&gt;"", $F72&gt;=AM$5-4, $F72&lt;=AM$5, COUNTIF($M72:AL72,"u")=0), "u", "")</f>
        <v/>
      </c>
      <c r="AN72" s="80" t="str">
        <f>IF(AND($F72&lt;&gt;"", $F72&gt;=AN$5-4, $F72&lt;=AN$5, COUNTIF($M72:AM72,"u")=0), "u", "")</f>
        <v/>
      </c>
      <c r="AO72" s="80" t="str">
        <f>IF(AND($F72&lt;&gt;"", $F72&gt;=AO$5-4, $F72&lt;=AO$5, COUNTIF($M72:AN72,"u")=0), "u", "")</f>
        <v/>
      </c>
      <c r="AP72" s="80" t="str">
        <f>IF(AND($F72&lt;&gt;"", $F72&gt;=AP$5-4, $F72&lt;=AP$5, COUNTIF($M72:AO72,"u")=0), "u", "")</f>
        <v/>
      </c>
      <c r="AQ72" s="80" t="str">
        <f>IF(AND($F72&lt;&gt;"", $F72&gt;=AQ$5-4, $F72&lt;=AQ$5, COUNTIF($M72:AP72,"u")=0), "u", "")</f>
        <v/>
      </c>
      <c r="AR72" s="80" t="str">
        <f>IF(AND($F72&lt;&gt;"", $F72&gt;=AR$5-4, $F72&lt;=AR$5, COUNTIF($M72:AQ72,"u")=0), "u", "")</f>
        <v/>
      </c>
      <c r="AS72" s="80" t="str">
        <f>IF(AND($F72&lt;&gt;"", $F72&gt;=AS$5-4, $F72&lt;=AS$5, COUNTIF($M72:AR72,"u")=0), "u", "")</f>
        <v/>
      </c>
      <c r="AT72" s="80" t="str">
        <f>IF(AND($F72&lt;&gt;"", $F72&gt;=AT$5-4, $F72&lt;=AT$5, COUNTIF($M72:AS72,"u")=0), "u", "")</f>
        <v/>
      </c>
      <c r="AU72" s="80" t="str">
        <f>IF(AND($F72&lt;&gt;"", $F72&gt;=AU$5-4, $F72&lt;=AU$5, COUNTIF($M72:AT72,"u")=0), "u", "")</f>
        <v/>
      </c>
      <c r="AV72" s="80" t="str">
        <f>IF(AND($F72&lt;&gt;"", $F72&gt;=AV$5-4, $F72&lt;=AV$5, COUNTIF($M72:AU72,"u")=0), "u", "")</f>
        <v/>
      </c>
      <c r="AW72" s="80" t="str">
        <f>IF(AND($F72&lt;&gt;"", $F72&gt;=AW$5-4, $F72&lt;=AW$5, COUNTIF($M72:AV72,"u")=0), "u", "")</f>
        <v/>
      </c>
      <c r="AX72" s="80" t="str">
        <f>IF(AND($F72&lt;&gt;"", $F72&gt;=AX$5-4, $F72&lt;=AX$5, COUNTIF($M72:AW72,"u")=0), "u", "")</f>
        <v/>
      </c>
      <c r="AY72" s="80" t="str">
        <f>IF(AND($F72&lt;&gt;"", $F72&gt;=AY$5-4, $F72&lt;=AY$5, COUNTIF($M72:AX72,"u")=0), "u", "")</f>
        <v/>
      </c>
      <c r="AZ72" s="80" t="str">
        <f>IF(AND($F72&lt;&gt;"", $F72&gt;=AZ$5-4, $F72&lt;=AZ$5, COUNTIF($M72:AY72,"u")=0), "u", "")</f>
        <v/>
      </c>
      <c r="BA72" s="80" t="str">
        <f>IF(AND($F72&lt;&gt;"", $F72&gt;=BA$5-4, $F72&lt;=BA$5, COUNTIF($M72:AZ72,"u")=0), "u", "")</f>
        <v/>
      </c>
      <c r="BB72" s="80" t="str">
        <f>IF(AND($F72&lt;&gt;"", $F72&gt;=BB$5-4, $F72&lt;=BB$5, COUNTIF($M72:BA72,"u")=0), "u", "")</f>
        <v/>
      </c>
      <c r="BC72" s="80" t="str">
        <f>IF(AND($F72&lt;&gt;"", $F72&gt;=BC$5-4, $F72&lt;=BC$5, COUNTIF($M72:BB72,"u")=0), "u", "")</f>
        <v/>
      </c>
      <c r="BD72" s="80" t="str">
        <f>IF(AND($F72&lt;&gt;"", $F72&gt;=BD$5-4, $F72&lt;=BD$5, COUNTIF($M72:BC72,"u")=0), "u", "")</f>
        <v/>
      </c>
      <c r="BE72" s="80" t="str">
        <f>IF(AND($F72&lt;&gt;"", $F72&gt;=BE$5-4, $F72&lt;=BE$5, COUNTIF($M72:BD72,"u")=0), "u", "")</f>
        <v/>
      </c>
      <c r="BF72" s="80" t="str">
        <f>IF(AND($F72&lt;&gt;"", $F72&gt;=BF$5-4, $F72&lt;=BF$5, COUNTIF($M72:BE72,"u")=0), "u", "")</f>
        <v/>
      </c>
      <c r="BG72" s="80" t="str">
        <f>IF(AND($F72&lt;&gt;"", $F72&gt;=BG$5-4, $F72&lt;=BG$5, COUNTIF($M72:BF72,"u")=0), "u", "")</f>
        <v/>
      </c>
      <c r="BH72" s="80" t="str">
        <f>IF(AND($F72&lt;&gt;"", $F72&gt;=BH$5-4, $F72&lt;=BH$5, COUNTIF($M72:BG72,"u")=0), "u", "")</f>
        <v/>
      </c>
      <c r="BI72" s="80" t="str">
        <f>IF(AND($F72&lt;&gt;"", $F72&gt;=BI$5-4, $F72&lt;=BI$5, COUNTIF($M72:BH72,"u")=0), "u", "")</f>
        <v/>
      </c>
      <c r="BJ72" s="80" t="str">
        <f>IF(AND($F72&lt;&gt;"", $F72&gt;=BJ$5-4, $F72&lt;=BJ$5, COUNTIF($M72:BI72,"u")=0), "u", "")</f>
        <v/>
      </c>
      <c r="BK72" s="80" t="str">
        <f>IF(AND($F72&lt;&gt;"", $F72&gt;=BK$5-4, $F72&lt;=BK$5, COUNTIF($M72:BJ72,"u")=0), "u", "")</f>
        <v/>
      </c>
      <c r="BL72" s="80" t="str">
        <f>IF(AND($F72&lt;&gt;"", $F72&gt;=BL$5-4, $F72&lt;=BL$5, COUNTIF($M72:BK72,"u")=0), "u", "")</f>
        <v/>
      </c>
      <c r="BM72" s="80" t="str">
        <f>IF(AND($F72&lt;&gt;"", $F72&gt;=BM$5-4, $F72&lt;=BM$5, COUNTIF($M72:BL72,"u")=0), "u", "")</f>
        <v/>
      </c>
      <c r="BN72" s="80" t="str">
        <f>IF(AND($F72&lt;&gt;"", $F72&gt;=BN$5-4, $F72&lt;=BN$5, COUNTIF($M72:BM72,"u")=0), "u", "")</f>
        <v/>
      </c>
      <c r="BO72" s="80" t="str">
        <f>IF(AND($F72&lt;&gt;"", $F72&gt;=BO$5-4, $F72&lt;=BO$5, COUNTIF($M72:BN72,"u")=0), "u", "")</f>
        <v/>
      </c>
      <c r="BP72" s="80" t="str">
        <f>IF(AND($F72&lt;&gt;"", $F72&gt;=BP$5-4, $F72&lt;=BP$5, COUNTIF($M72:BO72,"u")=0), "u", "")</f>
        <v/>
      </c>
      <c r="BQ72" s="80" t="str">
        <f>IF(AND($F72&lt;&gt;"", $F72&gt;=BQ$5-4, $F72&lt;=BQ$5, COUNTIF($M72:BP72,"u")=0), "u", "")</f>
        <v/>
      </c>
      <c r="BR72" s="80" t="str">
        <f>IF(AND($F72&lt;&gt;"", $F72&gt;=BR$5-4, $F72&lt;=BR$5, COUNTIF($M72:BQ72,"u")=0), "u", "")</f>
        <v/>
      </c>
      <c r="BS72" s="80" t="str">
        <f>IF(AND($F72&lt;&gt;"", $F72&gt;=BS$5-4, $F72&lt;=BS$5, COUNTIF($M72:BR72,"u")=0), "u", "")</f>
        <v/>
      </c>
      <c r="BT72" s="80" t="str">
        <f>IF(AND($F72&lt;&gt;"", $F72&gt;=BT$5-4, $F72&lt;=BT$5, COUNTIF($M72:BS72,"u")=0), "u", "")</f>
        <v/>
      </c>
      <c r="BU72" s="80" t="str">
        <f>IF(AND($F72&lt;&gt;"", $F72&gt;=BU$5-4, $F72&lt;=BU$5, COUNTIF($M72:BT72,"u")=0), "u", "")</f>
        <v/>
      </c>
      <c r="BV72" s="80" t="str">
        <f>IF(AND($F72&lt;&gt;"", $F72&gt;=BV$5-4, $F72&lt;=BV$5, COUNTIF($M72:BU72,"u")=0), "u", "")</f>
        <v/>
      </c>
      <c r="BW72" s="80" t="str">
        <f>IF(AND($F72&lt;&gt;"", $F72&gt;=BW$5-4, $F72&lt;=BW$5, COUNTIF($M72:BV72,"u")=0), "u", "")</f>
        <v/>
      </c>
      <c r="BX72" s="80" t="str">
        <f>IF(AND($F72&lt;&gt;"", $F72&gt;=BX$5-4, $F72&lt;=BX$5, COUNTIF($M72:BW72,"u")=0), "u", "")</f>
        <v/>
      </c>
      <c r="BY72" s="80" t="str">
        <f>IF(AND($F72&lt;&gt;"", $F72&gt;=BY$5-4, $F72&lt;=BY$5, COUNTIF($M72:BX72,"u")=0), "u", "")</f>
        <v/>
      </c>
      <c r="BZ72" s="80" t="str">
        <f>IF(AND($F72&lt;&gt;"", $F72&gt;=BZ$5-4, $F72&lt;=BZ$5, COUNTIF($M72:BY72,"u")=0), "u", "")</f>
        <v/>
      </c>
      <c r="CA72" s="80" t="str">
        <f>IF(AND($F72&lt;&gt;"", $F72&gt;=CA$5-4, $F72&lt;=CA$5, COUNTIF($M72:BZ72,"u")=0), "u", "")</f>
        <v/>
      </c>
      <c r="CB72" s="80" t="str">
        <f>IF(AND($F72&lt;&gt;"", $F72&gt;=CB$5-4, $F72&lt;=CB$5, COUNTIF($M72:CA72,"u")=0), "u", "")</f>
        <v/>
      </c>
      <c r="CC72" s="80" t="str">
        <f>IF(AND($F72&lt;&gt;"", $F72&gt;=CC$5-4, $F72&lt;=CC$5, COUNTIF($M72:CB72,"u")=0), "u", "")</f>
        <v/>
      </c>
      <c r="CD72" s="80" t="str">
        <f>IF(AND($F72&lt;&gt;"", $F72&gt;=CD$5-4, $F72&lt;=CD$5, COUNTIF($M72:CC72,"u")=0), "u", "")</f>
        <v/>
      </c>
      <c r="CE72" s="80" t="str">
        <f>IF(AND($F72&lt;&gt;"", $F72&gt;=CE$5-4, $F72&lt;=CE$5, COUNTIF($M72:CD72,"u")=0), "u", "")</f>
        <v/>
      </c>
      <c r="CF72" s="80" t="str">
        <f>IF(AND($F72&lt;&gt;"", $F72&gt;=CF$5-4, $F72&lt;=CF$5, COUNTIF($M72:CE72,"u")=0), "u", "")</f>
        <v/>
      </c>
      <c r="CG72" s="80" t="str">
        <f>IF(AND($F72&lt;&gt;"", $F72&gt;=CG$5-4, $F72&lt;=CG$5, COUNTIF($M72:CF72,"u")=0), "u", "")</f>
        <v/>
      </c>
      <c r="CH72" s="80" t="str">
        <f>IF(AND($F72&lt;&gt;"", $F72&gt;=CH$5-4, $F72&lt;=CH$5, COUNTIF($M72:CG72,"u")=0), "u", "")</f>
        <v/>
      </c>
      <c r="CI72" s="80" t="str">
        <f>IF(AND($F72&lt;&gt;"", $F72&gt;=CI$5-4, $F72&lt;=CI$5, COUNTIF($M72:CH72,"u")=0), "u", "")</f>
        <v/>
      </c>
      <c r="CJ72" s="80" t="str">
        <f>IF(AND($F72&lt;&gt;"", $F72&gt;=CJ$5-4, $F72&lt;=CJ$5, COUNTIF($M72:CI72,"u")=0), "u", "")</f>
        <v/>
      </c>
      <c r="CK72" s="80" t="str">
        <f>IF(AND($F72&lt;&gt;"", $F72&gt;=CK$5-4, $F72&lt;=CK$5, COUNTIF($M72:CJ72,"u")=0), "u", "")</f>
        <v/>
      </c>
      <c r="CL72" s="80" t="str">
        <f>IF(AND($F72&lt;&gt;"", $F72&gt;=CL$5-4, $F72&lt;=CL$5, COUNTIF($M72:CK72,"u")=0), "u", "")</f>
        <v/>
      </c>
      <c r="CM72" s="80" t="str">
        <f>IF(AND($F72&lt;&gt;"", $F72&gt;=CM$5-4, $F72&lt;=CM$5, COUNTIF($M72:CL72,"u")=0), "u", "")</f>
        <v/>
      </c>
      <c r="CN72" s="80" t="str">
        <f>IF(AND($F72&lt;&gt;"", $F72&gt;=CN$5-4, $F72&lt;=CN$5, COUNTIF($M72:CM72,"u")=0), "u", "")</f>
        <v/>
      </c>
      <c r="CO72" s="80" t="str">
        <f>IF(AND($F72&lt;&gt;"", $F72&gt;=CO$5-4, $F72&lt;=CO$5, COUNTIF($M72:CN72,"u")=0), "u", "")</f>
        <v/>
      </c>
      <c r="CP72" s="80" t="str">
        <f>IF(AND($F72&lt;&gt;"", $F72&gt;=CP$5-4, $F72&lt;=CP$5, COUNTIF($M72:CO72,"u")=0), "u", "")</f>
        <v/>
      </c>
      <c r="CQ72" s="80" t="str">
        <f>IF(AND($F72&lt;&gt;"", $F72&gt;=CQ$5-4, $F72&lt;=CQ$5, COUNTIF($M72:CP72,"u")=0), "u", "")</f>
        <v/>
      </c>
      <c r="CR72" s="80" t="str">
        <f>IF(AND($F72&lt;&gt;"", $F72&gt;=CR$5-4, $F72&lt;=CR$5, COUNTIF($M72:CQ72,"u")=0), "u", "")</f>
        <v/>
      </c>
      <c r="CS72" s="80" t="str">
        <f>IF(AND($F72&lt;&gt;"", $F72&gt;=CS$5-4, $F72&lt;=CS$5, COUNTIF($M72:CR72,"u")=0), "u", "")</f>
        <v/>
      </c>
      <c r="CT72" s="80" t="str">
        <f>IF(AND($F72&lt;&gt;"", $F72&gt;=CT$5-4, $F72&lt;=CT$5, COUNTIF($M72:CS72,"u")=0), "u", "")</f>
        <v/>
      </c>
      <c r="CU72" s="80" t="str">
        <f>IF(AND($F72&lt;&gt;"", $F72&gt;=CU$5-4, $F72&lt;=CU$5, COUNTIF($M72:CT72,"u")=0), "u", "")</f>
        <v/>
      </c>
      <c r="CV72" s="80" t="str">
        <f>IF(AND($F72&lt;&gt;"", $F72&gt;=CV$5-4, $F72&lt;=CV$5, COUNTIF($M72:CU72,"u")=0), "u", "")</f>
        <v/>
      </c>
      <c r="CW72" s="80" t="str">
        <f>IF(AND($F72&lt;&gt;"", $F72&gt;=CW$5-4, $F72&lt;=CW$5, COUNTIF($M72:CV72,"u")=0), "u", "")</f>
        <v/>
      </c>
      <c r="CX72" s="80" t="str">
        <f>IF(AND($F72&lt;&gt;"", $F72&gt;=CX$5-4, $F72&lt;=CX$5, COUNTIF($M72:CW72,"u")=0), "u", "")</f>
        <v/>
      </c>
      <c r="CY72" s="80" t="str">
        <f>IF(AND($F72&lt;&gt;"", $F72&gt;=CY$5-4, $F72&lt;=CY$5, COUNTIF($M72:CX72,"u")=0), "u", "")</f>
        <v/>
      </c>
      <c r="CZ72" s="80" t="str">
        <f>IF(AND($F72&lt;&gt;"", $F72&gt;=CZ$5-4, $F72&lt;=CZ$5, COUNTIF($M72:CY72,"u")=0), "u", "")</f>
        <v/>
      </c>
      <c r="DA72" s="80" t="str">
        <f>IF(AND($F72&lt;&gt;"", $F72&gt;=DA$5-4, $F72&lt;=DA$5, COUNTIF($M72:CZ72,"u")=0), "u", "")</f>
        <v/>
      </c>
      <c r="DB72" s="80" t="str">
        <f>IF(AND($F72&lt;&gt;"", $F72&gt;=DB$5-4, $F72&lt;=DB$5, COUNTIF($M72:DA72,"u")=0), "u", "")</f>
        <v/>
      </c>
      <c r="DC72" s="80" t="str">
        <f>IF(AND($F72&lt;&gt;"", $F72&gt;=DC$5-4, $F72&lt;=DC$5, COUNTIF($M72:DB72,"u")=0), "u", "")</f>
        <v/>
      </c>
      <c r="DD72" s="80" t="str">
        <f>IF(AND($F72&lt;&gt;"", $F72&gt;=DD$5-4, $F72&lt;=DD$5, COUNTIF($M72:DC72,"u")=0), "u", "")</f>
        <v/>
      </c>
      <c r="DE72" s="80" t="str">
        <f>IF(AND($F72&lt;&gt;"", $F72&gt;=DE$5-4, $F72&lt;=DE$5, COUNTIF($M72:DD72,"u")=0), "u", "")</f>
        <v/>
      </c>
      <c r="DF72" s="80" t="str">
        <f>IF(AND($F72&lt;&gt;"", $F72&gt;=DF$5-4, $F72&lt;=DF$5, COUNTIF($M72:DE72,"u")=0), "u", "")</f>
        <v/>
      </c>
      <c r="DG72" s="80" t="str">
        <f>IF(AND($F72&lt;&gt;"", $F72&gt;=DG$5-4, $F72&lt;=DG$5, COUNTIF($M72:DF72,"u")=0), "u", "")</f>
        <v/>
      </c>
      <c r="DH72" s="80" t="str">
        <f>IF(AND($F72&lt;&gt;"", $F72&gt;=DH$5-4, $F72&lt;=DH$5, COUNTIF($M72:DG72,"u")=0), "u", "")</f>
        <v/>
      </c>
      <c r="DI72" s="80" t="str">
        <f>IF(AND($F72&lt;&gt;"", $F72&gt;=DI$5-4, $F72&lt;=DI$5, COUNTIF($M72:DH72,"u")=0), "u", "")</f>
        <v/>
      </c>
      <c r="DJ72" s="80" t="str">
        <f>IF(AND($F72&lt;&gt;"", $F72&gt;=DJ$5-4, $F72&lt;=DJ$5, COUNTIF($M72:DI72,"u")=0), "u", "")</f>
        <v/>
      </c>
      <c r="DK72" s="80" t="str">
        <f>IF(AND($F72&lt;&gt;"", $F72&gt;=DK$5-4, $F72&lt;=DK$5, COUNTIF($M72:DJ72,"u")=0), "u", "")</f>
        <v/>
      </c>
      <c r="DL72" s="80" t="str">
        <f>IF(AND($F72&lt;&gt;"", $F72&gt;=DL$5-4, $F72&lt;=DL$5, COUNTIF($M72:DK72,"u")=0), "u", "")</f>
        <v/>
      </c>
    </row>
    <row r="73" spans="1:116" ht="25.05" customHeight="1" x14ac:dyDescent="0.3">
      <c r="A73" s="39"/>
      <c r="B73" s="75">
        <v>68</v>
      </c>
      <c r="C73" s="97"/>
      <c r="D73" s="92"/>
      <c r="E73" s="53"/>
      <c r="F73" s="53"/>
      <c r="G73" s="83" t="str">
        <f t="shared" si="47"/>
        <v/>
      </c>
      <c r="H73" s="83" t="str">
        <f t="shared" si="47"/>
        <v/>
      </c>
      <c r="I73" s="77" t="str">
        <f t="shared" si="48"/>
        <v/>
      </c>
      <c r="J73" s="78"/>
      <c r="K73" s="86"/>
      <c r="L73" s="56"/>
      <c r="M73" s="80" t="str">
        <f t="shared" si="49"/>
        <v/>
      </c>
      <c r="N73" s="80" t="str">
        <f>IF(AND($F73&lt;&gt;"", $F73&gt;=N$5-4, $F73&lt;=N$5, COUNTIF($M73:M73,"u")=0), "u", "")</f>
        <v/>
      </c>
      <c r="O73" s="80" t="str">
        <f>IF(AND($F73&lt;&gt;"", $F73&gt;=O$5-4, $F73&lt;=O$5, COUNTIF($M73:N73,"u")=0), "u", "")</f>
        <v/>
      </c>
      <c r="P73" s="80" t="str">
        <f>IF(AND($F73&lt;&gt;"", $F73&gt;=P$5-4, $F73&lt;=P$5, COUNTIF($M73:O73,"u")=0), "u", "")</f>
        <v/>
      </c>
      <c r="Q73" s="80" t="str">
        <f>IF(AND($F73&lt;&gt;"", $F73&gt;=Q$5-4, $F73&lt;=Q$5, COUNTIF($M73:P73,"u")=0), "u", "")</f>
        <v/>
      </c>
      <c r="R73" s="80" t="str">
        <f>IF(AND($F73&lt;&gt;"", $F73&gt;=R$5-4, $F73&lt;=R$5, COUNTIF($M73:Q73,"u")=0), "u", "")</f>
        <v/>
      </c>
      <c r="S73" s="80" t="str">
        <f>IF(AND($F73&lt;&gt;"", $F73&gt;=S$5-4, $F73&lt;=S$5, COUNTIF($M73:R73,"u")=0), "u", "")</f>
        <v/>
      </c>
      <c r="T73" s="80" t="str">
        <f>IF(AND($F73&lt;&gt;"", $F73&gt;=T$5-4, $F73&lt;=T$5, COUNTIF($M73:S73,"u")=0), "u", "")</f>
        <v/>
      </c>
      <c r="U73" s="80" t="str">
        <f>IF(AND($F73&lt;&gt;"", $F73&gt;=U$5-4, $F73&lt;=U$5, COUNTIF($M73:T73,"u")=0), "u", "")</f>
        <v/>
      </c>
      <c r="V73" s="80" t="str">
        <f>IF(AND($F73&lt;&gt;"", $F73&gt;=V$5-4, $F73&lt;=V$5, COUNTIF($M73:U73,"u")=0), "u", "")</f>
        <v/>
      </c>
      <c r="W73" s="80" t="str">
        <f>IF(AND($F73&lt;&gt;"", $F73&gt;=W$5-4, $F73&lt;=W$5, COUNTIF($M73:V73,"u")=0), "u", "")</f>
        <v/>
      </c>
      <c r="X73" s="80" t="str">
        <f>IF(AND($F73&lt;&gt;"", $F73&gt;=X$5-4, $F73&lt;=X$5, COUNTIF($M73:W73,"u")=0), "u", "")</f>
        <v/>
      </c>
      <c r="Y73" s="80" t="str">
        <f>IF(AND($F73&lt;&gt;"", $F73&gt;=Y$5-4, $F73&lt;=Y$5, COUNTIF($M73:X73,"u")=0), "u", "")</f>
        <v/>
      </c>
      <c r="Z73" s="80" t="str">
        <f>IF(AND($F73&lt;&gt;"", $F73&gt;=Z$5-4, $F73&lt;=Z$5, COUNTIF($M73:Y73,"u")=0), "u", "")</f>
        <v/>
      </c>
      <c r="AA73" s="80" t="str">
        <f>IF(AND($F73&lt;&gt;"", $F73&gt;=AA$5-4, $F73&lt;=AA$5, COUNTIF($M73:Z73,"u")=0), "u", "")</f>
        <v/>
      </c>
      <c r="AB73" s="80" t="str">
        <f>IF(AND($F73&lt;&gt;"", $F73&gt;=AB$5-4, $F73&lt;=AB$5, COUNTIF($M73:AA73,"u")=0), "u", "")</f>
        <v/>
      </c>
      <c r="AC73" s="80" t="str">
        <f>IF(AND($F73&lt;&gt;"", $F73&gt;=AC$5-4, $F73&lt;=AC$5, COUNTIF($M73:AB73,"u")=0), "u", "")</f>
        <v/>
      </c>
      <c r="AD73" s="80" t="str">
        <f>IF(AND($F73&lt;&gt;"", $F73&gt;=AD$5-4, $F73&lt;=AD$5, COUNTIF($M73:AC73,"u")=0), "u", "")</f>
        <v/>
      </c>
      <c r="AE73" s="80" t="str">
        <f>IF(AND($F73&lt;&gt;"", $F73&gt;=AE$5-4, $F73&lt;=AE$5, COUNTIF($M73:AD73,"u")=0), "u", "")</f>
        <v/>
      </c>
      <c r="AF73" s="80" t="str">
        <f>IF(AND($F73&lt;&gt;"", $F73&gt;=AF$5-4, $F73&lt;=AF$5, COUNTIF($M73:AE73,"u")=0), "u", "")</f>
        <v/>
      </c>
      <c r="AG73" s="80" t="str">
        <f>IF(AND($F73&lt;&gt;"", $F73&gt;=AG$5-4, $F73&lt;=AG$5, COUNTIF($M73:AF73,"u")=0), "u", "")</f>
        <v/>
      </c>
      <c r="AH73" s="80" t="str">
        <f>IF(AND($F73&lt;&gt;"", $F73&gt;=AH$5-4, $F73&lt;=AH$5, COUNTIF($M73:AG73,"u")=0), "u", "")</f>
        <v/>
      </c>
      <c r="AI73" s="80" t="str">
        <f>IF(AND($F73&lt;&gt;"", $F73&gt;=AI$5-4, $F73&lt;=AI$5, COUNTIF($M73:AH73,"u")=0), "u", "")</f>
        <v/>
      </c>
      <c r="AJ73" s="80" t="str">
        <f>IF(AND($F73&lt;&gt;"", $F73&gt;=AJ$5-4, $F73&lt;=AJ$5, COUNTIF($M73:AI73,"u")=0), "u", "")</f>
        <v/>
      </c>
      <c r="AK73" s="80" t="str">
        <f>IF(AND($F73&lt;&gt;"", $F73&gt;=AK$5-4, $F73&lt;=AK$5, COUNTIF($M73:AJ73,"u")=0), "u", "")</f>
        <v/>
      </c>
      <c r="AL73" s="80" t="str">
        <f>IF(AND($F73&lt;&gt;"", $F73&gt;=AL$5-4, $F73&lt;=AL$5, COUNTIF($M73:AK73,"u")=0), "u", "")</f>
        <v/>
      </c>
      <c r="AM73" s="80" t="str">
        <f>IF(AND($F73&lt;&gt;"", $F73&gt;=AM$5-4, $F73&lt;=AM$5, COUNTIF($M73:AL73,"u")=0), "u", "")</f>
        <v/>
      </c>
      <c r="AN73" s="80" t="str">
        <f>IF(AND($F73&lt;&gt;"", $F73&gt;=AN$5-4, $F73&lt;=AN$5, COUNTIF($M73:AM73,"u")=0), "u", "")</f>
        <v/>
      </c>
      <c r="AO73" s="80" t="str">
        <f>IF(AND($F73&lt;&gt;"", $F73&gt;=AO$5-4, $F73&lt;=AO$5, COUNTIF($M73:AN73,"u")=0), "u", "")</f>
        <v/>
      </c>
      <c r="AP73" s="80" t="str">
        <f>IF(AND($F73&lt;&gt;"", $F73&gt;=AP$5-4, $F73&lt;=AP$5, COUNTIF($M73:AO73,"u")=0), "u", "")</f>
        <v/>
      </c>
      <c r="AQ73" s="80" t="str">
        <f>IF(AND($F73&lt;&gt;"", $F73&gt;=AQ$5-4, $F73&lt;=AQ$5, COUNTIF($M73:AP73,"u")=0), "u", "")</f>
        <v/>
      </c>
      <c r="AR73" s="80" t="str">
        <f>IF(AND($F73&lt;&gt;"", $F73&gt;=AR$5-4, $F73&lt;=AR$5, COUNTIF($M73:AQ73,"u")=0), "u", "")</f>
        <v/>
      </c>
      <c r="AS73" s="80" t="str">
        <f>IF(AND($F73&lt;&gt;"", $F73&gt;=AS$5-4, $F73&lt;=AS$5, COUNTIF($M73:AR73,"u")=0), "u", "")</f>
        <v/>
      </c>
      <c r="AT73" s="80" t="str">
        <f>IF(AND($F73&lt;&gt;"", $F73&gt;=AT$5-4, $F73&lt;=AT$5, COUNTIF($M73:AS73,"u")=0), "u", "")</f>
        <v/>
      </c>
      <c r="AU73" s="80" t="str">
        <f>IF(AND($F73&lt;&gt;"", $F73&gt;=AU$5-4, $F73&lt;=AU$5, COUNTIF($M73:AT73,"u")=0), "u", "")</f>
        <v/>
      </c>
      <c r="AV73" s="80" t="str">
        <f>IF(AND($F73&lt;&gt;"", $F73&gt;=AV$5-4, $F73&lt;=AV$5, COUNTIF($M73:AU73,"u")=0), "u", "")</f>
        <v/>
      </c>
      <c r="AW73" s="80" t="str">
        <f>IF(AND($F73&lt;&gt;"", $F73&gt;=AW$5-4, $F73&lt;=AW$5, COUNTIF($M73:AV73,"u")=0), "u", "")</f>
        <v/>
      </c>
      <c r="AX73" s="80" t="str">
        <f>IF(AND($F73&lt;&gt;"", $F73&gt;=AX$5-4, $F73&lt;=AX$5, COUNTIF($M73:AW73,"u")=0), "u", "")</f>
        <v/>
      </c>
      <c r="AY73" s="80" t="str">
        <f>IF(AND($F73&lt;&gt;"", $F73&gt;=AY$5-4, $F73&lt;=AY$5, COUNTIF($M73:AX73,"u")=0), "u", "")</f>
        <v/>
      </c>
      <c r="AZ73" s="80" t="str">
        <f>IF(AND($F73&lt;&gt;"", $F73&gt;=AZ$5-4, $F73&lt;=AZ$5, COUNTIF($M73:AY73,"u")=0), "u", "")</f>
        <v/>
      </c>
      <c r="BA73" s="80" t="str">
        <f>IF(AND($F73&lt;&gt;"", $F73&gt;=BA$5-4, $F73&lt;=BA$5, COUNTIF($M73:AZ73,"u")=0), "u", "")</f>
        <v/>
      </c>
      <c r="BB73" s="80" t="str">
        <f>IF(AND($F73&lt;&gt;"", $F73&gt;=BB$5-4, $F73&lt;=BB$5, COUNTIF($M73:BA73,"u")=0), "u", "")</f>
        <v/>
      </c>
      <c r="BC73" s="80" t="str">
        <f>IF(AND($F73&lt;&gt;"", $F73&gt;=BC$5-4, $F73&lt;=BC$5, COUNTIF($M73:BB73,"u")=0), "u", "")</f>
        <v/>
      </c>
      <c r="BD73" s="80" t="str">
        <f>IF(AND($F73&lt;&gt;"", $F73&gt;=BD$5-4, $F73&lt;=BD$5, COUNTIF($M73:BC73,"u")=0), "u", "")</f>
        <v/>
      </c>
      <c r="BE73" s="80" t="str">
        <f>IF(AND($F73&lt;&gt;"", $F73&gt;=BE$5-4, $F73&lt;=BE$5, COUNTIF($M73:BD73,"u")=0), "u", "")</f>
        <v/>
      </c>
      <c r="BF73" s="80" t="str">
        <f>IF(AND($F73&lt;&gt;"", $F73&gt;=BF$5-4, $F73&lt;=BF$5, COUNTIF($M73:BE73,"u")=0), "u", "")</f>
        <v/>
      </c>
      <c r="BG73" s="80" t="str">
        <f>IF(AND($F73&lt;&gt;"", $F73&gt;=BG$5-4, $F73&lt;=BG$5, COUNTIF($M73:BF73,"u")=0), "u", "")</f>
        <v/>
      </c>
      <c r="BH73" s="80" t="str">
        <f>IF(AND($F73&lt;&gt;"", $F73&gt;=BH$5-4, $F73&lt;=BH$5, COUNTIF($M73:BG73,"u")=0), "u", "")</f>
        <v/>
      </c>
      <c r="BI73" s="80" t="str">
        <f>IF(AND($F73&lt;&gt;"", $F73&gt;=BI$5-4, $F73&lt;=BI$5, COUNTIF($M73:BH73,"u")=0), "u", "")</f>
        <v/>
      </c>
      <c r="BJ73" s="80" t="str">
        <f>IF(AND($F73&lt;&gt;"", $F73&gt;=BJ$5-4, $F73&lt;=BJ$5, COUNTIF($M73:BI73,"u")=0), "u", "")</f>
        <v/>
      </c>
      <c r="BK73" s="80" t="str">
        <f>IF(AND($F73&lt;&gt;"", $F73&gt;=BK$5-4, $F73&lt;=BK$5, COUNTIF($M73:BJ73,"u")=0), "u", "")</f>
        <v/>
      </c>
      <c r="BL73" s="80" t="str">
        <f>IF(AND($F73&lt;&gt;"", $F73&gt;=BL$5-4, $F73&lt;=BL$5, COUNTIF($M73:BK73,"u")=0), "u", "")</f>
        <v/>
      </c>
      <c r="BM73" s="80" t="str">
        <f>IF(AND($F73&lt;&gt;"", $F73&gt;=BM$5-4, $F73&lt;=BM$5, COUNTIF($M73:BL73,"u")=0), "u", "")</f>
        <v/>
      </c>
      <c r="BN73" s="80" t="str">
        <f>IF(AND($F73&lt;&gt;"", $F73&gt;=BN$5-4, $F73&lt;=BN$5, COUNTIF($M73:BM73,"u")=0), "u", "")</f>
        <v/>
      </c>
      <c r="BO73" s="80" t="str">
        <f>IF(AND($F73&lt;&gt;"", $F73&gt;=BO$5-4, $F73&lt;=BO$5, COUNTIF($M73:BN73,"u")=0), "u", "")</f>
        <v/>
      </c>
      <c r="BP73" s="80" t="str">
        <f>IF(AND($F73&lt;&gt;"", $F73&gt;=BP$5-4, $F73&lt;=BP$5, COUNTIF($M73:BO73,"u")=0), "u", "")</f>
        <v/>
      </c>
      <c r="BQ73" s="80" t="str">
        <f>IF(AND($F73&lt;&gt;"", $F73&gt;=BQ$5-4, $F73&lt;=BQ$5, COUNTIF($M73:BP73,"u")=0), "u", "")</f>
        <v/>
      </c>
      <c r="BR73" s="80" t="str">
        <f>IF(AND($F73&lt;&gt;"", $F73&gt;=BR$5-4, $F73&lt;=BR$5, COUNTIF($M73:BQ73,"u")=0), "u", "")</f>
        <v/>
      </c>
      <c r="BS73" s="80" t="str">
        <f>IF(AND($F73&lt;&gt;"", $F73&gt;=BS$5-4, $F73&lt;=BS$5, COUNTIF($M73:BR73,"u")=0), "u", "")</f>
        <v/>
      </c>
      <c r="BT73" s="80" t="str">
        <f>IF(AND($F73&lt;&gt;"", $F73&gt;=BT$5-4, $F73&lt;=BT$5, COUNTIF($M73:BS73,"u")=0), "u", "")</f>
        <v/>
      </c>
      <c r="BU73" s="80" t="str">
        <f>IF(AND($F73&lt;&gt;"", $F73&gt;=BU$5-4, $F73&lt;=BU$5, COUNTIF($M73:BT73,"u")=0), "u", "")</f>
        <v/>
      </c>
      <c r="BV73" s="80" t="str">
        <f>IF(AND($F73&lt;&gt;"", $F73&gt;=BV$5-4, $F73&lt;=BV$5, COUNTIF($M73:BU73,"u")=0), "u", "")</f>
        <v/>
      </c>
      <c r="BW73" s="80" t="str">
        <f>IF(AND($F73&lt;&gt;"", $F73&gt;=BW$5-4, $F73&lt;=BW$5, COUNTIF($M73:BV73,"u")=0), "u", "")</f>
        <v/>
      </c>
      <c r="BX73" s="80" t="str">
        <f>IF(AND($F73&lt;&gt;"", $F73&gt;=BX$5-4, $F73&lt;=BX$5, COUNTIF($M73:BW73,"u")=0), "u", "")</f>
        <v/>
      </c>
      <c r="BY73" s="80" t="str">
        <f>IF(AND($F73&lt;&gt;"", $F73&gt;=BY$5-4, $F73&lt;=BY$5, COUNTIF($M73:BX73,"u")=0), "u", "")</f>
        <v/>
      </c>
      <c r="BZ73" s="80" t="str">
        <f>IF(AND($F73&lt;&gt;"", $F73&gt;=BZ$5-4, $F73&lt;=BZ$5, COUNTIF($M73:BY73,"u")=0), "u", "")</f>
        <v/>
      </c>
      <c r="CA73" s="80" t="str">
        <f>IF(AND($F73&lt;&gt;"", $F73&gt;=CA$5-4, $F73&lt;=CA$5, COUNTIF($M73:BZ73,"u")=0), "u", "")</f>
        <v/>
      </c>
      <c r="CB73" s="80" t="str">
        <f>IF(AND($F73&lt;&gt;"", $F73&gt;=CB$5-4, $F73&lt;=CB$5, COUNTIF($M73:CA73,"u")=0), "u", "")</f>
        <v/>
      </c>
      <c r="CC73" s="80" t="str">
        <f>IF(AND($F73&lt;&gt;"", $F73&gt;=CC$5-4, $F73&lt;=CC$5, COUNTIF($M73:CB73,"u")=0), "u", "")</f>
        <v/>
      </c>
      <c r="CD73" s="80" t="str">
        <f>IF(AND($F73&lt;&gt;"", $F73&gt;=CD$5-4, $F73&lt;=CD$5, COUNTIF($M73:CC73,"u")=0), "u", "")</f>
        <v/>
      </c>
      <c r="CE73" s="80" t="str">
        <f>IF(AND($F73&lt;&gt;"", $F73&gt;=CE$5-4, $F73&lt;=CE$5, COUNTIF($M73:CD73,"u")=0), "u", "")</f>
        <v/>
      </c>
      <c r="CF73" s="80" t="str">
        <f>IF(AND($F73&lt;&gt;"", $F73&gt;=CF$5-4, $F73&lt;=CF$5, COUNTIF($M73:CE73,"u")=0), "u", "")</f>
        <v/>
      </c>
      <c r="CG73" s="80" t="str">
        <f>IF(AND($F73&lt;&gt;"", $F73&gt;=CG$5-4, $F73&lt;=CG$5, COUNTIF($M73:CF73,"u")=0), "u", "")</f>
        <v/>
      </c>
      <c r="CH73" s="80" t="str">
        <f>IF(AND($F73&lt;&gt;"", $F73&gt;=CH$5-4, $F73&lt;=CH$5, COUNTIF($M73:CG73,"u")=0), "u", "")</f>
        <v/>
      </c>
      <c r="CI73" s="80" t="str">
        <f>IF(AND($F73&lt;&gt;"", $F73&gt;=CI$5-4, $F73&lt;=CI$5, COUNTIF($M73:CH73,"u")=0), "u", "")</f>
        <v/>
      </c>
      <c r="CJ73" s="80" t="str">
        <f>IF(AND($F73&lt;&gt;"", $F73&gt;=CJ$5-4, $F73&lt;=CJ$5, COUNTIF($M73:CI73,"u")=0), "u", "")</f>
        <v/>
      </c>
      <c r="CK73" s="80" t="str">
        <f>IF(AND($F73&lt;&gt;"", $F73&gt;=CK$5-4, $F73&lt;=CK$5, COUNTIF($M73:CJ73,"u")=0), "u", "")</f>
        <v/>
      </c>
      <c r="CL73" s="80" t="str">
        <f>IF(AND($F73&lt;&gt;"", $F73&gt;=CL$5-4, $F73&lt;=CL$5, COUNTIF($M73:CK73,"u")=0), "u", "")</f>
        <v/>
      </c>
      <c r="CM73" s="80" t="str">
        <f>IF(AND($F73&lt;&gt;"", $F73&gt;=CM$5-4, $F73&lt;=CM$5, COUNTIF($M73:CL73,"u")=0), "u", "")</f>
        <v/>
      </c>
      <c r="CN73" s="80" t="str">
        <f>IF(AND($F73&lt;&gt;"", $F73&gt;=CN$5-4, $F73&lt;=CN$5, COUNTIF($M73:CM73,"u")=0), "u", "")</f>
        <v/>
      </c>
      <c r="CO73" s="80" t="str">
        <f>IF(AND($F73&lt;&gt;"", $F73&gt;=CO$5-4, $F73&lt;=CO$5, COUNTIF($M73:CN73,"u")=0), "u", "")</f>
        <v/>
      </c>
      <c r="CP73" s="80" t="str">
        <f>IF(AND($F73&lt;&gt;"", $F73&gt;=CP$5-4, $F73&lt;=CP$5, COUNTIF($M73:CO73,"u")=0), "u", "")</f>
        <v/>
      </c>
      <c r="CQ73" s="80" t="str">
        <f>IF(AND($F73&lt;&gt;"", $F73&gt;=CQ$5-4, $F73&lt;=CQ$5, COUNTIF($M73:CP73,"u")=0), "u", "")</f>
        <v/>
      </c>
      <c r="CR73" s="80" t="str">
        <f>IF(AND($F73&lt;&gt;"", $F73&gt;=CR$5-4, $F73&lt;=CR$5, COUNTIF($M73:CQ73,"u")=0), "u", "")</f>
        <v/>
      </c>
      <c r="CS73" s="80" t="str">
        <f>IF(AND($F73&lt;&gt;"", $F73&gt;=CS$5-4, $F73&lt;=CS$5, COUNTIF($M73:CR73,"u")=0), "u", "")</f>
        <v/>
      </c>
      <c r="CT73" s="80" t="str">
        <f>IF(AND($F73&lt;&gt;"", $F73&gt;=CT$5-4, $F73&lt;=CT$5, COUNTIF($M73:CS73,"u")=0), "u", "")</f>
        <v/>
      </c>
      <c r="CU73" s="80" t="str">
        <f>IF(AND($F73&lt;&gt;"", $F73&gt;=CU$5-4, $F73&lt;=CU$5, COUNTIF($M73:CT73,"u")=0), "u", "")</f>
        <v/>
      </c>
      <c r="CV73" s="80" t="str">
        <f>IF(AND($F73&lt;&gt;"", $F73&gt;=CV$5-4, $F73&lt;=CV$5, COUNTIF($M73:CU73,"u")=0), "u", "")</f>
        <v/>
      </c>
      <c r="CW73" s="80" t="str">
        <f>IF(AND($F73&lt;&gt;"", $F73&gt;=CW$5-4, $F73&lt;=CW$5, COUNTIF($M73:CV73,"u")=0), "u", "")</f>
        <v/>
      </c>
      <c r="CX73" s="80" t="str">
        <f>IF(AND($F73&lt;&gt;"", $F73&gt;=CX$5-4, $F73&lt;=CX$5, COUNTIF($M73:CW73,"u")=0), "u", "")</f>
        <v/>
      </c>
      <c r="CY73" s="80" t="str">
        <f>IF(AND($F73&lt;&gt;"", $F73&gt;=CY$5-4, $F73&lt;=CY$5, COUNTIF($M73:CX73,"u")=0), "u", "")</f>
        <v/>
      </c>
      <c r="CZ73" s="80" t="str">
        <f>IF(AND($F73&lt;&gt;"", $F73&gt;=CZ$5-4, $F73&lt;=CZ$5, COUNTIF($M73:CY73,"u")=0), "u", "")</f>
        <v/>
      </c>
      <c r="DA73" s="80" t="str">
        <f>IF(AND($F73&lt;&gt;"", $F73&gt;=DA$5-4, $F73&lt;=DA$5, COUNTIF($M73:CZ73,"u")=0), "u", "")</f>
        <v/>
      </c>
      <c r="DB73" s="80" t="str">
        <f>IF(AND($F73&lt;&gt;"", $F73&gt;=DB$5-4, $F73&lt;=DB$5, COUNTIF($M73:DA73,"u")=0), "u", "")</f>
        <v/>
      </c>
      <c r="DC73" s="80" t="str">
        <f>IF(AND($F73&lt;&gt;"", $F73&gt;=DC$5-4, $F73&lt;=DC$5, COUNTIF($M73:DB73,"u")=0), "u", "")</f>
        <v/>
      </c>
      <c r="DD73" s="80" t="str">
        <f>IF(AND($F73&lt;&gt;"", $F73&gt;=DD$5-4, $F73&lt;=DD$5, COUNTIF($M73:DC73,"u")=0), "u", "")</f>
        <v/>
      </c>
      <c r="DE73" s="80" t="str">
        <f>IF(AND($F73&lt;&gt;"", $F73&gt;=DE$5-4, $F73&lt;=DE$5, COUNTIF($M73:DD73,"u")=0), "u", "")</f>
        <v/>
      </c>
      <c r="DF73" s="80" t="str">
        <f>IF(AND($F73&lt;&gt;"", $F73&gt;=DF$5-4, $F73&lt;=DF$5, COUNTIF($M73:DE73,"u")=0), "u", "")</f>
        <v/>
      </c>
      <c r="DG73" s="80" t="str">
        <f>IF(AND($F73&lt;&gt;"", $F73&gt;=DG$5-4, $F73&lt;=DG$5, COUNTIF($M73:DF73,"u")=0), "u", "")</f>
        <v/>
      </c>
      <c r="DH73" s="80" t="str">
        <f>IF(AND($F73&lt;&gt;"", $F73&gt;=DH$5-4, $F73&lt;=DH$5, COUNTIF($M73:DG73,"u")=0), "u", "")</f>
        <v/>
      </c>
      <c r="DI73" s="80" t="str">
        <f>IF(AND($F73&lt;&gt;"", $F73&gt;=DI$5-4, $F73&lt;=DI$5, COUNTIF($M73:DH73,"u")=0), "u", "")</f>
        <v/>
      </c>
      <c r="DJ73" s="80" t="str">
        <f>IF(AND($F73&lt;&gt;"", $F73&gt;=DJ$5-4, $F73&lt;=DJ$5, COUNTIF($M73:DI73,"u")=0), "u", "")</f>
        <v/>
      </c>
      <c r="DK73" s="80" t="str">
        <f>IF(AND($F73&lt;&gt;"", $F73&gt;=DK$5-4, $F73&lt;=DK$5, COUNTIF($M73:DJ73,"u")=0), "u", "")</f>
        <v/>
      </c>
      <c r="DL73" s="80" t="str">
        <f>IF(AND($F73&lt;&gt;"", $F73&gt;=DL$5-4, $F73&lt;=DL$5, COUNTIF($M73:DK73,"u")=0), "u", "")</f>
        <v/>
      </c>
    </row>
    <row r="74" spans="1:116" ht="25.05" customHeight="1" x14ac:dyDescent="0.3">
      <c r="A74" s="39"/>
      <c r="B74" s="75">
        <v>69</v>
      </c>
      <c r="C74" s="97"/>
      <c r="D74" s="92"/>
      <c r="E74" s="53"/>
      <c r="F74" s="53"/>
      <c r="G74" s="83" t="str">
        <f t="shared" si="47"/>
        <v/>
      </c>
      <c r="H74" s="83" t="str">
        <f t="shared" si="47"/>
        <v/>
      </c>
      <c r="I74" s="77" t="str">
        <f t="shared" si="48"/>
        <v/>
      </c>
      <c r="J74" s="78"/>
      <c r="K74" s="86"/>
      <c r="L74" s="56"/>
      <c r="M74" s="80" t="str">
        <f t="shared" si="49"/>
        <v/>
      </c>
      <c r="N74" s="80" t="str">
        <f>IF(AND($F74&lt;&gt;"", $F74&gt;=N$5-4, $F74&lt;=N$5, COUNTIF($M74:M74,"u")=0), "u", "")</f>
        <v/>
      </c>
      <c r="O74" s="80" t="str">
        <f>IF(AND($F74&lt;&gt;"", $F74&gt;=O$5-4, $F74&lt;=O$5, COUNTIF($M74:N74,"u")=0), "u", "")</f>
        <v/>
      </c>
      <c r="P74" s="80" t="str">
        <f>IF(AND($F74&lt;&gt;"", $F74&gt;=P$5-4, $F74&lt;=P$5, COUNTIF($M74:O74,"u")=0), "u", "")</f>
        <v/>
      </c>
      <c r="Q74" s="80" t="str">
        <f>IF(AND($F74&lt;&gt;"", $F74&gt;=Q$5-4, $F74&lt;=Q$5, COUNTIF($M74:P74,"u")=0), "u", "")</f>
        <v/>
      </c>
      <c r="R74" s="80" t="str">
        <f>IF(AND($F74&lt;&gt;"", $F74&gt;=R$5-4, $F74&lt;=R$5, COUNTIF($M74:Q74,"u")=0), "u", "")</f>
        <v/>
      </c>
      <c r="S74" s="80" t="str">
        <f>IF(AND($F74&lt;&gt;"", $F74&gt;=S$5-4, $F74&lt;=S$5, COUNTIF($M74:R74,"u")=0), "u", "")</f>
        <v/>
      </c>
      <c r="T74" s="80" t="str">
        <f>IF(AND($F74&lt;&gt;"", $F74&gt;=T$5-4, $F74&lt;=T$5, COUNTIF($M74:S74,"u")=0), "u", "")</f>
        <v/>
      </c>
      <c r="U74" s="80" t="str">
        <f>IF(AND($F74&lt;&gt;"", $F74&gt;=U$5-4, $F74&lt;=U$5, COUNTIF($M74:T74,"u")=0), "u", "")</f>
        <v/>
      </c>
      <c r="V74" s="80" t="str">
        <f>IF(AND($F74&lt;&gt;"", $F74&gt;=V$5-4, $F74&lt;=V$5, COUNTIF($M74:U74,"u")=0), "u", "")</f>
        <v/>
      </c>
      <c r="W74" s="80" t="str">
        <f>IF(AND($F74&lt;&gt;"", $F74&gt;=W$5-4, $F74&lt;=W$5, COUNTIF($M74:V74,"u")=0), "u", "")</f>
        <v/>
      </c>
      <c r="X74" s="80" t="str">
        <f>IF(AND($F74&lt;&gt;"", $F74&gt;=X$5-4, $F74&lt;=X$5, COUNTIF($M74:W74,"u")=0), "u", "")</f>
        <v/>
      </c>
      <c r="Y74" s="80" t="str">
        <f>IF(AND($F74&lt;&gt;"", $F74&gt;=Y$5-4, $F74&lt;=Y$5, COUNTIF($M74:X74,"u")=0), "u", "")</f>
        <v/>
      </c>
      <c r="Z74" s="80" t="str">
        <f>IF(AND($F74&lt;&gt;"", $F74&gt;=Z$5-4, $F74&lt;=Z$5, COUNTIF($M74:Y74,"u")=0), "u", "")</f>
        <v/>
      </c>
      <c r="AA74" s="80" t="str">
        <f>IF(AND($F74&lt;&gt;"", $F74&gt;=AA$5-4, $F74&lt;=AA$5, COUNTIF($M74:Z74,"u")=0), "u", "")</f>
        <v/>
      </c>
      <c r="AB74" s="80" t="str">
        <f>IF(AND($F74&lt;&gt;"", $F74&gt;=AB$5-4, $F74&lt;=AB$5, COUNTIF($M74:AA74,"u")=0), "u", "")</f>
        <v/>
      </c>
      <c r="AC74" s="80" t="str">
        <f>IF(AND($F74&lt;&gt;"", $F74&gt;=AC$5-4, $F74&lt;=AC$5, COUNTIF($M74:AB74,"u")=0), "u", "")</f>
        <v/>
      </c>
      <c r="AD74" s="80" t="str">
        <f>IF(AND($F74&lt;&gt;"", $F74&gt;=AD$5-4, $F74&lt;=AD$5, COUNTIF($M74:AC74,"u")=0), "u", "")</f>
        <v/>
      </c>
      <c r="AE74" s="80" t="str">
        <f>IF(AND($F74&lt;&gt;"", $F74&gt;=AE$5-4, $F74&lt;=AE$5, COUNTIF($M74:AD74,"u")=0), "u", "")</f>
        <v/>
      </c>
      <c r="AF74" s="80" t="str">
        <f>IF(AND($F74&lt;&gt;"", $F74&gt;=AF$5-4, $F74&lt;=AF$5, COUNTIF($M74:AE74,"u")=0), "u", "")</f>
        <v/>
      </c>
      <c r="AG74" s="80" t="str">
        <f>IF(AND($F74&lt;&gt;"", $F74&gt;=AG$5-4, $F74&lt;=AG$5, COUNTIF($M74:AF74,"u")=0), "u", "")</f>
        <v/>
      </c>
      <c r="AH74" s="80" t="str">
        <f>IF(AND($F74&lt;&gt;"", $F74&gt;=AH$5-4, $F74&lt;=AH$5, COUNTIF($M74:AG74,"u")=0), "u", "")</f>
        <v/>
      </c>
      <c r="AI74" s="80" t="str">
        <f>IF(AND($F74&lt;&gt;"", $F74&gt;=AI$5-4, $F74&lt;=AI$5, COUNTIF($M74:AH74,"u")=0), "u", "")</f>
        <v/>
      </c>
      <c r="AJ74" s="80" t="str">
        <f>IF(AND($F74&lt;&gt;"", $F74&gt;=AJ$5-4, $F74&lt;=AJ$5, COUNTIF($M74:AI74,"u")=0), "u", "")</f>
        <v/>
      </c>
      <c r="AK74" s="80" t="str">
        <f>IF(AND($F74&lt;&gt;"", $F74&gt;=AK$5-4, $F74&lt;=AK$5, COUNTIF($M74:AJ74,"u")=0), "u", "")</f>
        <v/>
      </c>
      <c r="AL74" s="80" t="str">
        <f>IF(AND($F74&lt;&gt;"", $F74&gt;=AL$5-4, $F74&lt;=AL$5, COUNTIF($M74:AK74,"u")=0), "u", "")</f>
        <v/>
      </c>
      <c r="AM74" s="80" t="str">
        <f>IF(AND($F74&lt;&gt;"", $F74&gt;=AM$5-4, $F74&lt;=AM$5, COUNTIF($M74:AL74,"u")=0), "u", "")</f>
        <v/>
      </c>
      <c r="AN74" s="80" t="str">
        <f>IF(AND($F74&lt;&gt;"", $F74&gt;=AN$5-4, $F74&lt;=AN$5, COUNTIF($M74:AM74,"u")=0), "u", "")</f>
        <v/>
      </c>
      <c r="AO74" s="80" t="str">
        <f>IF(AND($F74&lt;&gt;"", $F74&gt;=AO$5-4, $F74&lt;=AO$5, COUNTIF($M74:AN74,"u")=0), "u", "")</f>
        <v/>
      </c>
      <c r="AP74" s="80" t="str">
        <f>IF(AND($F74&lt;&gt;"", $F74&gt;=AP$5-4, $F74&lt;=AP$5, COUNTIF($M74:AO74,"u")=0), "u", "")</f>
        <v/>
      </c>
      <c r="AQ74" s="80" t="str">
        <f>IF(AND($F74&lt;&gt;"", $F74&gt;=AQ$5-4, $F74&lt;=AQ$5, COUNTIF($M74:AP74,"u")=0), "u", "")</f>
        <v/>
      </c>
      <c r="AR74" s="80" t="str">
        <f>IF(AND($F74&lt;&gt;"", $F74&gt;=AR$5-4, $F74&lt;=AR$5, COUNTIF($M74:AQ74,"u")=0), "u", "")</f>
        <v/>
      </c>
      <c r="AS74" s="80" t="str">
        <f>IF(AND($F74&lt;&gt;"", $F74&gt;=AS$5-4, $F74&lt;=AS$5, COUNTIF($M74:AR74,"u")=0), "u", "")</f>
        <v/>
      </c>
      <c r="AT74" s="80" t="str">
        <f>IF(AND($F74&lt;&gt;"", $F74&gt;=AT$5-4, $F74&lt;=AT$5, COUNTIF($M74:AS74,"u")=0), "u", "")</f>
        <v/>
      </c>
      <c r="AU74" s="80" t="str">
        <f>IF(AND($F74&lt;&gt;"", $F74&gt;=AU$5-4, $F74&lt;=AU$5, COUNTIF($M74:AT74,"u")=0), "u", "")</f>
        <v/>
      </c>
      <c r="AV74" s="80" t="str">
        <f>IF(AND($F74&lt;&gt;"", $F74&gt;=AV$5-4, $F74&lt;=AV$5, COUNTIF($M74:AU74,"u")=0), "u", "")</f>
        <v/>
      </c>
      <c r="AW74" s="80" t="str">
        <f>IF(AND($F74&lt;&gt;"", $F74&gt;=AW$5-4, $F74&lt;=AW$5, COUNTIF($M74:AV74,"u")=0), "u", "")</f>
        <v/>
      </c>
      <c r="AX74" s="80" t="str">
        <f>IF(AND($F74&lt;&gt;"", $F74&gt;=AX$5-4, $F74&lt;=AX$5, COUNTIF($M74:AW74,"u")=0), "u", "")</f>
        <v/>
      </c>
      <c r="AY74" s="80" t="str">
        <f>IF(AND($F74&lt;&gt;"", $F74&gt;=AY$5-4, $F74&lt;=AY$5, COUNTIF($M74:AX74,"u")=0), "u", "")</f>
        <v/>
      </c>
      <c r="AZ74" s="80" t="str">
        <f>IF(AND($F74&lt;&gt;"", $F74&gt;=AZ$5-4, $F74&lt;=AZ$5, COUNTIF($M74:AY74,"u")=0), "u", "")</f>
        <v/>
      </c>
      <c r="BA74" s="80" t="str">
        <f>IF(AND($F74&lt;&gt;"", $F74&gt;=BA$5-4, $F74&lt;=BA$5, COUNTIF($M74:AZ74,"u")=0), "u", "")</f>
        <v/>
      </c>
      <c r="BB74" s="80" t="str">
        <f>IF(AND($F74&lt;&gt;"", $F74&gt;=BB$5-4, $F74&lt;=BB$5, COUNTIF($M74:BA74,"u")=0), "u", "")</f>
        <v/>
      </c>
      <c r="BC74" s="80" t="str">
        <f>IF(AND($F74&lt;&gt;"", $F74&gt;=BC$5-4, $F74&lt;=BC$5, COUNTIF($M74:BB74,"u")=0), "u", "")</f>
        <v/>
      </c>
      <c r="BD74" s="80" t="str">
        <f>IF(AND($F74&lt;&gt;"", $F74&gt;=BD$5-4, $F74&lt;=BD$5, COUNTIF($M74:BC74,"u")=0), "u", "")</f>
        <v/>
      </c>
      <c r="BE74" s="80" t="str">
        <f>IF(AND($F74&lt;&gt;"", $F74&gt;=BE$5-4, $F74&lt;=BE$5, COUNTIF($M74:BD74,"u")=0), "u", "")</f>
        <v/>
      </c>
      <c r="BF74" s="80" t="str">
        <f>IF(AND($F74&lt;&gt;"", $F74&gt;=BF$5-4, $F74&lt;=BF$5, COUNTIF($M74:BE74,"u")=0), "u", "")</f>
        <v/>
      </c>
      <c r="BG74" s="80" t="str">
        <f>IF(AND($F74&lt;&gt;"", $F74&gt;=BG$5-4, $F74&lt;=BG$5, COUNTIF($M74:BF74,"u")=0), "u", "")</f>
        <v/>
      </c>
      <c r="BH74" s="80" t="str">
        <f>IF(AND($F74&lt;&gt;"", $F74&gt;=BH$5-4, $F74&lt;=BH$5, COUNTIF($M74:BG74,"u")=0), "u", "")</f>
        <v/>
      </c>
      <c r="BI74" s="80" t="str">
        <f>IF(AND($F74&lt;&gt;"", $F74&gt;=BI$5-4, $F74&lt;=BI$5, COUNTIF($M74:BH74,"u")=0), "u", "")</f>
        <v/>
      </c>
      <c r="BJ74" s="80" t="str">
        <f>IF(AND($F74&lt;&gt;"", $F74&gt;=BJ$5-4, $F74&lt;=BJ$5, COUNTIF($M74:BI74,"u")=0), "u", "")</f>
        <v/>
      </c>
      <c r="BK74" s="80" t="str">
        <f>IF(AND($F74&lt;&gt;"", $F74&gt;=BK$5-4, $F74&lt;=BK$5, COUNTIF($M74:BJ74,"u")=0), "u", "")</f>
        <v/>
      </c>
      <c r="BL74" s="80" t="str">
        <f>IF(AND($F74&lt;&gt;"", $F74&gt;=BL$5-4, $F74&lt;=BL$5, COUNTIF($M74:BK74,"u")=0), "u", "")</f>
        <v/>
      </c>
      <c r="BM74" s="80" t="str">
        <f>IF(AND($F74&lt;&gt;"", $F74&gt;=BM$5-4, $F74&lt;=BM$5, COUNTIF($M74:BL74,"u")=0), "u", "")</f>
        <v/>
      </c>
      <c r="BN74" s="80" t="str">
        <f>IF(AND($F74&lt;&gt;"", $F74&gt;=BN$5-4, $F74&lt;=BN$5, COUNTIF($M74:BM74,"u")=0), "u", "")</f>
        <v/>
      </c>
      <c r="BO74" s="80" t="str">
        <f>IF(AND($F74&lt;&gt;"", $F74&gt;=BO$5-4, $F74&lt;=BO$5, COUNTIF($M74:BN74,"u")=0), "u", "")</f>
        <v/>
      </c>
      <c r="BP74" s="80" t="str">
        <f>IF(AND($F74&lt;&gt;"", $F74&gt;=BP$5-4, $F74&lt;=BP$5, COUNTIF($M74:BO74,"u")=0), "u", "")</f>
        <v/>
      </c>
      <c r="BQ74" s="80" t="str">
        <f>IF(AND($F74&lt;&gt;"", $F74&gt;=BQ$5-4, $F74&lt;=BQ$5, COUNTIF($M74:BP74,"u")=0), "u", "")</f>
        <v/>
      </c>
      <c r="BR74" s="80" t="str">
        <f>IF(AND($F74&lt;&gt;"", $F74&gt;=BR$5-4, $F74&lt;=BR$5, COUNTIF($M74:BQ74,"u")=0), "u", "")</f>
        <v/>
      </c>
      <c r="BS74" s="80" t="str">
        <f>IF(AND($F74&lt;&gt;"", $F74&gt;=BS$5-4, $F74&lt;=BS$5, COUNTIF($M74:BR74,"u")=0), "u", "")</f>
        <v/>
      </c>
      <c r="BT74" s="80" t="str">
        <f>IF(AND($F74&lt;&gt;"", $F74&gt;=BT$5-4, $F74&lt;=BT$5, COUNTIF($M74:BS74,"u")=0), "u", "")</f>
        <v/>
      </c>
      <c r="BU74" s="80" t="str">
        <f>IF(AND($F74&lt;&gt;"", $F74&gt;=BU$5-4, $F74&lt;=BU$5, COUNTIF($M74:BT74,"u")=0), "u", "")</f>
        <v/>
      </c>
      <c r="BV74" s="80" t="str">
        <f>IF(AND($F74&lt;&gt;"", $F74&gt;=BV$5-4, $F74&lt;=BV$5, COUNTIF($M74:BU74,"u")=0), "u", "")</f>
        <v/>
      </c>
      <c r="BW74" s="80" t="str">
        <f>IF(AND($F74&lt;&gt;"", $F74&gt;=BW$5-4, $F74&lt;=BW$5, COUNTIF($M74:BV74,"u")=0), "u", "")</f>
        <v/>
      </c>
      <c r="BX74" s="80" t="str">
        <f>IF(AND($F74&lt;&gt;"", $F74&gt;=BX$5-4, $F74&lt;=BX$5, COUNTIF($M74:BW74,"u")=0), "u", "")</f>
        <v/>
      </c>
      <c r="BY74" s="80" t="str">
        <f>IF(AND($F74&lt;&gt;"", $F74&gt;=BY$5-4, $F74&lt;=BY$5, COUNTIF($M74:BX74,"u")=0), "u", "")</f>
        <v/>
      </c>
      <c r="BZ74" s="80" t="str">
        <f>IF(AND($F74&lt;&gt;"", $F74&gt;=BZ$5-4, $F74&lt;=BZ$5, COUNTIF($M74:BY74,"u")=0), "u", "")</f>
        <v/>
      </c>
      <c r="CA74" s="80" t="str">
        <f>IF(AND($F74&lt;&gt;"", $F74&gt;=CA$5-4, $F74&lt;=CA$5, COUNTIF($M74:BZ74,"u")=0), "u", "")</f>
        <v/>
      </c>
      <c r="CB74" s="80" t="str">
        <f>IF(AND($F74&lt;&gt;"", $F74&gt;=CB$5-4, $F74&lt;=CB$5, COUNTIF($M74:CA74,"u")=0), "u", "")</f>
        <v/>
      </c>
      <c r="CC74" s="80" t="str">
        <f>IF(AND($F74&lt;&gt;"", $F74&gt;=CC$5-4, $F74&lt;=CC$5, COUNTIF($M74:CB74,"u")=0), "u", "")</f>
        <v/>
      </c>
      <c r="CD74" s="80" t="str">
        <f>IF(AND($F74&lt;&gt;"", $F74&gt;=CD$5-4, $F74&lt;=CD$5, COUNTIF($M74:CC74,"u")=0), "u", "")</f>
        <v/>
      </c>
      <c r="CE74" s="80" t="str">
        <f>IF(AND($F74&lt;&gt;"", $F74&gt;=CE$5-4, $F74&lt;=CE$5, COUNTIF($M74:CD74,"u")=0), "u", "")</f>
        <v/>
      </c>
      <c r="CF74" s="80" t="str">
        <f>IF(AND($F74&lt;&gt;"", $F74&gt;=CF$5-4, $F74&lt;=CF$5, COUNTIF($M74:CE74,"u")=0), "u", "")</f>
        <v/>
      </c>
      <c r="CG74" s="80" t="str">
        <f>IF(AND($F74&lt;&gt;"", $F74&gt;=CG$5-4, $F74&lt;=CG$5, COUNTIF($M74:CF74,"u")=0), "u", "")</f>
        <v/>
      </c>
      <c r="CH74" s="80" t="str">
        <f>IF(AND($F74&lt;&gt;"", $F74&gt;=CH$5-4, $F74&lt;=CH$5, COUNTIF($M74:CG74,"u")=0), "u", "")</f>
        <v/>
      </c>
      <c r="CI74" s="80" t="str">
        <f>IF(AND($F74&lt;&gt;"", $F74&gt;=CI$5-4, $F74&lt;=CI$5, COUNTIF($M74:CH74,"u")=0), "u", "")</f>
        <v/>
      </c>
      <c r="CJ74" s="80" t="str">
        <f>IF(AND($F74&lt;&gt;"", $F74&gt;=CJ$5-4, $F74&lt;=CJ$5, COUNTIF($M74:CI74,"u")=0), "u", "")</f>
        <v/>
      </c>
      <c r="CK74" s="80" t="str">
        <f>IF(AND($F74&lt;&gt;"", $F74&gt;=CK$5-4, $F74&lt;=CK$5, COUNTIF($M74:CJ74,"u")=0), "u", "")</f>
        <v/>
      </c>
      <c r="CL74" s="80" t="str">
        <f>IF(AND($F74&lt;&gt;"", $F74&gt;=CL$5-4, $F74&lt;=CL$5, COUNTIF($M74:CK74,"u")=0), "u", "")</f>
        <v/>
      </c>
      <c r="CM74" s="80" t="str">
        <f>IF(AND($F74&lt;&gt;"", $F74&gt;=CM$5-4, $F74&lt;=CM$5, COUNTIF($M74:CL74,"u")=0), "u", "")</f>
        <v/>
      </c>
      <c r="CN74" s="80" t="str">
        <f>IF(AND($F74&lt;&gt;"", $F74&gt;=CN$5-4, $F74&lt;=CN$5, COUNTIF($M74:CM74,"u")=0), "u", "")</f>
        <v/>
      </c>
      <c r="CO74" s="80" t="str">
        <f>IF(AND($F74&lt;&gt;"", $F74&gt;=CO$5-4, $F74&lt;=CO$5, COUNTIF($M74:CN74,"u")=0), "u", "")</f>
        <v/>
      </c>
      <c r="CP74" s="80" t="str">
        <f>IF(AND($F74&lt;&gt;"", $F74&gt;=CP$5-4, $F74&lt;=CP$5, COUNTIF($M74:CO74,"u")=0), "u", "")</f>
        <v/>
      </c>
      <c r="CQ74" s="80" t="str">
        <f>IF(AND($F74&lt;&gt;"", $F74&gt;=CQ$5-4, $F74&lt;=CQ$5, COUNTIF($M74:CP74,"u")=0), "u", "")</f>
        <v/>
      </c>
      <c r="CR74" s="80" t="str">
        <f>IF(AND($F74&lt;&gt;"", $F74&gt;=CR$5-4, $F74&lt;=CR$5, COUNTIF($M74:CQ74,"u")=0), "u", "")</f>
        <v/>
      </c>
      <c r="CS74" s="80" t="str">
        <f>IF(AND($F74&lt;&gt;"", $F74&gt;=CS$5-4, $F74&lt;=CS$5, COUNTIF($M74:CR74,"u")=0), "u", "")</f>
        <v/>
      </c>
      <c r="CT74" s="80" t="str">
        <f>IF(AND($F74&lt;&gt;"", $F74&gt;=CT$5-4, $F74&lt;=CT$5, COUNTIF($M74:CS74,"u")=0), "u", "")</f>
        <v/>
      </c>
      <c r="CU74" s="80" t="str">
        <f>IF(AND($F74&lt;&gt;"", $F74&gt;=CU$5-4, $F74&lt;=CU$5, COUNTIF($M74:CT74,"u")=0), "u", "")</f>
        <v/>
      </c>
      <c r="CV74" s="80" t="str">
        <f>IF(AND($F74&lt;&gt;"", $F74&gt;=CV$5-4, $F74&lt;=CV$5, COUNTIF($M74:CU74,"u")=0), "u", "")</f>
        <v/>
      </c>
      <c r="CW74" s="80" t="str">
        <f>IF(AND($F74&lt;&gt;"", $F74&gt;=CW$5-4, $F74&lt;=CW$5, COUNTIF($M74:CV74,"u")=0), "u", "")</f>
        <v/>
      </c>
      <c r="CX74" s="80" t="str">
        <f>IF(AND($F74&lt;&gt;"", $F74&gt;=CX$5-4, $F74&lt;=CX$5, COUNTIF($M74:CW74,"u")=0), "u", "")</f>
        <v/>
      </c>
      <c r="CY74" s="80" t="str">
        <f>IF(AND($F74&lt;&gt;"", $F74&gt;=CY$5-4, $F74&lt;=CY$5, COUNTIF($M74:CX74,"u")=0), "u", "")</f>
        <v/>
      </c>
      <c r="CZ74" s="80" t="str">
        <f>IF(AND($F74&lt;&gt;"", $F74&gt;=CZ$5-4, $F74&lt;=CZ$5, COUNTIF($M74:CY74,"u")=0), "u", "")</f>
        <v/>
      </c>
      <c r="DA74" s="80" t="str">
        <f>IF(AND($F74&lt;&gt;"", $F74&gt;=DA$5-4, $F74&lt;=DA$5, COUNTIF($M74:CZ74,"u")=0), "u", "")</f>
        <v/>
      </c>
      <c r="DB74" s="80" t="str">
        <f>IF(AND($F74&lt;&gt;"", $F74&gt;=DB$5-4, $F74&lt;=DB$5, COUNTIF($M74:DA74,"u")=0), "u", "")</f>
        <v/>
      </c>
      <c r="DC74" s="80" t="str">
        <f>IF(AND($F74&lt;&gt;"", $F74&gt;=DC$5-4, $F74&lt;=DC$5, COUNTIF($M74:DB74,"u")=0), "u", "")</f>
        <v/>
      </c>
      <c r="DD74" s="80" t="str">
        <f>IF(AND($F74&lt;&gt;"", $F74&gt;=DD$5-4, $F74&lt;=DD$5, COUNTIF($M74:DC74,"u")=0), "u", "")</f>
        <v/>
      </c>
      <c r="DE74" s="80" t="str">
        <f>IF(AND($F74&lt;&gt;"", $F74&gt;=DE$5-4, $F74&lt;=DE$5, COUNTIF($M74:DD74,"u")=0), "u", "")</f>
        <v/>
      </c>
      <c r="DF74" s="80" t="str">
        <f>IF(AND($F74&lt;&gt;"", $F74&gt;=DF$5-4, $F74&lt;=DF$5, COUNTIF($M74:DE74,"u")=0), "u", "")</f>
        <v/>
      </c>
      <c r="DG74" s="80" t="str">
        <f>IF(AND($F74&lt;&gt;"", $F74&gt;=DG$5-4, $F74&lt;=DG$5, COUNTIF($M74:DF74,"u")=0), "u", "")</f>
        <v/>
      </c>
      <c r="DH74" s="80" t="str">
        <f>IF(AND($F74&lt;&gt;"", $F74&gt;=DH$5-4, $F74&lt;=DH$5, COUNTIF($M74:DG74,"u")=0), "u", "")</f>
        <v/>
      </c>
      <c r="DI74" s="80" t="str">
        <f>IF(AND($F74&lt;&gt;"", $F74&gt;=DI$5-4, $F74&lt;=DI$5, COUNTIF($M74:DH74,"u")=0), "u", "")</f>
        <v/>
      </c>
      <c r="DJ74" s="80" t="str">
        <f>IF(AND($F74&lt;&gt;"", $F74&gt;=DJ$5-4, $F74&lt;=DJ$5, COUNTIF($M74:DI74,"u")=0), "u", "")</f>
        <v/>
      </c>
      <c r="DK74" s="80" t="str">
        <f>IF(AND($F74&lt;&gt;"", $F74&gt;=DK$5-4, $F74&lt;=DK$5, COUNTIF($M74:DJ74,"u")=0), "u", "")</f>
        <v/>
      </c>
      <c r="DL74" s="80" t="str">
        <f>IF(AND($F74&lt;&gt;"", $F74&gt;=DL$5-4, $F74&lt;=DL$5, COUNTIF($M74:DK74,"u")=0), "u", "")</f>
        <v/>
      </c>
    </row>
    <row r="75" spans="1:116" ht="25.05" customHeight="1" x14ac:dyDescent="0.3">
      <c r="A75" s="39"/>
      <c r="B75" s="75">
        <v>70</v>
      </c>
      <c r="C75" s="97"/>
      <c r="D75" s="92"/>
      <c r="E75" s="53"/>
      <c r="F75" s="53"/>
      <c r="G75" s="83" t="str">
        <f t="shared" si="47"/>
        <v/>
      </c>
      <c r="H75" s="83" t="str">
        <f t="shared" si="47"/>
        <v/>
      </c>
      <c r="I75" s="77" t="str">
        <f t="shared" si="48"/>
        <v/>
      </c>
      <c r="J75" s="78"/>
      <c r="K75" s="86"/>
      <c r="L75" s="56"/>
      <c r="M75" s="80" t="str">
        <f t="shared" si="49"/>
        <v/>
      </c>
      <c r="N75" s="80" t="str">
        <f>IF(AND($F75&lt;&gt;"", $F75&gt;=N$5-4, $F75&lt;=N$5, COUNTIF($M75:M75,"u")=0), "u", "")</f>
        <v/>
      </c>
      <c r="O75" s="80" t="str">
        <f>IF(AND($F75&lt;&gt;"", $F75&gt;=O$5-4, $F75&lt;=O$5, COUNTIF($M75:N75,"u")=0), "u", "")</f>
        <v/>
      </c>
      <c r="P75" s="80" t="str">
        <f>IF(AND($F75&lt;&gt;"", $F75&gt;=P$5-4, $F75&lt;=P$5, COUNTIF($M75:O75,"u")=0), "u", "")</f>
        <v/>
      </c>
      <c r="Q75" s="80" t="str">
        <f>IF(AND($F75&lt;&gt;"", $F75&gt;=Q$5-4, $F75&lt;=Q$5, COUNTIF($M75:P75,"u")=0), "u", "")</f>
        <v/>
      </c>
      <c r="R75" s="80" t="str">
        <f>IF(AND($F75&lt;&gt;"", $F75&gt;=R$5-4, $F75&lt;=R$5, COUNTIF($M75:Q75,"u")=0), "u", "")</f>
        <v/>
      </c>
      <c r="S75" s="80" t="str">
        <f>IF(AND($F75&lt;&gt;"", $F75&gt;=S$5-4, $F75&lt;=S$5, COUNTIF($M75:R75,"u")=0), "u", "")</f>
        <v/>
      </c>
      <c r="T75" s="80" t="str">
        <f>IF(AND($F75&lt;&gt;"", $F75&gt;=T$5-4, $F75&lt;=T$5, COUNTIF($M75:S75,"u")=0), "u", "")</f>
        <v/>
      </c>
      <c r="U75" s="80" t="str">
        <f>IF(AND($F75&lt;&gt;"", $F75&gt;=U$5-4, $F75&lt;=U$5, COUNTIF($M75:T75,"u")=0), "u", "")</f>
        <v/>
      </c>
      <c r="V75" s="80" t="str">
        <f>IF(AND($F75&lt;&gt;"", $F75&gt;=V$5-4, $F75&lt;=V$5, COUNTIF($M75:U75,"u")=0), "u", "")</f>
        <v/>
      </c>
      <c r="W75" s="80" t="str">
        <f>IF(AND($F75&lt;&gt;"", $F75&gt;=W$5-4, $F75&lt;=W$5, COUNTIF($M75:V75,"u")=0), "u", "")</f>
        <v/>
      </c>
      <c r="X75" s="80" t="str">
        <f>IF(AND($F75&lt;&gt;"", $F75&gt;=X$5-4, $F75&lt;=X$5, COUNTIF($M75:W75,"u")=0), "u", "")</f>
        <v/>
      </c>
      <c r="Y75" s="80" t="str">
        <f>IF(AND($F75&lt;&gt;"", $F75&gt;=Y$5-4, $F75&lt;=Y$5, COUNTIF($M75:X75,"u")=0), "u", "")</f>
        <v/>
      </c>
      <c r="Z75" s="80" t="str">
        <f>IF(AND($F75&lt;&gt;"", $F75&gt;=Z$5-4, $F75&lt;=Z$5, COUNTIF($M75:Y75,"u")=0), "u", "")</f>
        <v/>
      </c>
      <c r="AA75" s="80" t="str">
        <f>IF(AND($F75&lt;&gt;"", $F75&gt;=AA$5-4, $F75&lt;=AA$5, COUNTIF($M75:Z75,"u")=0), "u", "")</f>
        <v/>
      </c>
      <c r="AB75" s="80" t="str">
        <f>IF(AND($F75&lt;&gt;"", $F75&gt;=AB$5-4, $F75&lt;=AB$5, COUNTIF($M75:AA75,"u")=0), "u", "")</f>
        <v/>
      </c>
      <c r="AC75" s="80" t="str">
        <f>IF(AND($F75&lt;&gt;"", $F75&gt;=AC$5-4, $F75&lt;=AC$5, COUNTIF($M75:AB75,"u")=0), "u", "")</f>
        <v/>
      </c>
      <c r="AD75" s="80" t="str">
        <f>IF(AND($F75&lt;&gt;"", $F75&gt;=AD$5-4, $F75&lt;=AD$5, COUNTIF($M75:AC75,"u")=0), "u", "")</f>
        <v/>
      </c>
      <c r="AE75" s="80" t="str">
        <f>IF(AND($F75&lt;&gt;"", $F75&gt;=AE$5-4, $F75&lt;=AE$5, COUNTIF($M75:AD75,"u")=0), "u", "")</f>
        <v/>
      </c>
      <c r="AF75" s="80" t="str">
        <f>IF(AND($F75&lt;&gt;"", $F75&gt;=AF$5-4, $F75&lt;=AF$5, COUNTIF($M75:AE75,"u")=0), "u", "")</f>
        <v/>
      </c>
      <c r="AG75" s="80" t="str">
        <f>IF(AND($F75&lt;&gt;"", $F75&gt;=AG$5-4, $F75&lt;=AG$5, COUNTIF($M75:AF75,"u")=0), "u", "")</f>
        <v/>
      </c>
      <c r="AH75" s="80" t="str">
        <f>IF(AND($F75&lt;&gt;"", $F75&gt;=AH$5-4, $F75&lt;=AH$5, COUNTIF($M75:AG75,"u")=0), "u", "")</f>
        <v/>
      </c>
      <c r="AI75" s="80" t="str">
        <f>IF(AND($F75&lt;&gt;"", $F75&gt;=AI$5-4, $F75&lt;=AI$5, COUNTIF($M75:AH75,"u")=0), "u", "")</f>
        <v/>
      </c>
      <c r="AJ75" s="80" t="str">
        <f>IF(AND($F75&lt;&gt;"", $F75&gt;=AJ$5-4, $F75&lt;=AJ$5, COUNTIF($M75:AI75,"u")=0), "u", "")</f>
        <v/>
      </c>
      <c r="AK75" s="80" t="str">
        <f>IF(AND($F75&lt;&gt;"", $F75&gt;=AK$5-4, $F75&lt;=AK$5, COUNTIF($M75:AJ75,"u")=0), "u", "")</f>
        <v/>
      </c>
      <c r="AL75" s="80" t="str">
        <f>IF(AND($F75&lt;&gt;"", $F75&gt;=AL$5-4, $F75&lt;=AL$5, COUNTIF($M75:AK75,"u")=0), "u", "")</f>
        <v/>
      </c>
      <c r="AM75" s="80" t="str">
        <f>IF(AND($F75&lt;&gt;"", $F75&gt;=AM$5-4, $F75&lt;=AM$5, COUNTIF($M75:AL75,"u")=0), "u", "")</f>
        <v/>
      </c>
      <c r="AN75" s="80" t="str">
        <f>IF(AND($F75&lt;&gt;"", $F75&gt;=AN$5-4, $F75&lt;=AN$5, COUNTIF($M75:AM75,"u")=0), "u", "")</f>
        <v/>
      </c>
      <c r="AO75" s="80" t="str">
        <f>IF(AND($F75&lt;&gt;"", $F75&gt;=AO$5-4, $F75&lt;=AO$5, COUNTIF($M75:AN75,"u")=0), "u", "")</f>
        <v/>
      </c>
      <c r="AP75" s="80" t="str">
        <f>IF(AND($F75&lt;&gt;"", $F75&gt;=AP$5-4, $F75&lt;=AP$5, COUNTIF($M75:AO75,"u")=0), "u", "")</f>
        <v/>
      </c>
      <c r="AQ75" s="80" t="str">
        <f>IF(AND($F75&lt;&gt;"", $F75&gt;=AQ$5-4, $F75&lt;=AQ$5, COUNTIF($M75:AP75,"u")=0), "u", "")</f>
        <v/>
      </c>
      <c r="AR75" s="80" t="str">
        <f>IF(AND($F75&lt;&gt;"", $F75&gt;=AR$5-4, $F75&lt;=AR$5, COUNTIF($M75:AQ75,"u")=0), "u", "")</f>
        <v/>
      </c>
      <c r="AS75" s="80" t="str">
        <f>IF(AND($F75&lt;&gt;"", $F75&gt;=AS$5-4, $F75&lt;=AS$5, COUNTIF($M75:AR75,"u")=0), "u", "")</f>
        <v/>
      </c>
      <c r="AT75" s="80" t="str">
        <f>IF(AND($F75&lt;&gt;"", $F75&gt;=AT$5-4, $F75&lt;=AT$5, COUNTIF($M75:AS75,"u")=0), "u", "")</f>
        <v/>
      </c>
      <c r="AU75" s="80" t="str">
        <f>IF(AND($F75&lt;&gt;"", $F75&gt;=AU$5-4, $F75&lt;=AU$5, COUNTIF($M75:AT75,"u")=0), "u", "")</f>
        <v/>
      </c>
      <c r="AV75" s="80" t="str">
        <f>IF(AND($F75&lt;&gt;"", $F75&gt;=AV$5-4, $F75&lt;=AV$5, COUNTIF($M75:AU75,"u")=0), "u", "")</f>
        <v/>
      </c>
      <c r="AW75" s="80" t="str">
        <f>IF(AND($F75&lt;&gt;"", $F75&gt;=AW$5-4, $F75&lt;=AW$5, COUNTIF($M75:AV75,"u")=0), "u", "")</f>
        <v/>
      </c>
      <c r="AX75" s="80" t="str">
        <f>IF(AND($F75&lt;&gt;"", $F75&gt;=AX$5-4, $F75&lt;=AX$5, COUNTIF($M75:AW75,"u")=0), "u", "")</f>
        <v/>
      </c>
      <c r="AY75" s="80" t="str">
        <f>IF(AND($F75&lt;&gt;"", $F75&gt;=AY$5-4, $F75&lt;=AY$5, COUNTIF($M75:AX75,"u")=0), "u", "")</f>
        <v/>
      </c>
      <c r="AZ75" s="80" t="str">
        <f>IF(AND($F75&lt;&gt;"", $F75&gt;=AZ$5-4, $F75&lt;=AZ$5, COUNTIF($M75:AY75,"u")=0), "u", "")</f>
        <v/>
      </c>
      <c r="BA75" s="80" t="str">
        <f>IF(AND($F75&lt;&gt;"", $F75&gt;=BA$5-4, $F75&lt;=BA$5, COUNTIF($M75:AZ75,"u")=0), "u", "")</f>
        <v/>
      </c>
      <c r="BB75" s="80" t="str">
        <f>IF(AND($F75&lt;&gt;"", $F75&gt;=BB$5-4, $F75&lt;=BB$5, COUNTIF($M75:BA75,"u")=0), "u", "")</f>
        <v/>
      </c>
      <c r="BC75" s="80" t="str">
        <f>IF(AND($F75&lt;&gt;"", $F75&gt;=BC$5-4, $F75&lt;=BC$5, COUNTIF($M75:BB75,"u")=0), "u", "")</f>
        <v/>
      </c>
      <c r="BD75" s="80" t="str">
        <f>IF(AND($F75&lt;&gt;"", $F75&gt;=BD$5-4, $F75&lt;=BD$5, COUNTIF($M75:BC75,"u")=0), "u", "")</f>
        <v/>
      </c>
      <c r="BE75" s="80" t="str">
        <f>IF(AND($F75&lt;&gt;"", $F75&gt;=BE$5-4, $F75&lt;=BE$5, COUNTIF($M75:BD75,"u")=0), "u", "")</f>
        <v/>
      </c>
      <c r="BF75" s="80" t="str">
        <f>IF(AND($F75&lt;&gt;"", $F75&gt;=BF$5-4, $F75&lt;=BF$5, COUNTIF($M75:BE75,"u")=0), "u", "")</f>
        <v/>
      </c>
      <c r="BG75" s="80" t="str">
        <f>IF(AND($F75&lt;&gt;"", $F75&gt;=BG$5-4, $F75&lt;=BG$5, COUNTIF($M75:BF75,"u")=0), "u", "")</f>
        <v/>
      </c>
      <c r="BH75" s="80" t="str">
        <f>IF(AND($F75&lt;&gt;"", $F75&gt;=BH$5-4, $F75&lt;=BH$5, COUNTIF($M75:BG75,"u")=0), "u", "")</f>
        <v/>
      </c>
      <c r="BI75" s="80" t="str">
        <f>IF(AND($F75&lt;&gt;"", $F75&gt;=BI$5-4, $F75&lt;=BI$5, COUNTIF($M75:BH75,"u")=0), "u", "")</f>
        <v/>
      </c>
      <c r="BJ75" s="80" t="str">
        <f>IF(AND($F75&lt;&gt;"", $F75&gt;=BJ$5-4, $F75&lt;=BJ$5, COUNTIF($M75:BI75,"u")=0), "u", "")</f>
        <v/>
      </c>
      <c r="BK75" s="80" t="str">
        <f>IF(AND($F75&lt;&gt;"", $F75&gt;=BK$5-4, $F75&lt;=BK$5, COUNTIF($M75:BJ75,"u")=0), "u", "")</f>
        <v/>
      </c>
      <c r="BL75" s="80" t="str">
        <f>IF(AND($F75&lt;&gt;"", $F75&gt;=BL$5-4, $F75&lt;=BL$5, COUNTIF($M75:BK75,"u")=0), "u", "")</f>
        <v/>
      </c>
      <c r="BM75" s="80" t="str">
        <f>IF(AND($F75&lt;&gt;"", $F75&gt;=BM$5-4, $F75&lt;=BM$5, COUNTIF($M75:BL75,"u")=0), "u", "")</f>
        <v/>
      </c>
      <c r="BN75" s="80" t="str">
        <f>IF(AND($F75&lt;&gt;"", $F75&gt;=BN$5-4, $F75&lt;=BN$5, COUNTIF($M75:BM75,"u")=0), "u", "")</f>
        <v/>
      </c>
      <c r="BO75" s="80" t="str">
        <f>IF(AND($F75&lt;&gt;"", $F75&gt;=BO$5-4, $F75&lt;=BO$5, COUNTIF($M75:BN75,"u")=0), "u", "")</f>
        <v/>
      </c>
      <c r="BP75" s="80" t="str">
        <f>IF(AND($F75&lt;&gt;"", $F75&gt;=BP$5-4, $F75&lt;=BP$5, COUNTIF($M75:BO75,"u")=0), "u", "")</f>
        <v/>
      </c>
      <c r="BQ75" s="80" t="str">
        <f>IF(AND($F75&lt;&gt;"", $F75&gt;=BQ$5-4, $F75&lt;=BQ$5, COUNTIF($M75:BP75,"u")=0), "u", "")</f>
        <v/>
      </c>
      <c r="BR75" s="80" t="str">
        <f>IF(AND($F75&lt;&gt;"", $F75&gt;=BR$5-4, $F75&lt;=BR$5, COUNTIF($M75:BQ75,"u")=0), "u", "")</f>
        <v/>
      </c>
      <c r="BS75" s="80" t="str">
        <f>IF(AND($F75&lt;&gt;"", $F75&gt;=BS$5-4, $F75&lt;=BS$5, COUNTIF($M75:BR75,"u")=0), "u", "")</f>
        <v/>
      </c>
      <c r="BT75" s="80" t="str">
        <f>IF(AND($F75&lt;&gt;"", $F75&gt;=BT$5-4, $F75&lt;=BT$5, COUNTIF($M75:BS75,"u")=0), "u", "")</f>
        <v/>
      </c>
      <c r="BU75" s="80" t="str">
        <f>IF(AND($F75&lt;&gt;"", $F75&gt;=BU$5-4, $F75&lt;=BU$5, COUNTIF($M75:BT75,"u")=0), "u", "")</f>
        <v/>
      </c>
      <c r="BV75" s="80" t="str">
        <f>IF(AND($F75&lt;&gt;"", $F75&gt;=BV$5-4, $F75&lt;=BV$5, COUNTIF($M75:BU75,"u")=0), "u", "")</f>
        <v/>
      </c>
      <c r="BW75" s="80" t="str">
        <f>IF(AND($F75&lt;&gt;"", $F75&gt;=BW$5-4, $F75&lt;=BW$5, COUNTIF($M75:BV75,"u")=0), "u", "")</f>
        <v/>
      </c>
      <c r="BX75" s="80" t="str">
        <f>IF(AND($F75&lt;&gt;"", $F75&gt;=BX$5-4, $F75&lt;=BX$5, COUNTIF($M75:BW75,"u")=0), "u", "")</f>
        <v/>
      </c>
      <c r="BY75" s="80" t="str">
        <f>IF(AND($F75&lt;&gt;"", $F75&gt;=BY$5-4, $F75&lt;=BY$5, COUNTIF($M75:BX75,"u")=0), "u", "")</f>
        <v/>
      </c>
      <c r="BZ75" s="80" t="str">
        <f>IF(AND($F75&lt;&gt;"", $F75&gt;=BZ$5-4, $F75&lt;=BZ$5, COUNTIF($M75:BY75,"u")=0), "u", "")</f>
        <v/>
      </c>
      <c r="CA75" s="80" t="str">
        <f>IF(AND($F75&lt;&gt;"", $F75&gt;=CA$5-4, $F75&lt;=CA$5, COUNTIF($M75:BZ75,"u")=0), "u", "")</f>
        <v/>
      </c>
      <c r="CB75" s="80" t="str">
        <f>IF(AND($F75&lt;&gt;"", $F75&gt;=CB$5-4, $F75&lt;=CB$5, COUNTIF($M75:CA75,"u")=0), "u", "")</f>
        <v/>
      </c>
      <c r="CC75" s="80" t="str">
        <f>IF(AND($F75&lt;&gt;"", $F75&gt;=CC$5-4, $F75&lt;=CC$5, COUNTIF($M75:CB75,"u")=0), "u", "")</f>
        <v/>
      </c>
      <c r="CD75" s="80" t="str">
        <f>IF(AND($F75&lt;&gt;"", $F75&gt;=CD$5-4, $F75&lt;=CD$5, COUNTIF($M75:CC75,"u")=0), "u", "")</f>
        <v/>
      </c>
      <c r="CE75" s="80" t="str">
        <f>IF(AND($F75&lt;&gt;"", $F75&gt;=CE$5-4, $F75&lt;=CE$5, COUNTIF($M75:CD75,"u")=0), "u", "")</f>
        <v/>
      </c>
      <c r="CF75" s="80" t="str">
        <f>IF(AND($F75&lt;&gt;"", $F75&gt;=CF$5-4, $F75&lt;=CF$5, COUNTIF($M75:CE75,"u")=0), "u", "")</f>
        <v/>
      </c>
      <c r="CG75" s="80" t="str">
        <f>IF(AND($F75&lt;&gt;"", $F75&gt;=CG$5-4, $F75&lt;=CG$5, COUNTIF($M75:CF75,"u")=0), "u", "")</f>
        <v/>
      </c>
      <c r="CH75" s="80" t="str">
        <f>IF(AND($F75&lt;&gt;"", $F75&gt;=CH$5-4, $F75&lt;=CH$5, COUNTIF($M75:CG75,"u")=0), "u", "")</f>
        <v/>
      </c>
      <c r="CI75" s="80" t="str">
        <f>IF(AND($F75&lt;&gt;"", $F75&gt;=CI$5-4, $F75&lt;=CI$5, COUNTIF($M75:CH75,"u")=0), "u", "")</f>
        <v/>
      </c>
      <c r="CJ75" s="80" t="str">
        <f>IF(AND($F75&lt;&gt;"", $F75&gt;=CJ$5-4, $F75&lt;=CJ$5, COUNTIF($M75:CI75,"u")=0), "u", "")</f>
        <v/>
      </c>
      <c r="CK75" s="80" t="str">
        <f>IF(AND($F75&lt;&gt;"", $F75&gt;=CK$5-4, $F75&lt;=CK$5, COUNTIF($M75:CJ75,"u")=0), "u", "")</f>
        <v/>
      </c>
      <c r="CL75" s="80" t="str">
        <f>IF(AND($F75&lt;&gt;"", $F75&gt;=CL$5-4, $F75&lt;=CL$5, COUNTIF($M75:CK75,"u")=0), "u", "")</f>
        <v/>
      </c>
      <c r="CM75" s="80" t="str">
        <f>IF(AND($F75&lt;&gt;"", $F75&gt;=CM$5-4, $F75&lt;=CM$5, COUNTIF($M75:CL75,"u")=0), "u", "")</f>
        <v/>
      </c>
      <c r="CN75" s="80" t="str">
        <f>IF(AND($F75&lt;&gt;"", $F75&gt;=CN$5-4, $F75&lt;=CN$5, COUNTIF($M75:CM75,"u")=0), "u", "")</f>
        <v/>
      </c>
      <c r="CO75" s="80" t="str">
        <f>IF(AND($F75&lt;&gt;"", $F75&gt;=CO$5-4, $F75&lt;=CO$5, COUNTIF($M75:CN75,"u")=0), "u", "")</f>
        <v/>
      </c>
      <c r="CP75" s="80" t="str">
        <f>IF(AND($F75&lt;&gt;"", $F75&gt;=CP$5-4, $F75&lt;=CP$5, COUNTIF($M75:CO75,"u")=0), "u", "")</f>
        <v/>
      </c>
      <c r="CQ75" s="80" t="str">
        <f>IF(AND($F75&lt;&gt;"", $F75&gt;=CQ$5-4, $F75&lt;=CQ$5, COUNTIF($M75:CP75,"u")=0), "u", "")</f>
        <v/>
      </c>
      <c r="CR75" s="80" t="str">
        <f>IF(AND($F75&lt;&gt;"", $F75&gt;=CR$5-4, $F75&lt;=CR$5, COUNTIF($M75:CQ75,"u")=0), "u", "")</f>
        <v/>
      </c>
      <c r="CS75" s="80" t="str">
        <f>IF(AND($F75&lt;&gt;"", $F75&gt;=CS$5-4, $F75&lt;=CS$5, COUNTIF($M75:CR75,"u")=0), "u", "")</f>
        <v/>
      </c>
      <c r="CT75" s="80" t="str">
        <f>IF(AND($F75&lt;&gt;"", $F75&gt;=CT$5-4, $F75&lt;=CT$5, COUNTIF($M75:CS75,"u")=0), "u", "")</f>
        <v/>
      </c>
      <c r="CU75" s="80" t="str">
        <f>IF(AND($F75&lt;&gt;"", $F75&gt;=CU$5-4, $F75&lt;=CU$5, COUNTIF($M75:CT75,"u")=0), "u", "")</f>
        <v/>
      </c>
      <c r="CV75" s="80" t="str">
        <f>IF(AND($F75&lt;&gt;"", $F75&gt;=CV$5-4, $F75&lt;=CV$5, COUNTIF($M75:CU75,"u")=0), "u", "")</f>
        <v/>
      </c>
      <c r="CW75" s="80" t="str">
        <f>IF(AND($F75&lt;&gt;"", $F75&gt;=CW$5-4, $F75&lt;=CW$5, COUNTIF($M75:CV75,"u")=0), "u", "")</f>
        <v/>
      </c>
      <c r="CX75" s="80" t="str">
        <f>IF(AND($F75&lt;&gt;"", $F75&gt;=CX$5-4, $F75&lt;=CX$5, COUNTIF($M75:CW75,"u")=0), "u", "")</f>
        <v/>
      </c>
      <c r="CY75" s="80" t="str">
        <f>IF(AND($F75&lt;&gt;"", $F75&gt;=CY$5-4, $F75&lt;=CY$5, COUNTIF($M75:CX75,"u")=0), "u", "")</f>
        <v/>
      </c>
      <c r="CZ75" s="80" t="str">
        <f>IF(AND($F75&lt;&gt;"", $F75&gt;=CZ$5-4, $F75&lt;=CZ$5, COUNTIF($M75:CY75,"u")=0), "u", "")</f>
        <v/>
      </c>
      <c r="DA75" s="80" t="str">
        <f>IF(AND($F75&lt;&gt;"", $F75&gt;=DA$5-4, $F75&lt;=DA$5, COUNTIF($M75:CZ75,"u")=0), "u", "")</f>
        <v/>
      </c>
      <c r="DB75" s="80" t="str">
        <f>IF(AND($F75&lt;&gt;"", $F75&gt;=DB$5-4, $F75&lt;=DB$5, COUNTIF($M75:DA75,"u")=0), "u", "")</f>
        <v/>
      </c>
      <c r="DC75" s="80" t="str">
        <f>IF(AND($F75&lt;&gt;"", $F75&gt;=DC$5-4, $F75&lt;=DC$5, COUNTIF($M75:DB75,"u")=0), "u", "")</f>
        <v/>
      </c>
      <c r="DD75" s="80" t="str">
        <f>IF(AND($F75&lt;&gt;"", $F75&gt;=DD$5-4, $F75&lt;=DD$5, COUNTIF($M75:DC75,"u")=0), "u", "")</f>
        <v/>
      </c>
      <c r="DE75" s="80" t="str">
        <f>IF(AND($F75&lt;&gt;"", $F75&gt;=DE$5-4, $F75&lt;=DE$5, COUNTIF($M75:DD75,"u")=0), "u", "")</f>
        <v/>
      </c>
      <c r="DF75" s="80" t="str">
        <f>IF(AND($F75&lt;&gt;"", $F75&gt;=DF$5-4, $F75&lt;=DF$5, COUNTIF($M75:DE75,"u")=0), "u", "")</f>
        <v/>
      </c>
      <c r="DG75" s="80" t="str">
        <f>IF(AND($F75&lt;&gt;"", $F75&gt;=DG$5-4, $F75&lt;=DG$5, COUNTIF($M75:DF75,"u")=0), "u", "")</f>
        <v/>
      </c>
      <c r="DH75" s="80" t="str">
        <f>IF(AND($F75&lt;&gt;"", $F75&gt;=DH$5-4, $F75&lt;=DH$5, COUNTIF($M75:DG75,"u")=0), "u", "")</f>
        <v/>
      </c>
      <c r="DI75" s="80" t="str">
        <f>IF(AND($F75&lt;&gt;"", $F75&gt;=DI$5-4, $F75&lt;=DI$5, COUNTIF($M75:DH75,"u")=0), "u", "")</f>
        <v/>
      </c>
      <c r="DJ75" s="80" t="str">
        <f>IF(AND($F75&lt;&gt;"", $F75&gt;=DJ$5-4, $F75&lt;=DJ$5, COUNTIF($M75:DI75,"u")=0), "u", "")</f>
        <v/>
      </c>
      <c r="DK75" s="80" t="str">
        <f>IF(AND($F75&lt;&gt;"", $F75&gt;=DK$5-4, $F75&lt;=DK$5, COUNTIF($M75:DJ75,"u")=0), "u", "")</f>
        <v/>
      </c>
      <c r="DL75" s="80" t="str">
        <f>IF(AND($F75&lt;&gt;"", $F75&gt;=DL$5-4, $F75&lt;=DL$5, COUNTIF($M75:DK75,"u")=0), "u", "")</f>
        <v/>
      </c>
    </row>
    <row r="76" spans="1:116" ht="25.05" customHeight="1" x14ac:dyDescent="0.3">
      <c r="A76" s="39"/>
      <c r="B76" s="75">
        <v>71</v>
      </c>
      <c r="C76" s="97"/>
      <c r="D76" s="92"/>
      <c r="E76" s="53"/>
      <c r="F76" s="53"/>
      <c r="G76" s="83" t="str">
        <f t="shared" si="47"/>
        <v/>
      </c>
      <c r="H76" s="83" t="str">
        <f t="shared" si="47"/>
        <v/>
      </c>
      <c r="I76" s="77" t="str">
        <f t="shared" si="48"/>
        <v/>
      </c>
      <c r="J76" s="78"/>
      <c r="K76" s="86"/>
      <c r="L76" s="56"/>
      <c r="M76" s="80" t="str">
        <f t="shared" si="49"/>
        <v/>
      </c>
      <c r="N76" s="80" t="str">
        <f>IF(AND($F76&lt;&gt;"", $F76&gt;=N$5-4, $F76&lt;=N$5, COUNTIF($M76:M76,"u")=0), "u", "")</f>
        <v/>
      </c>
      <c r="O76" s="80" t="str">
        <f>IF(AND($F76&lt;&gt;"", $F76&gt;=O$5-4, $F76&lt;=O$5, COUNTIF($M76:N76,"u")=0), "u", "")</f>
        <v/>
      </c>
      <c r="P76" s="80" t="str">
        <f>IF(AND($F76&lt;&gt;"", $F76&gt;=P$5-4, $F76&lt;=P$5, COUNTIF($M76:O76,"u")=0), "u", "")</f>
        <v/>
      </c>
      <c r="Q76" s="80" t="str">
        <f>IF(AND($F76&lt;&gt;"", $F76&gt;=Q$5-4, $F76&lt;=Q$5, COUNTIF($M76:P76,"u")=0), "u", "")</f>
        <v/>
      </c>
      <c r="R76" s="80" t="str">
        <f>IF(AND($F76&lt;&gt;"", $F76&gt;=R$5-4, $F76&lt;=R$5, COUNTIF($M76:Q76,"u")=0), "u", "")</f>
        <v/>
      </c>
      <c r="S76" s="80" t="str">
        <f>IF(AND($F76&lt;&gt;"", $F76&gt;=S$5-4, $F76&lt;=S$5, COUNTIF($M76:R76,"u")=0), "u", "")</f>
        <v/>
      </c>
      <c r="T76" s="80" t="str">
        <f>IF(AND($F76&lt;&gt;"", $F76&gt;=T$5-4, $F76&lt;=T$5, COUNTIF($M76:S76,"u")=0), "u", "")</f>
        <v/>
      </c>
      <c r="U76" s="80" t="str">
        <f>IF(AND($F76&lt;&gt;"", $F76&gt;=U$5-4, $F76&lt;=U$5, COUNTIF($M76:T76,"u")=0), "u", "")</f>
        <v/>
      </c>
      <c r="V76" s="80" t="str">
        <f>IF(AND($F76&lt;&gt;"", $F76&gt;=V$5-4, $F76&lt;=V$5, COUNTIF($M76:U76,"u")=0), "u", "")</f>
        <v/>
      </c>
      <c r="W76" s="80" t="str">
        <f>IF(AND($F76&lt;&gt;"", $F76&gt;=W$5-4, $F76&lt;=W$5, COUNTIF($M76:V76,"u")=0), "u", "")</f>
        <v/>
      </c>
      <c r="X76" s="80" t="str">
        <f>IF(AND($F76&lt;&gt;"", $F76&gt;=X$5-4, $F76&lt;=X$5, COUNTIF($M76:W76,"u")=0), "u", "")</f>
        <v/>
      </c>
      <c r="Y76" s="80" t="str">
        <f>IF(AND($F76&lt;&gt;"", $F76&gt;=Y$5-4, $F76&lt;=Y$5, COUNTIF($M76:X76,"u")=0), "u", "")</f>
        <v/>
      </c>
      <c r="Z76" s="80" t="str">
        <f>IF(AND($F76&lt;&gt;"", $F76&gt;=Z$5-4, $F76&lt;=Z$5, COUNTIF($M76:Y76,"u")=0), "u", "")</f>
        <v/>
      </c>
      <c r="AA76" s="80" t="str">
        <f>IF(AND($F76&lt;&gt;"", $F76&gt;=AA$5-4, $F76&lt;=AA$5, COUNTIF($M76:Z76,"u")=0), "u", "")</f>
        <v/>
      </c>
      <c r="AB76" s="80" t="str">
        <f>IF(AND($F76&lt;&gt;"", $F76&gt;=AB$5-4, $F76&lt;=AB$5, COUNTIF($M76:AA76,"u")=0), "u", "")</f>
        <v/>
      </c>
      <c r="AC76" s="80" t="str">
        <f>IF(AND($F76&lt;&gt;"", $F76&gt;=AC$5-4, $F76&lt;=AC$5, COUNTIF($M76:AB76,"u")=0), "u", "")</f>
        <v/>
      </c>
      <c r="AD76" s="80" t="str">
        <f>IF(AND($F76&lt;&gt;"", $F76&gt;=AD$5-4, $F76&lt;=AD$5, COUNTIF($M76:AC76,"u")=0), "u", "")</f>
        <v/>
      </c>
      <c r="AE76" s="80" t="str">
        <f>IF(AND($F76&lt;&gt;"", $F76&gt;=AE$5-4, $F76&lt;=AE$5, COUNTIF($M76:AD76,"u")=0), "u", "")</f>
        <v/>
      </c>
      <c r="AF76" s="80" t="str">
        <f>IF(AND($F76&lt;&gt;"", $F76&gt;=AF$5-4, $F76&lt;=AF$5, COUNTIF($M76:AE76,"u")=0), "u", "")</f>
        <v/>
      </c>
      <c r="AG76" s="80" t="str">
        <f>IF(AND($F76&lt;&gt;"", $F76&gt;=AG$5-4, $F76&lt;=AG$5, COUNTIF($M76:AF76,"u")=0), "u", "")</f>
        <v/>
      </c>
      <c r="AH76" s="80" t="str">
        <f>IF(AND($F76&lt;&gt;"", $F76&gt;=AH$5-4, $F76&lt;=AH$5, COUNTIF($M76:AG76,"u")=0), "u", "")</f>
        <v/>
      </c>
      <c r="AI76" s="80" t="str">
        <f>IF(AND($F76&lt;&gt;"", $F76&gt;=AI$5-4, $F76&lt;=AI$5, COUNTIF($M76:AH76,"u")=0), "u", "")</f>
        <v/>
      </c>
      <c r="AJ76" s="80" t="str">
        <f>IF(AND($F76&lt;&gt;"", $F76&gt;=AJ$5-4, $F76&lt;=AJ$5, COUNTIF($M76:AI76,"u")=0), "u", "")</f>
        <v/>
      </c>
      <c r="AK76" s="80" t="str">
        <f>IF(AND($F76&lt;&gt;"", $F76&gt;=AK$5-4, $F76&lt;=AK$5, COUNTIF($M76:AJ76,"u")=0), "u", "")</f>
        <v/>
      </c>
      <c r="AL76" s="80" t="str">
        <f>IF(AND($F76&lt;&gt;"", $F76&gt;=AL$5-4, $F76&lt;=AL$5, COUNTIF($M76:AK76,"u")=0), "u", "")</f>
        <v/>
      </c>
      <c r="AM76" s="80" t="str">
        <f>IF(AND($F76&lt;&gt;"", $F76&gt;=AM$5-4, $F76&lt;=AM$5, COUNTIF($M76:AL76,"u")=0), "u", "")</f>
        <v/>
      </c>
      <c r="AN76" s="80" t="str">
        <f>IF(AND($F76&lt;&gt;"", $F76&gt;=AN$5-4, $F76&lt;=AN$5, COUNTIF($M76:AM76,"u")=0), "u", "")</f>
        <v/>
      </c>
      <c r="AO76" s="80" t="str">
        <f>IF(AND($F76&lt;&gt;"", $F76&gt;=AO$5-4, $F76&lt;=AO$5, COUNTIF($M76:AN76,"u")=0), "u", "")</f>
        <v/>
      </c>
      <c r="AP76" s="80" t="str">
        <f>IF(AND($F76&lt;&gt;"", $F76&gt;=AP$5-4, $F76&lt;=AP$5, COUNTIF($M76:AO76,"u")=0), "u", "")</f>
        <v/>
      </c>
      <c r="AQ76" s="80" t="str">
        <f>IF(AND($F76&lt;&gt;"", $F76&gt;=AQ$5-4, $F76&lt;=AQ$5, COUNTIF($M76:AP76,"u")=0), "u", "")</f>
        <v/>
      </c>
      <c r="AR76" s="80" t="str">
        <f>IF(AND($F76&lt;&gt;"", $F76&gt;=AR$5-4, $F76&lt;=AR$5, COUNTIF($M76:AQ76,"u")=0), "u", "")</f>
        <v/>
      </c>
      <c r="AS76" s="80" t="str">
        <f>IF(AND($F76&lt;&gt;"", $F76&gt;=AS$5-4, $F76&lt;=AS$5, COUNTIF($M76:AR76,"u")=0), "u", "")</f>
        <v/>
      </c>
      <c r="AT76" s="80" t="str">
        <f>IF(AND($F76&lt;&gt;"", $F76&gt;=AT$5-4, $F76&lt;=AT$5, COUNTIF($M76:AS76,"u")=0), "u", "")</f>
        <v/>
      </c>
      <c r="AU76" s="80" t="str">
        <f>IF(AND($F76&lt;&gt;"", $F76&gt;=AU$5-4, $F76&lt;=AU$5, COUNTIF($M76:AT76,"u")=0), "u", "")</f>
        <v/>
      </c>
      <c r="AV76" s="80" t="str">
        <f>IF(AND($F76&lt;&gt;"", $F76&gt;=AV$5-4, $F76&lt;=AV$5, COUNTIF($M76:AU76,"u")=0), "u", "")</f>
        <v/>
      </c>
      <c r="AW76" s="80" t="str">
        <f>IF(AND($F76&lt;&gt;"", $F76&gt;=AW$5-4, $F76&lt;=AW$5, COUNTIF($M76:AV76,"u")=0), "u", "")</f>
        <v/>
      </c>
      <c r="AX76" s="80" t="str">
        <f>IF(AND($F76&lt;&gt;"", $F76&gt;=AX$5-4, $F76&lt;=AX$5, COUNTIF($M76:AW76,"u")=0), "u", "")</f>
        <v/>
      </c>
      <c r="AY76" s="80" t="str">
        <f>IF(AND($F76&lt;&gt;"", $F76&gt;=AY$5-4, $F76&lt;=AY$5, COUNTIF($M76:AX76,"u")=0), "u", "")</f>
        <v/>
      </c>
      <c r="AZ76" s="80" t="str">
        <f>IF(AND($F76&lt;&gt;"", $F76&gt;=AZ$5-4, $F76&lt;=AZ$5, COUNTIF($M76:AY76,"u")=0), "u", "")</f>
        <v/>
      </c>
      <c r="BA76" s="80" t="str">
        <f>IF(AND($F76&lt;&gt;"", $F76&gt;=BA$5-4, $F76&lt;=BA$5, COUNTIF($M76:AZ76,"u")=0), "u", "")</f>
        <v/>
      </c>
      <c r="BB76" s="80" t="str">
        <f>IF(AND($F76&lt;&gt;"", $F76&gt;=BB$5-4, $F76&lt;=BB$5, COUNTIF($M76:BA76,"u")=0), "u", "")</f>
        <v/>
      </c>
      <c r="BC76" s="80" t="str">
        <f>IF(AND($F76&lt;&gt;"", $F76&gt;=BC$5-4, $F76&lt;=BC$5, COUNTIF($M76:BB76,"u")=0), "u", "")</f>
        <v/>
      </c>
      <c r="BD76" s="80" t="str">
        <f>IF(AND($F76&lt;&gt;"", $F76&gt;=BD$5-4, $F76&lt;=BD$5, COUNTIF($M76:BC76,"u")=0), "u", "")</f>
        <v/>
      </c>
      <c r="BE76" s="80" t="str">
        <f>IF(AND($F76&lt;&gt;"", $F76&gt;=BE$5-4, $F76&lt;=BE$5, COUNTIF($M76:BD76,"u")=0), "u", "")</f>
        <v/>
      </c>
      <c r="BF76" s="80" t="str">
        <f>IF(AND($F76&lt;&gt;"", $F76&gt;=BF$5-4, $F76&lt;=BF$5, COUNTIF($M76:BE76,"u")=0), "u", "")</f>
        <v/>
      </c>
      <c r="BG76" s="80" t="str">
        <f>IF(AND($F76&lt;&gt;"", $F76&gt;=BG$5-4, $F76&lt;=BG$5, COUNTIF($M76:BF76,"u")=0), "u", "")</f>
        <v/>
      </c>
      <c r="BH76" s="80" t="str">
        <f>IF(AND($F76&lt;&gt;"", $F76&gt;=BH$5-4, $F76&lt;=BH$5, COUNTIF($M76:BG76,"u")=0), "u", "")</f>
        <v/>
      </c>
      <c r="BI76" s="80" t="str">
        <f>IF(AND($F76&lt;&gt;"", $F76&gt;=BI$5-4, $F76&lt;=BI$5, COUNTIF($M76:BH76,"u")=0), "u", "")</f>
        <v/>
      </c>
      <c r="BJ76" s="80" t="str">
        <f>IF(AND($F76&lt;&gt;"", $F76&gt;=BJ$5-4, $F76&lt;=BJ$5, COUNTIF($M76:BI76,"u")=0), "u", "")</f>
        <v/>
      </c>
      <c r="BK76" s="80" t="str">
        <f>IF(AND($F76&lt;&gt;"", $F76&gt;=BK$5-4, $F76&lt;=BK$5, COUNTIF($M76:BJ76,"u")=0), "u", "")</f>
        <v/>
      </c>
      <c r="BL76" s="80" t="str">
        <f>IF(AND($F76&lt;&gt;"", $F76&gt;=BL$5-4, $F76&lt;=BL$5, COUNTIF($M76:BK76,"u")=0), "u", "")</f>
        <v/>
      </c>
      <c r="BM76" s="80" t="str">
        <f>IF(AND($F76&lt;&gt;"", $F76&gt;=BM$5-4, $F76&lt;=BM$5, COUNTIF($M76:BL76,"u")=0), "u", "")</f>
        <v/>
      </c>
      <c r="BN76" s="80" t="str">
        <f>IF(AND($F76&lt;&gt;"", $F76&gt;=BN$5-4, $F76&lt;=BN$5, COUNTIF($M76:BM76,"u")=0), "u", "")</f>
        <v/>
      </c>
      <c r="BO76" s="80" t="str">
        <f>IF(AND($F76&lt;&gt;"", $F76&gt;=BO$5-4, $F76&lt;=BO$5, COUNTIF($M76:BN76,"u")=0), "u", "")</f>
        <v/>
      </c>
      <c r="BP76" s="80" t="str">
        <f>IF(AND($F76&lt;&gt;"", $F76&gt;=BP$5-4, $F76&lt;=BP$5, COUNTIF($M76:BO76,"u")=0), "u", "")</f>
        <v/>
      </c>
      <c r="BQ76" s="80" t="str">
        <f>IF(AND($F76&lt;&gt;"", $F76&gt;=BQ$5-4, $F76&lt;=BQ$5, COUNTIF($M76:BP76,"u")=0), "u", "")</f>
        <v/>
      </c>
      <c r="BR76" s="80" t="str">
        <f>IF(AND($F76&lt;&gt;"", $F76&gt;=BR$5-4, $F76&lt;=BR$5, COUNTIF($M76:BQ76,"u")=0), "u", "")</f>
        <v/>
      </c>
      <c r="BS76" s="80" t="str">
        <f>IF(AND($F76&lt;&gt;"", $F76&gt;=BS$5-4, $F76&lt;=BS$5, COUNTIF($M76:BR76,"u")=0), "u", "")</f>
        <v/>
      </c>
      <c r="BT76" s="80" t="str">
        <f>IF(AND($F76&lt;&gt;"", $F76&gt;=BT$5-4, $F76&lt;=BT$5, COUNTIF($M76:BS76,"u")=0), "u", "")</f>
        <v/>
      </c>
      <c r="BU76" s="80" t="str">
        <f>IF(AND($F76&lt;&gt;"", $F76&gt;=BU$5-4, $F76&lt;=BU$5, COUNTIF($M76:BT76,"u")=0), "u", "")</f>
        <v/>
      </c>
      <c r="BV76" s="80" t="str">
        <f>IF(AND($F76&lt;&gt;"", $F76&gt;=BV$5-4, $F76&lt;=BV$5, COUNTIF($M76:BU76,"u")=0), "u", "")</f>
        <v/>
      </c>
      <c r="BW76" s="80" t="str">
        <f>IF(AND($F76&lt;&gt;"", $F76&gt;=BW$5-4, $F76&lt;=BW$5, COUNTIF($M76:BV76,"u")=0), "u", "")</f>
        <v/>
      </c>
      <c r="BX76" s="80" t="str">
        <f>IF(AND($F76&lt;&gt;"", $F76&gt;=BX$5-4, $F76&lt;=BX$5, COUNTIF($M76:BW76,"u")=0), "u", "")</f>
        <v/>
      </c>
      <c r="BY76" s="80" t="str">
        <f>IF(AND($F76&lt;&gt;"", $F76&gt;=BY$5-4, $F76&lt;=BY$5, COUNTIF($M76:BX76,"u")=0), "u", "")</f>
        <v/>
      </c>
      <c r="BZ76" s="80" t="str">
        <f>IF(AND($F76&lt;&gt;"", $F76&gt;=BZ$5-4, $F76&lt;=BZ$5, COUNTIF($M76:BY76,"u")=0), "u", "")</f>
        <v/>
      </c>
      <c r="CA76" s="80" t="str">
        <f>IF(AND($F76&lt;&gt;"", $F76&gt;=CA$5-4, $F76&lt;=CA$5, COUNTIF($M76:BZ76,"u")=0), "u", "")</f>
        <v/>
      </c>
      <c r="CB76" s="80" t="str">
        <f>IF(AND($F76&lt;&gt;"", $F76&gt;=CB$5-4, $F76&lt;=CB$5, COUNTIF($M76:CA76,"u")=0), "u", "")</f>
        <v/>
      </c>
      <c r="CC76" s="80" t="str">
        <f>IF(AND($F76&lt;&gt;"", $F76&gt;=CC$5-4, $F76&lt;=CC$5, COUNTIF($M76:CB76,"u")=0), "u", "")</f>
        <v/>
      </c>
      <c r="CD76" s="80" t="str">
        <f>IF(AND($F76&lt;&gt;"", $F76&gt;=CD$5-4, $F76&lt;=CD$5, COUNTIF($M76:CC76,"u")=0), "u", "")</f>
        <v/>
      </c>
      <c r="CE76" s="80" t="str">
        <f>IF(AND($F76&lt;&gt;"", $F76&gt;=CE$5-4, $F76&lt;=CE$5, COUNTIF($M76:CD76,"u")=0), "u", "")</f>
        <v/>
      </c>
      <c r="CF76" s="80" t="str">
        <f>IF(AND($F76&lt;&gt;"", $F76&gt;=CF$5-4, $F76&lt;=CF$5, COUNTIF($M76:CE76,"u")=0), "u", "")</f>
        <v/>
      </c>
      <c r="CG76" s="80" t="str">
        <f>IF(AND($F76&lt;&gt;"", $F76&gt;=CG$5-4, $F76&lt;=CG$5, COUNTIF($M76:CF76,"u")=0), "u", "")</f>
        <v/>
      </c>
      <c r="CH76" s="80" t="str">
        <f>IF(AND($F76&lt;&gt;"", $F76&gt;=CH$5-4, $F76&lt;=CH$5, COUNTIF($M76:CG76,"u")=0), "u", "")</f>
        <v/>
      </c>
      <c r="CI76" s="80" t="str">
        <f>IF(AND($F76&lt;&gt;"", $F76&gt;=CI$5-4, $F76&lt;=CI$5, COUNTIF($M76:CH76,"u")=0), "u", "")</f>
        <v/>
      </c>
      <c r="CJ76" s="80" t="str">
        <f>IF(AND($F76&lt;&gt;"", $F76&gt;=CJ$5-4, $F76&lt;=CJ$5, COUNTIF($M76:CI76,"u")=0), "u", "")</f>
        <v/>
      </c>
      <c r="CK76" s="80" t="str">
        <f>IF(AND($F76&lt;&gt;"", $F76&gt;=CK$5-4, $F76&lt;=CK$5, COUNTIF($M76:CJ76,"u")=0), "u", "")</f>
        <v/>
      </c>
      <c r="CL76" s="80" t="str">
        <f>IF(AND($F76&lt;&gt;"", $F76&gt;=CL$5-4, $F76&lt;=CL$5, COUNTIF($M76:CK76,"u")=0), "u", "")</f>
        <v/>
      </c>
      <c r="CM76" s="80" t="str">
        <f>IF(AND($F76&lt;&gt;"", $F76&gt;=CM$5-4, $F76&lt;=CM$5, COUNTIF($M76:CL76,"u")=0), "u", "")</f>
        <v/>
      </c>
      <c r="CN76" s="80" t="str">
        <f>IF(AND($F76&lt;&gt;"", $F76&gt;=CN$5-4, $F76&lt;=CN$5, COUNTIF($M76:CM76,"u")=0), "u", "")</f>
        <v/>
      </c>
      <c r="CO76" s="80" t="str">
        <f>IF(AND($F76&lt;&gt;"", $F76&gt;=CO$5-4, $F76&lt;=CO$5, COUNTIF($M76:CN76,"u")=0), "u", "")</f>
        <v/>
      </c>
      <c r="CP76" s="80" t="str">
        <f>IF(AND($F76&lt;&gt;"", $F76&gt;=CP$5-4, $F76&lt;=CP$5, COUNTIF($M76:CO76,"u")=0), "u", "")</f>
        <v/>
      </c>
      <c r="CQ76" s="80" t="str">
        <f>IF(AND($F76&lt;&gt;"", $F76&gt;=CQ$5-4, $F76&lt;=CQ$5, COUNTIF($M76:CP76,"u")=0), "u", "")</f>
        <v/>
      </c>
      <c r="CR76" s="80" t="str">
        <f>IF(AND($F76&lt;&gt;"", $F76&gt;=CR$5-4, $F76&lt;=CR$5, COUNTIF($M76:CQ76,"u")=0), "u", "")</f>
        <v/>
      </c>
      <c r="CS76" s="80" t="str">
        <f>IF(AND($F76&lt;&gt;"", $F76&gt;=CS$5-4, $F76&lt;=CS$5, COUNTIF($M76:CR76,"u")=0), "u", "")</f>
        <v/>
      </c>
      <c r="CT76" s="80" t="str">
        <f>IF(AND($F76&lt;&gt;"", $F76&gt;=CT$5-4, $F76&lt;=CT$5, COUNTIF($M76:CS76,"u")=0), "u", "")</f>
        <v/>
      </c>
      <c r="CU76" s="80" t="str">
        <f>IF(AND($F76&lt;&gt;"", $F76&gt;=CU$5-4, $F76&lt;=CU$5, COUNTIF($M76:CT76,"u")=0), "u", "")</f>
        <v/>
      </c>
      <c r="CV76" s="80" t="str">
        <f>IF(AND($F76&lt;&gt;"", $F76&gt;=CV$5-4, $F76&lt;=CV$5, COUNTIF($M76:CU76,"u")=0), "u", "")</f>
        <v/>
      </c>
      <c r="CW76" s="80" t="str">
        <f>IF(AND($F76&lt;&gt;"", $F76&gt;=CW$5-4, $F76&lt;=CW$5, COUNTIF($M76:CV76,"u")=0), "u", "")</f>
        <v/>
      </c>
      <c r="CX76" s="80" t="str">
        <f>IF(AND($F76&lt;&gt;"", $F76&gt;=CX$5-4, $F76&lt;=CX$5, COUNTIF($M76:CW76,"u")=0), "u", "")</f>
        <v/>
      </c>
      <c r="CY76" s="80" t="str">
        <f>IF(AND($F76&lt;&gt;"", $F76&gt;=CY$5-4, $F76&lt;=CY$5, COUNTIF($M76:CX76,"u")=0), "u", "")</f>
        <v/>
      </c>
      <c r="CZ76" s="80" t="str">
        <f>IF(AND($F76&lt;&gt;"", $F76&gt;=CZ$5-4, $F76&lt;=CZ$5, COUNTIF($M76:CY76,"u")=0), "u", "")</f>
        <v/>
      </c>
      <c r="DA76" s="80" t="str">
        <f>IF(AND($F76&lt;&gt;"", $F76&gt;=DA$5-4, $F76&lt;=DA$5, COUNTIF($M76:CZ76,"u")=0), "u", "")</f>
        <v/>
      </c>
      <c r="DB76" s="80" t="str">
        <f>IF(AND($F76&lt;&gt;"", $F76&gt;=DB$5-4, $F76&lt;=DB$5, COUNTIF($M76:DA76,"u")=0), "u", "")</f>
        <v/>
      </c>
      <c r="DC76" s="80" t="str">
        <f>IF(AND($F76&lt;&gt;"", $F76&gt;=DC$5-4, $F76&lt;=DC$5, COUNTIF($M76:DB76,"u")=0), "u", "")</f>
        <v/>
      </c>
      <c r="DD76" s="80" t="str">
        <f>IF(AND($F76&lt;&gt;"", $F76&gt;=DD$5-4, $F76&lt;=DD$5, COUNTIF($M76:DC76,"u")=0), "u", "")</f>
        <v/>
      </c>
      <c r="DE76" s="80" t="str">
        <f>IF(AND($F76&lt;&gt;"", $F76&gt;=DE$5-4, $F76&lt;=DE$5, COUNTIF($M76:DD76,"u")=0), "u", "")</f>
        <v/>
      </c>
      <c r="DF76" s="80" t="str">
        <f>IF(AND($F76&lt;&gt;"", $F76&gt;=DF$5-4, $F76&lt;=DF$5, COUNTIF($M76:DE76,"u")=0), "u", "")</f>
        <v/>
      </c>
      <c r="DG76" s="80" t="str">
        <f>IF(AND($F76&lt;&gt;"", $F76&gt;=DG$5-4, $F76&lt;=DG$5, COUNTIF($M76:DF76,"u")=0), "u", "")</f>
        <v/>
      </c>
      <c r="DH76" s="80" t="str">
        <f>IF(AND($F76&lt;&gt;"", $F76&gt;=DH$5-4, $F76&lt;=DH$5, COUNTIF($M76:DG76,"u")=0), "u", "")</f>
        <v/>
      </c>
      <c r="DI76" s="80" t="str">
        <f>IF(AND($F76&lt;&gt;"", $F76&gt;=DI$5-4, $F76&lt;=DI$5, COUNTIF($M76:DH76,"u")=0), "u", "")</f>
        <v/>
      </c>
      <c r="DJ76" s="80" t="str">
        <f>IF(AND($F76&lt;&gt;"", $F76&gt;=DJ$5-4, $F76&lt;=DJ$5, COUNTIF($M76:DI76,"u")=0), "u", "")</f>
        <v/>
      </c>
      <c r="DK76" s="80" t="str">
        <f>IF(AND($F76&lt;&gt;"", $F76&gt;=DK$5-4, $F76&lt;=DK$5, COUNTIF($M76:DJ76,"u")=0), "u", "")</f>
        <v/>
      </c>
      <c r="DL76" s="80" t="str">
        <f>IF(AND($F76&lt;&gt;"", $F76&gt;=DL$5-4, $F76&lt;=DL$5, COUNTIF($M76:DK76,"u")=0), "u", "")</f>
        <v/>
      </c>
    </row>
    <row r="77" spans="1:116" ht="25.05" customHeight="1" x14ac:dyDescent="0.3">
      <c r="A77" s="39"/>
      <c r="B77" s="75">
        <v>72</v>
      </c>
      <c r="C77" s="97"/>
      <c r="D77" s="92"/>
      <c r="E77" s="53"/>
      <c r="F77" s="53"/>
      <c r="G77" s="83" t="str">
        <f t="shared" si="47"/>
        <v/>
      </c>
      <c r="H77" s="83" t="str">
        <f t="shared" si="47"/>
        <v/>
      </c>
      <c r="I77" s="77" t="str">
        <f t="shared" si="48"/>
        <v/>
      </c>
      <c r="J77" s="78"/>
      <c r="K77" s="86"/>
      <c r="L77" s="56"/>
      <c r="M77" s="80" t="str">
        <f t="shared" si="49"/>
        <v/>
      </c>
      <c r="N77" s="80" t="str">
        <f>IF(AND($F77&lt;&gt;"", $F77&gt;=N$5-4, $F77&lt;=N$5, COUNTIF($M77:M77,"u")=0), "u", "")</f>
        <v/>
      </c>
      <c r="O77" s="80" t="str">
        <f>IF(AND($F77&lt;&gt;"", $F77&gt;=O$5-4, $F77&lt;=O$5, COUNTIF($M77:N77,"u")=0), "u", "")</f>
        <v/>
      </c>
      <c r="P77" s="80" t="str">
        <f>IF(AND($F77&lt;&gt;"", $F77&gt;=P$5-4, $F77&lt;=P$5, COUNTIF($M77:O77,"u")=0), "u", "")</f>
        <v/>
      </c>
      <c r="Q77" s="80" t="str">
        <f>IF(AND($F77&lt;&gt;"", $F77&gt;=Q$5-4, $F77&lt;=Q$5, COUNTIF($M77:P77,"u")=0), "u", "")</f>
        <v/>
      </c>
      <c r="R77" s="80" t="str">
        <f>IF(AND($F77&lt;&gt;"", $F77&gt;=R$5-4, $F77&lt;=R$5, COUNTIF($M77:Q77,"u")=0), "u", "")</f>
        <v/>
      </c>
      <c r="S77" s="80" t="str">
        <f>IF(AND($F77&lt;&gt;"", $F77&gt;=S$5-4, $F77&lt;=S$5, COUNTIF($M77:R77,"u")=0), "u", "")</f>
        <v/>
      </c>
      <c r="T77" s="80" t="str">
        <f>IF(AND($F77&lt;&gt;"", $F77&gt;=T$5-4, $F77&lt;=T$5, COUNTIF($M77:S77,"u")=0), "u", "")</f>
        <v/>
      </c>
      <c r="U77" s="80" t="str">
        <f>IF(AND($F77&lt;&gt;"", $F77&gt;=U$5-4, $F77&lt;=U$5, COUNTIF($M77:T77,"u")=0), "u", "")</f>
        <v/>
      </c>
      <c r="V77" s="80" t="str">
        <f>IF(AND($F77&lt;&gt;"", $F77&gt;=V$5-4, $F77&lt;=V$5, COUNTIF($M77:U77,"u")=0), "u", "")</f>
        <v/>
      </c>
      <c r="W77" s="80" t="str">
        <f>IF(AND($F77&lt;&gt;"", $F77&gt;=W$5-4, $F77&lt;=W$5, COUNTIF($M77:V77,"u")=0), "u", "")</f>
        <v/>
      </c>
      <c r="X77" s="80" t="str">
        <f>IF(AND($F77&lt;&gt;"", $F77&gt;=X$5-4, $F77&lt;=X$5, COUNTIF($M77:W77,"u")=0), "u", "")</f>
        <v/>
      </c>
      <c r="Y77" s="80" t="str">
        <f>IF(AND($F77&lt;&gt;"", $F77&gt;=Y$5-4, $F77&lt;=Y$5, COUNTIF($M77:X77,"u")=0), "u", "")</f>
        <v/>
      </c>
      <c r="Z77" s="80" t="str">
        <f>IF(AND($F77&lt;&gt;"", $F77&gt;=Z$5-4, $F77&lt;=Z$5, COUNTIF($M77:Y77,"u")=0), "u", "")</f>
        <v/>
      </c>
      <c r="AA77" s="80" t="str">
        <f>IF(AND($F77&lt;&gt;"", $F77&gt;=AA$5-4, $F77&lt;=AA$5, COUNTIF($M77:Z77,"u")=0), "u", "")</f>
        <v/>
      </c>
      <c r="AB77" s="80" t="str">
        <f>IF(AND($F77&lt;&gt;"", $F77&gt;=AB$5-4, $F77&lt;=AB$5, COUNTIF($M77:AA77,"u")=0), "u", "")</f>
        <v/>
      </c>
      <c r="AC77" s="80" t="str">
        <f>IF(AND($F77&lt;&gt;"", $F77&gt;=AC$5-4, $F77&lt;=AC$5, COUNTIF($M77:AB77,"u")=0), "u", "")</f>
        <v/>
      </c>
      <c r="AD77" s="80" t="str">
        <f>IF(AND($F77&lt;&gt;"", $F77&gt;=AD$5-4, $F77&lt;=AD$5, COUNTIF($M77:AC77,"u")=0), "u", "")</f>
        <v/>
      </c>
      <c r="AE77" s="80" t="str">
        <f>IF(AND($F77&lt;&gt;"", $F77&gt;=AE$5-4, $F77&lt;=AE$5, COUNTIF($M77:AD77,"u")=0), "u", "")</f>
        <v/>
      </c>
      <c r="AF77" s="80" t="str">
        <f>IF(AND($F77&lt;&gt;"", $F77&gt;=AF$5-4, $F77&lt;=AF$5, COUNTIF($M77:AE77,"u")=0), "u", "")</f>
        <v/>
      </c>
      <c r="AG77" s="80" t="str">
        <f>IF(AND($F77&lt;&gt;"", $F77&gt;=AG$5-4, $F77&lt;=AG$5, COUNTIF($M77:AF77,"u")=0), "u", "")</f>
        <v/>
      </c>
      <c r="AH77" s="80" t="str">
        <f>IF(AND($F77&lt;&gt;"", $F77&gt;=AH$5-4, $F77&lt;=AH$5, COUNTIF($M77:AG77,"u")=0), "u", "")</f>
        <v/>
      </c>
      <c r="AI77" s="80" t="str">
        <f>IF(AND($F77&lt;&gt;"", $F77&gt;=AI$5-4, $F77&lt;=AI$5, COUNTIF($M77:AH77,"u")=0), "u", "")</f>
        <v/>
      </c>
      <c r="AJ77" s="80" t="str">
        <f>IF(AND($F77&lt;&gt;"", $F77&gt;=AJ$5-4, $F77&lt;=AJ$5, COUNTIF($M77:AI77,"u")=0), "u", "")</f>
        <v/>
      </c>
      <c r="AK77" s="80" t="str">
        <f>IF(AND($F77&lt;&gt;"", $F77&gt;=AK$5-4, $F77&lt;=AK$5, COUNTIF($M77:AJ77,"u")=0), "u", "")</f>
        <v/>
      </c>
      <c r="AL77" s="80" t="str">
        <f>IF(AND($F77&lt;&gt;"", $F77&gt;=AL$5-4, $F77&lt;=AL$5, COUNTIF($M77:AK77,"u")=0), "u", "")</f>
        <v/>
      </c>
      <c r="AM77" s="80" t="str">
        <f>IF(AND($F77&lt;&gt;"", $F77&gt;=AM$5-4, $F77&lt;=AM$5, COUNTIF($M77:AL77,"u")=0), "u", "")</f>
        <v/>
      </c>
      <c r="AN77" s="80" t="str">
        <f>IF(AND($F77&lt;&gt;"", $F77&gt;=AN$5-4, $F77&lt;=AN$5, COUNTIF($M77:AM77,"u")=0), "u", "")</f>
        <v/>
      </c>
      <c r="AO77" s="80" t="str">
        <f>IF(AND($F77&lt;&gt;"", $F77&gt;=AO$5-4, $F77&lt;=AO$5, COUNTIF($M77:AN77,"u")=0), "u", "")</f>
        <v/>
      </c>
      <c r="AP77" s="80" t="str">
        <f>IF(AND($F77&lt;&gt;"", $F77&gt;=AP$5-4, $F77&lt;=AP$5, COUNTIF($M77:AO77,"u")=0), "u", "")</f>
        <v/>
      </c>
      <c r="AQ77" s="80" t="str">
        <f>IF(AND($F77&lt;&gt;"", $F77&gt;=AQ$5-4, $F77&lt;=AQ$5, COUNTIF($M77:AP77,"u")=0), "u", "")</f>
        <v/>
      </c>
      <c r="AR77" s="80" t="str">
        <f>IF(AND($F77&lt;&gt;"", $F77&gt;=AR$5-4, $F77&lt;=AR$5, COUNTIF($M77:AQ77,"u")=0), "u", "")</f>
        <v/>
      </c>
      <c r="AS77" s="80" t="str">
        <f>IF(AND($F77&lt;&gt;"", $F77&gt;=AS$5-4, $F77&lt;=AS$5, COUNTIF($M77:AR77,"u")=0), "u", "")</f>
        <v/>
      </c>
      <c r="AT77" s="80" t="str">
        <f>IF(AND($F77&lt;&gt;"", $F77&gt;=AT$5-4, $F77&lt;=AT$5, COUNTIF($M77:AS77,"u")=0), "u", "")</f>
        <v/>
      </c>
      <c r="AU77" s="80" t="str">
        <f>IF(AND($F77&lt;&gt;"", $F77&gt;=AU$5-4, $F77&lt;=AU$5, COUNTIF($M77:AT77,"u")=0), "u", "")</f>
        <v/>
      </c>
      <c r="AV77" s="80" t="str">
        <f>IF(AND($F77&lt;&gt;"", $F77&gt;=AV$5-4, $F77&lt;=AV$5, COUNTIF($M77:AU77,"u")=0), "u", "")</f>
        <v/>
      </c>
      <c r="AW77" s="80" t="str">
        <f>IF(AND($F77&lt;&gt;"", $F77&gt;=AW$5-4, $F77&lt;=AW$5, COUNTIF($M77:AV77,"u")=0), "u", "")</f>
        <v/>
      </c>
      <c r="AX77" s="80" t="str">
        <f>IF(AND($F77&lt;&gt;"", $F77&gt;=AX$5-4, $F77&lt;=AX$5, COUNTIF($M77:AW77,"u")=0), "u", "")</f>
        <v/>
      </c>
      <c r="AY77" s="80" t="str">
        <f>IF(AND($F77&lt;&gt;"", $F77&gt;=AY$5-4, $F77&lt;=AY$5, COUNTIF($M77:AX77,"u")=0), "u", "")</f>
        <v/>
      </c>
      <c r="AZ77" s="80" t="str">
        <f>IF(AND($F77&lt;&gt;"", $F77&gt;=AZ$5-4, $F77&lt;=AZ$5, COUNTIF($M77:AY77,"u")=0), "u", "")</f>
        <v/>
      </c>
      <c r="BA77" s="80" t="str">
        <f>IF(AND($F77&lt;&gt;"", $F77&gt;=BA$5-4, $F77&lt;=BA$5, COUNTIF($M77:AZ77,"u")=0), "u", "")</f>
        <v/>
      </c>
      <c r="BB77" s="80" t="str">
        <f>IF(AND($F77&lt;&gt;"", $F77&gt;=BB$5-4, $F77&lt;=BB$5, COUNTIF($M77:BA77,"u")=0), "u", "")</f>
        <v/>
      </c>
      <c r="BC77" s="80" t="str">
        <f>IF(AND($F77&lt;&gt;"", $F77&gt;=BC$5-4, $F77&lt;=BC$5, COUNTIF($M77:BB77,"u")=0), "u", "")</f>
        <v/>
      </c>
      <c r="BD77" s="80" t="str">
        <f>IF(AND($F77&lt;&gt;"", $F77&gt;=BD$5-4, $F77&lt;=BD$5, COUNTIF($M77:BC77,"u")=0), "u", "")</f>
        <v/>
      </c>
      <c r="BE77" s="80" t="str">
        <f>IF(AND($F77&lt;&gt;"", $F77&gt;=BE$5-4, $F77&lt;=BE$5, COUNTIF($M77:BD77,"u")=0), "u", "")</f>
        <v/>
      </c>
      <c r="BF77" s="80" t="str">
        <f>IF(AND($F77&lt;&gt;"", $F77&gt;=BF$5-4, $F77&lt;=BF$5, COUNTIF($M77:BE77,"u")=0), "u", "")</f>
        <v/>
      </c>
      <c r="BG77" s="80" t="str">
        <f>IF(AND($F77&lt;&gt;"", $F77&gt;=BG$5-4, $F77&lt;=BG$5, COUNTIF($M77:BF77,"u")=0), "u", "")</f>
        <v/>
      </c>
      <c r="BH77" s="80" t="str">
        <f>IF(AND($F77&lt;&gt;"", $F77&gt;=BH$5-4, $F77&lt;=BH$5, COUNTIF($M77:BG77,"u")=0), "u", "")</f>
        <v/>
      </c>
      <c r="BI77" s="80" t="str">
        <f>IF(AND($F77&lt;&gt;"", $F77&gt;=BI$5-4, $F77&lt;=BI$5, COUNTIF($M77:BH77,"u")=0), "u", "")</f>
        <v/>
      </c>
      <c r="BJ77" s="80" t="str">
        <f>IF(AND($F77&lt;&gt;"", $F77&gt;=BJ$5-4, $F77&lt;=BJ$5, COUNTIF($M77:BI77,"u")=0), "u", "")</f>
        <v/>
      </c>
      <c r="BK77" s="80" t="str">
        <f>IF(AND($F77&lt;&gt;"", $F77&gt;=BK$5-4, $F77&lt;=BK$5, COUNTIF($M77:BJ77,"u")=0), "u", "")</f>
        <v/>
      </c>
      <c r="BL77" s="80" t="str">
        <f>IF(AND($F77&lt;&gt;"", $F77&gt;=BL$5-4, $F77&lt;=BL$5, COUNTIF($M77:BK77,"u")=0), "u", "")</f>
        <v/>
      </c>
      <c r="BM77" s="80" t="str">
        <f>IF(AND($F77&lt;&gt;"", $F77&gt;=BM$5-4, $F77&lt;=BM$5, COUNTIF($M77:BL77,"u")=0), "u", "")</f>
        <v/>
      </c>
      <c r="BN77" s="80" t="str">
        <f>IF(AND($F77&lt;&gt;"", $F77&gt;=BN$5-4, $F77&lt;=BN$5, COUNTIF($M77:BM77,"u")=0), "u", "")</f>
        <v/>
      </c>
      <c r="BO77" s="80" t="str">
        <f>IF(AND($F77&lt;&gt;"", $F77&gt;=BO$5-4, $F77&lt;=BO$5, COUNTIF($M77:BN77,"u")=0), "u", "")</f>
        <v/>
      </c>
      <c r="BP77" s="80" t="str">
        <f>IF(AND($F77&lt;&gt;"", $F77&gt;=BP$5-4, $F77&lt;=BP$5, COUNTIF($M77:BO77,"u")=0), "u", "")</f>
        <v/>
      </c>
      <c r="BQ77" s="80" t="str">
        <f>IF(AND($F77&lt;&gt;"", $F77&gt;=BQ$5-4, $F77&lt;=BQ$5, COUNTIF($M77:BP77,"u")=0), "u", "")</f>
        <v/>
      </c>
      <c r="BR77" s="80" t="str">
        <f>IF(AND($F77&lt;&gt;"", $F77&gt;=BR$5-4, $F77&lt;=BR$5, COUNTIF($M77:BQ77,"u")=0), "u", "")</f>
        <v/>
      </c>
      <c r="BS77" s="80" t="str">
        <f>IF(AND($F77&lt;&gt;"", $F77&gt;=BS$5-4, $F77&lt;=BS$5, COUNTIF($M77:BR77,"u")=0), "u", "")</f>
        <v/>
      </c>
      <c r="BT77" s="80" t="str">
        <f>IF(AND($F77&lt;&gt;"", $F77&gt;=BT$5-4, $F77&lt;=BT$5, COUNTIF($M77:BS77,"u")=0), "u", "")</f>
        <v/>
      </c>
      <c r="BU77" s="80" t="str">
        <f>IF(AND($F77&lt;&gt;"", $F77&gt;=BU$5-4, $F77&lt;=BU$5, COUNTIF($M77:BT77,"u")=0), "u", "")</f>
        <v/>
      </c>
      <c r="BV77" s="80" t="str">
        <f>IF(AND($F77&lt;&gt;"", $F77&gt;=BV$5-4, $F77&lt;=BV$5, COUNTIF($M77:BU77,"u")=0), "u", "")</f>
        <v/>
      </c>
      <c r="BW77" s="80" t="str">
        <f>IF(AND($F77&lt;&gt;"", $F77&gt;=BW$5-4, $F77&lt;=BW$5, COUNTIF($M77:BV77,"u")=0), "u", "")</f>
        <v/>
      </c>
      <c r="BX77" s="80" t="str">
        <f>IF(AND($F77&lt;&gt;"", $F77&gt;=BX$5-4, $F77&lt;=BX$5, COUNTIF($M77:BW77,"u")=0), "u", "")</f>
        <v/>
      </c>
      <c r="BY77" s="80" t="str">
        <f>IF(AND($F77&lt;&gt;"", $F77&gt;=BY$5-4, $F77&lt;=BY$5, COUNTIF($M77:BX77,"u")=0), "u", "")</f>
        <v/>
      </c>
      <c r="BZ77" s="80" t="str">
        <f>IF(AND($F77&lt;&gt;"", $F77&gt;=BZ$5-4, $F77&lt;=BZ$5, COUNTIF($M77:BY77,"u")=0), "u", "")</f>
        <v/>
      </c>
      <c r="CA77" s="80" t="str">
        <f>IF(AND($F77&lt;&gt;"", $F77&gt;=CA$5-4, $F77&lt;=CA$5, COUNTIF($M77:BZ77,"u")=0), "u", "")</f>
        <v/>
      </c>
      <c r="CB77" s="80" t="str">
        <f>IF(AND($F77&lt;&gt;"", $F77&gt;=CB$5-4, $F77&lt;=CB$5, COUNTIF($M77:CA77,"u")=0), "u", "")</f>
        <v/>
      </c>
      <c r="CC77" s="80" t="str">
        <f>IF(AND($F77&lt;&gt;"", $F77&gt;=CC$5-4, $F77&lt;=CC$5, COUNTIF($M77:CB77,"u")=0), "u", "")</f>
        <v/>
      </c>
      <c r="CD77" s="80" t="str">
        <f>IF(AND($F77&lt;&gt;"", $F77&gt;=CD$5-4, $F77&lt;=CD$5, COUNTIF($M77:CC77,"u")=0), "u", "")</f>
        <v/>
      </c>
      <c r="CE77" s="80" t="str">
        <f>IF(AND($F77&lt;&gt;"", $F77&gt;=CE$5-4, $F77&lt;=CE$5, COUNTIF($M77:CD77,"u")=0), "u", "")</f>
        <v/>
      </c>
      <c r="CF77" s="80" t="str">
        <f>IF(AND($F77&lt;&gt;"", $F77&gt;=CF$5-4, $F77&lt;=CF$5, COUNTIF($M77:CE77,"u")=0), "u", "")</f>
        <v/>
      </c>
      <c r="CG77" s="80" t="str">
        <f>IF(AND($F77&lt;&gt;"", $F77&gt;=CG$5-4, $F77&lt;=CG$5, COUNTIF($M77:CF77,"u")=0), "u", "")</f>
        <v/>
      </c>
      <c r="CH77" s="80" t="str">
        <f>IF(AND($F77&lt;&gt;"", $F77&gt;=CH$5-4, $F77&lt;=CH$5, COUNTIF($M77:CG77,"u")=0), "u", "")</f>
        <v/>
      </c>
      <c r="CI77" s="80" t="str">
        <f>IF(AND($F77&lt;&gt;"", $F77&gt;=CI$5-4, $F77&lt;=CI$5, COUNTIF($M77:CH77,"u")=0), "u", "")</f>
        <v/>
      </c>
      <c r="CJ77" s="80" t="str">
        <f>IF(AND($F77&lt;&gt;"", $F77&gt;=CJ$5-4, $F77&lt;=CJ$5, COUNTIF($M77:CI77,"u")=0), "u", "")</f>
        <v/>
      </c>
      <c r="CK77" s="80" t="str">
        <f>IF(AND($F77&lt;&gt;"", $F77&gt;=CK$5-4, $F77&lt;=CK$5, COUNTIF($M77:CJ77,"u")=0), "u", "")</f>
        <v/>
      </c>
      <c r="CL77" s="80" t="str">
        <f>IF(AND($F77&lt;&gt;"", $F77&gt;=CL$5-4, $F77&lt;=CL$5, COUNTIF($M77:CK77,"u")=0), "u", "")</f>
        <v/>
      </c>
      <c r="CM77" s="80" t="str">
        <f>IF(AND($F77&lt;&gt;"", $F77&gt;=CM$5-4, $F77&lt;=CM$5, COUNTIF($M77:CL77,"u")=0), "u", "")</f>
        <v/>
      </c>
      <c r="CN77" s="80" t="str">
        <f>IF(AND($F77&lt;&gt;"", $F77&gt;=CN$5-4, $F77&lt;=CN$5, COUNTIF($M77:CM77,"u")=0), "u", "")</f>
        <v/>
      </c>
      <c r="CO77" s="80" t="str">
        <f>IF(AND($F77&lt;&gt;"", $F77&gt;=CO$5-4, $F77&lt;=CO$5, COUNTIF($M77:CN77,"u")=0), "u", "")</f>
        <v/>
      </c>
      <c r="CP77" s="80" t="str">
        <f>IF(AND($F77&lt;&gt;"", $F77&gt;=CP$5-4, $F77&lt;=CP$5, COUNTIF($M77:CO77,"u")=0), "u", "")</f>
        <v/>
      </c>
      <c r="CQ77" s="80" t="str">
        <f>IF(AND($F77&lt;&gt;"", $F77&gt;=CQ$5-4, $F77&lt;=CQ$5, COUNTIF($M77:CP77,"u")=0), "u", "")</f>
        <v/>
      </c>
      <c r="CR77" s="80" t="str">
        <f>IF(AND($F77&lt;&gt;"", $F77&gt;=CR$5-4, $F77&lt;=CR$5, COUNTIF($M77:CQ77,"u")=0), "u", "")</f>
        <v/>
      </c>
      <c r="CS77" s="80" t="str">
        <f>IF(AND($F77&lt;&gt;"", $F77&gt;=CS$5-4, $F77&lt;=CS$5, COUNTIF($M77:CR77,"u")=0), "u", "")</f>
        <v/>
      </c>
      <c r="CT77" s="80" t="str">
        <f>IF(AND($F77&lt;&gt;"", $F77&gt;=CT$5-4, $F77&lt;=CT$5, COUNTIF($M77:CS77,"u")=0), "u", "")</f>
        <v/>
      </c>
      <c r="CU77" s="80" t="str">
        <f>IF(AND($F77&lt;&gt;"", $F77&gt;=CU$5-4, $F77&lt;=CU$5, COUNTIF($M77:CT77,"u")=0), "u", "")</f>
        <v/>
      </c>
      <c r="CV77" s="80" t="str">
        <f>IF(AND($F77&lt;&gt;"", $F77&gt;=CV$5-4, $F77&lt;=CV$5, COUNTIF($M77:CU77,"u")=0), "u", "")</f>
        <v/>
      </c>
      <c r="CW77" s="80" t="str">
        <f>IF(AND($F77&lt;&gt;"", $F77&gt;=CW$5-4, $F77&lt;=CW$5, COUNTIF($M77:CV77,"u")=0), "u", "")</f>
        <v/>
      </c>
      <c r="CX77" s="80" t="str">
        <f>IF(AND($F77&lt;&gt;"", $F77&gt;=CX$5-4, $F77&lt;=CX$5, COUNTIF($M77:CW77,"u")=0), "u", "")</f>
        <v/>
      </c>
      <c r="CY77" s="80" t="str">
        <f>IF(AND($F77&lt;&gt;"", $F77&gt;=CY$5-4, $F77&lt;=CY$5, COUNTIF($M77:CX77,"u")=0), "u", "")</f>
        <v/>
      </c>
      <c r="CZ77" s="80" t="str">
        <f>IF(AND($F77&lt;&gt;"", $F77&gt;=CZ$5-4, $F77&lt;=CZ$5, COUNTIF($M77:CY77,"u")=0), "u", "")</f>
        <v/>
      </c>
      <c r="DA77" s="80" t="str">
        <f>IF(AND($F77&lt;&gt;"", $F77&gt;=DA$5-4, $F77&lt;=DA$5, COUNTIF($M77:CZ77,"u")=0), "u", "")</f>
        <v/>
      </c>
      <c r="DB77" s="80" t="str">
        <f>IF(AND($F77&lt;&gt;"", $F77&gt;=DB$5-4, $F77&lt;=DB$5, COUNTIF($M77:DA77,"u")=0), "u", "")</f>
        <v/>
      </c>
      <c r="DC77" s="80" t="str">
        <f>IF(AND($F77&lt;&gt;"", $F77&gt;=DC$5-4, $F77&lt;=DC$5, COUNTIF($M77:DB77,"u")=0), "u", "")</f>
        <v/>
      </c>
      <c r="DD77" s="80" t="str">
        <f>IF(AND($F77&lt;&gt;"", $F77&gt;=DD$5-4, $F77&lt;=DD$5, COUNTIF($M77:DC77,"u")=0), "u", "")</f>
        <v/>
      </c>
      <c r="DE77" s="80" t="str">
        <f>IF(AND($F77&lt;&gt;"", $F77&gt;=DE$5-4, $F77&lt;=DE$5, COUNTIF($M77:DD77,"u")=0), "u", "")</f>
        <v/>
      </c>
      <c r="DF77" s="80" t="str">
        <f>IF(AND($F77&lt;&gt;"", $F77&gt;=DF$5-4, $F77&lt;=DF$5, COUNTIF($M77:DE77,"u")=0), "u", "")</f>
        <v/>
      </c>
      <c r="DG77" s="80" t="str">
        <f>IF(AND($F77&lt;&gt;"", $F77&gt;=DG$5-4, $F77&lt;=DG$5, COUNTIF($M77:DF77,"u")=0), "u", "")</f>
        <v/>
      </c>
      <c r="DH77" s="80" t="str">
        <f>IF(AND($F77&lt;&gt;"", $F77&gt;=DH$5-4, $F77&lt;=DH$5, COUNTIF($M77:DG77,"u")=0), "u", "")</f>
        <v/>
      </c>
      <c r="DI77" s="80" t="str">
        <f>IF(AND($F77&lt;&gt;"", $F77&gt;=DI$5-4, $F77&lt;=DI$5, COUNTIF($M77:DH77,"u")=0), "u", "")</f>
        <v/>
      </c>
      <c r="DJ77" s="80" t="str">
        <f>IF(AND($F77&lt;&gt;"", $F77&gt;=DJ$5-4, $F77&lt;=DJ$5, COUNTIF($M77:DI77,"u")=0), "u", "")</f>
        <v/>
      </c>
      <c r="DK77" s="80" t="str">
        <f>IF(AND($F77&lt;&gt;"", $F77&gt;=DK$5-4, $F77&lt;=DK$5, COUNTIF($M77:DJ77,"u")=0), "u", "")</f>
        <v/>
      </c>
      <c r="DL77" s="80" t="str">
        <f>IF(AND($F77&lt;&gt;"", $F77&gt;=DL$5-4, $F77&lt;=DL$5, COUNTIF($M77:DK77,"u")=0), "u", "")</f>
        <v/>
      </c>
    </row>
    <row r="78" spans="1:116" ht="25.05" customHeight="1" x14ac:dyDescent="0.3">
      <c r="A78" s="39"/>
      <c r="B78" s="75">
        <v>73</v>
      </c>
      <c r="C78" s="97"/>
      <c r="D78" s="92"/>
      <c r="E78" s="53"/>
      <c r="F78" s="53"/>
      <c r="G78" s="83" t="str">
        <f t="shared" si="47"/>
        <v/>
      </c>
      <c r="H78" s="83" t="str">
        <f t="shared" si="47"/>
        <v/>
      </c>
      <c r="I78" s="77" t="str">
        <f t="shared" si="48"/>
        <v/>
      </c>
      <c r="J78" s="78"/>
      <c r="K78" s="86"/>
      <c r="L78" s="56"/>
      <c r="M78" s="80" t="str">
        <f t="shared" si="49"/>
        <v/>
      </c>
      <c r="N78" s="80" t="str">
        <f>IF(AND($F78&lt;&gt;"", $F78&gt;=N$5-4, $F78&lt;=N$5, COUNTIF($M78:M78,"u")=0), "u", "")</f>
        <v/>
      </c>
      <c r="O78" s="80" t="str">
        <f>IF(AND($F78&lt;&gt;"", $F78&gt;=O$5-4, $F78&lt;=O$5, COUNTIF($M78:N78,"u")=0), "u", "")</f>
        <v/>
      </c>
      <c r="P78" s="80" t="str">
        <f>IF(AND($F78&lt;&gt;"", $F78&gt;=P$5-4, $F78&lt;=P$5, COUNTIF($M78:O78,"u")=0), "u", "")</f>
        <v/>
      </c>
      <c r="Q78" s="80" t="str">
        <f>IF(AND($F78&lt;&gt;"", $F78&gt;=Q$5-4, $F78&lt;=Q$5, COUNTIF($M78:P78,"u")=0), "u", "")</f>
        <v/>
      </c>
      <c r="R78" s="80" t="str">
        <f>IF(AND($F78&lt;&gt;"", $F78&gt;=R$5-4, $F78&lt;=R$5, COUNTIF($M78:Q78,"u")=0), "u", "")</f>
        <v/>
      </c>
      <c r="S78" s="80" t="str">
        <f>IF(AND($F78&lt;&gt;"", $F78&gt;=S$5-4, $F78&lt;=S$5, COUNTIF($M78:R78,"u")=0), "u", "")</f>
        <v/>
      </c>
      <c r="T78" s="80" t="str">
        <f>IF(AND($F78&lt;&gt;"", $F78&gt;=T$5-4, $F78&lt;=T$5, COUNTIF($M78:S78,"u")=0), "u", "")</f>
        <v/>
      </c>
      <c r="U78" s="80" t="str">
        <f>IF(AND($F78&lt;&gt;"", $F78&gt;=U$5-4, $F78&lt;=U$5, COUNTIF($M78:T78,"u")=0), "u", "")</f>
        <v/>
      </c>
      <c r="V78" s="80" t="str">
        <f>IF(AND($F78&lt;&gt;"", $F78&gt;=V$5-4, $F78&lt;=V$5, COUNTIF($M78:U78,"u")=0), "u", "")</f>
        <v/>
      </c>
      <c r="W78" s="80" t="str">
        <f>IF(AND($F78&lt;&gt;"", $F78&gt;=W$5-4, $F78&lt;=W$5, COUNTIF($M78:V78,"u")=0), "u", "")</f>
        <v/>
      </c>
      <c r="X78" s="80" t="str">
        <f>IF(AND($F78&lt;&gt;"", $F78&gt;=X$5-4, $F78&lt;=X$5, COUNTIF($M78:W78,"u")=0), "u", "")</f>
        <v/>
      </c>
      <c r="Y78" s="80" t="str">
        <f>IF(AND($F78&lt;&gt;"", $F78&gt;=Y$5-4, $F78&lt;=Y$5, COUNTIF($M78:X78,"u")=0), "u", "")</f>
        <v/>
      </c>
      <c r="Z78" s="80" t="str">
        <f>IF(AND($F78&lt;&gt;"", $F78&gt;=Z$5-4, $F78&lt;=Z$5, COUNTIF($M78:Y78,"u")=0), "u", "")</f>
        <v/>
      </c>
      <c r="AA78" s="80" t="str">
        <f>IF(AND($F78&lt;&gt;"", $F78&gt;=AA$5-4, $F78&lt;=AA$5, COUNTIF($M78:Z78,"u")=0), "u", "")</f>
        <v/>
      </c>
      <c r="AB78" s="80" t="str">
        <f>IF(AND($F78&lt;&gt;"", $F78&gt;=AB$5-4, $F78&lt;=AB$5, COUNTIF($M78:AA78,"u")=0), "u", "")</f>
        <v/>
      </c>
      <c r="AC78" s="80" t="str">
        <f>IF(AND($F78&lt;&gt;"", $F78&gt;=AC$5-4, $F78&lt;=AC$5, COUNTIF($M78:AB78,"u")=0), "u", "")</f>
        <v/>
      </c>
      <c r="AD78" s="80" t="str">
        <f>IF(AND($F78&lt;&gt;"", $F78&gt;=AD$5-4, $F78&lt;=AD$5, COUNTIF($M78:AC78,"u")=0), "u", "")</f>
        <v/>
      </c>
      <c r="AE78" s="80" t="str">
        <f>IF(AND($F78&lt;&gt;"", $F78&gt;=AE$5-4, $F78&lt;=AE$5, COUNTIF($M78:AD78,"u")=0), "u", "")</f>
        <v/>
      </c>
      <c r="AF78" s="80" t="str">
        <f>IF(AND($F78&lt;&gt;"", $F78&gt;=AF$5-4, $F78&lt;=AF$5, COUNTIF($M78:AE78,"u")=0), "u", "")</f>
        <v/>
      </c>
      <c r="AG78" s="80" t="str">
        <f>IF(AND($F78&lt;&gt;"", $F78&gt;=AG$5-4, $F78&lt;=AG$5, COUNTIF($M78:AF78,"u")=0), "u", "")</f>
        <v/>
      </c>
      <c r="AH78" s="80" t="str">
        <f>IF(AND($F78&lt;&gt;"", $F78&gt;=AH$5-4, $F78&lt;=AH$5, COUNTIF($M78:AG78,"u")=0), "u", "")</f>
        <v/>
      </c>
      <c r="AI78" s="80" t="str">
        <f>IF(AND($F78&lt;&gt;"", $F78&gt;=AI$5-4, $F78&lt;=AI$5, COUNTIF($M78:AH78,"u")=0), "u", "")</f>
        <v/>
      </c>
      <c r="AJ78" s="80" t="str">
        <f>IF(AND($F78&lt;&gt;"", $F78&gt;=AJ$5-4, $F78&lt;=AJ$5, COUNTIF($M78:AI78,"u")=0), "u", "")</f>
        <v/>
      </c>
      <c r="AK78" s="80" t="str">
        <f>IF(AND($F78&lt;&gt;"", $F78&gt;=AK$5-4, $F78&lt;=AK$5, COUNTIF($M78:AJ78,"u")=0), "u", "")</f>
        <v/>
      </c>
      <c r="AL78" s="80" t="str">
        <f>IF(AND($F78&lt;&gt;"", $F78&gt;=AL$5-4, $F78&lt;=AL$5, COUNTIF($M78:AK78,"u")=0), "u", "")</f>
        <v/>
      </c>
      <c r="AM78" s="80" t="str">
        <f>IF(AND($F78&lt;&gt;"", $F78&gt;=AM$5-4, $F78&lt;=AM$5, COUNTIF($M78:AL78,"u")=0), "u", "")</f>
        <v/>
      </c>
      <c r="AN78" s="80" t="str">
        <f>IF(AND($F78&lt;&gt;"", $F78&gt;=AN$5-4, $F78&lt;=AN$5, COUNTIF($M78:AM78,"u")=0), "u", "")</f>
        <v/>
      </c>
      <c r="AO78" s="80" t="str">
        <f>IF(AND($F78&lt;&gt;"", $F78&gt;=AO$5-4, $F78&lt;=AO$5, COUNTIF($M78:AN78,"u")=0), "u", "")</f>
        <v/>
      </c>
      <c r="AP78" s="80" t="str">
        <f>IF(AND($F78&lt;&gt;"", $F78&gt;=AP$5-4, $F78&lt;=AP$5, COUNTIF($M78:AO78,"u")=0), "u", "")</f>
        <v/>
      </c>
      <c r="AQ78" s="80" t="str">
        <f>IF(AND($F78&lt;&gt;"", $F78&gt;=AQ$5-4, $F78&lt;=AQ$5, COUNTIF($M78:AP78,"u")=0), "u", "")</f>
        <v/>
      </c>
      <c r="AR78" s="80" t="str">
        <f>IF(AND($F78&lt;&gt;"", $F78&gt;=AR$5-4, $F78&lt;=AR$5, COUNTIF($M78:AQ78,"u")=0), "u", "")</f>
        <v/>
      </c>
      <c r="AS78" s="80" t="str">
        <f>IF(AND($F78&lt;&gt;"", $F78&gt;=AS$5-4, $F78&lt;=AS$5, COUNTIF($M78:AR78,"u")=0), "u", "")</f>
        <v/>
      </c>
      <c r="AT78" s="80" t="str">
        <f>IF(AND($F78&lt;&gt;"", $F78&gt;=AT$5-4, $F78&lt;=AT$5, COUNTIF($M78:AS78,"u")=0), "u", "")</f>
        <v/>
      </c>
      <c r="AU78" s="80" t="str">
        <f>IF(AND($F78&lt;&gt;"", $F78&gt;=AU$5-4, $F78&lt;=AU$5, COUNTIF($M78:AT78,"u")=0), "u", "")</f>
        <v/>
      </c>
      <c r="AV78" s="80" t="str">
        <f>IF(AND($F78&lt;&gt;"", $F78&gt;=AV$5-4, $F78&lt;=AV$5, COUNTIF($M78:AU78,"u")=0), "u", "")</f>
        <v/>
      </c>
      <c r="AW78" s="80" t="str">
        <f>IF(AND($F78&lt;&gt;"", $F78&gt;=AW$5-4, $F78&lt;=AW$5, COUNTIF($M78:AV78,"u")=0), "u", "")</f>
        <v/>
      </c>
      <c r="AX78" s="80" t="str">
        <f>IF(AND($F78&lt;&gt;"", $F78&gt;=AX$5-4, $F78&lt;=AX$5, COUNTIF($M78:AW78,"u")=0), "u", "")</f>
        <v/>
      </c>
      <c r="AY78" s="80" t="str">
        <f>IF(AND($F78&lt;&gt;"", $F78&gt;=AY$5-4, $F78&lt;=AY$5, COUNTIF($M78:AX78,"u")=0), "u", "")</f>
        <v/>
      </c>
      <c r="AZ78" s="80" t="str">
        <f>IF(AND($F78&lt;&gt;"", $F78&gt;=AZ$5-4, $F78&lt;=AZ$5, COUNTIF($M78:AY78,"u")=0), "u", "")</f>
        <v/>
      </c>
      <c r="BA78" s="80" t="str">
        <f>IF(AND($F78&lt;&gt;"", $F78&gt;=BA$5-4, $F78&lt;=BA$5, COUNTIF($M78:AZ78,"u")=0), "u", "")</f>
        <v/>
      </c>
      <c r="BB78" s="80" t="str">
        <f>IF(AND($F78&lt;&gt;"", $F78&gt;=BB$5-4, $F78&lt;=BB$5, COUNTIF($M78:BA78,"u")=0), "u", "")</f>
        <v/>
      </c>
      <c r="BC78" s="80" t="str">
        <f>IF(AND($F78&lt;&gt;"", $F78&gt;=BC$5-4, $F78&lt;=BC$5, COUNTIF($M78:BB78,"u")=0), "u", "")</f>
        <v/>
      </c>
      <c r="BD78" s="80" t="str">
        <f>IF(AND($F78&lt;&gt;"", $F78&gt;=BD$5-4, $F78&lt;=BD$5, COUNTIF($M78:BC78,"u")=0), "u", "")</f>
        <v/>
      </c>
      <c r="BE78" s="80" t="str">
        <f>IF(AND($F78&lt;&gt;"", $F78&gt;=BE$5-4, $F78&lt;=BE$5, COUNTIF($M78:BD78,"u")=0), "u", "")</f>
        <v/>
      </c>
      <c r="BF78" s="80" t="str">
        <f>IF(AND($F78&lt;&gt;"", $F78&gt;=BF$5-4, $F78&lt;=BF$5, COUNTIF($M78:BE78,"u")=0), "u", "")</f>
        <v/>
      </c>
      <c r="BG78" s="80" t="str">
        <f>IF(AND($F78&lt;&gt;"", $F78&gt;=BG$5-4, $F78&lt;=BG$5, COUNTIF($M78:BF78,"u")=0), "u", "")</f>
        <v/>
      </c>
      <c r="BH78" s="80" t="str">
        <f>IF(AND($F78&lt;&gt;"", $F78&gt;=BH$5-4, $F78&lt;=BH$5, COUNTIF($M78:BG78,"u")=0), "u", "")</f>
        <v/>
      </c>
      <c r="BI78" s="80" t="str">
        <f>IF(AND($F78&lt;&gt;"", $F78&gt;=BI$5-4, $F78&lt;=BI$5, COUNTIF($M78:BH78,"u")=0), "u", "")</f>
        <v/>
      </c>
      <c r="BJ78" s="80" t="str">
        <f>IF(AND($F78&lt;&gt;"", $F78&gt;=BJ$5-4, $F78&lt;=BJ$5, COUNTIF($M78:BI78,"u")=0), "u", "")</f>
        <v/>
      </c>
      <c r="BK78" s="80" t="str">
        <f>IF(AND($F78&lt;&gt;"", $F78&gt;=BK$5-4, $F78&lt;=BK$5, COUNTIF($M78:BJ78,"u")=0), "u", "")</f>
        <v/>
      </c>
      <c r="BL78" s="80" t="str">
        <f>IF(AND($F78&lt;&gt;"", $F78&gt;=BL$5-4, $F78&lt;=BL$5, COUNTIF($M78:BK78,"u")=0), "u", "")</f>
        <v/>
      </c>
      <c r="BM78" s="80" t="str">
        <f>IF(AND($F78&lt;&gt;"", $F78&gt;=BM$5-4, $F78&lt;=BM$5, COUNTIF($M78:BL78,"u")=0), "u", "")</f>
        <v/>
      </c>
      <c r="BN78" s="80" t="str">
        <f>IF(AND($F78&lt;&gt;"", $F78&gt;=BN$5-4, $F78&lt;=BN$5, COUNTIF($M78:BM78,"u")=0), "u", "")</f>
        <v/>
      </c>
      <c r="BO78" s="80" t="str">
        <f>IF(AND($F78&lt;&gt;"", $F78&gt;=BO$5-4, $F78&lt;=BO$5, COUNTIF($M78:BN78,"u")=0), "u", "")</f>
        <v/>
      </c>
      <c r="BP78" s="80" t="str">
        <f>IF(AND($F78&lt;&gt;"", $F78&gt;=BP$5-4, $F78&lt;=BP$5, COUNTIF($M78:BO78,"u")=0), "u", "")</f>
        <v/>
      </c>
      <c r="BQ78" s="80" t="str">
        <f>IF(AND($F78&lt;&gt;"", $F78&gt;=BQ$5-4, $F78&lt;=BQ$5, COUNTIF($M78:BP78,"u")=0), "u", "")</f>
        <v/>
      </c>
      <c r="BR78" s="80" t="str">
        <f>IF(AND($F78&lt;&gt;"", $F78&gt;=BR$5-4, $F78&lt;=BR$5, COUNTIF($M78:BQ78,"u")=0), "u", "")</f>
        <v/>
      </c>
      <c r="BS78" s="80" t="str">
        <f>IF(AND($F78&lt;&gt;"", $F78&gt;=BS$5-4, $F78&lt;=BS$5, COUNTIF($M78:BR78,"u")=0), "u", "")</f>
        <v/>
      </c>
      <c r="BT78" s="80" t="str">
        <f>IF(AND($F78&lt;&gt;"", $F78&gt;=BT$5-4, $F78&lt;=BT$5, COUNTIF($M78:BS78,"u")=0), "u", "")</f>
        <v/>
      </c>
      <c r="BU78" s="80" t="str">
        <f>IF(AND($F78&lt;&gt;"", $F78&gt;=BU$5-4, $F78&lt;=BU$5, COUNTIF($M78:BT78,"u")=0), "u", "")</f>
        <v/>
      </c>
      <c r="BV78" s="80" t="str">
        <f>IF(AND($F78&lt;&gt;"", $F78&gt;=BV$5-4, $F78&lt;=BV$5, COUNTIF($M78:BU78,"u")=0), "u", "")</f>
        <v/>
      </c>
      <c r="BW78" s="80" t="str">
        <f>IF(AND($F78&lt;&gt;"", $F78&gt;=BW$5-4, $F78&lt;=BW$5, COUNTIF($M78:BV78,"u")=0), "u", "")</f>
        <v/>
      </c>
      <c r="BX78" s="80" t="str">
        <f>IF(AND($F78&lt;&gt;"", $F78&gt;=BX$5-4, $F78&lt;=BX$5, COUNTIF($M78:BW78,"u")=0), "u", "")</f>
        <v/>
      </c>
      <c r="BY78" s="80" t="str">
        <f>IF(AND($F78&lt;&gt;"", $F78&gt;=BY$5-4, $F78&lt;=BY$5, COUNTIF($M78:BX78,"u")=0), "u", "")</f>
        <v/>
      </c>
      <c r="BZ78" s="80" t="str">
        <f>IF(AND($F78&lt;&gt;"", $F78&gt;=BZ$5-4, $F78&lt;=BZ$5, COUNTIF($M78:BY78,"u")=0), "u", "")</f>
        <v/>
      </c>
      <c r="CA78" s="80" t="str">
        <f>IF(AND($F78&lt;&gt;"", $F78&gt;=CA$5-4, $F78&lt;=CA$5, COUNTIF($M78:BZ78,"u")=0), "u", "")</f>
        <v/>
      </c>
      <c r="CB78" s="80" t="str">
        <f>IF(AND($F78&lt;&gt;"", $F78&gt;=CB$5-4, $F78&lt;=CB$5, COUNTIF($M78:CA78,"u")=0), "u", "")</f>
        <v/>
      </c>
      <c r="CC78" s="80" t="str">
        <f>IF(AND($F78&lt;&gt;"", $F78&gt;=CC$5-4, $F78&lt;=CC$5, COUNTIF($M78:CB78,"u")=0), "u", "")</f>
        <v/>
      </c>
      <c r="CD78" s="80" t="str">
        <f>IF(AND($F78&lt;&gt;"", $F78&gt;=CD$5-4, $F78&lt;=CD$5, COUNTIF($M78:CC78,"u")=0), "u", "")</f>
        <v/>
      </c>
      <c r="CE78" s="80" t="str">
        <f>IF(AND($F78&lt;&gt;"", $F78&gt;=CE$5-4, $F78&lt;=CE$5, COUNTIF($M78:CD78,"u")=0), "u", "")</f>
        <v/>
      </c>
      <c r="CF78" s="80" t="str">
        <f>IF(AND($F78&lt;&gt;"", $F78&gt;=CF$5-4, $F78&lt;=CF$5, COUNTIF($M78:CE78,"u")=0), "u", "")</f>
        <v/>
      </c>
      <c r="CG78" s="80" t="str">
        <f>IF(AND($F78&lt;&gt;"", $F78&gt;=CG$5-4, $F78&lt;=CG$5, COUNTIF($M78:CF78,"u")=0), "u", "")</f>
        <v/>
      </c>
      <c r="CH78" s="80" t="str">
        <f>IF(AND($F78&lt;&gt;"", $F78&gt;=CH$5-4, $F78&lt;=CH$5, COUNTIF($M78:CG78,"u")=0), "u", "")</f>
        <v/>
      </c>
      <c r="CI78" s="80" t="str">
        <f>IF(AND($F78&lt;&gt;"", $F78&gt;=CI$5-4, $F78&lt;=CI$5, COUNTIF($M78:CH78,"u")=0), "u", "")</f>
        <v/>
      </c>
      <c r="CJ78" s="80" t="str">
        <f>IF(AND($F78&lt;&gt;"", $F78&gt;=CJ$5-4, $F78&lt;=CJ$5, COUNTIF($M78:CI78,"u")=0), "u", "")</f>
        <v/>
      </c>
      <c r="CK78" s="80" t="str">
        <f>IF(AND($F78&lt;&gt;"", $F78&gt;=CK$5-4, $F78&lt;=CK$5, COUNTIF($M78:CJ78,"u")=0), "u", "")</f>
        <v/>
      </c>
      <c r="CL78" s="80" t="str">
        <f>IF(AND($F78&lt;&gt;"", $F78&gt;=CL$5-4, $F78&lt;=CL$5, COUNTIF($M78:CK78,"u")=0), "u", "")</f>
        <v/>
      </c>
      <c r="CM78" s="80" t="str">
        <f>IF(AND($F78&lt;&gt;"", $F78&gt;=CM$5-4, $F78&lt;=CM$5, COUNTIF($M78:CL78,"u")=0), "u", "")</f>
        <v/>
      </c>
      <c r="CN78" s="80" t="str">
        <f>IF(AND($F78&lt;&gt;"", $F78&gt;=CN$5-4, $F78&lt;=CN$5, COUNTIF($M78:CM78,"u")=0), "u", "")</f>
        <v/>
      </c>
      <c r="CO78" s="80" t="str">
        <f>IF(AND($F78&lt;&gt;"", $F78&gt;=CO$5-4, $F78&lt;=CO$5, COUNTIF($M78:CN78,"u")=0), "u", "")</f>
        <v/>
      </c>
      <c r="CP78" s="80" t="str">
        <f>IF(AND($F78&lt;&gt;"", $F78&gt;=CP$5-4, $F78&lt;=CP$5, COUNTIF($M78:CO78,"u")=0), "u", "")</f>
        <v/>
      </c>
      <c r="CQ78" s="80" t="str">
        <f>IF(AND($F78&lt;&gt;"", $F78&gt;=CQ$5-4, $F78&lt;=CQ$5, COUNTIF($M78:CP78,"u")=0), "u", "")</f>
        <v/>
      </c>
      <c r="CR78" s="80" t="str">
        <f>IF(AND($F78&lt;&gt;"", $F78&gt;=CR$5-4, $F78&lt;=CR$5, COUNTIF($M78:CQ78,"u")=0), "u", "")</f>
        <v/>
      </c>
      <c r="CS78" s="80" t="str">
        <f>IF(AND($F78&lt;&gt;"", $F78&gt;=CS$5-4, $F78&lt;=CS$5, COUNTIF($M78:CR78,"u")=0), "u", "")</f>
        <v/>
      </c>
      <c r="CT78" s="80" t="str">
        <f>IF(AND($F78&lt;&gt;"", $F78&gt;=CT$5-4, $F78&lt;=CT$5, COUNTIF($M78:CS78,"u")=0), "u", "")</f>
        <v/>
      </c>
      <c r="CU78" s="80" t="str">
        <f>IF(AND($F78&lt;&gt;"", $F78&gt;=CU$5-4, $F78&lt;=CU$5, COUNTIF($M78:CT78,"u")=0), "u", "")</f>
        <v/>
      </c>
      <c r="CV78" s="80" t="str">
        <f>IF(AND($F78&lt;&gt;"", $F78&gt;=CV$5-4, $F78&lt;=CV$5, COUNTIF($M78:CU78,"u")=0), "u", "")</f>
        <v/>
      </c>
      <c r="CW78" s="80" t="str">
        <f>IF(AND($F78&lt;&gt;"", $F78&gt;=CW$5-4, $F78&lt;=CW$5, COUNTIF($M78:CV78,"u")=0), "u", "")</f>
        <v/>
      </c>
      <c r="CX78" s="80" t="str">
        <f>IF(AND($F78&lt;&gt;"", $F78&gt;=CX$5-4, $F78&lt;=CX$5, COUNTIF($M78:CW78,"u")=0), "u", "")</f>
        <v/>
      </c>
      <c r="CY78" s="80" t="str">
        <f>IF(AND($F78&lt;&gt;"", $F78&gt;=CY$5-4, $F78&lt;=CY$5, COUNTIF($M78:CX78,"u")=0), "u", "")</f>
        <v/>
      </c>
      <c r="CZ78" s="80" t="str">
        <f>IF(AND($F78&lt;&gt;"", $F78&gt;=CZ$5-4, $F78&lt;=CZ$5, COUNTIF($M78:CY78,"u")=0), "u", "")</f>
        <v/>
      </c>
      <c r="DA78" s="80" t="str">
        <f>IF(AND($F78&lt;&gt;"", $F78&gt;=DA$5-4, $F78&lt;=DA$5, COUNTIF($M78:CZ78,"u")=0), "u", "")</f>
        <v/>
      </c>
      <c r="DB78" s="80" t="str">
        <f>IF(AND($F78&lt;&gt;"", $F78&gt;=DB$5-4, $F78&lt;=DB$5, COUNTIF($M78:DA78,"u")=0), "u", "")</f>
        <v/>
      </c>
      <c r="DC78" s="80" t="str">
        <f>IF(AND($F78&lt;&gt;"", $F78&gt;=DC$5-4, $F78&lt;=DC$5, COUNTIF($M78:DB78,"u")=0), "u", "")</f>
        <v/>
      </c>
      <c r="DD78" s="80" t="str">
        <f>IF(AND($F78&lt;&gt;"", $F78&gt;=DD$5-4, $F78&lt;=DD$5, COUNTIF($M78:DC78,"u")=0), "u", "")</f>
        <v/>
      </c>
      <c r="DE78" s="80" t="str">
        <f>IF(AND($F78&lt;&gt;"", $F78&gt;=DE$5-4, $F78&lt;=DE$5, COUNTIF($M78:DD78,"u")=0), "u", "")</f>
        <v/>
      </c>
      <c r="DF78" s="80" t="str">
        <f>IF(AND($F78&lt;&gt;"", $F78&gt;=DF$5-4, $F78&lt;=DF$5, COUNTIF($M78:DE78,"u")=0), "u", "")</f>
        <v/>
      </c>
      <c r="DG78" s="80" t="str">
        <f>IF(AND($F78&lt;&gt;"", $F78&gt;=DG$5-4, $F78&lt;=DG$5, COUNTIF($M78:DF78,"u")=0), "u", "")</f>
        <v/>
      </c>
      <c r="DH78" s="80" t="str">
        <f>IF(AND($F78&lt;&gt;"", $F78&gt;=DH$5-4, $F78&lt;=DH$5, COUNTIF($M78:DG78,"u")=0), "u", "")</f>
        <v/>
      </c>
      <c r="DI78" s="80" t="str">
        <f>IF(AND($F78&lt;&gt;"", $F78&gt;=DI$5-4, $F78&lt;=DI$5, COUNTIF($M78:DH78,"u")=0), "u", "")</f>
        <v/>
      </c>
      <c r="DJ78" s="80" t="str">
        <f>IF(AND($F78&lt;&gt;"", $F78&gt;=DJ$5-4, $F78&lt;=DJ$5, COUNTIF($M78:DI78,"u")=0), "u", "")</f>
        <v/>
      </c>
      <c r="DK78" s="80" t="str">
        <f>IF(AND($F78&lt;&gt;"", $F78&gt;=DK$5-4, $F78&lt;=DK$5, COUNTIF($M78:DJ78,"u")=0), "u", "")</f>
        <v/>
      </c>
      <c r="DL78" s="80" t="str">
        <f>IF(AND($F78&lt;&gt;"", $F78&gt;=DL$5-4, $F78&lt;=DL$5, COUNTIF($M78:DK78,"u")=0), "u", "")</f>
        <v/>
      </c>
    </row>
    <row r="79" spans="1:116" ht="25.05" customHeight="1" x14ac:dyDescent="0.3">
      <c r="A79" s="39"/>
      <c r="B79" s="75">
        <v>74</v>
      </c>
      <c r="C79" s="97"/>
      <c r="D79" s="92"/>
      <c r="E79" s="53"/>
      <c r="F79" s="53"/>
      <c r="G79" s="83" t="str">
        <f t="shared" si="47"/>
        <v/>
      </c>
      <c r="H79" s="83" t="str">
        <f t="shared" si="47"/>
        <v/>
      </c>
      <c r="I79" s="77" t="str">
        <f t="shared" si="48"/>
        <v/>
      </c>
      <c r="J79" s="78"/>
      <c r="K79" s="86"/>
      <c r="L79" s="56"/>
      <c r="M79" s="80" t="str">
        <f t="shared" si="49"/>
        <v/>
      </c>
      <c r="N79" s="80" t="str">
        <f>IF(AND($F79&lt;&gt;"", $F79&gt;=N$5-4, $F79&lt;=N$5, COUNTIF($M79:M79,"u")=0), "u", "")</f>
        <v/>
      </c>
      <c r="O79" s="80" t="str">
        <f>IF(AND($F79&lt;&gt;"", $F79&gt;=O$5-4, $F79&lt;=O$5, COUNTIF($M79:N79,"u")=0), "u", "")</f>
        <v/>
      </c>
      <c r="P79" s="80" t="str">
        <f>IF(AND($F79&lt;&gt;"", $F79&gt;=P$5-4, $F79&lt;=P$5, COUNTIF($M79:O79,"u")=0), "u", "")</f>
        <v/>
      </c>
      <c r="Q79" s="80" t="str">
        <f>IF(AND($F79&lt;&gt;"", $F79&gt;=Q$5-4, $F79&lt;=Q$5, COUNTIF($M79:P79,"u")=0), "u", "")</f>
        <v/>
      </c>
      <c r="R79" s="80" t="str">
        <f>IF(AND($F79&lt;&gt;"", $F79&gt;=R$5-4, $F79&lt;=R$5, COUNTIF($M79:Q79,"u")=0), "u", "")</f>
        <v/>
      </c>
      <c r="S79" s="80" t="str">
        <f>IF(AND($F79&lt;&gt;"", $F79&gt;=S$5-4, $F79&lt;=S$5, COUNTIF($M79:R79,"u")=0), "u", "")</f>
        <v/>
      </c>
      <c r="T79" s="80" t="str">
        <f>IF(AND($F79&lt;&gt;"", $F79&gt;=T$5-4, $F79&lt;=T$5, COUNTIF($M79:S79,"u")=0), "u", "")</f>
        <v/>
      </c>
      <c r="U79" s="80" t="str">
        <f>IF(AND($F79&lt;&gt;"", $F79&gt;=U$5-4, $F79&lt;=U$5, COUNTIF($M79:T79,"u")=0), "u", "")</f>
        <v/>
      </c>
      <c r="V79" s="80" t="str">
        <f>IF(AND($F79&lt;&gt;"", $F79&gt;=V$5-4, $F79&lt;=V$5, COUNTIF($M79:U79,"u")=0), "u", "")</f>
        <v/>
      </c>
      <c r="W79" s="80" t="str">
        <f>IF(AND($F79&lt;&gt;"", $F79&gt;=W$5-4, $F79&lt;=W$5, COUNTIF($M79:V79,"u")=0), "u", "")</f>
        <v/>
      </c>
      <c r="X79" s="80" t="str">
        <f>IF(AND($F79&lt;&gt;"", $F79&gt;=X$5-4, $F79&lt;=X$5, COUNTIF($M79:W79,"u")=0), "u", "")</f>
        <v/>
      </c>
      <c r="Y79" s="80" t="str">
        <f>IF(AND($F79&lt;&gt;"", $F79&gt;=Y$5-4, $F79&lt;=Y$5, COUNTIF($M79:X79,"u")=0), "u", "")</f>
        <v/>
      </c>
      <c r="Z79" s="80" t="str">
        <f>IF(AND($F79&lt;&gt;"", $F79&gt;=Z$5-4, $F79&lt;=Z$5, COUNTIF($M79:Y79,"u")=0), "u", "")</f>
        <v/>
      </c>
      <c r="AA79" s="80" t="str">
        <f>IF(AND($F79&lt;&gt;"", $F79&gt;=AA$5-4, $F79&lt;=AA$5, COUNTIF($M79:Z79,"u")=0), "u", "")</f>
        <v/>
      </c>
      <c r="AB79" s="80" t="str">
        <f>IF(AND($F79&lt;&gt;"", $F79&gt;=AB$5-4, $F79&lt;=AB$5, COUNTIF($M79:AA79,"u")=0), "u", "")</f>
        <v/>
      </c>
      <c r="AC79" s="80" t="str">
        <f>IF(AND($F79&lt;&gt;"", $F79&gt;=AC$5-4, $F79&lt;=AC$5, COUNTIF($M79:AB79,"u")=0), "u", "")</f>
        <v/>
      </c>
      <c r="AD79" s="80" t="str">
        <f>IF(AND($F79&lt;&gt;"", $F79&gt;=AD$5-4, $F79&lt;=AD$5, COUNTIF($M79:AC79,"u")=0), "u", "")</f>
        <v/>
      </c>
      <c r="AE79" s="80" t="str">
        <f>IF(AND($F79&lt;&gt;"", $F79&gt;=AE$5-4, $F79&lt;=AE$5, COUNTIF($M79:AD79,"u")=0), "u", "")</f>
        <v/>
      </c>
      <c r="AF79" s="80" t="str">
        <f>IF(AND($F79&lt;&gt;"", $F79&gt;=AF$5-4, $F79&lt;=AF$5, COUNTIF($M79:AE79,"u")=0), "u", "")</f>
        <v/>
      </c>
      <c r="AG79" s="80" t="str">
        <f>IF(AND($F79&lt;&gt;"", $F79&gt;=AG$5-4, $F79&lt;=AG$5, COUNTIF($M79:AF79,"u")=0), "u", "")</f>
        <v/>
      </c>
      <c r="AH79" s="80" t="str">
        <f>IF(AND($F79&lt;&gt;"", $F79&gt;=AH$5-4, $F79&lt;=AH$5, COUNTIF($M79:AG79,"u")=0), "u", "")</f>
        <v/>
      </c>
      <c r="AI79" s="80" t="str">
        <f>IF(AND($F79&lt;&gt;"", $F79&gt;=AI$5-4, $F79&lt;=AI$5, COUNTIF($M79:AH79,"u")=0), "u", "")</f>
        <v/>
      </c>
      <c r="AJ79" s="80" t="str">
        <f>IF(AND($F79&lt;&gt;"", $F79&gt;=AJ$5-4, $F79&lt;=AJ$5, COUNTIF($M79:AI79,"u")=0), "u", "")</f>
        <v/>
      </c>
      <c r="AK79" s="80" t="str">
        <f>IF(AND($F79&lt;&gt;"", $F79&gt;=AK$5-4, $F79&lt;=AK$5, COUNTIF($M79:AJ79,"u")=0), "u", "")</f>
        <v/>
      </c>
      <c r="AL79" s="80" t="str">
        <f>IF(AND($F79&lt;&gt;"", $F79&gt;=AL$5-4, $F79&lt;=AL$5, COUNTIF($M79:AK79,"u")=0), "u", "")</f>
        <v/>
      </c>
      <c r="AM79" s="80" t="str">
        <f>IF(AND($F79&lt;&gt;"", $F79&gt;=AM$5-4, $F79&lt;=AM$5, COUNTIF($M79:AL79,"u")=0), "u", "")</f>
        <v/>
      </c>
      <c r="AN79" s="80" t="str">
        <f>IF(AND($F79&lt;&gt;"", $F79&gt;=AN$5-4, $F79&lt;=AN$5, COUNTIF($M79:AM79,"u")=0), "u", "")</f>
        <v/>
      </c>
      <c r="AO79" s="80" t="str">
        <f>IF(AND($F79&lt;&gt;"", $F79&gt;=AO$5-4, $F79&lt;=AO$5, COUNTIF($M79:AN79,"u")=0), "u", "")</f>
        <v/>
      </c>
      <c r="AP79" s="80" t="str">
        <f>IF(AND($F79&lt;&gt;"", $F79&gt;=AP$5-4, $F79&lt;=AP$5, COUNTIF($M79:AO79,"u")=0), "u", "")</f>
        <v/>
      </c>
      <c r="AQ79" s="80" t="str">
        <f>IF(AND($F79&lt;&gt;"", $F79&gt;=AQ$5-4, $F79&lt;=AQ$5, COUNTIF($M79:AP79,"u")=0), "u", "")</f>
        <v/>
      </c>
      <c r="AR79" s="80" t="str">
        <f>IF(AND($F79&lt;&gt;"", $F79&gt;=AR$5-4, $F79&lt;=AR$5, COUNTIF($M79:AQ79,"u")=0), "u", "")</f>
        <v/>
      </c>
      <c r="AS79" s="80" t="str">
        <f>IF(AND($F79&lt;&gt;"", $F79&gt;=AS$5-4, $F79&lt;=AS$5, COUNTIF($M79:AR79,"u")=0), "u", "")</f>
        <v/>
      </c>
      <c r="AT79" s="80" t="str">
        <f>IF(AND($F79&lt;&gt;"", $F79&gt;=AT$5-4, $F79&lt;=AT$5, COUNTIF($M79:AS79,"u")=0), "u", "")</f>
        <v/>
      </c>
      <c r="AU79" s="80" t="str">
        <f>IF(AND($F79&lt;&gt;"", $F79&gt;=AU$5-4, $F79&lt;=AU$5, COUNTIF($M79:AT79,"u")=0), "u", "")</f>
        <v/>
      </c>
      <c r="AV79" s="80" t="str">
        <f>IF(AND($F79&lt;&gt;"", $F79&gt;=AV$5-4, $F79&lt;=AV$5, COUNTIF($M79:AU79,"u")=0), "u", "")</f>
        <v/>
      </c>
      <c r="AW79" s="80" t="str">
        <f>IF(AND($F79&lt;&gt;"", $F79&gt;=AW$5-4, $F79&lt;=AW$5, COUNTIF($M79:AV79,"u")=0), "u", "")</f>
        <v/>
      </c>
      <c r="AX79" s="80" t="str">
        <f>IF(AND($F79&lt;&gt;"", $F79&gt;=AX$5-4, $F79&lt;=AX$5, COUNTIF($M79:AW79,"u")=0), "u", "")</f>
        <v/>
      </c>
      <c r="AY79" s="80" t="str">
        <f>IF(AND($F79&lt;&gt;"", $F79&gt;=AY$5-4, $F79&lt;=AY$5, COUNTIF($M79:AX79,"u")=0), "u", "")</f>
        <v/>
      </c>
      <c r="AZ79" s="80" t="str">
        <f>IF(AND($F79&lt;&gt;"", $F79&gt;=AZ$5-4, $F79&lt;=AZ$5, COUNTIF($M79:AY79,"u")=0), "u", "")</f>
        <v/>
      </c>
      <c r="BA79" s="80" t="str">
        <f>IF(AND($F79&lt;&gt;"", $F79&gt;=BA$5-4, $F79&lt;=BA$5, COUNTIF($M79:AZ79,"u")=0), "u", "")</f>
        <v/>
      </c>
      <c r="BB79" s="80" t="str">
        <f>IF(AND($F79&lt;&gt;"", $F79&gt;=BB$5-4, $F79&lt;=BB$5, COUNTIF($M79:BA79,"u")=0), "u", "")</f>
        <v/>
      </c>
      <c r="BC79" s="80" t="str">
        <f>IF(AND($F79&lt;&gt;"", $F79&gt;=BC$5-4, $F79&lt;=BC$5, COUNTIF($M79:BB79,"u")=0), "u", "")</f>
        <v/>
      </c>
      <c r="BD79" s="80" t="str">
        <f>IF(AND($F79&lt;&gt;"", $F79&gt;=BD$5-4, $F79&lt;=BD$5, COUNTIF($M79:BC79,"u")=0), "u", "")</f>
        <v/>
      </c>
      <c r="BE79" s="80" t="str">
        <f>IF(AND($F79&lt;&gt;"", $F79&gt;=BE$5-4, $F79&lt;=BE$5, COUNTIF($M79:BD79,"u")=0), "u", "")</f>
        <v/>
      </c>
      <c r="BF79" s="80" t="str">
        <f>IF(AND($F79&lt;&gt;"", $F79&gt;=BF$5-4, $F79&lt;=BF$5, COUNTIF($M79:BE79,"u")=0), "u", "")</f>
        <v/>
      </c>
      <c r="BG79" s="80" t="str">
        <f>IF(AND($F79&lt;&gt;"", $F79&gt;=BG$5-4, $F79&lt;=BG$5, COUNTIF($M79:BF79,"u")=0), "u", "")</f>
        <v/>
      </c>
      <c r="BH79" s="80" t="str">
        <f>IF(AND($F79&lt;&gt;"", $F79&gt;=BH$5-4, $F79&lt;=BH$5, COUNTIF($M79:BG79,"u")=0), "u", "")</f>
        <v/>
      </c>
      <c r="BI79" s="80" t="str">
        <f>IF(AND($F79&lt;&gt;"", $F79&gt;=BI$5-4, $F79&lt;=BI$5, COUNTIF($M79:BH79,"u")=0), "u", "")</f>
        <v/>
      </c>
      <c r="BJ79" s="80" t="str">
        <f>IF(AND($F79&lt;&gt;"", $F79&gt;=BJ$5-4, $F79&lt;=BJ$5, COUNTIF($M79:BI79,"u")=0), "u", "")</f>
        <v/>
      </c>
      <c r="BK79" s="80" t="str">
        <f>IF(AND($F79&lt;&gt;"", $F79&gt;=BK$5-4, $F79&lt;=BK$5, COUNTIF($M79:BJ79,"u")=0), "u", "")</f>
        <v/>
      </c>
      <c r="BL79" s="80" t="str">
        <f>IF(AND($F79&lt;&gt;"", $F79&gt;=BL$5-4, $F79&lt;=BL$5, COUNTIF($M79:BK79,"u")=0), "u", "")</f>
        <v/>
      </c>
      <c r="BM79" s="80" t="str">
        <f>IF(AND($F79&lt;&gt;"", $F79&gt;=BM$5-4, $F79&lt;=BM$5, COUNTIF($M79:BL79,"u")=0), "u", "")</f>
        <v/>
      </c>
      <c r="BN79" s="80" t="str">
        <f>IF(AND($F79&lt;&gt;"", $F79&gt;=BN$5-4, $F79&lt;=BN$5, COUNTIF($M79:BM79,"u")=0), "u", "")</f>
        <v/>
      </c>
      <c r="BO79" s="80" t="str">
        <f>IF(AND($F79&lt;&gt;"", $F79&gt;=BO$5-4, $F79&lt;=BO$5, COUNTIF($M79:BN79,"u")=0), "u", "")</f>
        <v/>
      </c>
      <c r="BP79" s="80" t="str">
        <f>IF(AND($F79&lt;&gt;"", $F79&gt;=BP$5-4, $F79&lt;=BP$5, COUNTIF($M79:BO79,"u")=0), "u", "")</f>
        <v/>
      </c>
      <c r="BQ79" s="80" t="str">
        <f>IF(AND($F79&lt;&gt;"", $F79&gt;=BQ$5-4, $F79&lt;=BQ$5, COUNTIF($M79:BP79,"u")=0), "u", "")</f>
        <v/>
      </c>
      <c r="BR79" s="80" t="str">
        <f>IF(AND($F79&lt;&gt;"", $F79&gt;=BR$5-4, $F79&lt;=BR$5, COUNTIF($M79:BQ79,"u")=0), "u", "")</f>
        <v/>
      </c>
      <c r="BS79" s="80" t="str">
        <f>IF(AND($F79&lt;&gt;"", $F79&gt;=BS$5-4, $F79&lt;=BS$5, COUNTIF($M79:BR79,"u")=0), "u", "")</f>
        <v/>
      </c>
      <c r="BT79" s="80" t="str">
        <f>IF(AND($F79&lt;&gt;"", $F79&gt;=BT$5-4, $F79&lt;=BT$5, COUNTIF($M79:BS79,"u")=0), "u", "")</f>
        <v/>
      </c>
      <c r="BU79" s="80" t="str">
        <f>IF(AND($F79&lt;&gt;"", $F79&gt;=BU$5-4, $F79&lt;=BU$5, COUNTIF($M79:BT79,"u")=0), "u", "")</f>
        <v/>
      </c>
      <c r="BV79" s="80" t="str">
        <f>IF(AND($F79&lt;&gt;"", $F79&gt;=BV$5-4, $F79&lt;=BV$5, COUNTIF($M79:BU79,"u")=0), "u", "")</f>
        <v/>
      </c>
      <c r="BW79" s="80" t="str">
        <f>IF(AND($F79&lt;&gt;"", $F79&gt;=BW$5-4, $F79&lt;=BW$5, COUNTIF($M79:BV79,"u")=0), "u", "")</f>
        <v/>
      </c>
      <c r="BX79" s="80" t="str">
        <f>IF(AND($F79&lt;&gt;"", $F79&gt;=BX$5-4, $F79&lt;=BX$5, COUNTIF($M79:BW79,"u")=0), "u", "")</f>
        <v/>
      </c>
      <c r="BY79" s="80" t="str">
        <f>IF(AND($F79&lt;&gt;"", $F79&gt;=BY$5-4, $F79&lt;=BY$5, COUNTIF($M79:BX79,"u")=0), "u", "")</f>
        <v/>
      </c>
      <c r="BZ79" s="80" t="str">
        <f>IF(AND($F79&lt;&gt;"", $F79&gt;=BZ$5-4, $F79&lt;=BZ$5, COUNTIF($M79:BY79,"u")=0), "u", "")</f>
        <v/>
      </c>
      <c r="CA79" s="80" t="str">
        <f>IF(AND($F79&lt;&gt;"", $F79&gt;=CA$5-4, $F79&lt;=CA$5, COUNTIF($M79:BZ79,"u")=0), "u", "")</f>
        <v/>
      </c>
      <c r="CB79" s="80" t="str">
        <f>IF(AND($F79&lt;&gt;"", $F79&gt;=CB$5-4, $F79&lt;=CB$5, COUNTIF($M79:CA79,"u")=0), "u", "")</f>
        <v/>
      </c>
      <c r="CC79" s="80" t="str">
        <f>IF(AND($F79&lt;&gt;"", $F79&gt;=CC$5-4, $F79&lt;=CC$5, COUNTIF($M79:CB79,"u")=0), "u", "")</f>
        <v/>
      </c>
      <c r="CD79" s="80" t="str">
        <f>IF(AND($F79&lt;&gt;"", $F79&gt;=CD$5-4, $F79&lt;=CD$5, COUNTIF($M79:CC79,"u")=0), "u", "")</f>
        <v/>
      </c>
      <c r="CE79" s="80" t="str">
        <f>IF(AND($F79&lt;&gt;"", $F79&gt;=CE$5-4, $F79&lt;=CE$5, COUNTIF($M79:CD79,"u")=0), "u", "")</f>
        <v/>
      </c>
      <c r="CF79" s="80" t="str">
        <f>IF(AND($F79&lt;&gt;"", $F79&gt;=CF$5-4, $F79&lt;=CF$5, COUNTIF($M79:CE79,"u")=0), "u", "")</f>
        <v/>
      </c>
      <c r="CG79" s="80" t="str">
        <f>IF(AND($F79&lt;&gt;"", $F79&gt;=CG$5-4, $F79&lt;=CG$5, COUNTIF($M79:CF79,"u")=0), "u", "")</f>
        <v/>
      </c>
      <c r="CH79" s="80" t="str">
        <f>IF(AND($F79&lt;&gt;"", $F79&gt;=CH$5-4, $F79&lt;=CH$5, COUNTIF($M79:CG79,"u")=0), "u", "")</f>
        <v/>
      </c>
      <c r="CI79" s="80" t="str">
        <f>IF(AND($F79&lt;&gt;"", $F79&gt;=CI$5-4, $F79&lt;=CI$5, COUNTIF($M79:CH79,"u")=0), "u", "")</f>
        <v/>
      </c>
      <c r="CJ79" s="80" t="str">
        <f>IF(AND($F79&lt;&gt;"", $F79&gt;=CJ$5-4, $F79&lt;=CJ$5, COUNTIF($M79:CI79,"u")=0), "u", "")</f>
        <v/>
      </c>
      <c r="CK79" s="80" t="str">
        <f>IF(AND($F79&lt;&gt;"", $F79&gt;=CK$5-4, $F79&lt;=CK$5, COUNTIF($M79:CJ79,"u")=0), "u", "")</f>
        <v/>
      </c>
      <c r="CL79" s="80" t="str">
        <f>IF(AND($F79&lt;&gt;"", $F79&gt;=CL$5-4, $F79&lt;=CL$5, COUNTIF($M79:CK79,"u")=0), "u", "")</f>
        <v/>
      </c>
      <c r="CM79" s="80" t="str">
        <f>IF(AND($F79&lt;&gt;"", $F79&gt;=CM$5-4, $F79&lt;=CM$5, COUNTIF($M79:CL79,"u")=0), "u", "")</f>
        <v/>
      </c>
      <c r="CN79" s="80" t="str">
        <f>IF(AND($F79&lt;&gt;"", $F79&gt;=CN$5-4, $F79&lt;=CN$5, COUNTIF($M79:CM79,"u")=0), "u", "")</f>
        <v/>
      </c>
      <c r="CO79" s="80" t="str">
        <f>IF(AND($F79&lt;&gt;"", $F79&gt;=CO$5-4, $F79&lt;=CO$5, COUNTIF($M79:CN79,"u")=0), "u", "")</f>
        <v/>
      </c>
      <c r="CP79" s="80" t="str">
        <f>IF(AND($F79&lt;&gt;"", $F79&gt;=CP$5-4, $F79&lt;=CP$5, COUNTIF($M79:CO79,"u")=0), "u", "")</f>
        <v/>
      </c>
      <c r="CQ79" s="80" t="str">
        <f>IF(AND($F79&lt;&gt;"", $F79&gt;=CQ$5-4, $F79&lt;=CQ$5, COUNTIF($M79:CP79,"u")=0), "u", "")</f>
        <v/>
      </c>
      <c r="CR79" s="80" t="str">
        <f>IF(AND($F79&lt;&gt;"", $F79&gt;=CR$5-4, $F79&lt;=CR$5, COUNTIF($M79:CQ79,"u")=0), "u", "")</f>
        <v/>
      </c>
      <c r="CS79" s="80" t="str">
        <f>IF(AND($F79&lt;&gt;"", $F79&gt;=CS$5-4, $F79&lt;=CS$5, COUNTIF($M79:CR79,"u")=0), "u", "")</f>
        <v/>
      </c>
      <c r="CT79" s="80" t="str">
        <f>IF(AND($F79&lt;&gt;"", $F79&gt;=CT$5-4, $F79&lt;=CT$5, COUNTIF($M79:CS79,"u")=0), "u", "")</f>
        <v/>
      </c>
      <c r="CU79" s="80" t="str">
        <f>IF(AND($F79&lt;&gt;"", $F79&gt;=CU$5-4, $F79&lt;=CU$5, COUNTIF($M79:CT79,"u")=0), "u", "")</f>
        <v/>
      </c>
      <c r="CV79" s="80" t="str">
        <f>IF(AND($F79&lt;&gt;"", $F79&gt;=CV$5-4, $F79&lt;=CV$5, COUNTIF($M79:CU79,"u")=0), "u", "")</f>
        <v/>
      </c>
      <c r="CW79" s="80" t="str">
        <f>IF(AND($F79&lt;&gt;"", $F79&gt;=CW$5-4, $F79&lt;=CW$5, COUNTIF($M79:CV79,"u")=0), "u", "")</f>
        <v/>
      </c>
      <c r="CX79" s="80" t="str">
        <f>IF(AND($F79&lt;&gt;"", $F79&gt;=CX$5-4, $F79&lt;=CX$5, COUNTIF($M79:CW79,"u")=0), "u", "")</f>
        <v/>
      </c>
      <c r="CY79" s="80" t="str">
        <f>IF(AND($F79&lt;&gt;"", $F79&gt;=CY$5-4, $F79&lt;=CY$5, COUNTIF($M79:CX79,"u")=0), "u", "")</f>
        <v/>
      </c>
      <c r="CZ79" s="80" t="str">
        <f>IF(AND($F79&lt;&gt;"", $F79&gt;=CZ$5-4, $F79&lt;=CZ$5, COUNTIF($M79:CY79,"u")=0), "u", "")</f>
        <v/>
      </c>
      <c r="DA79" s="80" t="str">
        <f>IF(AND($F79&lt;&gt;"", $F79&gt;=DA$5-4, $F79&lt;=DA$5, COUNTIF($M79:CZ79,"u")=0), "u", "")</f>
        <v/>
      </c>
      <c r="DB79" s="80" t="str">
        <f>IF(AND($F79&lt;&gt;"", $F79&gt;=DB$5-4, $F79&lt;=DB$5, COUNTIF($M79:DA79,"u")=0), "u", "")</f>
        <v/>
      </c>
      <c r="DC79" s="80" t="str">
        <f>IF(AND($F79&lt;&gt;"", $F79&gt;=DC$5-4, $F79&lt;=DC$5, COUNTIF($M79:DB79,"u")=0), "u", "")</f>
        <v/>
      </c>
      <c r="DD79" s="80" t="str">
        <f>IF(AND($F79&lt;&gt;"", $F79&gt;=DD$5-4, $F79&lt;=DD$5, COUNTIF($M79:DC79,"u")=0), "u", "")</f>
        <v/>
      </c>
      <c r="DE79" s="80" t="str">
        <f>IF(AND($F79&lt;&gt;"", $F79&gt;=DE$5-4, $F79&lt;=DE$5, COUNTIF($M79:DD79,"u")=0), "u", "")</f>
        <v/>
      </c>
      <c r="DF79" s="80" t="str">
        <f>IF(AND($F79&lt;&gt;"", $F79&gt;=DF$5-4, $F79&lt;=DF$5, COUNTIF($M79:DE79,"u")=0), "u", "")</f>
        <v/>
      </c>
      <c r="DG79" s="80" t="str">
        <f>IF(AND($F79&lt;&gt;"", $F79&gt;=DG$5-4, $F79&lt;=DG$5, COUNTIF($M79:DF79,"u")=0), "u", "")</f>
        <v/>
      </c>
      <c r="DH79" s="80" t="str">
        <f>IF(AND($F79&lt;&gt;"", $F79&gt;=DH$5-4, $F79&lt;=DH$5, COUNTIF($M79:DG79,"u")=0), "u", "")</f>
        <v/>
      </c>
      <c r="DI79" s="80" t="str">
        <f>IF(AND($F79&lt;&gt;"", $F79&gt;=DI$5-4, $F79&lt;=DI$5, COUNTIF($M79:DH79,"u")=0), "u", "")</f>
        <v/>
      </c>
      <c r="DJ79" s="80" t="str">
        <f>IF(AND($F79&lt;&gt;"", $F79&gt;=DJ$5-4, $F79&lt;=DJ$5, COUNTIF($M79:DI79,"u")=0), "u", "")</f>
        <v/>
      </c>
      <c r="DK79" s="80" t="str">
        <f>IF(AND($F79&lt;&gt;"", $F79&gt;=DK$5-4, $F79&lt;=DK$5, COUNTIF($M79:DJ79,"u")=0), "u", "")</f>
        <v/>
      </c>
      <c r="DL79" s="80" t="str">
        <f>IF(AND($F79&lt;&gt;"", $F79&gt;=DL$5-4, $F79&lt;=DL$5, COUNTIF($M79:DK79,"u")=0), "u", "")</f>
        <v/>
      </c>
    </row>
    <row r="80" spans="1:116" ht="25.05" customHeight="1" x14ac:dyDescent="0.3">
      <c r="A80" s="39"/>
      <c r="B80" s="75">
        <v>75</v>
      </c>
      <c r="C80" s="97"/>
      <c r="D80" s="92"/>
      <c r="E80" s="53"/>
      <c r="F80" s="53"/>
      <c r="G80" s="83" t="str">
        <f t="shared" si="47"/>
        <v/>
      </c>
      <c r="H80" s="83" t="str">
        <f t="shared" si="47"/>
        <v/>
      </c>
      <c r="I80" s="77" t="str">
        <f t="shared" si="48"/>
        <v/>
      </c>
      <c r="J80" s="78"/>
      <c r="K80" s="86"/>
      <c r="L80" s="56"/>
      <c r="M80" s="80" t="str">
        <f t="shared" si="49"/>
        <v/>
      </c>
      <c r="N80" s="80" t="str">
        <f>IF(AND($F80&lt;&gt;"", $F80&gt;=N$5-4, $F80&lt;=N$5, COUNTIF($M80:M80,"u")=0), "u", "")</f>
        <v/>
      </c>
      <c r="O80" s="80" t="str">
        <f>IF(AND($F80&lt;&gt;"", $F80&gt;=O$5-4, $F80&lt;=O$5, COUNTIF($M80:N80,"u")=0), "u", "")</f>
        <v/>
      </c>
      <c r="P80" s="80" t="str">
        <f>IF(AND($F80&lt;&gt;"", $F80&gt;=P$5-4, $F80&lt;=P$5, COUNTIF($M80:O80,"u")=0), "u", "")</f>
        <v/>
      </c>
      <c r="Q80" s="80" t="str">
        <f>IF(AND($F80&lt;&gt;"", $F80&gt;=Q$5-4, $F80&lt;=Q$5, COUNTIF($M80:P80,"u")=0), "u", "")</f>
        <v/>
      </c>
      <c r="R80" s="80" t="str">
        <f>IF(AND($F80&lt;&gt;"", $F80&gt;=R$5-4, $F80&lt;=R$5, COUNTIF($M80:Q80,"u")=0), "u", "")</f>
        <v/>
      </c>
      <c r="S80" s="80" t="str">
        <f>IF(AND($F80&lt;&gt;"", $F80&gt;=S$5-4, $F80&lt;=S$5, COUNTIF($M80:R80,"u")=0), "u", "")</f>
        <v/>
      </c>
      <c r="T80" s="80" t="str">
        <f>IF(AND($F80&lt;&gt;"", $F80&gt;=T$5-4, $F80&lt;=T$5, COUNTIF($M80:S80,"u")=0), "u", "")</f>
        <v/>
      </c>
      <c r="U80" s="80" t="str">
        <f>IF(AND($F80&lt;&gt;"", $F80&gt;=U$5-4, $F80&lt;=U$5, COUNTIF($M80:T80,"u")=0), "u", "")</f>
        <v/>
      </c>
      <c r="V80" s="80" t="str">
        <f>IF(AND($F80&lt;&gt;"", $F80&gt;=V$5-4, $F80&lt;=V$5, COUNTIF($M80:U80,"u")=0), "u", "")</f>
        <v/>
      </c>
      <c r="W80" s="80" t="str">
        <f>IF(AND($F80&lt;&gt;"", $F80&gt;=W$5-4, $F80&lt;=W$5, COUNTIF($M80:V80,"u")=0), "u", "")</f>
        <v/>
      </c>
      <c r="X80" s="80" t="str">
        <f>IF(AND($F80&lt;&gt;"", $F80&gt;=X$5-4, $F80&lt;=X$5, COUNTIF($M80:W80,"u")=0), "u", "")</f>
        <v/>
      </c>
      <c r="Y80" s="80" t="str">
        <f>IF(AND($F80&lt;&gt;"", $F80&gt;=Y$5-4, $F80&lt;=Y$5, COUNTIF($M80:X80,"u")=0), "u", "")</f>
        <v/>
      </c>
      <c r="Z80" s="80" t="str">
        <f>IF(AND($F80&lt;&gt;"", $F80&gt;=Z$5-4, $F80&lt;=Z$5, COUNTIF($M80:Y80,"u")=0), "u", "")</f>
        <v/>
      </c>
      <c r="AA80" s="80" t="str">
        <f>IF(AND($F80&lt;&gt;"", $F80&gt;=AA$5-4, $F80&lt;=AA$5, COUNTIF($M80:Z80,"u")=0), "u", "")</f>
        <v/>
      </c>
      <c r="AB80" s="80" t="str">
        <f>IF(AND($F80&lt;&gt;"", $F80&gt;=AB$5-4, $F80&lt;=AB$5, COUNTIF($M80:AA80,"u")=0), "u", "")</f>
        <v/>
      </c>
      <c r="AC80" s="80" t="str">
        <f>IF(AND($F80&lt;&gt;"", $F80&gt;=AC$5-4, $F80&lt;=AC$5, COUNTIF($M80:AB80,"u")=0), "u", "")</f>
        <v/>
      </c>
      <c r="AD80" s="80" t="str">
        <f>IF(AND($F80&lt;&gt;"", $F80&gt;=AD$5-4, $F80&lt;=AD$5, COUNTIF($M80:AC80,"u")=0), "u", "")</f>
        <v/>
      </c>
      <c r="AE80" s="80" t="str">
        <f>IF(AND($F80&lt;&gt;"", $F80&gt;=AE$5-4, $F80&lt;=AE$5, COUNTIF($M80:AD80,"u")=0), "u", "")</f>
        <v/>
      </c>
      <c r="AF80" s="80" t="str">
        <f>IF(AND($F80&lt;&gt;"", $F80&gt;=AF$5-4, $F80&lt;=AF$5, COUNTIF($M80:AE80,"u")=0), "u", "")</f>
        <v/>
      </c>
      <c r="AG80" s="80" t="str">
        <f>IF(AND($F80&lt;&gt;"", $F80&gt;=AG$5-4, $F80&lt;=AG$5, COUNTIF($M80:AF80,"u")=0), "u", "")</f>
        <v/>
      </c>
      <c r="AH80" s="80" t="str">
        <f>IF(AND($F80&lt;&gt;"", $F80&gt;=AH$5-4, $F80&lt;=AH$5, COUNTIF($M80:AG80,"u")=0), "u", "")</f>
        <v/>
      </c>
      <c r="AI80" s="80" t="str">
        <f>IF(AND($F80&lt;&gt;"", $F80&gt;=AI$5-4, $F80&lt;=AI$5, COUNTIF($M80:AH80,"u")=0), "u", "")</f>
        <v/>
      </c>
      <c r="AJ80" s="80" t="str">
        <f>IF(AND($F80&lt;&gt;"", $F80&gt;=AJ$5-4, $F80&lt;=AJ$5, COUNTIF($M80:AI80,"u")=0), "u", "")</f>
        <v/>
      </c>
      <c r="AK80" s="80" t="str">
        <f>IF(AND($F80&lt;&gt;"", $F80&gt;=AK$5-4, $F80&lt;=AK$5, COUNTIF($M80:AJ80,"u")=0), "u", "")</f>
        <v/>
      </c>
      <c r="AL80" s="80" t="str">
        <f>IF(AND($F80&lt;&gt;"", $F80&gt;=AL$5-4, $F80&lt;=AL$5, COUNTIF($M80:AK80,"u")=0), "u", "")</f>
        <v/>
      </c>
      <c r="AM80" s="80" t="str">
        <f>IF(AND($F80&lt;&gt;"", $F80&gt;=AM$5-4, $F80&lt;=AM$5, COUNTIF($M80:AL80,"u")=0), "u", "")</f>
        <v/>
      </c>
      <c r="AN80" s="80" t="str">
        <f>IF(AND($F80&lt;&gt;"", $F80&gt;=AN$5-4, $F80&lt;=AN$5, COUNTIF($M80:AM80,"u")=0), "u", "")</f>
        <v/>
      </c>
      <c r="AO80" s="80" t="str">
        <f>IF(AND($F80&lt;&gt;"", $F80&gt;=AO$5-4, $F80&lt;=AO$5, COUNTIF($M80:AN80,"u")=0), "u", "")</f>
        <v/>
      </c>
      <c r="AP80" s="80" t="str">
        <f>IF(AND($F80&lt;&gt;"", $F80&gt;=AP$5-4, $F80&lt;=AP$5, COUNTIF($M80:AO80,"u")=0), "u", "")</f>
        <v/>
      </c>
      <c r="AQ80" s="80" t="str">
        <f>IF(AND($F80&lt;&gt;"", $F80&gt;=AQ$5-4, $F80&lt;=AQ$5, COUNTIF($M80:AP80,"u")=0), "u", "")</f>
        <v/>
      </c>
      <c r="AR80" s="80" t="str">
        <f>IF(AND($F80&lt;&gt;"", $F80&gt;=AR$5-4, $F80&lt;=AR$5, COUNTIF($M80:AQ80,"u")=0), "u", "")</f>
        <v/>
      </c>
      <c r="AS80" s="80" t="str">
        <f>IF(AND($F80&lt;&gt;"", $F80&gt;=AS$5-4, $F80&lt;=AS$5, COUNTIF($M80:AR80,"u")=0), "u", "")</f>
        <v/>
      </c>
      <c r="AT80" s="80" t="str">
        <f>IF(AND($F80&lt;&gt;"", $F80&gt;=AT$5-4, $F80&lt;=AT$5, COUNTIF($M80:AS80,"u")=0), "u", "")</f>
        <v/>
      </c>
      <c r="AU80" s="80" t="str">
        <f>IF(AND($F80&lt;&gt;"", $F80&gt;=AU$5-4, $F80&lt;=AU$5, COUNTIF($M80:AT80,"u")=0), "u", "")</f>
        <v/>
      </c>
      <c r="AV80" s="80" t="str">
        <f>IF(AND($F80&lt;&gt;"", $F80&gt;=AV$5-4, $F80&lt;=AV$5, COUNTIF($M80:AU80,"u")=0), "u", "")</f>
        <v/>
      </c>
      <c r="AW80" s="80" t="str">
        <f>IF(AND($F80&lt;&gt;"", $F80&gt;=AW$5-4, $F80&lt;=AW$5, COUNTIF($M80:AV80,"u")=0), "u", "")</f>
        <v/>
      </c>
      <c r="AX80" s="80" t="str">
        <f>IF(AND($F80&lt;&gt;"", $F80&gt;=AX$5-4, $F80&lt;=AX$5, COUNTIF($M80:AW80,"u")=0), "u", "")</f>
        <v/>
      </c>
      <c r="AY80" s="80" t="str">
        <f>IF(AND($F80&lt;&gt;"", $F80&gt;=AY$5-4, $F80&lt;=AY$5, COUNTIF($M80:AX80,"u")=0), "u", "")</f>
        <v/>
      </c>
      <c r="AZ80" s="80" t="str">
        <f>IF(AND($F80&lt;&gt;"", $F80&gt;=AZ$5-4, $F80&lt;=AZ$5, COUNTIF($M80:AY80,"u")=0), "u", "")</f>
        <v/>
      </c>
      <c r="BA80" s="80" t="str">
        <f>IF(AND($F80&lt;&gt;"", $F80&gt;=BA$5-4, $F80&lt;=BA$5, COUNTIF($M80:AZ80,"u")=0), "u", "")</f>
        <v/>
      </c>
      <c r="BB80" s="80" t="str">
        <f>IF(AND($F80&lt;&gt;"", $F80&gt;=BB$5-4, $F80&lt;=BB$5, COUNTIF($M80:BA80,"u")=0), "u", "")</f>
        <v/>
      </c>
      <c r="BC80" s="80" t="str">
        <f>IF(AND($F80&lt;&gt;"", $F80&gt;=BC$5-4, $F80&lt;=BC$5, COUNTIF($M80:BB80,"u")=0), "u", "")</f>
        <v/>
      </c>
      <c r="BD80" s="80" t="str">
        <f>IF(AND($F80&lt;&gt;"", $F80&gt;=BD$5-4, $F80&lt;=BD$5, COUNTIF($M80:BC80,"u")=0), "u", "")</f>
        <v/>
      </c>
      <c r="BE80" s="80" t="str">
        <f>IF(AND($F80&lt;&gt;"", $F80&gt;=BE$5-4, $F80&lt;=BE$5, COUNTIF($M80:BD80,"u")=0), "u", "")</f>
        <v/>
      </c>
      <c r="BF80" s="80" t="str">
        <f>IF(AND($F80&lt;&gt;"", $F80&gt;=BF$5-4, $F80&lt;=BF$5, COUNTIF($M80:BE80,"u")=0), "u", "")</f>
        <v/>
      </c>
      <c r="BG80" s="80" t="str">
        <f>IF(AND($F80&lt;&gt;"", $F80&gt;=BG$5-4, $F80&lt;=BG$5, COUNTIF($M80:BF80,"u")=0), "u", "")</f>
        <v/>
      </c>
      <c r="BH80" s="80" t="str">
        <f>IF(AND($F80&lt;&gt;"", $F80&gt;=BH$5-4, $F80&lt;=BH$5, COUNTIF($M80:BG80,"u")=0), "u", "")</f>
        <v/>
      </c>
      <c r="BI80" s="80" t="str">
        <f>IF(AND($F80&lt;&gt;"", $F80&gt;=BI$5-4, $F80&lt;=BI$5, COUNTIF($M80:BH80,"u")=0), "u", "")</f>
        <v/>
      </c>
      <c r="BJ80" s="80" t="str">
        <f>IF(AND($F80&lt;&gt;"", $F80&gt;=BJ$5-4, $F80&lt;=BJ$5, COUNTIF($M80:BI80,"u")=0), "u", "")</f>
        <v/>
      </c>
      <c r="BK80" s="80" t="str">
        <f>IF(AND($F80&lt;&gt;"", $F80&gt;=BK$5-4, $F80&lt;=BK$5, COUNTIF($M80:BJ80,"u")=0), "u", "")</f>
        <v/>
      </c>
      <c r="BL80" s="80" t="str">
        <f>IF(AND($F80&lt;&gt;"", $F80&gt;=BL$5-4, $F80&lt;=BL$5, COUNTIF($M80:BK80,"u")=0), "u", "")</f>
        <v/>
      </c>
      <c r="BM80" s="80" t="str">
        <f>IF(AND($F80&lt;&gt;"", $F80&gt;=BM$5-4, $F80&lt;=BM$5, COUNTIF($M80:BL80,"u")=0), "u", "")</f>
        <v/>
      </c>
      <c r="BN80" s="80" t="str">
        <f>IF(AND($F80&lt;&gt;"", $F80&gt;=BN$5-4, $F80&lt;=BN$5, COUNTIF($M80:BM80,"u")=0), "u", "")</f>
        <v/>
      </c>
      <c r="BO80" s="80" t="str">
        <f>IF(AND($F80&lt;&gt;"", $F80&gt;=BO$5-4, $F80&lt;=BO$5, COUNTIF($M80:BN80,"u")=0), "u", "")</f>
        <v/>
      </c>
      <c r="BP80" s="80" t="str">
        <f>IF(AND($F80&lt;&gt;"", $F80&gt;=BP$5-4, $F80&lt;=BP$5, COUNTIF($M80:BO80,"u")=0), "u", "")</f>
        <v/>
      </c>
      <c r="BQ80" s="80" t="str">
        <f>IF(AND($F80&lt;&gt;"", $F80&gt;=BQ$5-4, $F80&lt;=BQ$5, COUNTIF($M80:BP80,"u")=0), "u", "")</f>
        <v/>
      </c>
      <c r="BR80" s="80" t="str">
        <f>IF(AND($F80&lt;&gt;"", $F80&gt;=BR$5-4, $F80&lt;=BR$5, COUNTIF($M80:BQ80,"u")=0), "u", "")</f>
        <v/>
      </c>
      <c r="BS80" s="80" t="str">
        <f>IF(AND($F80&lt;&gt;"", $F80&gt;=BS$5-4, $F80&lt;=BS$5, COUNTIF($M80:BR80,"u")=0), "u", "")</f>
        <v/>
      </c>
      <c r="BT80" s="80" t="str">
        <f>IF(AND($F80&lt;&gt;"", $F80&gt;=BT$5-4, $F80&lt;=BT$5, COUNTIF($M80:BS80,"u")=0), "u", "")</f>
        <v/>
      </c>
      <c r="BU80" s="80" t="str">
        <f>IF(AND($F80&lt;&gt;"", $F80&gt;=BU$5-4, $F80&lt;=BU$5, COUNTIF($M80:BT80,"u")=0), "u", "")</f>
        <v/>
      </c>
      <c r="BV80" s="80" t="str">
        <f>IF(AND($F80&lt;&gt;"", $F80&gt;=BV$5-4, $F80&lt;=BV$5, COUNTIF($M80:BU80,"u")=0), "u", "")</f>
        <v/>
      </c>
      <c r="BW80" s="80" t="str">
        <f>IF(AND($F80&lt;&gt;"", $F80&gt;=BW$5-4, $F80&lt;=BW$5, COUNTIF($M80:BV80,"u")=0), "u", "")</f>
        <v/>
      </c>
      <c r="BX80" s="80" t="str">
        <f>IF(AND($F80&lt;&gt;"", $F80&gt;=BX$5-4, $F80&lt;=BX$5, COUNTIF($M80:BW80,"u")=0), "u", "")</f>
        <v/>
      </c>
      <c r="BY80" s="80" t="str">
        <f>IF(AND($F80&lt;&gt;"", $F80&gt;=BY$5-4, $F80&lt;=BY$5, COUNTIF($M80:BX80,"u")=0), "u", "")</f>
        <v/>
      </c>
      <c r="BZ80" s="80" t="str">
        <f>IF(AND($F80&lt;&gt;"", $F80&gt;=BZ$5-4, $F80&lt;=BZ$5, COUNTIF($M80:BY80,"u")=0), "u", "")</f>
        <v/>
      </c>
      <c r="CA80" s="80" t="str">
        <f>IF(AND($F80&lt;&gt;"", $F80&gt;=CA$5-4, $F80&lt;=CA$5, COUNTIF($M80:BZ80,"u")=0), "u", "")</f>
        <v/>
      </c>
      <c r="CB80" s="80" t="str">
        <f>IF(AND($F80&lt;&gt;"", $F80&gt;=CB$5-4, $F80&lt;=CB$5, COUNTIF($M80:CA80,"u")=0), "u", "")</f>
        <v/>
      </c>
      <c r="CC80" s="80" t="str">
        <f>IF(AND($F80&lt;&gt;"", $F80&gt;=CC$5-4, $F80&lt;=CC$5, COUNTIF($M80:CB80,"u")=0), "u", "")</f>
        <v/>
      </c>
      <c r="CD80" s="80" t="str">
        <f>IF(AND($F80&lt;&gt;"", $F80&gt;=CD$5-4, $F80&lt;=CD$5, COUNTIF($M80:CC80,"u")=0), "u", "")</f>
        <v/>
      </c>
      <c r="CE80" s="80" t="str">
        <f>IF(AND($F80&lt;&gt;"", $F80&gt;=CE$5-4, $F80&lt;=CE$5, COUNTIF($M80:CD80,"u")=0), "u", "")</f>
        <v/>
      </c>
      <c r="CF80" s="80" t="str">
        <f>IF(AND($F80&lt;&gt;"", $F80&gt;=CF$5-4, $F80&lt;=CF$5, COUNTIF($M80:CE80,"u")=0), "u", "")</f>
        <v/>
      </c>
      <c r="CG80" s="80" t="str">
        <f>IF(AND($F80&lt;&gt;"", $F80&gt;=CG$5-4, $F80&lt;=CG$5, COUNTIF($M80:CF80,"u")=0), "u", "")</f>
        <v/>
      </c>
      <c r="CH80" s="80" t="str">
        <f>IF(AND($F80&lt;&gt;"", $F80&gt;=CH$5-4, $F80&lt;=CH$5, COUNTIF($M80:CG80,"u")=0), "u", "")</f>
        <v/>
      </c>
      <c r="CI80" s="80" t="str">
        <f>IF(AND($F80&lt;&gt;"", $F80&gt;=CI$5-4, $F80&lt;=CI$5, COUNTIF($M80:CH80,"u")=0), "u", "")</f>
        <v/>
      </c>
      <c r="CJ80" s="80" t="str">
        <f>IF(AND($F80&lt;&gt;"", $F80&gt;=CJ$5-4, $F80&lt;=CJ$5, COUNTIF($M80:CI80,"u")=0), "u", "")</f>
        <v/>
      </c>
      <c r="CK80" s="80" t="str">
        <f>IF(AND($F80&lt;&gt;"", $F80&gt;=CK$5-4, $F80&lt;=CK$5, COUNTIF($M80:CJ80,"u")=0), "u", "")</f>
        <v/>
      </c>
      <c r="CL80" s="80" t="str">
        <f>IF(AND($F80&lt;&gt;"", $F80&gt;=CL$5-4, $F80&lt;=CL$5, COUNTIF($M80:CK80,"u")=0), "u", "")</f>
        <v/>
      </c>
      <c r="CM80" s="80" t="str">
        <f>IF(AND($F80&lt;&gt;"", $F80&gt;=CM$5-4, $F80&lt;=CM$5, COUNTIF($M80:CL80,"u")=0), "u", "")</f>
        <v/>
      </c>
      <c r="CN80" s="80" t="str">
        <f>IF(AND($F80&lt;&gt;"", $F80&gt;=CN$5-4, $F80&lt;=CN$5, COUNTIF($M80:CM80,"u")=0), "u", "")</f>
        <v/>
      </c>
      <c r="CO80" s="80" t="str">
        <f>IF(AND($F80&lt;&gt;"", $F80&gt;=CO$5-4, $F80&lt;=CO$5, COUNTIF($M80:CN80,"u")=0), "u", "")</f>
        <v/>
      </c>
      <c r="CP80" s="80" t="str">
        <f>IF(AND($F80&lt;&gt;"", $F80&gt;=CP$5-4, $F80&lt;=CP$5, COUNTIF($M80:CO80,"u")=0), "u", "")</f>
        <v/>
      </c>
      <c r="CQ80" s="80" t="str">
        <f>IF(AND($F80&lt;&gt;"", $F80&gt;=CQ$5-4, $F80&lt;=CQ$5, COUNTIF($M80:CP80,"u")=0), "u", "")</f>
        <v/>
      </c>
      <c r="CR80" s="80" t="str">
        <f>IF(AND($F80&lt;&gt;"", $F80&gt;=CR$5-4, $F80&lt;=CR$5, COUNTIF($M80:CQ80,"u")=0), "u", "")</f>
        <v/>
      </c>
      <c r="CS80" s="80" t="str">
        <f>IF(AND($F80&lt;&gt;"", $F80&gt;=CS$5-4, $F80&lt;=CS$5, COUNTIF($M80:CR80,"u")=0), "u", "")</f>
        <v/>
      </c>
      <c r="CT80" s="80" t="str">
        <f>IF(AND($F80&lt;&gt;"", $F80&gt;=CT$5-4, $F80&lt;=CT$5, COUNTIF($M80:CS80,"u")=0), "u", "")</f>
        <v/>
      </c>
      <c r="CU80" s="80" t="str">
        <f>IF(AND($F80&lt;&gt;"", $F80&gt;=CU$5-4, $F80&lt;=CU$5, COUNTIF($M80:CT80,"u")=0), "u", "")</f>
        <v/>
      </c>
      <c r="CV80" s="80" t="str">
        <f>IF(AND($F80&lt;&gt;"", $F80&gt;=CV$5-4, $F80&lt;=CV$5, COUNTIF($M80:CU80,"u")=0), "u", "")</f>
        <v/>
      </c>
      <c r="CW80" s="80" t="str">
        <f>IF(AND($F80&lt;&gt;"", $F80&gt;=CW$5-4, $F80&lt;=CW$5, COUNTIF($M80:CV80,"u")=0), "u", "")</f>
        <v/>
      </c>
      <c r="CX80" s="80" t="str">
        <f>IF(AND($F80&lt;&gt;"", $F80&gt;=CX$5-4, $F80&lt;=CX$5, COUNTIF($M80:CW80,"u")=0), "u", "")</f>
        <v/>
      </c>
      <c r="CY80" s="80" t="str">
        <f>IF(AND($F80&lt;&gt;"", $F80&gt;=CY$5-4, $F80&lt;=CY$5, COUNTIF($M80:CX80,"u")=0), "u", "")</f>
        <v/>
      </c>
      <c r="CZ80" s="80" t="str">
        <f>IF(AND($F80&lt;&gt;"", $F80&gt;=CZ$5-4, $F80&lt;=CZ$5, COUNTIF($M80:CY80,"u")=0), "u", "")</f>
        <v/>
      </c>
      <c r="DA80" s="80" t="str">
        <f>IF(AND($F80&lt;&gt;"", $F80&gt;=DA$5-4, $F80&lt;=DA$5, COUNTIF($M80:CZ80,"u")=0), "u", "")</f>
        <v/>
      </c>
      <c r="DB80" s="80" t="str">
        <f>IF(AND($F80&lt;&gt;"", $F80&gt;=DB$5-4, $F80&lt;=DB$5, COUNTIF($M80:DA80,"u")=0), "u", "")</f>
        <v/>
      </c>
      <c r="DC80" s="80" t="str">
        <f>IF(AND($F80&lt;&gt;"", $F80&gt;=DC$5-4, $F80&lt;=DC$5, COUNTIF($M80:DB80,"u")=0), "u", "")</f>
        <v/>
      </c>
      <c r="DD80" s="80" t="str">
        <f>IF(AND($F80&lt;&gt;"", $F80&gt;=DD$5-4, $F80&lt;=DD$5, COUNTIF($M80:DC80,"u")=0), "u", "")</f>
        <v/>
      </c>
      <c r="DE80" s="80" t="str">
        <f>IF(AND($F80&lt;&gt;"", $F80&gt;=DE$5-4, $F80&lt;=DE$5, COUNTIF($M80:DD80,"u")=0), "u", "")</f>
        <v/>
      </c>
      <c r="DF80" s="80" t="str">
        <f>IF(AND($F80&lt;&gt;"", $F80&gt;=DF$5-4, $F80&lt;=DF$5, COUNTIF($M80:DE80,"u")=0), "u", "")</f>
        <v/>
      </c>
      <c r="DG80" s="80" t="str">
        <f>IF(AND($F80&lt;&gt;"", $F80&gt;=DG$5-4, $F80&lt;=DG$5, COUNTIF($M80:DF80,"u")=0), "u", "")</f>
        <v/>
      </c>
      <c r="DH80" s="80" t="str">
        <f>IF(AND($F80&lt;&gt;"", $F80&gt;=DH$5-4, $F80&lt;=DH$5, COUNTIF($M80:DG80,"u")=0), "u", "")</f>
        <v/>
      </c>
      <c r="DI80" s="80" t="str">
        <f>IF(AND($F80&lt;&gt;"", $F80&gt;=DI$5-4, $F80&lt;=DI$5, COUNTIF($M80:DH80,"u")=0), "u", "")</f>
        <v/>
      </c>
      <c r="DJ80" s="80" t="str">
        <f>IF(AND($F80&lt;&gt;"", $F80&gt;=DJ$5-4, $F80&lt;=DJ$5, COUNTIF($M80:DI80,"u")=0), "u", "")</f>
        <v/>
      </c>
      <c r="DK80" s="80" t="str">
        <f>IF(AND($F80&lt;&gt;"", $F80&gt;=DK$5-4, $F80&lt;=DK$5, COUNTIF($M80:DJ80,"u")=0), "u", "")</f>
        <v/>
      </c>
      <c r="DL80" s="80" t="str">
        <f>IF(AND($F80&lt;&gt;"", $F80&gt;=DL$5-4, $F80&lt;=DL$5, COUNTIF($M80:DK80,"u")=0), "u", "")</f>
        <v/>
      </c>
    </row>
    <row r="81" spans="1:116" ht="25.05" customHeight="1" x14ac:dyDescent="0.3">
      <c r="A81" s="39"/>
      <c r="B81" s="75">
        <v>76</v>
      </c>
      <c r="C81" s="97"/>
      <c r="D81" s="92"/>
      <c r="E81" s="53"/>
      <c r="F81" s="53"/>
      <c r="G81" s="83" t="str">
        <f t="shared" si="47"/>
        <v/>
      </c>
      <c r="H81" s="83" t="str">
        <f t="shared" si="47"/>
        <v/>
      </c>
      <c r="I81" s="77" t="str">
        <f t="shared" si="48"/>
        <v/>
      </c>
      <c r="J81" s="78"/>
      <c r="K81" s="86"/>
      <c r="L81" s="56"/>
      <c r="M81" s="80" t="str">
        <f t="shared" si="49"/>
        <v/>
      </c>
      <c r="N81" s="80" t="str">
        <f>IF(AND($F81&lt;&gt;"", $F81&gt;=N$5-4, $F81&lt;=N$5, COUNTIF($M81:M81,"u")=0), "u", "")</f>
        <v/>
      </c>
      <c r="O81" s="80" t="str">
        <f>IF(AND($F81&lt;&gt;"", $F81&gt;=O$5-4, $F81&lt;=O$5, COUNTIF($M81:N81,"u")=0), "u", "")</f>
        <v/>
      </c>
      <c r="P81" s="80" t="str">
        <f>IF(AND($F81&lt;&gt;"", $F81&gt;=P$5-4, $F81&lt;=P$5, COUNTIF($M81:O81,"u")=0), "u", "")</f>
        <v/>
      </c>
      <c r="Q81" s="80" t="str">
        <f>IF(AND($F81&lt;&gt;"", $F81&gt;=Q$5-4, $F81&lt;=Q$5, COUNTIF($M81:P81,"u")=0), "u", "")</f>
        <v/>
      </c>
      <c r="R81" s="80" t="str">
        <f>IF(AND($F81&lt;&gt;"", $F81&gt;=R$5-4, $F81&lt;=R$5, COUNTIF($M81:Q81,"u")=0), "u", "")</f>
        <v/>
      </c>
      <c r="S81" s="80" t="str">
        <f>IF(AND($F81&lt;&gt;"", $F81&gt;=S$5-4, $F81&lt;=S$5, COUNTIF($M81:R81,"u")=0), "u", "")</f>
        <v/>
      </c>
      <c r="T81" s="80" t="str">
        <f>IF(AND($F81&lt;&gt;"", $F81&gt;=T$5-4, $F81&lt;=T$5, COUNTIF($M81:S81,"u")=0), "u", "")</f>
        <v/>
      </c>
      <c r="U81" s="80" t="str">
        <f>IF(AND($F81&lt;&gt;"", $F81&gt;=U$5-4, $F81&lt;=U$5, COUNTIF($M81:T81,"u")=0), "u", "")</f>
        <v/>
      </c>
      <c r="V81" s="80" t="str">
        <f>IF(AND($F81&lt;&gt;"", $F81&gt;=V$5-4, $F81&lt;=V$5, COUNTIF($M81:U81,"u")=0), "u", "")</f>
        <v/>
      </c>
      <c r="W81" s="80" t="str">
        <f>IF(AND($F81&lt;&gt;"", $F81&gt;=W$5-4, $F81&lt;=W$5, COUNTIF($M81:V81,"u")=0), "u", "")</f>
        <v/>
      </c>
      <c r="X81" s="80" t="str">
        <f>IF(AND($F81&lt;&gt;"", $F81&gt;=X$5-4, $F81&lt;=X$5, COUNTIF($M81:W81,"u")=0), "u", "")</f>
        <v/>
      </c>
      <c r="Y81" s="80" t="str">
        <f>IF(AND($F81&lt;&gt;"", $F81&gt;=Y$5-4, $F81&lt;=Y$5, COUNTIF($M81:X81,"u")=0), "u", "")</f>
        <v/>
      </c>
      <c r="Z81" s="80" t="str">
        <f>IF(AND($F81&lt;&gt;"", $F81&gt;=Z$5-4, $F81&lt;=Z$5, COUNTIF($M81:Y81,"u")=0), "u", "")</f>
        <v/>
      </c>
      <c r="AA81" s="80" t="str">
        <f>IF(AND($F81&lt;&gt;"", $F81&gt;=AA$5-4, $F81&lt;=AA$5, COUNTIF($M81:Z81,"u")=0), "u", "")</f>
        <v/>
      </c>
      <c r="AB81" s="80" t="str">
        <f>IF(AND($F81&lt;&gt;"", $F81&gt;=AB$5-4, $F81&lt;=AB$5, COUNTIF($M81:AA81,"u")=0), "u", "")</f>
        <v/>
      </c>
      <c r="AC81" s="80" t="str">
        <f>IF(AND($F81&lt;&gt;"", $F81&gt;=AC$5-4, $F81&lt;=AC$5, COUNTIF($M81:AB81,"u")=0), "u", "")</f>
        <v/>
      </c>
      <c r="AD81" s="80" t="str">
        <f>IF(AND($F81&lt;&gt;"", $F81&gt;=AD$5-4, $F81&lt;=AD$5, COUNTIF($M81:AC81,"u")=0), "u", "")</f>
        <v/>
      </c>
      <c r="AE81" s="80" t="str">
        <f>IF(AND($F81&lt;&gt;"", $F81&gt;=AE$5-4, $F81&lt;=AE$5, COUNTIF($M81:AD81,"u")=0), "u", "")</f>
        <v/>
      </c>
      <c r="AF81" s="80" t="str">
        <f>IF(AND($F81&lt;&gt;"", $F81&gt;=AF$5-4, $F81&lt;=AF$5, COUNTIF($M81:AE81,"u")=0), "u", "")</f>
        <v/>
      </c>
      <c r="AG81" s="80" t="str">
        <f>IF(AND($F81&lt;&gt;"", $F81&gt;=AG$5-4, $F81&lt;=AG$5, COUNTIF($M81:AF81,"u")=0), "u", "")</f>
        <v/>
      </c>
      <c r="AH81" s="80" t="str">
        <f>IF(AND($F81&lt;&gt;"", $F81&gt;=AH$5-4, $F81&lt;=AH$5, COUNTIF($M81:AG81,"u")=0), "u", "")</f>
        <v/>
      </c>
      <c r="AI81" s="80" t="str">
        <f>IF(AND($F81&lt;&gt;"", $F81&gt;=AI$5-4, $F81&lt;=AI$5, COUNTIF($M81:AH81,"u")=0), "u", "")</f>
        <v/>
      </c>
      <c r="AJ81" s="80" t="str">
        <f>IF(AND($F81&lt;&gt;"", $F81&gt;=AJ$5-4, $F81&lt;=AJ$5, COUNTIF($M81:AI81,"u")=0), "u", "")</f>
        <v/>
      </c>
      <c r="AK81" s="80" t="str">
        <f>IF(AND($F81&lt;&gt;"", $F81&gt;=AK$5-4, $F81&lt;=AK$5, COUNTIF($M81:AJ81,"u")=0), "u", "")</f>
        <v/>
      </c>
      <c r="AL81" s="80" t="str">
        <f>IF(AND($F81&lt;&gt;"", $F81&gt;=AL$5-4, $F81&lt;=AL$5, COUNTIF($M81:AK81,"u")=0), "u", "")</f>
        <v/>
      </c>
      <c r="AM81" s="80" t="str">
        <f>IF(AND($F81&lt;&gt;"", $F81&gt;=AM$5-4, $F81&lt;=AM$5, COUNTIF($M81:AL81,"u")=0), "u", "")</f>
        <v/>
      </c>
      <c r="AN81" s="80" t="str">
        <f>IF(AND($F81&lt;&gt;"", $F81&gt;=AN$5-4, $F81&lt;=AN$5, COUNTIF($M81:AM81,"u")=0), "u", "")</f>
        <v/>
      </c>
      <c r="AO81" s="80" t="str">
        <f>IF(AND($F81&lt;&gt;"", $F81&gt;=AO$5-4, $F81&lt;=AO$5, COUNTIF($M81:AN81,"u")=0), "u", "")</f>
        <v/>
      </c>
      <c r="AP81" s="80" t="str">
        <f>IF(AND($F81&lt;&gt;"", $F81&gt;=AP$5-4, $F81&lt;=AP$5, COUNTIF($M81:AO81,"u")=0), "u", "")</f>
        <v/>
      </c>
      <c r="AQ81" s="80" t="str">
        <f>IF(AND($F81&lt;&gt;"", $F81&gt;=AQ$5-4, $F81&lt;=AQ$5, COUNTIF($M81:AP81,"u")=0), "u", "")</f>
        <v/>
      </c>
      <c r="AR81" s="80" t="str">
        <f>IF(AND($F81&lt;&gt;"", $F81&gt;=AR$5-4, $F81&lt;=AR$5, COUNTIF($M81:AQ81,"u")=0), "u", "")</f>
        <v/>
      </c>
      <c r="AS81" s="80" t="str">
        <f>IF(AND($F81&lt;&gt;"", $F81&gt;=AS$5-4, $F81&lt;=AS$5, COUNTIF($M81:AR81,"u")=0), "u", "")</f>
        <v/>
      </c>
      <c r="AT81" s="80" t="str">
        <f>IF(AND($F81&lt;&gt;"", $F81&gt;=AT$5-4, $F81&lt;=AT$5, COUNTIF($M81:AS81,"u")=0), "u", "")</f>
        <v/>
      </c>
      <c r="AU81" s="80" t="str">
        <f>IF(AND($F81&lt;&gt;"", $F81&gt;=AU$5-4, $F81&lt;=AU$5, COUNTIF($M81:AT81,"u")=0), "u", "")</f>
        <v/>
      </c>
      <c r="AV81" s="80" t="str">
        <f>IF(AND($F81&lt;&gt;"", $F81&gt;=AV$5-4, $F81&lt;=AV$5, COUNTIF($M81:AU81,"u")=0), "u", "")</f>
        <v/>
      </c>
      <c r="AW81" s="80" t="str">
        <f>IF(AND($F81&lt;&gt;"", $F81&gt;=AW$5-4, $F81&lt;=AW$5, COUNTIF($M81:AV81,"u")=0), "u", "")</f>
        <v/>
      </c>
      <c r="AX81" s="80" t="str">
        <f>IF(AND($F81&lt;&gt;"", $F81&gt;=AX$5-4, $F81&lt;=AX$5, COUNTIF($M81:AW81,"u")=0), "u", "")</f>
        <v/>
      </c>
      <c r="AY81" s="80" t="str">
        <f>IF(AND($F81&lt;&gt;"", $F81&gt;=AY$5-4, $F81&lt;=AY$5, COUNTIF($M81:AX81,"u")=0), "u", "")</f>
        <v/>
      </c>
      <c r="AZ81" s="80" t="str">
        <f>IF(AND($F81&lt;&gt;"", $F81&gt;=AZ$5-4, $F81&lt;=AZ$5, COUNTIF($M81:AY81,"u")=0), "u", "")</f>
        <v/>
      </c>
      <c r="BA81" s="80" t="str">
        <f>IF(AND($F81&lt;&gt;"", $F81&gt;=BA$5-4, $F81&lt;=BA$5, COUNTIF($M81:AZ81,"u")=0), "u", "")</f>
        <v/>
      </c>
      <c r="BB81" s="80" t="str">
        <f>IF(AND($F81&lt;&gt;"", $F81&gt;=BB$5-4, $F81&lt;=BB$5, COUNTIF($M81:BA81,"u")=0), "u", "")</f>
        <v/>
      </c>
      <c r="BC81" s="80" t="str">
        <f>IF(AND($F81&lt;&gt;"", $F81&gt;=BC$5-4, $F81&lt;=BC$5, COUNTIF($M81:BB81,"u")=0), "u", "")</f>
        <v/>
      </c>
      <c r="BD81" s="80" t="str">
        <f>IF(AND($F81&lt;&gt;"", $F81&gt;=BD$5-4, $F81&lt;=BD$5, COUNTIF($M81:BC81,"u")=0), "u", "")</f>
        <v/>
      </c>
      <c r="BE81" s="80" t="str">
        <f>IF(AND($F81&lt;&gt;"", $F81&gt;=BE$5-4, $F81&lt;=BE$5, COUNTIF($M81:BD81,"u")=0), "u", "")</f>
        <v/>
      </c>
      <c r="BF81" s="80" t="str">
        <f>IF(AND($F81&lt;&gt;"", $F81&gt;=BF$5-4, $F81&lt;=BF$5, COUNTIF($M81:BE81,"u")=0), "u", "")</f>
        <v/>
      </c>
      <c r="BG81" s="80" t="str">
        <f>IF(AND($F81&lt;&gt;"", $F81&gt;=BG$5-4, $F81&lt;=BG$5, COUNTIF($M81:BF81,"u")=0), "u", "")</f>
        <v/>
      </c>
      <c r="BH81" s="80" t="str">
        <f>IF(AND($F81&lt;&gt;"", $F81&gt;=BH$5-4, $F81&lt;=BH$5, COUNTIF($M81:BG81,"u")=0), "u", "")</f>
        <v/>
      </c>
      <c r="BI81" s="80" t="str">
        <f>IF(AND($F81&lt;&gt;"", $F81&gt;=BI$5-4, $F81&lt;=BI$5, COUNTIF($M81:BH81,"u")=0), "u", "")</f>
        <v/>
      </c>
      <c r="BJ81" s="80" t="str">
        <f>IF(AND($F81&lt;&gt;"", $F81&gt;=BJ$5-4, $F81&lt;=BJ$5, COUNTIF($M81:BI81,"u")=0), "u", "")</f>
        <v/>
      </c>
      <c r="BK81" s="80" t="str">
        <f>IF(AND($F81&lt;&gt;"", $F81&gt;=BK$5-4, $F81&lt;=BK$5, COUNTIF($M81:BJ81,"u")=0), "u", "")</f>
        <v/>
      </c>
      <c r="BL81" s="80" t="str">
        <f>IF(AND($F81&lt;&gt;"", $F81&gt;=BL$5-4, $F81&lt;=BL$5, COUNTIF($M81:BK81,"u")=0), "u", "")</f>
        <v/>
      </c>
      <c r="BM81" s="80" t="str">
        <f>IF(AND($F81&lt;&gt;"", $F81&gt;=BM$5-4, $F81&lt;=BM$5, COUNTIF($M81:BL81,"u")=0), "u", "")</f>
        <v/>
      </c>
      <c r="BN81" s="80" t="str">
        <f>IF(AND($F81&lt;&gt;"", $F81&gt;=BN$5-4, $F81&lt;=BN$5, COUNTIF($M81:BM81,"u")=0), "u", "")</f>
        <v/>
      </c>
      <c r="BO81" s="80" t="str">
        <f>IF(AND($F81&lt;&gt;"", $F81&gt;=BO$5-4, $F81&lt;=BO$5, COUNTIF($M81:BN81,"u")=0), "u", "")</f>
        <v/>
      </c>
      <c r="BP81" s="80" t="str">
        <f>IF(AND($F81&lt;&gt;"", $F81&gt;=BP$5-4, $F81&lt;=BP$5, COUNTIF($M81:BO81,"u")=0), "u", "")</f>
        <v/>
      </c>
      <c r="BQ81" s="80" t="str">
        <f>IF(AND($F81&lt;&gt;"", $F81&gt;=BQ$5-4, $F81&lt;=BQ$5, COUNTIF($M81:BP81,"u")=0), "u", "")</f>
        <v/>
      </c>
      <c r="BR81" s="80" t="str">
        <f>IF(AND($F81&lt;&gt;"", $F81&gt;=BR$5-4, $F81&lt;=BR$5, COUNTIF($M81:BQ81,"u")=0), "u", "")</f>
        <v/>
      </c>
      <c r="BS81" s="80" t="str">
        <f>IF(AND($F81&lt;&gt;"", $F81&gt;=BS$5-4, $F81&lt;=BS$5, COUNTIF($M81:BR81,"u")=0), "u", "")</f>
        <v/>
      </c>
      <c r="BT81" s="80" t="str">
        <f>IF(AND($F81&lt;&gt;"", $F81&gt;=BT$5-4, $F81&lt;=BT$5, COUNTIF($M81:BS81,"u")=0), "u", "")</f>
        <v/>
      </c>
      <c r="BU81" s="80" t="str">
        <f>IF(AND($F81&lt;&gt;"", $F81&gt;=BU$5-4, $F81&lt;=BU$5, COUNTIF($M81:BT81,"u")=0), "u", "")</f>
        <v/>
      </c>
      <c r="BV81" s="80" t="str">
        <f>IF(AND($F81&lt;&gt;"", $F81&gt;=BV$5-4, $F81&lt;=BV$5, COUNTIF($M81:BU81,"u")=0), "u", "")</f>
        <v/>
      </c>
      <c r="BW81" s="80" t="str">
        <f>IF(AND($F81&lt;&gt;"", $F81&gt;=BW$5-4, $F81&lt;=BW$5, COUNTIF($M81:BV81,"u")=0), "u", "")</f>
        <v/>
      </c>
      <c r="BX81" s="80" t="str">
        <f>IF(AND($F81&lt;&gt;"", $F81&gt;=BX$5-4, $F81&lt;=BX$5, COUNTIF($M81:BW81,"u")=0), "u", "")</f>
        <v/>
      </c>
      <c r="BY81" s="80" t="str">
        <f>IF(AND($F81&lt;&gt;"", $F81&gt;=BY$5-4, $F81&lt;=BY$5, COUNTIF($M81:BX81,"u")=0), "u", "")</f>
        <v/>
      </c>
      <c r="BZ81" s="80" t="str">
        <f>IF(AND($F81&lt;&gt;"", $F81&gt;=BZ$5-4, $F81&lt;=BZ$5, COUNTIF($M81:BY81,"u")=0), "u", "")</f>
        <v/>
      </c>
      <c r="CA81" s="80" t="str">
        <f>IF(AND($F81&lt;&gt;"", $F81&gt;=CA$5-4, $F81&lt;=CA$5, COUNTIF($M81:BZ81,"u")=0), "u", "")</f>
        <v/>
      </c>
      <c r="CB81" s="80" t="str">
        <f>IF(AND($F81&lt;&gt;"", $F81&gt;=CB$5-4, $F81&lt;=CB$5, COUNTIF($M81:CA81,"u")=0), "u", "")</f>
        <v/>
      </c>
      <c r="CC81" s="80" t="str">
        <f>IF(AND($F81&lt;&gt;"", $F81&gt;=CC$5-4, $F81&lt;=CC$5, COUNTIF($M81:CB81,"u")=0), "u", "")</f>
        <v/>
      </c>
      <c r="CD81" s="80" t="str">
        <f>IF(AND($F81&lt;&gt;"", $F81&gt;=CD$5-4, $F81&lt;=CD$5, COUNTIF($M81:CC81,"u")=0), "u", "")</f>
        <v/>
      </c>
      <c r="CE81" s="80" t="str">
        <f>IF(AND($F81&lt;&gt;"", $F81&gt;=CE$5-4, $F81&lt;=CE$5, COUNTIF($M81:CD81,"u")=0), "u", "")</f>
        <v/>
      </c>
      <c r="CF81" s="80" t="str">
        <f>IF(AND($F81&lt;&gt;"", $F81&gt;=CF$5-4, $F81&lt;=CF$5, COUNTIF($M81:CE81,"u")=0), "u", "")</f>
        <v/>
      </c>
      <c r="CG81" s="80" t="str">
        <f>IF(AND($F81&lt;&gt;"", $F81&gt;=CG$5-4, $F81&lt;=CG$5, COUNTIF($M81:CF81,"u")=0), "u", "")</f>
        <v/>
      </c>
      <c r="CH81" s="80" t="str">
        <f>IF(AND($F81&lt;&gt;"", $F81&gt;=CH$5-4, $F81&lt;=CH$5, COUNTIF($M81:CG81,"u")=0), "u", "")</f>
        <v/>
      </c>
      <c r="CI81" s="80" t="str">
        <f>IF(AND($F81&lt;&gt;"", $F81&gt;=CI$5-4, $F81&lt;=CI$5, COUNTIF($M81:CH81,"u")=0), "u", "")</f>
        <v/>
      </c>
      <c r="CJ81" s="80" t="str">
        <f>IF(AND($F81&lt;&gt;"", $F81&gt;=CJ$5-4, $F81&lt;=CJ$5, COUNTIF($M81:CI81,"u")=0), "u", "")</f>
        <v/>
      </c>
      <c r="CK81" s="80" t="str">
        <f>IF(AND($F81&lt;&gt;"", $F81&gt;=CK$5-4, $F81&lt;=CK$5, COUNTIF($M81:CJ81,"u")=0), "u", "")</f>
        <v/>
      </c>
      <c r="CL81" s="80" t="str">
        <f>IF(AND($F81&lt;&gt;"", $F81&gt;=CL$5-4, $F81&lt;=CL$5, COUNTIF($M81:CK81,"u")=0), "u", "")</f>
        <v/>
      </c>
      <c r="CM81" s="80" t="str">
        <f>IF(AND($F81&lt;&gt;"", $F81&gt;=CM$5-4, $F81&lt;=CM$5, COUNTIF($M81:CL81,"u")=0), "u", "")</f>
        <v/>
      </c>
      <c r="CN81" s="80" t="str">
        <f>IF(AND($F81&lt;&gt;"", $F81&gt;=CN$5-4, $F81&lt;=CN$5, COUNTIF($M81:CM81,"u")=0), "u", "")</f>
        <v/>
      </c>
      <c r="CO81" s="80" t="str">
        <f>IF(AND($F81&lt;&gt;"", $F81&gt;=CO$5-4, $F81&lt;=CO$5, COUNTIF($M81:CN81,"u")=0), "u", "")</f>
        <v/>
      </c>
      <c r="CP81" s="80" t="str">
        <f>IF(AND($F81&lt;&gt;"", $F81&gt;=CP$5-4, $F81&lt;=CP$5, COUNTIF($M81:CO81,"u")=0), "u", "")</f>
        <v/>
      </c>
      <c r="CQ81" s="80" t="str">
        <f>IF(AND($F81&lt;&gt;"", $F81&gt;=CQ$5-4, $F81&lt;=CQ$5, COUNTIF($M81:CP81,"u")=0), "u", "")</f>
        <v/>
      </c>
      <c r="CR81" s="80" t="str">
        <f>IF(AND($F81&lt;&gt;"", $F81&gt;=CR$5-4, $F81&lt;=CR$5, COUNTIF($M81:CQ81,"u")=0), "u", "")</f>
        <v/>
      </c>
      <c r="CS81" s="80" t="str">
        <f>IF(AND($F81&lt;&gt;"", $F81&gt;=CS$5-4, $F81&lt;=CS$5, COUNTIF($M81:CR81,"u")=0), "u", "")</f>
        <v/>
      </c>
      <c r="CT81" s="80" t="str">
        <f>IF(AND($F81&lt;&gt;"", $F81&gt;=CT$5-4, $F81&lt;=CT$5, COUNTIF($M81:CS81,"u")=0), "u", "")</f>
        <v/>
      </c>
      <c r="CU81" s="80" t="str">
        <f>IF(AND($F81&lt;&gt;"", $F81&gt;=CU$5-4, $F81&lt;=CU$5, COUNTIF($M81:CT81,"u")=0), "u", "")</f>
        <v/>
      </c>
      <c r="CV81" s="80" t="str">
        <f>IF(AND($F81&lt;&gt;"", $F81&gt;=CV$5-4, $F81&lt;=CV$5, COUNTIF($M81:CU81,"u")=0), "u", "")</f>
        <v/>
      </c>
      <c r="CW81" s="80" t="str">
        <f>IF(AND($F81&lt;&gt;"", $F81&gt;=CW$5-4, $F81&lt;=CW$5, COUNTIF($M81:CV81,"u")=0), "u", "")</f>
        <v/>
      </c>
      <c r="CX81" s="80" t="str">
        <f>IF(AND($F81&lt;&gt;"", $F81&gt;=CX$5-4, $F81&lt;=CX$5, COUNTIF($M81:CW81,"u")=0), "u", "")</f>
        <v/>
      </c>
      <c r="CY81" s="80" t="str">
        <f>IF(AND($F81&lt;&gt;"", $F81&gt;=CY$5-4, $F81&lt;=CY$5, COUNTIF($M81:CX81,"u")=0), "u", "")</f>
        <v/>
      </c>
      <c r="CZ81" s="80" t="str">
        <f>IF(AND($F81&lt;&gt;"", $F81&gt;=CZ$5-4, $F81&lt;=CZ$5, COUNTIF($M81:CY81,"u")=0), "u", "")</f>
        <v/>
      </c>
      <c r="DA81" s="80" t="str">
        <f>IF(AND($F81&lt;&gt;"", $F81&gt;=DA$5-4, $F81&lt;=DA$5, COUNTIF($M81:CZ81,"u")=0), "u", "")</f>
        <v/>
      </c>
      <c r="DB81" s="80" t="str">
        <f>IF(AND($F81&lt;&gt;"", $F81&gt;=DB$5-4, $F81&lt;=DB$5, COUNTIF($M81:DA81,"u")=0), "u", "")</f>
        <v/>
      </c>
      <c r="DC81" s="80" t="str">
        <f>IF(AND($F81&lt;&gt;"", $F81&gt;=DC$5-4, $F81&lt;=DC$5, COUNTIF($M81:DB81,"u")=0), "u", "")</f>
        <v/>
      </c>
      <c r="DD81" s="80" t="str">
        <f>IF(AND($F81&lt;&gt;"", $F81&gt;=DD$5-4, $F81&lt;=DD$5, COUNTIF($M81:DC81,"u")=0), "u", "")</f>
        <v/>
      </c>
      <c r="DE81" s="80" t="str">
        <f>IF(AND($F81&lt;&gt;"", $F81&gt;=DE$5-4, $F81&lt;=DE$5, COUNTIF($M81:DD81,"u")=0), "u", "")</f>
        <v/>
      </c>
      <c r="DF81" s="80" t="str">
        <f>IF(AND($F81&lt;&gt;"", $F81&gt;=DF$5-4, $F81&lt;=DF$5, COUNTIF($M81:DE81,"u")=0), "u", "")</f>
        <v/>
      </c>
      <c r="DG81" s="80" t="str">
        <f>IF(AND($F81&lt;&gt;"", $F81&gt;=DG$5-4, $F81&lt;=DG$5, COUNTIF($M81:DF81,"u")=0), "u", "")</f>
        <v/>
      </c>
      <c r="DH81" s="80" t="str">
        <f>IF(AND($F81&lt;&gt;"", $F81&gt;=DH$5-4, $F81&lt;=DH$5, COUNTIF($M81:DG81,"u")=0), "u", "")</f>
        <v/>
      </c>
      <c r="DI81" s="80" t="str">
        <f>IF(AND($F81&lt;&gt;"", $F81&gt;=DI$5-4, $F81&lt;=DI$5, COUNTIF($M81:DH81,"u")=0), "u", "")</f>
        <v/>
      </c>
      <c r="DJ81" s="80" t="str">
        <f>IF(AND($F81&lt;&gt;"", $F81&gt;=DJ$5-4, $F81&lt;=DJ$5, COUNTIF($M81:DI81,"u")=0), "u", "")</f>
        <v/>
      </c>
      <c r="DK81" s="80" t="str">
        <f>IF(AND($F81&lt;&gt;"", $F81&gt;=DK$5-4, $F81&lt;=DK$5, COUNTIF($M81:DJ81,"u")=0), "u", "")</f>
        <v/>
      </c>
      <c r="DL81" s="80" t="str">
        <f>IF(AND($F81&lt;&gt;"", $F81&gt;=DL$5-4, $F81&lt;=DL$5, COUNTIF($M81:DK81,"u")=0), "u", "")</f>
        <v/>
      </c>
    </row>
    <row r="82" spans="1:116" ht="25.05" customHeight="1" x14ac:dyDescent="0.3">
      <c r="A82" s="39"/>
      <c r="B82" s="75">
        <v>77</v>
      </c>
      <c r="C82" s="97"/>
      <c r="D82" s="92"/>
      <c r="E82" s="53"/>
      <c r="F82" s="53"/>
      <c r="G82" s="83" t="str">
        <f t="shared" si="47"/>
        <v/>
      </c>
      <c r="H82" s="83" t="str">
        <f t="shared" si="47"/>
        <v/>
      </c>
      <c r="I82" s="77" t="str">
        <f t="shared" si="48"/>
        <v/>
      </c>
      <c r="J82" s="78"/>
      <c r="K82" s="86"/>
      <c r="L82" s="56"/>
      <c r="M82" s="80" t="str">
        <f t="shared" si="49"/>
        <v/>
      </c>
      <c r="N82" s="80" t="str">
        <f>IF(AND($F82&lt;&gt;"", $F82&gt;=N$5-4, $F82&lt;=N$5, COUNTIF($M82:M82,"u")=0), "u", "")</f>
        <v/>
      </c>
      <c r="O82" s="80" t="str">
        <f>IF(AND($F82&lt;&gt;"", $F82&gt;=O$5-4, $F82&lt;=O$5, COUNTIF($M82:N82,"u")=0), "u", "")</f>
        <v/>
      </c>
      <c r="P82" s="80" t="str">
        <f>IF(AND($F82&lt;&gt;"", $F82&gt;=P$5-4, $F82&lt;=P$5, COUNTIF($M82:O82,"u")=0), "u", "")</f>
        <v/>
      </c>
      <c r="Q82" s="80" t="str">
        <f>IF(AND($F82&lt;&gt;"", $F82&gt;=Q$5-4, $F82&lt;=Q$5, COUNTIF($M82:P82,"u")=0), "u", "")</f>
        <v/>
      </c>
      <c r="R82" s="80" t="str">
        <f>IF(AND($F82&lt;&gt;"", $F82&gt;=R$5-4, $F82&lt;=R$5, COUNTIF($M82:Q82,"u")=0), "u", "")</f>
        <v/>
      </c>
      <c r="S82" s="80" t="str">
        <f>IF(AND($F82&lt;&gt;"", $F82&gt;=S$5-4, $F82&lt;=S$5, COUNTIF($M82:R82,"u")=0), "u", "")</f>
        <v/>
      </c>
      <c r="T82" s="80" t="str">
        <f>IF(AND($F82&lt;&gt;"", $F82&gt;=T$5-4, $F82&lt;=T$5, COUNTIF($M82:S82,"u")=0), "u", "")</f>
        <v/>
      </c>
      <c r="U82" s="80" t="str">
        <f>IF(AND($F82&lt;&gt;"", $F82&gt;=U$5-4, $F82&lt;=U$5, COUNTIF($M82:T82,"u")=0), "u", "")</f>
        <v/>
      </c>
      <c r="V82" s="80" t="str">
        <f>IF(AND($F82&lt;&gt;"", $F82&gt;=V$5-4, $F82&lt;=V$5, COUNTIF($M82:U82,"u")=0), "u", "")</f>
        <v/>
      </c>
      <c r="W82" s="80" t="str">
        <f>IF(AND($F82&lt;&gt;"", $F82&gt;=W$5-4, $F82&lt;=W$5, COUNTIF($M82:V82,"u")=0), "u", "")</f>
        <v/>
      </c>
      <c r="X82" s="80" t="str">
        <f>IF(AND($F82&lt;&gt;"", $F82&gt;=X$5-4, $F82&lt;=X$5, COUNTIF($M82:W82,"u")=0), "u", "")</f>
        <v/>
      </c>
      <c r="Y82" s="80" t="str">
        <f>IF(AND($F82&lt;&gt;"", $F82&gt;=Y$5-4, $F82&lt;=Y$5, COUNTIF($M82:X82,"u")=0), "u", "")</f>
        <v/>
      </c>
      <c r="Z82" s="80" t="str">
        <f>IF(AND($F82&lt;&gt;"", $F82&gt;=Z$5-4, $F82&lt;=Z$5, COUNTIF($M82:Y82,"u")=0), "u", "")</f>
        <v/>
      </c>
      <c r="AA82" s="80" t="str">
        <f>IF(AND($F82&lt;&gt;"", $F82&gt;=AA$5-4, $F82&lt;=AA$5, COUNTIF($M82:Z82,"u")=0), "u", "")</f>
        <v/>
      </c>
      <c r="AB82" s="80" t="str">
        <f>IF(AND($F82&lt;&gt;"", $F82&gt;=AB$5-4, $F82&lt;=AB$5, COUNTIF($M82:AA82,"u")=0), "u", "")</f>
        <v/>
      </c>
      <c r="AC82" s="80" t="str">
        <f>IF(AND($F82&lt;&gt;"", $F82&gt;=AC$5-4, $F82&lt;=AC$5, COUNTIF($M82:AB82,"u")=0), "u", "")</f>
        <v/>
      </c>
      <c r="AD82" s="80" t="str">
        <f>IF(AND($F82&lt;&gt;"", $F82&gt;=AD$5-4, $F82&lt;=AD$5, COUNTIF($M82:AC82,"u")=0), "u", "")</f>
        <v/>
      </c>
      <c r="AE82" s="80" t="str">
        <f>IF(AND($F82&lt;&gt;"", $F82&gt;=AE$5-4, $F82&lt;=AE$5, COUNTIF($M82:AD82,"u")=0), "u", "")</f>
        <v/>
      </c>
      <c r="AF82" s="80" t="str">
        <f>IF(AND($F82&lt;&gt;"", $F82&gt;=AF$5-4, $F82&lt;=AF$5, COUNTIF($M82:AE82,"u")=0), "u", "")</f>
        <v/>
      </c>
      <c r="AG82" s="80" t="str">
        <f>IF(AND($F82&lt;&gt;"", $F82&gt;=AG$5-4, $F82&lt;=AG$5, COUNTIF($M82:AF82,"u")=0), "u", "")</f>
        <v/>
      </c>
      <c r="AH82" s="80" t="str">
        <f>IF(AND($F82&lt;&gt;"", $F82&gt;=AH$5-4, $F82&lt;=AH$5, COUNTIF($M82:AG82,"u")=0), "u", "")</f>
        <v/>
      </c>
      <c r="AI82" s="80" t="str">
        <f>IF(AND($F82&lt;&gt;"", $F82&gt;=AI$5-4, $F82&lt;=AI$5, COUNTIF($M82:AH82,"u")=0), "u", "")</f>
        <v/>
      </c>
      <c r="AJ82" s="80" t="str">
        <f>IF(AND($F82&lt;&gt;"", $F82&gt;=AJ$5-4, $F82&lt;=AJ$5, COUNTIF($M82:AI82,"u")=0), "u", "")</f>
        <v/>
      </c>
      <c r="AK82" s="80" t="str">
        <f>IF(AND($F82&lt;&gt;"", $F82&gt;=AK$5-4, $F82&lt;=AK$5, COUNTIF($M82:AJ82,"u")=0), "u", "")</f>
        <v/>
      </c>
      <c r="AL82" s="80" t="str">
        <f>IF(AND($F82&lt;&gt;"", $F82&gt;=AL$5-4, $F82&lt;=AL$5, COUNTIF($M82:AK82,"u")=0), "u", "")</f>
        <v/>
      </c>
      <c r="AM82" s="80" t="str">
        <f>IF(AND($F82&lt;&gt;"", $F82&gt;=AM$5-4, $F82&lt;=AM$5, COUNTIF($M82:AL82,"u")=0), "u", "")</f>
        <v/>
      </c>
      <c r="AN82" s="80" t="str">
        <f>IF(AND($F82&lt;&gt;"", $F82&gt;=AN$5-4, $F82&lt;=AN$5, COUNTIF($M82:AM82,"u")=0), "u", "")</f>
        <v/>
      </c>
      <c r="AO82" s="80" t="str">
        <f>IF(AND($F82&lt;&gt;"", $F82&gt;=AO$5-4, $F82&lt;=AO$5, COUNTIF($M82:AN82,"u")=0), "u", "")</f>
        <v/>
      </c>
      <c r="AP82" s="80" t="str">
        <f>IF(AND($F82&lt;&gt;"", $F82&gt;=AP$5-4, $F82&lt;=AP$5, COUNTIF($M82:AO82,"u")=0), "u", "")</f>
        <v/>
      </c>
      <c r="AQ82" s="80" t="str">
        <f>IF(AND($F82&lt;&gt;"", $F82&gt;=AQ$5-4, $F82&lt;=AQ$5, COUNTIF($M82:AP82,"u")=0), "u", "")</f>
        <v/>
      </c>
      <c r="AR82" s="80" t="str">
        <f>IF(AND($F82&lt;&gt;"", $F82&gt;=AR$5-4, $F82&lt;=AR$5, COUNTIF($M82:AQ82,"u")=0), "u", "")</f>
        <v/>
      </c>
      <c r="AS82" s="80" t="str">
        <f>IF(AND($F82&lt;&gt;"", $F82&gt;=AS$5-4, $F82&lt;=AS$5, COUNTIF($M82:AR82,"u")=0), "u", "")</f>
        <v/>
      </c>
      <c r="AT82" s="80" t="str">
        <f>IF(AND($F82&lt;&gt;"", $F82&gt;=AT$5-4, $F82&lt;=AT$5, COUNTIF($M82:AS82,"u")=0), "u", "")</f>
        <v/>
      </c>
      <c r="AU82" s="80" t="str">
        <f>IF(AND($F82&lt;&gt;"", $F82&gt;=AU$5-4, $F82&lt;=AU$5, COUNTIF($M82:AT82,"u")=0), "u", "")</f>
        <v/>
      </c>
      <c r="AV82" s="80" t="str">
        <f>IF(AND($F82&lt;&gt;"", $F82&gt;=AV$5-4, $F82&lt;=AV$5, COUNTIF($M82:AU82,"u")=0), "u", "")</f>
        <v/>
      </c>
      <c r="AW82" s="80" t="str">
        <f>IF(AND($F82&lt;&gt;"", $F82&gt;=AW$5-4, $F82&lt;=AW$5, COUNTIF($M82:AV82,"u")=0), "u", "")</f>
        <v/>
      </c>
      <c r="AX82" s="80" t="str">
        <f>IF(AND($F82&lt;&gt;"", $F82&gt;=AX$5-4, $F82&lt;=AX$5, COUNTIF($M82:AW82,"u")=0), "u", "")</f>
        <v/>
      </c>
      <c r="AY82" s="80" t="str">
        <f>IF(AND($F82&lt;&gt;"", $F82&gt;=AY$5-4, $F82&lt;=AY$5, COUNTIF($M82:AX82,"u")=0), "u", "")</f>
        <v/>
      </c>
      <c r="AZ82" s="80" t="str">
        <f>IF(AND($F82&lt;&gt;"", $F82&gt;=AZ$5-4, $F82&lt;=AZ$5, COUNTIF($M82:AY82,"u")=0), "u", "")</f>
        <v/>
      </c>
      <c r="BA82" s="80" t="str">
        <f>IF(AND($F82&lt;&gt;"", $F82&gt;=BA$5-4, $F82&lt;=BA$5, COUNTIF($M82:AZ82,"u")=0), "u", "")</f>
        <v/>
      </c>
      <c r="BB82" s="80" t="str">
        <f>IF(AND($F82&lt;&gt;"", $F82&gt;=BB$5-4, $F82&lt;=BB$5, COUNTIF($M82:BA82,"u")=0), "u", "")</f>
        <v/>
      </c>
      <c r="BC82" s="80" t="str">
        <f>IF(AND($F82&lt;&gt;"", $F82&gt;=BC$5-4, $F82&lt;=BC$5, COUNTIF($M82:BB82,"u")=0), "u", "")</f>
        <v/>
      </c>
      <c r="BD82" s="80" t="str">
        <f>IF(AND($F82&lt;&gt;"", $F82&gt;=BD$5-4, $F82&lt;=BD$5, COUNTIF($M82:BC82,"u")=0), "u", "")</f>
        <v/>
      </c>
      <c r="BE82" s="80" t="str">
        <f>IF(AND($F82&lt;&gt;"", $F82&gt;=BE$5-4, $F82&lt;=BE$5, COUNTIF($M82:BD82,"u")=0), "u", "")</f>
        <v/>
      </c>
      <c r="BF82" s="80" t="str">
        <f>IF(AND($F82&lt;&gt;"", $F82&gt;=BF$5-4, $F82&lt;=BF$5, COUNTIF($M82:BE82,"u")=0), "u", "")</f>
        <v/>
      </c>
      <c r="BG82" s="80" t="str">
        <f>IF(AND($F82&lt;&gt;"", $F82&gt;=BG$5-4, $F82&lt;=BG$5, COUNTIF($M82:BF82,"u")=0), "u", "")</f>
        <v/>
      </c>
      <c r="BH82" s="80" t="str">
        <f>IF(AND($F82&lt;&gt;"", $F82&gt;=BH$5-4, $F82&lt;=BH$5, COUNTIF($M82:BG82,"u")=0), "u", "")</f>
        <v/>
      </c>
      <c r="BI82" s="80" t="str">
        <f>IF(AND($F82&lt;&gt;"", $F82&gt;=BI$5-4, $F82&lt;=BI$5, COUNTIF($M82:BH82,"u")=0), "u", "")</f>
        <v/>
      </c>
      <c r="BJ82" s="80" t="str">
        <f>IF(AND($F82&lt;&gt;"", $F82&gt;=BJ$5-4, $F82&lt;=BJ$5, COUNTIF($M82:BI82,"u")=0), "u", "")</f>
        <v/>
      </c>
      <c r="BK82" s="80" t="str">
        <f>IF(AND($F82&lt;&gt;"", $F82&gt;=BK$5-4, $F82&lt;=BK$5, COUNTIF($M82:BJ82,"u")=0), "u", "")</f>
        <v/>
      </c>
      <c r="BL82" s="80" t="str">
        <f>IF(AND($F82&lt;&gt;"", $F82&gt;=BL$5-4, $F82&lt;=BL$5, COUNTIF($M82:BK82,"u")=0), "u", "")</f>
        <v/>
      </c>
      <c r="BM82" s="80" t="str">
        <f>IF(AND($F82&lt;&gt;"", $F82&gt;=BM$5-4, $F82&lt;=BM$5, COUNTIF($M82:BL82,"u")=0), "u", "")</f>
        <v/>
      </c>
      <c r="BN82" s="80" t="str">
        <f>IF(AND($F82&lt;&gt;"", $F82&gt;=BN$5-4, $F82&lt;=BN$5, COUNTIF($M82:BM82,"u")=0), "u", "")</f>
        <v/>
      </c>
      <c r="BO82" s="80" t="str">
        <f>IF(AND($F82&lt;&gt;"", $F82&gt;=BO$5-4, $F82&lt;=BO$5, COUNTIF($M82:BN82,"u")=0), "u", "")</f>
        <v/>
      </c>
      <c r="BP82" s="80" t="str">
        <f>IF(AND($F82&lt;&gt;"", $F82&gt;=BP$5-4, $F82&lt;=BP$5, COUNTIF($M82:BO82,"u")=0), "u", "")</f>
        <v/>
      </c>
      <c r="BQ82" s="80" t="str">
        <f>IF(AND($F82&lt;&gt;"", $F82&gt;=BQ$5-4, $F82&lt;=BQ$5, COUNTIF($M82:BP82,"u")=0), "u", "")</f>
        <v/>
      </c>
      <c r="BR82" s="80" t="str">
        <f>IF(AND($F82&lt;&gt;"", $F82&gt;=BR$5-4, $F82&lt;=BR$5, COUNTIF($M82:BQ82,"u")=0), "u", "")</f>
        <v/>
      </c>
      <c r="BS82" s="80" t="str">
        <f>IF(AND($F82&lt;&gt;"", $F82&gt;=BS$5-4, $F82&lt;=BS$5, COUNTIF($M82:BR82,"u")=0), "u", "")</f>
        <v/>
      </c>
      <c r="BT82" s="80" t="str">
        <f>IF(AND($F82&lt;&gt;"", $F82&gt;=BT$5-4, $F82&lt;=BT$5, COUNTIF($M82:BS82,"u")=0), "u", "")</f>
        <v/>
      </c>
      <c r="BU82" s="80" t="str">
        <f>IF(AND($F82&lt;&gt;"", $F82&gt;=BU$5-4, $F82&lt;=BU$5, COUNTIF($M82:BT82,"u")=0), "u", "")</f>
        <v/>
      </c>
      <c r="BV82" s="80" t="str">
        <f>IF(AND($F82&lt;&gt;"", $F82&gt;=BV$5-4, $F82&lt;=BV$5, COUNTIF($M82:BU82,"u")=0), "u", "")</f>
        <v/>
      </c>
      <c r="BW82" s="80" t="str">
        <f>IF(AND($F82&lt;&gt;"", $F82&gt;=BW$5-4, $F82&lt;=BW$5, COUNTIF($M82:BV82,"u")=0), "u", "")</f>
        <v/>
      </c>
      <c r="BX82" s="80" t="str">
        <f>IF(AND($F82&lt;&gt;"", $F82&gt;=BX$5-4, $F82&lt;=BX$5, COUNTIF($M82:BW82,"u")=0), "u", "")</f>
        <v/>
      </c>
      <c r="BY82" s="80" t="str">
        <f>IF(AND($F82&lt;&gt;"", $F82&gt;=BY$5-4, $F82&lt;=BY$5, COUNTIF($M82:BX82,"u")=0), "u", "")</f>
        <v/>
      </c>
      <c r="BZ82" s="80" t="str">
        <f>IF(AND($F82&lt;&gt;"", $F82&gt;=BZ$5-4, $F82&lt;=BZ$5, COUNTIF($M82:BY82,"u")=0), "u", "")</f>
        <v/>
      </c>
      <c r="CA82" s="80" t="str">
        <f>IF(AND($F82&lt;&gt;"", $F82&gt;=CA$5-4, $F82&lt;=CA$5, COUNTIF($M82:BZ82,"u")=0), "u", "")</f>
        <v/>
      </c>
      <c r="CB82" s="80" t="str">
        <f>IF(AND($F82&lt;&gt;"", $F82&gt;=CB$5-4, $F82&lt;=CB$5, COUNTIF($M82:CA82,"u")=0), "u", "")</f>
        <v/>
      </c>
      <c r="CC82" s="80" t="str">
        <f>IF(AND($F82&lt;&gt;"", $F82&gt;=CC$5-4, $F82&lt;=CC$5, COUNTIF($M82:CB82,"u")=0), "u", "")</f>
        <v/>
      </c>
      <c r="CD82" s="80" t="str">
        <f>IF(AND($F82&lt;&gt;"", $F82&gt;=CD$5-4, $F82&lt;=CD$5, COUNTIF($M82:CC82,"u")=0), "u", "")</f>
        <v/>
      </c>
      <c r="CE82" s="80" t="str">
        <f>IF(AND($F82&lt;&gt;"", $F82&gt;=CE$5-4, $F82&lt;=CE$5, COUNTIF($M82:CD82,"u")=0), "u", "")</f>
        <v/>
      </c>
      <c r="CF82" s="80" t="str">
        <f>IF(AND($F82&lt;&gt;"", $F82&gt;=CF$5-4, $F82&lt;=CF$5, COUNTIF($M82:CE82,"u")=0), "u", "")</f>
        <v/>
      </c>
      <c r="CG82" s="80" t="str">
        <f>IF(AND($F82&lt;&gt;"", $F82&gt;=CG$5-4, $F82&lt;=CG$5, COUNTIF($M82:CF82,"u")=0), "u", "")</f>
        <v/>
      </c>
      <c r="CH82" s="80" t="str">
        <f>IF(AND($F82&lt;&gt;"", $F82&gt;=CH$5-4, $F82&lt;=CH$5, COUNTIF($M82:CG82,"u")=0), "u", "")</f>
        <v/>
      </c>
      <c r="CI82" s="80" t="str">
        <f>IF(AND($F82&lt;&gt;"", $F82&gt;=CI$5-4, $F82&lt;=CI$5, COUNTIF($M82:CH82,"u")=0), "u", "")</f>
        <v/>
      </c>
      <c r="CJ82" s="80" t="str">
        <f>IF(AND($F82&lt;&gt;"", $F82&gt;=CJ$5-4, $F82&lt;=CJ$5, COUNTIF($M82:CI82,"u")=0), "u", "")</f>
        <v/>
      </c>
      <c r="CK82" s="80" t="str">
        <f>IF(AND($F82&lt;&gt;"", $F82&gt;=CK$5-4, $F82&lt;=CK$5, COUNTIF($M82:CJ82,"u")=0), "u", "")</f>
        <v/>
      </c>
      <c r="CL82" s="80" t="str">
        <f>IF(AND($F82&lt;&gt;"", $F82&gt;=CL$5-4, $F82&lt;=CL$5, COUNTIF($M82:CK82,"u")=0), "u", "")</f>
        <v/>
      </c>
      <c r="CM82" s="80" t="str">
        <f>IF(AND($F82&lt;&gt;"", $F82&gt;=CM$5-4, $F82&lt;=CM$5, COUNTIF($M82:CL82,"u")=0), "u", "")</f>
        <v/>
      </c>
      <c r="CN82" s="80" t="str">
        <f>IF(AND($F82&lt;&gt;"", $F82&gt;=CN$5-4, $F82&lt;=CN$5, COUNTIF($M82:CM82,"u")=0), "u", "")</f>
        <v/>
      </c>
      <c r="CO82" s="80" t="str">
        <f>IF(AND($F82&lt;&gt;"", $F82&gt;=CO$5-4, $F82&lt;=CO$5, COUNTIF($M82:CN82,"u")=0), "u", "")</f>
        <v/>
      </c>
      <c r="CP82" s="80" t="str">
        <f>IF(AND($F82&lt;&gt;"", $F82&gt;=CP$5-4, $F82&lt;=CP$5, COUNTIF($M82:CO82,"u")=0), "u", "")</f>
        <v/>
      </c>
      <c r="CQ82" s="80" t="str">
        <f>IF(AND($F82&lt;&gt;"", $F82&gt;=CQ$5-4, $F82&lt;=CQ$5, COUNTIF($M82:CP82,"u")=0), "u", "")</f>
        <v/>
      </c>
      <c r="CR82" s="80" t="str">
        <f>IF(AND($F82&lt;&gt;"", $F82&gt;=CR$5-4, $F82&lt;=CR$5, COUNTIF($M82:CQ82,"u")=0), "u", "")</f>
        <v/>
      </c>
      <c r="CS82" s="80" t="str">
        <f>IF(AND($F82&lt;&gt;"", $F82&gt;=CS$5-4, $F82&lt;=CS$5, COUNTIF($M82:CR82,"u")=0), "u", "")</f>
        <v/>
      </c>
      <c r="CT82" s="80" t="str">
        <f>IF(AND($F82&lt;&gt;"", $F82&gt;=CT$5-4, $F82&lt;=CT$5, COUNTIF($M82:CS82,"u")=0), "u", "")</f>
        <v/>
      </c>
      <c r="CU82" s="80" t="str">
        <f>IF(AND($F82&lt;&gt;"", $F82&gt;=CU$5-4, $F82&lt;=CU$5, COUNTIF($M82:CT82,"u")=0), "u", "")</f>
        <v/>
      </c>
      <c r="CV82" s="80" t="str">
        <f>IF(AND($F82&lt;&gt;"", $F82&gt;=CV$5-4, $F82&lt;=CV$5, COUNTIF($M82:CU82,"u")=0), "u", "")</f>
        <v/>
      </c>
      <c r="CW82" s="80" t="str">
        <f>IF(AND($F82&lt;&gt;"", $F82&gt;=CW$5-4, $F82&lt;=CW$5, COUNTIF($M82:CV82,"u")=0), "u", "")</f>
        <v/>
      </c>
      <c r="CX82" s="80" t="str">
        <f>IF(AND($F82&lt;&gt;"", $F82&gt;=CX$5-4, $F82&lt;=CX$5, COUNTIF($M82:CW82,"u")=0), "u", "")</f>
        <v/>
      </c>
      <c r="CY82" s="80" t="str">
        <f>IF(AND($F82&lt;&gt;"", $F82&gt;=CY$5-4, $F82&lt;=CY$5, COUNTIF($M82:CX82,"u")=0), "u", "")</f>
        <v/>
      </c>
      <c r="CZ82" s="80" t="str">
        <f>IF(AND($F82&lt;&gt;"", $F82&gt;=CZ$5-4, $F82&lt;=CZ$5, COUNTIF($M82:CY82,"u")=0), "u", "")</f>
        <v/>
      </c>
      <c r="DA82" s="80" t="str">
        <f>IF(AND($F82&lt;&gt;"", $F82&gt;=DA$5-4, $F82&lt;=DA$5, COUNTIF($M82:CZ82,"u")=0), "u", "")</f>
        <v/>
      </c>
      <c r="DB82" s="80" t="str">
        <f>IF(AND($F82&lt;&gt;"", $F82&gt;=DB$5-4, $F82&lt;=DB$5, COUNTIF($M82:DA82,"u")=0), "u", "")</f>
        <v/>
      </c>
      <c r="DC82" s="80" t="str">
        <f>IF(AND($F82&lt;&gt;"", $F82&gt;=DC$5-4, $F82&lt;=DC$5, COUNTIF($M82:DB82,"u")=0), "u", "")</f>
        <v/>
      </c>
      <c r="DD82" s="80" t="str">
        <f>IF(AND($F82&lt;&gt;"", $F82&gt;=DD$5-4, $F82&lt;=DD$5, COUNTIF($M82:DC82,"u")=0), "u", "")</f>
        <v/>
      </c>
      <c r="DE82" s="80" t="str">
        <f>IF(AND($F82&lt;&gt;"", $F82&gt;=DE$5-4, $F82&lt;=DE$5, COUNTIF($M82:DD82,"u")=0), "u", "")</f>
        <v/>
      </c>
      <c r="DF82" s="80" t="str">
        <f>IF(AND($F82&lt;&gt;"", $F82&gt;=DF$5-4, $F82&lt;=DF$5, COUNTIF($M82:DE82,"u")=0), "u", "")</f>
        <v/>
      </c>
      <c r="DG82" s="80" t="str">
        <f>IF(AND($F82&lt;&gt;"", $F82&gt;=DG$5-4, $F82&lt;=DG$5, COUNTIF($M82:DF82,"u")=0), "u", "")</f>
        <v/>
      </c>
      <c r="DH82" s="80" t="str">
        <f>IF(AND($F82&lt;&gt;"", $F82&gt;=DH$5-4, $F82&lt;=DH$5, COUNTIF($M82:DG82,"u")=0), "u", "")</f>
        <v/>
      </c>
      <c r="DI82" s="80" t="str">
        <f>IF(AND($F82&lt;&gt;"", $F82&gt;=DI$5-4, $F82&lt;=DI$5, COUNTIF($M82:DH82,"u")=0), "u", "")</f>
        <v/>
      </c>
      <c r="DJ82" s="80" t="str">
        <f>IF(AND($F82&lt;&gt;"", $F82&gt;=DJ$5-4, $F82&lt;=DJ$5, COUNTIF($M82:DI82,"u")=0), "u", "")</f>
        <v/>
      </c>
      <c r="DK82" s="80" t="str">
        <f>IF(AND($F82&lt;&gt;"", $F82&gt;=DK$5-4, $F82&lt;=DK$5, COUNTIF($M82:DJ82,"u")=0), "u", "")</f>
        <v/>
      </c>
      <c r="DL82" s="80" t="str">
        <f>IF(AND($F82&lt;&gt;"", $F82&gt;=DL$5-4, $F82&lt;=DL$5, COUNTIF($M82:DK82,"u")=0), "u", "")</f>
        <v/>
      </c>
    </row>
    <row r="83" spans="1:116" ht="25.05" customHeight="1" x14ac:dyDescent="0.3">
      <c r="A83" s="39"/>
      <c r="B83" s="75">
        <v>78</v>
      </c>
      <c r="C83" s="97"/>
      <c r="D83" s="92"/>
      <c r="E83" s="53"/>
      <c r="F83" s="53"/>
      <c r="G83" s="83" t="str">
        <f t="shared" si="47"/>
        <v/>
      </c>
      <c r="H83" s="83" t="str">
        <f t="shared" si="47"/>
        <v/>
      </c>
      <c r="I83" s="77" t="str">
        <f t="shared" si="48"/>
        <v/>
      </c>
      <c r="J83" s="78"/>
      <c r="K83" s="86"/>
      <c r="L83" s="56"/>
      <c r="M83" s="80" t="str">
        <f t="shared" si="49"/>
        <v/>
      </c>
      <c r="N83" s="80" t="str">
        <f>IF(AND($F83&lt;&gt;"", $F83&gt;=N$5-4, $F83&lt;=N$5, COUNTIF($M83:M83,"u")=0), "u", "")</f>
        <v/>
      </c>
      <c r="O83" s="80" t="str">
        <f>IF(AND($F83&lt;&gt;"", $F83&gt;=O$5-4, $F83&lt;=O$5, COUNTIF($M83:N83,"u")=0), "u", "")</f>
        <v/>
      </c>
      <c r="P83" s="80" t="str">
        <f>IF(AND($F83&lt;&gt;"", $F83&gt;=P$5-4, $F83&lt;=P$5, COUNTIF($M83:O83,"u")=0), "u", "")</f>
        <v/>
      </c>
      <c r="Q83" s="80" t="str">
        <f>IF(AND($F83&lt;&gt;"", $F83&gt;=Q$5-4, $F83&lt;=Q$5, COUNTIF($M83:P83,"u")=0), "u", "")</f>
        <v/>
      </c>
      <c r="R83" s="80" t="str">
        <f>IF(AND($F83&lt;&gt;"", $F83&gt;=R$5-4, $F83&lt;=R$5, COUNTIF($M83:Q83,"u")=0), "u", "")</f>
        <v/>
      </c>
      <c r="S83" s="80" t="str">
        <f>IF(AND($F83&lt;&gt;"", $F83&gt;=S$5-4, $F83&lt;=S$5, COUNTIF($M83:R83,"u")=0), "u", "")</f>
        <v/>
      </c>
      <c r="T83" s="80" t="str">
        <f>IF(AND($F83&lt;&gt;"", $F83&gt;=T$5-4, $F83&lt;=T$5, COUNTIF($M83:S83,"u")=0), "u", "")</f>
        <v/>
      </c>
      <c r="U83" s="80" t="str">
        <f>IF(AND($F83&lt;&gt;"", $F83&gt;=U$5-4, $F83&lt;=U$5, COUNTIF($M83:T83,"u")=0), "u", "")</f>
        <v/>
      </c>
      <c r="V83" s="80" t="str">
        <f>IF(AND($F83&lt;&gt;"", $F83&gt;=V$5-4, $F83&lt;=V$5, COUNTIF($M83:U83,"u")=0), "u", "")</f>
        <v/>
      </c>
      <c r="W83" s="80" t="str">
        <f>IF(AND($F83&lt;&gt;"", $F83&gt;=W$5-4, $F83&lt;=W$5, COUNTIF($M83:V83,"u")=0), "u", "")</f>
        <v/>
      </c>
      <c r="X83" s="80" t="str">
        <f>IF(AND($F83&lt;&gt;"", $F83&gt;=X$5-4, $F83&lt;=X$5, COUNTIF($M83:W83,"u")=0), "u", "")</f>
        <v/>
      </c>
      <c r="Y83" s="80" t="str">
        <f>IF(AND($F83&lt;&gt;"", $F83&gt;=Y$5-4, $F83&lt;=Y$5, COUNTIF($M83:X83,"u")=0), "u", "")</f>
        <v/>
      </c>
      <c r="Z83" s="80" t="str">
        <f>IF(AND($F83&lt;&gt;"", $F83&gt;=Z$5-4, $F83&lt;=Z$5, COUNTIF($M83:Y83,"u")=0), "u", "")</f>
        <v/>
      </c>
      <c r="AA83" s="80" t="str">
        <f>IF(AND($F83&lt;&gt;"", $F83&gt;=AA$5-4, $F83&lt;=AA$5, COUNTIF($M83:Z83,"u")=0), "u", "")</f>
        <v/>
      </c>
      <c r="AB83" s="80" t="str">
        <f>IF(AND($F83&lt;&gt;"", $F83&gt;=AB$5-4, $F83&lt;=AB$5, COUNTIF($M83:AA83,"u")=0), "u", "")</f>
        <v/>
      </c>
      <c r="AC83" s="80" t="str">
        <f>IF(AND($F83&lt;&gt;"", $F83&gt;=AC$5-4, $F83&lt;=AC$5, COUNTIF($M83:AB83,"u")=0), "u", "")</f>
        <v/>
      </c>
      <c r="AD83" s="80" t="str">
        <f>IF(AND($F83&lt;&gt;"", $F83&gt;=AD$5-4, $F83&lt;=AD$5, COUNTIF($M83:AC83,"u")=0), "u", "")</f>
        <v/>
      </c>
      <c r="AE83" s="80" t="str">
        <f>IF(AND($F83&lt;&gt;"", $F83&gt;=AE$5-4, $F83&lt;=AE$5, COUNTIF($M83:AD83,"u")=0), "u", "")</f>
        <v/>
      </c>
      <c r="AF83" s="80" t="str">
        <f>IF(AND($F83&lt;&gt;"", $F83&gt;=AF$5-4, $F83&lt;=AF$5, COUNTIF($M83:AE83,"u")=0), "u", "")</f>
        <v/>
      </c>
      <c r="AG83" s="80" t="str">
        <f>IF(AND($F83&lt;&gt;"", $F83&gt;=AG$5-4, $F83&lt;=AG$5, COUNTIF($M83:AF83,"u")=0), "u", "")</f>
        <v/>
      </c>
      <c r="AH83" s="80" t="str">
        <f>IF(AND($F83&lt;&gt;"", $F83&gt;=AH$5-4, $F83&lt;=AH$5, COUNTIF($M83:AG83,"u")=0), "u", "")</f>
        <v/>
      </c>
      <c r="AI83" s="80" t="str">
        <f>IF(AND($F83&lt;&gt;"", $F83&gt;=AI$5-4, $F83&lt;=AI$5, COUNTIF($M83:AH83,"u")=0), "u", "")</f>
        <v/>
      </c>
      <c r="AJ83" s="80" t="str">
        <f>IF(AND($F83&lt;&gt;"", $F83&gt;=AJ$5-4, $F83&lt;=AJ$5, COUNTIF($M83:AI83,"u")=0), "u", "")</f>
        <v/>
      </c>
      <c r="AK83" s="80" t="str">
        <f>IF(AND($F83&lt;&gt;"", $F83&gt;=AK$5-4, $F83&lt;=AK$5, COUNTIF($M83:AJ83,"u")=0), "u", "")</f>
        <v/>
      </c>
      <c r="AL83" s="80" t="str">
        <f>IF(AND($F83&lt;&gt;"", $F83&gt;=AL$5-4, $F83&lt;=AL$5, COUNTIF($M83:AK83,"u")=0), "u", "")</f>
        <v/>
      </c>
      <c r="AM83" s="80" t="str">
        <f>IF(AND($F83&lt;&gt;"", $F83&gt;=AM$5-4, $F83&lt;=AM$5, COUNTIF($M83:AL83,"u")=0), "u", "")</f>
        <v/>
      </c>
      <c r="AN83" s="80" t="str">
        <f>IF(AND($F83&lt;&gt;"", $F83&gt;=AN$5-4, $F83&lt;=AN$5, COUNTIF($M83:AM83,"u")=0), "u", "")</f>
        <v/>
      </c>
      <c r="AO83" s="80" t="str">
        <f>IF(AND($F83&lt;&gt;"", $F83&gt;=AO$5-4, $F83&lt;=AO$5, COUNTIF($M83:AN83,"u")=0), "u", "")</f>
        <v/>
      </c>
      <c r="AP83" s="80" t="str">
        <f>IF(AND($F83&lt;&gt;"", $F83&gt;=AP$5-4, $F83&lt;=AP$5, COUNTIF($M83:AO83,"u")=0), "u", "")</f>
        <v/>
      </c>
      <c r="AQ83" s="80" t="str">
        <f>IF(AND($F83&lt;&gt;"", $F83&gt;=AQ$5-4, $F83&lt;=AQ$5, COUNTIF($M83:AP83,"u")=0), "u", "")</f>
        <v/>
      </c>
      <c r="AR83" s="80" t="str">
        <f>IF(AND($F83&lt;&gt;"", $F83&gt;=AR$5-4, $F83&lt;=AR$5, COUNTIF($M83:AQ83,"u")=0), "u", "")</f>
        <v/>
      </c>
      <c r="AS83" s="80" t="str">
        <f>IF(AND($F83&lt;&gt;"", $F83&gt;=AS$5-4, $F83&lt;=AS$5, COUNTIF($M83:AR83,"u")=0), "u", "")</f>
        <v/>
      </c>
      <c r="AT83" s="80" t="str">
        <f>IF(AND($F83&lt;&gt;"", $F83&gt;=AT$5-4, $F83&lt;=AT$5, COUNTIF($M83:AS83,"u")=0), "u", "")</f>
        <v/>
      </c>
      <c r="AU83" s="80" t="str">
        <f>IF(AND($F83&lt;&gt;"", $F83&gt;=AU$5-4, $F83&lt;=AU$5, COUNTIF($M83:AT83,"u")=0), "u", "")</f>
        <v/>
      </c>
      <c r="AV83" s="80" t="str">
        <f>IF(AND($F83&lt;&gt;"", $F83&gt;=AV$5-4, $F83&lt;=AV$5, COUNTIF($M83:AU83,"u")=0), "u", "")</f>
        <v/>
      </c>
      <c r="AW83" s="80" t="str">
        <f>IF(AND($F83&lt;&gt;"", $F83&gt;=AW$5-4, $F83&lt;=AW$5, COUNTIF($M83:AV83,"u")=0), "u", "")</f>
        <v/>
      </c>
      <c r="AX83" s="80" t="str">
        <f>IF(AND($F83&lt;&gt;"", $F83&gt;=AX$5-4, $F83&lt;=AX$5, COUNTIF($M83:AW83,"u")=0), "u", "")</f>
        <v/>
      </c>
      <c r="AY83" s="80" t="str">
        <f>IF(AND($F83&lt;&gt;"", $F83&gt;=AY$5-4, $F83&lt;=AY$5, COUNTIF($M83:AX83,"u")=0), "u", "")</f>
        <v/>
      </c>
      <c r="AZ83" s="80" t="str">
        <f>IF(AND($F83&lt;&gt;"", $F83&gt;=AZ$5-4, $F83&lt;=AZ$5, COUNTIF($M83:AY83,"u")=0), "u", "")</f>
        <v/>
      </c>
      <c r="BA83" s="80" t="str">
        <f>IF(AND($F83&lt;&gt;"", $F83&gt;=BA$5-4, $F83&lt;=BA$5, COUNTIF($M83:AZ83,"u")=0), "u", "")</f>
        <v/>
      </c>
      <c r="BB83" s="80" t="str">
        <f>IF(AND($F83&lt;&gt;"", $F83&gt;=BB$5-4, $F83&lt;=BB$5, COUNTIF($M83:BA83,"u")=0), "u", "")</f>
        <v/>
      </c>
      <c r="BC83" s="80" t="str">
        <f>IF(AND($F83&lt;&gt;"", $F83&gt;=BC$5-4, $F83&lt;=BC$5, COUNTIF($M83:BB83,"u")=0), "u", "")</f>
        <v/>
      </c>
      <c r="BD83" s="80" t="str">
        <f>IF(AND($F83&lt;&gt;"", $F83&gt;=BD$5-4, $F83&lt;=BD$5, COUNTIF($M83:BC83,"u")=0), "u", "")</f>
        <v/>
      </c>
      <c r="BE83" s="80" t="str">
        <f>IF(AND($F83&lt;&gt;"", $F83&gt;=BE$5-4, $F83&lt;=BE$5, COUNTIF($M83:BD83,"u")=0), "u", "")</f>
        <v/>
      </c>
      <c r="BF83" s="80" t="str">
        <f>IF(AND($F83&lt;&gt;"", $F83&gt;=BF$5-4, $F83&lt;=BF$5, COUNTIF($M83:BE83,"u")=0), "u", "")</f>
        <v/>
      </c>
      <c r="BG83" s="80" t="str">
        <f>IF(AND($F83&lt;&gt;"", $F83&gt;=BG$5-4, $F83&lt;=BG$5, COUNTIF($M83:BF83,"u")=0), "u", "")</f>
        <v/>
      </c>
      <c r="BH83" s="80" t="str">
        <f>IF(AND($F83&lt;&gt;"", $F83&gt;=BH$5-4, $F83&lt;=BH$5, COUNTIF($M83:BG83,"u")=0), "u", "")</f>
        <v/>
      </c>
      <c r="BI83" s="80" t="str">
        <f>IF(AND($F83&lt;&gt;"", $F83&gt;=BI$5-4, $F83&lt;=BI$5, COUNTIF($M83:BH83,"u")=0), "u", "")</f>
        <v/>
      </c>
      <c r="BJ83" s="80" t="str">
        <f>IF(AND($F83&lt;&gt;"", $F83&gt;=BJ$5-4, $F83&lt;=BJ$5, COUNTIF($M83:BI83,"u")=0), "u", "")</f>
        <v/>
      </c>
      <c r="BK83" s="80" t="str">
        <f>IF(AND($F83&lt;&gt;"", $F83&gt;=BK$5-4, $F83&lt;=BK$5, COUNTIF($M83:BJ83,"u")=0), "u", "")</f>
        <v/>
      </c>
      <c r="BL83" s="80" t="str">
        <f>IF(AND($F83&lt;&gt;"", $F83&gt;=BL$5-4, $F83&lt;=BL$5, COUNTIF($M83:BK83,"u")=0), "u", "")</f>
        <v/>
      </c>
      <c r="BM83" s="80" t="str">
        <f>IF(AND($F83&lt;&gt;"", $F83&gt;=BM$5-4, $F83&lt;=BM$5, COUNTIF($M83:BL83,"u")=0), "u", "")</f>
        <v/>
      </c>
      <c r="BN83" s="80" t="str">
        <f>IF(AND($F83&lt;&gt;"", $F83&gt;=BN$5-4, $F83&lt;=BN$5, COUNTIF($M83:BM83,"u")=0), "u", "")</f>
        <v/>
      </c>
      <c r="BO83" s="80" t="str">
        <f>IF(AND($F83&lt;&gt;"", $F83&gt;=BO$5-4, $F83&lt;=BO$5, COUNTIF($M83:BN83,"u")=0), "u", "")</f>
        <v/>
      </c>
      <c r="BP83" s="80" t="str">
        <f>IF(AND($F83&lt;&gt;"", $F83&gt;=BP$5-4, $F83&lt;=BP$5, COUNTIF($M83:BO83,"u")=0), "u", "")</f>
        <v/>
      </c>
      <c r="BQ83" s="80" t="str">
        <f>IF(AND($F83&lt;&gt;"", $F83&gt;=BQ$5-4, $F83&lt;=BQ$5, COUNTIF($M83:BP83,"u")=0), "u", "")</f>
        <v/>
      </c>
      <c r="BR83" s="80" t="str">
        <f>IF(AND($F83&lt;&gt;"", $F83&gt;=BR$5-4, $F83&lt;=BR$5, COUNTIF($M83:BQ83,"u")=0), "u", "")</f>
        <v/>
      </c>
      <c r="BS83" s="80" t="str">
        <f>IF(AND($F83&lt;&gt;"", $F83&gt;=BS$5-4, $F83&lt;=BS$5, COUNTIF($M83:BR83,"u")=0), "u", "")</f>
        <v/>
      </c>
      <c r="BT83" s="80" t="str">
        <f>IF(AND($F83&lt;&gt;"", $F83&gt;=BT$5-4, $F83&lt;=BT$5, COUNTIF($M83:BS83,"u")=0), "u", "")</f>
        <v/>
      </c>
      <c r="BU83" s="80" t="str">
        <f>IF(AND($F83&lt;&gt;"", $F83&gt;=BU$5-4, $F83&lt;=BU$5, COUNTIF($M83:BT83,"u")=0), "u", "")</f>
        <v/>
      </c>
      <c r="BV83" s="80" t="str">
        <f>IF(AND($F83&lt;&gt;"", $F83&gt;=BV$5-4, $F83&lt;=BV$5, COUNTIF($M83:BU83,"u")=0), "u", "")</f>
        <v/>
      </c>
      <c r="BW83" s="80" t="str">
        <f>IF(AND($F83&lt;&gt;"", $F83&gt;=BW$5-4, $F83&lt;=BW$5, COUNTIF($M83:BV83,"u")=0), "u", "")</f>
        <v/>
      </c>
      <c r="BX83" s="80" t="str">
        <f>IF(AND($F83&lt;&gt;"", $F83&gt;=BX$5-4, $F83&lt;=BX$5, COUNTIF($M83:BW83,"u")=0), "u", "")</f>
        <v/>
      </c>
      <c r="BY83" s="80" t="str">
        <f>IF(AND($F83&lt;&gt;"", $F83&gt;=BY$5-4, $F83&lt;=BY$5, COUNTIF($M83:BX83,"u")=0), "u", "")</f>
        <v/>
      </c>
      <c r="BZ83" s="80" t="str">
        <f>IF(AND($F83&lt;&gt;"", $F83&gt;=BZ$5-4, $F83&lt;=BZ$5, COUNTIF($M83:BY83,"u")=0), "u", "")</f>
        <v/>
      </c>
      <c r="CA83" s="80" t="str">
        <f>IF(AND($F83&lt;&gt;"", $F83&gt;=CA$5-4, $F83&lt;=CA$5, COUNTIF($M83:BZ83,"u")=0), "u", "")</f>
        <v/>
      </c>
      <c r="CB83" s="80" t="str">
        <f>IF(AND($F83&lt;&gt;"", $F83&gt;=CB$5-4, $F83&lt;=CB$5, COUNTIF($M83:CA83,"u")=0), "u", "")</f>
        <v/>
      </c>
      <c r="CC83" s="80" t="str">
        <f>IF(AND($F83&lt;&gt;"", $F83&gt;=CC$5-4, $F83&lt;=CC$5, COUNTIF($M83:CB83,"u")=0), "u", "")</f>
        <v/>
      </c>
      <c r="CD83" s="80" t="str">
        <f>IF(AND($F83&lt;&gt;"", $F83&gt;=CD$5-4, $F83&lt;=CD$5, COUNTIF($M83:CC83,"u")=0), "u", "")</f>
        <v/>
      </c>
      <c r="CE83" s="80" t="str">
        <f>IF(AND($F83&lt;&gt;"", $F83&gt;=CE$5-4, $F83&lt;=CE$5, COUNTIF($M83:CD83,"u")=0), "u", "")</f>
        <v/>
      </c>
      <c r="CF83" s="80" t="str">
        <f>IF(AND($F83&lt;&gt;"", $F83&gt;=CF$5-4, $F83&lt;=CF$5, COUNTIF($M83:CE83,"u")=0), "u", "")</f>
        <v/>
      </c>
      <c r="CG83" s="80" t="str">
        <f>IF(AND($F83&lt;&gt;"", $F83&gt;=CG$5-4, $F83&lt;=CG$5, COUNTIF($M83:CF83,"u")=0), "u", "")</f>
        <v/>
      </c>
      <c r="CH83" s="80" t="str">
        <f>IF(AND($F83&lt;&gt;"", $F83&gt;=CH$5-4, $F83&lt;=CH$5, COUNTIF($M83:CG83,"u")=0), "u", "")</f>
        <v/>
      </c>
      <c r="CI83" s="80" t="str">
        <f>IF(AND($F83&lt;&gt;"", $F83&gt;=CI$5-4, $F83&lt;=CI$5, COUNTIF($M83:CH83,"u")=0), "u", "")</f>
        <v/>
      </c>
      <c r="CJ83" s="80" t="str">
        <f>IF(AND($F83&lt;&gt;"", $F83&gt;=CJ$5-4, $F83&lt;=CJ$5, COUNTIF($M83:CI83,"u")=0), "u", "")</f>
        <v/>
      </c>
      <c r="CK83" s="80" t="str">
        <f>IF(AND($F83&lt;&gt;"", $F83&gt;=CK$5-4, $F83&lt;=CK$5, COUNTIF($M83:CJ83,"u")=0), "u", "")</f>
        <v/>
      </c>
      <c r="CL83" s="80" t="str">
        <f>IF(AND($F83&lt;&gt;"", $F83&gt;=CL$5-4, $F83&lt;=CL$5, COUNTIF($M83:CK83,"u")=0), "u", "")</f>
        <v/>
      </c>
      <c r="CM83" s="80" t="str">
        <f>IF(AND($F83&lt;&gt;"", $F83&gt;=CM$5-4, $F83&lt;=CM$5, COUNTIF($M83:CL83,"u")=0), "u", "")</f>
        <v/>
      </c>
      <c r="CN83" s="80" t="str">
        <f>IF(AND($F83&lt;&gt;"", $F83&gt;=CN$5-4, $F83&lt;=CN$5, COUNTIF($M83:CM83,"u")=0), "u", "")</f>
        <v/>
      </c>
      <c r="CO83" s="80" t="str">
        <f>IF(AND($F83&lt;&gt;"", $F83&gt;=CO$5-4, $F83&lt;=CO$5, COUNTIF($M83:CN83,"u")=0), "u", "")</f>
        <v/>
      </c>
      <c r="CP83" s="80" t="str">
        <f>IF(AND($F83&lt;&gt;"", $F83&gt;=CP$5-4, $F83&lt;=CP$5, COUNTIF($M83:CO83,"u")=0), "u", "")</f>
        <v/>
      </c>
      <c r="CQ83" s="80" t="str">
        <f>IF(AND($F83&lt;&gt;"", $F83&gt;=CQ$5-4, $F83&lt;=CQ$5, COUNTIF($M83:CP83,"u")=0), "u", "")</f>
        <v/>
      </c>
      <c r="CR83" s="80" t="str">
        <f>IF(AND($F83&lt;&gt;"", $F83&gt;=CR$5-4, $F83&lt;=CR$5, COUNTIF($M83:CQ83,"u")=0), "u", "")</f>
        <v/>
      </c>
      <c r="CS83" s="80" t="str">
        <f>IF(AND($F83&lt;&gt;"", $F83&gt;=CS$5-4, $F83&lt;=CS$5, COUNTIF($M83:CR83,"u")=0), "u", "")</f>
        <v/>
      </c>
      <c r="CT83" s="80" t="str">
        <f>IF(AND($F83&lt;&gt;"", $F83&gt;=CT$5-4, $F83&lt;=CT$5, COUNTIF($M83:CS83,"u")=0), "u", "")</f>
        <v/>
      </c>
      <c r="CU83" s="80" t="str">
        <f>IF(AND($F83&lt;&gt;"", $F83&gt;=CU$5-4, $F83&lt;=CU$5, COUNTIF($M83:CT83,"u")=0), "u", "")</f>
        <v/>
      </c>
      <c r="CV83" s="80" t="str">
        <f>IF(AND($F83&lt;&gt;"", $F83&gt;=CV$5-4, $F83&lt;=CV$5, COUNTIF($M83:CU83,"u")=0), "u", "")</f>
        <v/>
      </c>
      <c r="CW83" s="80" t="str">
        <f>IF(AND($F83&lt;&gt;"", $F83&gt;=CW$5-4, $F83&lt;=CW$5, COUNTIF($M83:CV83,"u")=0), "u", "")</f>
        <v/>
      </c>
      <c r="CX83" s="80" t="str">
        <f>IF(AND($F83&lt;&gt;"", $F83&gt;=CX$5-4, $F83&lt;=CX$5, COUNTIF($M83:CW83,"u")=0), "u", "")</f>
        <v/>
      </c>
      <c r="CY83" s="80" t="str">
        <f>IF(AND($F83&lt;&gt;"", $F83&gt;=CY$5-4, $F83&lt;=CY$5, COUNTIF($M83:CX83,"u")=0), "u", "")</f>
        <v/>
      </c>
      <c r="CZ83" s="80" t="str">
        <f>IF(AND($F83&lt;&gt;"", $F83&gt;=CZ$5-4, $F83&lt;=CZ$5, COUNTIF($M83:CY83,"u")=0), "u", "")</f>
        <v/>
      </c>
      <c r="DA83" s="80" t="str">
        <f>IF(AND($F83&lt;&gt;"", $F83&gt;=DA$5-4, $F83&lt;=DA$5, COUNTIF($M83:CZ83,"u")=0), "u", "")</f>
        <v/>
      </c>
      <c r="DB83" s="80" t="str">
        <f>IF(AND($F83&lt;&gt;"", $F83&gt;=DB$5-4, $F83&lt;=DB$5, COUNTIF($M83:DA83,"u")=0), "u", "")</f>
        <v/>
      </c>
      <c r="DC83" s="80" t="str">
        <f>IF(AND($F83&lt;&gt;"", $F83&gt;=DC$5-4, $F83&lt;=DC$5, COUNTIF($M83:DB83,"u")=0), "u", "")</f>
        <v/>
      </c>
      <c r="DD83" s="80" t="str">
        <f>IF(AND($F83&lt;&gt;"", $F83&gt;=DD$5-4, $F83&lt;=DD$5, COUNTIF($M83:DC83,"u")=0), "u", "")</f>
        <v/>
      </c>
      <c r="DE83" s="80" t="str">
        <f>IF(AND($F83&lt;&gt;"", $F83&gt;=DE$5-4, $F83&lt;=DE$5, COUNTIF($M83:DD83,"u")=0), "u", "")</f>
        <v/>
      </c>
      <c r="DF83" s="80" t="str">
        <f>IF(AND($F83&lt;&gt;"", $F83&gt;=DF$5-4, $F83&lt;=DF$5, COUNTIF($M83:DE83,"u")=0), "u", "")</f>
        <v/>
      </c>
      <c r="DG83" s="80" t="str">
        <f>IF(AND($F83&lt;&gt;"", $F83&gt;=DG$5-4, $F83&lt;=DG$5, COUNTIF($M83:DF83,"u")=0), "u", "")</f>
        <v/>
      </c>
      <c r="DH83" s="80" t="str">
        <f>IF(AND($F83&lt;&gt;"", $F83&gt;=DH$5-4, $F83&lt;=DH$5, COUNTIF($M83:DG83,"u")=0), "u", "")</f>
        <v/>
      </c>
      <c r="DI83" s="80" t="str">
        <f>IF(AND($F83&lt;&gt;"", $F83&gt;=DI$5-4, $F83&lt;=DI$5, COUNTIF($M83:DH83,"u")=0), "u", "")</f>
        <v/>
      </c>
      <c r="DJ83" s="80" t="str">
        <f>IF(AND($F83&lt;&gt;"", $F83&gt;=DJ$5-4, $F83&lt;=DJ$5, COUNTIF($M83:DI83,"u")=0), "u", "")</f>
        <v/>
      </c>
      <c r="DK83" s="80" t="str">
        <f>IF(AND($F83&lt;&gt;"", $F83&gt;=DK$5-4, $F83&lt;=DK$5, COUNTIF($M83:DJ83,"u")=0), "u", "")</f>
        <v/>
      </c>
      <c r="DL83" s="80" t="str">
        <f>IF(AND($F83&lt;&gt;"", $F83&gt;=DL$5-4, $F83&lt;=DL$5, COUNTIF($M83:DK83,"u")=0), "u", "")</f>
        <v/>
      </c>
    </row>
    <row r="84" spans="1:116" ht="25.05" customHeight="1" x14ac:dyDescent="0.3">
      <c r="A84" s="39"/>
      <c r="B84" s="75">
        <v>79</v>
      </c>
      <c r="C84" s="97"/>
      <c r="D84" s="92"/>
      <c r="E84" s="53"/>
      <c r="F84" s="53"/>
      <c r="G84" s="83" t="str">
        <f t="shared" si="47"/>
        <v/>
      </c>
      <c r="H84" s="83" t="str">
        <f t="shared" si="47"/>
        <v/>
      </c>
      <c r="I84" s="77" t="str">
        <f t="shared" si="48"/>
        <v/>
      </c>
      <c r="J84" s="78"/>
      <c r="K84" s="86"/>
      <c r="L84" s="56"/>
      <c r="M84" s="80" t="str">
        <f t="shared" si="49"/>
        <v/>
      </c>
      <c r="N84" s="80" t="str">
        <f>IF(AND($F84&lt;&gt;"", $F84&gt;=N$5-4, $F84&lt;=N$5, COUNTIF($M84:M84,"u")=0), "u", "")</f>
        <v/>
      </c>
      <c r="O84" s="80" t="str">
        <f>IF(AND($F84&lt;&gt;"", $F84&gt;=O$5-4, $F84&lt;=O$5, COUNTIF($M84:N84,"u")=0), "u", "")</f>
        <v/>
      </c>
      <c r="P84" s="80" t="str">
        <f>IF(AND($F84&lt;&gt;"", $F84&gt;=P$5-4, $F84&lt;=P$5, COUNTIF($M84:O84,"u")=0), "u", "")</f>
        <v/>
      </c>
      <c r="Q84" s="80" t="str">
        <f>IF(AND($F84&lt;&gt;"", $F84&gt;=Q$5-4, $F84&lt;=Q$5, COUNTIF($M84:P84,"u")=0), "u", "")</f>
        <v/>
      </c>
      <c r="R84" s="80" t="str">
        <f>IF(AND($F84&lt;&gt;"", $F84&gt;=R$5-4, $F84&lt;=R$5, COUNTIF($M84:Q84,"u")=0), "u", "")</f>
        <v/>
      </c>
      <c r="S84" s="80" t="str">
        <f>IF(AND($F84&lt;&gt;"", $F84&gt;=S$5-4, $F84&lt;=S$5, COUNTIF($M84:R84,"u")=0), "u", "")</f>
        <v/>
      </c>
      <c r="T84" s="80" t="str">
        <f>IF(AND($F84&lt;&gt;"", $F84&gt;=T$5-4, $F84&lt;=T$5, COUNTIF($M84:S84,"u")=0), "u", "")</f>
        <v/>
      </c>
      <c r="U84" s="80" t="str">
        <f>IF(AND($F84&lt;&gt;"", $F84&gt;=U$5-4, $F84&lt;=U$5, COUNTIF($M84:T84,"u")=0), "u", "")</f>
        <v/>
      </c>
      <c r="V84" s="80" t="str">
        <f>IF(AND($F84&lt;&gt;"", $F84&gt;=V$5-4, $F84&lt;=V$5, COUNTIF($M84:U84,"u")=0), "u", "")</f>
        <v/>
      </c>
      <c r="W84" s="80" t="str">
        <f>IF(AND($F84&lt;&gt;"", $F84&gt;=W$5-4, $F84&lt;=W$5, COUNTIF($M84:V84,"u")=0), "u", "")</f>
        <v/>
      </c>
      <c r="X84" s="80" t="str">
        <f>IF(AND($F84&lt;&gt;"", $F84&gt;=X$5-4, $F84&lt;=X$5, COUNTIF($M84:W84,"u")=0), "u", "")</f>
        <v/>
      </c>
      <c r="Y84" s="80" t="str">
        <f>IF(AND($F84&lt;&gt;"", $F84&gt;=Y$5-4, $F84&lt;=Y$5, COUNTIF($M84:X84,"u")=0), "u", "")</f>
        <v/>
      </c>
      <c r="Z84" s="80" t="str">
        <f>IF(AND($F84&lt;&gt;"", $F84&gt;=Z$5-4, $F84&lt;=Z$5, COUNTIF($M84:Y84,"u")=0), "u", "")</f>
        <v/>
      </c>
      <c r="AA84" s="80" t="str">
        <f>IF(AND($F84&lt;&gt;"", $F84&gt;=AA$5-4, $F84&lt;=AA$5, COUNTIF($M84:Z84,"u")=0), "u", "")</f>
        <v/>
      </c>
      <c r="AB84" s="80" t="str">
        <f>IF(AND($F84&lt;&gt;"", $F84&gt;=AB$5-4, $F84&lt;=AB$5, COUNTIF($M84:AA84,"u")=0), "u", "")</f>
        <v/>
      </c>
      <c r="AC84" s="80" t="str">
        <f>IF(AND($F84&lt;&gt;"", $F84&gt;=AC$5-4, $F84&lt;=AC$5, COUNTIF($M84:AB84,"u")=0), "u", "")</f>
        <v/>
      </c>
      <c r="AD84" s="80" t="str">
        <f>IF(AND($F84&lt;&gt;"", $F84&gt;=AD$5-4, $F84&lt;=AD$5, COUNTIF($M84:AC84,"u")=0), "u", "")</f>
        <v/>
      </c>
      <c r="AE84" s="80" t="str">
        <f>IF(AND($F84&lt;&gt;"", $F84&gt;=AE$5-4, $F84&lt;=AE$5, COUNTIF($M84:AD84,"u")=0), "u", "")</f>
        <v/>
      </c>
      <c r="AF84" s="80" t="str">
        <f>IF(AND($F84&lt;&gt;"", $F84&gt;=AF$5-4, $F84&lt;=AF$5, COUNTIF($M84:AE84,"u")=0), "u", "")</f>
        <v/>
      </c>
      <c r="AG84" s="80" t="str">
        <f>IF(AND($F84&lt;&gt;"", $F84&gt;=AG$5-4, $F84&lt;=AG$5, COUNTIF($M84:AF84,"u")=0), "u", "")</f>
        <v/>
      </c>
      <c r="AH84" s="80" t="str">
        <f>IF(AND($F84&lt;&gt;"", $F84&gt;=AH$5-4, $F84&lt;=AH$5, COUNTIF($M84:AG84,"u")=0), "u", "")</f>
        <v/>
      </c>
      <c r="AI84" s="80" t="str">
        <f>IF(AND($F84&lt;&gt;"", $F84&gt;=AI$5-4, $F84&lt;=AI$5, COUNTIF($M84:AH84,"u")=0), "u", "")</f>
        <v/>
      </c>
      <c r="AJ84" s="80" t="str">
        <f>IF(AND($F84&lt;&gt;"", $F84&gt;=AJ$5-4, $F84&lt;=AJ$5, COUNTIF($M84:AI84,"u")=0), "u", "")</f>
        <v/>
      </c>
      <c r="AK84" s="80" t="str">
        <f>IF(AND($F84&lt;&gt;"", $F84&gt;=AK$5-4, $F84&lt;=AK$5, COUNTIF($M84:AJ84,"u")=0), "u", "")</f>
        <v/>
      </c>
      <c r="AL84" s="80" t="str">
        <f>IF(AND($F84&lt;&gt;"", $F84&gt;=AL$5-4, $F84&lt;=AL$5, COUNTIF($M84:AK84,"u")=0), "u", "")</f>
        <v/>
      </c>
      <c r="AM84" s="80" t="str">
        <f>IF(AND($F84&lt;&gt;"", $F84&gt;=AM$5-4, $F84&lt;=AM$5, COUNTIF($M84:AL84,"u")=0), "u", "")</f>
        <v/>
      </c>
      <c r="AN84" s="80" t="str">
        <f>IF(AND($F84&lt;&gt;"", $F84&gt;=AN$5-4, $F84&lt;=AN$5, COUNTIF($M84:AM84,"u")=0), "u", "")</f>
        <v/>
      </c>
      <c r="AO84" s="80" t="str">
        <f>IF(AND($F84&lt;&gt;"", $F84&gt;=AO$5-4, $F84&lt;=AO$5, COUNTIF($M84:AN84,"u")=0), "u", "")</f>
        <v/>
      </c>
      <c r="AP84" s="80" t="str">
        <f>IF(AND($F84&lt;&gt;"", $F84&gt;=AP$5-4, $F84&lt;=AP$5, COUNTIF($M84:AO84,"u")=0), "u", "")</f>
        <v/>
      </c>
      <c r="AQ84" s="80" t="str">
        <f>IF(AND($F84&lt;&gt;"", $F84&gt;=AQ$5-4, $F84&lt;=AQ$5, COUNTIF($M84:AP84,"u")=0), "u", "")</f>
        <v/>
      </c>
      <c r="AR84" s="80" t="str">
        <f>IF(AND($F84&lt;&gt;"", $F84&gt;=AR$5-4, $F84&lt;=AR$5, COUNTIF($M84:AQ84,"u")=0), "u", "")</f>
        <v/>
      </c>
      <c r="AS84" s="80" t="str">
        <f>IF(AND($F84&lt;&gt;"", $F84&gt;=AS$5-4, $F84&lt;=AS$5, COUNTIF($M84:AR84,"u")=0), "u", "")</f>
        <v/>
      </c>
      <c r="AT84" s="80" t="str">
        <f>IF(AND($F84&lt;&gt;"", $F84&gt;=AT$5-4, $F84&lt;=AT$5, COUNTIF($M84:AS84,"u")=0), "u", "")</f>
        <v/>
      </c>
      <c r="AU84" s="80" t="str">
        <f>IF(AND($F84&lt;&gt;"", $F84&gt;=AU$5-4, $F84&lt;=AU$5, COUNTIF($M84:AT84,"u")=0), "u", "")</f>
        <v/>
      </c>
      <c r="AV84" s="80" t="str">
        <f>IF(AND($F84&lt;&gt;"", $F84&gt;=AV$5-4, $F84&lt;=AV$5, COUNTIF($M84:AU84,"u")=0), "u", "")</f>
        <v/>
      </c>
      <c r="AW84" s="80" t="str">
        <f>IF(AND($F84&lt;&gt;"", $F84&gt;=AW$5-4, $F84&lt;=AW$5, COUNTIF($M84:AV84,"u")=0), "u", "")</f>
        <v/>
      </c>
      <c r="AX84" s="80" t="str">
        <f>IF(AND($F84&lt;&gt;"", $F84&gt;=AX$5-4, $F84&lt;=AX$5, COUNTIF($M84:AW84,"u")=0), "u", "")</f>
        <v/>
      </c>
      <c r="AY84" s="80" t="str">
        <f>IF(AND($F84&lt;&gt;"", $F84&gt;=AY$5-4, $F84&lt;=AY$5, COUNTIF($M84:AX84,"u")=0), "u", "")</f>
        <v/>
      </c>
      <c r="AZ84" s="80" t="str">
        <f>IF(AND($F84&lt;&gt;"", $F84&gt;=AZ$5-4, $F84&lt;=AZ$5, COUNTIF($M84:AY84,"u")=0), "u", "")</f>
        <v/>
      </c>
      <c r="BA84" s="80" t="str">
        <f>IF(AND($F84&lt;&gt;"", $F84&gt;=BA$5-4, $F84&lt;=BA$5, COUNTIF($M84:AZ84,"u")=0), "u", "")</f>
        <v/>
      </c>
      <c r="BB84" s="80" t="str">
        <f>IF(AND($F84&lt;&gt;"", $F84&gt;=BB$5-4, $F84&lt;=BB$5, COUNTIF($M84:BA84,"u")=0), "u", "")</f>
        <v/>
      </c>
      <c r="BC84" s="80" t="str">
        <f>IF(AND($F84&lt;&gt;"", $F84&gt;=BC$5-4, $F84&lt;=BC$5, COUNTIF($M84:BB84,"u")=0), "u", "")</f>
        <v/>
      </c>
      <c r="BD84" s="80" t="str">
        <f>IF(AND($F84&lt;&gt;"", $F84&gt;=BD$5-4, $F84&lt;=BD$5, COUNTIF($M84:BC84,"u")=0), "u", "")</f>
        <v/>
      </c>
      <c r="BE84" s="80" t="str">
        <f>IF(AND($F84&lt;&gt;"", $F84&gt;=BE$5-4, $F84&lt;=BE$5, COUNTIF($M84:BD84,"u")=0), "u", "")</f>
        <v/>
      </c>
      <c r="BF84" s="80" t="str">
        <f>IF(AND($F84&lt;&gt;"", $F84&gt;=BF$5-4, $F84&lt;=BF$5, COUNTIF($M84:BE84,"u")=0), "u", "")</f>
        <v/>
      </c>
      <c r="BG84" s="80" t="str">
        <f>IF(AND($F84&lt;&gt;"", $F84&gt;=BG$5-4, $F84&lt;=BG$5, COUNTIF($M84:BF84,"u")=0), "u", "")</f>
        <v/>
      </c>
      <c r="BH84" s="80" t="str">
        <f>IF(AND($F84&lt;&gt;"", $F84&gt;=BH$5-4, $F84&lt;=BH$5, COUNTIF($M84:BG84,"u")=0), "u", "")</f>
        <v/>
      </c>
      <c r="BI84" s="80" t="str">
        <f>IF(AND($F84&lt;&gt;"", $F84&gt;=BI$5-4, $F84&lt;=BI$5, COUNTIF($M84:BH84,"u")=0), "u", "")</f>
        <v/>
      </c>
      <c r="BJ84" s="80" t="str">
        <f>IF(AND($F84&lt;&gt;"", $F84&gt;=BJ$5-4, $F84&lt;=BJ$5, COUNTIF($M84:BI84,"u")=0), "u", "")</f>
        <v/>
      </c>
      <c r="BK84" s="80" t="str">
        <f>IF(AND($F84&lt;&gt;"", $F84&gt;=BK$5-4, $F84&lt;=BK$5, COUNTIF($M84:BJ84,"u")=0), "u", "")</f>
        <v/>
      </c>
      <c r="BL84" s="80" t="str">
        <f>IF(AND($F84&lt;&gt;"", $F84&gt;=BL$5-4, $F84&lt;=BL$5, COUNTIF($M84:BK84,"u")=0), "u", "")</f>
        <v/>
      </c>
      <c r="BM84" s="80" t="str">
        <f>IF(AND($F84&lt;&gt;"", $F84&gt;=BM$5-4, $F84&lt;=BM$5, COUNTIF($M84:BL84,"u")=0), "u", "")</f>
        <v/>
      </c>
      <c r="BN84" s="80" t="str">
        <f>IF(AND($F84&lt;&gt;"", $F84&gt;=BN$5-4, $F84&lt;=BN$5, COUNTIF($M84:BM84,"u")=0), "u", "")</f>
        <v/>
      </c>
      <c r="BO84" s="80" t="str">
        <f>IF(AND($F84&lt;&gt;"", $F84&gt;=BO$5-4, $F84&lt;=BO$5, COUNTIF($M84:BN84,"u")=0), "u", "")</f>
        <v/>
      </c>
      <c r="BP84" s="80" t="str">
        <f>IF(AND($F84&lt;&gt;"", $F84&gt;=BP$5-4, $F84&lt;=BP$5, COUNTIF($M84:BO84,"u")=0), "u", "")</f>
        <v/>
      </c>
      <c r="BQ84" s="80" t="str">
        <f>IF(AND($F84&lt;&gt;"", $F84&gt;=BQ$5-4, $F84&lt;=BQ$5, COUNTIF($M84:BP84,"u")=0), "u", "")</f>
        <v/>
      </c>
      <c r="BR84" s="80" t="str">
        <f>IF(AND($F84&lt;&gt;"", $F84&gt;=BR$5-4, $F84&lt;=BR$5, COUNTIF($M84:BQ84,"u")=0), "u", "")</f>
        <v/>
      </c>
      <c r="BS84" s="80" t="str">
        <f>IF(AND($F84&lt;&gt;"", $F84&gt;=BS$5-4, $F84&lt;=BS$5, COUNTIF($M84:BR84,"u")=0), "u", "")</f>
        <v/>
      </c>
      <c r="BT84" s="80" t="str">
        <f>IF(AND($F84&lt;&gt;"", $F84&gt;=BT$5-4, $F84&lt;=BT$5, COUNTIF($M84:BS84,"u")=0), "u", "")</f>
        <v/>
      </c>
      <c r="BU84" s="80" t="str">
        <f>IF(AND($F84&lt;&gt;"", $F84&gt;=BU$5-4, $F84&lt;=BU$5, COUNTIF($M84:BT84,"u")=0), "u", "")</f>
        <v/>
      </c>
      <c r="BV84" s="80" t="str">
        <f>IF(AND($F84&lt;&gt;"", $F84&gt;=BV$5-4, $F84&lt;=BV$5, COUNTIF($M84:BU84,"u")=0), "u", "")</f>
        <v/>
      </c>
      <c r="BW84" s="80" t="str">
        <f>IF(AND($F84&lt;&gt;"", $F84&gt;=BW$5-4, $F84&lt;=BW$5, COUNTIF($M84:BV84,"u")=0), "u", "")</f>
        <v/>
      </c>
      <c r="BX84" s="80" t="str">
        <f>IF(AND($F84&lt;&gt;"", $F84&gt;=BX$5-4, $F84&lt;=BX$5, COUNTIF($M84:BW84,"u")=0), "u", "")</f>
        <v/>
      </c>
      <c r="BY84" s="80" t="str">
        <f>IF(AND($F84&lt;&gt;"", $F84&gt;=BY$5-4, $F84&lt;=BY$5, COUNTIF($M84:BX84,"u")=0), "u", "")</f>
        <v/>
      </c>
      <c r="BZ84" s="80" t="str">
        <f>IF(AND($F84&lt;&gt;"", $F84&gt;=BZ$5-4, $F84&lt;=BZ$5, COUNTIF($M84:BY84,"u")=0), "u", "")</f>
        <v/>
      </c>
      <c r="CA84" s="80" t="str">
        <f>IF(AND($F84&lt;&gt;"", $F84&gt;=CA$5-4, $F84&lt;=CA$5, COUNTIF($M84:BZ84,"u")=0), "u", "")</f>
        <v/>
      </c>
      <c r="CB84" s="80" t="str">
        <f>IF(AND($F84&lt;&gt;"", $F84&gt;=CB$5-4, $F84&lt;=CB$5, COUNTIF($M84:CA84,"u")=0), "u", "")</f>
        <v/>
      </c>
      <c r="CC84" s="80" t="str">
        <f>IF(AND($F84&lt;&gt;"", $F84&gt;=CC$5-4, $F84&lt;=CC$5, COUNTIF($M84:CB84,"u")=0), "u", "")</f>
        <v/>
      </c>
      <c r="CD84" s="80" t="str">
        <f>IF(AND($F84&lt;&gt;"", $F84&gt;=CD$5-4, $F84&lt;=CD$5, COUNTIF($M84:CC84,"u")=0), "u", "")</f>
        <v/>
      </c>
      <c r="CE84" s="80" t="str">
        <f>IF(AND($F84&lt;&gt;"", $F84&gt;=CE$5-4, $F84&lt;=CE$5, COUNTIF($M84:CD84,"u")=0), "u", "")</f>
        <v/>
      </c>
      <c r="CF84" s="80" t="str">
        <f>IF(AND($F84&lt;&gt;"", $F84&gt;=CF$5-4, $F84&lt;=CF$5, COUNTIF($M84:CE84,"u")=0), "u", "")</f>
        <v/>
      </c>
      <c r="CG84" s="80" t="str">
        <f>IF(AND($F84&lt;&gt;"", $F84&gt;=CG$5-4, $F84&lt;=CG$5, COUNTIF($M84:CF84,"u")=0), "u", "")</f>
        <v/>
      </c>
      <c r="CH84" s="80" t="str">
        <f>IF(AND($F84&lt;&gt;"", $F84&gt;=CH$5-4, $F84&lt;=CH$5, COUNTIF($M84:CG84,"u")=0), "u", "")</f>
        <v/>
      </c>
      <c r="CI84" s="80" t="str">
        <f>IF(AND($F84&lt;&gt;"", $F84&gt;=CI$5-4, $F84&lt;=CI$5, COUNTIF($M84:CH84,"u")=0), "u", "")</f>
        <v/>
      </c>
      <c r="CJ84" s="80" t="str">
        <f>IF(AND($F84&lt;&gt;"", $F84&gt;=CJ$5-4, $F84&lt;=CJ$5, COUNTIF($M84:CI84,"u")=0), "u", "")</f>
        <v/>
      </c>
      <c r="CK84" s="80" t="str">
        <f>IF(AND($F84&lt;&gt;"", $F84&gt;=CK$5-4, $F84&lt;=CK$5, COUNTIF($M84:CJ84,"u")=0), "u", "")</f>
        <v/>
      </c>
      <c r="CL84" s="80" t="str">
        <f>IF(AND($F84&lt;&gt;"", $F84&gt;=CL$5-4, $F84&lt;=CL$5, COUNTIF($M84:CK84,"u")=0), "u", "")</f>
        <v/>
      </c>
      <c r="CM84" s="80" t="str">
        <f>IF(AND($F84&lt;&gt;"", $F84&gt;=CM$5-4, $F84&lt;=CM$5, COUNTIF($M84:CL84,"u")=0), "u", "")</f>
        <v/>
      </c>
      <c r="CN84" s="80" t="str">
        <f>IF(AND($F84&lt;&gt;"", $F84&gt;=CN$5-4, $F84&lt;=CN$5, COUNTIF($M84:CM84,"u")=0), "u", "")</f>
        <v/>
      </c>
      <c r="CO84" s="80" t="str">
        <f>IF(AND($F84&lt;&gt;"", $F84&gt;=CO$5-4, $F84&lt;=CO$5, COUNTIF($M84:CN84,"u")=0), "u", "")</f>
        <v/>
      </c>
      <c r="CP84" s="80" t="str">
        <f>IF(AND($F84&lt;&gt;"", $F84&gt;=CP$5-4, $F84&lt;=CP$5, COUNTIF($M84:CO84,"u")=0), "u", "")</f>
        <v/>
      </c>
      <c r="CQ84" s="80" t="str">
        <f>IF(AND($F84&lt;&gt;"", $F84&gt;=CQ$5-4, $F84&lt;=CQ$5, COUNTIF($M84:CP84,"u")=0), "u", "")</f>
        <v/>
      </c>
      <c r="CR84" s="80" t="str">
        <f>IF(AND($F84&lt;&gt;"", $F84&gt;=CR$5-4, $F84&lt;=CR$5, COUNTIF($M84:CQ84,"u")=0), "u", "")</f>
        <v/>
      </c>
      <c r="CS84" s="80" t="str">
        <f>IF(AND($F84&lt;&gt;"", $F84&gt;=CS$5-4, $F84&lt;=CS$5, COUNTIF($M84:CR84,"u")=0), "u", "")</f>
        <v/>
      </c>
      <c r="CT84" s="80" t="str">
        <f>IF(AND($F84&lt;&gt;"", $F84&gt;=CT$5-4, $F84&lt;=CT$5, COUNTIF($M84:CS84,"u")=0), "u", "")</f>
        <v/>
      </c>
      <c r="CU84" s="80" t="str">
        <f>IF(AND($F84&lt;&gt;"", $F84&gt;=CU$5-4, $F84&lt;=CU$5, COUNTIF($M84:CT84,"u")=0), "u", "")</f>
        <v/>
      </c>
      <c r="CV84" s="80" t="str">
        <f>IF(AND($F84&lt;&gt;"", $F84&gt;=CV$5-4, $F84&lt;=CV$5, COUNTIF($M84:CU84,"u")=0), "u", "")</f>
        <v/>
      </c>
      <c r="CW84" s="80" t="str">
        <f>IF(AND($F84&lt;&gt;"", $F84&gt;=CW$5-4, $F84&lt;=CW$5, COUNTIF($M84:CV84,"u")=0), "u", "")</f>
        <v/>
      </c>
      <c r="CX84" s="80" t="str">
        <f>IF(AND($F84&lt;&gt;"", $F84&gt;=CX$5-4, $F84&lt;=CX$5, COUNTIF($M84:CW84,"u")=0), "u", "")</f>
        <v/>
      </c>
      <c r="CY84" s="80" t="str">
        <f>IF(AND($F84&lt;&gt;"", $F84&gt;=CY$5-4, $F84&lt;=CY$5, COUNTIF($M84:CX84,"u")=0), "u", "")</f>
        <v/>
      </c>
      <c r="CZ84" s="80" t="str">
        <f>IF(AND($F84&lt;&gt;"", $F84&gt;=CZ$5-4, $F84&lt;=CZ$5, COUNTIF($M84:CY84,"u")=0), "u", "")</f>
        <v/>
      </c>
      <c r="DA84" s="80" t="str">
        <f>IF(AND($F84&lt;&gt;"", $F84&gt;=DA$5-4, $F84&lt;=DA$5, COUNTIF($M84:CZ84,"u")=0), "u", "")</f>
        <v/>
      </c>
      <c r="DB84" s="80" t="str">
        <f>IF(AND($F84&lt;&gt;"", $F84&gt;=DB$5-4, $F84&lt;=DB$5, COUNTIF($M84:DA84,"u")=0), "u", "")</f>
        <v/>
      </c>
      <c r="DC84" s="80" t="str">
        <f>IF(AND($F84&lt;&gt;"", $F84&gt;=DC$5-4, $F84&lt;=DC$5, COUNTIF($M84:DB84,"u")=0), "u", "")</f>
        <v/>
      </c>
      <c r="DD84" s="80" t="str">
        <f>IF(AND($F84&lt;&gt;"", $F84&gt;=DD$5-4, $F84&lt;=DD$5, COUNTIF($M84:DC84,"u")=0), "u", "")</f>
        <v/>
      </c>
      <c r="DE84" s="80" t="str">
        <f>IF(AND($F84&lt;&gt;"", $F84&gt;=DE$5-4, $F84&lt;=DE$5, COUNTIF($M84:DD84,"u")=0), "u", "")</f>
        <v/>
      </c>
      <c r="DF84" s="80" t="str">
        <f>IF(AND($F84&lt;&gt;"", $F84&gt;=DF$5-4, $F84&lt;=DF$5, COUNTIF($M84:DE84,"u")=0), "u", "")</f>
        <v/>
      </c>
      <c r="DG84" s="80" t="str">
        <f>IF(AND($F84&lt;&gt;"", $F84&gt;=DG$5-4, $F84&lt;=DG$5, COUNTIF($M84:DF84,"u")=0), "u", "")</f>
        <v/>
      </c>
      <c r="DH84" s="80" t="str">
        <f>IF(AND($F84&lt;&gt;"", $F84&gt;=DH$5-4, $F84&lt;=DH$5, COUNTIF($M84:DG84,"u")=0), "u", "")</f>
        <v/>
      </c>
      <c r="DI84" s="80" t="str">
        <f>IF(AND($F84&lt;&gt;"", $F84&gt;=DI$5-4, $F84&lt;=DI$5, COUNTIF($M84:DH84,"u")=0), "u", "")</f>
        <v/>
      </c>
      <c r="DJ84" s="80" t="str">
        <f>IF(AND($F84&lt;&gt;"", $F84&gt;=DJ$5-4, $F84&lt;=DJ$5, COUNTIF($M84:DI84,"u")=0), "u", "")</f>
        <v/>
      </c>
      <c r="DK84" s="80" t="str">
        <f>IF(AND($F84&lt;&gt;"", $F84&gt;=DK$5-4, $F84&lt;=DK$5, COUNTIF($M84:DJ84,"u")=0), "u", "")</f>
        <v/>
      </c>
      <c r="DL84" s="80" t="str">
        <f>IF(AND($F84&lt;&gt;"", $F84&gt;=DL$5-4, $F84&lt;=DL$5, COUNTIF($M84:DK84,"u")=0), "u", "")</f>
        <v/>
      </c>
    </row>
    <row r="85" spans="1:116" ht="25.05" customHeight="1" x14ac:dyDescent="0.3">
      <c r="A85" s="39"/>
      <c r="B85" s="75">
        <v>80</v>
      </c>
      <c r="C85" s="97"/>
      <c r="D85" s="92"/>
      <c r="E85" s="53"/>
      <c r="F85" s="53"/>
      <c r="G85" s="83" t="str">
        <f t="shared" si="47"/>
        <v/>
      </c>
      <c r="H85" s="83" t="str">
        <f t="shared" si="47"/>
        <v/>
      </c>
      <c r="I85" s="77" t="str">
        <f t="shared" si="48"/>
        <v/>
      </c>
      <c r="J85" s="78"/>
      <c r="K85" s="86"/>
      <c r="L85" s="56"/>
      <c r="M85" s="80" t="str">
        <f t="shared" si="49"/>
        <v/>
      </c>
      <c r="N85" s="80" t="str">
        <f>IF(AND($F85&lt;&gt;"", $F85&gt;=N$5-4, $F85&lt;=N$5, COUNTIF($M85:M85,"u")=0), "u", "")</f>
        <v/>
      </c>
      <c r="O85" s="80" t="str">
        <f>IF(AND($F85&lt;&gt;"", $F85&gt;=O$5-4, $F85&lt;=O$5, COUNTIF($M85:N85,"u")=0), "u", "")</f>
        <v/>
      </c>
      <c r="P85" s="80" t="str">
        <f>IF(AND($F85&lt;&gt;"", $F85&gt;=P$5-4, $F85&lt;=P$5, COUNTIF($M85:O85,"u")=0), "u", "")</f>
        <v/>
      </c>
      <c r="Q85" s="80" t="str">
        <f>IF(AND($F85&lt;&gt;"", $F85&gt;=Q$5-4, $F85&lt;=Q$5, COUNTIF($M85:P85,"u")=0), "u", "")</f>
        <v/>
      </c>
      <c r="R85" s="80" t="str">
        <f>IF(AND($F85&lt;&gt;"", $F85&gt;=R$5-4, $F85&lt;=R$5, COUNTIF($M85:Q85,"u")=0), "u", "")</f>
        <v/>
      </c>
      <c r="S85" s="80" t="str">
        <f>IF(AND($F85&lt;&gt;"", $F85&gt;=S$5-4, $F85&lt;=S$5, COUNTIF($M85:R85,"u")=0), "u", "")</f>
        <v/>
      </c>
      <c r="T85" s="80" t="str">
        <f>IF(AND($F85&lt;&gt;"", $F85&gt;=T$5-4, $F85&lt;=T$5, COUNTIF($M85:S85,"u")=0), "u", "")</f>
        <v/>
      </c>
      <c r="U85" s="80" t="str">
        <f>IF(AND($F85&lt;&gt;"", $F85&gt;=U$5-4, $F85&lt;=U$5, COUNTIF($M85:T85,"u")=0), "u", "")</f>
        <v/>
      </c>
      <c r="V85" s="80" t="str">
        <f>IF(AND($F85&lt;&gt;"", $F85&gt;=V$5-4, $F85&lt;=V$5, COUNTIF($M85:U85,"u")=0), "u", "")</f>
        <v/>
      </c>
      <c r="W85" s="80" t="str">
        <f>IF(AND($F85&lt;&gt;"", $F85&gt;=W$5-4, $F85&lt;=W$5, COUNTIF($M85:V85,"u")=0), "u", "")</f>
        <v/>
      </c>
      <c r="X85" s="80" t="str">
        <f>IF(AND($F85&lt;&gt;"", $F85&gt;=X$5-4, $F85&lt;=X$5, COUNTIF($M85:W85,"u")=0), "u", "")</f>
        <v/>
      </c>
      <c r="Y85" s="80" t="str">
        <f>IF(AND($F85&lt;&gt;"", $F85&gt;=Y$5-4, $F85&lt;=Y$5, COUNTIF($M85:X85,"u")=0), "u", "")</f>
        <v/>
      </c>
      <c r="Z85" s="80" t="str">
        <f>IF(AND($F85&lt;&gt;"", $F85&gt;=Z$5-4, $F85&lt;=Z$5, COUNTIF($M85:Y85,"u")=0), "u", "")</f>
        <v/>
      </c>
      <c r="AA85" s="80" t="str">
        <f>IF(AND($F85&lt;&gt;"", $F85&gt;=AA$5-4, $F85&lt;=AA$5, COUNTIF($M85:Z85,"u")=0), "u", "")</f>
        <v/>
      </c>
      <c r="AB85" s="80" t="str">
        <f>IF(AND($F85&lt;&gt;"", $F85&gt;=AB$5-4, $F85&lt;=AB$5, COUNTIF($M85:AA85,"u")=0), "u", "")</f>
        <v/>
      </c>
      <c r="AC85" s="80" t="str">
        <f>IF(AND($F85&lt;&gt;"", $F85&gt;=AC$5-4, $F85&lt;=AC$5, COUNTIF($M85:AB85,"u")=0), "u", "")</f>
        <v/>
      </c>
      <c r="AD85" s="80" t="str">
        <f>IF(AND($F85&lt;&gt;"", $F85&gt;=AD$5-4, $F85&lt;=AD$5, COUNTIF($M85:AC85,"u")=0), "u", "")</f>
        <v/>
      </c>
      <c r="AE85" s="80" t="str">
        <f>IF(AND($F85&lt;&gt;"", $F85&gt;=AE$5-4, $F85&lt;=AE$5, COUNTIF($M85:AD85,"u")=0), "u", "")</f>
        <v/>
      </c>
      <c r="AF85" s="80" t="str">
        <f>IF(AND($F85&lt;&gt;"", $F85&gt;=AF$5-4, $F85&lt;=AF$5, COUNTIF($M85:AE85,"u")=0), "u", "")</f>
        <v/>
      </c>
      <c r="AG85" s="80" t="str">
        <f>IF(AND($F85&lt;&gt;"", $F85&gt;=AG$5-4, $F85&lt;=AG$5, COUNTIF($M85:AF85,"u")=0), "u", "")</f>
        <v/>
      </c>
      <c r="AH85" s="80" t="str">
        <f>IF(AND($F85&lt;&gt;"", $F85&gt;=AH$5-4, $F85&lt;=AH$5, COUNTIF($M85:AG85,"u")=0), "u", "")</f>
        <v/>
      </c>
      <c r="AI85" s="80" t="str">
        <f>IF(AND($F85&lt;&gt;"", $F85&gt;=AI$5-4, $F85&lt;=AI$5, COUNTIF($M85:AH85,"u")=0), "u", "")</f>
        <v/>
      </c>
      <c r="AJ85" s="80" t="str">
        <f>IF(AND($F85&lt;&gt;"", $F85&gt;=AJ$5-4, $F85&lt;=AJ$5, COUNTIF($M85:AI85,"u")=0), "u", "")</f>
        <v/>
      </c>
      <c r="AK85" s="80" t="str">
        <f>IF(AND($F85&lt;&gt;"", $F85&gt;=AK$5-4, $F85&lt;=AK$5, COUNTIF($M85:AJ85,"u")=0), "u", "")</f>
        <v/>
      </c>
      <c r="AL85" s="80" t="str">
        <f>IF(AND($F85&lt;&gt;"", $F85&gt;=AL$5-4, $F85&lt;=AL$5, COUNTIF($M85:AK85,"u")=0), "u", "")</f>
        <v/>
      </c>
      <c r="AM85" s="80" t="str">
        <f>IF(AND($F85&lt;&gt;"", $F85&gt;=AM$5-4, $F85&lt;=AM$5, COUNTIF($M85:AL85,"u")=0), "u", "")</f>
        <v/>
      </c>
      <c r="AN85" s="80" t="str">
        <f>IF(AND($F85&lt;&gt;"", $F85&gt;=AN$5-4, $F85&lt;=AN$5, COUNTIF($M85:AM85,"u")=0), "u", "")</f>
        <v/>
      </c>
      <c r="AO85" s="80" t="str">
        <f>IF(AND($F85&lt;&gt;"", $F85&gt;=AO$5-4, $F85&lt;=AO$5, COUNTIF($M85:AN85,"u")=0), "u", "")</f>
        <v/>
      </c>
      <c r="AP85" s="80" t="str">
        <f>IF(AND($F85&lt;&gt;"", $F85&gt;=AP$5-4, $F85&lt;=AP$5, COUNTIF($M85:AO85,"u")=0), "u", "")</f>
        <v/>
      </c>
      <c r="AQ85" s="80" t="str">
        <f>IF(AND($F85&lt;&gt;"", $F85&gt;=AQ$5-4, $F85&lt;=AQ$5, COUNTIF($M85:AP85,"u")=0), "u", "")</f>
        <v/>
      </c>
      <c r="AR85" s="80" t="str">
        <f>IF(AND($F85&lt;&gt;"", $F85&gt;=AR$5-4, $F85&lt;=AR$5, COUNTIF($M85:AQ85,"u")=0), "u", "")</f>
        <v/>
      </c>
      <c r="AS85" s="80" t="str">
        <f>IF(AND($F85&lt;&gt;"", $F85&gt;=AS$5-4, $F85&lt;=AS$5, COUNTIF($M85:AR85,"u")=0), "u", "")</f>
        <v/>
      </c>
      <c r="AT85" s="80" t="str">
        <f>IF(AND($F85&lt;&gt;"", $F85&gt;=AT$5-4, $F85&lt;=AT$5, COUNTIF($M85:AS85,"u")=0), "u", "")</f>
        <v/>
      </c>
      <c r="AU85" s="80" t="str">
        <f>IF(AND($F85&lt;&gt;"", $F85&gt;=AU$5-4, $F85&lt;=AU$5, COUNTIF($M85:AT85,"u")=0), "u", "")</f>
        <v/>
      </c>
      <c r="AV85" s="80" t="str">
        <f>IF(AND($F85&lt;&gt;"", $F85&gt;=AV$5-4, $F85&lt;=AV$5, COUNTIF($M85:AU85,"u")=0), "u", "")</f>
        <v/>
      </c>
      <c r="AW85" s="80" t="str">
        <f>IF(AND($F85&lt;&gt;"", $F85&gt;=AW$5-4, $F85&lt;=AW$5, COUNTIF($M85:AV85,"u")=0), "u", "")</f>
        <v/>
      </c>
      <c r="AX85" s="80" t="str">
        <f>IF(AND($F85&lt;&gt;"", $F85&gt;=AX$5-4, $F85&lt;=AX$5, COUNTIF($M85:AW85,"u")=0), "u", "")</f>
        <v/>
      </c>
      <c r="AY85" s="80" t="str">
        <f>IF(AND($F85&lt;&gt;"", $F85&gt;=AY$5-4, $F85&lt;=AY$5, COUNTIF($M85:AX85,"u")=0), "u", "")</f>
        <v/>
      </c>
      <c r="AZ85" s="80" t="str">
        <f>IF(AND($F85&lt;&gt;"", $F85&gt;=AZ$5-4, $F85&lt;=AZ$5, COUNTIF($M85:AY85,"u")=0), "u", "")</f>
        <v/>
      </c>
      <c r="BA85" s="80" t="str">
        <f>IF(AND($F85&lt;&gt;"", $F85&gt;=BA$5-4, $F85&lt;=BA$5, COUNTIF($M85:AZ85,"u")=0), "u", "")</f>
        <v/>
      </c>
      <c r="BB85" s="80" t="str">
        <f>IF(AND($F85&lt;&gt;"", $F85&gt;=BB$5-4, $F85&lt;=BB$5, COUNTIF($M85:BA85,"u")=0), "u", "")</f>
        <v/>
      </c>
      <c r="BC85" s="80" t="str">
        <f>IF(AND($F85&lt;&gt;"", $F85&gt;=BC$5-4, $F85&lt;=BC$5, COUNTIF($M85:BB85,"u")=0), "u", "")</f>
        <v/>
      </c>
      <c r="BD85" s="80" t="str">
        <f>IF(AND($F85&lt;&gt;"", $F85&gt;=BD$5-4, $F85&lt;=BD$5, COUNTIF($M85:BC85,"u")=0), "u", "")</f>
        <v/>
      </c>
      <c r="BE85" s="80" t="str">
        <f>IF(AND($F85&lt;&gt;"", $F85&gt;=BE$5-4, $F85&lt;=BE$5, COUNTIF($M85:BD85,"u")=0), "u", "")</f>
        <v/>
      </c>
      <c r="BF85" s="80" t="str">
        <f>IF(AND($F85&lt;&gt;"", $F85&gt;=BF$5-4, $F85&lt;=BF$5, COUNTIF($M85:BE85,"u")=0), "u", "")</f>
        <v/>
      </c>
      <c r="BG85" s="80" t="str">
        <f>IF(AND($F85&lt;&gt;"", $F85&gt;=BG$5-4, $F85&lt;=BG$5, COUNTIF($M85:BF85,"u")=0), "u", "")</f>
        <v/>
      </c>
      <c r="BH85" s="80" t="str">
        <f>IF(AND($F85&lt;&gt;"", $F85&gt;=BH$5-4, $F85&lt;=BH$5, COUNTIF($M85:BG85,"u")=0), "u", "")</f>
        <v/>
      </c>
      <c r="BI85" s="80" t="str">
        <f>IF(AND($F85&lt;&gt;"", $F85&gt;=BI$5-4, $F85&lt;=BI$5, COUNTIF($M85:BH85,"u")=0), "u", "")</f>
        <v/>
      </c>
      <c r="BJ85" s="80" t="str">
        <f>IF(AND($F85&lt;&gt;"", $F85&gt;=BJ$5-4, $F85&lt;=BJ$5, COUNTIF($M85:BI85,"u")=0), "u", "")</f>
        <v/>
      </c>
      <c r="BK85" s="80" t="str">
        <f>IF(AND($F85&lt;&gt;"", $F85&gt;=BK$5-4, $F85&lt;=BK$5, COUNTIF($M85:BJ85,"u")=0), "u", "")</f>
        <v/>
      </c>
      <c r="BL85" s="80" t="str">
        <f>IF(AND($F85&lt;&gt;"", $F85&gt;=BL$5-4, $F85&lt;=BL$5, COUNTIF($M85:BK85,"u")=0), "u", "")</f>
        <v/>
      </c>
      <c r="BM85" s="80" t="str">
        <f>IF(AND($F85&lt;&gt;"", $F85&gt;=BM$5-4, $F85&lt;=BM$5, COUNTIF($M85:BL85,"u")=0), "u", "")</f>
        <v/>
      </c>
      <c r="BN85" s="80" t="str">
        <f>IF(AND($F85&lt;&gt;"", $F85&gt;=BN$5-4, $F85&lt;=BN$5, COUNTIF($M85:BM85,"u")=0), "u", "")</f>
        <v/>
      </c>
      <c r="BO85" s="80" t="str">
        <f>IF(AND($F85&lt;&gt;"", $F85&gt;=BO$5-4, $F85&lt;=BO$5, COUNTIF($M85:BN85,"u")=0), "u", "")</f>
        <v/>
      </c>
      <c r="BP85" s="80" t="str">
        <f>IF(AND($F85&lt;&gt;"", $F85&gt;=BP$5-4, $F85&lt;=BP$5, COUNTIF($M85:BO85,"u")=0), "u", "")</f>
        <v/>
      </c>
      <c r="BQ85" s="80" t="str">
        <f>IF(AND($F85&lt;&gt;"", $F85&gt;=BQ$5-4, $F85&lt;=BQ$5, COUNTIF($M85:BP85,"u")=0), "u", "")</f>
        <v/>
      </c>
      <c r="BR85" s="80" t="str">
        <f>IF(AND($F85&lt;&gt;"", $F85&gt;=BR$5-4, $F85&lt;=BR$5, COUNTIF($M85:BQ85,"u")=0), "u", "")</f>
        <v/>
      </c>
      <c r="BS85" s="80" t="str">
        <f>IF(AND($F85&lt;&gt;"", $F85&gt;=BS$5-4, $F85&lt;=BS$5, COUNTIF($M85:BR85,"u")=0), "u", "")</f>
        <v/>
      </c>
      <c r="BT85" s="80" t="str">
        <f>IF(AND($F85&lt;&gt;"", $F85&gt;=BT$5-4, $F85&lt;=BT$5, COUNTIF($M85:BS85,"u")=0), "u", "")</f>
        <v/>
      </c>
      <c r="BU85" s="80" t="str">
        <f>IF(AND($F85&lt;&gt;"", $F85&gt;=BU$5-4, $F85&lt;=BU$5, COUNTIF($M85:BT85,"u")=0), "u", "")</f>
        <v/>
      </c>
      <c r="BV85" s="80" t="str">
        <f>IF(AND($F85&lt;&gt;"", $F85&gt;=BV$5-4, $F85&lt;=BV$5, COUNTIF($M85:BU85,"u")=0), "u", "")</f>
        <v/>
      </c>
      <c r="BW85" s="80" t="str">
        <f>IF(AND($F85&lt;&gt;"", $F85&gt;=BW$5-4, $F85&lt;=BW$5, COUNTIF($M85:BV85,"u")=0), "u", "")</f>
        <v/>
      </c>
      <c r="BX85" s="80" t="str">
        <f>IF(AND($F85&lt;&gt;"", $F85&gt;=BX$5-4, $F85&lt;=BX$5, COUNTIF($M85:BW85,"u")=0), "u", "")</f>
        <v/>
      </c>
      <c r="BY85" s="80" t="str">
        <f>IF(AND($F85&lt;&gt;"", $F85&gt;=BY$5-4, $F85&lt;=BY$5, COUNTIF($M85:BX85,"u")=0), "u", "")</f>
        <v/>
      </c>
      <c r="BZ85" s="80" t="str">
        <f>IF(AND($F85&lt;&gt;"", $F85&gt;=BZ$5-4, $F85&lt;=BZ$5, COUNTIF($M85:BY85,"u")=0), "u", "")</f>
        <v/>
      </c>
      <c r="CA85" s="80" t="str">
        <f>IF(AND($F85&lt;&gt;"", $F85&gt;=CA$5-4, $F85&lt;=CA$5, COUNTIF($M85:BZ85,"u")=0), "u", "")</f>
        <v/>
      </c>
      <c r="CB85" s="80" t="str">
        <f>IF(AND($F85&lt;&gt;"", $F85&gt;=CB$5-4, $F85&lt;=CB$5, COUNTIF($M85:CA85,"u")=0), "u", "")</f>
        <v/>
      </c>
      <c r="CC85" s="80" t="str">
        <f>IF(AND($F85&lt;&gt;"", $F85&gt;=CC$5-4, $F85&lt;=CC$5, COUNTIF($M85:CB85,"u")=0), "u", "")</f>
        <v/>
      </c>
      <c r="CD85" s="80" t="str">
        <f>IF(AND($F85&lt;&gt;"", $F85&gt;=CD$5-4, $F85&lt;=CD$5, COUNTIF($M85:CC85,"u")=0), "u", "")</f>
        <v/>
      </c>
      <c r="CE85" s="80" t="str">
        <f>IF(AND($F85&lt;&gt;"", $F85&gt;=CE$5-4, $F85&lt;=CE$5, COUNTIF($M85:CD85,"u")=0), "u", "")</f>
        <v/>
      </c>
      <c r="CF85" s="80" t="str">
        <f>IF(AND($F85&lt;&gt;"", $F85&gt;=CF$5-4, $F85&lt;=CF$5, COUNTIF($M85:CE85,"u")=0), "u", "")</f>
        <v/>
      </c>
      <c r="CG85" s="80" t="str">
        <f>IF(AND($F85&lt;&gt;"", $F85&gt;=CG$5-4, $F85&lt;=CG$5, COUNTIF($M85:CF85,"u")=0), "u", "")</f>
        <v/>
      </c>
      <c r="CH85" s="80" t="str">
        <f>IF(AND($F85&lt;&gt;"", $F85&gt;=CH$5-4, $F85&lt;=CH$5, COUNTIF($M85:CG85,"u")=0), "u", "")</f>
        <v/>
      </c>
      <c r="CI85" s="80" t="str">
        <f>IF(AND($F85&lt;&gt;"", $F85&gt;=CI$5-4, $F85&lt;=CI$5, COUNTIF($M85:CH85,"u")=0), "u", "")</f>
        <v/>
      </c>
      <c r="CJ85" s="80" t="str">
        <f>IF(AND($F85&lt;&gt;"", $F85&gt;=CJ$5-4, $F85&lt;=CJ$5, COUNTIF($M85:CI85,"u")=0), "u", "")</f>
        <v/>
      </c>
      <c r="CK85" s="80" t="str">
        <f>IF(AND($F85&lt;&gt;"", $F85&gt;=CK$5-4, $F85&lt;=CK$5, COUNTIF($M85:CJ85,"u")=0), "u", "")</f>
        <v/>
      </c>
      <c r="CL85" s="80" t="str">
        <f>IF(AND($F85&lt;&gt;"", $F85&gt;=CL$5-4, $F85&lt;=CL$5, COUNTIF($M85:CK85,"u")=0), "u", "")</f>
        <v/>
      </c>
      <c r="CM85" s="80" t="str">
        <f>IF(AND($F85&lt;&gt;"", $F85&gt;=CM$5-4, $F85&lt;=CM$5, COUNTIF($M85:CL85,"u")=0), "u", "")</f>
        <v/>
      </c>
      <c r="CN85" s="80" t="str">
        <f>IF(AND($F85&lt;&gt;"", $F85&gt;=CN$5-4, $F85&lt;=CN$5, COUNTIF($M85:CM85,"u")=0), "u", "")</f>
        <v/>
      </c>
      <c r="CO85" s="80" t="str">
        <f>IF(AND($F85&lt;&gt;"", $F85&gt;=CO$5-4, $F85&lt;=CO$5, COUNTIF($M85:CN85,"u")=0), "u", "")</f>
        <v/>
      </c>
      <c r="CP85" s="80" t="str">
        <f>IF(AND($F85&lt;&gt;"", $F85&gt;=CP$5-4, $F85&lt;=CP$5, COUNTIF($M85:CO85,"u")=0), "u", "")</f>
        <v/>
      </c>
      <c r="CQ85" s="80" t="str">
        <f>IF(AND($F85&lt;&gt;"", $F85&gt;=CQ$5-4, $F85&lt;=CQ$5, COUNTIF($M85:CP85,"u")=0), "u", "")</f>
        <v/>
      </c>
      <c r="CR85" s="80" t="str">
        <f>IF(AND($F85&lt;&gt;"", $F85&gt;=CR$5-4, $F85&lt;=CR$5, COUNTIF($M85:CQ85,"u")=0), "u", "")</f>
        <v/>
      </c>
      <c r="CS85" s="80" t="str">
        <f>IF(AND($F85&lt;&gt;"", $F85&gt;=CS$5-4, $F85&lt;=CS$5, COUNTIF($M85:CR85,"u")=0), "u", "")</f>
        <v/>
      </c>
      <c r="CT85" s="80" t="str">
        <f>IF(AND($F85&lt;&gt;"", $F85&gt;=CT$5-4, $F85&lt;=CT$5, COUNTIF($M85:CS85,"u")=0), "u", "")</f>
        <v/>
      </c>
      <c r="CU85" s="80" t="str">
        <f>IF(AND($F85&lt;&gt;"", $F85&gt;=CU$5-4, $F85&lt;=CU$5, COUNTIF($M85:CT85,"u")=0), "u", "")</f>
        <v/>
      </c>
      <c r="CV85" s="80" t="str">
        <f>IF(AND($F85&lt;&gt;"", $F85&gt;=CV$5-4, $F85&lt;=CV$5, COUNTIF($M85:CU85,"u")=0), "u", "")</f>
        <v/>
      </c>
      <c r="CW85" s="80" t="str">
        <f>IF(AND($F85&lt;&gt;"", $F85&gt;=CW$5-4, $F85&lt;=CW$5, COUNTIF($M85:CV85,"u")=0), "u", "")</f>
        <v/>
      </c>
      <c r="CX85" s="80" t="str">
        <f>IF(AND($F85&lt;&gt;"", $F85&gt;=CX$5-4, $F85&lt;=CX$5, COUNTIF($M85:CW85,"u")=0), "u", "")</f>
        <v/>
      </c>
      <c r="CY85" s="80" t="str">
        <f>IF(AND($F85&lt;&gt;"", $F85&gt;=CY$5-4, $F85&lt;=CY$5, COUNTIF($M85:CX85,"u")=0), "u", "")</f>
        <v/>
      </c>
      <c r="CZ85" s="80" t="str">
        <f>IF(AND($F85&lt;&gt;"", $F85&gt;=CZ$5-4, $F85&lt;=CZ$5, COUNTIF($M85:CY85,"u")=0), "u", "")</f>
        <v/>
      </c>
      <c r="DA85" s="80" t="str">
        <f>IF(AND($F85&lt;&gt;"", $F85&gt;=DA$5-4, $F85&lt;=DA$5, COUNTIF($M85:CZ85,"u")=0), "u", "")</f>
        <v/>
      </c>
      <c r="DB85" s="80" t="str">
        <f>IF(AND($F85&lt;&gt;"", $F85&gt;=DB$5-4, $F85&lt;=DB$5, COUNTIF($M85:DA85,"u")=0), "u", "")</f>
        <v/>
      </c>
      <c r="DC85" s="80" t="str">
        <f>IF(AND($F85&lt;&gt;"", $F85&gt;=DC$5-4, $F85&lt;=DC$5, COUNTIF($M85:DB85,"u")=0), "u", "")</f>
        <v/>
      </c>
      <c r="DD85" s="80" t="str">
        <f>IF(AND($F85&lt;&gt;"", $F85&gt;=DD$5-4, $F85&lt;=DD$5, COUNTIF($M85:DC85,"u")=0), "u", "")</f>
        <v/>
      </c>
      <c r="DE85" s="80" t="str">
        <f>IF(AND($F85&lt;&gt;"", $F85&gt;=DE$5-4, $F85&lt;=DE$5, COUNTIF($M85:DD85,"u")=0), "u", "")</f>
        <v/>
      </c>
      <c r="DF85" s="80" t="str">
        <f>IF(AND($F85&lt;&gt;"", $F85&gt;=DF$5-4, $F85&lt;=DF$5, COUNTIF($M85:DE85,"u")=0), "u", "")</f>
        <v/>
      </c>
      <c r="DG85" s="80" t="str">
        <f>IF(AND($F85&lt;&gt;"", $F85&gt;=DG$5-4, $F85&lt;=DG$5, COUNTIF($M85:DF85,"u")=0), "u", "")</f>
        <v/>
      </c>
      <c r="DH85" s="80" t="str">
        <f>IF(AND($F85&lt;&gt;"", $F85&gt;=DH$5-4, $F85&lt;=DH$5, COUNTIF($M85:DG85,"u")=0), "u", "")</f>
        <v/>
      </c>
      <c r="DI85" s="80" t="str">
        <f>IF(AND($F85&lt;&gt;"", $F85&gt;=DI$5-4, $F85&lt;=DI$5, COUNTIF($M85:DH85,"u")=0), "u", "")</f>
        <v/>
      </c>
      <c r="DJ85" s="80" t="str">
        <f>IF(AND($F85&lt;&gt;"", $F85&gt;=DJ$5-4, $F85&lt;=DJ$5, COUNTIF($M85:DI85,"u")=0), "u", "")</f>
        <v/>
      </c>
      <c r="DK85" s="80" t="str">
        <f>IF(AND($F85&lt;&gt;"", $F85&gt;=DK$5-4, $F85&lt;=DK$5, COUNTIF($M85:DJ85,"u")=0), "u", "")</f>
        <v/>
      </c>
      <c r="DL85" s="80" t="str">
        <f>IF(AND($F85&lt;&gt;"", $F85&gt;=DL$5-4, $F85&lt;=DL$5, COUNTIF($M85:DK85,"u")=0), "u", "")</f>
        <v/>
      </c>
    </row>
    <row r="86" spans="1:116" ht="25.05" customHeight="1" x14ac:dyDescent="0.3">
      <c r="A86" s="39"/>
      <c r="B86" s="75">
        <v>81</v>
      </c>
      <c r="C86" s="97"/>
      <c r="D86" s="92"/>
      <c r="E86" s="53"/>
      <c r="F86" s="53"/>
      <c r="G86" s="83" t="str">
        <f t="shared" ref="G86:H149" si="50">IF(E86="","",IF(WEEKDAY($D$3, 2) - WEEKDAY(E86, 2) &lt;= 0, E86 + (WEEKDAY($D$3,2) - WEEKDAY(E86,2)), E86 - (7 - (WEEKDAY($D$3,2) - WEEKDAY(E86,2)))))</f>
        <v/>
      </c>
      <c r="H86" s="83" t="str">
        <f t="shared" si="50"/>
        <v/>
      </c>
      <c r="I86" s="77" t="str">
        <f t="shared" si="48"/>
        <v/>
      </c>
      <c r="J86" s="78"/>
      <c r="K86" s="86"/>
      <c r="L86" s="56"/>
      <c r="M86" s="80" t="str">
        <f t="shared" si="49"/>
        <v/>
      </c>
      <c r="N86" s="80" t="str">
        <f>IF(AND($F86&lt;&gt;"", $F86&gt;=N$5-4, $F86&lt;=N$5, COUNTIF($M86:M86,"u")=0), "u", "")</f>
        <v/>
      </c>
      <c r="O86" s="80" t="str">
        <f>IF(AND($F86&lt;&gt;"", $F86&gt;=O$5-4, $F86&lt;=O$5, COUNTIF($M86:N86,"u")=0), "u", "")</f>
        <v/>
      </c>
      <c r="P86" s="80" t="str">
        <f>IF(AND($F86&lt;&gt;"", $F86&gt;=P$5-4, $F86&lt;=P$5, COUNTIF($M86:O86,"u")=0), "u", "")</f>
        <v/>
      </c>
      <c r="Q86" s="80" t="str">
        <f>IF(AND($F86&lt;&gt;"", $F86&gt;=Q$5-4, $F86&lt;=Q$5, COUNTIF($M86:P86,"u")=0), "u", "")</f>
        <v/>
      </c>
      <c r="R86" s="80" t="str">
        <f>IF(AND($F86&lt;&gt;"", $F86&gt;=R$5-4, $F86&lt;=R$5, COUNTIF($M86:Q86,"u")=0), "u", "")</f>
        <v/>
      </c>
      <c r="S86" s="80" t="str">
        <f>IF(AND($F86&lt;&gt;"", $F86&gt;=S$5-4, $F86&lt;=S$5, COUNTIF($M86:R86,"u")=0), "u", "")</f>
        <v/>
      </c>
      <c r="T86" s="80" t="str">
        <f>IF(AND($F86&lt;&gt;"", $F86&gt;=T$5-4, $F86&lt;=T$5, COUNTIF($M86:S86,"u")=0), "u", "")</f>
        <v/>
      </c>
      <c r="U86" s="80" t="str">
        <f>IF(AND($F86&lt;&gt;"", $F86&gt;=U$5-4, $F86&lt;=U$5, COUNTIF($M86:T86,"u")=0), "u", "")</f>
        <v/>
      </c>
      <c r="V86" s="80" t="str">
        <f>IF(AND($F86&lt;&gt;"", $F86&gt;=V$5-4, $F86&lt;=V$5, COUNTIF($M86:U86,"u")=0), "u", "")</f>
        <v/>
      </c>
      <c r="W86" s="80" t="str">
        <f>IF(AND($F86&lt;&gt;"", $F86&gt;=W$5-4, $F86&lt;=W$5, COUNTIF($M86:V86,"u")=0), "u", "")</f>
        <v/>
      </c>
      <c r="X86" s="80" t="str">
        <f>IF(AND($F86&lt;&gt;"", $F86&gt;=X$5-4, $F86&lt;=X$5, COUNTIF($M86:W86,"u")=0), "u", "")</f>
        <v/>
      </c>
      <c r="Y86" s="80" t="str">
        <f>IF(AND($F86&lt;&gt;"", $F86&gt;=Y$5-4, $F86&lt;=Y$5, COUNTIF($M86:X86,"u")=0), "u", "")</f>
        <v/>
      </c>
      <c r="Z86" s="80" t="str">
        <f>IF(AND($F86&lt;&gt;"", $F86&gt;=Z$5-4, $F86&lt;=Z$5, COUNTIF($M86:Y86,"u")=0), "u", "")</f>
        <v/>
      </c>
      <c r="AA86" s="80" t="str">
        <f>IF(AND($F86&lt;&gt;"", $F86&gt;=AA$5-4, $F86&lt;=AA$5, COUNTIF($M86:Z86,"u")=0), "u", "")</f>
        <v/>
      </c>
      <c r="AB86" s="80" t="str">
        <f>IF(AND($F86&lt;&gt;"", $F86&gt;=AB$5-4, $F86&lt;=AB$5, COUNTIF($M86:AA86,"u")=0), "u", "")</f>
        <v/>
      </c>
      <c r="AC86" s="80" t="str">
        <f>IF(AND($F86&lt;&gt;"", $F86&gt;=AC$5-4, $F86&lt;=AC$5, COUNTIF($M86:AB86,"u")=0), "u", "")</f>
        <v/>
      </c>
      <c r="AD86" s="80" t="str">
        <f>IF(AND($F86&lt;&gt;"", $F86&gt;=AD$5-4, $F86&lt;=AD$5, COUNTIF($M86:AC86,"u")=0), "u", "")</f>
        <v/>
      </c>
      <c r="AE86" s="80" t="str">
        <f>IF(AND($F86&lt;&gt;"", $F86&gt;=AE$5-4, $F86&lt;=AE$5, COUNTIF($M86:AD86,"u")=0), "u", "")</f>
        <v/>
      </c>
      <c r="AF86" s="80" t="str">
        <f>IF(AND($F86&lt;&gt;"", $F86&gt;=AF$5-4, $F86&lt;=AF$5, COUNTIF($M86:AE86,"u")=0), "u", "")</f>
        <v/>
      </c>
      <c r="AG86" s="80" t="str">
        <f>IF(AND($F86&lt;&gt;"", $F86&gt;=AG$5-4, $F86&lt;=AG$5, COUNTIF($M86:AF86,"u")=0), "u", "")</f>
        <v/>
      </c>
      <c r="AH86" s="80" t="str">
        <f>IF(AND($F86&lt;&gt;"", $F86&gt;=AH$5-4, $F86&lt;=AH$5, COUNTIF($M86:AG86,"u")=0), "u", "")</f>
        <v/>
      </c>
      <c r="AI86" s="80" t="str">
        <f>IF(AND($F86&lt;&gt;"", $F86&gt;=AI$5-4, $F86&lt;=AI$5, COUNTIF($M86:AH86,"u")=0), "u", "")</f>
        <v/>
      </c>
      <c r="AJ86" s="80" t="str">
        <f>IF(AND($F86&lt;&gt;"", $F86&gt;=AJ$5-4, $F86&lt;=AJ$5, COUNTIF($M86:AI86,"u")=0), "u", "")</f>
        <v/>
      </c>
      <c r="AK86" s="80" t="str">
        <f>IF(AND($F86&lt;&gt;"", $F86&gt;=AK$5-4, $F86&lt;=AK$5, COUNTIF($M86:AJ86,"u")=0), "u", "")</f>
        <v/>
      </c>
      <c r="AL86" s="80" t="str">
        <f>IF(AND($F86&lt;&gt;"", $F86&gt;=AL$5-4, $F86&lt;=AL$5, COUNTIF($M86:AK86,"u")=0), "u", "")</f>
        <v/>
      </c>
      <c r="AM86" s="80" t="str">
        <f>IF(AND($F86&lt;&gt;"", $F86&gt;=AM$5-4, $F86&lt;=AM$5, COUNTIF($M86:AL86,"u")=0), "u", "")</f>
        <v/>
      </c>
      <c r="AN86" s="80" t="str">
        <f>IF(AND($F86&lt;&gt;"", $F86&gt;=AN$5-4, $F86&lt;=AN$5, COUNTIF($M86:AM86,"u")=0), "u", "")</f>
        <v/>
      </c>
      <c r="AO86" s="80" t="str">
        <f>IF(AND($F86&lt;&gt;"", $F86&gt;=AO$5-4, $F86&lt;=AO$5, COUNTIF($M86:AN86,"u")=0), "u", "")</f>
        <v/>
      </c>
      <c r="AP86" s="80" t="str">
        <f>IF(AND($F86&lt;&gt;"", $F86&gt;=AP$5-4, $F86&lt;=AP$5, COUNTIF($M86:AO86,"u")=0), "u", "")</f>
        <v/>
      </c>
      <c r="AQ86" s="80" t="str">
        <f>IF(AND($F86&lt;&gt;"", $F86&gt;=AQ$5-4, $F86&lt;=AQ$5, COUNTIF($M86:AP86,"u")=0), "u", "")</f>
        <v/>
      </c>
      <c r="AR86" s="80" t="str">
        <f>IF(AND($F86&lt;&gt;"", $F86&gt;=AR$5-4, $F86&lt;=AR$5, COUNTIF($M86:AQ86,"u")=0), "u", "")</f>
        <v/>
      </c>
      <c r="AS86" s="80" t="str">
        <f>IF(AND($F86&lt;&gt;"", $F86&gt;=AS$5-4, $F86&lt;=AS$5, COUNTIF($M86:AR86,"u")=0), "u", "")</f>
        <v/>
      </c>
      <c r="AT86" s="80" t="str">
        <f>IF(AND($F86&lt;&gt;"", $F86&gt;=AT$5-4, $F86&lt;=AT$5, COUNTIF($M86:AS86,"u")=0), "u", "")</f>
        <v/>
      </c>
      <c r="AU86" s="80" t="str">
        <f>IF(AND($F86&lt;&gt;"", $F86&gt;=AU$5-4, $F86&lt;=AU$5, COUNTIF($M86:AT86,"u")=0), "u", "")</f>
        <v/>
      </c>
      <c r="AV86" s="80" t="str">
        <f>IF(AND($F86&lt;&gt;"", $F86&gt;=AV$5-4, $F86&lt;=AV$5, COUNTIF($M86:AU86,"u")=0), "u", "")</f>
        <v/>
      </c>
      <c r="AW86" s="80" t="str">
        <f>IF(AND($F86&lt;&gt;"", $F86&gt;=AW$5-4, $F86&lt;=AW$5, COUNTIF($M86:AV86,"u")=0), "u", "")</f>
        <v/>
      </c>
      <c r="AX86" s="80" t="str">
        <f>IF(AND($F86&lt;&gt;"", $F86&gt;=AX$5-4, $F86&lt;=AX$5, COUNTIF($M86:AW86,"u")=0), "u", "")</f>
        <v/>
      </c>
      <c r="AY86" s="80" t="str">
        <f>IF(AND($F86&lt;&gt;"", $F86&gt;=AY$5-4, $F86&lt;=AY$5, COUNTIF($M86:AX86,"u")=0), "u", "")</f>
        <v/>
      </c>
      <c r="AZ86" s="80" t="str">
        <f>IF(AND($F86&lt;&gt;"", $F86&gt;=AZ$5-4, $F86&lt;=AZ$5, COUNTIF($M86:AY86,"u")=0), "u", "")</f>
        <v/>
      </c>
      <c r="BA86" s="80" t="str">
        <f>IF(AND($F86&lt;&gt;"", $F86&gt;=BA$5-4, $F86&lt;=BA$5, COUNTIF($M86:AZ86,"u")=0), "u", "")</f>
        <v/>
      </c>
      <c r="BB86" s="80" t="str">
        <f>IF(AND($F86&lt;&gt;"", $F86&gt;=BB$5-4, $F86&lt;=BB$5, COUNTIF($M86:BA86,"u")=0), "u", "")</f>
        <v/>
      </c>
      <c r="BC86" s="80" t="str">
        <f>IF(AND($F86&lt;&gt;"", $F86&gt;=BC$5-4, $F86&lt;=BC$5, COUNTIF($M86:BB86,"u")=0), "u", "")</f>
        <v/>
      </c>
      <c r="BD86" s="80" t="str">
        <f>IF(AND($F86&lt;&gt;"", $F86&gt;=BD$5-4, $F86&lt;=BD$5, COUNTIF($M86:BC86,"u")=0), "u", "")</f>
        <v/>
      </c>
      <c r="BE86" s="80" t="str">
        <f>IF(AND($F86&lt;&gt;"", $F86&gt;=BE$5-4, $F86&lt;=BE$5, COUNTIF($M86:BD86,"u")=0), "u", "")</f>
        <v/>
      </c>
      <c r="BF86" s="80" t="str">
        <f>IF(AND($F86&lt;&gt;"", $F86&gt;=BF$5-4, $F86&lt;=BF$5, COUNTIF($M86:BE86,"u")=0), "u", "")</f>
        <v/>
      </c>
      <c r="BG86" s="80" t="str">
        <f>IF(AND($F86&lt;&gt;"", $F86&gt;=BG$5-4, $F86&lt;=BG$5, COUNTIF($M86:BF86,"u")=0), "u", "")</f>
        <v/>
      </c>
      <c r="BH86" s="80" t="str">
        <f>IF(AND($F86&lt;&gt;"", $F86&gt;=BH$5-4, $F86&lt;=BH$5, COUNTIF($M86:BG86,"u")=0), "u", "")</f>
        <v/>
      </c>
      <c r="BI86" s="80" t="str">
        <f>IF(AND($F86&lt;&gt;"", $F86&gt;=BI$5-4, $F86&lt;=BI$5, COUNTIF($M86:BH86,"u")=0), "u", "")</f>
        <v/>
      </c>
      <c r="BJ86" s="80" t="str">
        <f>IF(AND($F86&lt;&gt;"", $F86&gt;=BJ$5-4, $F86&lt;=BJ$5, COUNTIF($M86:BI86,"u")=0), "u", "")</f>
        <v/>
      </c>
      <c r="BK86" s="80" t="str">
        <f>IF(AND($F86&lt;&gt;"", $F86&gt;=BK$5-4, $F86&lt;=BK$5, COUNTIF($M86:BJ86,"u")=0), "u", "")</f>
        <v/>
      </c>
      <c r="BL86" s="80" t="str">
        <f>IF(AND($F86&lt;&gt;"", $F86&gt;=BL$5-4, $F86&lt;=BL$5, COUNTIF($M86:BK86,"u")=0), "u", "")</f>
        <v/>
      </c>
      <c r="BM86" s="80" t="str">
        <f>IF(AND($F86&lt;&gt;"", $F86&gt;=BM$5-4, $F86&lt;=BM$5, COUNTIF($M86:BL86,"u")=0), "u", "")</f>
        <v/>
      </c>
      <c r="BN86" s="80" t="str">
        <f>IF(AND($F86&lt;&gt;"", $F86&gt;=BN$5-4, $F86&lt;=BN$5, COUNTIF($M86:BM86,"u")=0), "u", "")</f>
        <v/>
      </c>
      <c r="BO86" s="80" t="str">
        <f>IF(AND($F86&lt;&gt;"", $F86&gt;=BO$5-4, $F86&lt;=BO$5, COUNTIF($M86:BN86,"u")=0), "u", "")</f>
        <v/>
      </c>
      <c r="BP86" s="80" t="str">
        <f>IF(AND($F86&lt;&gt;"", $F86&gt;=BP$5-4, $F86&lt;=BP$5, COUNTIF($M86:BO86,"u")=0), "u", "")</f>
        <v/>
      </c>
      <c r="BQ86" s="80" t="str">
        <f>IF(AND($F86&lt;&gt;"", $F86&gt;=BQ$5-4, $F86&lt;=BQ$5, COUNTIF($M86:BP86,"u")=0), "u", "")</f>
        <v/>
      </c>
      <c r="BR86" s="80" t="str">
        <f>IF(AND($F86&lt;&gt;"", $F86&gt;=BR$5-4, $F86&lt;=BR$5, COUNTIF($M86:BQ86,"u")=0), "u", "")</f>
        <v/>
      </c>
      <c r="BS86" s="80" t="str">
        <f>IF(AND($F86&lt;&gt;"", $F86&gt;=BS$5-4, $F86&lt;=BS$5, COUNTIF($M86:BR86,"u")=0), "u", "")</f>
        <v/>
      </c>
      <c r="BT86" s="80" t="str">
        <f>IF(AND($F86&lt;&gt;"", $F86&gt;=BT$5-4, $F86&lt;=BT$5, COUNTIF($M86:BS86,"u")=0), "u", "")</f>
        <v/>
      </c>
      <c r="BU86" s="80" t="str">
        <f>IF(AND($F86&lt;&gt;"", $F86&gt;=BU$5-4, $F86&lt;=BU$5, COUNTIF($M86:BT86,"u")=0), "u", "")</f>
        <v/>
      </c>
      <c r="BV86" s="80" t="str">
        <f>IF(AND($F86&lt;&gt;"", $F86&gt;=BV$5-4, $F86&lt;=BV$5, COUNTIF($M86:BU86,"u")=0), "u", "")</f>
        <v/>
      </c>
      <c r="BW86" s="80" t="str">
        <f>IF(AND($F86&lt;&gt;"", $F86&gt;=BW$5-4, $F86&lt;=BW$5, COUNTIF($M86:BV86,"u")=0), "u", "")</f>
        <v/>
      </c>
      <c r="BX86" s="80" t="str">
        <f>IF(AND($F86&lt;&gt;"", $F86&gt;=BX$5-4, $F86&lt;=BX$5, COUNTIF($M86:BW86,"u")=0), "u", "")</f>
        <v/>
      </c>
      <c r="BY86" s="80" t="str">
        <f>IF(AND($F86&lt;&gt;"", $F86&gt;=BY$5-4, $F86&lt;=BY$5, COUNTIF($M86:BX86,"u")=0), "u", "")</f>
        <v/>
      </c>
      <c r="BZ86" s="80" t="str">
        <f>IF(AND($F86&lt;&gt;"", $F86&gt;=BZ$5-4, $F86&lt;=BZ$5, COUNTIF($M86:BY86,"u")=0), "u", "")</f>
        <v/>
      </c>
      <c r="CA86" s="80" t="str">
        <f>IF(AND($F86&lt;&gt;"", $F86&gt;=CA$5-4, $F86&lt;=CA$5, COUNTIF($M86:BZ86,"u")=0), "u", "")</f>
        <v/>
      </c>
      <c r="CB86" s="80" t="str">
        <f>IF(AND($F86&lt;&gt;"", $F86&gt;=CB$5-4, $F86&lt;=CB$5, COUNTIF($M86:CA86,"u")=0), "u", "")</f>
        <v/>
      </c>
      <c r="CC86" s="80" t="str">
        <f>IF(AND($F86&lt;&gt;"", $F86&gt;=CC$5-4, $F86&lt;=CC$5, COUNTIF($M86:CB86,"u")=0), "u", "")</f>
        <v/>
      </c>
      <c r="CD86" s="80" t="str">
        <f>IF(AND($F86&lt;&gt;"", $F86&gt;=CD$5-4, $F86&lt;=CD$5, COUNTIF($M86:CC86,"u")=0), "u", "")</f>
        <v/>
      </c>
      <c r="CE86" s="80" t="str">
        <f>IF(AND($F86&lt;&gt;"", $F86&gt;=CE$5-4, $F86&lt;=CE$5, COUNTIF($M86:CD86,"u")=0), "u", "")</f>
        <v/>
      </c>
      <c r="CF86" s="80" t="str">
        <f>IF(AND($F86&lt;&gt;"", $F86&gt;=CF$5-4, $F86&lt;=CF$5, COUNTIF($M86:CE86,"u")=0), "u", "")</f>
        <v/>
      </c>
      <c r="CG86" s="80" t="str">
        <f>IF(AND($F86&lt;&gt;"", $F86&gt;=CG$5-4, $F86&lt;=CG$5, COUNTIF($M86:CF86,"u")=0), "u", "")</f>
        <v/>
      </c>
      <c r="CH86" s="80" t="str">
        <f>IF(AND($F86&lt;&gt;"", $F86&gt;=CH$5-4, $F86&lt;=CH$5, COUNTIF($M86:CG86,"u")=0), "u", "")</f>
        <v/>
      </c>
      <c r="CI86" s="80" t="str">
        <f>IF(AND($F86&lt;&gt;"", $F86&gt;=CI$5-4, $F86&lt;=CI$5, COUNTIF($M86:CH86,"u")=0), "u", "")</f>
        <v/>
      </c>
      <c r="CJ86" s="80" t="str">
        <f>IF(AND($F86&lt;&gt;"", $F86&gt;=CJ$5-4, $F86&lt;=CJ$5, COUNTIF($M86:CI86,"u")=0), "u", "")</f>
        <v/>
      </c>
      <c r="CK86" s="80" t="str">
        <f>IF(AND($F86&lt;&gt;"", $F86&gt;=CK$5-4, $F86&lt;=CK$5, COUNTIF($M86:CJ86,"u")=0), "u", "")</f>
        <v/>
      </c>
      <c r="CL86" s="80" t="str">
        <f>IF(AND($F86&lt;&gt;"", $F86&gt;=CL$5-4, $F86&lt;=CL$5, COUNTIF($M86:CK86,"u")=0), "u", "")</f>
        <v/>
      </c>
      <c r="CM86" s="80" t="str">
        <f>IF(AND($F86&lt;&gt;"", $F86&gt;=CM$5-4, $F86&lt;=CM$5, COUNTIF($M86:CL86,"u")=0), "u", "")</f>
        <v/>
      </c>
      <c r="CN86" s="80" t="str">
        <f>IF(AND($F86&lt;&gt;"", $F86&gt;=CN$5-4, $F86&lt;=CN$5, COUNTIF($M86:CM86,"u")=0), "u", "")</f>
        <v/>
      </c>
      <c r="CO86" s="80" t="str">
        <f>IF(AND($F86&lt;&gt;"", $F86&gt;=CO$5-4, $F86&lt;=CO$5, COUNTIF($M86:CN86,"u")=0), "u", "")</f>
        <v/>
      </c>
      <c r="CP86" s="80" t="str">
        <f>IF(AND($F86&lt;&gt;"", $F86&gt;=CP$5-4, $F86&lt;=CP$5, COUNTIF($M86:CO86,"u")=0), "u", "")</f>
        <v/>
      </c>
      <c r="CQ86" s="80" t="str">
        <f>IF(AND($F86&lt;&gt;"", $F86&gt;=CQ$5-4, $F86&lt;=CQ$5, COUNTIF($M86:CP86,"u")=0), "u", "")</f>
        <v/>
      </c>
      <c r="CR86" s="80" t="str">
        <f>IF(AND($F86&lt;&gt;"", $F86&gt;=CR$5-4, $F86&lt;=CR$5, COUNTIF($M86:CQ86,"u")=0), "u", "")</f>
        <v/>
      </c>
      <c r="CS86" s="80" t="str">
        <f>IF(AND($F86&lt;&gt;"", $F86&gt;=CS$5-4, $F86&lt;=CS$5, COUNTIF($M86:CR86,"u")=0), "u", "")</f>
        <v/>
      </c>
      <c r="CT86" s="80" t="str">
        <f>IF(AND($F86&lt;&gt;"", $F86&gt;=CT$5-4, $F86&lt;=CT$5, COUNTIF($M86:CS86,"u")=0), "u", "")</f>
        <v/>
      </c>
      <c r="CU86" s="80" t="str">
        <f>IF(AND($F86&lt;&gt;"", $F86&gt;=CU$5-4, $F86&lt;=CU$5, COUNTIF($M86:CT86,"u")=0), "u", "")</f>
        <v/>
      </c>
      <c r="CV86" s="80" t="str">
        <f>IF(AND($F86&lt;&gt;"", $F86&gt;=CV$5-4, $F86&lt;=CV$5, COUNTIF($M86:CU86,"u")=0), "u", "")</f>
        <v/>
      </c>
      <c r="CW86" s="80" t="str">
        <f>IF(AND($F86&lt;&gt;"", $F86&gt;=CW$5-4, $F86&lt;=CW$5, COUNTIF($M86:CV86,"u")=0), "u", "")</f>
        <v/>
      </c>
      <c r="CX86" s="80" t="str">
        <f>IF(AND($F86&lt;&gt;"", $F86&gt;=CX$5-4, $F86&lt;=CX$5, COUNTIF($M86:CW86,"u")=0), "u", "")</f>
        <v/>
      </c>
      <c r="CY86" s="80" t="str">
        <f>IF(AND($F86&lt;&gt;"", $F86&gt;=CY$5-4, $F86&lt;=CY$5, COUNTIF($M86:CX86,"u")=0), "u", "")</f>
        <v/>
      </c>
      <c r="CZ86" s="80" t="str">
        <f>IF(AND($F86&lt;&gt;"", $F86&gt;=CZ$5-4, $F86&lt;=CZ$5, COUNTIF($M86:CY86,"u")=0), "u", "")</f>
        <v/>
      </c>
      <c r="DA86" s="80" t="str">
        <f>IF(AND($F86&lt;&gt;"", $F86&gt;=DA$5-4, $F86&lt;=DA$5, COUNTIF($M86:CZ86,"u")=0), "u", "")</f>
        <v/>
      </c>
      <c r="DB86" s="80" t="str">
        <f>IF(AND($F86&lt;&gt;"", $F86&gt;=DB$5-4, $F86&lt;=DB$5, COUNTIF($M86:DA86,"u")=0), "u", "")</f>
        <v/>
      </c>
      <c r="DC86" s="80" t="str">
        <f>IF(AND($F86&lt;&gt;"", $F86&gt;=DC$5-4, $F86&lt;=DC$5, COUNTIF($M86:DB86,"u")=0), "u", "")</f>
        <v/>
      </c>
      <c r="DD86" s="80" t="str">
        <f>IF(AND($F86&lt;&gt;"", $F86&gt;=DD$5-4, $F86&lt;=DD$5, COUNTIF($M86:DC86,"u")=0), "u", "")</f>
        <v/>
      </c>
      <c r="DE86" s="80" t="str">
        <f>IF(AND($F86&lt;&gt;"", $F86&gt;=DE$5-4, $F86&lt;=DE$5, COUNTIF($M86:DD86,"u")=0), "u", "")</f>
        <v/>
      </c>
      <c r="DF86" s="80" t="str">
        <f>IF(AND($F86&lt;&gt;"", $F86&gt;=DF$5-4, $F86&lt;=DF$5, COUNTIF($M86:DE86,"u")=0), "u", "")</f>
        <v/>
      </c>
      <c r="DG86" s="80" t="str">
        <f>IF(AND($F86&lt;&gt;"", $F86&gt;=DG$5-4, $F86&lt;=DG$5, COUNTIF($M86:DF86,"u")=0), "u", "")</f>
        <v/>
      </c>
      <c r="DH86" s="80" t="str">
        <f>IF(AND($F86&lt;&gt;"", $F86&gt;=DH$5-4, $F86&lt;=DH$5, COUNTIF($M86:DG86,"u")=0), "u", "")</f>
        <v/>
      </c>
      <c r="DI86" s="80" t="str">
        <f>IF(AND($F86&lt;&gt;"", $F86&gt;=DI$5-4, $F86&lt;=DI$5, COUNTIF($M86:DH86,"u")=0), "u", "")</f>
        <v/>
      </c>
      <c r="DJ86" s="80" t="str">
        <f>IF(AND($F86&lt;&gt;"", $F86&gt;=DJ$5-4, $F86&lt;=DJ$5, COUNTIF($M86:DI86,"u")=0), "u", "")</f>
        <v/>
      </c>
      <c r="DK86" s="80" t="str">
        <f>IF(AND($F86&lt;&gt;"", $F86&gt;=DK$5-4, $F86&lt;=DK$5, COUNTIF($M86:DJ86,"u")=0), "u", "")</f>
        <v/>
      </c>
      <c r="DL86" s="80" t="str">
        <f>IF(AND($F86&lt;&gt;"", $F86&gt;=DL$5-4, $F86&lt;=DL$5, COUNTIF($M86:DK86,"u")=0), "u", "")</f>
        <v/>
      </c>
    </row>
    <row r="87" spans="1:116" ht="25.05" customHeight="1" x14ac:dyDescent="0.3">
      <c r="A87" s="39"/>
      <c r="B87" s="75">
        <v>82</v>
      </c>
      <c r="C87" s="97"/>
      <c r="D87" s="92"/>
      <c r="E87" s="53"/>
      <c r="F87" s="53"/>
      <c r="G87" s="83" t="str">
        <f t="shared" si="50"/>
        <v/>
      </c>
      <c r="H87" s="83" t="str">
        <f t="shared" si="50"/>
        <v/>
      </c>
      <c r="I87" s="77" t="str">
        <f t="shared" si="48"/>
        <v/>
      </c>
      <c r="J87" s="78"/>
      <c r="K87" s="86"/>
      <c r="L87" s="56"/>
      <c r="M87" s="80" t="str">
        <f t="shared" si="49"/>
        <v/>
      </c>
      <c r="N87" s="80" t="str">
        <f>IF(AND($F87&lt;&gt;"", $F87&gt;=N$5-4, $F87&lt;=N$5, COUNTIF($M87:M87,"u")=0), "u", "")</f>
        <v/>
      </c>
      <c r="O87" s="80" t="str">
        <f>IF(AND($F87&lt;&gt;"", $F87&gt;=O$5-4, $F87&lt;=O$5, COUNTIF($M87:N87,"u")=0), "u", "")</f>
        <v/>
      </c>
      <c r="P87" s="80" t="str">
        <f>IF(AND($F87&lt;&gt;"", $F87&gt;=P$5-4, $F87&lt;=P$5, COUNTIF($M87:O87,"u")=0), "u", "")</f>
        <v/>
      </c>
      <c r="Q87" s="80" t="str">
        <f>IF(AND($F87&lt;&gt;"", $F87&gt;=Q$5-4, $F87&lt;=Q$5, COUNTIF($M87:P87,"u")=0), "u", "")</f>
        <v/>
      </c>
      <c r="R87" s="80" t="str">
        <f>IF(AND($F87&lt;&gt;"", $F87&gt;=R$5-4, $F87&lt;=R$5, COUNTIF($M87:Q87,"u")=0), "u", "")</f>
        <v/>
      </c>
      <c r="S87" s="80" t="str">
        <f>IF(AND($F87&lt;&gt;"", $F87&gt;=S$5-4, $F87&lt;=S$5, COUNTIF($M87:R87,"u")=0), "u", "")</f>
        <v/>
      </c>
      <c r="T87" s="80" t="str">
        <f>IF(AND($F87&lt;&gt;"", $F87&gt;=T$5-4, $F87&lt;=T$5, COUNTIF($M87:S87,"u")=0), "u", "")</f>
        <v/>
      </c>
      <c r="U87" s="80" t="str">
        <f>IF(AND($F87&lt;&gt;"", $F87&gt;=U$5-4, $F87&lt;=U$5, COUNTIF($M87:T87,"u")=0), "u", "")</f>
        <v/>
      </c>
      <c r="V87" s="80" t="str">
        <f>IF(AND($F87&lt;&gt;"", $F87&gt;=V$5-4, $F87&lt;=V$5, COUNTIF($M87:U87,"u")=0), "u", "")</f>
        <v/>
      </c>
      <c r="W87" s="80" t="str">
        <f>IF(AND($F87&lt;&gt;"", $F87&gt;=W$5-4, $F87&lt;=W$5, COUNTIF($M87:V87,"u")=0), "u", "")</f>
        <v/>
      </c>
      <c r="X87" s="80" t="str">
        <f>IF(AND($F87&lt;&gt;"", $F87&gt;=X$5-4, $F87&lt;=X$5, COUNTIF($M87:W87,"u")=0), "u", "")</f>
        <v/>
      </c>
      <c r="Y87" s="80" t="str">
        <f>IF(AND($F87&lt;&gt;"", $F87&gt;=Y$5-4, $F87&lt;=Y$5, COUNTIF($M87:X87,"u")=0), "u", "")</f>
        <v/>
      </c>
      <c r="Z87" s="80" t="str">
        <f>IF(AND($F87&lt;&gt;"", $F87&gt;=Z$5-4, $F87&lt;=Z$5, COUNTIF($M87:Y87,"u")=0), "u", "")</f>
        <v/>
      </c>
      <c r="AA87" s="80" t="str">
        <f>IF(AND($F87&lt;&gt;"", $F87&gt;=AA$5-4, $F87&lt;=AA$5, COUNTIF($M87:Z87,"u")=0), "u", "")</f>
        <v/>
      </c>
      <c r="AB87" s="80" t="str">
        <f>IF(AND($F87&lt;&gt;"", $F87&gt;=AB$5-4, $F87&lt;=AB$5, COUNTIF($M87:AA87,"u")=0), "u", "")</f>
        <v/>
      </c>
      <c r="AC87" s="80" t="str">
        <f>IF(AND($F87&lt;&gt;"", $F87&gt;=AC$5-4, $F87&lt;=AC$5, COUNTIF($M87:AB87,"u")=0), "u", "")</f>
        <v/>
      </c>
      <c r="AD87" s="80" t="str">
        <f>IF(AND($F87&lt;&gt;"", $F87&gt;=AD$5-4, $F87&lt;=AD$5, COUNTIF($M87:AC87,"u")=0), "u", "")</f>
        <v/>
      </c>
      <c r="AE87" s="80" t="str">
        <f>IF(AND($F87&lt;&gt;"", $F87&gt;=AE$5-4, $F87&lt;=AE$5, COUNTIF($M87:AD87,"u")=0), "u", "")</f>
        <v/>
      </c>
      <c r="AF87" s="80" t="str">
        <f>IF(AND($F87&lt;&gt;"", $F87&gt;=AF$5-4, $F87&lt;=AF$5, COUNTIF($M87:AE87,"u")=0), "u", "")</f>
        <v/>
      </c>
      <c r="AG87" s="80" t="str">
        <f>IF(AND($F87&lt;&gt;"", $F87&gt;=AG$5-4, $F87&lt;=AG$5, COUNTIF($M87:AF87,"u")=0), "u", "")</f>
        <v/>
      </c>
      <c r="AH87" s="80" t="str">
        <f>IF(AND($F87&lt;&gt;"", $F87&gt;=AH$5-4, $F87&lt;=AH$5, COUNTIF($M87:AG87,"u")=0), "u", "")</f>
        <v/>
      </c>
      <c r="AI87" s="80" t="str">
        <f>IF(AND($F87&lt;&gt;"", $F87&gt;=AI$5-4, $F87&lt;=AI$5, COUNTIF($M87:AH87,"u")=0), "u", "")</f>
        <v/>
      </c>
      <c r="AJ87" s="80" t="str">
        <f>IF(AND($F87&lt;&gt;"", $F87&gt;=AJ$5-4, $F87&lt;=AJ$5, COUNTIF($M87:AI87,"u")=0), "u", "")</f>
        <v/>
      </c>
      <c r="AK87" s="80" t="str">
        <f>IF(AND($F87&lt;&gt;"", $F87&gt;=AK$5-4, $F87&lt;=AK$5, COUNTIF($M87:AJ87,"u")=0), "u", "")</f>
        <v/>
      </c>
      <c r="AL87" s="80" t="str">
        <f>IF(AND($F87&lt;&gt;"", $F87&gt;=AL$5-4, $F87&lt;=AL$5, COUNTIF($M87:AK87,"u")=0), "u", "")</f>
        <v/>
      </c>
      <c r="AM87" s="80" t="str">
        <f>IF(AND($F87&lt;&gt;"", $F87&gt;=AM$5-4, $F87&lt;=AM$5, COUNTIF($M87:AL87,"u")=0), "u", "")</f>
        <v/>
      </c>
      <c r="AN87" s="80" t="str">
        <f>IF(AND($F87&lt;&gt;"", $F87&gt;=AN$5-4, $F87&lt;=AN$5, COUNTIF($M87:AM87,"u")=0), "u", "")</f>
        <v/>
      </c>
      <c r="AO87" s="80" t="str">
        <f>IF(AND($F87&lt;&gt;"", $F87&gt;=AO$5-4, $F87&lt;=AO$5, COUNTIF($M87:AN87,"u")=0), "u", "")</f>
        <v/>
      </c>
      <c r="AP87" s="80" t="str">
        <f>IF(AND($F87&lt;&gt;"", $F87&gt;=AP$5-4, $F87&lt;=AP$5, COUNTIF($M87:AO87,"u")=0), "u", "")</f>
        <v/>
      </c>
      <c r="AQ87" s="80" t="str">
        <f>IF(AND($F87&lt;&gt;"", $F87&gt;=AQ$5-4, $F87&lt;=AQ$5, COUNTIF($M87:AP87,"u")=0), "u", "")</f>
        <v/>
      </c>
      <c r="AR87" s="80" t="str">
        <f>IF(AND($F87&lt;&gt;"", $F87&gt;=AR$5-4, $F87&lt;=AR$5, COUNTIF($M87:AQ87,"u")=0), "u", "")</f>
        <v/>
      </c>
      <c r="AS87" s="80" t="str">
        <f>IF(AND($F87&lt;&gt;"", $F87&gt;=AS$5-4, $F87&lt;=AS$5, COUNTIF($M87:AR87,"u")=0), "u", "")</f>
        <v/>
      </c>
      <c r="AT87" s="80" t="str">
        <f>IF(AND($F87&lt;&gt;"", $F87&gt;=AT$5-4, $F87&lt;=AT$5, COUNTIF($M87:AS87,"u")=0), "u", "")</f>
        <v/>
      </c>
      <c r="AU87" s="80" t="str">
        <f>IF(AND($F87&lt;&gt;"", $F87&gt;=AU$5-4, $F87&lt;=AU$5, COUNTIF($M87:AT87,"u")=0), "u", "")</f>
        <v/>
      </c>
      <c r="AV87" s="80" t="str">
        <f>IF(AND($F87&lt;&gt;"", $F87&gt;=AV$5-4, $F87&lt;=AV$5, COUNTIF($M87:AU87,"u")=0), "u", "")</f>
        <v/>
      </c>
      <c r="AW87" s="80" t="str">
        <f>IF(AND($F87&lt;&gt;"", $F87&gt;=AW$5-4, $F87&lt;=AW$5, COUNTIF($M87:AV87,"u")=0), "u", "")</f>
        <v/>
      </c>
      <c r="AX87" s="80" t="str">
        <f>IF(AND($F87&lt;&gt;"", $F87&gt;=AX$5-4, $F87&lt;=AX$5, COUNTIF($M87:AW87,"u")=0), "u", "")</f>
        <v/>
      </c>
      <c r="AY87" s="80" t="str">
        <f>IF(AND($F87&lt;&gt;"", $F87&gt;=AY$5-4, $F87&lt;=AY$5, COUNTIF($M87:AX87,"u")=0), "u", "")</f>
        <v/>
      </c>
      <c r="AZ87" s="80" t="str">
        <f>IF(AND($F87&lt;&gt;"", $F87&gt;=AZ$5-4, $F87&lt;=AZ$5, COUNTIF($M87:AY87,"u")=0), "u", "")</f>
        <v/>
      </c>
      <c r="BA87" s="80" t="str">
        <f>IF(AND($F87&lt;&gt;"", $F87&gt;=BA$5-4, $F87&lt;=BA$5, COUNTIF($M87:AZ87,"u")=0), "u", "")</f>
        <v/>
      </c>
      <c r="BB87" s="80" t="str">
        <f>IF(AND($F87&lt;&gt;"", $F87&gt;=BB$5-4, $F87&lt;=BB$5, COUNTIF($M87:BA87,"u")=0), "u", "")</f>
        <v/>
      </c>
      <c r="BC87" s="80" t="str">
        <f>IF(AND($F87&lt;&gt;"", $F87&gt;=BC$5-4, $F87&lt;=BC$5, COUNTIF($M87:BB87,"u")=0), "u", "")</f>
        <v/>
      </c>
      <c r="BD87" s="80" t="str">
        <f>IF(AND($F87&lt;&gt;"", $F87&gt;=BD$5-4, $F87&lt;=BD$5, COUNTIF($M87:BC87,"u")=0), "u", "")</f>
        <v/>
      </c>
      <c r="BE87" s="80" t="str">
        <f>IF(AND($F87&lt;&gt;"", $F87&gt;=BE$5-4, $F87&lt;=BE$5, COUNTIF($M87:BD87,"u")=0), "u", "")</f>
        <v/>
      </c>
      <c r="BF87" s="80" t="str">
        <f>IF(AND($F87&lt;&gt;"", $F87&gt;=BF$5-4, $F87&lt;=BF$5, COUNTIF($M87:BE87,"u")=0), "u", "")</f>
        <v/>
      </c>
      <c r="BG87" s="80" t="str">
        <f>IF(AND($F87&lt;&gt;"", $F87&gt;=BG$5-4, $F87&lt;=BG$5, COUNTIF($M87:BF87,"u")=0), "u", "")</f>
        <v/>
      </c>
      <c r="BH87" s="80" t="str">
        <f>IF(AND($F87&lt;&gt;"", $F87&gt;=BH$5-4, $F87&lt;=BH$5, COUNTIF($M87:BG87,"u")=0), "u", "")</f>
        <v/>
      </c>
      <c r="BI87" s="80" t="str">
        <f>IF(AND($F87&lt;&gt;"", $F87&gt;=BI$5-4, $F87&lt;=BI$5, COUNTIF($M87:BH87,"u")=0), "u", "")</f>
        <v/>
      </c>
      <c r="BJ87" s="80" t="str">
        <f>IF(AND($F87&lt;&gt;"", $F87&gt;=BJ$5-4, $F87&lt;=BJ$5, COUNTIF($M87:BI87,"u")=0), "u", "")</f>
        <v/>
      </c>
      <c r="BK87" s="80" t="str">
        <f>IF(AND($F87&lt;&gt;"", $F87&gt;=BK$5-4, $F87&lt;=BK$5, COUNTIF($M87:BJ87,"u")=0), "u", "")</f>
        <v/>
      </c>
      <c r="BL87" s="80" t="str">
        <f>IF(AND($F87&lt;&gt;"", $F87&gt;=BL$5-4, $F87&lt;=BL$5, COUNTIF($M87:BK87,"u")=0), "u", "")</f>
        <v/>
      </c>
      <c r="BM87" s="80" t="str">
        <f>IF(AND($F87&lt;&gt;"", $F87&gt;=BM$5-4, $F87&lt;=BM$5, COUNTIF($M87:BL87,"u")=0), "u", "")</f>
        <v/>
      </c>
      <c r="BN87" s="80" t="str">
        <f>IF(AND($F87&lt;&gt;"", $F87&gt;=BN$5-4, $F87&lt;=BN$5, COUNTIF($M87:BM87,"u")=0), "u", "")</f>
        <v/>
      </c>
      <c r="BO87" s="80" t="str">
        <f>IF(AND($F87&lt;&gt;"", $F87&gt;=BO$5-4, $F87&lt;=BO$5, COUNTIF($M87:BN87,"u")=0), "u", "")</f>
        <v/>
      </c>
      <c r="BP87" s="80" t="str">
        <f>IF(AND($F87&lt;&gt;"", $F87&gt;=BP$5-4, $F87&lt;=BP$5, COUNTIF($M87:BO87,"u")=0), "u", "")</f>
        <v/>
      </c>
      <c r="BQ87" s="80" t="str">
        <f>IF(AND($F87&lt;&gt;"", $F87&gt;=BQ$5-4, $F87&lt;=BQ$5, COUNTIF($M87:BP87,"u")=0), "u", "")</f>
        <v/>
      </c>
      <c r="BR87" s="80" t="str">
        <f>IF(AND($F87&lt;&gt;"", $F87&gt;=BR$5-4, $F87&lt;=BR$5, COUNTIF($M87:BQ87,"u")=0), "u", "")</f>
        <v/>
      </c>
      <c r="BS87" s="80" t="str">
        <f>IF(AND($F87&lt;&gt;"", $F87&gt;=BS$5-4, $F87&lt;=BS$5, COUNTIF($M87:BR87,"u")=0), "u", "")</f>
        <v/>
      </c>
      <c r="BT87" s="80" t="str">
        <f>IF(AND($F87&lt;&gt;"", $F87&gt;=BT$5-4, $F87&lt;=BT$5, COUNTIF($M87:BS87,"u")=0), "u", "")</f>
        <v/>
      </c>
      <c r="BU87" s="80" t="str">
        <f>IF(AND($F87&lt;&gt;"", $F87&gt;=BU$5-4, $F87&lt;=BU$5, COUNTIF($M87:BT87,"u")=0), "u", "")</f>
        <v/>
      </c>
      <c r="BV87" s="80" t="str">
        <f>IF(AND($F87&lt;&gt;"", $F87&gt;=BV$5-4, $F87&lt;=BV$5, COUNTIF($M87:BU87,"u")=0), "u", "")</f>
        <v/>
      </c>
      <c r="BW87" s="80" t="str">
        <f>IF(AND($F87&lt;&gt;"", $F87&gt;=BW$5-4, $F87&lt;=BW$5, COUNTIF($M87:BV87,"u")=0), "u", "")</f>
        <v/>
      </c>
      <c r="BX87" s="80" t="str">
        <f>IF(AND($F87&lt;&gt;"", $F87&gt;=BX$5-4, $F87&lt;=BX$5, COUNTIF($M87:BW87,"u")=0), "u", "")</f>
        <v/>
      </c>
      <c r="BY87" s="80" t="str">
        <f>IF(AND($F87&lt;&gt;"", $F87&gt;=BY$5-4, $F87&lt;=BY$5, COUNTIF($M87:BX87,"u")=0), "u", "")</f>
        <v/>
      </c>
      <c r="BZ87" s="80" t="str">
        <f>IF(AND($F87&lt;&gt;"", $F87&gt;=BZ$5-4, $F87&lt;=BZ$5, COUNTIF($M87:BY87,"u")=0), "u", "")</f>
        <v/>
      </c>
      <c r="CA87" s="80" t="str">
        <f>IF(AND($F87&lt;&gt;"", $F87&gt;=CA$5-4, $F87&lt;=CA$5, COUNTIF($M87:BZ87,"u")=0), "u", "")</f>
        <v/>
      </c>
      <c r="CB87" s="80" t="str">
        <f>IF(AND($F87&lt;&gt;"", $F87&gt;=CB$5-4, $F87&lt;=CB$5, COUNTIF($M87:CA87,"u")=0), "u", "")</f>
        <v/>
      </c>
      <c r="CC87" s="80" t="str">
        <f>IF(AND($F87&lt;&gt;"", $F87&gt;=CC$5-4, $F87&lt;=CC$5, COUNTIF($M87:CB87,"u")=0), "u", "")</f>
        <v/>
      </c>
      <c r="CD87" s="80" t="str">
        <f>IF(AND($F87&lt;&gt;"", $F87&gt;=CD$5-4, $F87&lt;=CD$5, COUNTIF($M87:CC87,"u")=0), "u", "")</f>
        <v/>
      </c>
      <c r="CE87" s="80" t="str">
        <f>IF(AND($F87&lt;&gt;"", $F87&gt;=CE$5-4, $F87&lt;=CE$5, COUNTIF($M87:CD87,"u")=0), "u", "")</f>
        <v/>
      </c>
      <c r="CF87" s="80" t="str">
        <f>IF(AND($F87&lt;&gt;"", $F87&gt;=CF$5-4, $F87&lt;=CF$5, COUNTIF($M87:CE87,"u")=0), "u", "")</f>
        <v/>
      </c>
      <c r="CG87" s="80" t="str">
        <f>IF(AND($F87&lt;&gt;"", $F87&gt;=CG$5-4, $F87&lt;=CG$5, COUNTIF($M87:CF87,"u")=0), "u", "")</f>
        <v/>
      </c>
      <c r="CH87" s="80" t="str">
        <f>IF(AND($F87&lt;&gt;"", $F87&gt;=CH$5-4, $F87&lt;=CH$5, COUNTIF($M87:CG87,"u")=0), "u", "")</f>
        <v/>
      </c>
      <c r="CI87" s="80" t="str">
        <f>IF(AND($F87&lt;&gt;"", $F87&gt;=CI$5-4, $F87&lt;=CI$5, COUNTIF($M87:CH87,"u")=0), "u", "")</f>
        <v/>
      </c>
      <c r="CJ87" s="80" t="str">
        <f>IF(AND($F87&lt;&gt;"", $F87&gt;=CJ$5-4, $F87&lt;=CJ$5, COUNTIF($M87:CI87,"u")=0), "u", "")</f>
        <v/>
      </c>
      <c r="CK87" s="80" t="str">
        <f>IF(AND($F87&lt;&gt;"", $F87&gt;=CK$5-4, $F87&lt;=CK$5, COUNTIF($M87:CJ87,"u")=0), "u", "")</f>
        <v/>
      </c>
      <c r="CL87" s="80" t="str">
        <f>IF(AND($F87&lt;&gt;"", $F87&gt;=CL$5-4, $F87&lt;=CL$5, COUNTIF($M87:CK87,"u")=0), "u", "")</f>
        <v/>
      </c>
      <c r="CM87" s="80" t="str">
        <f>IF(AND($F87&lt;&gt;"", $F87&gt;=CM$5-4, $F87&lt;=CM$5, COUNTIF($M87:CL87,"u")=0), "u", "")</f>
        <v/>
      </c>
      <c r="CN87" s="80" t="str">
        <f>IF(AND($F87&lt;&gt;"", $F87&gt;=CN$5-4, $F87&lt;=CN$5, COUNTIF($M87:CM87,"u")=0), "u", "")</f>
        <v/>
      </c>
      <c r="CO87" s="80" t="str">
        <f>IF(AND($F87&lt;&gt;"", $F87&gt;=CO$5-4, $F87&lt;=CO$5, COUNTIF($M87:CN87,"u")=0), "u", "")</f>
        <v/>
      </c>
      <c r="CP87" s="80" t="str">
        <f>IF(AND($F87&lt;&gt;"", $F87&gt;=CP$5-4, $F87&lt;=CP$5, COUNTIF($M87:CO87,"u")=0), "u", "")</f>
        <v/>
      </c>
      <c r="CQ87" s="80" t="str">
        <f>IF(AND($F87&lt;&gt;"", $F87&gt;=CQ$5-4, $F87&lt;=CQ$5, COUNTIF($M87:CP87,"u")=0), "u", "")</f>
        <v/>
      </c>
      <c r="CR87" s="80" t="str">
        <f>IF(AND($F87&lt;&gt;"", $F87&gt;=CR$5-4, $F87&lt;=CR$5, COUNTIF($M87:CQ87,"u")=0), "u", "")</f>
        <v/>
      </c>
      <c r="CS87" s="80" t="str">
        <f>IF(AND($F87&lt;&gt;"", $F87&gt;=CS$5-4, $F87&lt;=CS$5, COUNTIF($M87:CR87,"u")=0), "u", "")</f>
        <v/>
      </c>
      <c r="CT87" s="80" t="str">
        <f>IF(AND($F87&lt;&gt;"", $F87&gt;=CT$5-4, $F87&lt;=CT$5, COUNTIF($M87:CS87,"u")=0), "u", "")</f>
        <v/>
      </c>
      <c r="CU87" s="80" t="str">
        <f>IF(AND($F87&lt;&gt;"", $F87&gt;=CU$5-4, $F87&lt;=CU$5, COUNTIF($M87:CT87,"u")=0), "u", "")</f>
        <v/>
      </c>
      <c r="CV87" s="80" t="str">
        <f>IF(AND($F87&lt;&gt;"", $F87&gt;=CV$5-4, $F87&lt;=CV$5, COUNTIF($M87:CU87,"u")=0), "u", "")</f>
        <v/>
      </c>
      <c r="CW87" s="80" t="str">
        <f>IF(AND($F87&lt;&gt;"", $F87&gt;=CW$5-4, $F87&lt;=CW$5, COUNTIF($M87:CV87,"u")=0), "u", "")</f>
        <v/>
      </c>
      <c r="CX87" s="80" t="str">
        <f>IF(AND($F87&lt;&gt;"", $F87&gt;=CX$5-4, $F87&lt;=CX$5, COUNTIF($M87:CW87,"u")=0), "u", "")</f>
        <v/>
      </c>
      <c r="CY87" s="80" t="str">
        <f>IF(AND($F87&lt;&gt;"", $F87&gt;=CY$5-4, $F87&lt;=CY$5, COUNTIF($M87:CX87,"u")=0), "u", "")</f>
        <v/>
      </c>
      <c r="CZ87" s="80" t="str">
        <f>IF(AND($F87&lt;&gt;"", $F87&gt;=CZ$5-4, $F87&lt;=CZ$5, COUNTIF($M87:CY87,"u")=0), "u", "")</f>
        <v/>
      </c>
      <c r="DA87" s="80" t="str">
        <f>IF(AND($F87&lt;&gt;"", $F87&gt;=DA$5-4, $F87&lt;=DA$5, COUNTIF($M87:CZ87,"u")=0), "u", "")</f>
        <v/>
      </c>
      <c r="DB87" s="80" t="str">
        <f>IF(AND($F87&lt;&gt;"", $F87&gt;=DB$5-4, $F87&lt;=DB$5, COUNTIF($M87:DA87,"u")=0), "u", "")</f>
        <v/>
      </c>
      <c r="DC87" s="80" t="str">
        <f>IF(AND($F87&lt;&gt;"", $F87&gt;=DC$5-4, $F87&lt;=DC$5, COUNTIF($M87:DB87,"u")=0), "u", "")</f>
        <v/>
      </c>
      <c r="DD87" s="80" t="str">
        <f>IF(AND($F87&lt;&gt;"", $F87&gt;=DD$5-4, $F87&lt;=DD$5, COUNTIF($M87:DC87,"u")=0), "u", "")</f>
        <v/>
      </c>
      <c r="DE87" s="80" t="str">
        <f>IF(AND($F87&lt;&gt;"", $F87&gt;=DE$5-4, $F87&lt;=DE$5, COUNTIF($M87:DD87,"u")=0), "u", "")</f>
        <v/>
      </c>
      <c r="DF87" s="80" t="str">
        <f>IF(AND($F87&lt;&gt;"", $F87&gt;=DF$5-4, $F87&lt;=DF$5, COUNTIF($M87:DE87,"u")=0), "u", "")</f>
        <v/>
      </c>
      <c r="DG87" s="80" t="str">
        <f>IF(AND($F87&lt;&gt;"", $F87&gt;=DG$5-4, $F87&lt;=DG$5, COUNTIF($M87:DF87,"u")=0), "u", "")</f>
        <v/>
      </c>
      <c r="DH87" s="80" t="str">
        <f>IF(AND($F87&lt;&gt;"", $F87&gt;=DH$5-4, $F87&lt;=DH$5, COUNTIF($M87:DG87,"u")=0), "u", "")</f>
        <v/>
      </c>
      <c r="DI87" s="80" t="str">
        <f>IF(AND($F87&lt;&gt;"", $F87&gt;=DI$5-4, $F87&lt;=DI$5, COUNTIF($M87:DH87,"u")=0), "u", "")</f>
        <v/>
      </c>
      <c r="DJ87" s="80" t="str">
        <f>IF(AND($F87&lt;&gt;"", $F87&gt;=DJ$5-4, $F87&lt;=DJ$5, COUNTIF($M87:DI87,"u")=0), "u", "")</f>
        <v/>
      </c>
      <c r="DK87" s="80" t="str">
        <f>IF(AND($F87&lt;&gt;"", $F87&gt;=DK$5-4, $F87&lt;=DK$5, COUNTIF($M87:DJ87,"u")=0), "u", "")</f>
        <v/>
      </c>
      <c r="DL87" s="80" t="str">
        <f>IF(AND($F87&lt;&gt;"", $F87&gt;=DL$5-4, $F87&lt;=DL$5, COUNTIF($M87:DK87,"u")=0), "u", "")</f>
        <v/>
      </c>
    </row>
    <row r="88" spans="1:116" ht="25.05" customHeight="1" x14ac:dyDescent="0.3">
      <c r="A88" s="39"/>
      <c r="B88" s="75">
        <v>83</v>
      </c>
      <c r="C88" s="97"/>
      <c r="D88" s="92"/>
      <c r="E88" s="53"/>
      <c r="F88" s="53"/>
      <c r="G88" s="83" t="str">
        <f t="shared" si="50"/>
        <v/>
      </c>
      <c r="H88" s="83" t="str">
        <f t="shared" si="50"/>
        <v/>
      </c>
      <c r="I88" s="77" t="str">
        <f t="shared" si="48"/>
        <v/>
      </c>
      <c r="J88" s="78"/>
      <c r="K88" s="86"/>
      <c r="L88" s="56"/>
      <c r="M88" s="80" t="str">
        <f t="shared" si="49"/>
        <v/>
      </c>
      <c r="N88" s="80" t="str">
        <f>IF(AND($F88&lt;&gt;"", $F88&gt;=N$5-4, $F88&lt;=N$5, COUNTIF($M88:M88,"u")=0), "u", "")</f>
        <v/>
      </c>
      <c r="O88" s="80" t="str">
        <f>IF(AND($F88&lt;&gt;"", $F88&gt;=O$5-4, $F88&lt;=O$5, COUNTIF($M88:N88,"u")=0), "u", "")</f>
        <v/>
      </c>
      <c r="P88" s="80" t="str">
        <f>IF(AND($F88&lt;&gt;"", $F88&gt;=P$5-4, $F88&lt;=P$5, COUNTIF($M88:O88,"u")=0), "u", "")</f>
        <v/>
      </c>
      <c r="Q88" s="80" t="str">
        <f>IF(AND($F88&lt;&gt;"", $F88&gt;=Q$5-4, $F88&lt;=Q$5, COUNTIF($M88:P88,"u")=0), "u", "")</f>
        <v/>
      </c>
      <c r="R88" s="80" t="str">
        <f>IF(AND($F88&lt;&gt;"", $F88&gt;=R$5-4, $F88&lt;=R$5, COUNTIF($M88:Q88,"u")=0), "u", "")</f>
        <v/>
      </c>
      <c r="S88" s="80" t="str">
        <f>IF(AND($F88&lt;&gt;"", $F88&gt;=S$5-4, $F88&lt;=S$5, COUNTIF($M88:R88,"u")=0), "u", "")</f>
        <v/>
      </c>
      <c r="T88" s="80" t="str">
        <f>IF(AND($F88&lt;&gt;"", $F88&gt;=T$5-4, $F88&lt;=T$5, COUNTIF($M88:S88,"u")=0), "u", "")</f>
        <v/>
      </c>
      <c r="U88" s="80" t="str">
        <f>IF(AND($F88&lt;&gt;"", $F88&gt;=U$5-4, $F88&lt;=U$5, COUNTIF($M88:T88,"u")=0), "u", "")</f>
        <v/>
      </c>
      <c r="V88" s="80" t="str">
        <f>IF(AND($F88&lt;&gt;"", $F88&gt;=V$5-4, $F88&lt;=V$5, COUNTIF($M88:U88,"u")=0), "u", "")</f>
        <v/>
      </c>
      <c r="W88" s="80" t="str">
        <f>IF(AND($F88&lt;&gt;"", $F88&gt;=W$5-4, $F88&lt;=W$5, COUNTIF($M88:V88,"u")=0), "u", "")</f>
        <v/>
      </c>
      <c r="X88" s="80" t="str">
        <f>IF(AND($F88&lt;&gt;"", $F88&gt;=X$5-4, $F88&lt;=X$5, COUNTIF($M88:W88,"u")=0), "u", "")</f>
        <v/>
      </c>
      <c r="Y88" s="80" t="str">
        <f>IF(AND($F88&lt;&gt;"", $F88&gt;=Y$5-4, $F88&lt;=Y$5, COUNTIF($M88:X88,"u")=0), "u", "")</f>
        <v/>
      </c>
      <c r="Z88" s="80" t="str">
        <f>IF(AND($F88&lt;&gt;"", $F88&gt;=Z$5-4, $F88&lt;=Z$5, COUNTIF($M88:Y88,"u")=0), "u", "")</f>
        <v/>
      </c>
      <c r="AA88" s="80" t="str">
        <f>IF(AND($F88&lt;&gt;"", $F88&gt;=AA$5-4, $F88&lt;=AA$5, COUNTIF($M88:Z88,"u")=0), "u", "")</f>
        <v/>
      </c>
      <c r="AB88" s="80" t="str">
        <f>IF(AND($F88&lt;&gt;"", $F88&gt;=AB$5-4, $F88&lt;=AB$5, COUNTIF($M88:AA88,"u")=0), "u", "")</f>
        <v/>
      </c>
      <c r="AC88" s="80" t="str">
        <f>IF(AND($F88&lt;&gt;"", $F88&gt;=AC$5-4, $F88&lt;=AC$5, COUNTIF($M88:AB88,"u")=0), "u", "")</f>
        <v/>
      </c>
      <c r="AD88" s="80" t="str">
        <f>IF(AND($F88&lt;&gt;"", $F88&gt;=AD$5-4, $F88&lt;=AD$5, COUNTIF($M88:AC88,"u")=0), "u", "")</f>
        <v/>
      </c>
      <c r="AE88" s="80" t="str">
        <f>IF(AND($F88&lt;&gt;"", $F88&gt;=AE$5-4, $F88&lt;=AE$5, COUNTIF($M88:AD88,"u")=0), "u", "")</f>
        <v/>
      </c>
      <c r="AF88" s="80" t="str">
        <f>IF(AND($F88&lt;&gt;"", $F88&gt;=AF$5-4, $F88&lt;=AF$5, COUNTIF($M88:AE88,"u")=0), "u", "")</f>
        <v/>
      </c>
      <c r="AG88" s="80" t="str">
        <f>IF(AND($F88&lt;&gt;"", $F88&gt;=AG$5-4, $F88&lt;=AG$5, COUNTIF($M88:AF88,"u")=0), "u", "")</f>
        <v/>
      </c>
      <c r="AH88" s="80" t="str">
        <f>IF(AND($F88&lt;&gt;"", $F88&gt;=AH$5-4, $F88&lt;=AH$5, COUNTIF($M88:AG88,"u")=0), "u", "")</f>
        <v/>
      </c>
      <c r="AI88" s="80" t="str">
        <f>IF(AND($F88&lt;&gt;"", $F88&gt;=AI$5-4, $F88&lt;=AI$5, COUNTIF($M88:AH88,"u")=0), "u", "")</f>
        <v/>
      </c>
      <c r="AJ88" s="80" t="str">
        <f>IF(AND($F88&lt;&gt;"", $F88&gt;=AJ$5-4, $F88&lt;=AJ$5, COUNTIF($M88:AI88,"u")=0), "u", "")</f>
        <v/>
      </c>
      <c r="AK88" s="80" t="str">
        <f>IF(AND($F88&lt;&gt;"", $F88&gt;=AK$5-4, $F88&lt;=AK$5, COUNTIF($M88:AJ88,"u")=0), "u", "")</f>
        <v/>
      </c>
      <c r="AL88" s="80" t="str">
        <f>IF(AND($F88&lt;&gt;"", $F88&gt;=AL$5-4, $F88&lt;=AL$5, COUNTIF($M88:AK88,"u")=0), "u", "")</f>
        <v/>
      </c>
      <c r="AM88" s="80" t="str">
        <f>IF(AND($F88&lt;&gt;"", $F88&gt;=AM$5-4, $F88&lt;=AM$5, COUNTIF($M88:AL88,"u")=0), "u", "")</f>
        <v/>
      </c>
      <c r="AN88" s="80" t="str">
        <f>IF(AND($F88&lt;&gt;"", $F88&gt;=AN$5-4, $F88&lt;=AN$5, COUNTIF($M88:AM88,"u")=0), "u", "")</f>
        <v/>
      </c>
      <c r="AO88" s="80" t="str">
        <f>IF(AND($F88&lt;&gt;"", $F88&gt;=AO$5-4, $F88&lt;=AO$5, COUNTIF($M88:AN88,"u")=0), "u", "")</f>
        <v/>
      </c>
      <c r="AP88" s="80" t="str">
        <f>IF(AND($F88&lt;&gt;"", $F88&gt;=AP$5-4, $F88&lt;=AP$5, COUNTIF($M88:AO88,"u")=0), "u", "")</f>
        <v/>
      </c>
      <c r="AQ88" s="80" t="str">
        <f>IF(AND($F88&lt;&gt;"", $F88&gt;=AQ$5-4, $F88&lt;=AQ$5, COUNTIF($M88:AP88,"u")=0), "u", "")</f>
        <v/>
      </c>
      <c r="AR88" s="80" t="str">
        <f>IF(AND($F88&lt;&gt;"", $F88&gt;=AR$5-4, $F88&lt;=AR$5, COUNTIF($M88:AQ88,"u")=0), "u", "")</f>
        <v/>
      </c>
      <c r="AS88" s="80" t="str">
        <f>IF(AND($F88&lt;&gt;"", $F88&gt;=AS$5-4, $F88&lt;=AS$5, COUNTIF($M88:AR88,"u")=0), "u", "")</f>
        <v/>
      </c>
      <c r="AT88" s="80" t="str">
        <f>IF(AND($F88&lt;&gt;"", $F88&gt;=AT$5-4, $F88&lt;=AT$5, COUNTIF($M88:AS88,"u")=0), "u", "")</f>
        <v/>
      </c>
      <c r="AU88" s="80" t="str">
        <f>IF(AND($F88&lt;&gt;"", $F88&gt;=AU$5-4, $F88&lt;=AU$5, COUNTIF($M88:AT88,"u")=0), "u", "")</f>
        <v/>
      </c>
      <c r="AV88" s="80" t="str">
        <f>IF(AND($F88&lt;&gt;"", $F88&gt;=AV$5-4, $F88&lt;=AV$5, COUNTIF($M88:AU88,"u")=0), "u", "")</f>
        <v/>
      </c>
      <c r="AW88" s="80" t="str">
        <f>IF(AND($F88&lt;&gt;"", $F88&gt;=AW$5-4, $F88&lt;=AW$5, COUNTIF($M88:AV88,"u")=0), "u", "")</f>
        <v/>
      </c>
      <c r="AX88" s="80" t="str">
        <f>IF(AND($F88&lt;&gt;"", $F88&gt;=AX$5-4, $F88&lt;=AX$5, COUNTIF($M88:AW88,"u")=0), "u", "")</f>
        <v/>
      </c>
      <c r="AY88" s="80" t="str">
        <f>IF(AND($F88&lt;&gt;"", $F88&gt;=AY$5-4, $F88&lt;=AY$5, COUNTIF($M88:AX88,"u")=0), "u", "")</f>
        <v/>
      </c>
      <c r="AZ88" s="80" t="str">
        <f>IF(AND($F88&lt;&gt;"", $F88&gt;=AZ$5-4, $F88&lt;=AZ$5, COUNTIF($M88:AY88,"u")=0), "u", "")</f>
        <v/>
      </c>
      <c r="BA88" s="80" t="str">
        <f>IF(AND($F88&lt;&gt;"", $F88&gt;=BA$5-4, $F88&lt;=BA$5, COUNTIF($M88:AZ88,"u")=0), "u", "")</f>
        <v/>
      </c>
      <c r="BB88" s="80" t="str">
        <f>IF(AND($F88&lt;&gt;"", $F88&gt;=BB$5-4, $F88&lt;=BB$5, COUNTIF($M88:BA88,"u")=0), "u", "")</f>
        <v/>
      </c>
      <c r="BC88" s="80" t="str">
        <f>IF(AND($F88&lt;&gt;"", $F88&gt;=BC$5-4, $F88&lt;=BC$5, COUNTIF($M88:BB88,"u")=0), "u", "")</f>
        <v/>
      </c>
      <c r="BD88" s="80" t="str">
        <f>IF(AND($F88&lt;&gt;"", $F88&gt;=BD$5-4, $F88&lt;=BD$5, COUNTIF($M88:BC88,"u")=0), "u", "")</f>
        <v/>
      </c>
      <c r="BE88" s="80" t="str">
        <f>IF(AND($F88&lt;&gt;"", $F88&gt;=BE$5-4, $F88&lt;=BE$5, COUNTIF($M88:BD88,"u")=0), "u", "")</f>
        <v/>
      </c>
      <c r="BF88" s="80" t="str">
        <f>IF(AND($F88&lt;&gt;"", $F88&gt;=BF$5-4, $F88&lt;=BF$5, COUNTIF($M88:BE88,"u")=0), "u", "")</f>
        <v/>
      </c>
      <c r="BG88" s="80" t="str">
        <f>IF(AND($F88&lt;&gt;"", $F88&gt;=BG$5-4, $F88&lt;=BG$5, COUNTIF($M88:BF88,"u")=0), "u", "")</f>
        <v/>
      </c>
      <c r="BH88" s="80" t="str">
        <f>IF(AND($F88&lt;&gt;"", $F88&gt;=BH$5-4, $F88&lt;=BH$5, COUNTIF($M88:BG88,"u")=0), "u", "")</f>
        <v/>
      </c>
      <c r="BI88" s="80" t="str">
        <f>IF(AND($F88&lt;&gt;"", $F88&gt;=BI$5-4, $F88&lt;=BI$5, COUNTIF($M88:BH88,"u")=0), "u", "")</f>
        <v/>
      </c>
      <c r="BJ88" s="80" t="str">
        <f>IF(AND($F88&lt;&gt;"", $F88&gt;=BJ$5-4, $F88&lt;=BJ$5, COUNTIF($M88:BI88,"u")=0), "u", "")</f>
        <v/>
      </c>
      <c r="BK88" s="80" t="str">
        <f>IF(AND($F88&lt;&gt;"", $F88&gt;=BK$5-4, $F88&lt;=BK$5, COUNTIF($M88:BJ88,"u")=0), "u", "")</f>
        <v/>
      </c>
      <c r="BL88" s="80" t="str">
        <f>IF(AND($F88&lt;&gt;"", $F88&gt;=BL$5-4, $F88&lt;=BL$5, COUNTIF($M88:BK88,"u")=0), "u", "")</f>
        <v/>
      </c>
      <c r="BM88" s="80" t="str">
        <f>IF(AND($F88&lt;&gt;"", $F88&gt;=BM$5-4, $F88&lt;=BM$5, COUNTIF($M88:BL88,"u")=0), "u", "")</f>
        <v/>
      </c>
      <c r="BN88" s="80" t="str">
        <f>IF(AND($F88&lt;&gt;"", $F88&gt;=BN$5-4, $F88&lt;=BN$5, COUNTIF($M88:BM88,"u")=0), "u", "")</f>
        <v/>
      </c>
      <c r="BO88" s="80" t="str">
        <f>IF(AND($F88&lt;&gt;"", $F88&gt;=BO$5-4, $F88&lt;=BO$5, COUNTIF($M88:BN88,"u")=0), "u", "")</f>
        <v/>
      </c>
      <c r="BP88" s="80" t="str">
        <f>IF(AND($F88&lt;&gt;"", $F88&gt;=BP$5-4, $F88&lt;=BP$5, COUNTIF($M88:BO88,"u")=0), "u", "")</f>
        <v/>
      </c>
      <c r="BQ88" s="80" t="str">
        <f>IF(AND($F88&lt;&gt;"", $F88&gt;=BQ$5-4, $F88&lt;=BQ$5, COUNTIF($M88:BP88,"u")=0), "u", "")</f>
        <v/>
      </c>
      <c r="BR88" s="80" t="str">
        <f>IF(AND($F88&lt;&gt;"", $F88&gt;=BR$5-4, $F88&lt;=BR$5, COUNTIF($M88:BQ88,"u")=0), "u", "")</f>
        <v/>
      </c>
      <c r="BS88" s="80" t="str">
        <f>IF(AND($F88&lt;&gt;"", $F88&gt;=BS$5-4, $F88&lt;=BS$5, COUNTIF($M88:BR88,"u")=0), "u", "")</f>
        <v/>
      </c>
      <c r="BT88" s="80" t="str">
        <f>IF(AND($F88&lt;&gt;"", $F88&gt;=BT$5-4, $F88&lt;=BT$5, COUNTIF($M88:BS88,"u")=0), "u", "")</f>
        <v/>
      </c>
      <c r="BU88" s="80" t="str">
        <f>IF(AND($F88&lt;&gt;"", $F88&gt;=BU$5-4, $F88&lt;=BU$5, COUNTIF($M88:BT88,"u")=0), "u", "")</f>
        <v/>
      </c>
      <c r="BV88" s="80" t="str">
        <f>IF(AND($F88&lt;&gt;"", $F88&gt;=BV$5-4, $F88&lt;=BV$5, COUNTIF($M88:BU88,"u")=0), "u", "")</f>
        <v/>
      </c>
      <c r="BW88" s="80" t="str">
        <f>IF(AND($F88&lt;&gt;"", $F88&gt;=BW$5-4, $F88&lt;=BW$5, COUNTIF($M88:BV88,"u")=0), "u", "")</f>
        <v/>
      </c>
      <c r="BX88" s="80" t="str">
        <f>IF(AND($F88&lt;&gt;"", $F88&gt;=BX$5-4, $F88&lt;=BX$5, COUNTIF($M88:BW88,"u")=0), "u", "")</f>
        <v/>
      </c>
      <c r="BY88" s="80" t="str">
        <f>IF(AND($F88&lt;&gt;"", $F88&gt;=BY$5-4, $F88&lt;=BY$5, COUNTIF($M88:BX88,"u")=0), "u", "")</f>
        <v/>
      </c>
      <c r="BZ88" s="80" t="str">
        <f>IF(AND($F88&lt;&gt;"", $F88&gt;=BZ$5-4, $F88&lt;=BZ$5, COUNTIF($M88:BY88,"u")=0), "u", "")</f>
        <v/>
      </c>
      <c r="CA88" s="80" t="str">
        <f>IF(AND($F88&lt;&gt;"", $F88&gt;=CA$5-4, $F88&lt;=CA$5, COUNTIF($M88:BZ88,"u")=0), "u", "")</f>
        <v/>
      </c>
      <c r="CB88" s="80" t="str">
        <f>IF(AND($F88&lt;&gt;"", $F88&gt;=CB$5-4, $F88&lt;=CB$5, COUNTIF($M88:CA88,"u")=0), "u", "")</f>
        <v/>
      </c>
      <c r="CC88" s="80" t="str">
        <f>IF(AND($F88&lt;&gt;"", $F88&gt;=CC$5-4, $F88&lt;=CC$5, COUNTIF($M88:CB88,"u")=0), "u", "")</f>
        <v/>
      </c>
      <c r="CD88" s="80" t="str">
        <f>IF(AND($F88&lt;&gt;"", $F88&gt;=CD$5-4, $F88&lt;=CD$5, COUNTIF($M88:CC88,"u")=0), "u", "")</f>
        <v/>
      </c>
      <c r="CE88" s="80" t="str">
        <f>IF(AND($F88&lt;&gt;"", $F88&gt;=CE$5-4, $F88&lt;=CE$5, COUNTIF($M88:CD88,"u")=0), "u", "")</f>
        <v/>
      </c>
      <c r="CF88" s="80" t="str">
        <f>IF(AND($F88&lt;&gt;"", $F88&gt;=CF$5-4, $F88&lt;=CF$5, COUNTIF($M88:CE88,"u")=0), "u", "")</f>
        <v/>
      </c>
      <c r="CG88" s="80" t="str">
        <f>IF(AND($F88&lt;&gt;"", $F88&gt;=CG$5-4, $F88&lt;=CG$5, COUNTIF($M88:CF88,"u")=0), "u", "")</f>
        <v/>
      </c>
      <c r="CH88" s="80" t="str">
        <f>IF(AND($F88&lt;&gt;"", $F88&gt;=CH$5-4, $F88&lt;=CH$5, COUNTIF($M88:CG88,"u")=0), "u", "")</f>
        <v/>
      </c>
      <c r="CI88" s="80" t="str">
        <f>IF(AND($F88&lt;&gt;"", $F88&gt;=CI$5-4, $F88&lt;=CI$5, COUNTIF($M88:CH88,"u")=0), "u", "")</f>
        <v/>
      </c>
      <c r="CJ88" s="80" t="str">
        <f>IF(AND($F88&lt;&gt;"", $F88&gt;=CJ$5-4, $F88&lt;=CJ$5, COUNTIF($M88:CI88,"u")=0), "u", "")</f>
        <v/>
      </c>
      <c r="CK88" s="80" t="str">
        <f>IF(AND($F88&lt;&gt;"", $F88&gt;=CK$5-4, $F88&lt;=CK$5, COUNTIF($M88:CJ88,"u")=0), "u", "")</f>
        <v/>
      </c>
      <c r="CL88" s="80" t="str">
        <f>IF(AND($F88&lt;&gt;"", $F88&gt;=CL$5-4, $F88&lt;=CL$5, COUNTIF($M88:CK88,"u")=0), "u", "")</f>
        <v/>
      </c>
      <c r="CM88" s="80" t="str">
        <f>IF(AND($F88&lt;&gt;"", $F88&gt;=CM$5-4, $F88&lt;=CM$5, COUNTIF($M88:CL88,"u")=0), "u", "")</f>
        <v/>
      </c>
      <c r="CN88" s="80" t="str">
        <f>IF(AND($F88&lt;&gt;"", $F88&gt;=CN$5-4, $F88&lt;=CN$5, COUNTIF($M88:CM88,"u")=0), "u", "")</f>
        <v/>
      </c>
      <c r="CO88" s="80" t="str">
        <f>IF(AND($F88&lt;&gt;"", $F88&gt;=CO$5-4, $F88&lt;=CO$5, COUNTIF($M88:CN88,"u")=0), "u", "")</f>
        <v/>
      </c>
      <c r="CP88" s="80" t="str">
        <f>IF(AND($F88&lt;&gt;"", $F88&gt;=CP$5-4, $F88&lt;=CP$5, COUNTIF($M88:CO88,"u")=0), "u", "")</f>
        <v/>
      </c>
      <c r="CQ88" s="80" t="str">
        <f>IF(AND($F88&lt;&gt;"", $F88&gt;=CQ$5-4, $F88&lt;=CQ$5, COUNTIF($M88:CP88,"u")=0), "u", "")</f>
        <v/>
      </c>
      <c r="CR88" s="80" t="str">
        <f>IF(AND($F88&lt;&gt;"", $F88&gt;=CR$5-4, $F88&lt;=CR$5, COUNTIF($M88:CQ88,"u")=0), "u", "")</f>
        <v/>
      </c>
      <c r="CS88" s="80" t="str">
        <f>IF(AND($F88&lt;&gt;"", $F88&gt;=CS$5-4, $F88&lt;=CS$5, COUNTIF($M88:CR88,"u")=0), "u", "")</f>
        <v/>
      </c>
      <c r="CT88" s="80" t="str">
        <f>IF(AND($F88&lt;&gt;"", $F88&gt;=CT$5-4, $F88&lt;=CT$5, COUNTIF($M88:CS88,"u")=0), "u", "")</f>
        <v/>
      </c>
      <c r="CU88" s="80" t="str">
        <f>IF(AND($F88&lt;&gt;"", $F88&gt;=CU$5-4, $F88&lt;=CU$5, COUNTIF($M88:CT88,"u")=0), "u", "")</f>
        <v/>
      </c>
      <c r="CV88" s="80" t="str">
        <f>IF(AND($F88&lt;&gt;"", $F88&gt;=CV$5-4, $F88&lt;=CV$5, COUNTIF($M88:CU88,"u")=0), "u", "")</f>
        <v/>
      </c>
      <c r="CW88" s="80" t="str">
        <f>IF(AND($F88&lt;&gt;"", $F88&gt;=CW$5-4, $F88&lt;=CW$5, COUNTIF($M88:CV88,"u")=0), "u", "")</f>
        <v/>
      </c>
      <c r="CX88" s="80" t="str">
        <f>IF(AND($F88&lt;&gt;"", $F88&gt;=CX$5-4, $F88&lt;=CX$5, COUNTIF($M88:CW88,"u")=0), "u", "")</f>
        <v/>
      </c>
      <c r="CY88" s="80" t="str">
        <f>IF(AND($F88&lt;&gt;"", $F88&gt;=CY$5-4, $F88&lt;=CY$5, COUNTIF($M88:CX88,"u")=0), "u", "")</f>
        <v/>
      </c>
      <c r="CZ88" s="80" t="str">
        <f>IF(AND($F88&lt;&gt;"", $F88&gt;=CZ$5-4, $F88&lt;=CZ$5, COUNTIF($M88:CY88,"u")=0), "u", "")</f>
        <v/>
      </c>
      <c r="DA88" s="80" t="str">
        <f>IF(AND($F88&lt;&gt;"", $F88&gt;=DA$5-4, $F88&lt;=DA$5, COUNTIF($M88:CZ88,"u")=0), "u", "")</f>
        <v/>
      </c>
      <c r="DB88" s="80" t="str">
        <f>IF(AND($F88&lt;&gt;"", $F88&gt;=DB$5-4, $F88&lt;=DB$5, COUNTIF($M88:DA88,"u")=0), "u", "")</f>
        <v/>
      </c>
      <c r="DC88" s="80" t="str">
        <f>IF(AND($F88&lt;&gt;"", $F88&gt;=DC$5-4, $F88&lt;=DC$5, COUNTIF($M88:DB88,"u")=0), "u", "")</f>
        <v/>
      </c>
      <c r="DD88" s="80" t="str">
        <f>IF(AND($F88&lt;&gt;"", $F88&gt;=DD$5-4, $F88&lt;=DD$5, COUNTIF($M88:DC88,"u")=0), "u", "")</f>
        <v/>
      </c>
      <c r="DE88" s="80" t="str">
        <f>IF(AND($F88&lt;&gt;"", $F88&gt;=DE$5-4, $F88&lt;=DE$5, COUNTIF($M88:DD88,"u")=0), "u", "")</f>
        <v/>
      </c>
      <c r="DF88" s="80" t="str">
        <f>IF(AND($F88&lt;&gt;"", $F88&gt;=DF$5-4, $F88&lt;=DF$5, COUNTIF($M88:DE88,"u")=0), "u", "")</f>
        <v/>
      </c>
      <c r="DG88" s="80" t="str">
        <f>IF(AND($F88&lt;&gt;"", $F88&gt;=DG$5-4, $F88&lt;=DG$5, COUNTIF($M88:DF88,"u")=0), "u", "")</f>
        <v/>
      </c>
      <c r="DH88" s="80" t="str">
        <f>IF(AND($F88&lt;&gt;"", $F88&gt;=DH$5-4, $F88&lt;=DH$5, COUNTIF($M88:DG88,"u")=0), "u", "")</f>
        <v/>
      </c>
      <c r="DI88" s="80" t="str">
        <f>IF(AND($F88&lt;&gt;"", $F88&gt;=DI$5-4, $F88&lt;=DI$5, COUNTIF($M88:DH88,"u")=0), "u", "")</f>
        <v/>
      </c>
      <c r="DJ88" s="80" t="str">
        <f>IF(AND($F88&lt;&gt;"", $F88&gt;=DJ$5-4, $F88&lt;=DJ$5, COUNTIF($M88:DI88,"u")=0), "u", "")</f>
        <v/>
      </c>
      <c r="DK88" s="80" t="str">
        <f>IF(AND($F88&lt;&gt;"", $F88&gt;=DK$5-4, $F88&lt;=DK$5, COUNTIF($M88:DJ88,"u")=0), "u", "")</f>
        <v/>
      </c>
      <c r="DL88" s="80" t="str">
        <f>IF(AND($F88&lt;&gt;"", $F88&gt;=DL$5-4, $F88&lt;=DL$5, COUNTIF($M88:DK88,"u")=0), "u", "")</f>
        <v/>
      </c>
    </row>
    <row r="89" spans="1:116" ht="25.05" customHeight="1" x14ac:dyDescent="0.3">
      <c r="A89" s="39"/>
      <c r="B89" s="75">
        <v>84</v>
      </c>
      <c r="C89" s="97"/>
      <c r="D89" s="92"/>
      <c r="E89" s="53"/>
      <c r="F89" s="53"/>
      <c r="G89" s="83" t="str">
        <f t="shared" si="50"/>
        <v/>
      </c>
      <c r="H89" s="83" t="str">
        <f t="shared" si="50"/>
        <v/>
      </c>
      <c r="I89" s="77" t="str">
        <f t="shared" si="48"/>
        <v/>
      </c>
      <c r="J89" s="78"/>
      <c r="K89" s="86"/>
      <c r="L89" s="56"/>
      <c r="M89" s="80" t="str">
        <f t="shared" si="49"/>
        <v/>
      </c>
      <c r="N89" s="80" t="str">
        <f>IF(AND($F89&lt;&gt;"", $F89&gt;=N$5-4, $F89&lt;=N$5, COUNTIF($M89:M89,"u")=0), "u", "")</f>
        <v/>
      </c>
      <c r="O89" s="80" t="str">
        <f>IF(AND($F89&lt;&gt;"", $F89&gt;=O$5-4, $F89&lt;=O$5, COUNTIF($M89:N89,"u")=0), "u", "")</f>
        <v/>
      </c>
      <c r="P89" s="80" t="str">
        <f>IF(AND($F89&lt;&gt;"", $F89&gt;=P$5-4, $F89&lt;=P$5, COUNTIF($M89:O89,"u")=0), "u", "")</f>
        <v/>
      </c>
      <c r="Q89" s="80" t="str">
        <f>IF(AND($F89&lt;&gt;"", $F89&gt;=Q$5-4, $F89&lt;=Q$5, COUNTIF($M89:P89,"u")=0), "u", "")</f>
        <v/>
      </c>
      <c r="R89" s="80" t="str">
        <f>IF(AND($F89&lt;&gt;"", $F89&gt;=R$5-4, $F89&lt;=R$5, COUNTIF($M89:Q89,"u")=0), "u", "")</f>
        <v/>
      </c>
      <c r="S89" s="80" t="str">
        <f>IF(AND($F89&lt;&gt;"", $F89&gt;=S$5-4, $F89&lt;=S$5, COUNTIF($M89:R89,"u")=0), "u", "")</f>
        <v/>
      </c>
      <c r="T89" s="80" t="str">
        <f>IF(AND($F89&lt;&gt;"", $F89&gt;=T$5-4, $F89&lt;=T$5, COUNTIF($M89:S89,"u")=0), "u", "")</f>
        <v/>
      </c>
      <c r="U89" s="80" t="str">
        <f>IF(AND($F89&lt;&gt;"", $F89&gt;=U$5-4, $F89&lt;=U$5, COUNTIF($M89:T89,"u")=0), "u", "")</f>
        <v/>
      </c>
      <c r="V89" s="80" t="str">
        <f>IF(AND($F89&lt;&gt;"", $F89&gt;=V$5-4, $F89&lt;=V$5, COUNTIF($M89:U89,"u")=0), "u", "")</f>
        <v/>
      </c>
      <c r="W89" s="80" t="str">
        <f>IF(AND($F89&lt;&gt;"", $F89&gt;=W$5-4, $F89&lt;=W$5, COUNTIF($M89:V89,"u")=0), "u", "")</f>
        <v/>
      </c>
      <c r="X89" s="80" t="str">
        <f>IF(AND($F89&lt;&gt;"", $F89&gt;=X$5-4, $F89&lt;=X$5, COUNTIF($M89:W89,"u")=0), "u", "")</f>
        <v/>
      </c>
      <c r="Y89" s="80" t="str">
        <f>IF(AND($F89&lt;&gt;"", $F89&gt;=Y$5-4, $F89&lt;=Y$5, COUNTIF($M89:X89,"u")=0), "u", "")</f>
        <v/>
      </c>
      <c r="Z89" s="80" t="str">
        <f>IF(AND($F89&lt;&gt;"", $F89&gt;=Z$5-4, $F89&lt;=Z$5, COUNTIF($M89:Y89,"u")=0), "u", "")</f>
        <v/>
      </c>
      <c r="AA89" s="80" t="str">
        <f>IF(AND($F89&lt;&gt;"", $F89&gt;=AA$5-4, $F89&lt;=AA$5, COUNTIF($M89:Z89,"u")=0), "u", "")</f>
        <v/>
      </c>
      <c r="AB89" s="80" t="str">
        <f>IF(AND($F89&lt;&gt;"", $F89&gt;=AB$5-4, $F89&lt;=AB$5, COUNTIF($M89:AA89,"u")=0), "u", "")</f>
        <v/>
      </c>
      <c r="AC89" s="80" t="str">
        <f>IF(AND($F89&lt;&gt;"", $F89&gt;=AC$5-4, $F89&lt;=AC$5, COUNTIF($M89:AB89,"u")=0), "u", "")</f>
        <v/>
      </c>
      <c r="AD89" s="80" t="str">
        <f>IF(AND($F89&lt;&gt;"", $F89&gt;=AD$5-4, $F89&lt;=AD$5, COUNTIF($M89:AC89,"u")=0), "u", "")</f>
        <v/>
      </c>
      <c r="AE89" s="80" t="str">
        <f>IF(AND($F89&lt;&gt;"", $F89&gt;=AE$5-4, $F89&lt;=AE$5, COUNTIF($M89:AD89,"u")=0), "u", "")</f>
        <v/>
      </c>
      <c r="AF89" s="80" t="str">
        <f>IF(AND($F89&lt;&gt;"", $F89&gt;=AF$5-4, $F89&lt;=AF$5, COUNTIF($M89:AE89,"u")=0), "u", "")</f>
        <v/>
      </c>
      <c r="AG89" s="80" t="str">
        <f>IF(AND($F89&lt;&gt;"", $F89&gt;=AG$5-4, $F89&lt;=AG$5, COUNTIF($M89:AF89,"u")=0), "u", "")</f>
        <v/>
      </c>
      <c r="AH89" s="80" t="str">
        <f>IF(AND($F89&lt;&gt;"", $F89&gt;=AH$5-4, $F89&lt;=AH$5, COUNTIF($M89:AG89,"u")=0), "u", "")</f>
        <v/>
      </c>
      <c r="AI89" s="80" t="str">
        <f>IF(AND($F89&lt;&gt;"", $F89&gt;=AI$5-4, $F89&lt;=AI$5, COUNTIF($M89:AH89,"u")=0), "u", "")</f>
        <v/>
      </c>
      <c r="AJ89" s="80" t="str">
        <f>IF(AND($F89&lt;&gt;"", $F89&gt;=AJ$5-4, $F89&lt;=AJ$5, COUNTIF($M89:AI89,"u")=0), "u", "")</f>
        <v/>
      </c>
      <c r="AK89" s="80" t="str">
        <f>IF(AND($F89&lt;&gt;"", $F89&gt;=AK$5-4, $F89&lt;=AK$5, COUNTIF($M89:AJ89,"u")=0), "u", "")</f>
        <v/>
      </c>
      <c r="AL89" s="80" t="str">
        <f>IF(AND($F89&lt;&gt;"", $F89&gt;=AL$5-4, $F89&lt;=AL$5, COUNTIF($M89:AK89,"u")=0), "u", "")</f>
        <v/>
      </c>
      <c r="AM89" s="80" t="str">
        <f>IF(AND($F89&lt;&gt;"", $F89&gt;=AM$5-4, $F89&lt;=AM$5, COUNTIF($M89:AL89,"u")=0), "u", "")</f>
        <v/>
      </c>
      <c r="AN89" s="80" t="str">
        <f>IF(AND($F89&lt;&gt;"", $F89&gt;=AN$5-4, $F89&lt;=AN$5, COUNTIF($M89:AM89,"u")=0), "u", "")</f>
        <v/>
      </c>
      <c r="AO89" s="80" t="str">
        <f>IF(AND($F89&lt;&gt;"", $F89&gt;=AO$5-4, $F89&lt;=AO$5, COUNTIF($M89:AN89,"u")=0), "u", "")</f>
        <v/>
      </c>
      <c r="AP89" s="80" t="str">
        <f>IF(AND($F89&lt;&gt;"", $F89&gt;=AP$5-4, $F89&lt;=AP$5, COUNTIF($M89:AO89,"u")=0), "u", "")</f>
        <v/>
      </c>
      <c r="AQ89" s="80" t="str">
        <f>IF(AND($F89&lt;&gt;"", $F89&gt;=AQ$5-4, $F89&lt;=AQ$5, COUNTIF($M89:AP89,"u")=0), "u", "")</f>
        <v/>
      </c>
      <c r="AR89" s="80" t="str">
        <f>IF(AND($F89&lt;&gt;"", $F89&gt;=AR$5-4, $F89&lt;=AR$5, COUNTIF($M89:AQ89,"u")=0), "u", "")</f>
        <v/>
      </c>
      <c r="AS89" s="80" t="str">
        <f>IF(AND($F89&lt;&gt;"", $F89&gt;=AS$5-4, $F89&lt;=AS$5, COUNTIF($M89:AR89,"u")=0), "u", "")</f>
        <v/>
      </c>
      <c r="AT89" s="80" t="str">
        <f>IF(AND($F89&lt;&gt;"", $F89&gt;=AT$5-4, $F89&lt;=AT$5, COUNTIF($M89:AS89,"u")=0), "u", "")</f>
        <v/>
      </c>
      <c r="AU89" s="80" t="str">
        <f>IF(AND($F89&lt;&gt;"", $F89&gt;=AU$5-4, $F89&lt;=AU$5, COUNTIF($M89:AT89,"u")=0), "u", "")</f>
        <v/>
      </c>
      <c r="AV89" s="80" t="str">
        <f>IF(AND($F89&lt;&gt;"", $F89&gt;=AV$5-4, $F89&lt;=AV$5, COUNTIF($M89:AU89,"u")=0), "u", "")</f>
        <v/>
      </c>
      <c r="AW89" s="80" t="str">
        <f>IF(AND($F89&lt;&gt;"", $F89&gt;=AW$5-4, $F89&lt;=AW$5, COUNTIF($M89:AV89,"u")=0), "u", "")</f>
        <v/>
      </c>
      <c r="AX89" s="80" t="str">
        <f>IF(AND($F89&lt;&gt;"", $F89&gt;=AX$5-4, $F89&lt;=AX$5, COUNTIF($M89:AW89,"u")=0), "u", "")</f>
        <v/>
      </c>
      <c r="AY89" s="80" t="str">
        <f>IF(AND($F89&lt;&gt;"", $F89&gt;=AY$5-4, $F89&lt;=AY$5, COUNTIF($M89:AX89,"u")=0), "u", "")</f>
        <v/>
      </c>
      <c r="AZ89" s="80" t="str">
        <f>IF(AND($F89&lt;&gt;"", $F89&gt;=AZ$5-4, $F89&lt;=AZ$5, COUNTIF($M89:AY89,"u")=0), "u", "")</f>
        <v/>
      </c>
      <c r="BA89" s="80" t="str">
        <f>IF(AND($F89&lt;&gt;"", $F89&gt;=BA$5-4, $F89&lt;=BA$5, COUNTIF($M89:AZ89,"u")=0), "u", "")</f>
        <v/>
      </c>
      <c r="BB89" s="80" t="str">
        <f>IF(AND($F89&lt;&gt;"", $F89&gt;=BB$5-4, $F89&lt;=BB$5, COUNTIF($M89:BA89,"u")=0), "u", "")</f>
        <v/>
      </c>
      <c r="BC89" s="80" t="str">
        <f>IF(AND($F89&lt;&gt;"", $F89&gt;=BC$5-4, $F89&lt;=BC$5, COUNTIF($M89:BB89,"u")=0), "u", "")</f>
        <v/>
      </c>
      <c r="BD89" s="80" t="str">
        <f>IF(AND($F89&lt;&gt;"", $F89&gt;=BD$5-4, $F89&lt;=BD$5, COUNTIF($M89:BC89,"u")=0), "u", "")</f>
        <v/>
      </c>
      <c r="BE89" s="80" t="str">
        <f>IF(AND($F89&lt;&gt;"", $F89&gt;=BE$5-4, $F89&lt;=BE$5, COUNTIF($M89:BD89,"u")=0), "u", "")</f>
        <v/>
      </c>
      <c r="BF89" s="80" t="str">
        <f>IF(AND($F89&lt;&gt;"", $F89&gt;=BF$5-4, $F89&lt;=BF$5, COUNTIF($M89:BE89,"u")=0), "u", "")</f>
        <v/>
      </c>
      <c r="BG89" s="80" t="str">
        <f>IF(AND($F89&lt;&gt;"", $F89&gt;=BG$5-4, $F89&lt;=BG$5, COUNTIF($M89:BF89,"u")=0), "u", "")</f>
        <v/>
      </c>
      <c r="BH89" s="80" t="str">
        <f>IF(AND($F89&lt;&gt;"", $F89&gt;=BH$5-4, $F89&lt;=BH$5, COUNTIF($M89:BG89,"u")=0), "u", "")</f>
        <v/>
      </c>
      <c r="BI89" s="80" t="str">
        <f>IF(AND($F89&lt;&gt;"", $F89&gt;=BI$5-4, $F89&lt;=BI$5, COUNTIF($M89:BH89,"u")=0), "u", "")</f>
        <v/>
      </c>
      <c r="BJ89" s="80" t="str">
        <f>IF(AND($F89&lt;&gt;"", $F89&gt;=BJ$5-4, $F89&lt;=BJ$5, COUNTIF($M89:BI89,"u")=0), "u", "")</f>
        <v/>
      </c>
      <c r="BK89" s="80" t="str">
        <f>IF(AND($F89&lt;&gt;"", $F89&gt;=BK$5-4, $F89&lt;=BK$5, COUNTIF($M89:BJ89,"u")=0), "u", "")</f>
        <v/>
      </c>
      <c r="BL89" s="80" t="str">
        <f>IF(AND($F89&lt;&gt;"", $F89&gt;=BL$5-4, $F89&lt;=BL$5, COUNTIF($M89:BK89,"u")=0), "u", "")</f>
        <v/>
      </c>
      <c r="BM89" s="80" t="str">
        <f>IF(AND($F89&lt;&gt;"", $F89&gt;=BM$5-4, $F89&lt;=BM$5, COUNTIF($M89:BL89,"u")=0), "u", "")</f>
        <v/>
      </c>
      <c r="BN89" s="80" t="str">
        <f>IF(AND($F89&lt;&gt;"", $F89&gt;=BN$5-4, $F89&lt;=BN$5, COUNTIF($M89:BM89,"u")=0), "u", "")</f>
        <v/>
      </c>
      <c r="BO89" s="80" t="str">
        <f>IF(AND($F89&lt;&gt;"", $F89&gt;=BO$5-4, $F89&lt;=BO$5, COUNTIF($M89:BN89,"u")=0), "u", "")</f>
        <v/>
      </c>
      <c r="BP89" s="80" t="str">
        <f>IF(AND($F89&lt;&gt;"", $F89&gt;=BP$5-4, $F89&lt;=BP$5, COUNTIF($M89:BO89,"u")=0), "u", "")</f>
        <v/>
      </c>
      <c r="BQ89" s="80" t="str">
        <f>IF(AND($F89&lt;&gt;"", $F89&gt;=BQ$5-4, $F89&lt;=BQ$5, COUNTIF($M89:BP89,"u")=0), "u", "")</f>
        <v/>
      </c>
      <c r="BR89" s="80" t="str">
        <f>IF(AND($F89&lt;&gt;"", $F89&gt;=BR$5-4, $F89&lt;=BR$5, COUNTIF($M89:BQ89,"u")=0), "u", "")</f>
        <v/>
      </c>
      <c r="BS89" s="80" t="str">
        <f>IF(AND($F89&lt;&gt;"", $F89&gt;=BS$5-4, $F89&lt;=BS$5, COUNTIF($M89:BR89,"u")=0), "u", "")</f>
        <v/>
      </c>
      <c r="BT89" s="80" t="str">
        <f>IF(AND($F89&lt;&gt;"", $F89&gt;=BT$5-4, $F89&lt;=BT$5, COUNTIF($M89:BS89,"u")=0), "u", "")</f>
        <v/>
      </c>
      <c r="BU89" s="80" t="str">
        <f>IF(AND($F89&lt;&gt;"", $F89&gt;=BU$5-4, $F89&lt;=BU$5, COUNTIF($M89:BT89,"u")=0), "u", "")</f>
        <v/>
      </c>
      <c r="BV89" s="80" t="str">
        <f>IF(AND($F89&lt;&gt;"", $F89&gt;=BV$5-4, $F89&lt;=BV$5, COUNTIF($M89:BU89,"u")=0), "u", "")</f>
        <v/>
      </c>
      <c r="BW89" s="80" t="str">
        <f>IF(AND($F89&lt;&gt;"", $F89&gt;=BW$5-4, $F89&lt;=BW$5, COUNTIF($M89:BV89,"u")=0), "u", "")</f>
        <v/>
      </c>
      <c r="BX89" s="80" t="str">
        <f>IF(AND($F89&lt;&gt;"", $F89&gt;=BX$5-4, $F89&lt;=BX$5, COUNTIF($M89:BW89,"u")=0), "u", "")</f>
        <v/>
      </c>
      <c r="BY89" s="80" t="str">
        <f>IF(AND($F89&lt;&gt;"", $F89&gt;=BY$5-4, $F89&lt;=BY$5, COUNTIF($M89:BX89,"u")=0), "u", "")</f>
        <v/>
      </c>
      <c r="BZ89" s="80" t="str">
        <f>IF(AND($F89&lt;&gt;"", $F89&gt;=BZ$5-4, $F89&lt;=BZ$5, COUNTIF($M89:BY89,"u")=0), "u", "")</f>
        <v/>
      </c>
      <c r="CA89" s="80" t="str">
        <f>IF(AND($F89&lt;&gt;"", $F89&gt;=CA$5-4, $F89&lt;=CA$5, COUNTIF($M89:BZ89,"u")=0), "u", "")</f>
        <v/>
      </c>
      <c r="CB89" s="80" t="str">
        <f>IF(AND($F89&lt;&gt;"", $F89&gt;=CB$5-4, $F89&lt;=CB$5, COUNTIF($M89:CA89,"u")=0), "u", "")</f>
        <v/>
      </c>
      <c r="CC89" s="80" t="str">
        <f>IF(AND($F89&lt;&gt;"", $F89&gt;=CC$5-4, $F89&lt;=CC$5, COUNTIF($M89:CB89,"u")=0), "u", "")</f>
        <v/>
      </c>
      <c r="CD89" s="80" t="str">
        <f>IF(AND($F89&lt;&gt;"", $F89&gt;=CD$5-4, $F89&lt;=CD$5, COUNTIF($M89:CC89,"u")=0), "u", "")</f>
        <v/>
      </c>
      <c r="CE89" s="80" t="str">
        <f>IF(AND($F89&lt;&gt;"", $F89&gt;=CE$5-4, $F89&lt;=CE$5, COUNTIF($M89:CD89,"u")=0), "u", "")</f>
        <v/>
      </c>
      <c r="CF89" s="80" t="str">
        <f>IF(AND($F89&lt;&gt;"", $F89&gt;=CF$5-4, $F89&lt;=CF$5, COUNTIF($M89:CE89,"u")=0), "u", "")</f>
        <v/>
      </c>
      <c r="CG89" s="80" t="str">
        <f>IF(AND($F89&lt;&gt;"", $F89&gt;=CG$5-4, $F89&lt;=CG$5, COUNTIF($M89:CF89,"u")=0), "u", "")</f>
        <v/>
      </c>
      <c r="CH89" s="80" t="str">
        <f>IF(AND($F89&lt;&gt;"", $F89&gt;=CH$5-4, $F89&lt;=CH$5, COUNTIF($M89:CG89,"u")=0), "u", "")</f>
        <v/>
      </c>
      <c r="CI89" s="80" t="str">
        <f>IF(AND($F89&lt;&gt;"", $F89&gt;=CI$5-4, $F89&lt;=CI$5, COUNTIF($M89:CH89,"u")=0), "u", "")</f>
        <v/>
      </c>
      <c r="CJ89" s="80" t="str">
        <f>IF(AND($F89&lt;&gt;"", $F89&gt;=CJ$5-4, $F89&lt;=CJ$5, COUNTIF($M89:CI89,"u")=0), "u", "")</f>
        <v/>
      </c>
      <c r="CK89" s="80" t="str">
        <f>IF(AND($F89&lt;&gt;"", $F89&gt;=CK$5-4, $F89&lt;=CK$5, COUNTIF($M89:CJ89,"u")=0), "u", "")</f>
        <v/>
      </c>
      <c r="CL89" s="80" t="str">
        <f>IF(AND($F89&lt;&gt;"", $F89&gt;=CL$5-4, $F89&lt;=CL$5, COUNTIF($M89:CK89,"u")=0), "u", "")</f>
        <v/>
      </c>
      <c r="CM89" s="80" t="str">
        <f>IF(AND($F89&lt;&gt;"", $F89&gt;=CM$5-4, $F89&lt;=CM$5, COUNTIF($M89:CL89,"u")=0), "u", "")</f>
        <v/>
      </c>
      <c r="CN89" s="80" t="str">
        <f>IF(AND($F89&lt;&gt;"", $F89&gt;=CN$5-4, $F89&lt;=CN$5, COUNTIF($M89:CM89,"u")=0), "u", "")</f>
        <v/>
      </c>
      <c r="CO89" s="80" t="str">
        <f>IF(AND($F89&lt;&gt;"", $F89&gt;=CO$5-4, $F89&lt;=CO$5, COUNTIF($M89:CN89,"u")=0), "u", "")</f>
        <v/>
      </c>
      <c r="CP89" s="80" t="str">
        <f>IF(AND($F89&lt;&gt;"", $F89&gt;=CP$5-4, $F89&lt;=CP$5, COUNTIF($M89:CO89,"u")=0), "u", "")</f>
        <v/>
      </c>
      <c r="CQ89" s="80" t="str">
        <f>IF(AND($F89&lt;&gt;"", $F89&gt;=CQ$5-4, $F89&lt;=CQ$5, COUNTIF($M89:CP89,"u")=0), "u", "")</f>
        <v/>
      </c>
      <c r="CR89" s="80" t="str">
        <f>IF(AND($F89&lt;&gt;"", $F89&gt;=CR$5-4, $F89&lt;=CR$5, COUNTIF($M89:CQ89,"u")=0), "u", "")</f>
        <v/>
      </c>
      <c r="CS89" s="80" t="str">
        <f>IF(AND($F89&lt;&gt;"", $F89&gt;=CS$5-4, $F89&lt;=CS$5, COUNTIF($M89:CR89,"u")=0), "u", "")</f>
        <v/>
      </c>
      <c r="CT89" s="80" t="str">
        <f>IF(AND($F89&lt;&gt;"", $F89&gt;=CT$5-4, $F89&lt;=CT$5, COUNTIF($M89:CS89,"u")=0), "u", "")</f>
        <v/>
      </c>
      <c r="CU89" s="80" t="str">
        <f>IF(AND($F89&lt;&gt;"", $F89&gt;=CU$5-4, $F89&lt;=CU$5, COUNTIF($M89:CT89,"u")=0), "u", "")</f>
        <v/>
      </c>
      <c r="CV89" s="80" t="str">
        <f>IF(AND($F89&lt;&gt;"", $F89&gt;=CV$5-4, $F89&lt;=CV$5, COUNTIF($M89:CU89,"u")=0), "u", "")</f>
        <v/>
      </c>
      <c r="CW89" s="80" t="str">
        <f>IF(AND($F89&lt;&gt;"", $F89&gt;=CW$5-4, $F89&lt;=CW$5, COUNTIF($M89:CV89,"u")=0), "u", "")</f>
        <v/>
      </c>
      <c r="CX89" s="80" t="str">
        <f>IF(AND($F89&lt;&gt;"", $F89&gt;=CX$5-4, $F89&lt;=CX$5, COUNTIF($M89:CW89,"u")=0), "u", "")</f>
        <v/>
      </c>
      <c r="CY89" s="80" t="str">
        <f>IF(AND($F89&lt;&gt;"", $F89&gt;=CY$5-4, $F89&lt;=CY$5, COUNTIF($M89:CX89,"u")=0), "u", "")</f>
        <v/>
      </c>
      <c r="CZ89" s="80" t="str">
        <f>IF(AND($F89&lt;&gt;"", $F89&gt;=CZ$5-4, $F89&lt;=CZ$5, COUNTIF($M89:CY89,"u")=0), "u", "")</f>
        <v/>
      </c>
      <c r="DA89" s="80" t="str">
        <f>IF(AND($F89&lt;&gt;"", $F89&gt;=DA$5-4, $F89&lt;=DA$5, COUNTIF($M89:CZ89,"u")=0), "u", "")</f>
        <v/>
      </c>
      <c r="DB89" s="80" t="str">
        <f>IF(AND($F89&lt;&gt;"", $F89&gt;=DB$5-4, $F89&lt;=DB$5, COUNTIF($M89:DA89,"u")=0), "u", "")</f>
        <v/>
      </c>
      <c r="DC89" s="80" t="str">
        <f>IF(AND($F89&lt;&gt;"", $F89&gt;=DC$5-4, $F89&lt;=DC$5, COUNTIF($M89:DB89,"u")=0), "u", "")</f>
        <v/>
      </c>
      <c r="DD89" s="80" t="str">
        <f>IF(AND($F89&lt;&gt;"", $F89&gt;=DD$5-4, $F89&lt;=DD$5, COUNTIF($M89:DC89,"u")=0), "u", "")</f>
        <v/>
      </c>
      <c r="DE89" s="80" t="str">
        <f>IF(AND($F89&lt;&gt;"", $F89&gt;=DE$5-4, $F89&lt;=DE$5, COUNTIF($M89:DD89,"u")=0), "u", "")</f>
        <v/>
      </c>
      <c r="DF89" s="80" t="str">
        <f>IF(AND($F89&lt;&gt;"", $F89&gt;=DF$5-4, $F89&lt;=DF$5, COUNTIF($M89:DE89,"u")=0), "u", "")</f>
        <v/>
      </c>
      <c r="DG89" s="80" t="str">
        <f>IF(AND($F89&lt;&gt;"", $F89&gt;=DG$5-4, $F89&lt;=DG$5, COUNTIF($M89:DF89,"u")=0), "u", "")</f>
        <v/>
      </c>
      <c r="DH89" s="80" t="str">
        <f>IF(AND($F89&lt;&gt;"", $F89&gt;=DH$5-4, $F89&lt;=DH$5, COUNTIF($M89:DG89,"u")=0), "u", "")</f>
        <v/>
      </c>
      <c r="DI89" s="80" t="str">
        <f>IF(AND($F89&lt;&gt;"", $F89&gt;=DI$5-4, $F89&lt;=DI$5, COUNTIF($M89:DH89,"u")=0), "u", "")</f>
        <v/>
      </c>
      <c r="DJ89" s="80" t="str">
        <f>IF(AND($F89&lt;&gt;"", $F89&gt;=DJ$5-4, $F89&lt;=DJ$5, COUNTIF($M89:DI89,"u")=0), "u", "")</f>
        <v/>
      </c>
      <c r="DK89" s="80" t="str">
        <f>IF(AND($F89&lt;&gt;"", $F89&gt;=DK$5-4, $F89&lt;=DK$5, COUNTIF($M89:DJ89,"u")=0), "u", "")</f>
        <v/>
      </c>
      <c r="DL89" s="80" t="str">
        <f>IF(AND($F89&lt;&gt;"", $F89&gt;=DL$5-4, $F89&lt;=DL$5, COUNTIF($M89:DK89,"u")=0), "u", "")</f>
        <v/>
      </c>
    </row>
    <row r="90" spans="1:116" ht="25.05" customHeight="1" x14ac:dyDescent="0.3">
      <c r="A90" s="39"/>
      <c r="B90" s="75">
        <v>85</v>
      </c>
      <c r="C90" s="97"/>
      <c r="D90" s="92"/>
      <c r="E90" s="53"/>
      <c r="F90" s="53"/>
      <c r="G90" s="83" t="str">
        <f t="shared" si="50"/>
        <v/>
      </c>
      <c r="H90" s="83" t="str">
        <f t="shared" si="50"/>
        <v/>
      </c>
      <c r="I90" s="77" t="str">
        <f t="shared" si="48"/>
        <v/>
      </c>
      <c r="J90" s="78"/>
      <c r="K90" s="86"/>
      <c r="L90" s="56"/>
      <c r="M90" s="80" t="str">
        <f t="shared" si="49"/>
        <v/>
      </c>
      <c r="N90" s="80" t="str">
        <f>IF(AND($F90&lt;&gt;"", $F90&gt;=N$5-4, $F90&lt;=N$5, COUNTIF($M90:M90,"u")=0), "u", "")</f>
        <v/>
      </c>
      <c r="O90" s="80" t="str">
        <f>IF(AND($F90&lt;&gt;"", $F90&gt;=O$5-4, $F90&lt;=O$5, COUNTIF($M90:N90,"u")=0), "u", "")</f>
        <v/>
      </c>
      <c r="P90" s="80" t="str">
        <f>IF(AND($F90&lt;&gt;"", $F90&gt;=P$5-4, $F90&lt;=P$5, COUNTIF($M90:O90,"u")=0), "u", "")</f>
        <v/>
      </c>
      <c r="Q90" s="80" t="str">
        <f>IF(AND($F90&lt;&gt;"", $F90&gt;=Q$5-4, $F90&lt;=Q$5, COUNTIF($M90:P90,"u")=0), "u", "")</f>
        <v/>
      </c>
      <c r="R90" s="80" t="str">
        <f>IF(AND($F90&lt;&gt;"", $F90&gt;=R$5-4, $F90&lt;=R$5, COUNTIF($M90:Q90,"u")=0), "u", "")</f>
        <v/>
      </c>
      <c r="S90" s="80" t="str">
        <f>IF(AND($F90&lt;&gt;"", $F90&gt;=S$5-4, $F90&lt;=S$5, COUNTIF($M90:R90,"u")=0), "u", "")</f>
        <v/>
      </c>
      <c r="T90" s="80" t="str">
        <f>IF(AND($F90&lt;&gt;"", $F90&gt;=T$5-4, $F90&lt;=T$5, COUNTIF($M90:S90,"u")=0), "u", "")</f>
        <v/>
      </c>
      <c r="U90" s="80" t="str">
        <f>IF(AND($F90&lt;&gt;"", $F90&gt;=U$5-4, $F90&lt;=U$5, COUNTIF($M90:T90,"u")=0), "u", "")</f>
        <v/>
      </c>
      <c r="V90" s="80" t="str">
        <f>IF(AND($F90&lt;&gt;"", $F90&gt;=V$5-4, $F90&lt;=V$5, COUNTIF($M90:U90,"u")=0), "u", "")</f>
        <v/>
      </c>
      <c r="W90" s="80" t="str">
        <f>IF(AND($F90&lt;&gt;"", $F90&gt;=W$5-4, $F90&lt;=W$5, COUNTIF($M90:V90,"u")=0), "u", "")</f>
        <v/>
      </c>
      <c r="X90" s="80" t="str">
        <f>IF(AND($F90&lt;&gt;"", $F90&gt;=X$5-4, $F90&lt;=X$5, COUNTIF($M90:W90,"u")=0), "u", "")</f>
        <v/>
      </c>
      <c r="Y90" s="80" t="str">
        <f>IF(AND($F90&lt;&gt;"", $F90&gt;=Y$5-4, $F90&lt;=Y$5, COUNTIF($M90:X90,"u")=0), "u", "")</f>
        <v/>
      </c>
      <c r="Z90" s="80" t="str">
        <f>IF(AND($F90&lt;&gt;"", $F90&gt;=Z$5-4, $F90&lt;=Z$5, COUNTIF($M90:Y90,"u")=0), "u", "")</f>
        <v/>
      </c>
      <c r="AA90" s="80" t="str">
        <f>IF(AND($F90&lt;&gt;"", $F90&gt;=AA$5-4, $F90&lt;=AA$5, COUNTIF($M90:Z90,"u")=0), "u", "")</f>
        <v/>
      </c>
      <c r="AB90" s="80" t="str">
        <f>IF(AND($F90&lt;&gt;"", $F90&gt;=AB$5-4, $F90&lt;=AB$5, COUNTIF($M90:AA90,"u")=0), "u", "")</f>
        <v/>
      </c>
      <c r="AC90" s="80" t="str">
        <f>IF(AND($F90&lt;&gt;"", $F90&gt;=AC$5-4, $F90&lt;=AC$5, COUNTIF($M90:AB90,"u")=0), "u", "")</f>
        <v/>
      </c>
      <c r="AD90" s="80" t="str">
        <f>IF(AND($F90&lt;&gt;"", $F90&gt;=AD$5-4, $F90&lt;=AD$5, COUNTIF($M90:AC90,"u")=0), "u", "")</f>
        <v/>
      </c>
      <c r="AE90" s="80" t="str">
        <f>IF(AND($F90&lt;&gt;"", $F90&gt;=AE$5-4, $F90&lt;=AE$5, COUNTIF($M90:AD90,"u")=0), "u", "")</f>
        <v/>
      </c>
      <c r="AF90" s="80" t="str">
        <f>IF(AND($F90&lt;&gt;"", $F90&gt;=AF$5-4, $F90&lt;=AF$5, COUNTIF($M90:AE90,"u")=0), "u", "")</f>
        <v/>
      </c>
      <c r="AG90" s="80" t="str">
        <f>IF(AND($F90&lt;&gt;"", $F90&gt;=AG$5-4, $F90&lt;=AG$5, COUNTIF($M90:AF90,"u")=0), "u", "")</f>
        <v/>
      </c>
      <c r="AH90" s="80" t="str">
        <f>IF(AND($F90&lt;&gt;"", $F90&gt;=AH$5-4, $F90&lt;=AH$5, COUNTIF($M90:AG90,"u")=0), "u", "")</f>
        <v/>
      </c>
      <c r="AI90" s="80" t="str">
        <f>IF(AND($F90&lt;&gt;"", $F90&gt;=AI$5-4, $F90&lt;=AI$5, COUNTIF($M90:AH90,"u")=0), "u", "")</f>
        <v/>
      </c>
      <c r="AJ90" s="80" t="str">
        <f>IF(AND($F90&lt;&gt;"", $F90&gt;=AJ$5-4, $F90&lt;=AJ$5, COUNTIF($M90:AI90,"u")=0), "u", "")</f>
        <v/>
      </c>
      <c r="AK90" s="80" t="str">
        <f>IF(AND($F90&lt;&gt;"", $F90&gt;=AK$5-4, $F90&lt;=AK$5, COUNTIF($M90:AJ90,"u")=0), "u", "")</f>
        <v/>
      </c>
      <c r="AL90" s="80" t="str">
        <f>IF(AND($F90&lt;&gt;"", $F90&gt;=AL$5-4, $F90&lt;=AL$5, COUNTIF($M90:AK90,"u")=0), "u", "")</f>
        <v/>
      </c>
      <c r="AM90" s="80" t="str">
        <f>IF(AND($F90&lt;&gt;"", $F90&gt;=AM$5-4, $F90&lt;=AM$5, COUNTIF($M90:AL90,"u")=0), "u", "")</f>
        <v/>
      </c>
      <c r="AN90" s="80" t="str">
        <f>IF(AND($F90&lt;&gt;"", $F90&gt;=AN$5-4, $F90&lt;=AN$5, COUNTIF($M90:AM90,"u")=0), "u", "")</f>
        <v/>
      </c>
      <c r="AO90" s="80" t="str">
        <f>IF(AND($F90&lt;&gt;"", $F90&gt;=AO$5-4, $F90&lt;=AO$5, COUNTIF($M90:AN90,"u")=0), "u", "")</f>
        <v/>
      </c>
      <c r="AP90" s="80" t="str">
        <f>IF(AND($F90&lt;&gt;"", $F90&gt;=AP$5-4, $F90&lt;=AP$5, COUNTIF($M90:AO90,"u")=0), "u", "")</f>
        <v/>
      </c>
      <c r="AQ90" s="80" t="str">
        <f>IF(AND($F90&lt;&gt;"", $F90&gt;=AQ$5-4, $F90&lt;=AQ$5, COUNTIF($M90:AP90,"u")=0), "u", "")</f>
        <v/>
      </c>
      <c r="AR90" s="80" t="str">
        <f>IF(AND($F90&lt;&gt;"", $F90&gt;=AR$5-4, $F90&lt;=AR$5, COUNTIF($M90:AQ90,"u")=0), "u", "")</f>
        <v/>
      </c>
      <c r="AS90" s="80" t="str">
        <f>IF(AND($F90&lt;&gt;"", $F90&gt;=AS$5-4, $F90&lt;=AS$5, COUNTIF($M90:AR90,"u")=0), "u", "")</f>
        <v/>
      </c>
      <c r="AT90" s="80" t="str">
        <f>IF(AND($F90&lt;&gt;"", $F90&gt;=AT$5-4, $F90&lt;=AT$5, COUNTIF($M90:AS90,"u")=0), "u", "")</f>
        <v/>
      </c>
      <c r="AU90" s="80" t="str">
        <f>IF(AND($F90&lt;&gt;"", $F90&gt;=AU$5-4, $F90&lt;=AU$5, COUNTIF($M90:AT90,"u")=0), "u", "")</f>
        <v/>
      </c>
      <c r="AV90" s="80" t="str">
        <f>IF(AND($F90&lt;&gt;"", $F90&gt;=AV$5-4, $F90&lt;=AV$5, COUNTIF($M90:AU90,"u")=0), "u", "")</f>
        <v/>
      </c>
      <c r="AW90" s="80" t="str">
        <f>IF(AND($F90&lt;&gt;"", $F90&gt;=AW$5-4, $F90&lt;=AW$5, COUNTIF($M90:AV90,"u")=0), "u", "")</f>
        <v/>
      </c>
      <c r="AX90" s="80" t="str">
        <f>IF(AND($F90&lt;&gt;"", $F90&gt;=AX$5-4, $F90&lt;=AX$5, COUNTIF($M90:AW90,"u")=0), "u", "")</f>
        <v/>
      </c>
      <c r="AY90" s="80" t="str">
        <f>IF(AND($F90&lt;&gt;"", $F90&gt;=AY$5-4, $F90&lt;=AY$5, COUNTIF($M90:AX90,"u")=0), "u", "")</f>
        <v/>
      </c>
      <c r="AZ90" s="80" t="str">
        <f>IF(AND($F90&lt;&gt;"", $F90&gt;=AZ$5-4, $F90&lt;=AZ$5, COUNTIF($M90:AY90,"u")=0), "u", "")</f>
        <v/>
      </c>
      <c r="BA90" s="80" t="str">
        <f>IF(AND($F90&lt;&gt;"", $F90&gt;=BA$5-4, $F90&lt;=BA$5, COUNTIF($M90:AZ90,"u")=0), "u", "")</f>
        <v/>
      </c>
      <c r="BB90" s="80" t="str">
        <f>IF(AND($F90&lt;&gt;"", $F90&gt;=BB$5-4, $F90&lt;=BB$5, COUNTIF($M90:BA90,"u")=0), "u", "")</f>
        <v/>
      </c>
      <c r="BC90" s="80" t="str">
        <f>IF(AND($F90&lt;&gt;"", $F90&gt;=BC$5-4, $F90&lt;=BC$5, COUNTIF($M90:BB90,"u")=0), "u", "")</f>
        <v/>
      </c>
      <c r="BD90" s="80" t="str">
        <f>IF(AND($F90&lt;&gt;"", $F90&gt;=BD$5-4, $F90&lt;=BD$5, COUNTIF($M90:BC90,"u")=0), "u", "")</f>
        <v/>
      </c>
      <c r="BE90" s="80" t="str">
        <f>IF(AND($F90&lt;&gt;"", $F90&gt;=BE$5-4, $F90&lt;=BE$5, COUNTIF($M90:BD90,"u")=0), "u", "")</f>
        <v/>
      </c>
      <c r="BF90" s="80" t="str">
        <f>IF(AND($F90&lt;&gt;"", $F90&gt;=BF$5-4, $F90&lt;=BF$5, COUNTIF($M90:BE90,"u")=0), "u", "")</f>
        <v/>
      </c>
      <c r="BG90" s="80" t="str">
        <f>IF(AND($F90&lt;&gt;"", $F90&gt;=BG$5-4, $F90&lt;=BG$5, COUNTIF($M90:BF90,"u")=0), "u", "")</f>
        <v/>
      </c>
      <c r="BH90" s="80" t="str">
        <f>IF(AND($F90&lt;&gt;"", $F90&gt;=BH$5-4, $F90&lt;=BH$5, COUNTIF($M90:BG90,"u")=0), "u", "")</f>
        <v/>
      </c>
      <c r="BI90" s="80" t="str">
        <f>IF(AND($F90&lt;&gt;"", $F90&gt;=BI$5-4, $F90&lt;=BI$5, COUNTIF($M90:BH90,"u")=0), "u", "")</f>
        <v/>
      </c>
      <c r="BJ90" s="80" t="str">
        <f>IF(AND($F90&lt;&gt;"", $F90&gt;=BJ$5-4, $F90&lt;=BJ$5, COUNTIF($M90:BI90,"u")=0), "u", "")</f>
        <v/>
      </c>
      <c r="BK90" s="80" t="str">
        <f>IF(AND($F90&lt;&gt;"", $F90&gt;=BK$5-4, $F90&lt;=BK$5, COUNTIF($M90:BJ90,"u")=0), "u", "")</f>
        <v/>
      </c>
      <c r="BL90" s="80" t="str">
        <f>IF(AND($F90&lt;&gt;"", $F90&gt;=BL$5-4, $F90&lt;=BL$5, COUNTIF($M90:BK90,"u")=0), "u", "")</f>
        <v/>
      </c>
      <c r="BM90" s="80" t="str">
        <f>IF(AND($F90&lt;&gt;"", $F90&gt;=BM$5-4, $F90&lt;=BM$5, COUNTIF($M90:BL90,"u")=0), "u", "")</f>
        <v/>
      </c>
      <c r="BN90" s="80" t="str">
        <f>IF(AND($F90&lt;&gt;"", $F90&gt;=BN$5-4, $F90&lt;=BN$5, COUNTIF($M90:BM90,"u")=0), "u", "")</f>
        <v/>
      </c>
      <c r="BO90" s="80" t="str">
        <f>IF(AND($F90&lt;&gt;"", $F90&gt;=BO$5-4, $F90&lt;=BO$5, COUNTIF($M90:BN90,"u")=0), "u", "")</f>
        <v/>
      </c>
      <c r="BP90" s="80" t="str">
        <f>IF(AND($F90&lt;&gt;"", $F90&gt;=BP$5-4, $F90&lt;=BP$5, COUNTIF($M90:BO90,"u")=0), "u", "")</f>
        <v/>
      </c>
      <c r="BQ90" s="80" t="str">
        <f>IF(AND($F90&lt;&gt;"", $F90&gt;=BQ$5-4, $F90&lt;=BQ$5, COUNTIF($M90:BP90,"u")=0), "u", "")</f>
        <v/>
      </c>
      <c r="BR90" s="80" t="str">
        <f>IF(AND($F90&lt;&gt;"", $F90&gt;=BR$5-4, $F90&lt;=BR$5, COUNTIF($M90:BQ90,"u")=0), "u", "")</f>
        <v/>
      </c>
      <c r="BS90" s="80" t="str">
        <f>IF(AND($F90&lt;&gt;"", $F90&gt;=BS$5-4, $F90&lt;=BS$5, COUNTIF($M90:BR90,"u")=0), "u", "")</f>
        <v/>
      </c>
      <c r="BT90" s="80" t="str">
        <f>IF(AND($F90&lt;&gt;"", $F90&gt;=BT$5-4, $F90&lt;=BT$5, COUNTIF($M90:BS90,"u")=0), "u", "")</f>
        <v/>
      </c>
      <c r="BU90" s="80" t="str">
        <f>IF(AND($F90&lt;&gt;"", $F90&gt;=BU$5-4, $F90&lt;=BU$5, COUNTIF($M90:BT90,"u")=0), "u", "")</f>
        <v/>
      </c>
      <c r="BV90" s="80" t="str">
        <f>IF(AND($F90&lt;&gt;"", $F90&gt;=BV$5-4, $F90&lt;=BV$5, COUNTIF($M90:BU90,"u")=0), "u", "")</f>
        <v/>
      </c>
      <c r="BW90" s="80" t="str">
        <f>IF(AND($F90&lt;&gt;"", $F90&gt;=BW$5-4, $F90&lt;=BW$5, COUNTIF($M90:BV90,"u")=0), "u", "")</f>
        <v/>
      </c>
      <c r="BX90" s="80" t="str">
        <f>IF(AND($F90&lt;&gt;"", $F90&gt;=BX$5-4, $F90&lt;=BX$5, COUNTIF($M90:BW90,"u")=0), "u", "")</f>
        <v/>
      </c>
      <c r="BY90" s="80" t="str">
        <f>IF(AND($F90&lt;&gt;"", $F90&gt;=BY$5-4, $F90&lt;=BY$5, COUNTIF($M90:BX90,"u")=0), "u", "")</f>
        <v/>
      </c>
      <c r="BZ90" s="80" t="str">
        <f>IF(AND($F90&lt;&gt;"", $F90&gt;=BZ$5-4, $F90&lt;=BZ$5, COUNTIF($M90:BY90,"u")=0), "u", "")</f>
        <v/>
      </c>
      <c r="CA90" s="80" t="str">
        <f>IF(AND($F90&lt;&gt;"", $F90&gt;=CA$5-4, $F90&lt;=CA$5, COUNTIF($M90:BZ90,"u")=0), "u", "")</f>
        <v/>
      </c>
      <c r="CB90" s="80" t="str">
        <f>IF(AND($F90&lt;&gt;"", $F90&gt;=CB$5-4, $F90&lt;=CB$5, COUNTIF($M90:CA90,"u")=0), "u", "")</f>
        <v/>
      </c>
      <c r="CC90" s="80" t="str">
        <f>IF(AND($F90&lt;&gt;"", $F90&gt;=CC$5-4, $F90&lt;=CC$5, COUNTIF($M90:CB90,"u")=0), "u", "")</f>
        <v/>
      </c>
      <c r="CD90" s="80" t="str">
        <f>IF(AND($F90&lt;&gt;"", $F90&gt;=CD$5-4, $F90&lt;=CD$5, COUNTIF($M90:CC90,"u")=0), "u", "")</f>
        <v/>
      </c>
      <c r="CE90" s="80" t="str">
        <f>IF(AND($F90&lt;&gt;"", $F90&gt;=CE$5-4, $F90&lt;=CE$5, COUNTIF($M90:CD90,"u")=0), "u", "")</f>
        <v/>
      </c>
      <c r="CF90" s="80" t="str">
        <f>IF(AND($F90&lt;&gt;"", $F90&gt;=CF$5-4, $F90&lt;=CF$5, COUNTIF($M90:CE90,"u")=0), "u", "")</f>
        <v/>
      </c>
      <c r="CG90" s="80" t="str">
        <f>IF(AND($F90&lt;&gt;"", $F90&gt;=CG$5-4, $F90&lt;=CG$5, COUNTIF($M90:CF90,"u")=0), "u", "")</f>
        <v/>
      </c>
      <c r="CH90" s="80" t="str">
        <f>IF(AND($F90&lt;&gt;"", $F90&gt;=CH$5-4, $F90&lt;=CH$5, COUNTIF($M90:CG90,"u")=0), "u", "")</f>
        <v/>
      </c>
      <c r="CI90" s="80" t="str">
        <f>IF(AND($F90&lt;&gt;"", $F90&gt;=CI$5-4, $F90&lt;=CI$5, COUNTIF($M90:CH90,"u")=0), "u", "")</f>
        <v/>
      </c>
      <c r="CJ90" s="80" t="str">
        <f>IF(AND($F90&lt;&gt;"", $F90&gt;=CJ$5-4, $F90&lt;=CJ$5, COUNTIF($M90:CI90,"u")=0), "u", "")</f>
        <v/>
      </c>
      <c r="CK90" s="80" t="str">
        <f>IF(AND($F90&lt;&gt;"", $F90&gt;=CK$5-4, $F90&lt;=CK$5, COUNTIF($M90:CJ90,"u")=0), "u", "")</f>
        <v/>
      </c>
      <c r="CL90" s="80" t="str">
        <f>IF(AND($F90&lt;&gt;"", $F90&gt;=CL$5-4, $F90&lt;=CL$5, COUNTIF($M90:CK90,"u")=0), "u", "")</f>
        <v/>
      </c>
      <c r="CM90" s="80" t="str">
        <f>IF(AND($F90&lt;&gt;"", $F90&gt;=CM$5-4, $F90&lt;=CM$5, COUNTIF($M90:CL90,"u")=0), "u", "")</f>
        <v/>
      </c>
      <c r="CN90" s="80" t="str">
        <f>IF(AND($F90&lt;&gt;"", $F90&gt;=CN$5-4, $F90&lt;=CN$5, COUNTIF($M90:CM90,"u")=0), "u", "")</f>
        <v/>
      </c>
      <c r="CO90" s="80" t="str">
        <f>IF(AND($F90&lt;&gt;"", $F90&gt;=CO$5-4, $F90&lt;=CO$5, COUNTIF($M90:CN90,"u")=0), "u", "")</f>
        <v/>
      </c>
      <c r="CP90" s="80" t="str">
        <f>IF(AND($F90&lt;&gt;"", $F90&gt;=CP$5-4, $F90&lt;=CP$5, COUNTIF($M90:CO90,"u")=0), "u", "")</f>
        <v/>
      </c>
      <c r="CQ90" s="80" t="str">
        <f>IF(AND($F90&lt;&gt;"", $F90&gt;=CQ$5-4, $F90&lt;=CQ$5, COUNTIF($M90:CP90,"u")=0), "u", "")</f>
        <v/>
      </c>
      <c r="CR90" s="80" t="str">
        <f>IF(AND($F90&lt;&gt;"", $F90&gt;=CR$5-4, $F90&lt;=CR$5, COUNTIF($M90:CQ90,"u")=0), "u", "")</f>
        <v/>
      </c>
      <c r="CS90" s="80" t="str">
        <f>IF(AND($F90&lt;&gt;"", $F90&gt;=CS$5-4, $F90&lt;=CS$5, COUNTIF($M90:CR90,"u")=0), "u", "")</f>
        <v/>
      </c>
      <c r="CT90" s="80" t="str">
        <f>IF(AND($F90&lt;&gt;"", $F90&gt;=CT$5-4, $F90&lt;=CT$5, COUNTIF($M90:CS90,"u")=0), "u", "")</f>
        <v/>
      </c>
      <c r="CU90" s="80" t="str">
        <f>IF(AND($F90&lt;&gt;"", $F90&gt;=CU$5-4, $F90&lt;=CU$5, COUNTIF($M90:CT90,"u")=0), "u", "")</f>
        <v/>
      </c>
      <c r="CV90" s="80" t="str">
        <f>IF(AND($F90&lt;&gt;"", $F90&gt;=CV$5-4, $F90&lt;=CV$5, COUNTIF($M90:CU90,"u")=0), "u", "")</f>
        <v/>
      </c>
      <c r="CW90" s="80" t="str">
        <f>IF(AND($F90&lt;&gt;"", $F90&gt;=CW$5-4, $F90&lt;=CW$5, COUNTIF($M90:CV90,"u")=0), "u", "")</f>
        <v/>
      </c>
      <c r="CX90" s="80" t="str">
        <f>IF(AND($F90&lt;&gt;"", $F90&gt;=CX$5-4, $F90&lt;=CX$5, COUNTIF($M90:CW90,"u")=0), "u", "")</f>
        <v/>
      </c>
      <c r="CY90" s="80" t="str">
        <f>IF(AND($F90&lt;&gt;"", $F90&gt;=CY$5-4, $F90&lt;=CY$5, COUNTIF($M90:CX90,"u")=0), "u", "")</f>
        <v/>
      </c>
      <c r="CZ90" s="80" t="str">
        <f>IF(AND($F90&lt;&gt;"", $F90&gt;=CZ$5-4, $F90&lt;=CZ$5, COUNTIF($M90:CY90,"u")=0), "u", "")</f>
        <v/>
      </c>
      <c r="DA90" s="80" t="str">
        <f>IF(AND($F90&lt;&gt;"", $F90&gt;=DA$5-4, $F90&lt;=DA$5, COUNTIF($M90:CZ90,"u")=0), "u", "")</f>
        <v/>
      </c>
      <c r="DB90" s="80" t="str">
        <f>IF(AND($F90&lt;&gt;"", $F90&gt;=DB$5-4, $F90&lt;=DB$5, COUNTIF($M90:DA90,"u")=0), "u", "")</f>
        <v/>
      </c>
      <c r="DC90" s="80" t="str">
        <f>IF(AND($F90&lt;&gt;"", $F90&gt;=DC$5-4, $F90&lt;=DC$5, COUNTIF($M90:DB90,"u")=0), "u", "")</f>
        <v/>
      </c>
      <c r="DD90" s="80" t="str">
        <f>IF(AND($F90&lt;&gt;"", $F90&gt;=DD$5-4, $F90&lt;=DD$5, COUNTIF($M90:DC90,"u")=0), "u", "")</f>
        <v/>
      </c>
      <c r="DE90" s="80" t="str">
        <f>IF(AND($F90&lt;&gt;"", $F90&gt;=DE$5-4, $F90&lt;=DE$5, COUNTIF($M90:DD90,"u")=0), "u", "")</f>
        <v/>
      </c>
      <c r="DF90" s="80" t="str">
        <f>IF(AND($F90&lt;&gt;"", $F90&gt;=DF$5-4, $F90&lt;=DF$5, COUNTIF($M90:DE90,"u")=0), "u", "")</f>
        <v/>
      </c>
      <c r="DG90" s="80" t="str">
        <f>IF(AND($F90&lt;&gt;"", $F90&gt;=DG$5-4, $F90&lt;=DG$5, COUNTIF($M90:DF90,"u")=0), "u", "")</f>
        <v/>
      </c>
      <c r="DH90" s="80" t="str">
        <f>IF(AND($F90&lt;&gt;"", $F90&gt;=DH$5-4, $F90&lt;=DH$5, COUNTIF($M90:DG90,"u")=0), "u", "")</f>
        <v/>
      </c>
      <c r="DI90" s="80" t="str">
        <f>IF(AND($F90&lt;&gt;"", $F90&gt;=DI$5-4, $F90&lt;=DI$5, COUNTIF($M90:DH90,"u")=0), "u", "")</f>
        <v/>
      </c>
      <c r="DJ90" s="80" t="str">
        <f>IF(AND($F90&lt;&gt;"", $F90&gt;=DJ$5-4, $F90&lt;=DJ$5, COUNTIF($M90:DI90,"u")=0), "u", "")</f>
        <v/>
      </c>
      <c r="DK90" s="80" t="str">
        <f>IF(AND($F90&lt;&gt;"", $F90&gt;=DK$5-4, $F90&lt;=DK$5, COUNTIF($M90:DJ90,"u")=0), "u", "")</f>
        <v/>
      </c>
      <c r="DL90" s="80" t="str">
        <f>IF(AND($F90&lt;&gt;"", $F90&gt;=DL$5-4, $F90&lt;=DL$5, COUNTIF($M90:DK90,"u")=0), "u", "")</f>
        <v/>
      </c>
    </row>
    <row r="91" spans="1:116" ht="25.05" customHeight="1" x14ac:dyDescent="0.3">
      <c r="A91" s="39"/>
      <c r="B91" s="75">
        <v>86</v>
      </c>
      <c r="C91" s="97"/>
      <c r="D91" s="92"/>
      <c r="E91" s="53"/>
      <c r="F91" s="53"/>
      <c r="G91" s="83" t="str">
        <f t="shared" si="50"/>
        <v/>
      </c>
      <c r="H91" s="83" t="str">
        <f t="shared" si="50"/>
        <v/>
      </c>
      <c r="I91" s="77" t="str">
        <f t="shared" si="48"/>
        <v/>
      </c>
      <c r="J91" s="78"/>
      <c r="K91" s="86"/>
      <c r="L91" s="56"/>
      <c r="M91" s="80" t="str">
        <f t="shared" si="49"/>
        <v/>
      </c>
      <c r="N91" s="80" t="str">
        <f>IF(AND($F91&lt;&gt;"", $F91&gt;=N$5-4, $F91&lt;=N$5, COUNTIF($M91:M91,"u")=0), "u", "")</f>
        <v/>
      </c>
      <c r="O91" s="80" t="str">
        <f>IF(AND($F91&lt;&gt;"", $F91&gt;=O$5-4, $F91&lt;=O$5, COUNTIF($M91:N91,"u")=0), "u", "")</f>
        <v/>
      </c>
      <c r="P91" s="80" t="str">
        <f>IF(AND($F91&lt;&gt;"", $F91&gt;=P$5-4, $F91&lt;=P$5, COUNTIF($M91:O91,"u")=0), "u", "")</f>
        <v/>
      </c>
      <c r="Q91" s="80" t="str">
        <f>IF(AND($F91&lt;&gt;"", $F91&gt;=Q$5-4, $F91&lt;=Q$5, COUNTIF($M91:P91,"u")=0), "u", "")</f>
        <v/>
      </c>
      <c r="R91" s="80" t="str">
        <f>IF(AND($F91&lt;&gt;"", $F91&gt;=R$5-4, $F91&lt;=R$5, COUNTIF($M91:Q91,"u")=0), "u", "")</f>
        <v/>
      </c>
      <c r="S91" s="80" t="str">
        <f>IF(AND($F91&lt;&gt;"", $F91&gt;=S$5-4, $F91&lt;=S$5, COUNTIF($M91:R91,"u")=0), "u", "")</f>
        <v/>
      </c>
      <c r="T91" s="80" t="str">
        <f>IF(AND($F91&lt;&gt;"", $F91&gt;=T$5-4, $F91&lt;=T$5, COUNTIF($M91:S91,"u")=0), "u", "")</f>
        <v/>
      </c>
      <c r="U91" s="80" t="str">
        <f>IF(AND($F91&lt;&gt;"", $F91&gt;=U$5-4, $F91&lt;=U$5, COUNTIF($M91:T91,"u")=0), "u", "")</f>
        <v/>
      </c>
      <c r="V91" s="80" t="str">
        <f>IF(AND($F91&lt;&gt;"", $F91&gt;=V$5-4, $F91&lt;=V$5, COUNTIF($M91:U91,"u")=0), "u", "")</f>
        <v/>
      </c>
      <c r="W91" s="80" t="str">
        <f>IF(AND($F91&lt;&gt;"", $F91&gt;=W$5-4, $F91&lt;=W$5, COUNTIF($M91:V91,"u")=0), "u", "")</f>
        <v/>
      </c>
      <c r="X91" s="80" t="str">
        <f>IF(AND($F91&lt;&gt;"", $F91&gt;=X$5-4, $F91&lt;=X$5, COUNTIF($M91:W91,"u")=0), "u", "")</f>
        <v/>
      </c>
      <c r="Y91" s="80" t="str">
        <f>IF(AND($F91&lt;&gt;"", $F91&gt;=Y$5-4, $F91&lt;=Y$5, COUNTIF($M91:X91,"u")=0), "u", "")</f>
        <v/>
      </c>
      <c r="Z91" s="80" t="str">
        <f>IF(AND($F91&lt;&gt;"", $F91&gt;=Z$5-4, $F91&lt;=Z$5, COUNTIF($M91:Y91,"u")=0), "u", "")</f>
        <v/>
      </c>
      <c r="AA91" s="80" t="str">
        <f>IF(AND($F91&lt;&gt;"", $F91&gt;=AA$5-4, $F91&lt;=AA$5, COUNTIF($M91:Z91,"u")=0), "u", "")</f>
        <v/>
      </c>
      <c r="AB91" s="80" t="str">
        <f>IF(AND($F91&lt;&gt;"", $F91&gt;=AB$5-4, $F91&lt;=AB$5, COUNTIF($M91:AA91,"u")=0), "u", "")</f>
        <v/>
      </c>
      <c r="AC91" s="80" t="str">
        <f>IF(AND($F91&lt;&gt;"", $F91&gt;=AC$5-4, $F91&lt;=AC$5, COUNTIF($M91:AB91,"u")=0), "u", "")</f>
        <v/>
      </c>
      <c r="AD91" s="80" t="str">
        <f>IF(AND($F91&lt;&gt;"", $F91&gt;=AD$5-4, $F91&lt;=AD$5, COUNTIF($M91:AC91,"u")=0), "u", "")</f>
        <v/>
      </c>
      <c r="AE91" s="80" t="str">
        <f>IF(AND($F91&lt;&gt;"", $F91&gt;=AE$5-4, $F91&lt;=AE$5, COUNTIF($M91:AD91,"u")=0), "u", "")</f>
        <v/>
      </c>
      <c r="AF91" s="80" t="str">
        <f>IF(AND($F91&lt;&gt;"", $F91&gt;=AF$5-4, $F91&lt;=AF$5, COUNTIF($M91:AE91,"u")=0), "u", "")</f>
        <v/>
      </c>
      <c r="AG91" s="80" t="str">
        <f>IF(AND($F91&lt;&gt;"", $F91&gt;=AG$5-4, $F91&lt;=AG$5, COUNTIF($M91:AF91,"u")=0), "u", "")</f>
        <v/>
      </c>
      <c r="AH91" s="80" t="str">
        <f>IF(AND($F91&lt;&gt;"", $F91&gt;=AH$5-4, $F91&lt;=AH$5, COUNTIF($M91:AG91,"u")=0), "u", "")</f>
        <v/>
      </c>
      <c r="AI91" s="80" t="str">
        <f>IF(AND($F91&lt;&gt;"", $F91&gt;=AI$5-4, $F91&lt;=AI$5, COUNTIF($M91:AH91,"u")=0), "u", "")</f>
        <v/>
      </c>
      <c r="AJ91" s="80" t="str">
        <f>IF(AND($F91&lt;&gt;"", $F91&gt;=AJ$5-4, $F91&lt;=AJ$5, COUNTIF($M91:AI91,"u")=0), "u", "")</f>
        <v/>
      </c>
      <c r="AK91" s="80" t="str">
        <f>IF(AND($F91&lt;&gt;"", $F91&gt;=AK$5-4, $F91&lt;=AK$5, COUNTIF($M91:AJ91,"u")=0), "u", "")</f>
        <v/>
      </c>
      <c r="AL91" s="80" t="str">
        <f>IF(AND($F91&lt;&gt;"", $F91&gt;=AL$5-4, $F91&lt;=AL$5, COUNTIF($M91:AK91,"u")=0), "u", "")</f>
        <v/>
      </c>
      <c r="AM91" s="80" t="str">
        <f>IF(AND($F91&lt;&gt;"", $F91&gt;=AM$5-4, $F91&lt;=AM$5, COUNTIF($M91:AL91,"u")=0), "u", "")</f>
        <v/>
      </c>
      <c r="AN91" s="80" t="str">
        <f>IF(AND($F91&lt;&gt;"", $F91&gt;=AN$5-4, $F91&lt;=AN$5, COUNTIF($M91:AM91,"u")=0), "u", "")</f>
        <v/>
      </c>
      <c r="AO91" s="80" t="str">
        <f>IF(AND($F91&lt;&gt;"", $F91&gt;=AO$5-4, $F91&lt;=AO$5, COUNTIF($M91:AN91,"u")=0), "u", "")</f>
        <v/>
      </c>
      <c r="AP91" s="80" t="str">
        <f>IF(AND($F91&lt;&gt;"", $F91&gt;=AP$5-4, $F91&lt;=AP$5, COUNTIF($M91:AO91,"u")=0), "u", "")</f>
        <v/>
      </c>
      <c r="AQ91" s="80" t="str">
        <f>IF(AND($F91&lt;&gt;"", $F91&gt;=AQ$5-4, $F91&lt;=AQ$5, COUNTIF($M91:AP91,"u")=0), "u", "")</f>
        <v/>
      </c>
      <c r="AR91" s="80" t="str">
        <f>IF(AND($F91&lt;&gt;"", $F91&gt;=AR$5-4, $F91&lt;=AR$5, COUNTIF($M91:AQ91,"u")=0), "u", "")</f>
        <v/>
      </c>
      <c r="AS91" s="80" t="str">
        <f>IF(AND($F91&lt;&gt;"", $F91&gt;=AS$5-4, $F91&lt;=AS$5, COUNTIF($M91:AR91,"u")=0), "u", "")</f>
        <v/>
      </c>
      <c r="AT91" s="80" t="str">
        <f>IF(AND($F91&lt;&gt;"", $F91&gt;=AT$5-4, $F91&lt;=AT$5, COUNTIF($M91:AS91,"u")=0), "u", "")</f>
        <v/>
      </c>
      <c r="AU91" s="80" t="str">
        <f>IF(AND($F91&lt;&gt;"", $F91&gt;=AU$5-4, $F91&lt;=AU$5, COUNTIF($M91:AT91,"u")=0), "u", "")</f>
        <v/>
      </c>
      <c r="AV91" s="80" t="str">
        <f>IF(AND($F91&lt;&gt;"", $F91&gt;=AV$5-4, $F91&lt;=AV$5, COUNTIF($M91:AU91,"u")=0), "u", "")</f>
        <v/>
      </c>
      <c r="AW91" s="80" t="str">
        <f>IF(AND($F91&lt;&gt;"", $F91&gt;=AW$5-4, $F91&lt;=AW$5, COUNTIF($M91:AV91,"u")=0), "u", "")</f>
        <v/>
      </c>
      <c r="AX91" s="80" t="str">
        <f>IF(AND($F91&lt;&gt;"", $F91&gt;=AX$5-4, $F91&lt;=AX$5, COUNTIF($M91:AW91,"u")=0), "u", "")</f>
        <v/>
      </c>
      <c r="AY91" s="80" t="str">
        <f>IF(AND($F91&lt;&gt;"", $F91&gt;=AY$5-4, $F91&lt;=AY$5, COUNTIF($M91:AX91,"u")=0), "u", "")</f>
        <v/>
      </c>
      <c r="AZ91" s="80" t="str">
        <f>IF(AND($F91&lt;&gt;"", $F91&gt;=AZ$5-4, $F91&lt;=AZ$5, COUNTIF($M91:AY91,"u")=0), "u", "")</f>
        <v/>
      </c>
      <c r="BA91" s="80" t="str">
        <f>IF(AND($F91&lt;&gt;"", $F91&gt;=BA$5-4, $F91&lt;=BA$5, COUNTIF($M91:AZ91,"u")=0), "u", "")</f>
        <v/>
      </c>
      <c r="BB91" s="80" t="str">
        <f>IF(AND($F91&lt;&gt;"", $F91&gt;=BB$5-4, $F91&lt;=BB$5, COUNTIF($M91:BA91,"u")=0), "u", "")</f>
        <v/>
      </c>
      <c r="BC91" s="80" t="str">
        <f>IF(AND($F91&lt;&gt;"", $F91&gt;=BC$5-4, $F91&lt;=BC$5, COUNTIF($M91:BB91,"u")=0), "u", "")</f>
        <v/>
      </c>
      <c r="BD91" s="80" t="str">
        <f>IF(AND($F91&lt;&gt;"", $F91&gt;=BD$5-4, $F91&lt;=BD$5, COUNTIF($M91:BC91,"u")=0), "u", "")</f>
        <v/>
      </c>
      <c r="BE91" s="80" t="str">
        <f>IF(AND($F91&lt;&gt;"", $F91&gt;=BE$5-4, $F91&lt;=BE$5, COUNTIF($M91:BD91,"u")=0), "u", "")</f>
        <v/>
      </c>
      <c r="BF91" s="80" t="str">
        <f>IF(AND($F91&lt;&gt;"", $F91&gt;=BF$5-4, $F91&lt;=BF$5, COUNTIF($M91:BE91,"u")=0), "u", "")</f>
        <v/>
      </c>
      <c r="BG91" s="80" t="str">
        <f>IF(AND($F91&lt;&gt;"", $F91&gt;=BG$5-4, $F91&lt;=BG$5, COUNTIF($M91:BF91,"u")=0), "u", "")</f>
        <v/>
      </c>
      <c r="BH91" s="80" t="str">
        <f>IF(AND($F91&lt;&gt;"", $F91&gt;=BH$5-4, $F91&lt;=BH$5, COUNTIF($M91:BG91,"u")=0), "u", "")</f>
        <v/>
      </c>
      <c r="BI91" s="80" t="str">
        <f>IF(AND($F91&lt;&gt;"", $F91&gt;=BI$5-4, $F91&lt;=BI$5, COUNTIF($M91:BH91,"u")=0), "u", "")</f>
        <v/>
      </c>
      <c r="BJ91" s="80" t="str">
        <f>IF(AND($F91&lt;&gt;"", $F91&gt;=BJ$5-4, $F91&lt;=BJ$5, COUNTIF($M91:BI91,"u")=0), "u", "")</f>
        <v/>
      </c>
      <c r="BK91" s="80" t="str">
        <f>IF(AND($F91&lt;&gt;"", $F91&gt;=BK$5-4, $F91&lt;=BK$5, COUNTIF($M91:BJ91,"u")=0), "u", "")</f>
        <v/>
      </c>
      <c r="BL91" s="80" t="str">
        <f>IF(AND($F91&lt;&gt;"", $F91&gt;=BL$5-4, $F91&lt;=BL$5, COUNTIF($M91:BK91,"u")=0), "u", "")</f>
        <v/>
      </c>
      <c r="BM91" s="80" t="str">
        <f>IF(AND($F91&lt;&gt;"", $F91&gt;=BM$5-4, $F91&lt;=BM$5, COUNTIF($M91:BL91,"u")=0), "u", "")</f>
        <v/>
      </c>
      <c r="BN91" s="80" t="str">
        <f>IF(AND($F91&lt;&gt;"", $F91&gt;=BN$5-4, $F91&lt;=BN$5, COUNTIF($M91:BM91,"u")=0), "u", "")</f>
        <v/>
      </c>
      <c r="BO91" s="80" t="str">
        <f>IF(AND($F91&lt;&gt;"", $F91&gt;=BO$5-4, $F91&lt;=BO$5, COUNTIF($M91:BN91,"u")=0), "u", "")</f>
        <v/>
      </c>
      <c r="BP91" s="80" t="str">
        <f>IF(AND($F91&lt;&gt;"", $F91&gt;=BP$5-4, $F91&lt;=BP$5, COUNTIF($M91:BO91,"u")=0), "u", "")</f>
        <v/>
      </c>
      <c r="BQ91" s="80" t="str">
        <f>IF(AND($F91&lt;&gt;"", $F91&gt;=BQ$5-4, $F91&lt;=BQ$5, COUNTIF($M91:BP91,"u")=0), "u", "")</f>
        <v/>
      </c>
      <c r="BR91" s="80" t="str">
        <f>IF(AND($F91&lt;&gt;"", $F91&gt;=BR$5-4, $F91&lt;=BR$5, COUNTIF($M91:BQ91,"u")=0), "u", "")</f>
        <v/>
      </c>
      <c r="BS91" s="80" t="str">
        <f>IF(AND($F91&lt;&gt;"", $F91&gt;=BS$5-4, $F91&lt;=BS$5, COUNTIF($M91:BR91,"u")=0), "u", "")</f>
        <v/>
      </c>
      <c r="BT91" s="80" t="str">
        <f>IF(AND($F91&lt;&gt;"", $F91&gt;=BT$5-4, $F91&lt;=BT$5, COUNTIF($M91:BS91,"u")=0), "u", "")</f>
        <v/>
      </c>
      <c r="BU91" s="80" t="str">
        <f>IF(AND($F91&lt;&gt;"", $F91&gt;=BU$5-4, $F91&lt;=BU$5, COUNTIF($M91:BT91,"u")=0), "u", "")</f>
        <v/>
      </c>
      <c r="BV91" s="80" t="str">
        <f>IF(AND($F91&lt;&gt;"", $F91&gt;=BV$5-4, $F91&lt;=BV$5, COUNTIF($M91:BU91,"u")=0), "u", "")</f>
        <v/>
      </c>
      <c r="BW91" s="80" t="str">
        <f>IF(AND($F91&lt;&gt;"", $F91&gt;=BW$5-4, $F91&lt;=BW$5, COUNTIF($M91:BV91,"u")=0), "u", "")</f>
        <v/>
      </c>
      <c r="BX91" s="80" t="str">
        <f>IF(AND($F91&lt;&gt;"", $F91&gt;=BX$5-4, $F91&lt;=BX$5, COUNTIF($M91:BW91,"u")=0), "u", "")</f>
        <v/>
      </c>
      <c r="BY91" s="80" t="str">
        <f>IF(AND($F91&lt;&gt;"", $F91&gt;=BY$5-4, $F91&lt;=BY$5, COUNTIF($M91:BX91,"u")=0), "u", "")</f>
        <v/>
      </c>
      <c r="BZ91" s="80" t="str">
        <f>IF(AND($F91&lt;&gt;"", $F91&gt;=BZ$5-4, $F91&lt;=BZ$5, COUNTIF($M91:BY91,"u")=0), "u", "")</f>
        <v/>
      </c>
      <c r="CA91" s="80" t="str">
        <f>IF(AND($F91&lt;&gt;"", $F91&gt;=CA$5-4, $F91&lt;=CA$5, COUNTIF($M91:BZ91,"u")=0), "u", "")</f>
        <v/>
      </c>
      <c r="CB91" s="80" t="str">
        <f>IF(AND($F91&lt;&gt;"", $F91&gt;=CB$5-4, $F91&lt;=CB$5, COUNTIF($M91:CA91,"u")=0), "u", "")</f>
        <v/>
      </c>
      <c r="CC91" s="80" t="str">
        <f>IF(AND($F91&lt;&gt;"", $F91&gt;=CC$5-4, $F91&lt;=CC$5, COUNTIF($M91:CB91,"u")=0), "u", "")</f>
        <v/>
      </c>
      <c r="CD91" s="80" t="str">
        <f>IF(AND($F91&lt;&gt;"", $F91&gt;=CD$5-4, $F91&lt;=CD$5, COUNTIF($M91:CC91,"u")=0), "u", "")</f>
        <v/>
      </c>
      <c r="CE91" s="80" t="str">
        <f>IF(AND($F91&lt;&gt;"", $F91&gt;=CE$5-4, $F91&lt;=CE$5, COUNTIF($M91:CD91,"u")=0), "u", "")</f>
        <v/>
      </c>
      <c r="CF91" s="80" t="str">
        <f>IF(AND($F91&lt;&gt;"", $F91&gt;=CF$5-4, $F91&lt;=CF$5, COUNTIF($M91:CE91,"u")=0), "u", "")</f>
        <v/>
      </c>
      <c r="CG91" s="80" t="str">
        <f>IF(AND($F91&lt;&gt;"", $F91&gt;=CG$5-4, $F91&lt;=CG$5, COUNTIF($M91:CF91,"u")=0), "u", "")</f>
        <v/>
      </c>
      <c r="CH91" s="80" t="str">
        <f>IF(AND($F91&lt;&gt;"", $F91&gt;=CH$5-4, $F91&lt;=CH$5, COUNTIF($M91:CG91,"u")=0), "u", "")</f>
        <v/>
      </c>
      <c r="CI91" s="80" t="str">
        <f>IF(AND($F91&lt;&gt;"", $F91&gt;=CI$5-4, $F91&lt;=CI$5, COUNTIF($M91:CH91,"u")=0), "u", "")</f>
        <v/>
      </c>
      <c r="CJ91" s="80" t="str">
        <f>IF(AND($F91&lt;&gt;"", $F91&gt;=CJ$5-4, $F91&lt;=CJ$5, COUNTIF($M91:CI91,"u")=0), "u", "")</f>
        <v/>
      </c>
      <c r="CK91" s="80" t="str">
        <f>IF(AND($F91&lt;&gt;"", $F91&gt;=CK$5-4, $F91&lt;=CK$5, COUNTIF($M91:CJ91,"u")=0), "u", "")</f>
        <v/>
      </c>
      <c r="CL91" s="80" t="str">
        <f>IF(AND($F91&lt;&gt;"", $F91&gt;=CL$5-4, $F91&lt;=CL$5, COUNTIF($M91:CK91,"u")=0), "u", "")</f>
        <v/>
      </c>
      <c r="CM91" s="80" t="str">
        <f>IF(AND($F91&lt;&gt;"", $F91&gt;=CM$5-4, $F91&lt;=CM$5, COUNTIF($M91:CL91,"u")=0), "u", "")</f>
        <v/>
      </c>
      <c r="CN91" s="80" t="str">
        <f>IF(AND($F91&lt;&gt;"", $F91&gt;=CN$5-4, $F91&lt;=CN$5, COUNTIF($M91:CM91,"u")=0), "u", "")</f>
        <v/>
      </c>
      <c r="CO91" s="80" t="str">
        <f>IF(AND($F91&lt;&gt;"", $F91&gt;=CO$5-4, $F91&lt;=CO$5, COUNTIF($M91:CN91,"u")=0), "u", "")</f>
        <v/>
      </c>
      <c r="CP91" s="80" t="str">
        <f>IF(AND($F91&lt;&gt;"", $F91&gt;=CP$5-4, $F91&lt;=CP$5, COUNTIF($M91:CO91,"u")=0), "u", "")</f>
        <v/>
      </c>
      <c r="CQ91" s="80" t="str">
        <f>IF(AND($F91&lt;&gt;"", $F91&gt;=CQ$5-4, $F91&lt;=CQ$5, COUNTIF($M91:CP91,"u")=0), "u", "")</f>
        <v/>
      </c>
      <c r="CR91" s="80" t="str">
        <f>IF(AND($F91&lt;&gt;"", $F91&gt;=CR$5-4, $F91&lt;=CR$5, COUNTIF($M91:CQ91,"u")=0), "u", "")</f>
        <v/>
      </c>
      <c r="CS91" s="80" t="str">
        <f>IF(AND($F91&lt;&gt;"", $F91&gt;=CS$5-4, $F91&lt;=CS$5, COUNTIF($M91:CR91,"u")=0), "u", "")</f>
        <v/>
      </c>
      <c r="CT91" s="80" t="str">
        <f>IF(AND($F91&lt;&gt;"", $F91&gt;=CT$5-4, $F91&lt;=CT$5, COUNTIF($M91:CS91,"u")=0), "u", "")</f>
        <v/>
      </c>
      <c r="CU91" s="80" t="str">
        <f>IF(AND($F91&lt;&gt;"", $F91&gt;=CU$5-4, $F91&lt;=CU$5, COUNTIF($M91:CT91,"u")=0), "u", "")</f>
        <v/>
      </c>
      <c r="CV91" s="80" t="str">
        <f>IF(AND($F91&lt;&gt;"", $F91&gt;=CV$5-4, $F91&lt;=CV$5, COUNTIF($M91:CU91,"u")=0), "u", "")</f>
        <v/>
      </c>
      <c r="CW91" s="80" t="str">
        <f>IF(AND($F91&lt;&gt;"", $F91&gt;=CW$5-4, $F91&lt;=CW$5, COUNTIF($M91:CV91,"u")=0), "u", "")</f>
        <v/>
      </c>
      <c r="CX91" s="80" t="str">
        <f>IF(AND($F91&lt;&gt;"", $F91&gt;=CX$5-4, $F91&lt;=CX$5, COUNTIF($M91:CW91,"u")=0), "u", "")</f>
        <v/>
      </c>
      <c r="CY91" s="80" t="str">
        <f>IF(AND($F91&lt;&gt;"", $F91&gt;=CY$5-4, $F91&lt;=CY$5, COUNTIF($M91:CX91,"u")=0), "u", "")</f>
        <v/>
      </c>
      <c r="CZ91" s="80" t="str">
        <f>IF(AND($F91&lt;&gt;"", $F91&gt;=CZ$5-4, $F91&lt;=CZ$5, COUNTIF($M91:CY91,"u")=0), "u", "")</f>
        <v/>
      </c>
      <c r="DA91" s="80" t="str">
        <f>IF(AND($F91&lt;&gt;"", $F91&gt;=DA$5-4, $F91&lt;=DA$5, COUNTIF($M91:CZ91,"u")=0), "u", "")</f>
        <v/>
      </c>
      <c r="DB91" s="80" t="str">
        <f>IF(AND($F91&lt;&gt;"", $F91&gt;=DB$5-4, $F91&lt;=DB$5, COUNTIF($M91:DA91,"u")=0), "u", "")</f>
        <v/>
      </c>
      <c r="DC91" s="80" t="str">
        <f>IF(AND($F91&lt;&gt;"", $F91&gt;=DC$5-4, $F91&lt;=DC$5, COUNTIF($M91:DB91,"u")=0), "u", "")</f>
        <v/>
      </c>
      <c r="DD91" s="80" t="str">
        <f>IF(AND($F91&lt;&gt;"", $F91&gt;=DD$5-4, $F91&lt;=DD$5, COUNTIF($M91:DC91,"u")=0), "u", "")</f>
        <v/>
      </c>
      <c r="DE91" s="80" t="str">
        <f>IF(AND($F91&lt;&gt;"", $F91&gt;=DE$5-4, $F91&lt;=DE$5, COUNTIF($M91:DD91,"u")=0), "u", "")</f>
        <v/>
      </c>
      <c r="DF91" s="80" t="str">
        <f>IF(AND($F91&lt;&gt;"", $F91&gt;=DF$5-4, $F91&lt;=DF$5, COUNTIF($M91:DE91,"u")=0), "u", "")</f>
        <v/>
      </c>
      <c r="DG91" s="80" t="str">
        <f>IF(AND($F91&lt;&gt;"", $F91&gt;=DG$5-4, $F91&lt;=DG$5, COUNTIF($M91:DF91,"u")=0), "u", "")</f>
        <v/>
      </c>
      <c r="DH91" s="80" t="str">
        <f>IF(AND($F91&lt;&gt;"", $F91&gt;=DH$5-4, $F91&lt;=DH$5, COUNTIF($M91:DG91,"u")=0), "u", "")</f>
        <v/>
      </c>
      <c r="DI91" s="80" t="str">
        <f>IF(AND($F91&lt;&gt;"", $F91&gt;=DI$5-4, $F91&lt;=DI$5, COUNTIF($M91:DH91,"u")=0), "u", "")</f>
        <v/>
      </c>
      <c r="DJ91" s="80" t="str">
        <f>IF(AND($F91&lt;&gt;"", $F91&gt;=DJ$5-4, $F91&lt;=DJ$5, COUNTIF($M91:DI91,"u")=0), "u", "")</f>
        <v/>
      </c>
      <c r="DK91" s="80" t="str">
        <f>IF(AND($F91&lt;&gt;"", $F91&gt;=DK$5-4, $F91&lt;=DK$5, COUNTIF($M91:DJ91,"u")=0), "u", "")</f>
        <v/>
      </c>
      <c r="DL91" s="80" t="str">
        <f>IF(AND($F91&lt;&gt;"", $F91&gt;=DL$5-4, $F91&lt;=DL$5, COUNTIF($M91:DK91,"u")=0), "u", "")</f>
        <v/>
      </c>
    </row>
    <row r="92" spans="1:116" ht="25.05" customHeight="1" x14ac:dyDescent="0.3">
      <c r="A92" s="39"/>
      <c r="B92" s="75">
        <v>87</v>
      </c>
      <c r="C92" s="97"/>
      <c r="D92" s="92"/>
      <c r="E92" s="53"/>
      <c r="F92" s="53"/>
      <c r="G92" s="83" t="str">
        <f t="shared" si="50"/>
        <v/>
      </c>
      <c r="H92" s="83" t="str">
        <f t="shared" si="50"/>
        <v/>
      </c>
      <c r="I92" s="77" t="str">
        <f t="shared" si="48"/>
        <v/>
      </c>
      <c r="J92" s="78"/>
      <c r="K92" s="86"/>
      <c r="L92" s="56"/>
      <c r="M92" s="80" t="str">
        <f t="shared" si="49"/>
        <v/>
      </c>
      <c r="N92" s="80" t="str">
        <f>IF(AND($F92&lt;&gt;"", $F92&gt;=N$5-4, $F92&lt;=N$5, COUNTIF($M92:M92,"u")=0), "u", "")</f>
        <v/>
      </c>
      <c r="O92" s="80" t="str">
        <f>IF(AND($F92&lt;&gt;"", $F92&gt;=O$5-4, $F92&lt;=O$5, COUNTIF($M92:N92,"u")=0), "u", "")</f>
        <v/>
      </c>
      <c r="P92" s="80" t="str">
        <f>IF(AND($F92&lt;&gt;"", $F92&gt;=P$5-4, $F92&lt;=P$5, COUNTIF($M92:O92,"u")=0), "u", "")</f>
        <v/>
      </c>
      <c r="Q92" s="80" t="str">
        <f>IF(AND($F92&lt;&gt;"", $F92&gt;=Q$5-4, $F92&lt;=Q$5, COUNTIF($M92:P92,"u")=0), "u", "")</f>
        <v/>
      </c>
      <c r="R92" s="80" t="str">
        <f>IF(AND($F92&lt;&gt;"", $F92&gt;=R$5-4, $F92&lt;=R$5, COUNTIF($M92:Q92,"u")=0), "u", "")</f>
        <v/>
      </c>
      <c r="S92" s="80" t="str">
        <f>IF(AND($F92&lt;&gt;"", $F92&gt;=S$5-4, $F92&lt;=S$5, COUNTIF($M92:R92,"u")=0), "u", "")</f>
        <v/>
      </c>
      <c r="T92" s="80" t="str">
        <f>IF(AND($F92&lt;&gt;"", $F92&gt;=T$5-4, $F92&lt;=T$5, COUNTIF($M92:S92,"u")=0), "u", "")</f>
        <v/>
      </c>
      <c r="U92" s="80" t="str">
        <f>IF(AND($F92&lt;&gt;"", $F92&gt;=U$5-4, $F92&lt;=U$5, COUNTIF($M92:T92,"u")=0), "u", "")</f>
        <v/>
      </c>
      <c r="V92" s="80" t="str">
        <f>IF(AND($F92&lt;&gt;"", $F92&gt;=V$5-4, $F92&lt;=V$5, COUNTIF($M92:U92,"u")=0), "u", "")</f>
        <v/>
      </c>
      <c r="W92" s="80" t="str">
        <f>IF(AND($F92&lt;&gt;"", $F92&gt;=W$5-4, $F92&lt;=W$5, COUNTIF($M92:V92,"u")=0), "u", "")</f>
        <v/>
      </c>
      <c r="X92" s="80" t="str">
        <f>IF(AND($F92&lt;&gt;"", $F92&gt;=X$5-4, $F92&lt;=X$5, COUNTIF($M92:W92,"u")=0), "u", "")</f>
        <v/>
      </c>
      <c r="Y92" s="80" t="str">
        <f>IF(AND($F92&lt;&gt;"", $F92&gt;=Y$5-4, $F92&lt;=Y$5, COUNTIF($M92:X92,"u")=0), "u", "")</f>
        <v/>
      </c>
      <c r="Z92" s="80" t="str">
        <f>IF(AND($F92&lt;&gt;"", $F92&gt;=Z$5-4, $F92&lt;=Z$5, COUNTIF($M92:Y92,"u")=0), "u", "")</f>
        <v/>
      </c>
      <c r="AA92" s="80" t="str">
        <f>IF(AND($F92&lt;&gt;"", $F92&gt;=AA$5-4, $F92&lt;=AA$5, COUNTIF($M92:Z92,"u")=0), "u", "")</f>
        <v/>
      </c>
      <c r="AB92" s="80" t="str">
        <f>IF(AND($F92&lt;&gt;"", $F92&gt;=AB$5-4, $F92&lt;=AB$5, COUNTIF($M92:AA92,"u")=0), "u", "")</f>
        <v/>
      </c>
      <c r="AC92" s="80" t="str">
        <f>IF(AND($F92&lt;&gt;"", $F92&gt;=AC$5-4, $F92&lt;=AC$5, COUNTIF($M92:AB92,"u")=0), "u", "")</f>
        <v/>
      </c>
      <c r="AD92" s="80" t="str">
        <f>IF(AND($F92&lt;&gt;"", $F92&gt;=AD$5-4, $F92&lt;=AD$5, COUNTIF($M92:AC92,"u")=0), "u", "")</f>
        <v/>
      </c>
      <c r="AE92" s="80" t="str">
        <f>IF(AND($F92&lt;&gt;"", $F92&gt;=AE$5-4, $F92&lt;=AE$5, COUNTIF($M92:AD92,"u")=0), "u", "")</f>
        <v/>
      </c>
      <c r="AF92" s="80" t="str">
        <f>IF(AND($F92&lt;&gt;"", $F92&gt;=AF$5-4, $F92&lt;=AF$5, COUNTIF($M92:AE92,"u")=0), "u", "")</f>
        <v/>
      </c>
      <c r="AG92" s="80" t="str">
        <f>IF(AND($F92&lt;&gt;"", $F92&gt;=AG$5-4, $F92&lt;=AG$5, COUNTIF($M92:AF92,"u")=0), "u", "")</f>
        <v/>
      </c>
      <c r="AH92" s="80" t="str">
        <f>IF(AND($F92&lt;&gt;"", $F92&gt;=AH$5-4, $F92&lt;=AH$5, COUNTIF($M92:AG92,"u")=0), "u", "")</f>
        <v/>
      </c>
      <c r="AI92" s="80" t="str">
        <f>IF(AND($F92&lt;&gt;"", $F92&gt;=AI$5-4, $F92&lt;=AI$5, COUNTIF($M92:AH92,"u")=0), "u", "")</f>
        <v/>
      </c>
      <c r="AJ92" s="80" t="str">
        <f>IF(AND($F92&lt;&gt;"", $F92&gt;=AJ$5-4, $F92&lt;=AJ$5, COUNTIF($M92:AI92,"u")=0), "u", "")</f>
        <v/>
      </c>
      <c r="AK92" s="80" t="str">
        <f>IF(AND($F92&lt;&gt;"", $F92&gt;=AK$5-4, $F92&lt;=AK$5, COUNTIF($M92:AJ92,"u")=0), "u", "")</f>
        <v/>
      </c>
      <c r="AL92" s="80" t="str">
        <f>IF(AND($F92&lt;&gt;"", $F92&gt;=AL$5-4, $F92&lt;=AL$5, COUNTIF($M92:AK92,"u")=0), "u", "")</f>
        <v/>
      </c>
      <c r="AM92" s="80" t="str">
        <f>IF(AND($F92&lt;&gt;"", $F92&gt;=AM$5-4, $F92&lt;=AM$5, COUNTIF($M92:AL92,"u")=0), "u", "")</f>
        <v/>
      </c>
      <c r="AN92" s="80" t="str">
        <f>IF(AND($F92&lt;&gt;"", $F92&gt;=AN$5-4, $F92&lt;=AN$5, COUNTIF($M92:AM92,"u")=0), "u", "")</f>
        <v/>
      </c>
      <c r="AO92" s="80" t="str">
        <f>IF(AND($F92&lt;&gt;"", $F92&gt;=AO$5-4, $F92&lt;=AO$5, COUNTIF($M92:AN92,"u")=0), "u", "")</f>
        <v/>
      </c>
      <c r="AP92" s="80" t="str">
        <f>IF(AND($F92&lt;&gt;"", $F92&gt;=AP$5-4, $F92&lt;=AP$5, COUNTIF($M92:AO92,"u")=0), "u", "")</f>
        <v/>
      </c>
      <c r="AQ92" s="80" t="str">
        <f>IF(AND($F92&lt;&gt;"", $F92&gt;=AQ$5-4, $F92&lt;=AQ$5, COUNTIF($M92:AP92,"u")=0), "u", "")</f>
        <v/>
      </c>
      <c r="AR92" s="80" t="str">
        <f>IF(AND($F92&lt;&gt;"", $F92&gt;=AR$5-4, $F92&lt;=AR$5, COUNTIF($M92:AQ92,"u")=0), "u", "")</f>
        <v/>
      </c>
      <c r="AS92" s="80" t="str">
        <f>IF(AND($F92&lt;&gt;"", $F92&gt;=AS$5-4, $F92&lt;=AS$5, COUNTIF($M92:AR92,"u")=0), "u", "")</f>
        <v/>
      </c>
      <c r="AT92" s="80" t="str">
        <f>IF(AND($F92&lt;&gt;"", $F92&gt;=AT$5-4, $F92&lt;=AT$5, COUNTIF($M92:AS92,"u")=0), "u", "")</f>
        <v/>
      </c>
      <c r="AU92" s="80" t="str">
        <f>IF(AND($F92&lt;&gt;"", $F92&gt;=AU$5-4, $F92&lt;=AU$5, COUNTIF($M92:AT92,"u")=0), "u", "")</f>
        <v/>
      </c>
      <c r="AV92" s="80" t="str">
        <f>IF(AND($F92&lt;&gt;"", $F92&gt;=AV$5-4, $F92&lt;=AV$5, COUNTIF($M92:AU92,"u")=0), "u", "")</f>
        <v/>
      </c>
      <c r="AW92" s="80" t="str">
        <f>IF(AND($F92&lt;&gt;"", $F92&gt;=AW$5-4, $F92&lt;=AW$5, COUNTIF($M92:AV92,"u")=0), "u", "")</f>
        <v/>
      </c>
      <c r="AX92" s="80" t="str">
        <f>IF(AND($F92&lt;&gt;"", $F92&gt;=AX$5-4, $F92&lt;=AX$5, COUNTIF($M92:AW92,"u")=0), "u", "")</f>
        <v/>
      </c>
      <c r="AY92" s="80" t="str">
        <f>IF(AND($F92&lt;&gt;"", $F92&gt;=AY$5-4, $F92&lt;=AY$5, COUNTIF($M92:AX92,"u")=0), "u", "")</f>
        <v/>
      </c>
      <c r="AZ92" s="80" t="str">
        <f>IF(AND($F92&lt;&gt;"", $F92&gt;=AZ$5-4, $F92&lt;=AZ$5, COUNTIF($M92:AY92,"u")=0), "u", "")</f>
        <v/>
      </c>
      <c r="BA92" s="80" t="str">
        <f>IF(AND($F92&lt;&gt;"", $F92&gt;=BA$5-4, $F92&lt;=BA$5, COUNTIF($M92:AZ92,"u")=0), "u", "")</f>
        <v/>
      </c>
      <c r="BB92" s="80" t="str">
        <f>IF(AND($F92&lt;&gt;"", $F92&gt;=BB$5-4, $F92&lt;=BB$5, COUNTIF($M92:BA92,"u")=0), "u", "")</f>
        <v/>
      </c>
      <c r="BC92" s="80" t="str">
        <f>IF(AND($F92&lt;&gt;"", $F92&gt;=BC$5-4, $F92&lt;=BC$5, COUNTIF($M92:BB92,"u")=0), "u", "")</f>
        <v/>
      </c>
      <c r="BD92" s="80" t="str">
        <f>IF(AND($F92&lt;&gt;"", $F92&gt;=BD$5-4, $F92&lt;=BD$5, COUNTIF($M92:BC92,"u")=0), "u", "")</f>
        <v/>
      </c>
      <c r="BE92" s="80" t="str">
        <f>IF(AND($F92&lt;&gt;"", $F92&gt;=BE$5-4, $F92&lt;=BE$5, COUNTIF($M92:BD92,"u")=0), "u", "")</f>
        <v/>
      </c>
      <c r="BF92" s="80" t="str">
        <f>IF(AND($F92&lt;&gt;"", $F92&gt;=BF$5-4, $F92&lt;=BF$5, COUNTIF($M92:BE92,"u")=0), "u", "")</f>
        <v/>
      </c>
      <c r="BG92" s="80" t="str">
        <f>IF(AND($F92&lt;&gt;"", $F92&gt;=BG$5-4, $F92&lt;=BG$5, COUNTIF($M92:BF92,"u")=0), "u", "")</f>
        <v/>
      </c>
      <c r="BH92" s="80" t="str">
        <f>IF(AND($F92&lt;&gt;"", $F92&gt;=BH$5-4, $F92&lt;=BH$5, COUNTIF($M92:BG92,"u")=0), "u", "")</f>
        <v/>
      </c>
      <c r="BI92" s="80" t="str">
        <f>IF(AND($F92&lt;&gt;"", $F92&gt;=BI$5-4, $F92&lt;=BI$5, COUNTIF($M92:BH92,"u")=0), "u", "")</f>
        <v/>
      </c>
      <c r="BJ92" s="80" t="str">
        <f>IF(AND($F92&lt;&gt;"", $F92&gt;=BJ$5-4, $F92&lt;=BJ$5, COUNTIF($M92:BI92,"u")=0), "u", "")</f>
        <v/>
      </c>
      <c r="BK92" s="80" t="str">
        <f>IF(AND($F92&lt;&gt;"", $F92&gt;=BK$5-4, $F92&lt;=BK$5, COUNTIF($M92:BJ92,"u")=0), "u", "")</f>
        <v/>
      </c>
      <c r="BL92" s="80" t="str">
        <f>IF(AND($F92&lt;&gt;"", $F92&gt;=BL$5-4, $F92&lt;=BL$5, COUNTIF($M92:BK92,"u")=0), "u", "")</f>
        <v/>
      </c>
      <c r="BM92" s="80" t="str">
        <f>IF(AND($F92&lt;&gt;"", $F92&gt;=BM$5-4, $F92&lt;=BM$5, COUNTIF($M92:BL92,"u")=0), "u", "")</f>
        <v/>
      </c>
      <c r="BN92" s="80" t="str">
        <f>IF(AND($F92&lt;&gt;"", $F92&gt;=BN$5-4, $F92&lt;=BN$5, COUNTIF($M92:BM92,"u")=0), "u", "")</f>
        <v/>
      </c>
      <c r="BO92" s="80" t="str">
        <f>IF(AND($F92&lt;&gt;"", $F92&gt;=BO$5-4, $F92&lt;=BO$5, COUNTIF($M92:BN92,"u")=0), "u", "")</f>
        <v/>
      </c>
      <c r="BP92" s="80" t="str">
        <f>IF(AND($F92&lt;&gt;"", $F92&gt;=BP$5-4, $F92&lt;=BP$5, COUNTIF($M92:BO92,"u")=0), "u", "")</f>
        <v/>
      </c>
      <c r="BQ92" s="80" t="str">
        <f>IF(AND($F92&lt;&gt;"", $F92&gt;=BQ$5-4, $F92&lt;=BQ$5, COUNTIF($M92:BP92,"u")=0), "u", "")</f>
        <v/>
      </c>
      <c r="BR92" s="80" t="str">
        <f>IF(AND($F92&lt;&gt;"", $F92&gt;=BR$5-4, $F92&lt;=BR$5, COUNTIF($M92:BQ92,"u")=0), "u", "")</f>
        <v/>
      </c>
      <c r="BS92" s="80" t="str">
        <f>IF(AND($F92&lt;&gt;"", $F92&gt;=BS$5-4, $F92&lt;=BS$5, COUNTIF($M92:BR92,"u")=0), "u", "")</f>
        <v/>
      </c>
      <c r="BT92" s="80" t="str">
        <f>IF(AND($F92&lt;&gt;"", $F92&gt;=BT$5-4, $F92&lt;=BT$5, COUNTIF($M92:BS92,"u")=0), "u", "")</f>
        <v/>
      </c>
      <c r="BU92" s="80" t="str">
        <f>IF(AND($F92&lt;&gt;"", $F92&gt;=BU$5-4, $F92&lt;=BU$5, COUNTIF($M92:BT92,"u")=0), "u", "")</f>
        <v/>
      </c>
      <c r="BV92" s="80" t="str">
        <f>IF(AND($F92&lt;&gt;"", $F92&gt;=BV$5-4, $F92&lt;=BV$5, COUNTIF($M92:BU92,"u")=0), "u", "")</f>
        <v/>
      </c>
      <c r="BW92" s="80" t="str">
        <f>IF(AND($F92&lt;&gt;"", $F92&gt;=BW$5-4, $F92&lt;=BW$5, COUNTIF($M92:BV92,"u")=0), "u", "")</f>
        <v/>
      </c>
      <c r="BX92" s="80" t="str">
        <f>IF(AND($F92&lt;&gt;"", $F92&gt;=BX$5-4, $F92&lt;=BX$5, COUNTIF($M92:BW92,"u")=0), "u", "")</f>
        <v/>
      </c>
      <c r="BY92" s="80" t="str">
        <f>IF(AND($F92&lt;&gt;"", $F92&gt;=BY$5-4, $F92&lt;=BY$5, COUNTIF($M92:BX92,"u")=0), "u", "")</f>
        <v/>
      </c>
      <c r="BZ92" s="80" t="str">
        <f>IF(AND($F92&lt;&gt;"", $F92&gt;=BZ$5-4, $F92&lt;=BZ$5, COUNTIF($M92:BY92,"u")=0), "u", "")</f>
        <v/>
      </c>
      <c r="CA92" s="80" t="str">
        <f>IF(AND($F92&lt;&gt;"", $F92&gt;=CA$5-4, $F92&lt;=CA$5, COUNTIF($M92:BZ92,"u")=0), "u", "")</f>
        <v/>
      </c>
      <c r="CB92" s="80" t="str">
        <f>IF(AND($F92&lt;&gt;"", $F92&gt;=CB$5-4, $F92&lt;=CB$5, COUNTIF($M92:CA92,"u")=0), "u", "")</f>
        <v/>
      </c>
      <c r="CC92" s="80" t="str">
        <f>IF(AND($F92&lt;&gt;"", $F92&gt;=CC$5-4, $F92&lt;=CC$5, COUNTIF($M92:CB92,"u")=0), "u", "")</f>
        <v/>
      </c>
      <c r="CD92" s="80" t="str">
        <f>IF(AND($F92&lt;&gt;"", $F92&gt;=CD$5-4, $F92&lt;=CD$5, COUNTIF($M92:CC92,"u")=0), "u", "")</f>
        <v/>
      </c>
      <c r="CE92" s="80" t="str">
        <f>IF(AND($F92&lt;&gt;"", $F92&gt;=CE$5-4, $F92&lt;=CE$5, COUNTIF($M92:CD92,"u")=0), "u", "")</f>
        <v/>
      </c>
      <c r="CF92" s="80" t="str">
        <f>IF(AND($F92&lt;&gt;"", $F92&gt;=CF$5-4, $F92&lt;=CF$5, COUNTIF($M92:CE92,"u")=0), "u", "")</f>
        <v/>
      </c>
      <c r="CG92" s="80" t="str">
        <f>IF(AND($F92&lt;&gt;"", $F92&gt;=CG$5-4, $F92&lt;=CG$5, COUNTIF($M92:CF92,"u")=0), "u", "")</f>
        <v/>
      </c>
      <c r="CH92" s="80" t="str">
        <f>IF(AND($F92&lt;&gt;"", $F92&gt;=CH$5-4, $F92&lt;=CH$5, COUNTIF($M92:CG92,"u")=0), "u", "")</f>
        <v/>
      </c>
      <c r="CI92" s="80" t="str">
        <f>IF(AND($F92&lt;&gt;"", $F92&gt;=CI$5-4, $F92&lt;=CI$5, COUNTIF($M92:CH92,"u")=0), "u", "")</f>
        <v/>
      </c>
      <c r="CJ92" s="80" t="str">
        <f>IF(AND($F92&lt;&gt;"", $F92&gt;=CJ$5-4, $F92&lt;=CJ$5, COUNTIF($M92:CI92,"u")=0), "u", "")</f>
        <v/>
      </c>
      <c r="CK92" s="80" t="str">
        <f>IF(AND($F92&lt;&gt;"", $F92&gt;=CK$5-4, $F92&lt;=CK$5, COUNTIF($M92:CJ92,"u")=0), "u", "")</f>
        <v/>
      </c>
      <c r="CL92" s="80" t="str">
        <f>IF(AND($F92&lt;&gt;"", $F92&gt;=CL$5-4, $F92&lt;=CL$5, COUNTIF($M92:CK92,"u")=0), "u", "")</f>
        <v/>
      </c>
      <c r="CM92" s="80" t="str">
        <f>IF(AND($F92&lt;&gt;"", $F92&gt;=CM$5-4, $F92&lt;=CM$5, COUNTIF($M92:CL92,"u")=0), "u", "")</f>
        <v/>
      </c>
      <c r="CN92" s="80" t="str">
        <f>IF(AND($F92&lt;&gt;"", $F92&gt;=CN$5-4, $F92&lt;=CN$5, COUNTIF($M92:CM92,"u")=0), "u", "")</f>
        <v/>
      </c>
      <c r="CO92" s="80" t="str">
        <f>IF(AND($F92&lt;&gt;"", $F92&gt;=CO$5-4, $F92&lt;=CO$5, COUNTIF($M92:CN92,"u")=0), "u", "")</f>
        <v/>
      </c>
      <c r="CP92" s="80" t="str">
        <f>IF(AND($F92&lt;&gt;"", $F92&gt;=CP$5-4, $F92&lt;=CP$5, COUNTIF($M92:CO92,"u")=0), "u", "")</f>
        <v/>
      </c>
      <c r="CQ92" s="80" t="str">
        <f>IF(AND($F92&lt;&gt;"", $F92&gt;=CQ$5-4, $F92&lt;=CQ$5, COUNTIF($M92:CP92,"u")=0), "u", "")</f>
        <v/>
      </c>
      <c r="CR92" s="80" t="str">
        <f>IF(AND($F92&lt;&gt;"", $F92&gt;=CR$5-4, $F92&lt;=CR$5, COUNTIF($M92:CQ92,"u")=0), "u", "")</f>
        <v/>
      </c>
      <c r="CS92" s="80" t="str">
        <f>IF(AND($F92&lt;&gt;"", $F92&gt;=CS$5-4, $F92&lt;=CS$5, COUNTIF($M92:CR92,"u")=0), "u", "")</f>
        <v/>
      </c>
      <c r="CT92" s="80" t="str">
        <f>IF(AND($F92&lt;&gt;"", $F92&gt;=CT$5-4, $F92&lt;=CT$5, COUNTIF($M92:CS92,"u")=0), "u", "")</f>
        <v/>
      </c>
      <c r="CU92" s="80" t="str">
        <f>IF(AND($F92&lt;&gt;"", $F92&gt;=CU$5-4, $F92&lt;=CU$5, COUNTIF($M92:CT92,"u")=0), "u", "")</f>
        <v/>
      </c>
      <c r="CV92" s="80" t="str">
        <f>IF(AND($F92&lt;&gt;"", $F92&gt;=CV$5-4, $F92&lt;=CV$5, COUNTIF($M92:CU92,"u")=0), "u", "")</f>
        <v/>
      </c>
      <c r="CW92" s="80" t="str">
        <f>IF(AND($F92&lt;&gt;"", $F92&gt;=CW$5-4, $F92&lt;=CW$5, COUNTIF($M92:CV92,"u")=0), "u", "")</f>
        <v/>
      </c>
      <c r="CX92" s="80" t="str">
        <f>IF(AND($F92&lt;&gt;"", $F92&gt;=CX$5-4, $F92&lt;=CX$5, COUNTIF($M92:CW92,"u")=0), "u", "")</f>
        <v/>
      </c>
      <c r="CY92" s="80" t="str">
        <f>IF(AND($F92&lt;&gt;"", $F92&gt;=CY$5-4, $F92&lt;=CY$5, COUNTIF($M92:CX92,"u")=0), "u", "")</f>
        <v/>
      </c>
      <c r="CZ92" s="80" t="str">
        <f>IF(AND($F92&lt;&gt;"", $F92&gt;=CZ$5-4, $F92&lt;=CZ$5, COUNTIF($M92:CY92,"u")=0), "u", "")</f>
        <v/>
      </c>
      <c r="DA92" s="80" t="str">
        <f>IF(AND($F92&lt;&gt;"", $F92&gt;=DA$5-4, $F92&lt;=DA$5, COUNTIF($M92:CZ92,"u")=0), "u", "")</f>
        <v/>
      </c>
      <c r="DB92" s="80" t="str">
        <f>IF(AND($F92&lt;&gt;"", $F92&gt;=DB$5-4, $F92&lt;=DB$5, COUNTIF($M92:DA92,"u")=0), "u", "")</f>
        <v/>
      </c>
      <c r="DC92" s="80" t="str">
        <f>IF(AND($F92&lt;&gt;"", $F92&gt;=DC$5-4, $F92&lt;=DC$5, COUNTIF($M92:DB92,"u")=0), "u", "")</f>
        <v/>
      </c>
      <c r="DD92" s="80" t="str">
        <f>IF(AND($F92&lt;&gt;"", $F92&gt;=DD$5-4, $F92&lt;=DD$5, COUNTIF($M92:DC92,"u")=0), "u", "")</f>
        <v/>
      </c>
      <c r="DE92" s="80" t="str">
        <f>IF(AND($F92&lt;&gt;"", $F92&gt;=DE$5-4, $F92&lt;=DE$5, COUNTIF($M92:DD92,"u")=0), "u", "")</f>
        <v/>
      </c>
      <c r="DF92" s="80" t="str">
        <f>IF(AND($F92&lt;&gt;"", $F92&gt;=DF$5-4, $F92&lt;=DF$5, COUNTIF($M92:DE92,"u")=0), "u", "")</f>
        <v/>
      </c>
      <c r="DG92" s="80" t="str">
        <f>IF(AND($F92&lt;&gt;"", $F92&gt;=DG$5-4, $F92&lt;=DG$5, COUNTIF($M92:DF92,"u")=0), "u", "")</f>
        <v/>
      </c>
      <c r="DH92" s="80" t="str">
        <f>IF(AND($F92&lt;&gt;"", $F92&gt;=DH$5-4, $F92&lt;=DH$5, COUNTIF($M92:DG92,"u")=0), "u", "")</f>
        <v/>
      </c>
      <c r="DI92" s="80" t="str">
        <f>IF(AND($F92&lt;&gt;"", $F92&gt;=DI$5-4, $F92&lt;=DI$5, COUNTIF($M92:DH92,"u")=0), "u", "")</f>
        <v/>
      </c>
      <c r="DJ92" s="80" t="str">
        <f>IF(AND($F92&lt;&gt;"", $F92&gt;=DJ$5-4, $F92&lt;=DJ$5, COUNTIF($M92:DI92,"u")=0), "u", "")</f>
        <v/>
      </c>
      <c r="DK92" s="80" t="str">
        <f>IF(AND($F92&lt;&gt;"", $F92&gt;=DK$5-4, $F92&lt;=DK$5, COUNTIF($M92:DJ92,"u")=0), "u", "")</f>
        <v/>
      </c>
      <c r="DL92" s="80" t="str">
        <f>IF(AND($F92&lt;&gt;"", $F92&gt;=DL$5-4, $F92&lt;=DL$5, COUNTIF($M92:DK92,"u")=0), "u", "")</f>
        <v/>
      </c>
    </row>
    <row r="93" spans="1:116" ht="25.05" customHeight="1" x14ac:dyDescent="0.3">
      <c r="A93" s="39"/>
      <c r="B93" s="75">
        <v>88</v>
      </c>
      <c r="C93" s="97"/>
      <c r="D93" s="92"/>
      <c r="E93" s="53"/>
      <c r="F93" s="53"/>
      <c r="G93" s="83" t="str">
        <f t="shared" si="50"/>
        <v/>
      </c>
      <c r="H93" s="83" t="str">
        <f t="shared" si="50"/>
        <v/>
      </c>
      <c r="I93" s="77" t="str">
        <f t="shared" si="48"/>
        <v/>
      </c>
      <c r="J93" s="78"/>
      <c r="K93" s="86"/>
      <c r="L93" s="56"/>
      <c r="M93" s="80" t="str">
        <f t="shared" si="49"/>
        <v/>
      </c>
      <c r="N93" s="80" t="str">
        <f>IF(AND($F93&lt;&gt;"", $F93&gt;=N$5-4, $F93&lt;=N$5, COUNTIF($M93:M93,"u")=0), "u", "")</f>
        <v/>
      </c>
      <c r="O93" s="80" t="str">
        <f>IF(AND($F93&lt;&gt;"", $F93&gt;=O$5-4, $F93&lt;=O$5, COUNTIF($M93:N93,"u")=0), "u", "")</f>
        <v/>
      </c>
      <c r="P93" s="80" t="str">
        <f>IF(AND($F93&lt;&gt;"", $F93&gt;=P$5-4, $F93&lt;=P$5, COUNTIF($M93:O93,"u")=0), "u", "")</f>
        <v/>
      </c>
      <c r="Q93" s="80" t="str">
        <f>IF(AND($F93&lt;&gt;"", $F93&gt;=Q$5-4, $F93&lt;=Q$5, COUNTIF($M93:P93,"u")=0), "u", "")</f>
        <v/>
      </c>
      <c r="R93" s="80" t="str">
        <f>IF(AND($F93&lt;&gt;"", $F93&gt;=R$5-4, $F93&lt;=R$5, COUNTIF($M93:Q93,"u")=0), "u", "")</f>
        <v/>
      </c>
      <c r="S93" s="80" t="str">
        <f>IF(AND($F93&lt;&gt;"", $F93&gt;=S$5-4, $F93&lt;=S$5, COUNTIF($M93:R93,"u")=0), "u", "")</f>
        <v/>
      </c>
      <c r="T93" s="80" t="str">
        <f>IF(AND($F93&lt;&gt;"", $F93&gt;=T$5-4, $F93&lt;=T$5, COUNTIF($M93:S93,"u")=0), "u", "")</f>
        <v/>
      </c>
      <c r="U93" s="80" t="str">
        <f>IF(AND($F93&lt;&gt;"", $F93&gt;=U$5-4, $F93&lt;=U$5, COUNTIF($M93:T93,"u")=0), "u", "")</f>
        <v/>
      </c>
      <c r="V93" s="80" t="str">
        <f>IF(AND($F93&lt;&gt;"", $F93&gt;=V$5-4, $F93&lt;=V$5, COUNTIF($M93:U93,"u")=0), "u", "")</f>
        <v/>
      </c>
      <c r="W93" s="80" t="str">
        <f>IF(AND($F93&lt;&gt;"", $F93&gt;=W$5-4, $F93&lt;=W$5, COUNTIF($M93:V93,"u")=0), "u", "")</f>
        <v/>
      </c>
      <c r="X93" s="80" t="str">
        <f>IF(AND($F93&lt;&gt;"", $F93&gt;=X$5-4, $F93&lt;=X$5, COUNTIF($M93:W93,"u")=0), "u", "")</f>
        <v/>
      </c>
      <c r="Y93" s="80" t="str">
        <f>IF(AND($F93&lt;&gt;"", $F93&gt;=Y$5-4, $F93&lt;=Y$5, COUNTIF($M93:X93,"u")=0), "u", "")</f>
        <v/>
      </c>
      <c r="Z93" s="80" t="str">
        <f>IF(AND($F93&lt;&gt;"", $F93&gt;=Z$5-4, $F93&lt;=Z$5, COUNTIF($M93:Y93,"u")=0), "u", "")</f>
        <v/>
      </c>
      <c r="AA93" s="80" t="str">
        <f>IF(AND($F93&lt;&gt;"", $F93&gt;=AA$5-4, $F93&lt;=AA$5, COUNTIF($M93:Z93,"u")=0), "u", "")</f>
        <v/>
      </c>
      <c r="AB93" s="80" t="str">
        <f>IF(AND($F93&lt;&gt;"", $F93&gt;=AB$5-4, $F93&lt;=AB$5, COUNTIF($M93:AA93,"u")=0), "u", "")</f>
        <v/>
      </c>
      <c r="AC93" s="80" t="str">
        <f>IF(AND($F93&lt;&gt;"", $F93&gt;=AC$5-4, $F93&lt;=AC$5, COUNTIF($M93:AB93,"u")=0), "u", "")</f>
        <v/>
      </c>
      <c r="AD93" s="80" t="str">
        <f>IF(AND($F93&lt;&gt;"", $F93&gt;=AD$5-4, $F93&lt;=AD$5, COUNTIF($M93:AC93,"u")=0), "u", "")</f>
        <v/>
      </c>
      <c r="AE93" s="80" t="str">
        <f>IF(AND($F93&lt;&gt;"", $F93&gt;=AE$5-4, $F93&lt;=AE$5, COUNTIF($M93:AD93,"u")=0), "u", "")</f>
        <v/>
      </c>
      <c r="AF93" s="80" t="str">
        <f>IF(AND($F93&lt;&gt;"", $F93&gt;=AF$5-4, $F93&lt;=AF$5, COUNTIF($M93:AE93,"u")=0), "u", "")</f>
        <v/>
      </c>
      <c r="AG93" s="80" t="str">
        <f>IF(AND($F93&lt;&gt;"", $F93&gt;=AG$5-4, $F93&lt;=AG$5, COUNTIF($M93:AF93,"u")=0), "u", "")</f>
        <v/>
      </c>
      <c r="AH93" s="80" t="str">
        <f>IF(AND($F93&lt;&gt;"", $F93&gt;=AH$5-4, $F93&lt;=AH$5, COUNTIF($M93:AG93,"u")=0), "u", "")</f>
        <v/>
      </c>
      <c r="AI93" s="80" t="str">
        <f>IF(AND($F93&lt;&gt;"", $F93&gt;=AI$5-4, $F93&lt;=AI$5, COUNTIF($M93:AH93,"u")=0), "u", "")</f>
        <v/>
      </c>
      <c r="AJ93" s="80" t="str">
        <f>IF(AND($F93&lt;&gt;"", $F93&gt;=AJ$5-4, $F93&lt;=AJ$5, COUNTIF($M93:AI93,"u")=0), "u", "")</f>
        <v/>
      </c>
      <c r="AK93" s="80" t="str">
        <f>IF(AND($F93&lt;&gt;"", $F93&gt;=AK$5-4, $F93&lt;=AK$5, COUNTIF($M93:AJ93,"u")=0), "u", "")</f>
        <v/>
      </c>
      <c r="AL93" s="80" t="str">
        <f>IF(AND($F93&lt;&gt;"", $F93&gt;=AL$5-4, $F93&lt;=AL$5, COUNTIF($M93:AK93,"u")=0), "u", "")</f>
        <v/>
      </c>
      <c r="AM93" s="80" t="str">
        <f>IF(AND($F93&lt;&gt;"", $F93&gt;=AM$5-4, $F93&lt;=AM$5, COUNTIF($M93:AL93,"u")=0), "u", "")</f>
        <v/>
      </c>
      <c r="AN93" s="80" t="str">
        <f>IF(AND($F93&lt;&gt;"", $F93&gt;=AN$5-4, $F93&lt;=AN$5, COUNTIF($M93:AM93,"u")=0), "u", "")</f>
        <v/>
      </c>
      <c r="AO93" s="80" t="str">
        <f>IF(AND($F93&lt;&gt;"", $F93&gt;=AO$5-4, $F93&lt;=AO$5, COUNTIF($M93:AN93,"u")=0), "u", "")</f>
        <v/>
      </c>
      <c r="AP93" s="80" t="str">
        <f>IF(AND($F93&lt;&gt;"", $F93&gt;=AP$5-4, $F93&lt;=AP$5, COUNTIF($M93:AO93,"u")=0), "u", "")</f>
        <v/>
      </c>
      <c r="AQ93" s="80" t="str">
        <f>IF(AND($F93&lt;&gt;"", $F93&gt;=AQ$5-4, $F93&lt;=AQ$5, COUNTIF($M93:AP93,"u")=0), "u", "")</f>
        <v/>
      </c>
      <c r="AR93" s="80" t="str">
        <f>IF(AND($F93&lt;&gt;"", $F93&gt;=AR$5-4, $F93&lt;=AR$5, COUNTIF($M93:AQ93,"u")=0), "u", "")</f>
        <v/>
      </c>
      <c r="AS93" s="80" t="str">
        <f>IF(AND($F93&lt;&gt;"", $F93&gt;=AS$5-4, $F93&lt;=AS$5, COUNTIF($M93:AR93,"u")=0), "u", "")</f>
        <v/>
      </c>
      <c r="AT93" s="80" t="str">
        <f>IF(AND($F93&lt;&gt;"", $F93&gt;=AT$5-4, $F93&lt;=AT$5, COUNTIF($M93:AS93,"u")=0), "u", "")</f>
        <v/>
      </c>
      <c r="AU93" s="80" t="str">
        <f>IF(AND($F93&lt;&gt;"", $F93&gt;=AU$5-4, $F93&lt;=AU$5, COUNTIF($M93:AT93,"u")=0), "u", "")</f>
        <v/>
      </c>
      <c r="AV93" s="80" t="str">
        <f>IF(AND($F93&lt;&gt;"", $F93&gt;=AV$5-4, $F93&lt;=AV$5, COUNTIF($M93:AU93,"u")=0), "u", "")</f>
        <v/>
      </c>
      <c r="AW93" s="80" t="str">
        <f>IF(AND($F93&lt;&gt;"", $F93&gt;=AW$5-4, $F93&lt;=AW$5, COUNTIF($M93:AV93,"u")=0), "u", "")</f>
        <v/>
      </c>
      <c r="AX93" s="80" t="str">
        <f>IF(AND($F93&lt;&gt;"", $F93&gt;=AX$5-4, $F93&lt;=AX$5, COUNTIF($M93:AW93,"u")=0), "u", "")</f>
        <v/>
      </c>
      <c r="AY93" s="80" t="str">
        <f>IF(AND($F93&lt;&gt;"", $F93&gt;=AY$5-4, $F93&lt;=AY$5, COUNTIF($M93:AX93,"u")=0), "u", "")</f>
        <v/>
      </c>
      <c r="AZ93" s="80" t="str">
        <f>IF(AND($F93&lt;&gt;"", $F93&gt;=AZ$5-4, $F93&lt;=AZ$5, COUNTIF($M93:AY93,"u")=0), "u", "")</f>
        <v/>
      </c>
      <c r="BA93" s="80" t="str">
        <f>IF(AND($F93&lt;&gt;"", $F93&gt;=BA$5-4, $F93&lt;=BA$5, COUNTIF($M93:AZ93,"u")=0), "u", "")</f>
        <v/>
      </c>
      <c r="BB93" s="80" t="str">
        <f>IF(AND($F93&lt;&gt;"", $F93&gt;=BB$5-4, $F93&lt;=BB$5, COUNTIF($M93:BA93,"u")=0), "u", "")</f>
        <v/>
      </c>
      <c r="BC93" s="80" t="str">
        <f>IF(AND($F93&lt;&gt;"", $F93&gt;=BC$5-4, $F93&lt;=BC$5, COUNTIF($M93:BB93,"u")=0), "u", "")</f>
        <v/>
      </c>
      <c r="BD93" s="80" t="str">
        <f>IF(AND($F93&lt;&gt;"", $F93&gt;=BD$5-4, $F93&lt;=BD$5, COUNTIF($M93:BC93,"u")=0), "u", "")</f>
        <v/>
      </c>
      <c r="BE93" s="80" t="str">
        <f>IF(AND($F93&lt;&gt;"", $F93&gt;=BE$5-4, $F93&lt;=BE$5, COUNTIF($M93:BD93,"u")=0), "u", "")</f>
        <v/>
      </c>
      <c r="BF93" s="80" t="str">
        <f>IF(AND($F93&lt;&gt;"", $F93&gt;=BF$5-4, $F93&lt;=BF$5, COUNTIF($M93:BE93,"u")=0), "u", "")</f>
        <v/>
      </c>
      <c r="BG93" s="80" t="str">
        <f>IF(AND($F93&lt;&gt;"", $F93&gt;=BG$5-4, $F93&lt;=BG$5, COUNTIF($M93:BF93,"u")=0), "u", "")</f>
        <v/>
      </c>
      <c r="BH93" s="80" t="str">
        <f>IF(AND($F93&lt;&gt;"", $F93&gt;=BH$5-4, $F93&lt;=BH$5, COUNTIF($M93:BG93,"u")=0), "u", "")</f>
        <v/>
      </c>
      <c r="BI93" s="80" t="str">
        <f>IF(AND($F93&lt;&gt;"", $F93&gt;=BI$5-4, $F93&lt;=BI$5, COUNTIF($M93:BH93,"u")=0), "u", "")</f>
        <v/>
      </c>
      <c r="BJ93" s="80" t="str">
        <f>IF(AND($F93&lt;&gt;"", $F93&gt;=BJ$5-4, $F93&lt;=BJ$5, COUNTIF($M93:BI93,"u")=0), "u", "")</f>
        <v/>
      </c>
      <c r="BK93" s="80" t="str">
        <f>IF(AND($F93&lt;&gt;"", $F93&gt;=BK$5-4, $F93&lt;=BK$5, COUNTIF($M93:BJ93,"u")=0), "u", "")</f>
        <v/>
      </c>
      <c r="BL93" s="80" t="str">
        <f>IF(AND($F93&lt;&gt;"", $F93&gt;=BL$5-4, $F93&lt;=BL$5, COUNTIF($M93:BK93,"u")=0), "u", "")</f>
        <v/>
      </c>
      <c r="BM93" s="80" t="str">
        <f>IF(AND($F93&lt;&gt;"", $F93&gt;=BM$5-4, $F93&lt;=BM$5, COUNTIF($M93:BL93,"u")=0), "u", "")</f>
        <v/>
      </c>
      <c r="BN93" s="80" t="str">
        <f>IF(AND($F93&lt;&gt;"", $F93&gt;=BN$5-4, $F93&lt;=BN$5, COUNTIF($M93:BM93,"u")=0), "u", "")</f>
        <v/>
      </c>
      <c r="BO93" s="80" t="str">
        <f>IF(AND($F93&lt;&gt;"", $F93&gt;=BO$5-4, $F93&lt;=BO$5, COUNTIF($M93:BN93,"u")=0), "u", "")</f>
        <v/>
      </c>
      <c r="BP93" s="80" t="str">
        <f>IF(AND($F93&lt;&gt;"", $F93&gt;=BP$5-4, $F93&lt;=BP$5, COUNTIF($M93:BO93,"u")=0), "u", "")</f>
        <v/>
      </c>
      <c r="BQ93" s="80" t="str">
        <f>IF(AND($F93&lt;&gt;"", $F93&gt;=BQ$5-4, $F93&lt;=BQ$5, COUNTIF($M93:BP93,"u")=0), "u", "")</f>
        <v/>
      </c>
      <c r="BR93" s="80" t="str">
        <f>IF(AND($F93&lt;&gt;"", $F93&gt;=BR$5-4, $F93&lt;=BR$5, COUNTIF($M93:BQ93,"u")=0), "u", "")</f>
        <v/>
      </c>
      <c r="BS93" s="80" t="str">
        <f>IF(AND($F93&lt;&gt;"", $F93&gt;=BS$5-4, $F93&lt;=BS$5, COUNTIF($M93:BR93,"u")=0), "u", "")</f>
        <v/>
      </c>
      <c r="BT93" s="80" t="str">
        <f>IF(AND($F93&lt;&gt;"", $F93&gt;=BT$5-4, $F93&lt;=BT$5, COUNTIF($M93:BS93,"u")=0), "u", "")</f>
        <v/>
      </c>
      <c r="BU93" s="80" t="str">
        <f>IF(AND($F93&lt;&gt;"", $F93&gt;=BU$5-4, $F93&lt;=BU$5, COUNTIF($M93:BT93,"u")=0), "u", "")</f>
        <v/>
      </c>
      <c r="BV93" s="80" t="str">
        <f>IF(AND($F93&lt;&gt;"", $F93&gt;=BV$5-4, $F93&lt;=BV$5, COUNTIF($M93:BU93,"u")=0), "u", "")</f>
        <v/>
      </c>
      <c r="BW93" s="80" t="str">
        <f>IF(AND($F93&lt;&gt;"", $F93&gt;=BW$5-4, $F93&lt;=BW$5, COUNTIF($M93:BV93,"u")=0), "u", "")</f>
        <v/>
      </c>
      <c r="BX93" s="80" t="str">
        <f>IF(AND($F93&lt;&gt;"", $F93&gt;=BX$5-4, $F93&lt;=BX$5, COUNTIF($M93:BW93,"u")=0), "u", "")</f>
        <v/>
      </c>
      <c r="BY93" s="80" t="str">
        <f>IF(AND($F93&lt;&gt;"", $F93&gt;=BY$5-4, $F93&lt;=BY$5, COUNTIF($M93:BX93,"u")=0), "u", "")</f>
        <v/>
      </c>
      <c r="BZ93" s="80" t="str">
        <f>IF(AND($F93&lt;&gt;"", $F93&gt;=BZ$5-4, $F93&lt;=BZ$5, COUNTIF($M93:BY93,"u")=0), "u", "")</f>
        <v/>
      </c>
      <c r="CA93" s="80" t="str">
        <f>IF(AND($F93&lt;&gt;"", $F93&gt;=CA$5-4, $F93&lt;=CA$5, COUNTIF($M93:BZ93,"u")=0), "u", "")</f>
        <v/>
      </c>
      <c r="CB93" s="80" t="str">
        <f>IF(AND($F93&lt;&gt;"", $F93&gt;=CB$5-4, $F93&lt;=CB$5, COUNTIF($M93:CA93,"u")=0), "u", "")</f>
        <v/>
      </c>
      <c r="CC93" s="80" t="str">
        <f>IF(AND($F93&lt;&gt;"", $F93&gt;=CC$5-4, $F93&lt;=CC$5, COUNTIF($M93:CB93,"u")=0), "u", "")</f>
        <v/>
      </c>
      <c r="CD93" s="80" t="str">
        <f>IF(AND($F93&lt;&gt;"", $F93&gt;=CD$5-4, $F93&lt;=CD$5, COUNTIF($M93:CC93,"u")=0), "u", "")</f>
        <v/>
      </c>
      <c r="CE93" s="80" t="str">
        <f>IF(AND($F93&lt;&gt;"", $F93&gt;=CE$5-4, $F93&lt;=CE$5, COUNTIF($M93:CD93,"u")=0), "u", "")</f>
        <v/>
      </c>
      <c r="CF93" s="80" t="str">
        <f>IF(AND($F93&lt;&gt;"", $F93&gt;=CF$5-4, $F93&lt;=CF$5, COUNTIF($M93:CE93,"u")=0), "u", "")</f>
        <v/>
      </c>
      <c r="CG93" s="80" t="str">
        <f>IF(AND($F93&lt;&gt;"", $F93&gt;=CG$5-4, $F93&lt;=CG$5, COUNTIF($M93:CF93,"u")=0), "u", "")</f>
        <v/>
      </c>
      <c r="CH93" s="80" t="str">
        <f>IF(AND($F93&lt;&gt;"", $F93&gt;=CH$5-4, $F93&lt;=CH$5, COUNTIF($M93:CG93,"u")=0), "u", "")</f>
        <v/>
      </c>
      <c r="CI93" s="80" t="str">
        <f>IF(AND($F93&lt;&gt;"", $F93&gt;=CI$5-4, $F93&lt;=CI$5, COUNTIF($M93:CH93,"u")=0), "u", "")</f>
        <v/>
      </c>
      <c r="CJ93" s="80" t="str">
        <f>IF(AND($F93&lt;&gt;"", $F93&gt;=CJ$5-4, $F93&lt;=CJ$5, COUNTIF($M93:CI93,"u")=0), "u", "")</f>
        <v/>
      </c>
      <c r="CK93" s="80" t="str">
        <f>IF(AND($F93&lt;&gt;"", $F93&gt;=CK$5-4, $F93&lt;=CK$5, COUNTIF($M93:CJ93,"u")=0), "u", "")</f>
        <v/>
      </c>
      <c r="CL93" s="80" t="str">
        <f>IF(AND($F93&lt;&gt;"", $F93&gt;=CL$5-4, $F93&lt;=CL$5, COUNTIF($M93:CK93,"u")=0), "u", "")</f>
        <v/>
      </c>
      <c r="CM93" s="80" t="str">
        <f>IF(AND($F93&lt;&gt;"", $F93&gt;=CM$5-4, $F93&lt;=CM$5, COUNTIF($M93:CL93,"u")=0), "u", "")</f>
        <v/>
      </c>
      <c r="CN93" s="80" t="str">
        <f>IF(AND($F93&lt;&gt;"", $F93&gt;=CN$5-4, $F93&lt;=CN$5, COUNTIF($M93:CM93,"u")=0), "u", "")</f>
        <v/>
      </c>
      <c r="CO93" s="80" t="str">
        <f>IF(AND($F93&lt;&gt;"", $F93&gt;=CO$5-4, $F93&lt;=CO$5, COUNTIF($M93:CN93,"u")=0), "u", "")</f>
        <v/>
      </c>
      <c r="CP93" s="80" t="str">
        <f>IF(AND($F93&lt;&gt;"", $F93&gt;=CP$5-4, $F93&lt;=CP$5, COUNTIF($M93:CO93,"u")=0), "u", "")</f>
        <v/>
      </c>
      <c r="CQ93" s="80" t="str">
        <f>IF(AND($F93&lt;&gt;"", $F93&gt;=CQ$5-4, $F93&lt;=CQ$5, COUNTIF($M93:CP93,"u")=0), "u", "")</f>
        <v/>
      </c>
      <c r="CR93" s="80" t="str">
        <f>IF(AND($F93&lt;&gt;"", $F93&gt;=CR$5-4, $F93&lt;=CR$5, COUNTIF($M93:CQ93,"u")=0), "u", "")</f>
        <v/>
      </c>
      <c r="CS93" s="80" t="str">
        <f>IF(AND($F93&lt;&gt;"", $F93&gt;=CS$5-4, $F93&lt;=CS$5, COUNTIF($M93:CR93,"u")=0), "u", "")</f>
        <v/>
      </c>
      <c r="CT93" s="80" t="str">
        <f>IF(AND($F93&lt;&gt;"", $F93&gt;=CT$5-4, $F93&lt;=CT$5, COUNTIF($M93:CS93,"u")=0), "u", "")</f>
        <v/>
      </c>
      <c r="CU93" s="80" t="str">
        <f>IF(AND($F93&lt;&gt;"", $F93&gt;=CU$5-4, $F93&lt;=CU$5, COUNTIF($M93:CT93,"u")=0), "u", "")</f>
        <v/>
      </c>
      <c r="CV93" s="80" t="str">
        <f>IF(AND($F93&lt;&gt;"", $F93&gt;=CV$5-4, $F93&lt;=CV$5, COUNTIF($M93:CU93,"u")=0), "u", "")</f>
        <v/>
      </c>
      <c r="CW93" s="80" t="str">
        <f>IF(AND($F93&lt;&gt;"", $F93&gt;=CW$5-4, $F93&lt;=CW$5, COUNTIF($M93:CV93,"u")=0), "u", "")</f>
        <v/>
      </c>
      <c r="CX93" s="80" t="str">
        <f>IF(AND($F93&lt;&gt;"", $F93&gt;=CX$5-4, $F93&lt;=CX$5, COUNTIF($M93:CW93,"u")=0), "u", "")</f>
        <v/>
      </c>
      <c r="CY93" s="80" t="str">
        <f>IF(AND($F93&lt;&gt;"", $F93&gt;=CY$5-4, $F93&lt;=CY$5, COUNTIF($M93:CX93,"u")=0), "u", "")</f>
        <v/>
      </c>
      <c r="CZ93" s="80" t="str">
        <f>IF(AND($F93&lt;&gt;"", $F93&gt;=CZ$5-4, $F93&lt;=CZ$5, COUNTIF($M93:CY93,"u")=0), "u", "")</f>
        <v/>
      </c>
      <c r="DA93" s="80" t="str">
        <f>IF(AND($F93&lt;&gt;"", $F93&gt;=DA$5-4, $F93&lt;=DA$5, COUNTIF($M93:CZ93,"u")=0), "u", "")</f>
        <v/>
      </c>
      <c r="DB93" s="80" t="str">
        <f>IF(AND($F93&lt;&gt;"", $F93&gt;=DB$5-4, $F93&lt;=DB$5, COUNTIF($M93:DA93,"u")=0), "u", "")</f>
        <v/>
      </c>
      <c r="DC93" s="80" t="str">
        <f>IF(AND($F93&lt;&gt;"", $F93&gt;=DC$5-4, $F93&lt;=DC$5, COUNTIF($M93:DB93,"u")=0), "u", "")</f>
        <v/>
      </c>
      <c r="DD93" s="80" t="str">
        <f>IF(AND($F93&lt;&gt;"", $F93&gt;=DD$5-4, $F93&lt;=DD$5, COUNTIF($M93:DC93,"u")=0), "u", "")</f>
        <v/>
      </c>
      <c r="DE93" s="80" t="str">
        <f>IF(AND($F93&lt;&gt;"", $F93&gt;=DE$5-4, $F93&lt;=DE$5, COUNTIF($M93:DD93,"u")=0), "u", "")</f>
        <v/>
      </c>
      <c r="DF93" s="80" t="str">
        <f>IF(AND($F93&lt;&gt;"", $F93&gt;=DF$5-4, $F93&lt;=DF$5, COUNTIF($M93:DE93,"u")=0), "u", "")</f>
        <v/>
      </c>
      <c r="DG93" s="80" t="str">
        <f>IF(AND($F93&lt;&gt;"", $F93&gt;=DG$5-4, $F93&lt;=DG$5, COUNTIF($M93:DF93,"u")=0), "u", "")</f>
        <v/>
      </c>
      <c r="DH93" s="80" t="str">
        <f>IF(AND($F93&lt;&gt;"", $F93&gt;=DH$5-4, $F93&lt;=DH$5, COUNTIF($M93:DG93,"u")=0), "u", "")</f>
        <v/>
      </c>
      <c r="DI93" s="80" t="str">
        <f>IF(AND($F93&lt;&gt;"", $F93&gt;=DI$5-4, $F93&lt;=DI$5, COUNTIF($M93:DH93,"u")=0), "u", "")</f>
        <v/>
      </c>
      <c r="DJ93" s="80" t="str">
        <f>IF(AND($F93&lt;&gt;"", $F93&gt;=DJ$5-4, $F93&lt;=DJ$5, COUNTIF($M93:DI93,"u")=0), "u", "")</f>
        <v/>
      </c>
      <c r="DK93" s="80" t="str">
        <f>IF(AND($F93&lt;&gt;"", $F93&gt;=DK$5-4, $F93&lt;=DK$5, COUNTIF($M93:DJ93,"u")=0), "u", "")</f>
        <v/>
      </c>
      <c r="DL93" s="80" t="str">
        <f>IF(AND($F93&lt;&gt;"", $F93&gt;=DL$5-4, $F93&lt;=DL$5, COUNTIF($M93:DK93,"u")=0), "u", "")</f>
        <v/>
      </c>
    </row>
    <row r="94" spans="1:116" ht="25.05" customHeight="1" x14ac:dyDescent="0.3">
      <c r="A94" s="39"/>
      <c r="B94" s="75">
        <v>89</v>
      </c>
      <c r="C94" s="97"/>
      <c r="D94" s="92"/>
      <c r="E94" s="53"/>
      <c r="F94" s="53"/>
      <c r="G94" s="83" t="str">
        <f t="shared" si="50"/>
        <v/>
      </c>
      <c r="H94" s="83" t="str">
        <f t="shared" si="50"/>
        <v/>
      </c>
      <c r="I94" s="77" t="str">
        <f t="shared" si="48"/>
        <v/>
      </c>
      <c r="J94" s="78"/>
      <c r="K94" s="86"/>
      <c r="L94" s="56"/>
      <c r="M94" s="80" t="str">
        <f t="shared" si="49"/>
        <v/>
      </c>
      <c r="N94" s="80" t="str">
        <f>IF(AND($F94&lt;&gt;"", $F94&gt;=N$5-4, $F94&lt;=N$5, COUNTIF($M94:M94,"u")=0), "u", "")</f>
        <v/>
      </c>
      <c r="O94" s="80" t="str">
        <f>IF(AND($F94&lt;&gt;"", $F94&gt;=O$5-4, $F94&lt;=O$5, COUNTIF($M94:N94,"u")=0), "u", "")</f>
        <v/>
      </c>
      <c r="P94" s="80" t="str">
        <f>IF(AND($F94&lt;&gt;"", $F94&gt;=P$5-4, $F94&lt;=P$5, COUNTIF($M94:O94,"u")=0), "u", "")</f>
        <v/>
      </c>
      <c r="Q94" s="80" t="str">
        <f>IF(AND($F94&lt;&gt;"", $F94&gt;=Q$5-4, $F94&lt;=Q$5, COUNTIF($M94:P94,"u")=0), "u", "")</f>
        <v/>
      </c>
      <c r="R94" s="80" t="str">
        <f>IF(AND($F94&lt;&gt;"", $F94&gt;=R$5-4, $F94&lt;=R$5, COUNTIF($M94:Q94,"u")=0), "u", "")</f>
        <v/>
      </c>
      <c r="S94" s="80" t="str">
        <f>IF(AND($F94&lt;&gt;"", $F94&gt;=S$5-4, $F94&lt;=S$5, COUNTIF($M94:R94,"u")=0), "u", "")</f>
        <v/>
      </c>
      <c r="T94" s="80" t="str">
        <f>IF(AND($F94&lt;&gt;"", $F94&gt;=T$5-4, $F94&lt;=T$5, COUNTIF($M94:S94,"u")=0), "u", "")</f>
        <v/>
      </c>
      <c r="U94" s="80" t="str">
        <f>IF(AND($F94&lt;&gt;"", $F94&gt;=U$5-4, $F94&lt;=U$5, COUNTIF($M94:T94,"u")=0), "u", "")</f>
        <v/>
      </c>
      <c r="V94" s="80" t="str">
        <f>IF(AND($F94&lt;&gt;"", $F94&gt;=V$5-4, $F94&lt;=V$5, COUNTIF($M94:U94,"u")=0), "u", "")</f>
        <v/>
      </c>
      <c r="W94" s="80" t="str">
        <f>IF(AND($F94&lt;&gt;"", $F94&gt;=W$5-4, $F94&lt;=W$5, COUNTIF($M94:V94,"u")=0), "u", "")</f>
        <v/>
      </c>
      <c r="X94" s="80" t="str">
        <f>IF(AND($F94&lt;&gt;"", $F94&gt;=X$5-4, $F94&lt;=X$5, COUNTIF($M94:W94,"u")=0), "u", "")</f>
        <v/>
      </c>
      <c r="Y94" s="80" t="str">
        <f>IF(AND($F94&lt;&gt;"", $F94&gt;=Y$5-4, $F94&lt;=Y$5, COUNTIF($M94:X94,"u")=0), "u", "")</f>
        <v/>
      </c>
      <c r="Z94" s="80" t="str">
        <f>IF(AND($F94&lt;&gt;"", $F94&gt;=Z$5-4, $F94&lt;=Z$5, COUNTIF($M94:Y94,"u")=0), "u", "")</f>
        <v/>
      </c>
      <c r="AA94" s="80" t="str">
        <f>IF(AND($F94&lt;&gt;"", $F94&gt;=AA$5-4, $F94&lt;=AA$5, COUNTIF($M94:Z94,"u")=0), "u", "")</f>
        <v/>
      </c>
      <c r="AB94" s="80" t="str">
        <f>IF(AND($F94&lt;&gt;"", $F94&gt;=AB$5-4, $F94&lt;=AB$5, COUNTIF($M94:AA94,"u")=0), "u", "")</f>
        <v/>
      </c>
      <c r="AC94" s="80" t="str">
        <f>IF(AND($F94&lt;&gt;"", $F94&gt;=AC$5-4, $F94&lt;=AC$5, COUNTIF($M94:AB94,"u")=0), "u", "")</f>
        <v/>
      </c>
      <c r="AD94" s="80" t="str">
        <f>IF(AND($F94&lt;&gt;"", $F94&gt;=AD$5-4, $F94&lt;=AD$5, COUNTIF($M94:AC94,"u")=0), "u", "")</f>
        <v/>
      </c>
      <c r="AE94" s="80" t="str">
        <f>IF(AND($F94&lt;&gt;"", $F94&gt;=AE$5-4, $F94&lt;=AE$5, COUNTIF($M94:AD94,"u")=0), "u", "")</f>
        <v/>
      </c>
      <c r="AF94" s="80" t="str">
        <f>IF(AND($F94&lt;&gt;"", $F94&gt;=AF$5-4, $F94&lt;=AF$5, COUNTIF($M94:AE94,"u")=0), "u", "")</f>
        <v/>
      </c>
      <c r="AG94" s="80" t="str">
        <f>IF(AND($F94&lt;&gt;"", $F94&gt;=AG$5-4, $F94&lt;=AG$5, COUNTIF($M94:AF94,"u")=0), "u", "")</f>
        <v/>
      </c>
      <c r="AH94" s="80" t="str">
        <f>IF(AND($F94&lt;&gt;"", $F94&gt;=AH$5-4, $F94&lt;=AH$5, COUNTIF($M94:AG94,"u")=0), "u", "")</f>
        <v/>
      </c>
      <c r="AI94" s="80" t="str">
        <f>IF(AND($F94&lt;&gt;"", $F94&gt;=AI$5-4, $F94&lt;=AI$5, COUNTIF($M94:AH94,"u")=0), "u", "")</f>
        <v/>
      </c>
      <c r="AJ94" s="80" t="str">
        <f>IF(AND($F94&lt;&gt;"", $F94&gt;=AJ$5-4, $F94&lt;=AJ$5, COUNTIF($M94:AI94,"u")=0), "u", "")</f>
        <v/>
      </c>
      <c r="AK94" s="80" t="str">
        <f>IF(AND($F94&lt;&gt;"", $F94&gt;=AK$5-4, $F94&lt;=AK$5, COUNTIF($M94:AJ94,"u")=0), "u", "")</f>
        <v/>
      </c>
      <c r="AL94" s="80" t="str">
        <f>IF(AND($F94&lt;&gt;"", $F94&gt;=AL$5-4, $F94&lt;=AL$5, COUNTIF($M94:AK94,"u")=0), "u", "")</f>
        <v/>
      </c>
      <c r="AM94" s="80" t="str">
        <f>IF(AND($F94&lt;&gt;"", $F94&gt;=AM$5-4, $F94&lt;=AM$5, COUNTIF($M94:AL94,"u")=0), "u", "")</f>
        <v/>
      </c>
      <c r="AN94" s="80" t="str">
        <f>IF(AND($F94&lt;&gt;"", $F94&gt;=AN$5-4, $F94&lt;=AN$5, COUNTIF($M94:AM94,"u")=0), "u", "")</f>
        <v/>
      </c>
      <c r="AO94" s="80" t="str">
        <f>IF(AND($F94&lt;&gt;"", $F94&gt;=AO$5-4, $F94&lt;=AO$5, COUNTIF($M94:AN94,"u")=0), "u", "")</f>
        <v/>
      </c>
      <c r="AP94" s="80" t="str">
        <f>IF(AND($F94&lt;&gt;"", $F94&gt;=AP$5-4, $F94&lt;=AP$5, COUNTIF($M94:AO94,"u")=0), "u", "")</f>
        <v/>
      </c>
      <c r="AQ94" s="80" t="str">
        <f>IF(AND($F94&lt;&gt;"", $F94&gt;=AQ$5-4, $F94&lt;=AQ$5, COUNTIF($M94:AP94,"u")=0), "u", "")</f>
        <v/>
      </c>
      <c r="AR94" s="80" t="str">
        <f>IF(AND($F94&lt;&gt;"", $F94&gt;=AR$5-4, $F94&lt;=AR$5, COUNTIF($M94:AQ94,"u")=0), "u", "")</f>
        <v/>
      </c>
      <c r="AS94" s="80" t="str">
        <f>IF(AND($F94&lt;&gt;"", $F94&gt;=AS$5-4, $F94&lt;=AS$5, COUNTIF($M94:AR94,"u")=0), "u", "")</f>
        <v/>
      </c>
      <c r="AT94" s="80" t="str">
        <f>IF(AND($F94&lt;&gt;"", $F94&gt;=AT$5-4, $F94&lt;=AT$5, COUNTIF($M94:AS94,"u")=0), "u", "")</f>
        <v/>
      </c>
      <c r="AU94" s="80" t="str">
        <f>IF(AND($F94&lt;&gt;"", $F94&gt;=AU$5-4, $F94&lt;=AU$5, COUNTIF($M94:AT94,"u")=0), "u", "")</f>
        <v/>
      </c>
      <c r="AV94" s="80" t="str">
        <f>IF(AND($F94&lt;&gt;"", $F94&gt;=AV$5-4, $F94&lt;=AV$5, COUNTIF($M94:AU94,"u")=0), "u", "")</f>
        <v/>
      </c>
      <c r="AW94" s="80" t="str">
        <f>IF(AND($F94&lt;&gt;"", $F94&gt;=AW$5-4, $F94&lt;=AW$5, COUNTIF($M94:AV94,"u")=0), "u", "")</f>
        <v/>
      </c>
      <c r="AX94" s="80" t="str">
        <f>IF(AND($F94&lt;&gt;"", $F94&gt;=AX$5-4, $F94&lt;=AX$5, COUNTIF($M94:AW94,"u")=0), "u", "")</f>
        <v/>
      </c>
      <c r="AY94" s="80" t="str">
        <f>IF(AND($F94&lt;&gt;"", $F94&gt;=AY$5-4, $F94&lt;=AY$5, COUNTIF($M94:AX94,"u")=0), "u", "")</f>
        <v/>
      </c>
      <c r="AZ94" s="80" t="str">
        <f>IF(AND($F94&lt;&gt;"", $F94&gt;=AZ$5-4, $F94&lt;=AZ$5, COUNTIF($M94:AY94,"u")=0), "u", "")</f>
        <v/>
      </c>
      <c r="BA94" s="80" t="str">
        <f>IF(AND($F94&lt;&gt;"", $F94&gt;=BA$5-4, $F94&lt;=BA$5, COUNTIF($M94:AZ94,"u")=0), "u", "")</f>
        <v/>
      </c>
      <c r="BB94" s="80" t="str">
        <f>IF(AND($F94&lt;&gt;"", $F94&gt;=BB$5-4, $F94&lt;=BB$5, COUNTIF($M94:BA94,"u")=0), "u", "")</f>
        <v/>
      </c>
      <c r="BC94" s="80" t="str">
        <f>IF(AND($F94&lt;&gt;"", $F94&gt;=BC$5-4, $F94&lt;=BC$5, COUNTIF($M94:BB94,"u")=0), "u", "")</f>
        <v/>
      </c>
      <c r="BD94" s="80" t="str">
        <f>IF(AND($F94&lt;&gt;"", $F94&gt;=BD$5-4, $F94&lt;=BD$5, COUNTIF($M94:BC94,"u")=0), "u", "")</f>
        <v/>
      </c>
      <c r="BE94" s="80" t="str">
        <f>IF(AND($F94&lt;&gt;"", $F94&gt;=BE$5-4, $F94&lt;=BE$5, COUNTIF($M94:BD94,"u")=0), "u", "")</f>
        <v/>
      </c>
      <c r="BF94" s="80" t="str">
        <f>IF(AND($F94&lt;&gt;"", $F94&gt;=BF$5-4, $F94&lt;=BF$5, COUNTIF($M94:BE94,"u")=0), "u", "")</f>
        <v/>
      </c>
      <c r="BG94" s="80" t="str">
        <f>IF(AND($F94&lt;&gt;"", $F94&gt;=BG$5-4, $F94&lt;=BG$5, COUNTIF($M94:BF94,"u")=0), "u", "")</f>
        <v/>
      </c>
      <c r="BH94" s="80" t="str">
        <f>IF(AND($F94&lt;&gt;"", $F94&gt;=BH$5-4, $F94&lt;=BH$5, COUNTIF($M94:BG94,"u")=0), "u", "")</f>
        <v/>
      </c>
      <c r="BI94" s="80" t="str">
        <f>IF(AND($F94&lt;&gt;"", $F94&gt;=BI$5-4, $F94&lt;=BI$5, COUNTIF($M94:BH94,"u")=0), "u", "")</f>
        <v/>
      </c>
      <c r="BJ94" s="80" t="str">
        <f>IF(AND($F94&lt;&gt;"", $F94&gt;=BJ$5-4, $F94&lt;=BJ$5, COUNTIF($M94:BI94,"u")=0), "u", "")</f>
        <v/>
      </c>
      <c r="BK94" s="80" t="str">
        <f>IF(AND($F94&lt;&gt;"", $F94&gt;=BK$5-4, $F94&lt;=BK$5, COUNTIF($M94:BJ94,"u")=0), "u", "")</f>
        <v/>
      </c>
      <c r="BL94" s="80" t="str">
        <f>IF(AND($F94&lt;&gt;"", $F94&gt;=BL$5-4, $F94&lt;=BL$5, COUNTIF($M94:BK94,"u")=0), "u", "")</f>
        <v/>
      </c>
      <c r="BM94" s="80" t="str">
        <f>IF(AND($F94&lt;&gt;"", $F94&gt;=BM$5-4, $F94&lt;=BM$5, COUNTIF($M94:BL94,"u")=0), "u", "")</f>
        <v/>
      </c>
      <c r="BN94" s="80" t="str">
        <f>IF(AND($F94&lt;&gt;"", $F94&gt;=BN$5-4, $F94&lt;=BN$5, COUNTIF($M94:BM94,"u")=0), "u", "")</f>
        <v/>
      </c>
      <c r="BO94" s="80" t="str">
        <f>IF(AND($F94&lt;&gt;"", $F94&gt;=BO$5-4, $F94&lt;=BO$5, COUNTIF($M94:BN94,"u")=0), "u", "")</f>
        <v/>
      </c>
      <c r="BP94" s="80" t="str">
        <f>IF(AND($F94&lt;&gt;"", $F94&gt;=BP$5-4, $F94&lt;=BP$5, COUNTIF($M94:BO94,"u")=0), "u", "")</f>
        <v/>
      </c>
      <c r="BQ94" s="80" t="str">
        <f>IF(AND($F94&lt;&gt;"", $F94&gt;=BQ$5-4, $F94&lt;=BQ$5, COUNTIF($M94:BP94,"u")=0), "u", "")</f>
        <v/>
      </c>
      <c r="BR94" s="80" t="str">
        <f>IF(AND($F94&lt;&gt;"", $F94&gt;=BR$5-4, $F94&lt;=BR$5, COUNTIF($M94:BQ94,"u")=0), "u", "")</f>
        <v/>
      </c>
      <c r="BS94" s="80" t="str">
        <f>IF(AND($F94&lt;&gt;"", $F94&gt;=BS$5-4, $F94&lt;=BS$5, COUNTIF($M94:BR94,"u")=0), "u", "")</f>
        <v/>
      </c>
      <c r="BT94" s="80" t="str">
        <f>IF(AND($F94&lt;&gt;"", $F94&gt;=BT$5-4, $F94&lt;=BT$5, COUNTIF($M94:BS94,"u")=0), "u", "")</f>
        <v/>
      </c>
      <c r="BU94" s="80" t="str">
        <f>IF(AND($F94&lt;&gt;"", $F94&gt;=BU$5-4, $F94&lt;=BU$5, COUNTIF($M94:BT94,"u")=0), "u", "")</f>
        <v/>
      </c>
      <c r="BV94" s="80" t="str">
        <f>IF(AND($F94&lt;&gt;"", $F94&gt;=BV$5-4, $F94&lt;=BV$5, COUNTIF($M94:BU94,"u")=0), "u", "")</f>
        <v/>
      </c>
      <c r="BW94" s="80" t="str">
        <f>IF(AND($F94&lt;&gt;"", $F94&gt;=BW$5-4, $F94&lt;=BW$5, COUNTIF($M94:BV94,"u")=0), "u", "")</f>
        <v/>
      </c>
      <c r="BX94" s="80" t="str">
        <f>IF(AND($F94&lt;&gt;"", $F94&gt;=BX$5-4, $F94&lt;=BX$5, COUNTIF($M94:BW94,"u")=0), "u", "")</f>
        <v/>
      </c>
      <c r="BY94" s="80" t="str">
        <f>IF(AND($F94&lt;&gt;"", $F94&gt;=BY$5-4, $F94&lt;=BY$5, COUNTIF($M94:BX94,"u")=0), "u", "")</f>
        <v/>
      </c>
      <c r="BZ94" s="80" t="str">
        <f>IF(AND($F94&lt;&gt;"", $F94&gt;=BZ$5-4, $F94&lt;=BZ$5, COUNTIF($M94:BY94,"u")=0), "u", "")</f>
        <v/>
      </c>
      <c r="CA94" s="80" t="str">
        <f>IF(AND($F94&lt;&gt;"", $F94&gt;=CA$5-4, $F94&lt;=CA$5, COUNTIF($M94:BZ94,"u")=0), "u", "")</f>
        <v/>
      </c>
      <c r="CB94" s="80" t="str">
        <f>IF(AND($F94&lt;&gt;"", $F94&gt;=CB$5-4, $F94&lt;=CB$5, COUNTIF($M94:CA94,"u")=0), "u", "")</f>
        <v/>
      </c>
      <c r="CC94" s="80" t="str">
        <f>IF(AND($F94&lt;&gt;"", $F94&gt;=CC$5-4, $F94&lt;=CC$5, COUNTIF($M94:CB94,"u")=0), "u", "")</f>
        <v/>
      </c>
      <c r="CD94" s="80" t="str">
        <f>IF(AND($F94&lt;&gt;"", $F94&gt;=CD$5-4, $F94&lt;=CD$5, COUNTIF($M94:CC94,"u")=0), "u", "")</f>
        <v/>
      </c>
      <c r="CE94" s="80" t="str">
        <f>IF(AND($F94&lt;&gt;"", $F94&gt;=CE$5-4, $F94&lt;=CE$5, COUNTIF($M94:CD94,"u")=0), "u", "")</f>
        <v/>
      </c>
      <c r="CF94" s="80" t="str">
        <f>IF(AND($F94&lt;&gt;"", $F94&gt;=CF$5-4, $F94&lt;=CF$5, COUNTIF($M94:CE94,"u")=0), "u", "")</f>
        <v/>
      </c>
      <c r="CG94" s="80" t="str">
        <f>IF(AND($F94&lt;&gt;"", $F94&gt;=CG$5-4, $F94&lt;=CG$5, COUNTIF($M94:CF94,"u")=0), "u", "")</f>
        <v/>
      </c>
      <c r="CH94" s="80" t="str">
        <f>IF(AND($F94&lt;&gt;"", $F94&gt;=CH$5-4, $F94&lt;=CH$5, COUNTIF($M94:CG94,"u")=0), "u", "")</f>
        <v/>
      </c>
      <c r="CI94" s="80" t="str">
        <f>IF(AND($F94&lt;&gt;"", $F94&gt;=CI$5-4, $F94&lt;=CI$5, COUNTIF($M94:CH94,"u")=0), "u", "")</f>
        <v/>
      </c>
      <c r="CJ94" s="80" t="str">
        <f>IF(AND($F94&lt;&gt;"", $F94&gt;=CJ$5-4, $F94&lt;=CJ$5, COUNTIF($M94:CI94,"u")=0), "u", "")</f>
        <v/>
      </c>
      <c r="CK94" s="80" t="str">
        <f>IF(AND($F94&lt;&gt;"", $F94&gt;=CK$5-4, $F94&lt;=CK$5, COUNTIF($M94:CJ94,"u")=0), "u", "")</f>
        <v/>
      </c>
      <c r="CL94" s="80" t="str">
        <f>IF(AND($F94&lt;&gt;"", $F94&gt;=CL$5-4, $F94&lt;=CL$5, COUNTIF($M94:CK94,"u")=0), "u", "")</f>
        <v/>
      </c>
      <c r="CM94" s="80" t="str">
        <f>IF(AND($F94&lt;&gt;"", $F94&gt;=CM$5-4, $F94&lt;=CM$5, COUNTIF($M94:CL94,"u")=0), "u", "")</f>
        <v/>
      </c>
      <c r="CN94" s="80" t="str">
        <f>IF(AND($F94&lt;&gt;"", $F94&gt;=CN$5-4, $F94&lt;=CN$5, COUNTIF($M94:CM94,"u")=0), "u", "")</f>
        <v/>
      </c>
      <c r="CO94" s="80" t="str">
        <f>IF(AND($F94&lt;&gt;"", $F94&gt;=CO$5-4, $F94&lt;=CO$5, COUNTIF($M94:CN94,"u")=0), "u", "")</f>
        <v/>
      </c>
      <c r="CP94" s="80" t="str">
        <f>IF(AND($F94&lt;&gt;"", $F94&gt;=CP$5-4, $F94&lt;=CP$5, COUNTIF($M94:CO94,"u")=0), "u", "")</f>
        <v/>
      </c>
      <c r="CQ94" s="80" t="str">
        <f>IF(AND($F94&lt;&gt;"", $F94&gt;=CQ$5-4, $F94&lt;=CQ$5, COUNTIF($M94:CP94,"u")=0), "u", "")</f>
        <v/>
      </c>
      <c r="CR94" s="80" t="str">
        <f>IF(AND($F94&lt;&gt;"", $F94&gt;=CR$5-4, $F94&lt;=CR$5, COUNTIF($M94:CQ94,"u")=0), "u", "")</f>
        <v/>
      </c>
      <c r="CS94" s="80" t="str">
        <f>IF(AND($F94&lt;&gt;"", $F94&gt;=CS$5-4, $F94&lt;=CS$5, COUNTIF($M94:CR94,"u")=0), "u", "")</f>
        <v/>
      </c>
      <c r="CT94" s="80" t="str">
        <f>IF(AND($F94&lt;&gt;"", $F94&gt;=CT$5-4, $F94&lt;=CT$5, COUNTIF($M94:CS94,"u")=0), "u", "")</f>
        <v/>
      </c>
      <c r="CU94" s="80" t="str">
        <f>IF(AND($F94&lt;&gt;"", $F94&gt;=CU$5-4, $F94&lt;=CU$5, COUNTIF($M94:CT94,"u")=0), "u", "")</f>
        <v/>
      </c>
      <c r="CV94" s="80" t="str">
        <f>IF(AND($F94&lt;&gt;"", $F94&gt;=CV$5-4, $F94&lt;=CV$5, COUNTIF($M94:CU94,"u")=0), "u", "")</f>
        <v/>
      </c>
      <c r="CW94" s="80" t="str">
        <f>IF(AND($F94&lt;&gt;"", $F94&gt;=CW$5-4, $F94&lt;=CW$5, COUNTIF($M94:CV94,"u")=0), "u", "")</f>
        <v/>
      </c>
      <c r="CX94" s="80" t="str">
        <f>IF(AND($F94&lt;&gt;"", $F94&gt;=CX$5-4, $F94&lt;=CX$5, COUNTIF($M94:CW94,"u")=0), "u", "")</f>
        <v/>
      </c>
      <c r="CY94" s="80" t="str">
        <f>IF(AND($F94&lt;&gt;"", $F94&gt;=CY$5-4, $F94&lt;=CY$5, COUNTIF($M94:CX94,"u")=0), "u", "")</f>
        <v/>
      </c>
      <c r="CZ94" s="80" t="str">
        <f>IF(AND($F94&lt;&gt;"", $F94&gt;=CZ$5-4, $F94&lt;=CZ$5, COUNTIF($M94:CY94,"u")=0), "u", "")</f>
        <v/>
      </c>
      <c r="DA94" s="80" t="str">
        <f>IF(AND($F94&lt;&gt;"", $F94&gt;=DA$5-4, $F94&lt;=DA$5, COUNTIF($M94:CZ94,"u")=0), "u", "")</f>
        <v/>
      </c>
      <c r="DB94" s="80" t="str">
        <f>IF(AND($F94&lt;&gt;"", $F94&gt;=DB$5-4, $F94&lt;=DB$5, COUNTIF($M94:DA94,"u")=0), "u", "")</f>
        <v/>
      </c>
      <c r="DC94" s="80" t="str">
        <f>IF(AND($F94&lt;&gt;"", $F94&gt;=DC$5-4, $F94&lt;=DC$5, COUNTIF($M94:DB94,"u")=0), "u", "")</f>
        <v/>
      </c>
      <c r="DD94" s="80" t="str">
        <f>IF(AND($F94&lt;&gt;"", $F94&gt;=DD$5-4, $F94&lt;=DD$5, COUNTIF($M94:DC94,"u")=0), "u", "")</f>
        <v/>
      </c>
      <c r="DE94" s="80" t="str">
        <f>IF(AND($F94&lt;&gt;"", $F94&gt;=DE$5-4, $F94&lt;=DE$5, COUNTIF($M94:DD94,"u")=0), "u", "")</f>
        <v/>
      </c>
      <c r="DF94" s="80" t="str">
        <f>IF(AND($F94&lt;&gt;"", $F94&gt;=DF$5-4, $F94&lt;=DF$5, COUNTIF($M94:DE94,"u")=0), "u", "")</f>
        <v/>
      </c>
      <c r="DG94" s="80" t="str">
        <f>IF(AND($F94&lt;&gt;"", $F94&gt;=DG$5-4, $F94&lt;=DG$5, COUNTIF($M94:DF94,"u")=0), "u", "")</f>
        <v/>
      </c>
      <c r="DH94" s="80" t="str">
        <f>IF(AND($F94&lt;&gt;"", $F94&gt;=DH$5-4, $F94&lt;=DH$5, COUNTIF($M94:DG94,"u")=0), "u", "")</f>
        <v/>
      </c>
      <c r="DI94" s="80" t="str">
        <f>IF(AND($F94&lt;&gt;"", $F94&gt;=DI$5-4, $F94&lt;=DI$5, COUNTIF($M94:DH94,"u")=0), "u", "")</f>
        <v/>
      </c>
      <c r="DJ94" s="80" t="str">
        <f>IF(AND($F94&lt;&gt;"", $F94&gt;=DJ$5-4, $F94&lt;=DJ$5, COUNTIF($M94:DI94,"u")=0), "u", "")</f>
        <v/>
      </c>
      <c r="DK94" s="80" t="str">
        <f>IF(AND($F94&lt;&gt;"", $F94&gt;=DK$5-4, $F94&lt;=DK$5, COUNTIF($M94:DJ94,"u")=0), "u", "")</f>
        <v/>
      </c>
      <c r="DL94" s="80" t="str">
        <f>IF(AND($F94&lt;&gt;"", $F94&gt;=DL$5-4, $F94&lt;=DL$5, COUNTIF($M94:DK94,"u")=0), "u", "")</f>
        <v/>
      </c>
    </row>
    <row r="95" spans="1:116" ht="25.05" customHeight="1" x14ac:dyDescent="0.3">
      <c r="A95" s="39"/>
      <c r="B95" s="75">
        <v>90</v>
      </c>
      <c r="C95" s="97"/>
      <c r="D95" s="92"/>
      <c r="E95" s="53"/>
      <c r="F95" s="53"/>
      <c r="G95" s="83" t="str">
        <f t="shared" si="50"/>
        <v/>
      </c>
      <c r="H95" s="83" t="str">
        <f t="shared" si="50"/>
        <v/>
      </c>
      <c r="I95" s="77" t="str">
        <f t="shared" si="48"/>
        <v/>
      </c>
      <c r="J95" s="78"/>
      <c r="K95" s="86"/>
      <c r="L95" s="56"/>
      <c r="M95" s="80" t="str">
        <f t="shared" si="49"/>
        <v/>
      </c>
      <c r="N95" s="80" t="str">
        <f>IF(AND($F95&lt;&gt;"", $F95&gt;=N$5-4, $F95&lt;=N$5, COUNTIF($M95:M95,"u")=0), "u", "")</f>
        <v/>
      </c>
      <c r="O95" s="80" t="str">
        <f>IF(AND($F95&lt;&gt;"", $F95&gt;=O$5-4, $F95&lt;=O$5, COUNTIF($M95:N95,"u")=0), "u", "")</f>
        <v/>
      </c>
      <c r="P95" s="80" t="str">
        <f>IF(AND($F95&lt;&gt;"", $F95&gt;=P$5-4, $F95&lt;=P$5, COUNTIF($M95:O95,"u")=0), "u", "")</f>
        <v/>
      </c>
      <c r="Q95" s="80" t="str">
        <f>IF(AND($F95&lt;&gt;"", $F95&gt;=Q$5-4, $F95&lt;=Q$5, COUNTIF($M95:P95,"u")=0), "u", "")</f>
        <v/>
      </c>
      <c r="R95" s="80" t="str">
        <f>IF(AND($F95&lt;&gt;"", $F95&gt;=R$5-4, $F95&lt;=R$5, COUNTIF($M95:Q95,"u")=0), "u", "")</f>
        <v/>
      </c>
      <c r="S95" s="80" t="str">
        <f>IF(AND($F95&lt;&gt;"", $F95&gt;=S$5-4, $F95&lt;=S$5, COUNTIF($M95:R95,"u")=0), "u", "")</f>
        <v/>
      </c>
      <c r="T95" s="80" t="str">
        <f>IF(AND($F95&lt;&gt;"", $F95&gt;=T$5-4, $F95&lt;=T$5, COUNTIF($M95:S95,"u")=0), "u", "")</f>
        <v/>
      </c>
      <c r="U95" s="80" t="str">
        <f>IF(AND($F95&lt;&gt;"", $F95&gt;=U$5-4, $F95&lt;=U$5, COUNTIF($M95:T95,"u")=0), "u", "")</f>
        <v/>
      </c>
      <c r="V95" s="80" t="str">
        <f>IF(AND($F95&lt;&gt;"", $F95&gt;=V$5-4, $F95&lt;=V$5, COUNTIF($M95:U95,"u")=0), "u", "")</f>
        <v/>
      </c>
      <c r="W95" s="80" t="str">
        <f>IF(AND($F95&lt;&gt;"", $F95&gt;=W$5-4, $F95&lt;=W$5, COUNTIF($M95:V95,"u")=0), "u", "")</f>
        <v/>
      </c>
      <c r="X95" s="80" t="str">
        <f>IF(AND($F95&lt;&gt;"", $F95&gt;=X$5-4, $F95&lt;=X$5, COUNTIF($M95:W95,"u")=0), "u", "")</f>
        <v/>
      </c>
      <c r="Y95" s="80" t="str">
        <f>IF(AND($F95&lt;&gt;"", $F95&gt;=Y$5-4, $F95&lt;=Y$5, COUNTIF($M95:X95,"u")=0), "u", "")</f>
        <v/>
      </c>
      <c r="Z95" s="80" t="str">
        <f>IF(AND($F95&lt;&gt;"", $F95&gt;=Z$5-4, $F95&lt;=Z$5, COUNTIF($M95:Y95,"u")=0), "u", "")</f>
        <v/>
      </c>
      <c r="AA95" s="80" t="str">
        <f>IF(AND($F95&lt;&gt;"", $F95&gt;=AA$5-4, $F95&lt;=AA$5, COUNTIF($M95:Z95,"u")=0), "u", "")</f>
        <v/>
      </c>
      <c r="AB95" s="80" t="str">
        <f>IF(AND($F95&lt;&gt;"", $F95&gt;=AB$5-4, $F95&lt;=AB$5, COUNTIF($M95:AA95,"u")=0), "u", "")</f>
        <v/>
      </c>
      <c r="AC95" s="80" t="str">
        <f>IF(AND($F95&lt;&gt;"", $F95&gt;=AC$5-4, $F95&lt;=AC$5, COUNTIF($M95:AB95,"u")=0), "u", "")</f>
        <v/>
      </c>
      <c r="AD95" s="80" t="str">
        <f>IF(AND($F95&lt;&gt;"", $F95&gt;=AD$5-4, $F95&lt;=AD$5, COUNTIF($M95:AC95,"u")=0), "u", "")</f>
        <v/>
      </c>
      <c r="AE95" s="80" t="str">
        <f>IF(AND($F95&lt;&gt;"", $F95&gt;=AE$5-4, $F95&lt;=AE$5, COUNTIF($M95:AD95,"u")=0), "u", "")</f>
        <v/>
      </c>
      <c r="AF95" s="80" t="str">
        <f>IF(AND($F95&lt;&gt;"", $F95&gt;=AF$5-4, $F95&lt;=AF$5, COUNTIF($M95:AE95,"u")=0), "u", "")</f>
        <v/>
      </c>
      <c r="AG95" s="80" t="str">
        <f>IF(AND($F95&lt;&gt;"", $F95&gt;=AG$5-4, $F95&lt;=AG$5, COUNTIF($M95:AF95,"u")=0), "u", "")</f>
        <v/>
      </c>
      <c r="AH95" s="80" t="str">
        <f>IF(AND($F95&lt;&gt;"", $F95&gt;=AH$5-4, $F95&lt;=AH$5, COUNTIF($M95:AG95,"u")=0), "u", "")</f>
        <v/>
      </c>
      <c r="AI95" s="80" t="str">
        <f>IF(AND($F95&lt;&gt;"", $F95&gt;=AI$5-4, $F95&lt;=AI$5, COUNTIF($M95:AH95,"u")=0), "u", "")</f>
        <v/>
      </c>
      <c r="AJ95" s="80" t="str">
        <f>IF(AND($F95&lt;&gt;"", $F95&gt;=AJ$5-4, $F95&lt;=AJ$5, COUNTIF($M95:AI95,"u")=0), "u", "")</f>
        <v/>
      </c>
      <c r="AK95" s="80" t="str">
        <f>IF(AND($F95&lt;&gt;"", $F95&gt;=AK$5-4, $F95&lt;=AK$5, COUNTIF($M95:AJ95,"u")=0), "u", "")</f>
        <v/>
      </c>
      <c r="AL95" s="80" t="str">
        <f>IF(AND($F95&lt;&gt;"", $F95&gt;=AL$5-4, $F95&lt;=AL$5, COUNTIF($M95:AK95,"u")=0), "u", "")</f>
        <v/>
      </c>
      <c r="AM95" s="80" t="str">
        <f>IF(AND($F95&lt;&gt;"", $F95&gt;=AM$5-4, $F95&lt;=AM$5, COUNTIF($M95:AL95,"u")=0), "u", "")</f>
        <v/>
      </c>
      <c r="AN95" s="80" t="str">
        <f>IF(AND($F95&lt;&gt;"", $F95&gt;=AN$5-4, $F95&lt;=AN$5, COUNTIF($M95:AM95,"u")=0), "u", "")</f>
        <v/>
      </c>
      <c r="AO95" s="80" t="str">
        <f>IF(AND($F95&lt;&gt;"", $F95&gt;=AO$5-4, $F95&lt;=AO$5, COUNTIF($M95:AN95,"u")=0), "u", "")</f>
        <v/>
      </c>
      <c r="AP95" s="80" t="str">
        <f>IF(AND($F95&lt;&gt;"", $F95&gt;=AP$5-4, $F95&lt;=AP$5, COUNTIF($M95:AO95,"u")=0), "u", "")</f>
        <v/>
      </c>
      <c r="AQ95" s="80" t="str">
        <f>IF(AND($F95&lt;&gt;"", $F95&gt;=AQ$5-4, $F95&lt;=AQ$5, COUNTIF($M95:AP95,"u")=0), "u", "")</f>
        <v/>
      </c>
      <c r="AR95" s="80" t="str">
        <f>IF(AND($F95&lt;&gt;"", $F95&gt;=AR$5-4, $F95&lt;=AR$5, COUNTIF($M95:AQ95,"u")=0), "u", "")</f>
        <v/>
      </c>
      <c r="AS95" s="80" t="str">
        <f>IF(AND($F95&lt;&gt;"", $F95&gt;=AS$5-4, $F95&lt;=AS$5, COUNTIF($M95:AR95,"u")=0), "u", "")</f>
        <v/>
      </c>
      <c r="AT95" s="80" t="str">
        <f>IF(AND($F95&lt;&gt;"", $F95&gt;=AT$5-4, $F95&lt;=AT$5, COUNTIF($M95:AS95,"u")=0), "u", "")</f>
        <v/>
      </c>
      <c r="AU95" s="80" t="str">
        <f>IF(AND($F95&lt;&gt;"", $F95&gt;=AU$5-4, $F95&lt;=AU$5, COUNTIF($M95:AT95,"u")=0), "u", "")</f>
        <v/>
      </c>
      <c r="AV95" s="80" t="str">
        <f>IF(AND($F95&lt;&gt;"", $F95&gt;=AV$5-4, $F95&lt;=AV$5, COUNTIF($M95:AU95,"u")=0), "u", "")</f>
        <v/>
      </c>
      <c r="AW95" s="80" t="str">
        <f>IF(AND($F95&lt;&gt;"", $F95&gt;=AW$5-4, $F95&lt;=AW$5, COUNTIF($M95:AV95,"u")=0), "u", "")</f>
        <v/>
      </c>
      <c r="AX95" s="80" t="str">
        <f>IF(AND($F95&lt;&gt;"", $F95&gt;=AX$5-4, $F95&lt;=AX$5, COUNTIF($M95:AW95,"u")=0), "u", "")</f>
        <v/>
      </c>
      <c r="AY95" s="80" t="str">
        <f>IF(AND($F95&lt;&gt;"", $F95&gt;=AY$5-4, $F95&lt;=AY$5, COUNTIF($M95:AX95,"u")=0), "u", "")</f>
        <v/>
      </c>
      <c r="AZ95" s="80" t="str">
        <f>IF(AND($F95&lt;&gt;"", $F95&gt;=AZ$5-4, $F95&lt;=AZ$5, COUNTIF($M95:AY95,"u")=0), "u", "")</f>
        <v/>
      </c>
      <c r="BA95" s="80" t="str">
        <f>IF(AND($F95&lt;&gt;"", $F95&gt;=BA$5-4, $F95&lt;=BA$5, COUNTIF($M95:AZ95,"u")=0), "u", "")</f>
        <v/>
      </c>
      <c r="BB95" s="80" t="str">
        <f>IF(AND($F95&lt;&gt;"", $F95&gt;=BB$5-4, $F95&lt;=BB$5, COUNTIF($M95:BA95,"u")=0), "u", "")</f>
        <v/>
      </c>
      <c r="BC95" s="80" t="str">
        <f>IF(AND($F95&lt;&gt;"", $F95&gt;=BC$5-4, $F95&lt;=BC$5, COUNTIF($M95:BB95,"u")=0), "u", "")</f>
        <v/>
      </c>
      <c r="BD95" s="80" t="str">
        <f>IF(AND($F95&lt;&gt;"", $F95&gt;=BD$5-4, $F95&lt;=BD$5, COUNTIF($M95:BC95,"u")=0), "u", "")</f>
        <v/>
      </c>
      <c r="BE95" s="80" t="str">
        <f>IF(AND($F95&lt;&gt;"", $F95&gt;=BE$5-4, $F95&lt;=BE$5, COUNTIF($M95:BD95,"u")=0), "u", "")</f>
        <v/>
      </c>
      <c r="BF95" s="80" t="str">
        <f>IF(AND($F95&lt;&gt;"", $F95&gt;=BF$5-4, $F95&lt;=BF$5, COUNTIF($M95:BE95,"u")=0), "u", "")</f>
        <v/>
      </c>
      <c r="BG95" s="80" t="str">
        <f>IF(AND($F95&lt;&gt;"", $F95&gt;=BG$5-4, $F95&lt;=BG$5, COUNTIF($M95:BF95,"u")=0), "u", "")</f>
        <v/>
      </c>
      <c r="BH95" s="80" t="str">
        <f>IF(AND($F95&lt;&gt;"", $F95&gt;=BH$5-4, $F95&lt;=BH$5, COUNTIF($M95:BG95,"u")=0), "u", "")</f>
        <v/>
      </c>
      <c r="BI95" s="80" t="str">
        <f>IF(AND($F95&lt;&gt;"", $F95&gt;=BI$5-4, $F95&lt;=BI$5, COUNTIF($M95:BH95,"u")=0), "u", "")</f>
        <v/>
      </c>
      <c r="BJ95" s="80" t="str">
        <f>IF(AND($F95&lt;&gt;"", $F95&gt;=BJ$5-4, $F95&lt;=BJ$5, COUNTIF($M95:BI95,"u")=0), "u", "")</f>
        <v/>
      </c>
      <c r="BK95" s="80" t="str">
        <f>IF(AND($F95&lt;&gt;"", $F95&gt;=BK$5-4, $F95&lt;=BK$5, COUNTIF($M95:BJ95,"u")=0), "u", "")</f>
        <v/>
      </c>
      <c r="BL95" s="80" t="str">
        <f>IF(AND($F95&lt;&gt;"", $F95&gt;=BL$5-4, $F95&lt;=BL$5, COUNTIF($M95:BK95,"u")=0), "u", "")</f>
        <v/>
      </c>
      <c r="BM95" s="80" t="str">
        <f>IF(AND($F95&lt;&gt;"", $F95&gt;=BM$5-4, $F95&lt;=BM$5, COUNTIF($M95:BL95,"u")=0), "u", "")</f>
        <v/>
      </c>
      <c r="BN95" s="80" t="str">
        <f>IF(AND($F95&lt;&gt;"", $F95&gt;=BN$5-4, $F95&lt;=BN$5, COUNTIF($M95:BM95,"u")=0), "u", "")</f>
        <v/>
      </c>
      <c r="BO95" s="80" t="str">
        <f>IF(AND($F95&lt;&gt;"", $F95&gt;=BO$5-4, $F95&lt;=BO$5, COUNTIF($M95:BN95,"u")=0), "u", "")</f>
        <v/>
      </c>
      <c r="BP95" s="80" t="str">
        <f>IF(AND($F95&lt;&gt;"", $F95&gt;=BP$5-4, $F95&lt;=BP$5, COUNTIF($M95:BO95,"u")=0), "u", "")</f>
        <v/>
      </c>
      <c r="BQ95" s="80" t="str">
        <f>IF(AND($F95&lt;&gt;"", $F95&gt;=BQ$5-4, $F95&lt;=BQ$5, COUNTIF($M95:BP95,"u")=0), "u", "")</f>
        <v/>
      </c>
      <c r="BR95" s="80" t="str">
        <f>IF(AND($F95&lt;&gt;"", $F95&gt;=BR$5-4, $F95&lt;=BR$5, COUNTIF($M95:BQ95,"u")=0), "u", "")</f>
        <v/>
      </c>
      <c r="BS95" s="80" t="str">
        <f>IF(AND($F95&lt;&gt;"", $F95&gt;=BS$5-4, $F95&lt;=BS$5, COUNTIF($M95:BR95,"u")=0), "u", "")</f>
        <v/>
      </c>
      <c r="BT95" s="80" t="str">
        <f>IF(AND($F95&lt;&gt;"", $F95&gt;=BT$5-4, $F95&lt;=BT$5, COUNTIF($M95:BS95,"u")=0), "u", "")</f>
        <v/>
      </c>
      <c r="BU95" s="80" t="str">
        <f>IF(AND($F95&lt;&gt;"", $F95&gt;=BU$5-4, $F95&lt;=BU$5, COUNTIF($M95:BT95,"u")=0), "u", "")</f>
        <v/>
      </c>
      <c r="BV95" s="80" t="str">
        <f>IF(AND($F95&lt;&gt;"", $F95&gt;=BV$5-4, $F95&lt;=BV$5, COUNTIF($M95:BU95,"u")=0), "u", "")</f>
        <v/>
      </c>
      <c r="BW95" s="80" t="str">
        <f>IF(AND($F95&lt;&gt;"", $F95&gt;=BW$5-4, $F95&lt;=BW$5, COUNTIF($M95:BV95,"u")=0), "u", "")</f>
        <v/>
      </c>
      <c r="BX95" s="80" t="str">
        <f>IF(AND($F95&lt;&gt;"", $F95&gt;=BX$5-4, $F95&lt;=BX$5, COUNTIF($M95:BW95,"u")=0), "u", "")</f>
        <v/>
      </c>
      <c r="BY95" s="80" t="str">
        <f>IF(AND($F95&lt;&gt;"", $F95&gt;=BY$5-4, $F95&lt;=BY$5, COUNTIF($M95:BX95,"u")=0), "u", "")</f>
        <v/>
      </c>
      <c r="BZ95" s="80" t="str">
        <f>IF(AND($F95&lt;&gt;"", $F95&gt;=BZ$5-4, $F95&lt;=BZ$5, COUNTIF($M95:BY95,"u")=0), "u", "")</f>
        <v/>
      </c>
      <c r="CA95" s="80" t="str">
        <f>IF(AND($F95&lt;&gt;"", $F95&gt;=CA$5-4, $F95&lt;=CA$5, COUNTIF($M95:BZ95,"u")=0), "u", "")</f>
        <v/>
      </c>
      <c r="CB95" s="80" t="str">
        <f>IF(AND($F95&lt;&gt;"", $F95&gt;=CB$5-4, $F95&lt;=CB$5, COUNTIF($M95:CA95,"u")=0), "u", "")</f>
        <v/>
      </c>
      <c r="CC95" s="80" t="str">
        <f>IF(AND($F95&lt;&gt;"", $F95&gt;=CC$5-4, $F95&lt;=CC$5, COUNTIF($M95:CB95,"u")=0), "u", "")</f>
        <v/>
      </c>
      <c r="CD95" s="80" t="str">
        <f>IF(AND($F95&lt;&gt;"", $F95&gt;=CD$5-4, $F95&lt;=CD$5, COUNTIF($M95:CC95,"u")=0), "u", "")</f>
        <v/>
      </c>
      <c r="CE95" s="80" t="str">
        <f>IF(AND($F95&lt;&gt;"", $F95&gt;=CE$5-4, $F95&lt;=CE$5, COUNTIF($M95:CD95,"u")=0), "u", "")</f>
        <v/>
      </c>
      <c r="CF95" s="80" t="str">
        <f>IF(AND($F95&lt;&gt;"", $F95&gt;=CF$5-4, $F95&lt;=CF$5, COUNTIF($M95:CE95,"u")=0), "u", "")</f>
        <v/>
      </c>
      <c r="CG95" s="80" t="str">
        <f>IF(AND($F95&lt;&gt;"", $F95&gt;=CG$5-4, $F95&lt;=CG$5, COUNTIF($M95:CF95,"u")=0), "u", "")</f>
        <v/>
      </c>
      <c r="CH95" s="80" t="str">
        <f>IF(AND($F95&lt;&gt;"", $F95&gt;=CH$5-4, $F95&lt;=CH$5, COUNTIF($M95:CG95,"u")=0), "u", "")</f>
        <v/>
      </c>
      <c r="CI95" s="80" t="str">
        <f>IF(AND($F95&lt;&gt;"", $F95&gt;=CI$5-4, $F95&lt;=CI$5, COUNTIF($M95:CH95,"u")=0), "u", "")</f>
        <v/>
      </c>
      <c r="CJ95" s="80" t="str">
        <f>IF(AND($F95&lt;&gt;"", $F95&gt;=CJ$5-4, $F95&lt;=CJ$5, COUNTIF($M95:CI95,"u")=0), "u", "")</f>
        <v/>
      </c>
      <c r="CK95" s="80" t="str">
        <f>IF(AND($F95&lt;&gt;"", $F95&gt;=CK$5-4, $F95&lt;=CK$5, COUNTIF($M95:CJ95,"u")=0), "u", "")</f>
        <v/>
      </c>
      <c r="CL95" s="80" t="str">
        <f>IF(AND($F95&lt;&gt;"", $F95&gt;=CL$5-4, $F95&lt;=CL$5, COUNTIF($M95:CK95,"u")=0), "u", "")</f>
        <v/>
      </c>
      <c r="CM95" s="80" t="str">
        <f>IF(AND($F95&lt;&gt;"", $F95&gt;=CM$5-4, $F95&lt;=CM$5, COUNTIF($M95:CL95,"u")=0), "u", "")</f>
        <v/>
      </c>
      <c r="CN95" s="80" t="str">
        <f>IF(AND($F95&lt;&gt;"", $F95&gt;=CN$5-4, $F95&lt;=CN$5, COUNTIF($M95:CM95,"u")=0), "u", "")</f>
        <v/>
      </c>
      <c r="CO95" s="80" t="str">
        <f>IF(AND($F95&lt;&gt;"", $F95&gt;=CO$5-4, $F95&lt;=CO$5, COUNTIF($M95:CN95,"u")=0), "u", "")</f>
        <v/>
      </c>
      <c r="CP95" s="80" t="str">
        <f>IF(AND($F95&lt;&gt;"", $F95&gt;=CP$5-4, $F95&lt;=CP$5, COUNTIF($M95:CO95,"u")=0), "u", "")</f>
        <v/>
      </c>
      <c r="CQ95" s="80" t="str">
        <f>IF(AND($F95&lt;&gt;"", $F95&gt;=CQ$5-4, $F95&lt;=CQ$5, COUNTIF($M95:CP95,"u")=0), "u", "")</f>
        <v/>
      </c>
      <c r="CR95" s="80" t="str">
        <f>IF(AND($F95&lt;&gt;"", $F95&gt;=CR$5-4, $F95&lt;=CR$5, COUNTIF($M95:CQ95,"u")=0), "u", "")</f>
        <v/>
      </c>
      <c r="CS95" s="80" t="str">
        <f>IF(AND($F95&lt;&gt;"", $F95&gt;=CS$5-4, $F95&lt;=CS$5, COUNTIF($M95:CR95,"u")=0), "u", "")</f>
        <v/>
      </c>
      <c r="CT95" s="80" t="str">
        <f>IF(AND($F95&lt;&gt;"", $F95&gt;=CT$5-4, $F95&lt;=CT$5, COUNTIF($M95:CS95,"u")=0), "u", "")</f>
        <v/>
      </c>
      <c r="CU95" s="80" t="str">
        <f>IF(AND($F95&lt;&gt;"", $F95&gt;=CU$5-4, $F95&lt;=CU$5, COUNTIF($M95:CT95,"u")=0), "u", "")</f>
        <v/>
      </c>
      <c r="CV95" s="80" t="str">
        <f>IF(AND($F95&lt;&gt;"", $F95&gt;=CV$5-4, $F95&lt;=CV$5, COUNTIF($M95:CU95,"u")=0), "u", "")</f>
        <v/>
      </c>
      <c r="CW95" s="80" t="str">
        <f>IF(AND($F95&lt;&gt;"", $F95&gt;=CW$5-4, $F95&lt;=CW$5, COUNTIF($M95:CV95,"u")=0), "u", "")</f>
        <v/>
      </c>
      <c r="CX95" s="80" t="str">
        <f>IF(AND($F95&lt;&gt;"", $F95&gt;=CX$5-4, $F95&lt;=CX$5, COUNTIF($M95:CW95,"u")=0), "u", "")</f>
        <v/>
      </c>
      <c r="CY95" s="80" t="str">
        <f>IF(AND($F95&lt;&gt;"", $F95&gt;=CY$5-4, $F95&lt;=CY$5, COUNTIF($M95:CX95,"u")=0), "u", "")</f>
        <v/>
      </c>
      <c r="CZ95" s="80" t="str">
        <f>IF(AND($F95&lt;&gt;"", $F95&gt;=CZ$5-4, $F95&lt;=CZ$5, COUNTIF($M95:CY95,"u")=0), "u", "")</f>
        <v/>
      </c>
      <c r="DA95" s="80" t="str">
        <f>IF(AND($F95&lt;&gt;"", $F95&gt;=DA$5-4, $F95&lt;=DA$5, COUNTIF($M95:CZ95,"u")=0), "u", "")</f>
        <v/>
      </c>
      <c r="DB95" s="80" t="str">
        <f>IF(AND($F95&lt;&gt;"", $F95&gt;=DB$5-4, $F95&lt;=DB$5, COUNTIF($M95:DA95,"u")=0), "u", "")</f>
        <v/>
      </c>
      <c r="DC95" s="80" t="str">
        <f>IF(AND($F95&lt;&gt;"", $F95&gt;=DC$5-4, $F95&lt;=DC$5, COUNTIF($M95:DB95,"u")=0), "u", "")</f>
        <v/>
      </c>
      <c r="DD95" s="80" t="str">
        <f>IF(AND($F95&lt;&gt;"", $F95&gt;=DD$5-4, $F95&lt;=DD$5, COUNTIF($M95:DC95,"u")=0), "u", "")</f>
        <v/>
      </c>
      <c r="DE95" s="80" t="str">
        <f>IF(AND($F95&lt;&gt;"", $F95&gt;=DE$5-4, $F95&lt;=DE$5, COUNTIF($M95:DD95,"u")=0), "u", "")</f>
        <v/>
      </c>
      <c r="DF95" s="80" t="str">
        <f>IF(AND($F95&lt;&gt;"", $F95&gt;=DF$5-4, $F95&lt;=DF$5, COUNTIF($M95:DE95,"u")=0), "u", "")</f>
        <v/>
      </c>
      <c r="DG95" s="80" t="str">
        <f>IF(AND($F95&lt;&gt;"", $F95&gt;=DG$5-4, $F95&lt;=DG$5, COUNTIF($M95:DF95,"u")=0), "u", "")</f>
        <v/>
      </c>
      <c r="DH95" s="80" t="str">
        <f>IF(AND($F95&lt;&gt;"", $F95&gt;=DH$5-4, $F95&lt;=DH$5, COUNTIF($M95:DG95,"u")=0), "u", "")</f>
        <v/>
      </c>
      <c r="DI95" s="80" t="str">
        <f>IF(AND($F95&lt;&gt;"", $F95&gt;=DI$5-4, $F95&lt;=DI$5, COUNTIF($M95:DH95,"u")=0), "u", "")</f>
        <v/>
      </c>
      <c r="DJ95" s="80" t="str">
        <f>IF(AND($F95&lt;&gt;"", $F95&gt;=DJ$5-4, $F95&lt;=DJ$5, COUNTIF($M95:DI95,"u")=0), "u", "")</f>
        <v/>
      </c>
      <c r="DK95" s="80" t="str">
        <f>IF(AND($F95&lt;&gt;"", $F95&gt;=DK$5-4, $F95&lt;=DK$5, COUNTIF($M95:DJ95,"u")=0), "u", "")</f>
        <v/>
      </c>
      <c r="DL95" s="80" t="str">
        <f>IF(AND($F95&lt;&gt;"", $F95&gt;=DL$5-4, $F95&lt;=DL$5, COUNTIF($M95:DK95,"u")=0), "u", "")</f>
        <v/>
      </c>
    </row>
    <row r="96" spans="1:116" ht="25.05" customHeight="1" x14ac:dyDescent="0.3">
      <c r="A96" s="39"/>
      <c r="B96" s="75">
        <v>91</v>
      </c>
      <c r="C96" s="97"/>
      <c r="D96" s="92"/>
      <c r="E96" s="53"/>
      <c r="F96" s="53"/>
      <c r="G96" s="83" t="str">
        <f t="shared" si="50"/>
        <v/>
      </c>
      <c r="H96" s="83" t="str">
        <f t="shared" si="50"/>
        <v/>
      </c>
      <c r="I96" s="77" t="str">
        <f t="shared" si="48"/>
        <v/>
      </c>
      <c r="J96" s="78"/>
      <c r="K96" s="86"/>
      <c r="L96" s="56"/>
      <c r="M96" s="80" t="str">
        <f t="shared" si="49"/>
        <v/>
      </c>
      <c r="N96" s="80" t="str">
        <f>IF(AND($F96&lt;&gt;"", $F96&gt;=N$5-4, $F96&lt;=N$5, COUNTIF($M96:M96,"u")=0), "u", "")</f>
        <v/>
      </c>
      <c r="O96" s="80" t="str">
        <f>IF(AND($F96&lt;&gt;"", $F96&gt;=O$5-4, $F96&lt;=O$5, COUNTIF($M96:N96,"u")=0), "u", "")</f>
        <v/>
      </c>
      <c r="P96" s="80" t="str">
        <f>IF(AND($F96&lt;&gt;"", $F96&gt;=P$5-4, $F96&lt;=P$5, COUNTIF($M96:O96,"u")=0), "u", "")</f>
        <v/>
      </c>
      <c r="Q96" s="80" t="str">
        <f>IF(AND($F96&lt;&gt;"", $F96&gt;=Q$5-4, $F96&lt;=Q$5, COUNTIF($M96:P96,"u")=0), "u", "")</f>
        <v/>
      </c>
      <c r="R96" s="80" t="str">
        <f>IF(AND($F96&lt;&gt;"", $F96&gt;=R$5-4, $F96&lt;=R$5, COUNTIF($M96:Q96,"u")=0), "u", "")</f>
        <v/>
      </c>
      <c r="S96" s="80" t="str">
        <f>IF(AND($F96&lt;&gt;"", $F96&gt;=S$5-4, $F96&lt;=S$5, COUNTIF($M96:R96,"u")=0), "u", "")</f>
        <v/>
      </c>
      <c r="T96" s="80" t="str">
        <f>IF(AND($F96&lt;&gt;"", $F96&gt;=T$5-4, $F96&lt;=T$5, COUNTIF($M96:S96,"u")=0), "u", "")</f>
        <v/>
      </c>
      <c r="U96" s="80" t="str">
        <f>IF(AND($F96&lt;&gt;"", $F96&gt;=U$5-4, $F96&lt;=U$5, COUNTIF($M96:T96,"u")=0), "u", "")</f>
        <v/>
      </c>
      <c r="V96" s="80" t="str">
        <f>IF(AND($F96&lt;&gt;"", $F96&gt;=V$5-4, $F96&lt;=V$5, COUNTIF($M96:U96,"u")=0), "u", "")</f>
        <v/>
      </c>
      <c r="W96" s="80" t="str">
        <f>IF(AND($F96&lt;&gt;"", $F96&gt;=W$5-4, $F96&lt;=W$5, COUNTIF($M96:V96,"u")=0), "u", "")</f>
        <v/>
      </c>
      <c r="X96" s="80" t="str">
        <f>IF(AND($F96&lt;&gt;"", $F96&gt;=X$5-4, $F96&lt;=X$5, COUNTIF($M96:W96,"u")=0), "u", "")</f>
        <v/>
      </c>
      <c r="Y96" s="80" t="str">
        <f>IF(AND($F96&lt;&gt;"", $F96&gt;=Y$5-4, $F96&lt;=Y$5, COUNTIF($M96:X96,"u")=0), "u", "")</f>
        <v/>
      </c>
      <c r="Z96" s="80" t="str">
        <f>IF(AND($F96&lt;&gt;"", $F96&gt;=Z$5-4, $F96&lt;=Z$5, COUNTIF($M96:Y96,"u")=0), "u", "")</f>
        <v/>
      </c>
      <c r="AA96" s="80" t="str">
        <f>IF(AND($F96&lt;&gt;"", $F96&gt;=AA$5-4, $F96&lt;=AA$5, COUNTIF($M96:Z96,"u")=0), "u", "")</f>
        <v/>
      </c>
      <c r="AB96" s="80" t="str">
        <f>IF(AND($F96&lt;&gt;"", $F96&gt;=AB$5-4, $F96&lt;=AB$5, COUNTIF($M96:AA96,"u")=0), "u", "")</f>
        <v/>
      </c>
      <c r="AC96" s="80" t="str">
        <f>IF(AND($F96&lt;&gt;"", $F96&gt;=AC$5-4, $F96&lt;=AC$5, COUNTIF($M96:AB96,"u")=0), "u", "")</f>
        <v/>
      </c>
      <c r="AD96" s="80" t="str">
        <f>IF(AND($F96&lt;&gt;"", $F96&gt;=AD$5-4, $F96&lt;=AD$5, COUNTIF($M96:AC96,"u")=0), "u", "")</f>
        <v/>
      </c>
      <c r="AE96" s="80" t="str">
        <f>IF(AND($F96&lt;&gt;"", $F96&gt;=AE$5-4, $F96&lt;=AE$5, COUNTIF($M96:AD96,"u")=0), "u", "")</f>
        <v/>
      </c>
      <c r="AF96" s="80" t="str">
        <f>IF(AND($F96&lt;&gt;"", $F96&gt;=AF$5-4, $F96&lt;=AF$5, COUNTIF($M96:AE96,"u")=0), "u", "")</f>
        <v/>
      </c>
      <c r="AG96" s="80" t="str">
        <f>IF(AND($F96&lt;&gt;"", $F96&gt;=AG$5-4, $F96&lt;=AG$5, COUNTIF($M96:AF96,"u")=0), "u", "")</f>
        <v/>
      </c>
      <c r="AH96" s="80" t="str">
        <f>IF(AND($F96&lt;&gt;"", $F96&gt;=AH$5-4, $F96&lt;=AH$5, COUNTIF($M96:AG96,"u")=0), "u", "")</f>
        <v/>
      </c>
      <c r="AI96" s="80" t="str">
        <f>IF(AND($F96&lt;&gt;"", $F96&gt;=AI$5-4, $F96&lt;=AI$5, COUNTIF($M96:AH96,"u")=0), "u", "")</f>
        <v/>
      </c>
      <c r="AJ96" s="80" t="str">
        <f>IF(AND($F96&lt;&gt;"", $F96&gt;=AJ$5-4, $F96&lt;=AJ$5, COUNTIF($M96:AI96,"u")=0), "u", "")</f>
        <v/>
      </c>
      <c r="AK96" s="80" t="str">
        <f>IF(AND($F96&lt;&gt;"", $F96&gt;=AK$5-4, $F96&lt;=AK$5, COUNTIF($M96:AJ96,"u")=0), "u", "")</f>
        <v/>
      </c>
      <c r="AL96" s="80" t="str">
        <f>IF(AND($F96&lt;&gt;"", $F96&gt;=AL$5-4, $F96&lt;=AL$5, COUNTIF($M96:AK96,"u")=0), "u", "")</f>
        <v/>
      </c>
      <c r="AM96" s="80" t="str">
        <f>IF(AND($F96&lt;&gt;"", $F96&gt;=AM$5-4, $F96&lt;=AM$5, COUNTIF($M96:AL96,"u")=0), "u", "")</f>
        <v/>
      </c>
      <c r="AN96" s="80" t="str">
        <f>IF(AND($F96&lt;&gt;"", $F96&gt;=AN$5-4, $F96&lt;=AN$5, COUNTIF($M96:AM96,"u")=0), "u", "")</f>
        <v/>
      </c>
      <c r="AO96" s="80" t="str">
        <f>IF(AND($F96&lt;&gt;"", $F96&gt;=AO$5-4, $F96&lt;=AO$5, COUNTIF($M96:AN96,"u")=0), "u", "")</f>
        <v/>
      </c>
      <c r="AP96" s="80" t="str">
        <f>IF(AND($F96&lt;&gt;"", $F96&gt;=AP$5-4, $F96&lt;=AP$5, COUNTIF($M96:AO96,"u")=0), "u", "")</f>
        <v/>
      </c>
      <c r="AQ96" s="80" t="str">
        <f>IF(AND($F96&lt;&gt;"", $F96&gt;=AQ$5-4, $F96&lt;=AQ$5, COUNTIF($M96:AP96,"u")=0), "u", "")</f>
        <v/>
      </c>
      <c r="AR96" s="80" t="str">
        <f>IF(AND($F96&lt;&gt;"", $F96&gt;=AR$5-4, $F96&lt;=AR$5, COUNTIF($M96:AQ96,"u")=0), "u", "")</f>
        <v/>
      </c>
      <c r="AS96" s="80" t="str">
        <f>IF(AND($F96&lt;&gt;"", $F96&gt;=AS$5-4, $F96&lt;=AS$5, COUNTIF($M96:AR96,"u")=0), "u", "")</f>
        <v/>
      </c>
      <c r="AT96" s="80" t="str">
        <f>IF(AND($F96&lt;&gt;"", $F96&gt;=AT$5-4, $F96&lt;=AT$5, COUNTIF($M96:AS96,"u")=0), "u", "")</f>
        <v/>
      </c>
      <c r="AU96" s="80" t="str">
        <f>IF(AND($F96&lt;&gt;"", $F96&gt;=AU$5-4, $F96&lt;=AU$5, COUNTIF($M96:AT96,"u")=0), "u", "")</f>
        <v/>
      </c>
      <c r="AV96" s="80" t="str">
        <f>IF(AND($F96&lt;&gt;"", $F96&gt;=AV$5-4, $F96&lt;=AV$5, COUNTIF($M96:AU96,"u")=0), "u", "")</f>
        <v/>
      </c>
      <c r="AW96" s="80" t="str">
        <f>IF(AND($F96&lt;&gt;"", $F96&gt;=AW$5-4, $F96&lt;=AW$5, COUNTIF($M96:AV96,"u")=0), "u", "")</f>
        <v/>
      </c>
      <c r="AX96" s="80" t="str">
        <f>IF(AND($F96&lt;&gt;"", $F96&gt;=AX$5-4, $F96&lt;=AX$5, COUNTIF($M96:AW96,"u")=0), "u", "")</f>
        <v/>
      </c>
      <c r="AY96" s="80" t="str">
        <f>IF(AND($F96&lt;&gt;"", $F96&gt;=AY$5-4, $F96&lt;=AY$5, COUNTIF($M96:AX96,"u")=0), "u", "")</f>
        <v/>
      </c>
      <c r="AZ96" s="80" t="str">
        <f>IF(AND($F96&lt;&gt;"", $F96&gt;=AZ$5-4, $F96&lt;=AZ$5, COUNTIF($M96:AY96,"u")=0), "u", "")</f>
        <v/>
      </c>
      <c r="BA96" s="80" t="str">
        <f>IF(AND($F96&lt;&gt;"", $F96&gt;=BA$5-4, $F96&lt;=BA$5, COUNTIF($M96:AZ96,"u")=0), "u", "")</f>
        <v/>
      </c>
      <c r="BB96" s="80" t="str">
        <f>IF(AND($F96&lt;&gt;"", $F96&gt;=BB$5-4, $F96&lt;=BB$5, COUNTIF($M96:BA96,"u")=0), "u", "")</f>
        <v/>
      </c>
      <c r="BC96" s="80" t="str">
        <f>IF(AND($F96&lt;&gt;"", $F96&gt;=BC$5-4, $F96&lt;=BC$5, COUNTIF($M96:BB96,"u")=0), "u", "")</f>
        <v/>
      </c>
      <c r="BD96" s="80" t="str">
        <f>IF(AND($F96&lt;&gt;"", $F96&gt;=BD$5-4, $F96&lt;=BD$5, COUNTIF($M96:BC96,"u")=0), "u", "")</f>
        <v/>
      </c>
      <c r="BE96" s="80" t="str">
        <f>IF(AND($F96&lt;&gt;"", $F96&gt;=BE$5-4, $F96&lt;=BE$5, COUNTIF($M96:BD96,"u")=0), "u", "")</f>
        <v/>
      </c>
      <c r="BF96" s="80" t="str">
        <f>IF(AND($F96&lt;&gt;"", $F96&gt;=BF$5-4, $F96&lt;=BF$5, COUNTIF($M96:BE96,"u")=0), "u", "")</f>
        <v/>
      </c>
      <c r="BG96" s="80" t="str">
        <f>IF(AND($F96&lt;&gt;"", $F96&gt;=BG$5-4, $F96&lt;=BG$5, COUNTIF($M96:BF96,"u")=0), "u", "")</f>
        <v/>
      </c>
      <c r="BH96" s="80" t="str">
        <f>IF(AND($F96&lt;&gt;"", $F96&gt;=BH$5-4, $F96&lt;=BH$5, COUNTIF($M96:BG96,"u")=0), "u", "")</f>
        <v/>
      </c>
      <c r="BI96" s="80" t="str">
        <f>IF(AND($F96&lt;&gt;"", $F96&gt;=BI$5-4, $F96&lt;=BI$5, COUNTIF($M96:BH96,"u")=0), "u", "")</f>
        <v/>
      </c>
      <c r="BJ96" s="80" t="str">
        <f>IF(AND($F96&lt;&gt;"", $F96&gt;=BJ$5-4, $F96&lt;=BJ$5, COUNTIF($M96:BI96,"u")=0), "u", "")</f>
        <v/>
      </c>
      <c r="BK96" s="80" t="str">
        <f>IF(AND($F96&lt;&gt;"", $F96&gt;=BK$5-4, $F96&lt;=BK$5, COUNTIF($M96:BJ96,"u")=0), "u", "")</f>
        <v/>
      </c>
      <c r="BL96" s="80" t="str">
        <f>IF(AND($F96&lt;&gt;"", $F96&gt;=BL$5-4, $F96&lt;=BL$5, COUNTIF($M96:BK96,"u")=0), "u", "")</f>
        <v/>
      </c>
      <c r="BM96" s="80" t="str">
        <f>IF(AND($F96&lt;&gt;"", $F96&gt;=BM$5-4, $F96&lt;=BM$5, COUNTIF($M96:BL96,"u")=0), "u", "")</f>
        <v/>
      </c>
      <c r="BN96" s="80" t="str">
        <f>IF(AND($F96&lt;&gt;"", $F96&gt;=BN$5-4, $F96&lt;=BN$5, COUNTIF($M96:BM96,"u")=0), "u", "")</f>
        <v/>
      </c>
      <c r="BO96" s="80" t="str">
        <f>IF(AND($F96&lt;&gt;"", $F96&gt;=BO$5-4, $F96&lt;=BO$5, COUNTIF($M96:BN96,"u")=0), "u", "")</f>
        <v/>
      </c>
      <c r="BP96" s="80" t="str">
        <f>IF(AND($F96&lt;&gt;"", $F96&gt;=BP$5-4, $F96&lt;=BP$5, COUNTIF($M96:BO96,"u")=0), "u", "")</f>
        <v/>
      </c>
      <c r="BQ96" s="80" t="str">
        <f>IF(AND($F96&lt;&gt;"", $F96&gt;=BQ$5-4, $F96&lt;=BQ$5, COUNTIF($M96:BP96,"u")=0), "u", "")</f>
        <v/>
      </c>
      <c r="BR96" s="80" t="str">
        <f>IF(AND($F96&lt;&gt;"", $F96&gt;=BR$5-4, $F96&lt;=BR$5, COUNTIF($M96:BQ96,"u")=0), "u", "")</f>
        <v/>
      </c>
      <c r="BS96" s="80" t="str">
        <f>IF(AND($F96&lt;&gt;"", $F96&gt;=BS$5-4, $F96&lt;=BS$5, COUNTIF($M96:BR96,"u")=0), "u", "")</f>
        <v/>
      </c>
      <c r="BT96" s="80" t="str">
        <f>IF(AND($F96&lt;&gt;"", $F96&gt;=BT$5-4, $F96&lt;=BT$5, COUNTIF($M96:BS96,"u")=0), "u", "")</f>
        <v/>
      </c>
      <c r="BU96" s="80" t="str">
        <f>IF(AND($F96&lt;&gt;"", $F96&gt;=BU$5-4, $F96&lt;=BU$5, COUNTIF($M96:BT96,"u")=0), "u", "")</f>
        <v/>
      </c>
      <c r="BV96" s="80" t="str">
        <f>IF(AND($F96&lt;&gt;"", $F96&gt;=BV$5-4, $F96&lt;=BV$5, COUNTIF($M96:BU96,"u")=0), "u", "")</f>
        <v/>
      </c>
      <c r="BW96" s="80" t="str">
        <f>IF(AND($F96&lt;&gt;"", $F96&gt;=BW$5-4, $F96&lt;=BW$5, COUNTIF($M96:BV96,"u")=0), "u", "")</f>
        <v/>
      </c>
      <c r="BX96" s="80" t="str">
        <f>IF(AND($F96&lt;&gt;"", $F96&gt;=BX$5-4, $F96&lt;=BX$5, COUNTIF($M96:BW96,"u")=0), "u", "")</f>
        <v/>
      </c>
      <c r="BY96" s="80" t="str">
        <f>IF(AND($F96&lt;&gt;"", $F96&gt;=BY$5-4, $F96&lt;=BY$5, COUNTIF($M96:BX96,"u")=0), "u", "")</f>
        <v/>
      </c>
      <c r="BZ96" s="80" t="str">
        <f>IF(AND($F96&lt;&gt;"", $F96&gt;=BZ$5-4, $F96&lt;=BZ$5, COUNTIF($M96:BY96,"u")=0), "u", "")</f>
        <v/>
      </c>
      <c r="CA96" s="80" t="str">
        <f>IF(AND($F96&lt;&gt;"", $F96&gt;=CA$5-4, $F96&lt;=CA$5, COUNTIF($M96:BZ96,"u")=0), "u", "")</f>
        <v/>
      </c>
      <c r="CB96" s="80" t="str">
        <f>IF(AND($F96&lt;&gt;"", $F96&gt;=CB$5-4, $F96&lt;=CB$5, COUNTIF($M96:CA96,"u")=0), "u", "")</f>
        <v/>
      </c>
      <c r="CC96" s="80" t="str">
        <f>IF(AND($F96&lt;&gt;"", $F96&gt;=CC$5-4, $F96&lt;=CC$5, COUNTIF($M96:CB96,"u")=0), "u", "")</f>
        <v/>
      </c>
      <c r="CD96" s="80" t="str">
        <f>IF(AND($F96&lt;&gt;"", $F96&gt;=CD$5-4, $F96&lt;=CD$5, COUNTIF($M96:CC96,"u")=0), "u", "")</f>
        <v/>
      </c>
      <c r="CE96" s="80" t="str">
        <f>IF(AND($F96&lt;&gt;"", $F96&gt;=CE$5-4, $F96&lt;=CE$5, COUNTIF($M96:CD96,"u")=0), "u", "")</f>
        <v/>
      </c>
      <c r="CF96" s="80" t="str">
        <f>IF(AND($F96&lt;&gt;"", $F96&gt;=CF$5-4, $F96&lt;=CF$5, COUNTIF($M96:CE96,"u")=0), "u", "")</f>
        <v/>
      </c>
      <c r="CG96" s="80" t="str">
        <f>IF(AND($F96&lt;&gt;"", $F96&gt;=CG$5-4, $F96&lt;=CG$5, COUNTIF($M96:CF96,"u")=0), "u", "")</f>
        <v/>
      </c>
      <c r="CH96" s="80" t="str">
        <f>IF(AND($F96&lt;&gt;"", $F96&gt;=CH$5-4, $F96&lt;=CH$5, COUNTIF($M96:CG96,"u")=0), "u", "")</f>
        <v/>
      </c>
      <c r="CI96" s="80" t="str">
        <f>IF(AND($F96&lt;&gt;"", $F96&gt;=CI$5-4, $F96&lt;=CI$5, COUNTIF($M96:CH96,"u")=0), "u", "")</f>
        <v/>
      </c>
      <c r="CJ96" s="80" t="str">
        <f>IF(AND($F96&lt;&gt;"", $F96&gt;=CJ$5-4, $F96&lt;=CJ$5, COUNTIF($M96:CI96,"u")=0), "u", "")</f>
        <v/>
      </c>
      <c r="CK96" s="80" t="str">
        <f>IF(AND($F96&lt;&gt;"", $F96&gt;=CK$5-4, $F96&lt;=CK$5, COUNTIF($M96:CJ96,"u")=0), "u", "")</f>
        <v/>
      </c>
      <c r="CL96" s="80" t="str">
        <f>IF(AND($F96&lt;&gt;"", $F96&gt;=CL$5-4, $F96&lt;=CL$5, COUNTIF($M96:CK96,"u")=0), "u", "")</f>
        <v/>
      </c>
      <c r="CM96" s="80" t="str">
        <f>IF(AND($F96&lt;&gt;"", $F96&gt;=CM$5-4, $F96&lt;=CM$5, COUNTIF($M96:CL96,"u")=0), "u", "")</f>
        <v/>
      </c>
      <c r="CN96" s="80" t="str">
        <f>IF(AND($F96&lt;&gt;"", $F96&gt;=CN$5-4, $F96&lt;=CN$5, COUNTIF($M96:CM96,"u")=0), "u", "")</f>
        <v/>
      </c>
      <c r="CO96" s="80" t="str">
        <f>IF(AND($F96&lt;&gt;"", $F96&gt;=CO$5-4, $F96&lt;=CO$5, COUNTIF($M96:CN96,"u")=0), "u", "")</f>
        <v/>
      </c>
      <c r="CP96" s="80" t="str">
        <f>IF(AND($F96&lt;&gt;"", $F96&gt;=CP$5-4, $F96&lt;=CP$5, COUNTIF($M96:CO96,"u")=0), "u", "")</f>
        <v/>
      </c>
      <c r="CQ96" s="80" t="str">
        <f>IF(AND($F96&lt;&gt;"", $F96&gt;=CQ$5-4, $F96&lt;=CQ$5, COUNTIF($M96:CP96,"u")=0), "u", "")</f>
        <v/>
      </c>
      <c r="CR96" s="80" t="str">
        <f>IF(AND($F96&lt;&gt;"", $F96&gt;=CR$5-4, $F96&lt;=CR$5, COUNTIF($M96:CQ96,"u")=0), "u", "")</f>
        <v/>
      </c>
      <c r="CS96" s="80" t="str">
        <f>IF(AND($F96&lt;&gt;"", $F96&gt;=CS$5-4, $F96&lt;=CS$5, COUNTIF($M96:CR96,"u")=0), "u", "")</f>
        <v/>
      </c>
      <c r="CT96" s="80" t="str">
        <f>IF(AND($F96&lt;&gt;"", $F96&gt;=CT$5-4, $F96&lt;=CT$5, COUNTIF($M96:CS96,"u")=0), "u", "")</f>
        <v/>
      </c>
      <c r="CU96" s="80" t="str">
        <f>IF(AND($F96&lt;&gt;"", $F96&gt;=CU$5-4, $F96&lt;=CU$5, COUNTIF($M96:CT96,"u")=0), "u", "")</f>
        <v/>
      </c>
      <c r="CV96" s="80" t="str">
        <f>IF(AND($F96&lt;&gt;"", $F96&gt;=CV$5-4, $F96&lt;=CV$5, COUNTIF($M96:CU96,"u")=0), "u", "")</f>
        <v/>
      </c>
      <c r="CW96" s="80" t="str">
        <f>IF(AND($F96&lt;&gt;"", $F96&gt;=CW$5-4, $F96&lt;=CW$5, COUNTIF($M96:CV96,"u")=0), "u", "")</f>
        <v/>
      </c>
      <c r="CX96" s="80" t="str">
        <f>IF(AND($F96&lt;&gt;"", $F96&gt;=CX$5-4, $F96&lt;=CX$5, COUNTIF($M96:CW96,"u")=0), "u", "")</f>
        <v/>
      </c>
      <c r="CY96" s="80" t="str">
        <f>IF(AND($F96&lt;&gt;"", $F96&gt;=CY$5-4, $F96&lt;=CY$5, COUNTIF($M96:CX96,"u")=0), "u", "")</f>
        <v/>
      </c>
      <c r="CZ96" s="80" t="str">
        <f>IF(AND($F96&lt;&gt;"", $F96&gt;=CZ$5-4, $F96&lt;=CZ$5, COUNTIF($M96:CY96,"u")=0), "u", "")</f>
        <v/>
      </c>
      <c r="DA96" s="80" t="str">
        <f>IF(AND($F96&lt;&gt;"", $F96&gt;=DA$5-4, $F96&lt;=DA$5, COUNTIF($M96:CZ96,"u")=0), "u", "")</f>
        <v/>
      </c>
      <c r="DB96" s="80" t="str">
        <f>IF(AND($F96&lt;&gt;"", $F96&gt;=DB$5-4, $F96&lt;=DB$5, COUNTIF($M96:DA96,"u")=0), "u", "")</f>
        <v/>
      </c>
      <c r="DC96" s="80" t="str">
        <f>IF(AND($F96&lt;&gt;"", $F96&gt;=DC$5-4, $F96&lt;=DC$5, COUNTIF($M96:DB96,"u")=0), "u", "")</f>
        <v/>
      </c>
      <c r="DD96" s="80" t="str">
        <f>IF(AND($F96&lt;&gt;"", $F96&gt;=DD$5-4, $F96&lt;=DD$5, COUNTIF($M96:DC96,"u")=0), "u", "")</f>
        <v/>
      </c>
      <c r="DE96" s="80" t="str">
        <f>IF(AND($F96&lt;&gt;"", $F96&gt;=DE$5-4, $F96&lt;=DE$5, COUNTIF($M96:DD96,"u")=0), "u", "")</f>
        <v/>
      </c>
      <c r="DF96" s="80" t="str">
        <f>IF(AND($F96&lt;&gt;"", $F96&gt;=DF$5-4, $F96&lt;=DF$5, COUNTIF($M96:DE96,"u")=0), "u", "")</f>
        <v/>
      </c>
      <c r="DG96" s="80" t="str">
        <f>IF(AND($F96&lt;&gt;"", $F96&gt;=DG$5-4, $F96&lt;=DG$5, COUNTIF($M96:DF96,"u")=0), "u", "")</f>
        <v/>
      </c>
      <c r="DH96" s="80" t="str">
        <f>IF(AND($F96&lt;&gt;"", $F96&gt;=DH$5-4, $F96&lt;=DH$5, COUNTIF($M96:DG96,"u")=0), "u", "")</f>
        <v/>
      </c>
      <c r="DI96" s="80" t="str">
        <f>IF(AND($F96&lt;&gt;"", $F96&gt;=DI$5-4, $F96&lt;=DI$5, COUNTIF($M96:DH96,"u")=0), "u", "")</f>
        <v/>
      </c>
      <c r="DJ96" s="80" t="str">
        <f>IF(AND($F96&lt;&gt;"", $F96&gt;=DJ$5-4, $F96&lt;=DJ$5, COUNTIF($M96:DI96,"u")=0), "u", "")</f>
        <v/>
      </c>
      <c r="DK96" s="80" t="str">
        <f>IF(AND($F96&lt;&gt;"", $F96&gt;=DK$5-4, $F96&lt;=DK$5, COUNTIF($M96:DJ96,"u")=0), "u", "")</f>
        <v/>
      </c>
      <c r="DL96" s="80" t="str">
        <f>IF(AND($F96&lt;&gt;"", $F96&gt;=DL$5-4, $F96&lt;=DL$5, COUNTIF($M96:DK96,"u")=0), "u", "")</f>
        <v/>
      </c>
    </row>
    <row r="97" spans="1:116" ht="25.05" customHeight="1" x14ac:dyDescent="0.3">
      <c r="A97" s="39"/>
      <c r="B97" s="75">
        <v>92</v>
      </c>
      <c r="C97" s="97"/>
      <c r="D97" s="92"/>
      <c r="E97" s="53"/>
      <c r="F97" s="53"/>
      <c r="G97" s="83" t="str">
        <f t="shared" si="50"/>
        <v/>
      </c>
      <c r="H97" s="83" t="str">
        <f t="shared" si="50"/>
        <v/>
      </c>
      <c r="I97" s="77" t="str">
        <f t="shared" si="48"/>
        <v/>
      </c>
      <c r="J97" s="78"/>
      <c r="K97" s="86"/>
      <c r="L97" s="56"/>
      <c r="M97" s="80" t="str">
        <f t="shared" si="49"/>
        <v/>
      </c>
      <c r="N97" s="80" t="str">
        <f>IF(AND($F97&lt;&gt;"", $F97&gt;=N$5-4, $F97&lt;=N$5, COUNTIF($M97:M97,"u")=0), "u", "")</f>
        <v/>
      </c>
      <c r="O97" s="80" t="str">
        <f>IF(AND($F97&lt;&gt;"", $F97&gt;=O$5-4, $F97&lt;=O$5, COUNTIF($M97:N97,"u")=0), "u", "")</f>
        <v/>
      </c>
      <c r="P97" s="80" t="str">
        <f>IF(AND($F97&lt;&gt;"", $F97&gt;=P$5-4, $F97&lt;=P$5, COUNTIF($M97:O97,"u")=0), "u", "")</f>
        <v/>
      </c>
      <c r="Q97" s="80" t="str">
        <f>IF(AND($F97&lt;&gt;"", $F97&gt;=Q$5-4, $F97&lt;=Q$5, COUNTIF($M97:P97,"u")=0), "u", "")</f>
        <v/>
      </c>
      <c r="R97" s="80" t="str">
        <f>IF(AND($F97&lt;&gt;"", $F97&gt;=R$5-4, $F97&lt;=R$5, COUNTIF($M97:Q97,"u")=0), "u", "")</f>
        <v/>
      </c>
      <c r="S97" s="80" t="str">
        <f>IF(AND($F97&lt;&gt;"", $F97&gt;=S$5-4, $F97&lt;=S$5, COUNTIF($M97:R97,"u")=0), "u", "")</f>
        <v/>
      </c>
      <c r="T97" s="80" t="str">
        <f>IF(AND($F97&lt;&gt;"", $F97&gt;=T$5-4, $F97&lt;=T$5, COUNTIF($M97:S97,"u")=0), "u", "")</f>
        <v/>
      </c>
      <c r="U97" s="80" t="str">
        <f>IF(AND($F97&lt;&gt;"", $F97&gt;=U$5-4, $F97&lt;=U$5, COUNTIF($M97:T97,"u")=0), "u", "")</f>
        <v/>
      </c>
      <c r="V97" s="80" t="str">
        <f>IF(AND($F97&lt;&gt;"", $F97&gt;=V$5-4, $F97&lt;=V$5, COUNTIF($M97:U97,"u")=0), "u", "")</f>
        <v/>
      </c>
      <c r="W97" s="80" t="str">
        <f>IF(AND($F97&lt;&gt;"", $F97&gt;=W$5-4, $F97&lt;=W$5, COUNTIF($M97:V97,"u")=0), "u", "")</f>
        <v/>
      </c>
      <c r="X97" s="80" t="str">
        <f>IF(AND($F97&lt;&gt;"", $F97&gt;=X$5-4, $F97&lt;=X$5, COUNTIF($M97:W97,"u")=0), "u", "")</f>
        <v/>
      </c>
      <c r="Y97" s="80" t="str">
        <f>IF(AND($F97&lt;&gt;"", $F97&gt;=Y$5-4, $F97&lt;=Y$5, COUNTIF($M97:X97,"u")=0), "u", "")</f>
        <v/>
      </c>
      <c r="Z97" s="80" t="str">
        <f>IF(AND($F97&lt;&gt;"", $F97&gt;=Z$5-4, $F97&lt;=Z$5, COUNTIF($M97:Y97,"u")=0), "u", "")</f>
        <v/>
      </c>
      <c r="AA97" s="80" t="str">
        <f>IF(AND($F97&lt;&gt;"", $F97&gt;=AA$5-4, $F97&lt;=AA$5, COUNTIF($M97:Z97,"u")=0), "u", "")</f>
        <v/>
      </c>
      <c r="AB97" s="80" t="str">
        <f>IF(AND($F97&lt;&gt;"", $F97&gt;=AB$5-4, $F97&lt;=AB$5, COUNTIF($M97:AA97,"u")=0), "u", "")</f>
        <v/>
      </c>
      <c r="AC97" s="80" t="str">
        <f>IF(AND($F97&lt;&gt;"", $F97&gt;=AC$5-4, $F97&lt;=AC$5, COUNTIF($M97:AB97,"u")=0), "u", "")</f>
        <v/>
      </c>
      <c r="AD97" s="80" t="str">
        <f>IF(AND($F97&lt;&gt;"", $F97&gt;=AD$5-4, $F97&lt;=AD$5, COUNTIF($M97:AC97,"u")=0), "u", "")</f>
        <v/>
      </c>
      <c r="AE97" s="80" t="str">
        <f>IF(AND($F97&lt;&gt;"", $F97&gt;=AE$5-4, $F97&lt;=AE$5, COUNTIF($M97:AD97,"u")=0), "u", "")</f>
        <v/>
      </c>
      <c r="AF97" s="80" t="str">
        <f>IF(AND($F97&lt;&gt;"", $F97&gt;=AF$5-4, $F97&lt;=AF$5, COUNTIF($M97:AE97,"u")=0), "u", "")</f>
        <v/>
      </c>
      <c r="AG97" s="80" t="str">
        <f>IF(AND($F97&lt;&gt;"", $F97&gt;=AG$5-4, $F97&lt;=AG$5, COUNTIF($M97:AF97,"u")=0), "u", "")</f>
        <v/>
      </c>
      <c r="AH97" s="80" t="str">
        <f>IF(AND($F97&lt;&gt;"", $F97&gt;=AH$5-4, $F97&lt;=AH$5, COUNTIF($M97:AG97,"u")=0), "u", "")</f>
        <v/>
      </c>
      <c r="AI97" s="80" t="str">
        <f>IF(AND($F97&lt;&gt;"", $F97&gt;=AI$5-4, $F97&lt;=AI$5, COUNTIF($M97:AH97,"u")=0), "u", "")</f>
        <v/>
      </c>
      <c r="AJ97" s="80" t="str">
        <f>IF(AND($F97&lt;&gt;"", $F97&gt;=AJ$5-4, $F97&lt;=AJ$5, COUNTIF($M97:AI97,"u")=0), "u", "")</f>
        <v/>
      </c>
      <c r="AK97" s="80" t="str">
        <f>IF(AND($F97&lt;&gt;"", $F97&gt;=AK$5-4, $F97&lt;=AK$5, COUNTIF($M97:AJ97,"u")=0), "u", "")</f>
        <v/>
      </c>
      <c r="AL97" s="80" t="str">
        <f>IF(AND($F97&lt;&gt;"", $F97&gt;=AL$5-4, $F97&lt;=AL$5, COUNTIF($M97:AK97,"u")=0), "u", "")</f>
        <v/>
      </c>
      <c r="AM97" s="80" t="str">
        <f>IF(AND($F97&lt;&gt;"", $F97&gt;=AM$5-4, $F97&lt;=AM$5, COUNTIF($M97:AL97,"u")=0), "u", "")</f>
        <v/>
      </c>
      <c r="AN97" s="80" t="str">
        <f>IF(AND($F97&lt;&gt;"", $F97&gt;=AN$5-4, $F97&lt;=AN$5, COUNTIF($M97:AM97,"u")=0), "u", "")</f>
        <v/>
      </c>
      <c r="AO97" s="80" t="str">
        <f>IF(AND($F97&lt;&gt;"", $F97&gt;=AO$5-4, $F97&lt;=AO$5, COUNTIF($M97:AN97,"u")=0), "u", "")</f>
        <v/>
      </c>
      <c r="AP97" s="80" t="str">
        <f>IF(AND($F97&lt;&gt;"", $F97&gt;=AP$5-4, $F97&lt;=AP$5, COUNTIF($M97:AO97,"u")=0), "u", "")</f>
        <v/>
      </c>
      <c r="AQ97" s="80" t="str">
        <f>IF(AND($F97&lt;&gt;"", $F97&gt;=AQ$5-4, $F97&lt;=AQ$5, COUNTIF($M97:AP97,"u")=0), "u", "")</f>
        <v/>
      </c>
      <c r="AR97" s="80" t="str">
        <f>IF(AND($F97&lt;&gt;"", $F97&gt;=AR$5-4, $F97&lt;=AR$5, COUNTIF($M97:AQ97,"u")=0), "u", "")</f>
        <v/>
      </c>
      <c r="AS97" s="80" t="str">
        <f>IF(AND($F97&lt;&gt;"", $F97&gt;=AS$5-4, $F97&lt;=AS$5, COUNTIF($M97:AR97,"u")=0), "u", "")</f>
        <v/>
      </c>
      <c r="AT97" s="80" t="str">
        <f>IF(AND($F97&lt;&gt;"", $F97&gt;=AT$5-4, $F97&lt;=AT$5, COUNTIF($M97:AS97,"u")=0), "u", "")</f>
        <v/>
      </c>
      <c r="AU97" s="80" t="str">
        <f>IF(AND($F97&lt;&gt;"", $F97&gt;=AU$5-4, $F97&lt;=AU$5, COUNTIF($M97:AT97,"u")=0), "u", "")</f>
        <v/>
      </c>
      <c r="AV97" s="80" t="str">
        <f>IF(AND($F97&lt;&gt;"", $F97&gt;=AV$5-4, $F97&lt;=AV$5, COUNTIF($M97:AU97,"u")=0), "u", "")</f>
        <v/>
      </c>
      <c r="AW97" s="80" t="str">
        <f>IF(AND($F97&lt;&gt;"", $F97&gt;=AW$5-4, $F97&lt;=AW$5, COUNTIF($M97:AV97,"u")=0), "u", "")</f>
        <v/>
      </c>
      <c r="AX97" s="80" t="str">
        <f>IF(AND($F97&lt;&gt;"", $F97&gt;=AX$5-4, $F97&lt;=AX$5, COUNTIF($M97:AW97,"u")=0), "u", "")</f>
        <v/>
      </c>
      <c r="AY97" s="80" t="str">
        <f>IF(AND($F97&lt;&gt;"", $F97&gt;=AY$5-4, $F97&lt;=AY$5, COUNTIF($M97:AX97,"u")=0), "u", "")</f>
        <v/>
      </c>
      <c r="AZ97" s="80" t="str">
        <f>IF(AND($F97&lt;&gt;"", $F97&gt;=AZ$5-4, $F97&lt;=AZ$5, COUNTIF($M97:AY97,"u")=0), "u", "")</f>
        <v/>
      </c>
      <c r="BA97" s="80" t="str">
        <f>IF(AND($F97&lt;&gt;"", $F97&gt;=BA$5-4, $F97&lt;=BA$5, COUNTIF($M97:AZ97,"u")=0), "u", "")</f>
        <v/>
      </c>
      <c r="BB97" s="80" t="str">
        <f>IF(AND($F97&lt;&gt;"", $F97&gt;=BB$5-4, $F97&lt;=BB$5, COUNTIF($M97:BA97,"u")=0), "u", "")</f>
        <v/>
      </c>
      <c r="BC97" s="80" t="str">
        <f>IF(AND($F97&lt;&gt;"", $F97&gt;=BC$5-4, $F97&lt;=BC$5, COUNTIF($M97:BB97,"u")=0), "u", "")</f>
        <v/>
      </c>
      <c r="BD97" s="80" t="str">
        <f>IF(AND($F97&lt;&gt;"", $F97&gt;=BD$5-4, $F97&lt;=BD$5, COUNTIF($M97:BC97,"u")=0), "u", "")</f>
        <v/>
      </c>
      <c r="BE97" s="80" t="str">
        <f>IF(AND($F97&lt;&gt;"", $F97&gt;=BE$5-4, $F97&lt;=BE$5, COUNTIF($M97:BD97,"u")=0), "u", "")</f>
        <v/>
      </c>
      <c r="BF97" s="80" t="str">
        <f>IF(AND($F97&lt;&gt;"", $F97&gt;=BF$5-4, $F97&lt;=BF$5, COUNTIF($M97:BE97,"u")=0), "u", "")</f>
        <v/>
      </c>
      <c r="BG97" s="80" t="str">
        <f>IF(AND($F97&lt;&gt;"", $F97&gt;=BG$5-4, $F97&lt;=BG$5, COUNTIF($M97:BF97,"u")=0), "u", "")</f>
        <v/>
      </c>
      <c r="BH97" s="80" t="str">
        <f>IF(AND($F97&lt;&gt;"", $F97&gt;=BH$5-4, $F97&lt;=BH$5, COUNTIF($M97:BG97,"u")=0), "u", "")</f>
        <v/>
      </c>
      <c r="BI97" s="80" t="str">
        <f>IF(AND($F97&lt;&gt;"", $F97&gt;=BI$5-4, $F97&lt;=BI$5, COUNTIF($M97:BH97,"u")=0), "u", "")</f>
        <v/>
      </c>
      <c r="BJ97" s="80" t="str">
        <f>IF(AND($F97&lt;&gt;"", $F97&gt;=BJ$5-4, $F97&lt;=BJ$5, COUNTIF($M97:BI97,"u")=0), "u", "")</f>
        <v/>
      </c>
      <c r="BK97" s="80" t="str">
        <f>IF(AND($F97&lt;&gt;"", $F97&gt;=BK$5-4, $F97&lt;=BK$5, COUNTIF($M97:BJ97,"u")=0), "u", "")</f>
        <v/>
      </c>
      <c r="BL97" s="80" t="str">
        <f>IF(AND($F97&lt;&gt;"", $F97&gt;=BL$5-4, $F97&lt;=BL$5, COUNTIF($M97:BK97,"u")=0), "u", "")</f>
        <v/>
      </c>
      <c r="BM97" s="80" t="str">
        <f>IF(AND($F97&lt;&gt;"", $F97&gt;=BM$5-4, $F97&lt;=BM$5, COUNTIF($M97:BL97,"u")=0), "u", "")</f>
        <v/>
      </c>
      <c r="BN97" s="80" t="str">
        <f>IF(AND($F97&lt;&gt;"", $F97&gt;=BN$5-4, $F97&lt;=BN$5, COUNTIF($M97:BM97,"u")=0), "u", "")</f>
        <v/>
      </c>
      <c r="BO97" s="80" t="str">
        <f>IF(AND($F97&lt;&gt;"", $F97&gt;=BO$5-4, $F97&lt;=BO$5, COUNTIF($M97:BN97,"u")=0), "u", "")</f>
        <v/>
      </c>
      <c r="BP97" s="80" t="str">
        <f>IF(AND($F97&lt;&gt;"", $F97&gt;=BP$5-4, $F97&lt;=BP$5, COUNTIF($M97:BO97,"u")=0), "u", "")</f>
        <v/>
      </c>
      <c r="BQ97" s="80" t="str">
        <f>IF(AND($F97&lt;&gt;"", $F97&gt;=BQ$5-4, $F97&lt;=BQ$5, COUNTIF($M97:BP97,"u")=0), "u", "")</f>
        <v/>
      </c>
      <c r="BR97" s="80" t="str">
        <f>IF(AND($F97&lt;&gt;"", $F97&gt;=BR$5-4, $F97&lt;=BR$5, COUNTIF($M97:BQ97,"u")=0), "u", "")</f>
        <v/>
      </c>
      <c r="BS97" s="80" t="str">
        <f>IF(AND($F97&lt;&gt;"", $F97&gt;=BS$5-4, $F97&lt;=BS$5, COUNTIF($M97:BR97,"u")=0), "u", "")</f>
        <v/>
      </c>
      <c r="BT97" s="80" t="str">
        <f>IF(AND($F97&lt;&gt;"", $F97&gt;=BT$5-4, $F97&lt;=BT$5, COUNTIF($M97:BS97,"u")=0), "u", "")</f>
        <v/>
      </c>
      <c r="BU97" s="80" t="str">
        <f>IF(AND($F97&lt;&gt;"", $F97&gt;=BU$5-4, $F97&lt;=BU$5, COUNTIF($M97:BT97,"u")=0), "u", "")</f>
        <v/>
      </c>
      <c r="BV97" s="80" t="str">
        <f>IF(AND($F97&lt;&gt;"", $F97&gt;=BV$5-4, $F97&lt;=BV$5, COUNTIF($M97:BU97,"u")=0), "u", "")</f>
        <v/>
      </c>
      <c r="BW97" s="80" t="str">
        <f>IF(AND($F97&lt;&gt;"", $F97&gt;=BW$5-4, $F97&lt;=BW$5, COUNTIF($M97:BV97,"u")=0), "u", "")</f>
        <v/>
      </c>
      <c r="BX97" s="80" t="str">
        <f>IF(AND($F97&lt;&gt;"", $F97&gt;=BX$5-4, $F97&lt;=BX$5, COUNTIF($M97:BW97,"u")=0), "u", "")</f>
        <v/>
      </c>
      <c r="BY97" s="80" t="str">
        <f>IF(AND($F97&lt;&gt;"", $F97&gt;=BY$5-4, $F97&lt;=BY$5, COUNTIF($M97:BX97,"u")=0), "u", "")</f>
        <v/>
      </c>
      <c r="BZ97" s="80" t="str">
        <f>IF(AND($F97&lt;&gt;"", $F97&gt;=BZ$5-4, $F97&lt;=BZ$5, COUNTIF($M97:BY97,"u")=0), "u", "")</f>
        <v/>
      </c>
      <c r="CA97" s="80" t="str">
        <f>IF(AND($F97&lt;&gt;"", $F97&gt;=CA$5-4, $F97&lt;=CA$5, COUNTIF($M97:BZ97,"u")=0), "u", "")</f>
        <v/>
      </c>
      <c r="CB97" s="80" t="str">
        <f>IF(AND($F97&lt;&gt;"", $F97&gt;=CB$5-4, $F97&lt;=CB$5, COUNTIF($M97:CA97,"u")=0), "u", "")</f>
        <v/>
      </c>
      <c r="CC97" s="80" t="str">
        <f>IF(AND($F97&lt;&gt;"", $F97&gt;=CC$5-4, $F97&lt;=CC$5, COUNTIF($M97:CB97,"u")=0), "u", "")</f>
        <v/>
      </c>
      <c r="CD97" s="80" t="str">
        <f>IF(AND($F97&lt;&gt;"", $F97&gt;=CD$5-4, $F97&lt;=CD$5, COUNTIF($M97:CC97,"u")=0), "u", "")</f>
        <v/>
      </c>
      <c r="CE97" s="80" t="str">
        <f>IF(AND($F97&lt;&gt;"", $F97&gt;=CE$5-4, $F97&lt;=CE$5, COUNTIF($M97:CD97,"u")=0), "u", "")</f>
        <v/>
      </c>
      <c r="CF97" s="80" t="str">
        <f>IF(AND($F97&lt;&gt;"", $F97&gt;=CF$5-4, $F97&lt;=CF$5, COUNTIF($M97:CE97,"u")=0), "u", "")</f>
        <v/>
      </c>
      <c r="CG97" s="80" t="str">
        <f>IF(AND($F97&lt;&gt;"", $F97&gt;=CG$5-4, $F97&lt;=CG$5, COUNTIF($M97:CF97,"u")=0), "u", "")</f>
        <v/>
      </c>
      <c r="CH97" s="80" t="str">
        <f>IF(AND($F97&lt;&gt;"", $F97&gt;=CH$5-4, $F97&lt;=CH$5, COUNTIF($M97:CG97,"u")=0), "u", "")</f>
        <v/>
      </c>
      <c r="CI97" s="80" t="str">
        <f>IF(AND($F97&lt;&gt;"", $F97&gt;=CI$5-4, $F97&lt;=CI$5, COUNTIF($M97:CH97,"u")=0), "u", "")</f>
        <v/>
      </c>
      <c r="CJ97" s="80" t="str">
        <f>IF(AND($F97&lt;&gt;"", $F97&gt;=CJ$5-4, $F97&lt;=CJ$5, COUNTIF($M97:CI97,"u")=0), "u", "")</f>
        <v/>
      </c>
      <c r="CK97" s="80" t="str">
        <f>IF(AND($F97&lt;&gt;"", $F97&gt;=CK$5-4, $F97&lt;=CK$5, COUNTIF($M97:CJ97,"u")=0), "u", "")</f>
        <v/>
      </c>
      <c r="CL97" s="80" t="str">
        <f>IF(AND($F97&lt;&gt;"", $F97&gt;=CL$5-4, $F97&lt;=CL$5, COUNTIF($M97:CK97,"u")=0), "u", "")</f>
        <v/>
      </c>
      <c r="CM97" s="80" t="str">
        <f>IF(AND($F97&lt;&gt;"", $F97&gt;=CM$5-4, $F97&lt;=CM$5, COUNTIF($M97:CL97,"u")=0), "u", "")</f>
        <v/>
      </c>
      <c r="CN97" s="80" t="str">
        <f>IF(AND($F97&lt;&gt;"", $F97&gt;=CN$5-4, $F97&lt;=CN$5, COUNTIF($M97:CM97,"u")=0), "u", "")</f>
        <v/>
      </c>
      <c r="CO97" s="80" t="str">
        <f>IF(AND($F97&lt;&gt;"", $F97&gt;=CO$5-4, $F97&lt;=CO$5, COUNTIF($M97:CN97,"u")=0), "u", "")</f>
        <v/>
      </c>
      <c r="CP97" s="80" t="str">
        <f>IF(AND($F97&lt;&gt;"", $F97&gt;=CP$5-4, $F97&lt;=CP$5, COUNTIF($M97:CO97,"u")=0), "u", "")</f>
        <v/>
      </c>
      <c r="CQ97" s="80" t="str">
        <f>IF(AND($F97&lt;&gt;"", $F97&gt;=CQ$5-4, $F97&lt;=CQ$5, COUNTIF($M97:CP97,"u")=0), "u", "")</f>
        <v/>
      </c>
      <c r="CR97" s="80" t="str">
        <f>IF(AND($F97&lt;&gt;"", $F97&gt;=CR$5-4, $F97&lt;=CR$5, COUNTIF($M97:CQ97,"u")=0), "u", "")</f>
        <v/>
      </c>
      <c r="CS97" s="80" t="str">
        <f>IF(AND($F97&lt;&gt;"", $F97&gt;=CS$5-4, $F97&lt;=CS$5, COUNTIF($M97:CR97,"u")=0), "u", "")</f>
        <v/>
      </c>
      <c r="CT97" s="80" t="str">
        <f>IF(AND($F97&lt;&gt;"", $F97&gt;=CT$5-4, $F97&lt;=CT$5, COUNTIF($M97:CS97,"u")=0), "u", "")</f>
        <v/>
      </c>
      <c r="CU97" s="80" t="str">
        <f>IF(AND($F97&lt;&gt;"", $F97&gt;=CU$5-4, $F97&lt;=CU$5, COUNTIF($M97:CT97,"u")=0), "u", "")</f>
        <v/>
      </c>
      <c r="CV97" s="80" t="str">
        <f>IF(AND($F97&lt;&gt;"", $F97&gt;=CV$5-4, $F97&lt;=CV$5, COUNTIF($M97:CU97,"u")=0), "u", "")</f>
        <v/>
      </c>
      <c r="CW97" s="80" t="str">
        <f>IF(AND($F97&lt;&gt;"", $F97&gt;=CW$5-4, $F97&lt;=CW$5, COUNTIF($M97:CV97,"u")=0), "u", "")</f>
        <v/>
      </c>
      <c r="CX97" s="80" t="str">
        <f>IF(AND($F97&lt;&gt;"", $F97&gt;=CX$5-4, $F97&lt;=CX$5, COUNTIF($M97:CW97,"u")=0), "u", "")</f>
        <v/>
      </c>
      <c r="CY97" s="80" t="str">
        <f>IF(AND($F97&lt;&gt;"", $F97&gt;=CY$5-4, $F97&lt;=CY$5, COUNTIF($M97:CX97,"u")=0), "u", "")</f>
        <v/>
      </c>
      <c r="CZ97" s="80" t="str">
        <f>IF(AND($F97&lt;&gt;"", $F97&gt;=CZ$5-4, $F97&lt;=CZ$5, COUNTIF($M97:CY97,"u")=0), "u", "")</f>
        <v/>
      </c>
      <c r="DA97" s="80" t="str">
        <f>IF(AND($F97&lt;&gt;"", $F97&gt;=DA$5-4, $F97&lt;=DA$5, COUNTIF($M97:CZ97,"u")=0), "u", "")</f>
        <v/>
      </c>
      <c r="DB97" s="80" t="str">
        <f>IF(AND($F97&lt;&gt;"", $F97&gt;=DB$5-4, $F97&lt;=DB$5, COUNTIF($M97:DA97,"u")=0), "u", "")</f>
        <v/>
      </c>
      <c r="DC97" s="80" t="str">
        <f>IF(AND($F97&lt;&gt;"", $F97&gt;=DC$5-4, $F97&lt;=DC$5, COUNTIF($M97:DB97,"u")=0), "u", "")</f>
        <v/>
      </c>
      <c r="DD97" s="80" t="str">
        <f>IF(AND($F97&lt;&gt;"", $F97&gt;=DD$5-4, $F97&lt;=DD$5, COUNTIF($M97:DC97,"u")=0), "u", "")</f>
        <v/>
      </c>
      <c r="DE97" s="80" t="str">
        <f>IF(AND($F97&lt;&gt;"", $F97&gt;=DE$5-4, $F97&lt;=DE$5, COUNTIF($M97:DD97,"u")=0), "u", "")</f>
        <v/>
      </c>
      <c r="DF97" s="80" t="str">
        <f>IF(AND($F97&lt;&gt;"", $F97&gt;=DF$5-4, $F97&lt;=DF$5, COUNTIF($M97:DE97,"u")=0), "u", "")</f>
        <v/>
      </c>
      <c r="DG97" s="80" t="str">
        <f>IF(AND($F97&lt;&gt;"", $F97&gt;=DG$5-4, $F97&lt;=DG$5, COUNTIF($M97:DF97,"u")=0), "u", "")</f>
        <v/>
      </c>
      <c r="DH97" s="80" t="str">
        <f>IF(AND($F97&lt;&gt;"", $F97&gt;=DH$5-4, $F97&lt;=DH$5, COUNTIF($M97:DG97,"u")=0), "u", "")</f>
        <v/>
      </c>
      <c r="DI97" s="80" t="str">
        <f>IF(AND($F97&lt;&gt;"", $F97&gt;=DI$5-4, $F97&lt;=DI$5, COUNTIF($M97:DH97,"u")=0), "u", "")</f>
        <v/>
      </c>
      <c r="DJ97" s="80" t="str">
        <f>IF(AND($F97&lt;&gt;"", $F97&gt;=DJ$5-4, $F97&lt;=DJ$5, COUNTIF($M97:DI97,"u")=0), "u", "")</f>
        <v/>
      </c>
      <c r="DK97" s="80" t="str">
        <f>IF(AND($F97&lt;&gt;"", $F97&gt;=DK$5-4, $F97&lt;=DK$5, COUNTIF($M97:DJ97,"u")=0), "u", "")</f>
        <v/>
      </c>
      <c r="DL97" s="80" t="str">
        <f>IF(AND($F97&lt;&gt;"", $F97&gt;=DL$5-4, $F97&lt;=DL$5, COUNTIF($M97:DK97,"u")=0), "u", "")</f>
        <v/>
      </c>
    </row>
    <row r="98" spans="1:116" ht="25.05" customHeight="1" x14ac:dyDescent="0.3">
      <c r="A98" s="39"/>
      <c r="B98" s="75">
        <v>93</v>
      </c>
      <c r="C98" s="97"/>
      <c r="D98" s="92"/>
      <c r="E98" s="53"/>
      <c r="F98" s="53"/>
      <c r="G98" s="83" t="str">
        <f t="shared" si="50"/>
        <v/>
      </c>
      <c r="H98" s="83" t="str">
        <f t="shared" si="50"/>
        <v/>
      </c>
      <c r="I98" s="77" t="str">
        <f t="shared" si="48"/>
        <v/>
      </c>
      <c r="J98" s="78"/>
      <c r="K98" s="86"/>
      <c r="L98" s="56"/>
      <c r="M98" s="80" t="str">
        <f t="shared" si="49"/>
        <v/>
      </c>
      <c r="N98" s="80" t="str">
        <f>IF(AND($F98&lt;&gt;"", $F98&gt;=N$5-4, $F98&lt;=N$5, COUNTIF($M98:M98,"u")=0), "u", "")</f>
        <v/>
      </c>
      <c r="O98" s="80" t="str">
        <f>IF(AND($F98&lt;&gt;"", $F98&gt;=O$5-4, $F98&lt;=O$5, COUNTIF($M98:N98,"u")=0), "u", "")</f>
        <v/>
      </c>
      <c r="P98" s="80" t="str">
        <f>IF(AND($F98&lt;&gt;"", $F98&gt;=P$5-4, $F98&lt;=P$5, COUNTIF($M98:O98,"u")=0), "u", "")</f>
        <v/>
      </c>
      <c r="Q98" s="80" t="str">
        <f>IF(AND($F98&lt;&gt;"", $F98&gt;=Q$5-4, $F98&lt;=Q$5, COUNTIF($M98:P98,"u")=0), "u", "")</f>
        <v/>
      </c>
      <c r="R98" s="80" t="str">
        <f>IF(AND($F98&lt;&gt;"", $F98&gt;=R$5-4, $F98&lt;=R$5, COUNTIF($M98:Q98,"u")=0), "u", "")</f>
        <v/>
      </c>
      <c r="S98" s="80" t="str">
        <f>IF(AND($F98&lt;&gt;"", $F98&gt;=S$5-4, $F98&lt;=S$5, COUNTIF($M98:R98,"u")=0), "u", "")</f>
        <v/>
      </c>
      <c r="T98" s="80" t="str">
        <f>IF(AND($F98&lt;&gt;"", $F98&gt;=T$5-4, $F98&lt;=T$5, COUNTIF($M98:S98,"u")=0), "u", "")</f>
        <v/>
      </c>
      <c r="U98" s="80" t="str">
        <f>IF(AND($F98&lt;&gt;"", $F98&gt;=U$5-4, $F98&lt;=U$5, COUNTIF($M98:T98,"u")=0), "u", "")</f>
        <v/>
      </c>
      <c r="V98" s="80" t="str">
        <f>IF(AND($F98&lt;&gt;"", $F98&gt;=V$5-4, $F98&lt;=V$5, COUNTIF($M98:U98,"u")=0), "u", "")</f>
        <v/>
      </c>
      <c r="W98" s="80" t="str">
        <f>IF(AND($F98&lt;&gt;"", $F98&gt;=W$5-4, $F98&lt;=W$5, COUNTIF($M98:V98,"u")=0), "u", "")</f>
        <v/>
      </c>
      <c r="X98" s="80" t="str">
        <f>IF(AND($F98&lt;&gt;"", $F98&gt;=X$5-4, $F98&lt;=X$5, COUNTIF($M98:W98,"u")=0), "u", "")</f>
        <v/>
      </c>
      <c r="Y98" s="80" t="str">
        <f>IF(AND($F98&lt;&gt;"", $F98&gt;=Y$5-4, $F98&lt;=Y$5, COUNTIF($M98:X98,"u")=0), "u", "")</f>
        <v/>
      </c>
      <c r="Z98" s="80" t="str">
        <f>IF(AND($F98&lt;&gt;"", $F98&gt;=Z$5-4, $F98&lt;=Z$5, COUNTIF($M98:Y98,"u")=0), "u", "")</f>
        <v/>
      </c>
      <c r="AA98" s="80" t="str">
        <f>IF(AND($F98&lt;&gt;"", $F98&gt;=AA$5-4, $F98&lt;=AA$5, COUNTIF($M98:Z98,"u")=0), "u", "")</f>
        <v/>
      </c>
      <c r="AB98" s="80" t="str">
        <f>IF(AND($F98&lt;&gt;"", $F98&gt;=AB$5-4, $F98&lt;=AB$5, COUNTIF($M98:AA98,"u")=0), "u", "")</f>
        <v/>
      </c>
      <c r="AC98" s="80" t="str">
        <f>IF(AND($F98&lt;&gt;"", $F98&gt;=AC$5-4, $F98&lt;=AC$5, COUNTIF($M98:AB98,"u")=0), "u", "")</f>
        <v/>
      </c>
      <c r="AD98" s="80" t="str">
        <f>IF(AND($F98&lt;&gt;"", $F98&gt;=AD$5-4, $F98&lt;=AD$5, COUNTIF($M98:AC98,"u")=0), "u", "")</f>
        <v/>
      </c>
      <c r="AE98" s="80" t="str">
        <f>IF(AND($F98&lt;&gt;"", $F98&gt;=AE$5-4, $F98&lt;=AE$5, COUNTIF($M98:AD98,"u")=0), "u", "")</f>
        <v/>
      </c>
      <c r="AF98" s="80" t="str">
        <f>IF(AND($F98&lt;&gt;"", $F98&gt;=AF$5-4, $F98&lt;=AF$5, COUNTIF($M98:AE98,"u")=0), "u", "")</f>
        <v/>
      </c>
      <c r="AG98" s="80" t="str">
        <f>IF(AND($F98&lt;&gt;"", $F98&gt;=AG$5-4, $F98&lt;=AG$5, COUNTIF($M98:AF98,"u")=0), "u", "")</f>
        <v/>
      </c>
      <c r="AH98" s="80" t="str">
        <f>IF(AND($F98&lt;&gt;"", $F98&gt;=AH$5-4, $F98&lt;=AH$5, COUNTIF($M98:AG98,"u")=0), "u", "")</f>
        <v/>
      </c>
      <c r="AI98" s="80" t="str">
        <f>IF(AND($F98&lt;&gt;"", $F98&gt;=AI$5-4, $F98&lt;=AI$5, COUNTIF($M98:AH98,"u")=0), "u", "")</f>
        <v/>
      </c>
      <c r="AJ98" s="80" t="str">
        <f>IF(AND($F98&lt;&gt;"", $F98&gt;=AJ$5-4, $F98&lt;=AJ$5, COUNTIF($M98:AI98,"u")=0), "u", "")</f>
        <v/>
      </c>
      <c r="AK98" s="80" t="str">
        <f>IF(AND($F98&lt;&gt;"", $F98&gt;=AK$5-4, $F98&lt;=AK$5, COUNTIF($M98:AJ98,"u")=0), "u", "")</f>
        <v/>
      </c>
      <c r="AL98" s="80" t="str">
        <f>IF(AND($F98&lt;&gt;"", $F98&gt;=AL$5-4, $F98&lt;=AL$5, COUNTIF($M98:AK98,"u")=0), "u", "")</f>
        <v/>
      </c>
      <c r="AM98" s="80" t="str">
        <f>IF(AND($F98&lt;&gt;"", $F98&gt;=AM$5-4, $F98&lt;=AM$5, COUNTIF($M98:AL98,"u")=0), "u", "")</f>
        <v/>
      </c>
      <c r="AN98" s="80" t="str">
        <f>IF(AND($F98&lt;&gt;"", $F98&gt;=AN$5-4, $F98&lt;=AN$5, COUNTIF($M98:AM98,"u")=0), "u", "")</f>
        <v/>
      </c>
      <c r="AO98" s="80" t="str">
        <f>IF(AND($F98&lt;&gt;"", $F98&gt;=AO$5-4, $F98&lt;=AO$5, COUNTIF($M98:AN98,"u")=0), "u", "")</f>
        <v/>
      </c>
      <c r="AP98" s="80" t="str">
        <f>IF(AND($F98&lt;&gt;"", $F98&gt;=AP$5-4, $F98&lt;=AP$5, COUNTIF($M98:AO98,"u")=0), "u", "")</f>
        <v/>
      </c>
      <c r="AQ98" s="80" t="str">
        <f>IF(AND($F98&lt;&gt;"", $F98&gt;=AQ$5-4, $F98&lt;=AQ$5, COUNTIF($M98:AP98,"u")=0), "u", "")</f>
        <v/>
      </c>
      <c r="AR98" s="80" t="str">
        <f>IF(AND($F98&lt;&gt;"", $F98&gt;=AR$5-4, $F98&lt;=AR$5, COUNTIF($M98:AQ98,"u")=0), "u", "")</f>
        <v/>
      </c>
      <c r="AS98" s="80" t="str">
        <f>IF(AND($F98&lt;&gt;"", $F98&gt;=AS$5-4, $F98&lt;=AS$5, COUNTIF($M98:AR98,"u")=0), "u", "")</f>
        <v/>
      </c>
      <c r="AT98" s="80" t="str">
        <f>IF(AND($F98&lt;&gt;"", $F98&gt;=AT$5-4, $F98&lt;=AT$5, COUNTIF($M98:AS98,"u")=0), "u", "")</f>
        <v/>
      </c>
      <c r="AU98" s="80" t="str">
        <f>IF(AND($F98&lt;&gt;"", $F98&gt;=AU$5-4, $F98&lt;=AU$5, COUNTIF($M98:AT98,"u")=0), "u", "")</f>
        <v/>
      </c>
      <c r="AV98" s="80" t="str">
        <f>IF(AND($F98&lt;&gt;"", $F98&gt;=AV$5-4, $F98&lt;=AV$5, COUNTIF($M98:AU98,"u")=0), "u", "")</f>
        <v/>
      </c>
      <c r="AW98" s="80" t="str">
        <f>IF(AND($F98&lt;&gt;"", $F98&gt;=AW$5-4, $F98&lt;=AW$5, COUNTIF($M98:AV98,"u")=0), "u", "")</f>
        <v/>
      </c>
      <c r="AX98" s="80" t="str">
        <f>IF(AND($F98&lt;&gt;"", $F98&gt;=AX$5-4, $F98&lt;=AX$5, COUNTIF($M98:AW98,"u")=0), "u", "")</f>
        <v/>
      </c>
      <c r="AY98" s="80" t="str">
        <f>IF(AND($F98&lt;&gt;"", $F98&gt;=AY$5-4, $F98&lt;=AY$5, COUNTIF($M98:AX98,"u")=0), "u", "")</f>
        <v/>
      </c>
      <c r="AZ98" s="80" t="str">
        <f>IF(AND($F98&lt;&gt;"", $F98&gt;=AZ$5-4, $F98&lt;=AZ$5, COUNTIF($M98:AY98,"u")=0), "u", "")</f>
        <v/>
      </c>
      <c r="BA98" s="80" t="str">
        <f>IF(AND($F98&lt;&gt;"", $F98&gt;=BA$5-4, $F98&lt;=BA$5, COUNTIF($M98:AZ98,"u")=0), "u", "")</f>
        <v/>
      </c>
      <c r="BB98" s="80" t="str">
        <f>IF(AND($F98&lt;&gt;"", $F98&gt;=BB$5-4, $F98&lt;=BB$5, COUNTIF($M98:BA98,"u")=0), "u", "")</f>
        <v/>
      </c>
      <c r="BC98" s="80" t="str">
        <f>IF(AND($F98&lt;&gt;"", $F98&gt;=BC$5-4, $F98&lt;=BC$5, COUNTIF($M98:BB98,"u")=0), "u", "")</f>
        <v/>
      </c>
      <c r="BD98" s="80" t="str">
        <f>IF(AND($F98&lt;&gt;"", $F98&gt;=BD$5-4, $F98&lt;=BD$5, COUNTIF($M98:BC98,"u")=0), "u", "")</f>
        <v/>
      </c>
      <c r="BE98" s="80" t="str">
        <f>IF(AND($F98&lt;&gt;"", $F98&gt;=BE$5-4, $F98&lt;=BE$5, COUNTIF($M98:BD98,"u")=0), "u", "")</f>
        <v/>
      </c>
      <c r="BF98" s="80" t="str">
        <f>IF(AND($F98&lt;&gt;"", $F98&gt;=BF$5-4, $F98&lt;=BF$5, COUNTIF($M98:BE98,"u")=0), "u", "")</f>
        <v/>
      </c>
      <c r="BG98" s="80" t="str">
        <f>IF(AND($F98&lt;&gt;"", $F98&gt;=BG$5-4, $F98&lt;=BG$5, COUNTIF($M98:BF98,"u")=0), "u", "")</f>
        <v/>
      </c>
      <c r="BH98" s="80" t="str">
        <f>IF(AND($F98&lt;&gt;"", $F98&gt;=BH$5-4, $F98&lt;=BH$5, COUNTIF($M98:BG98,"u")=0), "u", "")</f>
        <v/>
      </c>
      <c r="BI98" s="80" t="str">
        <f>IF(AND($F98&lt;&gt;"", $F98&gt;=BI$5-4, $F98&lt;=BI$5, COUNTIF($M98:BH98,"u")=0), "u", "")</f>
        <v/>
      </c>
      <c r="BJ98" s="80" t="str">
        <f>IF(AND($F98&lt;&gt;"", $F98&gt;=BJ$5-4, $F98&lt;=BJ$5, COUNTIF($M98:BI98,"u")=0), "u", "")</f>
        <v/>
      </c>
      <c r="BK98" s="80" t="str">
        <f>IF(AND($F98&lt;&gt;"", $F98&gt;=BK$5-4, $F98&lt;=BK$5, COUNTIF($M98:BJ98,"u")=0), "u", "")</f>
        <v/>
      </c>
      <c r="BL98" s="80" t="str">
        <f>IF(AND($F98&lt;&gt;"", $F98&gt;=BL$5-4, $F98&lt;=BL$5, COUNTIF($M98:BK98,"u")=0), "u", "")</f>
        <v/>
      </c>
      <c r="BM98" s="80" t="str">
        <f>IF(AND($F98&lt;&gt;"", $F98&gt;=BM$5-4, $F98&lt;=BM$5, COUNTIF($M98:BL98,"u")=0), "u", "")</f>
        <v/>
      </c>
      <c r="BN98" s="80" t="str">
        <f>IF(AND($F98&lt;&gt;"", $F98&gt;=BN$5-4, $F98&lt;=BN$5, COUNTIF($M98:BM98,"u")=0), "u", "")</f>
        <v/>
      </c>
      <c r="BO98" s="80" t="str">
        <f>IF(AND($F98&lt;&gt;"", $F98&gt;=BO$5-4, $F98&lt;=BO$5, COUNTIF($M98:BN98,"u")=0), "u", "")</f>
        <v/>
      </c>
      <c r="BP98" s="80" t="str">
        <f>IF(AND($F98&lt;&gt;"", $F98&gt;=BP$5-4, $F98&lt;=BP$5, COUNTIF($M98:BO98,"u")=0), "u", "")</f>
        <v/>
      </c>
      <c r="BQ98" s="80" t="str">
        <f>IF(AND($F98&lt;&gt;"", $F98&gt;=BQ$5-4, $F98&lt;=BQ$5, COUNTIF($M98:BP98,"u")=0), "u", "")</f>
        <v/>
      </c>
      <c r="BR98" s="80" t="str">
        <f>IF(AND($F98&lt;&gt;"", $F98&gt;=BR$5-4, $F98&lt;=BR$5, COUNTIF($M98:BQ98,"u")=0), "u", "")</f>
        <v/>
      </c>
      <c r="BS98" s="80" t="str">
        <f>IF(AND($F98&lt;&gt;"", $F98&gt;=BS$5-4, $F98&lt;=BS$5, COUNTIF($M98:BR98,"u")=0), "u", "")</f>
        <v/>
      </c>
      <c r="BT98" s="80" t="str">
        <f>IF(AND($F98&lt;&gt;"", $F98&gt;=BT$5-4, $F98&lt;=BT$5, COUNTIF($M98:BS98,"u")=0), "u", "")</f>
        <v/>
      </c>
      <c r="BU98" s="80" t="str">
        <f>IF(AND($F98&lt;&gt;"", $F98&gt;=BU$5-4, $F98&lt;=BU$5, COUNTIF($M98:BT98,"u")=0), "u", "")</f>
        <v/>
      </c>
      <c r="BV98" s="80" t="str">
        <f>IF(AND($F98&lt;&gt;"", $F98&gt;=BV$5-4, $F98&lt;=BV$5, COUNTIF($M98:BU98,"u")=0), "u", "")</f>
        <v/>
      </c>
      <c r="BW98" s="80" t="str">
        <f>IF(AND($F98&lt;&gt;"", $F98&gt;=BW$5-4, $F98&lt;=BW$5, COUNTIF($M98:BV98,"u")=0), "u", "")</f>
        <v/>
      </c>
      <c r="BX98" s="80" t="str">
        <f>IF(AND($F98&lt;&gt;"", $F98&gt;=BX$5-4, $F98&lt;=BX$5, COUNTIF($M98:BW98,"u")=0), "u", "")</f>
        <v/>
      </c>
      <c r="BY98" s="80" t="str">
        <f>IF(AND($F98&lt;&gt;"", $F98&gt;=BY$5-4, $F98&lt;=BY$5, COUNTIF($M98:BX98,"u")=0), "u", "")</f>
        <v/>
      </c>
      <c r="BZ98" s="80" t="str">
        <f>IF(AND($F98&lt;&gt;"", $F98&gt;=BZ$5-4, $F98&lt;=BZ$5, COUNTIF($M98:BY98,"u")=0), "u", "")</f>
        <v/>
      </c>
      <c r="CA98" s="80" t="str">
        <f>IF(AND($F98&lt;&gt;"", $F98&gt;=CA$5-4, $F98&lt;=CA$5, COUNTIF($M98:BZ98,"u")=0), "u", "")</f>
        <v/>
      </c>
      <c r="CB98" s="80" t="str">
        <f>IF(AND($F98&lt;&gt;"", $F98&gt;=CB$5-4, $F98&lt;=CB$5, COUNTIF($M98:CA98,"u")=0), "u", "")</f>
        <v/>
      </c>
      <c r="CC98" s="80" t="str">
        <f>IF(AND($F98&lt;&gt;"", $F98&gt;=CC$5-4, $F98&lt;=CC$5, COUNTIF($M98:CB98,"u")=0), "u", "")</f>
        <v/>
      </c>
      <c r="CD98" s="80" t="str">
        <f>IF(AND($F98&lt;&gt;"", $F98&gt;=CD$5-4, $F98&lt;=CD$5, COUNTIF($M98:CC98,"u")=0), "u", "")</f>
        <v/>
      </c>
      <c r="CE98" s="80" t="str">
        <f>IF(AND($F98&lt;&gt;"", $F98&gt;=CE$5-4, $F98&lt;=CE$5, COUNTIF($M98:CD98,"u")=0), "u", "")</f>
        <v/>
      </c>
      <c r="CF98" s="80" t="str">
        <f>IF(AND($F98&lt;&gt;"", $F98&gt;=CF$5-4, $F98&lt;=CF$5, COUNTIF($M98:CE98,"u")=0), "u", "")</f>
        <v/>
      </c>
      <c r="CG98" s="80" t="str">
        <f>IF(AND($F98&lt;&gt;"", $F98&gt;=CG$5-4, $F98&lt;=CG$5, COUNTIF($M98:CF98,"u")=0), "u", "")</f>
        <v/>
      </c>
      <c r="CH98" s="80" t="str">
        <f>IF(AND($F98&lt;&gt;"", $F98&gt;=CH$5-4, $F98&lt;=CH$5, COUNTIF($M98:CG98,"u")=0), "u", "")</f>
        <v/>
      </c>
      <c r="CI98" s="80" t="str">
        <f>IF(AND($F98&lt;&gt;"", $F98&gt;=CI$5-4, $F98&lt;=CI$5, COUNTIF($M98:CH98,"u")=0), "u", "")</f>
        <v/>
      </c>
      <c r="CJ98" s="80" t="str">
        <f>IF(AND($F98&lt;&gt;"", $F98&gt;=CJ$5-4, $F98&lt;=CJ$5, COUNTIF($M98:CI98,"u")=0), "u", "")</f>
        <v/>
      </c>
      <c r="CK98" s="80" t="str">
        <f>IF(AND($F98&lt;&gt;"", $F98&gt;=CK$5-4, $F98&lt;=CK$5, COUNTIF($M98:CJ98,"u")=0), "u", "")</f>
        <v/>
      </c>
      <c r="CL98" s="80" t="str">
        <f>IF(AND($F98&lt;&gt;"", $F98&gt;=CL$5-4, $F98&lt;=CL$5, COUNTIF($M98:CK98,"u")=0), "u", "")</f>
        <v/>
      </c>
      <c r="CM98" s="80" t="str">
        <f>IF(AND($F98&lt;&gt;"", $F98&gt;=CM$5-4, $F98&lt;=CM$5, COUNTIF($M98:CL98,"u")=0), "u", "")</f>
        <v/>
      </c>
      <c r="CN98" s="80" t="str">
        <f>IF(AND($F98&lt;&gt;"", $F98&gt;=CN$5-4, $F98&lt;=CN$5, COUNTIF($M98:CM98,"u")=0), "u", "")</f>
        <v/>
      </c>
      <c r="CO98" s="80" t="str">
        <f>IF(AND($F98&lt;&gt;"", $F98&gt;=CO$5-4, $F98&lt;=CO$5, COUNTIF($M98:CN98,"u")=0), "u", "")</f>
        <v/>
      </c>
      <c r="CP98" s="80" t="str">
        <f>IF(AND($F98&lt;&gt;"", $F98&gt;=CP$5-4, $F98&lt;=CP$5, COUNTIF($M98:CO98,"u")=0), "u", "")</f>
        <v/>
      </c>
      <c r="CQ98" s="80" t="str">
        <f>IF(AND($F98&lt;&gt;"", $F98&gt;=CQ$5-4, $F98&lt;=CQ$5, COUNTIF($M98:CP98,"u")=0), "u", "")</f>
        <v/>
      </c>
      <c r="CR98" s="80" t="str">
        <f>IF(AND($F98&lt;&gt;"", $F98&gt;=CR$5-4, $F98&lt;=CR$5, COUNTIF($M98:CQ98,"u")=0), "u", "")</f>
        <v/>
      </c>
      <c r="CS98" s="80" t="str">
        <f>IF(AND($F98&lt;&gt;"", $F98&gt;=CS$5-4, $F98&lt;=CS$5, COUNTIF($M98:CR98,"u")=0), "u", "")</f>
        <v/>
      </c>
      <c r="CT98" s="80" t="str">
        <f>IF(AND($F98&lt;&gt;"", $F98&gt;=CT$5-4, $F98&lt;=CT$5, COUNTIF($M98:CS98,"u")=0), "u", "")</f>
        <v/>
      </c>
      <c r="CU98" s="80" t="str">
        <f>IF(AND($F98&lt;&gt;"", $F98&gt;=CU$5-4, $F98&lt;=CU$5, COUNTIF($M98:CT98,"u")=0), "u", "")</f>
        <v/>
      </c>
      <c r="CV98" s="80" t="str">
        <f>IF(AND($F98&lt;&gt;"", $F98&gt;=CV$5-4, $F98&lt;=CV$5, COUNTIF($M98:CU98,"u")=0), "u", "")</f>
        <v/>
      </c>
      <c r="CW98" s="80" t="str">
        <f>IF(AND($F98&lt;&gt;"", $F98&gt;=CW$5-4, $F98&lt;=CW$5, COUNTIF($M98:CV98,"u")=0), "u", "")</f>
        <v/>
      </c>
      <c r="CX98" s="80" t="str">
        <f>IF(AND($F98&lt;&gt;"", $F98&gt;=CX$5-4, $F98&lt;=CX$5, COUNTIF($M98:CW98,"u")=0), "u", "")</f>
        <v/>
      </c>
      <c r="CY98" s="80" t="str">
        <f>IF(AND($F98&lt;&gt;"", $F98&gt;=CY$5-4, $F98&lt;=CY$5, COUNTIF($M98:CX98,"u")=0), "u", "")</f>
        <v/>
      </c>
      <c r="CZ98" s="80" t="str">
        <f>IF(AND($F98&lt;&gt;"", $F98&gt;=CZ$5-4, $F98&lt;=CZ$5, COUNTIF($M98:CY98,"u")=0), "u", "")</f>
        <v/>
      </c>
      <c r="DA98" s="80" t="str">
        <f>IF(AND($F98&lt;&gt;"", $F98&gt;=DA$5-4, $F98&lt;=DA$5, COUNTIF($M98:CZ98,"u")=0), "u", "")</f>
        <v/>
      </c>
      <c r="DB98" s="80" t="str">
        <f>IF(AND($F98&lt;&gt;"", $F98&gt;=DB$5-4, $F98&lt;=DB$5, COUNTIF($M98:DA98,"u")=0), "u", "")</f>
        <v/>
      </c>
      <c r="DC98" s="80" t="str">
        <f>IF(AND($F98&lt;&gt;"", $F98&gt;=DC$5-4, $F98&lt;=DC$5, COUNTIF($M98:DB98,"u")=0), "u", "")</f>
        <v/>
      </c>
      <c r="DD98" s="80" t="str">
        <f>IF(AND($F98&lt;&gt;"", $F98&gt;=DD$5-4, $F98&lt;=DD$5, COUNTIF($M98:DC98,"u")=0), "u", "")</f>
        <v/>
      </c>
      <c r="DE98" s="80" t="str">
        <f>IF(AND($F98&lt;&gt;"", $F98&gt;=DE$5-4, $F98&lt;=DE$5, COUNTIF($M98:DD98,"u")=0), "u", "")</f>
        <v/>
      </c>
      <c r="DF98" s="80" t="str">
        <f>IF(AND($F98&lt;&gt;"", $F98&gt;=DF$5-4, $F98&lt;=DF$5, COUNTIF($M98:DE98,"u")=0), "u", "")</f>
        <v/>
      </c>
      <c r="DG98" s="80" t="str">
        <f>IF(AND($F98&lt;&gt;"", $F98&gt;=DG$5-4, $F98&lt;=DG$5, COUNTIF($M98:DF98,"u")=0), "u", "")</f>
        <v/>
      </c>
      <c r="DH98" s="80" t="str">
        <f>IF(AND($F98&lt;&gt;"", $F98&gt;=DH$5-4, $F98&lt;=DH$5, COUNTIF($M98:DG98,"u")=0), "u", "")</f>
        <v/>
      </c>
      <c r="DI98" s="80" t="str">
        <f>IF(AND($F98&lt;&gt;"", $F98&gt;=DI$5-4, $F98&lt;=DI$5, COUNTIF($M98:DH98,"u")=0), "u", "")</f>
        <v/>
      </c>
      <c r="DJ98" s="80" t="str">
        <f>IF(AND($F98&lt;&gt;"", $F98&gt;=DJ$5-4, $F98&lt;=DJ$5, COUNTIF($M98:DI98,"u")=0), "u", "")</f>
        <v/>
      </c>
      <c r="DK98" s="80" t="str">
        <f>IF(AND($F98&lt;&gt;"", $F98&gt;=DK$5-4, $F98&lt;=DK$5, COUNTIF($M98:DJ98,"u")=0), "u", "")</f>
        <v/>
      </c>
      <c r="DL98" s="80" t="str">
        <f>IF(AND($F98&lt;&gt;"", $F98&gt;=DL$5-4, $F98&lt;=DL$5, COUNTIF($M98:DK98,"u")=0), "u", "")</f>
        <v/>
      </c>
    </row>
    <row r="99" spans="1:116" ht="25.05" customHeight="1" x14ac:dyDescent="0.3">
      <c r="A99" s="39"/>
      <c r="B99" s="75">
        <v>94</v>
      </c>
      <c r="C99" s="97"/>
      <c r="D99" s="92"/>
      <c r="E99" s="53"/>
      <c r="F99" s="53"/>
      <c r="G99" s="83" t="str">
        <f t="shared" si="50"/>
        <v/>
      </c>
      <c r="H99" s="83" t="str">
        <f t="shared" si="50"/>
        <v/>
      </c>
      <c r="I99" s="77" t="str">
        <f t="shared" si="48"/>
        <v/>
      </c>
      <c r="J99" s="78"/>
      <c r="K99" s="86"/>
      <c r="L99" s="56"/>
      <c r="M99" s="80" t="str">
        <f t="shared" si="49"/>
        <v/>
      </c>
      <c r="N99" s="80" t="str">
        <f>IF(AND($F99&lt;&gt;"", $F99&gt;=N$5-4, $F99&lt;=N$5, COUNTIF($M99:M99,"u")=0), "u", "")</f>
        <v/>
      </c>
      <c r="O99" s="80" t="str">
        <f>IF(AND($F99&lt;&gt;"", $F99&gt;=O$5-4, $F99&lt;=O$5, COUNTIF($M99:N99,"u")=0), "u", "")</f>
        <v/>
      </c>
      <c r="P99" s="80" t="str">
        <f>IF(AND($F99&lt;&gt;"", $F99&gt;=P$5-4, $F99&lt;=P$5, COUNTIF($M99:O99,"u")=0), "u", "")</f>
        <v/>
      </c>
      <c r="Q99" s="80" t="str">
        <f>IF(AND($F99&lt;&gt;"", $F99&gt;=Q$5-4, $F99&lt;=Q$5, COUNTIF($M99:P99,"u")=0), "u", "")</f>
        <v/>
      </c>
      <c r="R99" s="80" t="str">
        <f>IF(AND($F99&lt;&gt;"", $F99&gt;=R$5-4, $F99&lt;=R$5, COUNTIF($M99:Q99,"u")=0), "u", "")</f>
        <v/>
      </c>
      <c r="S99" s="80" t="str">
        <f>IF(AND($F99&lt;&gt;"", $F99&gt;=S$5-4, $F99&lt;=S$5, COUNTIF($M99:R99,"u")=0), "u", "")</f>
        <v/>
      </c>
      <c r="T99" s="80" t="str">
        <f>IF(AND($F99&lt;&gt;"", $F99&gt;=T$5-4, $F99&lt;=T$5, COUNTIF($M99:S99,"u")=0), "u", "")</f>
        <v/>
      </c>
      <c r="U99" s="80" t="str">
        <f>IF(AND($F99&lt;&gt;"", $F99&gt;=U$5-4, $F99&lt;=U$5, COUNTIF($M99:T99,"u")=0), "u", "")</f>
        <v/>
      </c>
      <c r="V99" s="80" t="str">
        <f>IF(AND($F99&lt;&gt;"", $F99&gt;=V$5-4, $F99&lt;=V$5, COUNTIF($M99:U99,"u")=0), "u", "")</f>
        <v/>
      </c>
      <c r="W99" s="80" t="str">
        <f>IF(AND($F99&lt;&gt;"", $F99&gt;=W$5-4, $F99&lt;=W$5, COUNTIF($M99:V99,"u")=0), "u", "")</f>
        <v/>
      </c>
      <c r="X99" s="80" t="str">
        <f>IF(AND($F99&lt;&gt;"", $F99&gt;=X$5-4, $F99&lt;=X$5, COUNTIF($M99:W99,"u")=0), "u", "")</f>
        <v/>
      </c>
      <c r="Y99" s="80" t="str">
        <f>IF(AND($F99&lt;&gt;"", $F99&gt;=Y$5-4, $F99&lt;=Y$5, COUNTIF($M99:X99,"u")=0), "u", "")</f>
        <v/>
      </c>
      <c r="Z99" s="80" t="str">
        <f>IF(AND($F99&lt;&gt;"", $F99&gt;=Z$5-4, $F99&lt;=Z$5, COUNTIF($M99:Y99,"u")=0), "u", "")</f>
        <v/>
      </c>
      <c r="AA99" s="80" t="str">
        <f>IF(AND($F99&lt;&gt;"", $F99&gt;=AA$5-4, $F99&lt;=AA$5, COUNTIF($M99:Z99,"u")=0), "u", "")</f>
        <v/>
      </c>
      <c r="AB99" s="80" t="str">
        <f>IF(AND($F99&lt;&gt;"", $F99&gt;=AB$5-4, $F99&lt;=AB$5, COUNTIF($M99:AA99,"u")=0), "u", "")</f>
        <v/>
      </c>
      <c r="AC99" s="80" t="str">
        <f>IF(AND($F99&lt;&gt;"", $F99&gt;=AC$5-4, $F99&lt;=AC$5, COUNTIF($M99:AB99,"u")=0), "u", "")</f>
        <v/>
      </c>
      <c r="AD99" s="80" t="str">
        <f>IF(AND($F99&lt;&gt;"", $F99&gt;=AD$5-4, $F99&lt;=AD$5, COUNTIF($M99:AC99,"u")=0), "u", "")</f>
        <v/>
      </c>
      <c r="AE99" s="80" t="str">
        <f>IF(AND($F99&lt;&gt;"", $F99&gt;=AE$5-4, $F99&lt;=AE$5, COUNTIF($M99:AD99,"u")=0), "u", "")</f>
        <v/>
      </c>
      <c r="AF99" s="80" t="str">
        <f>IF(AND($F99&lt;&gt;"", $F99&gt;=AF$5-4, $F99&lt;=AF$5, COUNTIF($M99:AE99,"u")=0), "u", "")</f>
        <v/>
      </c>
      <c r="AG99" s="80" t="str">
        <f>IF(AND($F99&lt;&gt;"", $F99&gt;=AG$5-4, $F99&lt;=AG$5, COUNTIF($M99:AF99,"u")=0), "u", "")</f>
        <v/>
      </c>
      <c r="AH99" s="80" t="str">
        <f>IF(AND($F99&lt;&gt;"", $F99&gt;=AH$5-4, $F99&lt;=AH$5, COUNTIF($M99:AG99,"u")=0), "u", "")</f>
        <v/>
      </c>
      <c r="AI99" s="80" t="str">
        <f>IF(AND($F99&lt;&gt;"", $F99&gt;=AI$5-4, $F99&lt;=AI$5, COUNTIF($M99:AH99,"u")=0), "u", "")</f>
        <v/>
      </c>
      <c r="AJ99" s="80" t="str">
        <f>IF(AND($F99&lt;&gt;"", $F99&gt;=AJ$5-4, $F99&lt;=AJ$5, COUNTIF($M99:AI99,"u")=0), "u", "")</f>
        <v/>
      </c>
      <c r="AK99" s="80" t="str">
        <f>IF(AND($F99&lt;&gt;"", $F99&gt;=AK$5-4, $F99&lt;=AK$5, COUNTIF($M99:AJ99,"u")=0), "u", "")</f>
        <v/>
      </c>
      <c r="AL99" s="80" t="str">
        <f>IF(AND($F99&lt;&gt;"", $F99&gt;=AL$5-4, $F99&lt;=AL$5, COUNTIF($M99:AK99,"u")=0), "u", "")</f>
        <v/>
      </c>
      <c r="AM99" s="80" t="str">
        <f>IF(AND($F99&lt;&gt;"", $F99&gt;=AM$5-4, $F99&lt;=AM$5, COUNTIF($M99:AL99,"u")=0), "u", "")</f>
        <v/>
      </c>
      <c r="AN99" s="80" t="str">
        <f>IF(AND($F99&lt;&gt;"", $F99&gt;=AN$5-4, $F99&lt;=AN$5, COUNTIF($M99:AM99,"u")=0), "u", "")</f>
        <v/>
      </c>
      <c r="AO99" s="80" t="str">
        <f>IF(AND($F99&lt;&gt;"", $F99&gt;=AO$5-4, $F99&lt;=AO$5, COUNTIF($M99:AN99,"u")=0), "u", "")</f>
        <v/>
      </c>
      <c r="AP99" s="80" t="str">
        <f>IF(AND($F99&lt;&gt;"", $F99&gt;=AP$5-4, $F99&lt;=AP$5, COUNTIF($M99:AO99,"u")=0), "u", "")</f>
        <v/>
      </c>
      <c r="AQ99" s="80" t="str">
        <f>IF(AND($F99&lt;&gt;"", $F99&gt;=AQ$5-4, $F99&lt;=AQ$5, COUNTIF($M99:AP99,"u")=0), "u", "")</f>
        <v/>
      </c>
      <c r="AR99" s="80" t="str">
        <f>IF(AND($F99&lt;&gt;"", $F99&gt;=AR$5-4, $F99&lt;=AR$5, COUNTIF($M99:AQ99,"u")=0), "u", "")</f>
        <v/>
      </c>
      <c r="AS99" s="80" t="str">
        <f>IF(AND($F99&lt;&gt;"", $F99&gt;=AS$5-4, $F99&lt;=AS$5, COUNTIF($M99:AR99,"u")=0), "u", "")</f>
        <v/>
      </c>
      <c r="AT99" s="80" t="str">
        <f>IF(AND($F99&lt;&gt;"", $F99&gt;=AT$5-4, $F99&lt;=AT$5, COUNTIF($M99:AS99,"u")=0), "u", "")</f>
        <v/>
      </c>
      <c r="AU99" s="80" t="str">
        <f>IF(AND($F99&lt;&gt;"", $F99&gt;=AU$5-4, $F99&lt;=AU$5, COUNTIF($M99:AT99,"u")=0), "u", "")</f>
        <v/>
      </c>
      <c r="AV99" s="80" t="str">
        <f>IF(AND($F99&lt;&gt;"", $F99&gt;=AV$5-4, $F99&lt;=AV$5, COUNTIF($M99:AU99,"u")=0), "u", "")</f>
        <v/>
      </c>
      <c r="AW99" s="80" t="str">
        <f>IF(AND($F99&lt;&gt;"", $F99&gt;=AW$5-4, $F99&lt;=AW$5, COUNTIF($M99:AV99,"u")=0), "u", "")</f>
        <v/>
      </c>
      <c r="AX99" s="80" t="str">
        <f>IF(AND($F99&lt;&gt;"", $F99&gt;=AX$5-4, $F99&lt;=AX$5, COUNTIF($M99:AW99,"u")=0), "u", "")</f>
        <v/>
      </c>
      <c r="AY99" s="80" t="str">
        <f>IF(AND($F99&lt;&gt;"", $F99&gt;=AY$5-4, $F99&lt;=AY$5, COUNTIF($M99:AX99,"u")=0), "u", "")</f>
        <v/>
      </c>
      <c r="AZ99" s="80" t="str">
        <f>IF(AND($F99&lt;&gt;"", $F99&gt;=AZ$5-4, $F99&lt;=AZ$5, COUNTIF($M99:AY99,"u")=0), "u", "")</f>
        <v/>
      </c>
      <c r="BA99" s="80" t="str">
        <f>IF(AND($F99&lt;&gt;"", $F99&gt;=BA$5-4, $F99&lt;=BA$5, COUNTIF($M99:AZ99,"u")=0), "u", "")</f>
        <v/>
      </c>
      <c r="BB99" s="80" t="str">
        <f>IF(AND($F99&lt;&gt;"", $F99&gt;=BB$5-4, $F99&lt;=BB$5, COUNTIF($M99:BA99,"u")=0), "u", "")</f>
        <v/>
      </c>
      <c r="BC99" s="80" t="str">
        <f>IF(AND($F99&lt;&gt;"", $F99&gt;=BC$5-4, $F99&lt;=BC$5, COUNTIF($M99:BB99,"u")=0), "u", "")</f>
        <v/>
      </c>
      <c r="BD99" s="80" t="str">
        <f>IF(AND($F99&lt;&gt;"", $F99&gt;=BD$5-4, $F99&lt;=BD$5, COUNTIF($M99:BC99,"u")=0), "u", "")</f>
        <v/>
      </c>
      <c r="BE99" s="80" t="str">
        <f>IF(AND($F99&lt;&gt;"", $F99&gt;=BE$5-4, $F99&lt;=BE$5, COUNTIF($M99:BD99,"u")=0), "u", "")</f>
        <v/>
      </c>
      <c r="BF99" s="80" t="str">
        <f>IF(AND($F99&lt;&gt;"", $F99&gt;=BF$5-4, $F99&lt;=BF$5, COUNTIF($M99:BE99,"u")=0), "u", "")</f>
        <v/>
      </c>
      <c r="BG99" s="80" t="str">
        <f>IF(AND($F99&lt;&gt;"", $F99&gt;=BG$5-4, $F99&lt;=BG$5, COUNTIF($M99:BF99,"u")=0), "u", "")</f>
        <v/>
      </c>
      <c r="BH99" s="80" t="str">
        <f>IF(AND($F99&lt;&gt;"", $F99&gt;=BH$5-4, $F99&lt;=BH$5, COUNTIF($M99:BG99,"u")=0), "u", "")</f>
        <v/>
      </c>
      <c r="BI99" s="80" t="str">
        <f>IF(AND($F99&lt;&gt;"", $F99&gt;=BI$5-4, $F99&lt;=BI$5, COUNTIF($M99:BH99,"u")=0), "u", "")</f>
        <v/>
      </c>
      <c r="BJ99" s="80" t="str">
        <f>IF(AND($F99&lt;&gt;"", $F99&gt;=BJ$5-4, $F99&lt;=BJ$5, COUNTIF($M99:BI99,"u")=0), "u", "")</f>
        <v/>
      </c>
      <c r="BK99" s="80" t="str">
        <f>IF(AND($F99&lt;&gt;"", $F99&gt;=BK$5-4, $F99&lt;=BK$5, COUNTIF($M99:BJ99,"u")=0), "u", "")</f>
        <v/>
      </c>
      <c r="BL99" s="80" t="str">
        <f>IF(AND($F99&lt;&gt;"", $F99&gt;=BL$5-4, $F99&lt;=BL$5, COUNTIF($M99:BK99,"u")=0), "u", "")</f>
        <v/>
      </c>
      <c r="BM99" s="80" t="str">
        <f>IF(AND($F99&lt;&gt;"", $F99&gt;=BM$5-4, $F99&lt;=BM$5, COUNTIF($M99:BL99,"u")=0), "u", "")</f>
        <v/>
      </c>
      <c r="BN99" s="80" t="str">
        <f>IF(AND($F99&lt;&gt;"", $F99&gt;=BN$5-4, $F99&lt;=BN$5, COUNTIF($M99:BM99,"u")=0), "u", "")</f>
        <v/>
      </c>
      <c r="BO99" s="80" t="str">
        <f>IF(AND($F99&lt;&gt;"", $F99&gt;=BO$5-4, $F99&lt;=BO$5, COUNTIF($M99:BN99,"u")=0), "u", "")</f>
        <v/>
      </c>
      <c r="BP99" s="80" t="str">
        <f>IF(AND($F99&lt;&gt;"", $F99&gt;=BP$5-4, $F99&lt;=BP$5, COUNTIF($M99:BO99,"u")=0), "u", "")</f>
        <v/>
      </c>
      <c r="BQ99" s="80" t="str">
        <f>IF(AND($F99&lt;&gt;"", $F99&gt;=BQ$5-4, $F99&lt;=BQ$5, COUNTIF($M99:BP99,"u")=0), "u", "")</f>
        <v/>
      </c>
      <c r="BR99" s="80" t="str">
        <f>IF(AND($F99&lt;&gt;"", $F99&gt;=BR$5-4, $F99&lt;=BR$5, COUNTIF($M99:BQ99,"u")=0), "u", "")</f>
        <v/>
      </c>
      <c r="BS99" s="80" t="str">
        <f>IF(AND($F99&lt;&gt;"", $F99&gt;=BS$5-4, $F99&lt;=BS$5, COUNTIF($M99:BR99,"u")=0), "u", "")</f>
        <v/>
      </c>
      <c r="BT99" s="80" t="str">
        <f>IF(AND($F99&lt;&gt;"", $F99&gt;=BT$5-4, $F99&lt;=BT$5, COUNTIF($M99:BS99,"u")=0), "u", "")</f>
        <v/>
      </c>
      <c r="BU99" s="80" t="str">
        <f>IF(AND($F99&lt;&gt;"", $F99&gt;=BU$5-4, $F99&lt;=BU$5, COUNTIF($M99:BT99,"u")=0), "u", "")</f>
        <v/>
      </c>
      <c r="BV99" s="80" t="str">
        <f>IF(AND($F99&lt;&gt;"", $F99&gt;=BV$5-4, $F99&lt;=BV$5, COUNTIF($M99:BU99,"u")=0), "u", "")</f>
        <v/>
      </c>
      <c r="BW99" s="80" t="str">
        <f>IF(AND($F99&lt;&gt;"", $F99&gt;=BW$5-4, $F99&lt;=BW$5, COUNTIF($M99:BV99,"u")=0), "u", "")</f>
        <v/>
      </c>
      <c r="BX99" s="80" t="str">
        <f>IF(AND($F99&lt;&gt;"", $F99&gt;=BX$5-4, $F99&lt;=BX$5, COUNTIF($M99:BW99,"u")=0), "u", "")</f>
        <v/>
      </c>
      <c r="BY99" s="80" t="str">
        <f>IF(AND($F99&lt;&gt;"", $F99&gt;=BY$5-4, $F99&lt;=BY$5, COUNTIF($M99:BX99,"u")=0), "u", "")</f>
        <v/>
      </c>
      <c r="BZ99" s="80" t="str">
        <f>IF(AND($F99&lt;&gt;"", $F99&gt;=BZ$5-4, $F99&lt;=BZ$5, COUNTIF($M99:BY99,"u")=0), "u", "")</f>
        <v/>
      </c>
      <c r="CA99" s="80" t="str">
        <f>IF(AND($F99&lt;&gt;"", $F99&gt;=CA$5-4, $F99&lt;=CA$5, COUNTIF($M99:BZ99,"u")=0), "u", "")</f>
        <v/>
      </c>
      <c r="CB99" s="80" t="str">
        <f>IF(AND($F99&lt;&gt;"", $F99&gt;=CB$5-4, $F99&lt;=CB$5, COUNTIF($M99:CA99,"u")=0), "u", "")</f>
        <v/>
      </c>
      <c r="CC99" s="80" t="str">
        <f>IF(AND($F99&lt;&gt;"", $F99&gt;=CC$5-4, $F99&lt;=CC$5, COUNTIF($M99:CB99,"u")=0), "u", "")</f>
        <v/>
      </c>
      <c r="CD99" s="80" t="str">
        <f>IF(AND($F99&lt;&gt;"", $F99&gt;=CD$5-4, $F99&lt;=CD$5, COUNTIF($M99:CC99,"u")=0), "u", "")</f>
        <v/>
      </c>
      <c r="CE99" s="80" t="str">
        <f>IF(AND($F99&lt;&gt;"", $F99&gt;=CE$5-4, $F99&lt;=CE$5, COUNTIF($M99:CD99,"u")=0), "u", "")</f>
        <v/>
      </c>
      <c r="CF99" s="80" t="str">
        <f>IF(AND($F99&lt;&gt;"", $F99&gt;=CF$5-4, $F99&lt;=CF$5, COUNTIF($M99:CE99,"u")=0), "u", "")</f>
        <v/>
      </c>
      <c r="CG99" s="80" t="str">
        <f>IF(AND($F99&lt;&gt;"", $F99&gt;=CG$5-4, $F99&lt;=CG$5, COUNTIF($M99:CF99,"u")=0), "u", "")</f>
        <v/>
      </c>
      <c r="CH99" s="80" t="str">
        <f>IF(AND($F99&lt;&gt;"", $F99&gt;=CH$5-4, $F99&lt;=CH$5, COUNTIF($M99:CG99,"u")=0), "u", "")</f>
        <v/>
      </c>
      <c r="CI99" s="80" t="str">
        <f>IF(AND($F99&lt;&gt;"", $F99&gt;=CI$5-4, $F99&lt;=CI$5, COUNTIF($M99:CH99,"u")=0), "u", "")</f>
        <v/>
      </c>
      <c r="CJ99" s="80" t="str">
        <f>IF(AND($F99&lt;&gt;"", $F99&gt;=CJ$5-4, $F99&lt;=CJ$5, COUNTIF($M99:CI99,"u")=0), "u", "")</f>
        <v/>
      </c>
      <c r="CK99" s="80" t="str">
        <f>IF(AND($F99&lt;&gt;"", $F99&gt;=CK$5-4, $F99&lt;=CK$5, COUNTIF($M99:CJ99,"u")=0), "u", "")</f>
        <v/>
      </c>
      <c r="CL99" s="80" t="str">
        <f>IF(AND($F99&lt;&gt;"", $F99&gt;=CL$5-4, $F99&lt;=CL$5, COUNTIF($M99:CK99,"u")=0), "u", "")</f>
        <v/>
      </c>
      <c r="CM99" s="80" t="str">
        <f>IF(AND($F99&lt;&gt;"", $F99&gt;=CM$5-4, $F99&lt;=CM$5, COUNTIF($M99:CL99,"u")=0), "u", "")</f>
        <v/>
      </c>
      <c r="CN99" s="80" t="str">
        <f>IF(AND($F99&lt;&gt;"", $F99&gt;=CN$5-4, $F99&lt;=CN$5, COUNTIF($M99:CM99,"u")=0), "u", "")</f>
        <v/>
      </c>
      <c r="CO99" s="80" t="str">
        <f>IF(AND($F99&lt;&gt;"", $F99&gt;=CO$5-4, $F99&lt;=CO$5, COUNTIF($M99:CN99,"u")=0), "u", "")</f>
        <v/>
      </c>
      <c r="CP99" s="80" t="str">
        <f>IF(AND($F99&lt;&gt;"", $F99&gt;=CP$5-4, $F99&lt;=CP$5, COUNTIF($M99:CO99,"u")=0), "u", "")</f>
        <v/>
      </c>
      <c r="CQ99" s="80" t="str">
        <f>IF(AND($F99&lt;&gt;"", $F99&gt;=CQ$5-4, $F99&lt;=CQ$5, COUNTIF($M99:CP99,"u")=0), "u", "")</f>
        <v/>
      </c>
      <c r="CR99" s="80" t="str">
        <f>IF(AND($F99&lt;&gt;"", $F99&gt;=CR$5-4, $F99&lt;=CR$5, COUNTIF($M99:CQ99,"u")=0), "u", "")</f>
        <v/>
      </c>
      <c r="CS99" s="80" t="str">
        <f>IF(AND($F99&lt;&gt;"", $F99&gt;=CS$5-4, $F99&lt;=CS$5, COUNTIF($M99:CR99,"u")=0), "u", "")</f>
        <v/>
      </c>
      <c r="CT99" s="80" t="str">
        <f>IF(AND($F99&lt;&gt;"", $F99&gt;=CT$5-4, $F99&lt;=CT$5, COUNTIF($M99:CS99,"u")=0), "u", "")</f>
        <v/>
      </c>
      <c r="CU99" s="80" t="str">
        <f>IF(AND($F99&lt;&gt;"", $F99&gt;=CU$5-4, $F99&lt;=CU$5, COUNTIF($M99:CT99,"u")=0), "u", "")</f>
        <v/>
      </c>
      <c r="CV99" s="80" t="str">
        <f>IF(AND($F99&lt;&gt;"", $F99&gt;=CV$5-4, $F99&lt;=CV$5, COUNTIF($M99:CU99,"u")=0), "u", "")</f>
        <v/>
      </c>
      <c r="CW99" s="80" t="str">
        <f>IF(AND($F99&lt;&gt;"", $F99&gt;=CW$5-4, $F99&lt;=CW$5, COUNTIF($M99:CV99,"u")=0), "u", "")</f>
        <v/>
      </c>
      <c r="CX99" s="80" t="str">
        <f>IF(AND($F99&lt;&gt;"", $F99&gt;=CX$5-4, $F99&lt;=CX$5, COUNTIF($M99:CW99,"u")=0), "u", "")</f>
        <v/>
      </c>
      <c r="CY99" s="80" t="str">
        <f>IF(AND($F99&lt;&gt;"", $F99&gt;=CY$5-4, $F99&lt;=CY$5, COUNTIF($M99:CX99,"u")=0), "u", "")</f>
        <v/>
      </c>
      <c r="CZ99" s="80" t="str">
        <f>IF(AND($F99&lt;&gt;"", $F99&gt;=CZ$5-4, $F99&lt;=CZ$5, COUNTIF($M99:CY99,"u")=0), "u", "")</f>
        <v/>
      </c>
      <c r="DA99" s="80" t="str">
        <f>IF(AND($F99&lt;&gt;"", $F99&gt;=DA$5-4, $F99&lt;=DA$5, COUNTIF($M99:CZ99,"u")=0), "u", "")</f>
        <v/>
      </c>
      <c r="DB99" s="80" t="str">
        <f>IF(AND($F99&lt;&gt;"", $F99&gt;=DB$5-4, $F99&lt;=DB$5, COUNTIF($M99:DA99,"u")=0), "u", "")</f>
        <v/>
      </c>
      <c r="DC99" s="80" t="str">
        <f>IF(AND($F99&lt;&gt;"", $F99&gt;=DC$5-4, $F99&lt;=DC$5, COUNTIF($M99:DB99,"u")=0), "u", "")</f>
        <v/>
      </c>
      <c r="DD99" s="80" t="str">
        <f>IF(AND($F99&lt;&gt;"", $F99&gt;=DD$5-4, $F99&lt;=DD$5, COUNTIF($M99:DC99,"u")=0), "u", "")</f>
        <v/>
      </c>
      <c r="DE99" s="80" t="str">
        <f>IF(AND($F99&lt;&gt;"", $F99&gt;=DE$5-4, $F99&lt;=DE$5, COUNTIF($M99:DD99,"u")=0), "u", "")</f>
        <v/>
      </c>
      <c r="DF99" s="80" t="str">
        <f>IF(AND($F99&lt;&gt;"", $F99&gt;=DF$5-4, $F99&lt;=DF$5, COUNTIF($M99:DE99,"u")=0), "u", "")</f>
        <v/>
      </c>
      <c r="DG99" s="80" t="str">
        <f>IF(AND($F99&lt;&gt;"", $F99&gt;=DG$5-4, $F99&lt;=DG$5, COUNTIF($M99:DF99,"u")=0), "u", "")</f>
        <v/>
      </c>
      <c r="DH99" s="80" t="str">
        <f>IF(AND($F99&lt;&gt;"", $F99&gt;=DH$5-4, $F99&lt;=DH$5, COUNTIF($M99:DG99,"u")=0), "u", "")</f>
        <v/>
      </c>
      <c r="DI99" s="80" t="str">
        <f>IF(AND($F99&lt;&gt;"", $F99&gt;=DI$5-4, $F99&lt;=DI$5, COUNTIF($M99:DH99,"u")=0), "u", "")</f>
        <v/>
      </c>
      <c r="DJ99" s="80" t="str">
        <f>IF(AND($F99&lt;&gt;"", $F99&gt;=DJ$5-4, $F99&lt;=DJ$5, COUNTIF($M99:DI99,"u")=0), "u", "")</f>
        <v/>
      </c>
      <c r="DK99" s="80" t="str">
        <f>IF(AND($F99&lt;&gt;"", $F99&gt;=DK$5-4, $F99&lt;=DK$5, COUNTIF($M99:DJ99,"u")=0), "u", "")</f>
        <v/>
      </c>
      <c r="DL99" s="80" t="str">
        <f>IF(AND($F99&lt;&gt;"", $F99&gt;=DL$5-4, $F99&lt;=DL$5, COUNTIF($M99:DK99,"u")=0), "u", "")</f>
        <v/>
      </c>
    </row>
    <row r="100" spans="1:116" ht="25.05" customHeight="1" x14ac:dyDescent="0.3">
      <c r="A100" s="39"/>
      <c r="B100" s="75">
        <v>95</v>
      </c>
      <c r="C100" s="97"/>
      <c r="D100" s="92"/>
      <c r="E100" s="53"/>
      <c r="F100" s="53"/>
      <c r="G100" s="83" t="str">
        <f t="shared" si="50"/>
        <v/>
      </c>
      <c r="H100" s="83" t="str">
        <f t="shared" si="50"/>
        <v/>
      </c>
      <c r="I100" s="77" t="str">
        <f t="shared" si="48"/>
        <v/>
      </c>
      <c r="J100" s="78"/>
      <c r="K100" s="86"/>
      <c r="L100" s="56"/>
      <c r="M100" s="80" t="str">
        <f t="shared" si="49"/>
        <v/>
      </c>
      <c r="N100" s="80" t="str">
        <f>IF(AND($F100&lt;&gt;"", $F100&gt;=N$5-4, $F100&lt;=N$5, COUNTIF($M100:M100,"u")=0), "u", "")</f>
        <v/>
      </c>
      <c r="O100" s="80" t="str">
        <f>IF(AND($F100&lt;&gt;"", $F100&gt;=O$5-4, $F100&lt;=O$5, COUNTIF($M100:N100,"u")=0), "u", "")</f>
        <v/>
      </c>
      <c r="P100" s="80" t="str">
        <f>IF(AND($F100&lt;&gt;"", $F100&gt;=P$5-4, $F100&lt;=P$5, COUNTIF($M100:O100,"u")=0), "u", "")</f>
        <v/>
      </c>
      <c r="Q100" s="80" t="str">
        <f>IF(AND($F100&lt;&gt;"", $F100&gt;=Q$5-4, $F100&lt;=Q$5, COUNTIF($M100:P100,"u")=0), "u", "")</f>
        <v/>
      </c>
      <c r="R100" s="80" t="str">
        <f>IF(AND($F100&lt;&gt;"", $F100&gt;=R$5-4, $F100&lt;=R$5, COUNTIF($M100:Q100,"u")=0), "u", "")</f>
        <v/>
      </c>
      <c r="S100" s="80" t="str">
        <f>IF(AND($F100&lt;&gt;"", $F100&gt;=S$5-4, $F100&lt;=S$5, COUNTIF($M100:R100,"u")=0), "u", "")</f>
        <v/>
      </c>
      <c r="T100" s="80" t="str">
        <f>IF(AND($F100&lt;&gt;"", $F100&gt;=T$5-4, $F100&lt;=T$5, COUNTIF($M100:S100,"u")=0), "u", "")</f>
        <v/>
      </c>
      <c r="U100" s="80" t="str">
        <f>IF(AND($F100&lt;&gt;"", $F100&gt;=U$5-4, $F100&lt;=U$5, COUNTIF($M100:T100,"u")=0), "u", "")</f>
        <v/>
      </c>
      <c r="V100" s="80" t="str">
        <f>IF(AND($F100&lt;&gt;"", $F100&gt;=V$5-4, $F100&lt;=V$5, COUNTIF($M100:U100,"u")=0), "u", "")</f>
        <v/>
      </c>
      <c r="W100" s="80" t="str">
        <f>IF(AND($F100&lt;&gt;"", $F100&gt;=W$5-4, $F100&lt;=W$5, COUNTIF($M100:V100,"u")=0), "u", "")</f>
        <v/>
      </c>
      <c r="X100" s="80" t="str">
        <f>IF(AND($F100&lt;&gt;"", $F100&gt;=X$5-4, $F100&lt;=X$5, COUNTIF($M100:W100,"u")=0), "u", "")</f>
        <v/>
      </c>
      <c r="Y100" s="80" t="str">
        <f>IF(AND($F100&lt;&gt;"", $F100&gt;=Y$5-4, $F100&lt;=Y$5, COUNTIF($M100:X100,"u")=0), "u", "")</f>
        <v/>
      </c>
      <c r="Z100" s="80" t="str">
        <f>IF(AND($F100&lt;&gt;"", $F100&gt;=Z$5-4, $F100&lt;=Z$5, COUNTIF($M100:Y100,"u")=0), "u", "")</f>
        <v/>
      </c>
      <c r="AA100" s="80" t="str">
        <f>IF(AND($F100&lt;&gt;"", $F100&gt;=AA$5-4, $F100&lt;=AA$5, COUNTIF($M100:Z100,"u")=0), "u", "")</f>
        <v/>
      </c>
      <c r="AB100" s="80" t="str">
        <f>IF(AND($F100&lt;&gt;"", $F100&gt;=AB$5-4, $F100&lt;=AB$5, COUNTIF($M100:AA100,"u")=0), "u", "")</f>
        <v/>
      </c>
      <c r="AC100" s="80" t="str">
        <f>IF(AND($F100&lt;&gt;"", $F100&gt;=AC$5-4, $F100&lt;=AC$5, COUNTIF($M100:AB100,"u")=0), "u", "")</f>
        <v/>
      </c>
      <c r="AD100" s="80" t="str">
        <f>IF(AND($F100&lt;&gt;"", $F100&gt;=AD$5-4, $F100&lt;=AD$5, COUNTIF($M100:AC100,"u")=0), "u", "")</f>
        <v/>
      </c>
      <c r="AE100" s="80" t="str">
        <f>IF(AND($F100&lt;&gt;"", $F100&gt;=AE$5-4, $F100&lt;=AE$5, COUNTIF($M100:AD100,"u")=0), "u", "")</f>
        <v/>
      </c>
      <c r="AF100" s="80" t="str">
        <f>IF(AND($F100&lt;&gt;"", $F100&gt;=AF$5-4, $F100&lt;=AF$5, COUNTIF($M100:AE100,"u")=0), "u", "")</f>
        <v/>
      </c>
      <c r="AG100" s="80" t="str">
        <f>IF(AND($F100&lt;&gt;"", $F100&gt;=AG$5-4, $F100&lt;=AG$5, COUNTIF($M100:AF100,"u")=0), "u", "")</f>
        <v/>
      </c>
      <c r="AH100" s="80" t="str">
        <f>IF(AND($F100&lt;&gt;"", $F100&gt;=AH$5-4, $F100&lt;=AH$5, COUNTIF($M100:AG100,"u")=0), "u", "")</f>
        <v/>
      </c>
      <c r="AI100" s="80" t="str">
        <f>IF(AND($F100&lt;&gt;"", $F100&gt;=AI$5-4, $F100&lt;=AI$5, COUNTIF($M100:AH100,"u")=0), "u", "")</f>
        <v/>
      </c>
      <c r="AJ100" s="80" t="str">
        <f>IF(AND($F100&lt;&gt;"", $F100&gt;=AJ$5-4, $F100&lt;=AJ$5, COUNTIF($M100:AI100,"u")=0), "u", "")</f>
        <v/>
      </c>
      <c r="AK100" s="80" t="str">
        <f>IF(AND($F100&lt;&gt;"", $F100&gt;=AK$5-4, $F100&lt;=AK$5, COUNTIF($M100:AJ100,"u")=0), "u", "")</f>
        <v/>
      </c>
      <c r="AL100" s="80" t="str">
        <f>IF(AND($F100&lt;&gt;"", $F100&gt;=AL$5-4, $F100&lt;=AL$5, COUNTIF($M100:AK100,"u")=0), "u", "")</f>
        <v/>
      </c>
      <c r="AM100" s="80" t="str">
        <f>IF(AND($F100&lt;&gt;"", $F100&gt;=AM$5-4, $F100&lt;=AM$5, COUNTIF($M100:AL100,"u")=0), "u", "")</f>
        <v/>
      </c>
      <c r="AN100" s="80" t="str">
        <f>IF(AND($F100&lt;&gt;"", $F100&gt;=AN$5-4, $F100&lt;=AN$5, COUNTIF($M100:AM100,"u")=0), "u", "")</f>
        <v/>
      </c>
      <c r="AO100" s="80" t="str">
        <f>IF(AND($F100&lt;&gt;"", $F100&gt;=AO$5-4, $F100&lt;=AO$5, COUNTIF($M100:AN100,"u")=0), "u", "")</f>
        <v/>
      </c>
      <c r="AP100" s="80" t="str">
        <f>IF(AND($F100&lt;&gt;"", $F100&gt;=AP$5-4, $F100&lt;=AP$5, COUNTIF($M100:AO100,"u")=0), "u", "")</f>
        <v/>
      </c>
      <c r="AQ100" s="80" t="str">
        <f>IF(AND($F100&lt;&gt;"", $F100&gt;=AQ$5-4, $F100&lt;=AQ$5, COUNTIF($M100:AP100,"u")=0), "u", "")</f>
        <v/>
      </c>
      <c r="AR100" s="80" t="str">
        <f>IF(AND($F100&lt;&gt;"", $F100&gt;=AR$5-4, $F100&lt;=AR$5, COUNTIF($M100:AQ100,"u")=0), "u", "")</f>
        <v/>
      </c>
      <c r="AS100" s="80" t="str">
        <f>IF(AND($F100&lt;&gt;"", $F100&gt;=AS$5-4, $F100&lt;=AS$5, COUNTIF($M100:AR100,"u")=0), "u", "")</f>
        <v/>
      </c>
      <c r="AT100" s="80" t="str">
        <f>IF(AND($F100&lt;&gt;"", $F100&gt;=AT$5-4, $F100&lt;=AT$5, COUNTIF($M100:AS100,"u")=0), "u", "")</f>
        <v/>
      </c>
      <c r="AU100" s="80" t="str">
        <f>IF(AND($F100&lt;&gt;"", $F100&gt;=AU$5-4, $F100&lt;=AU$5, COUNTIF($M100:AT100,"u")=0), "u", "")</f>
        <v/>
      </c>
      <c r="AV100" s="80" t="str">
        <f>IF(AND($F100&lt;&gt;"", $F100&gt;=AV$5-4, $F100&lt;=AV$5, COUNTIF($M100:AU100,"u")=0), "u", "")</f>
        <v/>
      </c>
      <c r="AW100" s="80" t="str">
        <f>IF(AND($F100&lt;&gt;"", $F100&gt;=AW$5-4, $F100&lt;=AW$5, COUNTIF($M100:AV100,"u")=0), "u", "")</f>
        <v/>
      </c>
      <c r="AX100" s="80" t="str">
        <f>IF(AND($F100&lt;&gt;"", $F100&gt;=AX$5-4, $F100&lt;=AX$5, COUNTIF($M100:AW100,"u")=0), "u", "")</f>
        <v/>
      </c>
      <c r="AY100" s="80" t="str">
        <f>IF(AND($F100&lt;&gt;"", $F100&gt;=AY$5-4, $F100&lt;=AY$5, COUNTIF($M100:AX100,"u")=0), "u", "")</f>
        <v/>
      </c>
      <c r="AZ100" s="80" t="str">
        <f>IF(AND($F100&lt;&gt;"", $F100&gt;=AZ$5-4, $F100&lt;=AZ$5, COUNTIF($M100:AY100,"u")=0), "u", "")</f>
        <v/>
      </c>
      <c r="BA100" s="80" t="str">
        <f>IF(AND($F100&lt;&gt;"", $F100&gt;=BA$5-4, $F100&lt;=BA$5, COUNTIF($M100:AZ100,"u")=0), "u", "")</f>
        <v/>
      </c>
      <c r="BB100" s="80" t="str">
        <f>IF(AND($F100&lt;&gt;"", $F100&gt;=BB$5-4, $F100&lt;=BB$5, COUNTIF($M100:BA100,"u")=0), "u", "")</f>
        <v/>
      </c>
      <c r="BC100" s="80" t="str">
        <f>IF(AND($F100&lt;&gt;"", $F100&gt;=BC$5-4, $F100&lt;=BC$5, COUNTIF($M100:BB100,"u")=0), "u", "")</f>
        <v/>
      </c>
      <c r="BD100" s="80" t="str">
        <f>IF(AND($F100&lt;&gt;"", $F100&gt;=BD$5-4, $F100&lt;=BD$5, COUNTIF($M100:BC100,"u")=0), "u", "")</f>
        <v/>
      </c>
      <c r="BE100" s="80" t="str">
        <f>IF(AND($F100&lt;&gt;"", $F100&gt;=BE$5-4, $F100&lt;=BE$5, COUNTIF($M100:BD100,"u")=0), "u", "")</f>
        <v/>
      </c>
      <c r="BF100" s="80" t="str">
        <f>IF(AND($F100&lt;&gt;"", $F100&gt;=BF$5-4, $F100&lt;=BF$5, COUNTIF($M100:BE100,"u")=0), "u", "")</f>
        <v/>
      </c>
      <c r="BG100" s="80" t="str">
        <f>IF(AND($F100&lt;&gt;"", $F100&gt;=BG$5-4, $F100&lt;=BG$5, COUNTIF($M100:BF100,"u")=0), "u", "")</f>
        <v/>
      </c>
      <c r="BH100" s="80" t="str">
        <f>IF(AND($F100&lt;&gt;"", $F100&gt;=BH$5-4, $F100&lt;=BH$5, COUNTIF($M100:BG100,"u")=0), "u", "")</f>
        <v/>
      </c>
      <c r="BI100" s="80" t="str">
        <f>IF(AND($F100&lt;&gt;"", $F100&gt;=BI$5-4, $F100&lt;=BI$5, COUNTIF($M100:BH100,"u")=0), "u", "")</f>
        <v/>
      </c>
      <c r="BJ100" s="80" t="str">
        <f>IF(AND($F100&lt;&gt;"", $F100&gt;=BJ$5-4, $F100&lt;=BJ$5, COUNTIF($M100:BI100,"u")=0), "u", "")</f>
        <v/>
      </c>
      <c r="BK100" s="80" t="str">
        <f>IF(AND($F100&lt;&gt;"", $F100&gt;=BK$5-4, $F100&lt;=BK$5, COUNTIF($M100:BJ100,"u")=0), "u", "")</f>
        <v/>
      </c>
      <c r="BL100" s="80" t="str">
        <f>IF(AND($F100&lt;&gt;"", $F100&gt;=BL$5-4, $F100&lt;=BL$5, COUNTIF($M100:BK100,"u")=0), "u", "")</f>
        <v/>
      </c>
      <c r="BM100" s="80" t="str">
        <f>IF(AND($F100&lt;&gt;"", $F100&gt;=BM$5-4, $F100&lt;=BM$5, COUNTIF($M100:BL100,"u")=0), "u", "")</f>
        <v/>
      </c>
      <c r="BN100" s="80" t="str">
        <f>IF(AND($F100&lt;&gt;"", $F100&gt;=BN$5-4, $F100&lt;=BN$5, COUNTIF($M100:BM100,"u")=0), "u", "")</f>
        <v/>
      </c>
      <c r="BO100" s="80" t="str">
        <f>IF(AND($F100&lt;&gt;"", $F100&gt;=BO$5-4, $F100&lt;=BO$5, COUNTIF($M100:BN100,"u")=0), "u", "")</f>
        <v/>
      </c>
      <c r="BP100" s="80" t="str">
        <f>IF(AND($F100&lt;&gt;"", $F100&gt;=BP$5-4, $F100&lt;=BP$5, COUNTIF($M100:BO100,"u")=0), "u", "")</f>
        <v/>
      </c>
      <c r="BQ100" s="80" t="str">
        <f>IF(AND($F100&lt;&gt;"", $F100&gt;=BQ$5-4, $F100&lt;=BQ$5, COUNTIF($M100:BP100,"u")=0), "u", "")</f>
        <v/>
      </c>
      <c r="BR100" s="80" t="str">
        <f>IF(AND($F100&lt;&gt;"", $F100&gt;=BR$5-4, $F100&lt;=BR$5, COUNTIF($M100:BQ100,"u")=0), "u", "")</f>
        <v/>
      </c>
      <c r="BS100" s="80" t="str">
        <f>IF(AND($F100&lt;&gt;"", $F100&gt;=BS$5-4, $F100&lt;=BS$5, COUNTIF($M100:BR100,"u")=0), "u", "")</f>
        <v/>
      </c>
      <c r="BT100" s="80" t="str">
        <f>IF(AND($F100&lt;&gt;"", $F100&gt;=BT$5-4, $F100&lt;=BT$5, COUNTIF($M100:BS100,"u")=0), "u", "")</f>
        <v/>
      </c>
      <c r="BU100" s="80" t="str">
        <f>IF(AND($F100&lt;&gt;"", $F100&gt;=BU$5-4, $F100&lt;=BU$5, COUNTIF($M100:BT100,"u")=0), "u", "")</f>
        <v/>
      </c>
      <c r="BV100" s="80" t="str">
        <f>IF(AND($F100&lt;&gt;"", $F100&gt;=BV$5-4, $F100&lt;=BV$5, COUNTIF($M100:BU100,"u")=0), "u", "")</f>
        <v/>
      </c>
      <c r="BW100" s="80" t="str">
        <f>IF(AND($F100&lt;&gt;"", $F100&gt;=BW$5-4, $F100&lt;=BW$5, COUNTIF($M100:BV100,"u")=0), "u", "")</f>
        <v/>
      </c>
      <c r="BX100" s="80" t="str">
        <f>IF(AND($F100&lt;&gt;"", $F100&gt;=BX$5-4, $F100&lt;=BX$5, COUNTIF($M100:BW100,"u")=0), "u", "")</f>
        <v/>
      </c>
      <c r="BY100" s="80" t="str">
        <f>IF(AND($F100&lt;&gt;"", $F100&gt;=BY$5-4, $F100&lt;=BY$5, COUNTIF($M100:BX100,"u")=0), "u", "")</f>
        <v/>
      </c>
      <c r="BZ100" s="80" t="str">
        <f>IF(AND($F100&lt;&gt;"", $F100&gt;=BZ$5-4, $F100&lt;=BZ$5, COUNTIF($M100:BY100,"u")=0), "u", "")</f>
        <v/>
      </c>
      <c r="CA100" s="80" t="str">
        <f>IF(AND($F100&lt;&gt;"", $F100&gt;=CA$5-4, $F100&lt;=CA$5, COUNTIF($M100:BZ100,"u")=0), "u", "")</f>
        <v/>
      </c>
      <c r="CB100" s="80" t="str">
        <f>IF(AND($F100&lt;&gt;"", $F100&gt;=CB$5-4, $F100&lt;=CB$5, COUNTIF($M100:CA100,"u")=0), "u", "")</f>
        <v/>
      </c>
      <c r="CC100" s="80" t="str">
        <f>IF(AND($F100&lt;&gt;"", $F100&gt;=CC$5-4, $F100&lt;=CC$5, COUNTIF($M100:CB100,"u")=0), "u", "")</f>
        <v/>
      </c>
      <c r="CD100" s="80" t="str">
        <f>IF(AND($F100&lt;&gt;"", $F100&gt;=CD$5-4, $F100&lt;=CD$5, COUNTIF($M100:CC100,"u")=0), "u", "")</f>
        <v/>
      </c>
      <c r="CE100" s="80" t="str">
        <f>IF(AND($F100&lt;&gt;"", $F100&gt;=CE$5-4, $F100&lt;=CE$5, COUNTIF($M100:CD100,"u")=0), "u", "")</f>
        <v/>
      </c>
      <c r="CF100" s="80" t="str">
        <f>IF(AND($F100&lt;&gt;"", $F100&gt;=CF$5-4, $F100&lt;=CF$5, COUNTIF($M100:CE100,"u")=0), "u", "")</f>
        <v/>
      </c>
      <c r="CG100" s="80" t="str">
        <f>IF(AND($F100&lt;&gt;"", $F100&gt;=CG$5-4, $F100&lt;=CG$5, COUNTIF($M100:CF100,"u")=0), "u", "")</f>
        <v/>
      </c>
      <c r="CH100" s="80" t="str">
        <f>IF(AND($F100&lt;&gt;"", $F100&gt;=CH$5-4, $F100&lt;=CH$5, COUNTIF($M100:CG100,"u")=0), "u", "")</f>
        <v/>
      </c>
      <c r="CI100" s="80" t="str">
        <f>IF(AND($F100&lt;&gt;"", $F100&gt;=CI$5-4, $F100&lt;=CI$5, COUNTIF($M100:CH100,"u")=0), "u", "")</f>
        <v/>
      </c>
      <c r="CJ100" s="80" t="str">
        <f>IF(AND($F100&lt;&gt;"", $F100&gt;=CJ$5-4, $F100&lt;=CJ$5, COUNTIF($M100:CI100,"u")=0), "u", "")</f>
        <v/>
      </c>
      <c r="CK100" s="80" t="str">
        <f>IF(AND($F100&lt;&gt;"", $F100&gt;=CK$5-4, $F100&lt;=CK$5, COUNTIF($M100:CJ100,"u")=0), "u", "")</f>
        <v/>
      </c>
      <c r="CL100" s="80" t="str">
        <f>IF(AND($F100&lt;&gt;"", $F100&gt;=CL$5-4, $F100&lt;=CL$5, COUNTIF($M100:CK100,"u")=0), "u", "")</f>
        <v/>
      </c>
      <c r="CM100" s="80" t="str">
        <f>IF(AND($F100&lt;&gt;"", $F100&gt;=CM$5-4, $F100&lt;=CM$5, COUNTIF($M100:CL100,"u")=0), "u", "")</f>
        <v/>
      </c>
      <c r="CN100" s="80" t="str">
        <f>IF(AND($F100&lt;&gt;"", $F100&gt;=CN$5-4, $F100&lt;=CN$5, COUNTIF($M100:CM100,"u")=0), "u", "")</f>
        <v/>
      </c>
      <c r="CO100" s="80" t="str">
        <f>IF(AND($F100&lt;&gt;"", $F100&gt;=CO$5-4, $F100&lt;=CO$5, COUNTIF($M100:CN100,"u")=0), "u", "")</f>
        <v/>
      </c>
      <c r="CP100" s="80" t="str">
        <f>IF(AND($F100&lt;&gt;"", $F100&gt;=CP$5-4, $F100&lt;=CP$5, COUNTIF($M100:CO100,"u")=0), "u", "")</f>
        <v/>
      </c>
      <c r="CQ100" s="80" t="str">
        <f>IF(AND($F100&lt;&gt;"", $F100&gt;=CQ$5-4, $F100&lt;=CQ$5, COUNTIF($M100:CP100,"u")=0), "u", "")</f>
        <v/>
      </c>
      <c r="CR100" s="80" t="str">
        <f>IF(AND($F100&lt;&gt;"", $F100&gt;=CR$5-4, $F100&lt;=CR$5, COUNTIF($M100:CQ100,"u")=0), "u", "")</f>
        <v/>
      </c>
      <c r="CS100" s="80" t="str">
        <f>IF(AND($F100&lt;&gt;"", $F100&gt;=CS$5-4, $F100&lt;=CS$5, COUNTIF($M100:CR100,"u")=0), "u", "")</f>
        <v/>
      </c>
      <c r="CT100" s="80" t="str">
        <f>IF(AND($F100&lt;&gt;"", $F100&gt;=CT$5-4, $F100&lt;=CT$5, COUNTIF($M100:CS100,"u")=0), "u", "")</f>
        <v/>
      </c>
      <c r="CU100" s="80" t="str">
        <f>IF(AND($F100&lt;&gt;"", $F100&gt;=CU$5-4, $F100&lt;=CU$5, COUNTIF($M100:CT100,"u")=0), "u", "")</f>
        <v/>
      </c>
      <c r="CV100" s="80" t="str">
        <f>IF(AND($F100&lt;&gt;"", $F100&gt;=CV$5-4, $F100&lt;=CV$5, COUNTIF($M100:CU100,"u")=0), "u", "")</f>
        <v/>
      </c>
      <c r="CW100" s="80" t="str">
        <f>IF(AND($F100&lt;&gt;"", $F100&gt;=CW$5-4, $F100&lt;=CW$5, COUNTIF($M100:CV100,"u")=0), "u", "")</f>
        <v/>
      </c>
      <c r="CX100" s="80" t="str">
        <f>IF(AND($F100&lt;&gt;"", $F100&gt;=CX$5-4, $F100&lt;=CX$5, COUNTIF($M100:CW100,"u")=0), "u", "")</f>
        <v/>
      </c>
      <c r="CY100" s="80" t="str">
        <f>IF(AND($F100&lt;&gt;"", $F100&gt;=CY$5-4, $F100&lt;=CY$5, COUNTIF($M100:CX100,"u")=0), "u", "")</f>
        <v/>
      </c>
      <c r="CZ100" s="80" t="str">
        <f>IF(AND($F100&lt;&gt;"", $F100&gt;=CZ$5-4, $F100&lt;=CZ$5, COUNTIF($M100:CY100,"u")=0), "u", "")</f>
        <v/>
      </c>
      <c r="DA100" s="80" t="str">
        <f>IF(AND($F100&lt;&gt;"", $F100&gt;=DA$5-4, $F100&lt;=DA$5, COUNTIF($M100:CZ100,"u")=0), "u", "")</f>
        <v/>
      </c>
      <c r="DB100" s="80" t="str">
        <f>IF(AND($F100&lt;&gt;"", $F100&gt;=DB$5-4, $F100&lt;=DB$5, COUNTIF($M100:DA100,"u")=0), "u", "")</f>
        <v/>
      </c>
      <c r="DC100" s="80" t="str">
        <f>IF(AND($F100&lt;&gt;"", $F100&gt;=DC$5-4, $F100&lt;=DC$5, COUNTIF($M100:DB100,"u")=0), "u", "")</f>
        <v/>
      </c>
      <c r="DD100" s="80" t="str">
        <f>IF(AND($F100&lt;&gt;"", $F100&gt;=DD$5-4, $F100&lt;=DD$5, COUNTIF($M100:DC100,"u")=0), "u", "")</f>
        <v/>
      </c>
      <c r="DE100" s="80" t="str">
        <f>IF(AND($F100&lt;&gt;"", $F100&gt;=DE$5-4, $F100&lt;=DE$5, COUNTIF($M100:DD100,"u")=0), "u", "")</f>
        <v/>
      </c>
      <c r="DF100" s="80" t="str">
        <f>IF(AND($F100&lt;&gt;"", $F100&gt;=DF$5-4, $F100&lt;=DF$5, COUNTIF($M100:DE100,"u")=0), "u", "")</f>
        <v/>
      </c>
      <c r="DG100" s="80" t="str">
        <f>IF(AND($F100&lt;&gt;"", $F100&gt;=DG$5-4, $F100&lt;=DG$5, COUNTIF($M100:DF100,"u")=0), "u", "")</f>
        <v/>
      </c>
      <c r="DH100" s="80" t="str">
        <f>IF(AND($F100&lt;&gt;"", $F100&gt;=DH$5-4, $F100&lt;=DH$5, COUNTIF($M100:DG100,"u")=0), "u", "")</f>
        <v/>
      </c>
      <c r="DI100" s="80" t="str">
        <f>IF(AND($F100&lt;&gt;"", $F100&gt;=DI$5-4, $F100&lt;=DI$5, COUNTIF($M100:DH100,"u")=0), "u", "")</f>
        <v/>
      </c>
      <c r="DJ100" s="80" t="str">
        <f>IF(AND($F100&lt;&gt;"", $F100&gt;=DJ$5-4, $F100&lt;=DJ$5, COUNTIF($M100:DI100,"u")=0), "u", "")</f>
        <v/>
      </c>
      <c r="DK100" s="80" t="str">
        <f>IF(AND($F100&lt;&gt;"", $F100&gt;=DK$5-4, $F100&lt;=DK$5, COUNTIF($M100:DJ100,"u")=0), "u", "")</f>
        <v/>
      </c>
      <c r="DL100" s="80" t="str">
        <f>IF(AND($F100&lt;&gt;"", $F100&gt;=DL$5-4, $F100&lt;=DL$5, COUNTIF($M100:DK100,"u")=0), "u", "")</f>
        <v/>
      </c>
    </row>
    <row r="101" spans="1:116" ht="25.05" customHeight="1" x14ac:dyDescent="0.3">
      <c r="A101" s="39"/>
      <c r="B101" s="75">
        <v>96</v>
      </c>
      <c r="C101" s="97"/>
      <c r="D101" s="92"/>
      <c r="E101" s="53"/>
      <c r="F101" s="53"/>
      <c r="G101" s="83" t="str">
        <f t="shared" si="50"/>
        <v/>
      </c>
      <c r="H101" s="83" t="str">
        <f t="shared" si="50"/>
        <v/>
      </c>
      <c r="I101" s="77" t="str">
        <f t="shared" si="48"/>
        <v/>
      </c>
      <c r="J101" s="78"/>
      <c r="K101" s="86"/>
      <c r="L101" s="56"/>
      <c r="M101" s="80" t="str">
        <f t="shared" si="49"/>
        <v/>
      </c>
      <c r="N101" s="80" t="str">
        <f>IF(AND($F101&lt;&gt;"", $F101&gt;=N$5-4, $F101&lt;=N$5, COUNTIF($M101:M101,"u")=0), "u", "")</f>
        <v/>
      </c>
      <c r="O101" s="80" t="str">
        <f>IF(AND($F101&lt;&gt;"", $F101&gt;=O$5-4, $F101&lt;=O$5, COUNTIF($M101:N101,"u")=0), "u", "")</f>
        <v/>
      </c>
      <c r="P101" s="80" t="str">
        <f>IF(AND($F101&lt;&gt;"", $F101&gt;=P$5-4, $F101&lt;=P$5, COUNTIF($M101:O101,"u")=0), "u", "")</f>
        <v/>
      </c>
      <c r="Q101" s="80" t="str">
        <f>IF(AND($F101&lt;&gt;"", $F101&gt;=Q$5-4, $F101&lt;=Q$5, COUNTIF($M101:P101,"u")=0), "u", "")</f>
        <v/>
      </c>
      <c r="R101" s="80" t="str">
        <f>IF(AND($F101&lt;&gt;"", $F101&gt;=R$5-4, $F101&lt;=R$5, COUNTIF($M101:Q101,"u")=0), "u", "")</f>
        <v/>
      </c>
      <c r="S101" s="80" t="str">
        <f>IF(AND($F101&lt;&gt;"", $F101&gt;=S$5-4, $F101&lt;=S$5, COUNTIF($M101:R101,"u")=0), "u", "")</f>
        <v/>
      </c>
      <c r="T101" s="80" t="str">
        <f>IF(AND($F101&lt;&gt;"", $F101&gt;=T$5-4, $F101&lt;=T$5, COUNTIF($M101:S101,"u")=0), "u", "")</f>
        <v/>
      </c>
      <c r="U101" s="80" t="str">
        <f>IF(AND($F101&lt;&gt;"", $F101&gt;=U$5-4, $F101&lt;=U$5, COUNTIF($M101:T101,"u")=0), "u", "")</f>
        <v/>
      </c>
      <c r="V101" s="80" t="str">
        <f>IF(AND($F101&lt;&gt;"", $F101&gt;=V$5-4, $F101&lt;=V$5, COUNTIF($M101:U101,"u")=0), "u", "")</f>
        <v/>
      </c>
      <c r="W101" s="80" t="str">
        <f>IF(AND($F101&lt;&gt;"", $F101&gt;=W$5-4, $F101&lt;=W$5, COUNTIF($M101:V101,"u")=0), "u", "")</f>
        <v/>
      </c>
      <c r="X101" s="80" t="str">
        <f>IF(AND($F101&lt;&gt;"", $F101&gt;=X$5-4, $F101&lt;=X$5, COUNTIF($M101:W101,"u")=0), "u", "")</f>
        <v/>
      </c>
      <c r="Y101" s="80" t="str">
        <f>IF(AND($F101&lt;&gt;"", $F101&gt;=Y$5-4, $F101&lt;=Y$5, COUNTIF($M101:X101,"u")=0), "u", "")</f>
        <v/>
      </c>
      <c r="Z101" s="80" t="str">
        <f>IF(AND($F101&lt;&gt;"", $F101&gt;=Z$5-4, $F101&lt;=Z$5, COUNTIF($M101:Y101,"u")=0), "u", "")</f>
        <v/>
      </c>
      <c r="AA101" s="80" t="str">
        <f>IF(AND($F101&lt;&gt;"", $F101&gt;=AA$5-4, $F101&lt;=AA$5, COUNTIF($M101:Z101,"u")=0), "u", "")</f>
        <v/>
      </c>
      <c r="AB101" s="80" t="str">
        <f>IF(AND($F101&lt;&gt;"", $F101&gt;=AB$5-4, $F101&lt;=AB$5, COUNTIF($M101:AA101,"u")=0), "u", "")</f>
        <v/>
      </c>
      <c r="AC101" s="80" t="str">
        <f>IF(AND($F101&lt;&gt;"", $F101&gt;=AC$5-4, $F101&lt;=AC$5, COUNTIF($M101:AB101,"u")=0), "u", "")</f>
        <v/>
      </c>
      <c r="AD101" s="80" t="str">
        <f>IF(AND($F101&lt;&gt;"", $F101&gt;=AD$5-4, $F101&lt;=AD$5, COUNTIF($M101:AC101,"u")=0), "u", "")</f>
        <v/>
      </c>
      <c r="AE101" s="80" t="str">
        <f>IF(AND($F101&lt;&gt;"", $F101&gt;=AE$5-4, $F101&lt;=AE$5, COUNTIF($M101:AD101,"u")=0), "u", "")</f>
        <v/>
      </c>
      <c r="AF101" s="80" t="str">
        <f>IF(AND($F101&lt;&gt;"", $F101&gt;=AF$5-4, $F101&lt;=AF$5, COUNTIF($M101:AE101,"u")=0), "u", "")</f>
        <v/>
      </c>
      <c r="AG101" s="80" t="str">
        <f>IF(AND($F101&lt;&gt;"", $F101&gt;=AG$5-4, $F101&lt;=AG$5, COUNTIF($M101:AF101,"u")=0), "u", "")</f>
        <v/>
      </c>
      <c r="AH101" s="80" t="str">
        <f>IF(AND($F101&lt;&gt;"", $F101&gt;=AH$5-4, $F101&lt;=AH$5, COUNTIF($M101:AG101,"u")=0), "u", "")</f>
        <v/>
      </c>
      <c r="AI101" s="80" t="str">
        <f>IF(AND($F101&lt;&gt;"", $F101&gt;=AI$5-4, $F101&lt;=AI$5, COUNTIF($M101:AH101,"u")=0), "u", "")</f>
        <v/>
      </c>
      <c r="AJ101" s="80" t="str">
        <f>IF(AND($F101&lt;&gt;"", $F101&gt;=AJ$5-4, $F101&lt;=AJ$5, COUNTIF($M101:AI101,"u")=0), "u", "")</f>
        <v/>
      </c>
      <c r="AK101" s="80" t="str">
        <f>IF(AND($F101&lt;&gt;"", $F101&gt;=AK$5-4, $F101&lt;=AK$5, COUNTIF($M101:AJ101,"u")=0), "u", "")</f>
        <v/>
      </c>
      <c r="AL101" s="80" t="str">
        <f>IF(AND($F101&lt;&gt;"", $F101&gt;=AL$5-4, $F101&lt;=AL$5, COUNTIF($M101:AK101,"u")=0), "u", "")</f>
        <v/>
      </c>
      <c r="AM101" s="80" t="str">
        <f>IF(AND($F101&lt;&gt;"", $F101&gt;=AM$5-4, $F101&lt;=AM$5, COUNTIF($M101:AL101,"u")=0), "u", "")</f>
        <v/>
      </c>
      <c r="AN101" s="80" t="str">
        <f>IF(AND($F101&lt;&gt;"", $F101&gt;=AN$5-4, $F101&lt;=AN$5, COUNTIF($M101:AM101,"u")=0), "u", "")</f>
        <v/>
      </c>
      <c r="AO101" s="80" t="str">
        <f>IF(AND($F101&lt;&gt;"", $F101&gt;=AO$5-4, $F101&lt;=AO$5, COUNTIF($M101:AN101,"u")=0), "u", "")</f>
        <v/>
      </c>
      <c r="AP101" s="80" t="str">
        <f>IF(AND($F101&lt;&gt;"", $F101&gt;=AP$5-4, $F101&lt;=AP$5, COUNTIF($M101:AO101,"u")=0), "u", "")</f>
        <v/>
      </c>
      <c r="AQ101" s="80" t="str">
        <f>IF(AND($F101&lt;&gt;"", $F101&gt;=AQ$5-4, $F101&lt;=AQ$5, COUNTIF($M101:AP101,"u")=0), "u", "")</f>
        <v/>
      </c>
      <c r="AR101" s="80" t="str">
        <f>IF(AND($F101&lt;&gt;"", $F101&gt;=AR$5-4, $F101&lt;=AR$5, COUNTIF($M101:AQ101,"u")=0), "u", "")</f>
        <v/>
      </c>
      <c r="AS101" s="80" t="str">
        <f>IF(AND($F101&lt;&gt;"", $F101&gt;=AS$5-4, $F101&lt;=AS$5, COUNTIF($M101:AR101,"u")=0), "u", "")</f>
        <v/>
      </c>
      <c r="AT101" s="80" t="str">
        <f>IF(AND($F101&lt;&gt;"", $F101&gt;=AT$5-4, $F101&lt;=AT$5, COUNTIF($M101:AS101,"u")=0), "u", "")</f>
        <v/>
      </c>
      <c r="AU101" s="80" t="str">
        <f>IF(AND($F101&lt;&gt;"", $F101&gt;=AU$5-4, $F101&lt;=AU$5, COUNTIF($M101:AT101,"u")=0), "u", "")</f>
        <v/>
      </c>
      <c r="AV101" s="80" t="str">
        <f>IF(AND($F101&lt;&gt;"", $F101&gt;=AV$5-4, $F101&lt;=AV$5, COUNTIF($M101:AU101,"u")=0), "u", "")</f>
        <v/>
      </c>
      <c r="AW101" s="80" t="str">
        <f>IF(AND($F101&lt;&gt;"", $F101&gt;=AW$5-4, $F101&lt;=AW$5, COUNTIF($M101:AV101,"u")=0), "u", "")</f>
        <v/>
      </c>
      <c r="AX101" s="80" t="str">
        <f>IF(AND($F101&lt;&gt;"", $F101&gt;=AX$5-4, $F101&lt;=AX$5, COUNTIF($M101:AW101,"u")=0), "u", "")</f>
        <v/>
      </c>
      <c r="AY101" s="80" t="str">
        <f>IF(AND($F101&lt;&gt;"", $F101&gt;=AY$5-4, $F101&lt;=AY$5, COUNTIF($M101:AX101,"u")=0), "u", "")</f>
        <v/>
      </c>
      <c r="AZ101" s="80" t="str">
        <f>IF(AND($F101&lt;&gt;"", $F101&gt;=AZ$5-4, $F101&lt;=AZ$5, COUNTIF($M101:AY101,"u")=0), "u", "")</f>
        <v/>
      </c>
      <c r="BA101" s="80" t="str">
        <f>IF(AND($F101&lt;&gt;"", $F101&gt;=BA$5-4, $F101&lt;=BA$5, COUNTIF($M101:AZ101,"u")=0), "u", "")</f>
        <v/>
      </c>
      <c r="BB101" s="80" t="str">
        <f>IF(AND($F101&lt;&gt;"", $F101&gt;=BB$5-4, $F101&lt;=BB$5, COUNTIF($M101:BA101,"u")=0), "u", "")</f>
        <v/>
      </c>
      <c r="BC101" s="80" t="str">
        <f>IF(AND($F101&lt;&gt;"", $F101&gt;=BC$5-4, $F101&lt;=BC$5, COUNTIF($M101:BB101,"u")=0), "u", "")</f>
        <v/>
      </c>
      <c r="BD101" s="80" t="str">
        <f>IF(AND($F101&lt;&gt;"", $F101&gt;=BD$5-4, $F101&lt;=BD$5, COUNTIF($M101:BC101,"u")=0), "u", "")</f>
        <v/>
      </c>
      <c r="BE101" s="80" t="str">
        <f>IF(AND($F101&lt;&gt;"", $F101&gt;=BE$5-4, $F101&lt;=BE$5, COUNTIF($M101:BD101,"u")=0), "u", "")</f>
        <v/>
      </c>
      <c r="BF101" s="80" t="str">
        <f>IF(AND($F101&lt;&gt;"", $F101&gt;=BF$5-4, $F101&lt;=BF$5, COUNTIF($M101:BE101,"u")=0), "u", "")</f>
        <v/>
      </c>
      <c r="BG101" s="80" t="str">
        <f>IF(AND($F101&lt;&gt;"", $F101&gt;=BG$5-4, $F101&lt;=BG$5, COUNTIF($M101:BF101,"u")=0), "u", "")</f>
        <v/>
      </c>
      <c r="BH101" s="80" t="str">
        <f>IF(AND($F101&lt;&gt;"", $F101&gt;=BH$5-4, $F101&lt;=BH$5, COUNTIF($M101:BG101,"u")=0), "u", "")</f>
        <v/>
      </c>
      <c r="BI101" s="80" t="str">
        <f>IF(AND($F101&lt;&gt;"", $F101&gt;=BI$5-4, $F101&lt;=BI$5, COUNTIF($M101:BH101,"u")=0), "u", "")</f>
        <v/>
      </c>
      <c r="BJ101" s="80" t="str">
        <f>IF(AND($F101&lt;&gt;"", $F101&gt;=BJ$5-4, $F101&lt;=BJ$5, COUNTIF($M101:BI101,"u")=0), "u", "")</f>
        <v/>
      </c>
      <c r="BK101" s="80" t="str">
        <f>IF(AND($F101&lt;&gt;"", $F101&gt;=BK$5-4, $F101&lt;=BK$5, COUNTIF($M101:BJ101,"u")=0), "u", "")</f>
        <v/>
      </c>
      <c r="BL101" s="80" t="str">
        <f>IF(AND($F101&lt;&gt;"", $F101&gt;=BL$5-4, $F101&lt;=BL$5, COUNTIF($M101:BK101,"u")=0), "u", "")</f>
        <v/>
      </c>
      <c r="BM101" s="80" t="str">
        <f>IF(AND($F101&lt;&gt;"", $F101&gt;=BM$5-4, $F101&lt;=BM$5, COUNTIF($M101:BL101,"u")=0), "u", "")</f>
        <v/>
      </c>
      <c r="BN101" s="80" t="str">
        <f>IF(AND($F101&lt;&gt;"", $F101&gt;=BN$5-4, $F101&lt;=BN$5, COUNTIF($M101:BM101,"u")=0), "u", "")</f>
        <v/>
      </c>
      <c r="BO101" s="80" t="str">
        <f>IF(AND($F101&lt;&gt;"", $F101&gt;=BO$5-4, $F101&lt;=BO$5, COUNTIF($M101:BN101,"u")=0), "u", "")</f>
        <v/>
      </c>
      <c r="BP101" s="80" t="str">
        <f>IF(AND($F101&lt;&gt;"", $F101&gt;=BP$5-4, $F101&lt;=BP$5, COUNTIF($M101:BO101,"u")=0), "u", "")</f>
        <v/>
      </c>
      <c r="BQ101" s="80" t="str">
        <f>IF(AND($F101&lt;&gt;"", $F101&gt;=BQ$5-4, $F101&lt;=BQ$5, COUNTIF($M101:BP101,"u")=0), "u", "")</f>
        <v/>
      </c>
      <c r="BR101" s="80" t="str">
        <f>IF(AND($F101&lt;&gt;"", $F101&gt;=BR$5-4, $F101&lt;=BR$5, COUNTIF($M101:BQ101,"u")=0), "u", "")</f>
        <v/>
      </c>
      <c r="BS101" s="80" t="str">
        <f>IF(AND($F101&lt;&gt;"", $F101&gt;=BS$5-4, $F101&lt;=BS$5, COUNTIF($M101:BR101,"u")=0), "u", "")</f>
        <v/>
      </c>
      <c r="BT101" s="80" t="str">
        <f>IF(AND($F101&lt;&gt;"", $F101&gt;=BT$5-4, $F101&lt;=BT$5, COUNTIF($M101:BS101,"u")=0), "u", "")</f>
        <v/>
      </c>
      <c r="BU101" s="80" t="str">
        <f>IF(AND($F101&lt;&gt;"", $F101&gt;=BU$5-4, $F101&lt;=BU$5, COUNTIF($M101:BT101,"u")=0), "u", "")</f>
        <v/>
      </c>
      <c r="BV101" s="80" t="str">
        <f>IF(AND($F101&lt;&gt;"", $F101&gt;=BV$5-4, $F101&lt;=BV$5, COUNTIF($M101:BU101,"u")=0), "u", "")</f>
        <v/>
      </c>
      <c r="BW101" s="80" t="str">
        <f>IF(AND($F101&lt;&gt;"", $F101&gt;=BW$5-4, $F101&lt;=BW$5, COUNTIF($M101:BV101,"u")=0), "u", "")</f>
        <v/>
      </c>
      <c r="BX101" s="80" t="str">
        <f>IF(AND($F101&lt;&gt;"", $F101&gt;=BX$5-4, $F101&lt;=BX$5, COUNTIF($M101:BW101,"u")=0), "u", "")</f>
        <v/>
      </c>
      <c r="BY101" s="80" t="str">
        <f>IF(AND($F101&lt;&gt;"", $F101&gt;=BY$5-4, $F101&lt;=BY$5, COUNTIF($M101:BX101,"u")=0), "u", "")</f>
        <v/>
      </c>
      <c r="BZ101" s="80" t="str">
        <f>IF(AND($F101&lt;&gt;"", $F101&gt;=BZ$5-4, $F101&lt;=BZ$5, COUNTIF($M101:BY101,"u")=0), "u", "")</f>
        <v/>
      </c>
      <c r="CA101" s="80" t="str">
        <f>IF(AND($F101&lt;&gt;"", $F101&gt;=CA$5-4, $F101&lt;=CA$5, COUNTIF($M101:BZ101,"u")=0), "u", "")</f>
        <v/>
      </c>
      <c r="CB101" s="80" t="str">
        <f>IF(AND($F101&lt;&gt;"", $F101&gt;=CB$5-4, $F101&lt;=CB$5, COUNTIF($M101:CA101,"u")=0), "u", "")</f>
        <v/>
      </c>
      <c r="CC101" s="80" t="str">
        <f>IF(AND($F101&lt;&gt;"", $F101&gt;=CC$5-4, $F101&lt;=CC$5, COUNTIF($M101:CB101,"u")=0), "u", "")</f>
        <v/>
      </c>
      <c r="CD101" s="80" t="str">
        <f>IF(AND($F101&lt;&gt;"", $F101&gt;=CD$5-4, $F101&lt;=CD$5, COUNTIF($M101:CC101,"u")=0), "u", "")</f>
        <v/>
      </c>
      <c r="CE101" s="80" t="str">
        <f>IF(AND($F101&lt;&gt;"", $F101&gt;=CE$5-4, $F101&lt;=CE$5, COUNTIF($M101:CD101,"u")=0), "u", "")</f>
        <v/>
      </c>
      <c r="CF101" s="80" t="str">
        <f>IF(AND($F101&lt;&gt;"", $F101&gt;=CF$5-4, $F101&lt;=CF$5, COUNTIF($M101:CE101,"u")=0), "u", "")</f>
        <v/>
      </c>
      <c r="CG101" s="80" t="str">
        <f>IF(AND($F101&lt;&gt;"", $F101&gt;=CG$5-4, $F101&lt;=CG$5, COUNTIF($M101:CF101,"u")=0), "u", "")</f>
        <v/>
      </c>
      <c r="CH101" s="80" t="str">
        <f>IF(AND($F101&lt;&gt;"", $F101&gt;=CH$5-4, $F101&lt;=CH$5, COUNTIF($M101:CG101,"u")=0), "u", "")</f>
        <v/>
      </c>
      <c r="CI101" s="80" t="str">
        <f>IF(AND($F101&lt;&gt;"", $F101&gt;=CI$5-4, $F101&lt;=CI$5, COUNTIF($M101:CH101,"u")=0), "u", "")</f>
        <v/>
      </c>
      <c r="CJ101" s="80" t="str">
        <f>IF(AND($F101&lt;&gt;"", $F101&gt;=CJ$5-4, $F101&lt;=CJ$5, COUNTIF($M101:CI101,"u")=0), "u", "")</f>
        <v/>
      </c>
      <c r="CK101" s="80" t="str">
        <f>IF(AND($F101&lt;&gt;"", $F101&gt;=CK$5-4, $F101&lt;=CK$5, COUNTIF($M101:CJ101,"u")=0), "u", "")</f>
        <v/>
      </c>
      <c r="CL101" s="80" t="str">
        <f>IF(AND($F101&lt;&gt;"", $F101&gt;=CL$5-4, $F101&lt;=CL$5, COUNTIF($M101:CK101,"u")=0), "u", "")</f>
        <v/>
      </c>
      <c r="CM101" s="80" t="str">
        <f>IF(AND($F101&lt;&gt;"", $F101&gt;=CM$5-4, $F101&lt;=CM$5, COUNTIF($M101:CL101,"u")=0), "u", "")</f>
        <v/>
      </c>
      <c r="CN101" s="80" t="str">
        <f>IF(AND($F101&lt;&gt;"", $F101&gt;=CN$5-4, $F101&lt;=CN$5, COUNTIF($M101:CM101,"u")=0), "u", "")</f>
        <v/>
      </c>
      <c r="CO101" s="80" t="str">
        <f>IF(AND($F101&lt;&gt;"", $F101&gt;=CO$5-4, $F101&lt;=CO$5, COUNTIF($M101:CN101,"u")=0), "u", "")</f>
        <v/>
      </c>
      <c r="CP101" s="80" t="str">
        <f>IF(AND($F101&lt;&gt;"", $F101&gt;=CP$5-4, $F101&lt;=CP$5, COUNTIF($M101:CO101,"u")=0), "u", "")</f>
        <v/>
      </c>
      <c r="CQ101" s="80" t="str">
        <f>IF(AND($F101&lt;&gt;"", $F101&gt;=CQ$5-4, $F101&lt;=CQ$5, COUNTIF($M101:CP101,"u")=0), "u", "")</f>
        <v/>
      </c>
      <c r="CR101" s="80" t="str">
        <f>IF(AND($F101&lt;&gt;"", $F101&gt;=CR$5-4, $F101&lt;=CR$5, COUNTIF($M101:CQ101,"u")=0), "u", "")</f>
        <v/>
      </c>
      <c r="CS101" s="80" t="str">
        <f>IF(AND($F101&lt;&gt;"", $F101&gt;=CS$5-4, $F101&lt;=CS$5, COUNTIF($M101:CR101,"u")=0), "u", "")</f>
        <v/>
      </c>
      <c r="CT101" s="80" t="str">
        <f>IF(AND($F101&lt;&gt;"", $F101&gt;=CT$5-4, $F101&lt;=CT$5, COUNTIF($M101:CS101,"u")=0), "u", "")</f>
        <v/>
      </c>
      <c r="CU101" s="80" t="str">
        <f>IF(AND($F101&lt;&gt;"", $F101&gt;=CU$5-4, $F101&lt;=CU$5, COUNTIF($M101:CT101,"u")=0), "u", "")</f>
        <v/>
      </c>
      <c r="CV101" s="80" t="str">
        <f>IF(AND($F101&lt;&gt;"", $F101&gt;=CV$5-4, $F101&lt;=CV$5, COUNTIF($M101:CU101,"u")=0), "u", "")</f>
        <v/>
      </c>
      <c r="CW101" s="80" t="str">
        <f>IF(AND($F101&lt;&gt;"", $F101&gt;=CW$5-4, $F101&lt;=CW$5, COUNTIF($M101:CV101,"u")=0), "u", "")</f>
        <v/>
      </c>
      <c r="CX101" s="80" t="str">
        <f>IF(AND($F101&lt;&gt;"", $F101&gt;=CX$5-4, $F101&lt;=CX$5, COUNTIF($M101:CW101,"u")=0), "u", "")</f>
        <v/>
      </c>
      <c r="CY101" s="80" t="str">
        <f>IF(AND($F101&lt;&gt;"", $F101&gt;=CY$5-4, $F101&lt;=CY$5, COUNTIF($M101:CX101,"u")=0), "u", "")</f>
        <v/>
      </c>
      <c r="CZ101" s="80" t="str">
        <f>IF(AND($F101&lt;&gt;"", $F101&gt;=CZ$5-4, $F101&lt;=CZ$5, COUNTIF($M101:CY101,"u")=0), "u", "")</f>
        <v/>
      </c>
      <c r="DA101" s="80" t="str">
        <f>IF(AND($F101&lt;&gt;"", $F101&gt;=DA$5-4, $F101&lt;=DA$5, COUNTIF($M101:CZ101,"u")=0), "u", "")</f>
        <v/>
      </c>
      <c r="DB101" s="80" t="str">
        <f>IF(AND($F101&lt;&gt;"", $F101&gt;=DB$5-4, $F101&lt;=DB$5, COUNTIF($M101:DA101,"u")=0), "u", "")</f>
        <v/>
      </c>
      <c r="DC101" s="80" t="str">
        <f>IF(AND($F101&lt;&gt;"", $F101&gt;=DC$5-4, $F101&lt;=DC$5, COUNTIF($M101:DB101,"u")=0), "u", "")</f>
        <v/>
      </c>
      <c r="DD101" s="80" t="str">
        <f>IF(AND($F101&lt;&gt;"", $F101&gt;=DD$5-4, $F101&lt;=DD$5, COUNTIF($M101:DC101,"u")=0), "u", "")</f>
        <v/>
      </c>
      <c r="DE101" s="80" t="str">
        <f>IF(AND($F101&lt;&gt;"", $F101&gt;=DE$5-4, $F101&lt;=DE$5, COUNTIF($M101:DD101,"u")=0), "u", "")</f>
        <v/>
      </c>
      <c r="DF101" s="80" t="str">
        <f>IF(AND($F101&lt;&gt;"", $F101&gt;=DF$5-4, $F101&lt;=DF$5, COUNTIF($M101:DE101,"u")=0), "u", "")</f>
        <v/>
      </c>
      <c r="DG101" s="80" t="str">
        <f>IF(AND($F101&lt;&gt;"", $F101&gt;=DG$5-4, $F101&lt;=DG$5, COUNTIF($M101:DF101,"u")=0), "u", "")</f>
        <v/>
      </c>
      <c r="DH101" s="80" t="str">
        <f>IF(AND($F101&lt;&gt;"", $F101&gt;=DH$5-4, $F101&lt;=DH$5, COUNTIF($M101:DG101,"u")=0), "u", "")</f>
        <v/>
      </c>
      <c r="DI101" s="80" t="str">
        <f>IF(AND($F101&lt;&gt;"", $F101&gt;=DI$5-4, $F101&lt;=DI$5, COUNTIF($M101:DH101,"u")=0), "u", "")</f>
        <v/>
      </c>
      <c r="DJ101" s="80" t="str">
        <f>IF(AND($F101&lt;&gt;"", $F101&gt;=DJ$5-4, $F101&lt;=DJ$5, COUNTIF($M101:DI101,"u")=0), "u", "")</f>
        <v/>
      </c>
      <c r="DK101" s="80" t="str">
        <f>IF(AND($F101&lt;&gt;"", $F101&gt;=DK$5-4, $F101&lt;=DK$5, COUNTIF($M101:DJ101,"u")=0), "u", "")</f>
        <v/>
      </c>
      <c r="DL101" s="80" t="str">
        <f>IF(AND($F101&lt;&gt;"", $F101&gt;=DL$5-4, $F101&lt;=DL$5, COUNTIF($M101:DK101,"u")=0), "u", "")</f>
        <v/>
      </c>
    </row>
    <row r="102" spans="1:116" ht="25.05" customHeight="1" x14ac:dyDescent="0.3">
      <c r="A102" s="39"/>
      <c r="B102" s="75">
        <v>97</v>
      </c>
      <c r="C102" s="97"/>
      <c r="D102" s="92"/>
      <c r="E102" s="53"/>
      <c r="F102" s="53"/>
      <c r="G102" s="83" t="str">
        <f t="shared" si="50"/>
        <v/>
      </c>
      <c r="H102" s="83" t="str">
        <f t="shared" si="50"/>
        <v/>
      </c>
      <c r="I102" s="77" t="str">
        <f t="shared" si="48"/>
        <v/>
      </c>
      <c r="J102" s="78"/>
      <c r="K102" s="86"/>
      <c r="L102" s="56"/>
      <c r="M102" s="80" t="str">
        <f t="shared" si="49"/>
        <v/>
      </c>
      <c r="N102" s="80" t="str">
        <f>IF(AND($F102&lt;&gt;"", $F102&gt;=N$5-4, $F102&lt;=N$5, COUNTIF($M102:M102,"u")=0), "u", "")</f>
        <v/>
      </c>
      <c r="O102" s="80" t="str">
        <f>IF(AND($F102&lt;&gt;"", $F102&gt;=O$5-4, $F102&lt;=O$5, COUNTIF($M102:N102,"u")=0), "u", "")</f>
        <v/>
      </c>
      <c r="P102" s="80" t="str">
        <f>IF(AND($F102&lt;&gt;"", $F102&gt;=P$5-4, $F102&lt;=P$5, COUNTIF($M102:O102,"u")=0), "u", "")</f>
        <v/>
      </c>
      <c r="Q102" s="80" t="str">
        <f>IF(AND($F102&lt;&gt;"", $F102&gt;=Q$5-4, $F102&lt;=Q$5, COUNTIF($M102:P102,"u")=0), "u", "")</f>
        <v/>
      </c>
      <c r="R102" s="80" t="str">
        <f>IF(AND($F102&lt;&gt;"", $F102&gt;=R$5-4, $F102&lt;=R$5, COUNTIF($M102:Q102,"u")=0), "u", "")</f>
        <v/>
      </c>
      <c r="S102" s="80" t="str">
        <f>IF(AND($F102&lt;&gt;"", $F102&gt;=S$5-4, $F102&lt;=S$5, COUNTIF($M102:R102,"u")=0), "u", "")</f>
        <v/>
      </c>
      <c r="T102" s="80" t="str">
        <f>IF(AND($F102&lt;&gt;"", $F102&gt;=T$5-4, $F102&lt;=T$5, COUNTIF($M102:S102,"u")=0), "u", "")</f>
        <v/>
      </c>
      <c r="U102" s="80" t="str">
        <f>IF(AND($F102&lt;&gt;"", $F102&gt;=U$5-4, $F102&lt;=U$5, COUNTIF($M102:T102,"u")=0), "u", "")</f>
        <v/>
      </c>
      <c r="V102" s="80" t="str">
        <f>IF(AND($F102&lt;&gt;"", $F102&gt;=V$5-4, $F102&lt;=V$5, COUNTIF($M102:U102,"u")=0), "u", "")</f>
        <v/>
      </c>
      <c r="W102" s="80" t="str">
        <f>IF(AND($F102&lt;&gt;"", $F102&gt;=W$5-4, $F102&lt;=W$5, COUNTIF($M102:V102,"u")=0), "u", "")</f>
        <v/>
      </c>
      <c r="X102" s="80" t="str">
        <f>IF(AND($F102&lt;&gt;"", $F102&gt;=X$5-4, $F102&lt;=X$5, COUNTIF($M102:W102,"u")=0), "u", "")</f>
        <v/>
      </c>
      <c r="Y102" s="80" t="str">
        <f>IF(AND($F102&lt;&gt;"", $F102&gt;=Y$5-4, $F102&lt;=Y$5, COUNTIF($M102:X102,"u")=0), "u", "")</f>
        <v/>
      </c>
      <c r="Z102" s="80" t="str">
        <f>IF(AND($F102&lt;&gt;"", $F102&gt;=Z$5-4, $F102&lt;=Z$5, COUNTIF($M102:Y102,"u")=0), "u", "")</f>
        <v/>
      </c>
      <c r="AA102" s="80" t="str">
        <f>IF(AND($F102&lt;&gt;"", $F102&gt;=AA$5-4, $F102&lt;=AA$5, COUNTIF($M102:Z102,"u")=0), "u", "")</f>
        <v/>
      </c>
      <c r="AB102" s="80" t="str">
        <f>IF(AND($F102&lt;&gt;"", $F102&gt;=AB$5-4, $F102&lt;=AB$5, COUNTIF($M102:AA102,"u")=0), "u", "")</f>
        <v/>
      </c>
      <c r="AC102" s="80" t="str">
        <f>IF(AND($F102&lt;&gt;"", $F102&gt;=AC$5-4, $F102&lt;=AC$5, COUNTIF($M102:AB102,"u")=0), "u", "")</f>
        <v/>
      </c>
      <c r="AD102" s="80" t="str">
        <f>IF(AND($F102&lt;&gt;"", $F102&gt;=AD$5-4, $F102&lt;=AD$5, COUNTIF($M102:AC102,"u")=0), "u", "")</f>
        <v/>
      </c>
      <c r="AE102" s="80" t="str">
        <f>IF(AND($F102&lt;&gt;"", $F102&gt;=AE$5-4, $F102&lt;=AE$5, COUNTIF($M102:AD102,"u")=0), "u", "")</f>
        <v/>
      </c>
      <c r="AF102" s="80" t="str">
        <f>IF(AND($F102&lt;&gt;"", $F102&gt;=AF$5-4, $F102&lt;=AF$5, COUNTIF($M102:AE102,"u")=0), "u", "")</f>
        <v/>
      </c>
      <c r="AG102" s="80" t="str">
        <f>IF(AND($F102&lt;&gt;"", $F102&gt;=AG$5-4, $F102&lt;=AG$5, COUNTIF($M102:AF102,"u")=0), "u", "")</f>
        <v/>
      </c>
      <c r="AH102" s="80" t="str">
        <f>IF(AND($F102&lt;&gt;"", $F102&gt;=AH$5-4, $F102&lt;=AH$5, COUNTIF($M102:AG102,"u")=0), "u", "")</f>
        <v/>
      </c>
      <c r="AI102" s="80" t="str">
        <f>IF(AND($F102&lt;&gt;"", $F102&gt;=AI$5-4, $F102&lt;=AI$5, COUNTIF($M102:AH102,"u")=0), "u", "")</f>
        <v/>
      </c>
      <c r="AJ102" s="80" t="str">
        <f>IF(AND($F102&lt;&gt;"", $F102&gt;=AJ$5-4, $F102&lt;=AJ$5, COUNTIF($M102:AI102,"u")=0), "u", "")</f>
        <v/>
      </c>
      <c r="AK102" s="80" t="str">
        <f>IF(AND($F102&lt;&gt;"", $F102&gt;=AK$5-4, $F102&lt;=AK$5, COUNTIF($M102:AJ102,"u")=0), "u", "")</f>
        <v/>
      </c>
      <c r="AL102" s="80" t="str">
        <f>IF(AND($F102&lt;&gt;"", $F102&gt;=AL$5-4, $F102&lt;=AL$5, COUNTIF($M102:AK102,"u")=0), "u", "")</f>
        <v/>
      </c>
      <c r="AM102" s="80" t="str">
        <f>IF(AND($F102&lt;&gt;"", $F102&gt;=AM$5-4, $F102&lt;=AM$5, COUNTIF($M102:AL102,"u")=0), "u", "")</f>
        <v/>
      </c>
      <c r="AN102" s="80" t="str">
        <f>IF(AND($F102&lt;&gt;"", $F102&gt;=AN$5-4, $F102&lt;=AN$5, COUNTIF($M102:AM102,"u")=0), "u", "")</f>
        <v/>
      </c>
      <c r="AO102" s="80" t="str">
        <f>IF(AND($F102&lt;&gt;"", $F102&gt;=AO$5-4, $F102&lt;=AO$5, COUNTIF($M102:AN102,"u")=0), "u", "")</f>
        <v/>
      </c>
      <c r="AP102" s="80" t="str">
        <f>IF(AND($F102&lt;&gt;"", $F102&gt;=AP$5-4, $F102&lt;=AP$5, COUNTIF($M102:AO102,"u")=0), "u", "")</f>
        <v/>
      </c>
      <c r="AQ102" s="80" t="str">
        <f>IF(AND($F102&lt;&gt;"", $F102&gt;=AQ$5-4, $F102&lt;=AQ$5, COUNTIF($M102:AP102,"u")=0), "u", "")</f>
        <v/>
      </c>
      <c r="AR102" s="80" t="str">
        <f>IF(AND($F102&lt;&gt;"", $F102&gt;=AR$5-4, $F102&lt;=AR$5, COUNTIF($M102:AQ102,"u")=0), "u", "")</f>
        <v/>
      </c>
      <c r="AS102" s="80" t="str">
        <f>IF(AND($F102&lt;&gt;"", $F102&gt;=AS$5-4, $F102&lt;=AS$5, COUNTIF($M102:AR102,"u")=0), "u", "")</f>
        <v/>
      </c>
      <c r="AT102" s="80" t="str">
        <f>IF(AND($F102&lt;&gt;"", $F102&gt;=AT$5-4, $F102&lt;=AT$5, COUNTIF($M102:AS102,"u")=0), "u", "")</f>
        <v/>
      </c>
      <c r="AU102" s="80" t="str">
        <f>IF(AND($F102&lt;&gt;"", $F102&gt;=AU$5-4, $F102&lt;=AU$5, COUNTIF($M102:AT102,"u")=0), "u", "")</f>
        <v/>
      </c>
      <c r="AV102" s="80" t="str">
        <f>IF(AND($F102&lt;&gt;"", $F102&gt;=AV$5-4, $F102&lt;=AV$5, COUNTIF($M102:AU102,"u")=0), "u", "")</f>
        <v/>
      </c>
      <c r="AW102" s="80" t="str">
        <f>IF(AND($F102&lt;&gt;"", $F102&gt;=AW$5-4, $F102&lt;=AW$5, COUNTIF($M102:AV102,"u")=0), "u", "")</f>
        <v/>
      </c>
      <c r="AX102" s="80" t="str">
        <f>IF(AND($F102&lt;&gt;"", $F102&gt;=AX$5-4, $F102&lt;=AX$5, COUNTIF($M102:AW102,"u")=0), "u", "")</f>
        <v/>
      </c>
      <c r="AY102" s="80" t="str">
        <f>IF(AND($F102&lt;&gt;"", $F102&gt;=AY$5-4, $F102&lt;=AY$5, COUNTIF($M102:AX102,"u")=0), "u", "")</f>
        <v/>
      </c>
      <c r="AZ102" s="80" t="str">
        <f>IF(AND($F102&lt;&gt;"", $F102&gt;=AZ$5-4, $F102&lt;=AZ$5, COUNTIF($M102:AY102,"u")=0), "u", "")</f>
        <v/>
      </c>
      <c r="BA102" s="80" t="str">
        <f>IF(AND($F102&lt;&gt;"", $F102&gt;=BA$5-4, $F102&lt;=BA$5, COUNTIF($M102:AZ102,"u")=0), "u", "")</f>
        <v/>
      </c>
      <c r="BB102" s="80" t="str">
        <f>IF(AND($F102&lt;&gt;"", $F102&gt;=BB$5-4, $F102&lt;=BB$5, COUNTIF($M102:BA102,"u")=0), "u", "")</f>
        <v/>
      </c>
      <c r="BC102" s="80" t="str">
        <f>IF(AND($F102&lt;&gt;"", $F102&gt;=BC$5-4, $F102&lt;=BC$5, COUNTIF($M102:BB102,"u")=0), "u", "")</f>
        <v/>
      </c>
      <c r="BD102" s="80" t="str">
        <f>IF(AND($F102&lt;&gt;"", $F102&gt;=BD$5-4, $F102&lt;=BD$5, COUNTIF($M102:BC102,"u")=0), "u", "")</f>
        <v/>
      </c>
      <c r="BE102" s="80" t="str">
        <f>IF(AND($F102&lt;&gt;"", $F102&gt;=BE$5-4, $F102&lt;=BE$5, COUNTIF($M102:BD102,"u")=0), "u", "")</f>
        <v/>
      </c>
      <c r="BF102" s="80" t="str">
        <f>IF(AND($F102&lt;&gt;"", $F102&gt;=BF$5-4, $F102&lt;=BF$5, COUNTIF($M102:BE102,"u")=0), "u", "")</f>
        <v/>
      </c>
      <c r="BG102" s="80" t="str">
        <f>IF(AND($F102&lt;&gt;"", $F102&gt;=BG$5-4, $F102&lt;=BG$5, COUNTIF($M102:BF102,"u")=0), "u", "")</f>
        <v/>
      </c>
      <c r="BH102" s="80" t="str">
        <f>IF(AND($F102&lt;&gt;"", $F102&gt;=BH$5-4, $F102&lt;=BH$5, COUNTIF($M102:BG102,"u")=0), "u", "")</f>
        <v/>
      </c>
      <c r="BI102" s="80" t="str">
        <f>IF(AND($F102&lt;&gt;"", $F102&gt;=BI$5-4, $F102&lt;=BI$5, COUNTIF($M102:BH102,"u")=0), "u", "")</f>
        <v/>
      </c>
      <c r="BJ102" s="80" t="str">
        <f>IF(AND($F102&lt;&gt;"", $F102&gt;=BJ$5-4, $F102&lt;=BJ$5, COUNTIF($M102:BI102,"u")=0), "u", "")</f>
        <v/>
      </c>
      <c r="BK102" s="80" t="str">
        <f>IF(AND($F102&lt;&gt;"", $F102&gt;=BK$5-4, $F102&lt;=BK$5, COUNTIF($M102:BJ102,"u")=0), "u", "")</f>
        <v/>
      </c>
      <c r="BL102" s="80" t="str">
        <f>IF(AND($F102&lt;&gt;"", $F102&gt;=BL$5-4, $F102&lt;=BL$5, COUNTIF($M102:BK102,"u")=0), "u", "")</f>
        <v/>
      </c>
      <c r="BM102" s="80" t="str">
        <f>IF(AND($F102&lt;&gt;"", $F102&gt;=BM$5-4, $F102&lt;=BM$5, COUNTIF($M102:BL102,"u")=0), "u", "")</f>
        <v/>
      </c>
      <c r="BN102" s="80" t="str">
        <f>IF(AND($F102&lt;&gt;"", $F102&gt;=BN$5-4, $F102&lt;=BN$5, COUNTIF($M102:BM102,"u")=0), "u", "")</f>
        <v/>
      </c>
      <c r="BO102" s="80" t="str">
        <f>IF(AND($F102&lt;&gt;"", $F102&gt;=BO$5-4, $F102&lt;=BO$5, COUNTIF($M102:BN102,"u")=0), "u", "")</f>
        <v/>
      </c>
      <c r="BP102" s="80" t="str">
        <f>IF(AND($F102&lt;&gt;"", $F102&gt;=BP$5-4, $F102&lt;=BP$5, COUNTIF($M102:BO102,"u")=0), "u", "")</f>
        <v/>
      </c>
      <c r="BQ102" s="80" t="str">
        <f>IF(AND($F102&lt;&gt;"", $F102&gt;=BQ$5-4, $F102&lt;=BQ$5, COUNTIF($M102:BP102,"u")=0), "u", "")</f>
        <v/>
      </c>
      <c r="BR102" s="80" t="str">
        <f>IF(AND($F102&lt;&gt;"", $F102&gt;=BR$5-4, $F102&lt;=BR$5, COUNTIF($M102:BQ102,"u")=0), "u", "")</f>
        <v/>
      </c>
      <c r="BS102" s="80" t="str">
        <f>IF(AND($F102&lt;&gt;"", $F102&gt;=BS$5-4, $F102&lt;=BS$5, COUNTIF($M102:BR102,"u")=0), "u", "")</f>
        <v/>
      </c>
      <c r="BT102" s="80" t="str">
        <f>IF(AND($F102&lt;&gt;"", $F102&gt;=BT$5-4, $F102&lt;=BT$5, COUNTIF($M102:BS102,"u")=0), "u", "")</f>
        <v/>
      </c>
      <c r="BU102" s="80" t="str">
        <f>IF(AND($F102&lt;&gt;"", $F102&gt;=BU$5-4, $F102&lt;=BU$5, COUNTIF($M102:BT102,"u")=0), "u", "")</f>
        <v/>
      </c>
      <c r="BV102" s="80" t="str">
        <f>IF(AND($F102&lt;&gt;"", $F102&gt;=BV$5-4, $F102&lt;=BV$5, COUNTIF($M102:BU102,"u")=0), "u", "")</f>
        <v/>
      </c>
      <c r="BW102" s="80" t="str">
        <f>IF(AND($F102&lt;&gt;"", $F102&gt;=BW$5-4, $F102&lt;=BW$5, COUNTIF($M102:BV102,"u")=0), "u", "")</f>
        <v/>
      </c>
      <c r="BX102" s="80" t="str">
        <f>IF(AND($F102&lt;&gt;"", $F102&gt;=BX$5-4, $F102&lt;=BX$5, COUNTIF($M102:BW102,"u")=0), "u", "")</f>
        <v/>
      </c>
      <c r="BY102" s="80" t="str">
        <f>IF(AND($F102&lt;&gt;"", $F102&gt;=BY$5-4, $F102&lt;=BY$5, COUNTIF($M102:BX102,"u")=0), "u", "")</f>
        <v/>
      </c>
      <c r="BZ102" s="80" t="str">
        <f>IF(AND($F102&lt;&gt;"", $F102&gt;=BZ$5-4, $F102&lt;=BZ$5, COUNTIF($M102:BY102,"u")=0), "u", "")</f>
        <v/>
      </c>
      <c r="CA102" s="80" t="str">
        <f>IF(AND($F102&lt;&gt;"", $F102&gt;=CA$5-4, $F102&lt;=CA$5, COUNTIF($M102:BZ102,"u")=0), "u", "")</f>
        <v/>
      </c>
      <c r="CB102" s="80" t="str">
        <f>IF(AND($F102&lt;&gt;"", $F102&gt;=CB$5-4, $F102&lt;=CB$5, COUNTIF($M102:CA102,"u")=0), "u", "")</f>
        <v/>
      </c>
      <c r="CC102" s="80" t="str">
        <f>IF(AND($F102&lt;&gt;"", $F102&gt;=CC$5-4, $F102&lt;=CC$5, COUNTIF($M102:CB102,"u")=0), "u", "")</f>
        <v/>
      </c>
      <c r="CD102" s="80" t="str">
        <f>IF(AND($F102&lt;&gt;"", $F102&gt;=CD$5-4, $F102&lt;=CD$5, COUNTIF($M102:CC102,"u")=0), "u", "")</f>
        <v/>
      </c>
      <c r="CE102" s="80" t="str">
        <f>IF(AND($F102&lt;&gt;"", $F102&gt;=CE$5-4, $F102&lt;=CE$5, COUNTIF($M102:CD102,"u")=0), "u", "")</f>
        <v/>
      </c>
      <c r="CF102" s="80" t="str">
        <f>IF(AND($F102&lt;&gt;"", $F102&gt;=CF$5-4, $F102&lt;=CF$5, COUNTIF($M102:CE102,"u")=0), "u", "")</f>
        <v/>
      </c>
      <c r="CG102" s="80" t="str">
        <f>IF(AND($F102&lt;&gt;"", $F102&gt;=CG$5-4, $F102&lt;=CG$5, COUNTIF($M102:CF102,"u")=0), "u", "")</f>
        <v/>
      </c>
      <c r="CH102" s="80" t="str">
        <f>IF(AND($F102&lt;&gt;"", $F102&gt;=CH$5-4, $F102&lt;=CH$5, COUNTIF($M102:CG102,"u")=0), "u", "")</f>
        <v/>
      </c>
      <c r="CI102" s="80" t="str">
        <f>IF(AND($F102&lt;&gt;"", $F102&gt;=CI$5-4, $F102&lt;=CI$5, COUNTIF($M102:CH102,"u")=0), "u", "")</f>
        <v/>
      </c>
      <c r="CJ102" s="80" t="str">
        <f>IF(AND($F102&lt;&gt;"", $F102&gt;=CJ$5-4, $F102&lt;=CJ$5, COUNTIF($M102:CI102,"u")=0), "u", "")</f>
        <v/>
      </c>
      <c r="CK102" s="80" t="str">
        <f>IF(AND($F102&lt;&gt;"", $F102&gt;=CK$5-4, $F102&lt;=CK$5, COUNTIF($M102:CJ102,"u")=0), "u", "")</f>
        <v/>
      </c>
      <c r="CL102" s="80" t="str">
        <f>IF(AND($F102&lt;&gt;"", $F102&gt;=CL$5-4, $F102&lt;=CL$5, COUNTIF($M102:CK102,"u")=0), "u", "")</f>
        <v/>
      </c>
      <c r="CM102" s="80" t="str">
        <f>IF(AND($F102&lt;&gt;"", $F102&gt;=CM$5-4, $F102&lt;=CM$5, COUNTIF($M102:CL102,"u")=0), "u", "")</f>
        <v/>
      </c>
      <c r="CN102" s="80" t="str">
        <f>IF(AND($F102&lt;&gt;"", $F102&gt;=CN$5-4, $F102&lt;=CN$5, COUNTIF($M102:CM102,"u")=0), "u", "")</f>
        <v/>
      </c>
      <c r="CO102" s="80" t="str">
        <f>IF(AND($F102&lt;&gt;"", $F102&gt;=CO$5-4, $F102&lt;=CO$5, COUNTIF($M102:CN102,"u")=0), "u", "")</f>
        <v/>
      </c>
      <c r="CP102" s="80" t="str">
        <f>IF(AND($F102&lt;&gt;"", $F102&gt;=CP$5-4, $F102&lt;=CP$5, COUNTIF($M102:CO102,"u")=0), "u", "")</f>
        <v/>
      </c>
      <c r="CQ102" s="80" t="str">
        <f>IF(AND($F102&lt;&gt;"", $F102&gt;=CQ$5-4, $F102&lt;=CQ$5, COUNTIF($M102:CP102,"u")=0), "u", "")</f>
        <v/>
      </c>
      <c r="CR102" s="80" t="str">
        <f>IF(AND($F102&lt;&gt;"", $F102&gt;=CR$5-4, $F102&lt;=CR$5, COUNTIF($M102:CQ102,"u")=0), "u", "")</f>
        <v/>
      </c>
      <c r="CS102" s="80" t="str">
        <f>IF(AND($F102&lt;&gt;"", $F102&gt;=CS$5-4, $F102&lt;=CS$5, COUNTIF($M102:CR102,"u")=0), "u", "")</f>
        <v/>
      </c>
      <c r="CT102" s="80" t="str">
        <f>IF(AND($F102&lt;&gt;"", $F102&gt;=CT$5-4, $F102&lt;=CT$5, COUNTIF($M102:CS102,"u")=0), "u", "")</f>
        <v/>
      </c>
      <c r="CU102" s="80" t="str">
        <f>IF(AND($F102&lt;&gt;"", $F102&gt;=CU$5-4, $F102&lt;=CU$5, COUNTIF($M102:CT102,"u")=0), "u", "")</f>
        <v/>
      </c>
      <c r="CV102" s="80" t="str">
        <f>IF(AND($F102&lt;&gt;"", $F102&gt;=CV$5-4, $F102&lt;=CV$5, COUNTIF($M102:CU102,"u")=0), "u", "")</f>
        <v/>
      </c>
      <c r="CW102" s="80" t="str">
        <f>IF(AND($F102&lt;&gt;"", $F102&gt;=CW$5-4, $F102&lt;=CW$5, COUNTIF($M102:CV102,"u")=0), "u", "")</f>
        <v/>
      </c>
      <c r="CX102" s="80" t="str">
        <f>IF(AND($F102&lt;&gt;"", $F102&gt;=CX$5-4, $F102&lt;=CX$5, COUNTIF($M102:CW102,"u")=0), "u", "")</f>
        <v/>
      </c>
      <c r="CY102" s="80" t="str">
        <f>IF(AND($F102&lt;&gt;"", $F102&gt;=CY$5-4, $F102&lt;=CY$5, COUNTIF($M102:CX102,"u")=0), "u", "")</f>
        <v/>
      </c>
      <c r="CZ102" s="80" t="str">
        <f>IF(AND($F102&lt;&gt;"", $F102&gt;=CZ$5-4, $F102&lt;=CZ$5, COUNTIF($M102:CY102,"u")=0), "u", "")</f>
        <v/>
      </c>
      <c r="DA102" s="80" t="str">
        <f>IF(AND($F102&lt;&gt;"", $F102&gt;=DA$5-4, $F102&lt;=DA$5, COUNTIF($M102:CZ102,"u")=0), "u", "")</f>
        <v/>
      </c>
      <c r="DB102" s="80" t="str">
        <f>IF(AND($F102&lt;&gt;"", $F102&gt;=DB$5-4, $F102&lt;=DB$5, COUNTIF($M102:DA102,"u")=0), "u", "")</f>
        <v/>
      </c>
      <c r="DC102" s="80" t="str">
        <f>IF(AND($F102&lt;&gt;"", $F102&gt;=DC$5-4, $F102&lt;=DC$5, COUNTIF($M102:DB102,"u")=0), "u", "")</f>
        <v/>
      </c>
      <c r="DD102" s="80" t="str">
        <f>IF(AND($F102&lt;&gt;"", $F102&gt;=DD$5-4, $F102&lt;=DD$5, COUNTIF($M102:DC102,"u")=0), "u", "")</f>
        <v/>
      </c>
      <c r="DE102" s="80" t="str">
        <f>IF(AND($F102&lt;&gt;"", $F102&gt;=DE$5-4, $F102&lt;=DE$5, COUNTIF($M102:DD102,"u")=0), "u", "")</f>
        <v/>
      </c>
      <c r="DF102" s="80" t="str">
        <f>IF(AND($F102&lt;&gt;"", $F102&gt;=DF$5-4, $F102&lt;=DF$5, COUNTIF($M102:DE102,"u")=0), "u", "")</f>
        <v/>
      </c>
      <c r="DG102" s="80" t="str">
        <f>IF(AND($F102&lt;&gt;"", $F102&gt;=DG$5-4, $F102&lt;=DG$5, COUNTIF($M102:DF102,"u")=0), "u", "")</f>
        <v/>
      </c>
      <c r="DH102" s="80" t="str">
        <f>IF(AND($F102&lt;&gt;"", $F102&gt;=DH$5-4, $F102&lt;=DH$5, COUNTIF($M102:DG102,"u")=0), "u", "")</f>
        <v/>
      </c>
      <c r="DI102" s="80" t="str">
        <f>IF(AND($F102&lt;&gt;"", $F102&gt;=DI$5-4, $F102&lt;=DI$5, COUNTIF($M102:DH102,"u")=0), "u", "")</f>
        <v/>
      </c>
      <c r="DJ102" s="80" t="str">
        <f>IF(AND($F102&lt;&gt;"", $F102&gt;=DJ$5-4, $F102&lt;=DJ$5, COUNTIF($M102:DI102,"u")=0), "u", "")</f>
        <v/>
      </c>
      <c r="DK102" s="80" t="str">
        <f>IF(AND($F102&lt;&gt;"", $F102&gt;=DK$5-4, $F102&lt;=DK$5, COUNTIF($M102:DJ102,"u")=0), "u", "")</f>
        <v/>
      </c>
      <c r="DL102" s="80" t="str">
        <f>IF(AND($F102&lt;&gt;"", $F102&gt;=DL$5-4, $F102&lt;=DL$5, COUNTIF($M102:DK102,"u")=0), "u", "")</f>
        <v/>
      </c>
    </row>
    <row r="103" spans="1:116" ht="25.05" customHeight="1" x14ac:dyDescent="0.3">
      <c r="A103" s="39"/>
      <c r="B103" s="75">
        <v>98</v>
      </c>
      <c r="C103" s="97"/>
      <c r="D103" s="92"/>
      <c r="E103" s="53"/>
      <c r="F103" s="53"/>
      <c r="G103" s="83" t="str">
        <f t="shared" si="50"/>
        <v/>
      </c>
      <c r="H103" s="83" t="str">
        <f t="shared" si="50"/>
        <v/>
      </c>
      <c r="I103" s="77" t="str">
        <f t="shared" si="48"/>
        <v/>
      </c>
      <c r="J103" s="78"/>
      <c r="K103" s="86"/>
      <c r="L103" s="56"/>
      <c r="M103" s="80" t="str">
        <f t="shared" si="49"/>
        <v/>
      </c>
      <c r="N103" s="80" t="str">
        <f>IF(AND($F103&lt;&gt;"", $F103&gt;=N$5-4, $F103&lt;=N$5, COUNTIF($M103:M103,"u")=0), "u", "")</f>
        <v/>
      </c>
      <c r="O103" s="80" t="str">
        <f>IF(AND($F103&lt;&gt;"", $F103&gt;=O$5-4, $F103&lt;=O$5, COUNTIF($M103:N103,"u")=0), "u", "")</f>
        <v/>
      </c>
      <c r="P103" s="80" t="str">
        <f>IF(AND($F103&lt;&gt;"", $F103&gt;=P$5-4, $F103&lt;=P$5, COUNTIF($M103:O103,"u")=0), "u", "")</f>
        <v/>
      </c>
      <c r="Q103" s="80" t="str">
        <f>IF(AND($F103&lt;&gt;"", $F103&gt;=Q$5-4, $F103&lt;=Q$5, COUNTIF($M103:P103,"u")=0), "u", "")</f>
        <v/>
      </c>
      <c r="R103" s="80" t="str">
        <f>IF(AND($F103&lt;&gt;"", $F103&gt;=R$5-4, $F103&lt;=R$5, COUNTIF($M103:Q103,"u")=0), "u", "")</f>
        <v/>
      </c>
      <c r="S103" s="80" t="str">
        <f>IF(AND($F103&lt;&gt;"", $F103&gt;=S$5-4, $F103&lt;=S$5, COUNTIF($M103:R103,"u")=0), "u", "")</f>
        <v/>
      </c>
      <c r="T103" s="80" t="str">
        <f>IF(AND($F103&lt;&gt;"", $F103&gt;=T$5-4, $F103&lt;=T$5, COUNTIF($M103:S103,"u")=0), "u", "")</f>
        <v/>
      </c>
      <c r="U103" s="80" t="str">
        <f>IF(AND($F103&lt;&gt;"", $F103&gt;=U$5-4, $F103&lt;=U$5, COUNTIF($M103:T103,"u")=0), "u", "")</f>
        <v/>
      </c>
      <c r="V103" s="80" t="str">
        <f>IF(AND($F103&lt;&gt;"", $F103&gt;=V$5-4, $F103&lt;=V$5, COUNTIF($M103:U103,"u")=0), "u", "")</f>
        <v/>
      </c>
      <c r="W103" s="80" t="str">
        <f>IF(AND($F103&lt;&gt;"", $F103&gt;=W$5-4, $F103&lt;=W$5, COUNTIF($M103:V103,"u")=0), "u", "")</f>
        <v/>
      </c>
      <c r="X103" s="80" t="str">
        <f>IF(AND($F103&lt;&gt;"", $F103&gt;=X$5-4, $F103&lt;=X$5, COUNTIF($M103:W103,"u")=0), "u", "")</f>
        <v/>
      </c>
      <c r="Y103" s="80" t="str">
        <f>IF(AND($F103&lt;&gt;"", $F103&gt;=Y$5-4, $F103&lt;=Y$5, COUNTIF($M103:X103,"u")=0), "u", "")</f>
        <v/>
      </c>
      <c r="Z103" s="80" t="str">
        <f>IF(AND($F103&lt;&gt;"", $F103&gt;=Z$5-4, $F103&lt;=Z$5, COUNTIF($M103:Y103,"u")=0), "u", "")</f>
        <v/>
      </c>
      <c r="AA103" s="80" t="str">
        <f>IF(AND($F103&lt;&gt;"", $F103&gt;=AA$5-4, $F103&lt;=AA$5, COUNTIF($M103:Z103,"u")=0), "u", "")</f>
        <v/>
      </c>
      <c r="AB103" s="80" t="str">
        <f>IF(AND($F103&lt;&gt;"", $F103&gt;=AB$5-4, $F103&lt;=AB$5, COUNTIF($M103:AA103,"u")=0), "u", "")</f>
        <v/>
      </c>
      <c r="AC103" s="80" t="str">
        <f>IF(AND($F103&lt;&gt;"", $F103&gt;=AC$5-4, $F103&lt;=AC$5, COUNTIF($M103:AB103,"u")=0), "u", "")</f>
        <v/>
      </c>
      <c r="AD103" s="80" t="str">
        <f>IF(AND($F103&lt;&gt;"", $F103&gt;=AD$5-4, $F103&lt;=AD$5, COUNTIF($M103:AC103,"u")=0), "u", "")</f>
        <v/>
      </c>
      <c r="AE103" s="80" t="str">
        <f>IF(AND($F103&lt;&gt;"", $F103&gt;=AE$5-4, $F103&lt;=AE$5, COUNTIF($M103:AD103,"u")=0), "u", "")</f>
        <v/>
      </c>
      <c r="AF103" s="80" t="str">
        <f>IF(AND($F103&lt;&gt;"", $F103&gt;=AF$5-4, $F103&lt;=AF$5, COUNTIF($M103:AE103,"u")=0), "u", "")</f>
        <v/>
      </c>
      <c r="AG103" s="80" t="str">
        <f>IF(AND($F103&lt;&gt;"", $F103&gt;=AG$5-4, $F103&lt;=AG$5, COUNTIF($M103:AF103,"u")=0), "u", "")</f>
        <v/>
      </c>
      <c r="AH103" s="80" t="str">
        <f>IF(AND($F103&lt;&gt;"", $F103&gt;=AH$5-4, $F103&lt;=AH$5, COUNTIF($M103:AG103,"u")=0), "u", "")</f>
        <v/>
      </c>
      <c r="AI103" s="80" t="str">
        <f>IF(AND($F103&lt;&gt;"", $F103&gt;=AI$5-4, $F103&lt;=AI$5, COUNTIF($M103:AH103,"u")=0), "u", "")</f>
        <v/>
      </c>
      <c r="AJ103" s="80" t="str">
        <f>IF(AND($F103&lt;&gt;"", $F103&gt;=AJ$5-4, $F103&lt;=AJ$5, COUNTIF($M103:AI103,"u")=0), "u", "")</f>
        <v/>
      </c>
      <c r="AK103" s="80" t="str">
        <f>IF(AND($F103&lt;&gt;"", $F103&gt;=AK$5-4, $F103&lt;=AK$5, COUNTIF($M103:AJ103,"u")=0), "u", "")</f>
        <v/>
      </c>
      <c r="AL103" s="80" t="str">
        <f>IF(AND($F103&lt;&gt;"", $F103&gt;=AL$5-4, $F103&lt;=AL$5, COUNTIF($M103:AK103,"u")=0), "u", "")</f>
        <v/>
      </c>
      <c r="AM103" s="80" t="str">
        <f>IF(AND($F103&lt;&gt;"", $F103&gt;=AM$5-4, $F103&lt;=AM$5, COUNTIF($M103:AL103,"u")=0), "u", "")</f>
        <v/>
      </c>
      <c r="AN103" s="80" t="str">
        <f>IF(AND($F103&lt;&gt;"", $F103&gt;=AN$5-4, $F103&lt;=AN$5, COUNTIF($M103:AM103,"u")=0), "u", "")</f>
        <v/>
      </c>
      <c r="AO103" s="80" t="str">
        <f>IF(AND($F103&lt;&gt;"", $F103&gt;=AO$5-4, $F103&lt;=AO$5, COUNTIF($M103:AN103,"u")=0), "u", "")</f>
        <v/>
      </c>
      <c r="AP103" s="80" t="str">
        <f>IF(AND($F103&lt;&gt;"", $F103&gt;=AP$5-4, $F103&lt;=AP$5, COUNTIF($M103:AO103,"u")=0), "u", "")</f>
        <v/>
      </c>
      <c r="AQ103" s="80" t="str">
        <f>IF(AND($F103&lt;&gt;"", $F103&gt;=AQ$5-4, $F103&lt;=AQ$5, COUNTIF($M103:AP103,"u")=0), "u", "")</f>
        <v/>
      </c>
      <c r="AR103" s="80" t="str">
        <f>IF(AND($F103&lt;&gt;"", $F103&gt;=AR$5-4, $F103&lt;=AR$5, COUNTIF($M103:AQ103,"u")=0), "u", "")</f>
        <v/>
      </c>
      <c r="AS103" s="80" t="str">
        <f>IF(AND($F103&lt;&gt;"", $F103&gt;=AS$5-4, $F103&lt;=AS$5, COUNTIF($M103:AR103,"u")=0), "u", "")</f>
        <v/>
      </c>
      <c r="AT103" s="80" t="str">
        <f>IF(AND($F103&lt;&gt;"", $F103&gt;=AT$5-4, $F103&lt;=AT$5, COUNTIF($M103:AS103,"u")=0), "u", "")</f>
        <v/>
      </c>
      <c r="AU103" s="80" t="str">
        <f>IF(AND($F103&lt;&gt;"", $F103&gt;=AU$5-4, $F103&lt;=AU$5, COUNTIF($M103:AT103,"u")=0), "u", "")</f>
        <v/>
      </c>
      <c r="AV103" s="80" t="str">
        <f>IF(AND($F103&lt;&gt;"", $F103&gt;=AV$5-4, $F103&lt;=AV$5, COUNTIF($M103:AU103,"u")=0), "u", "")</f>
        <v/>
      </c>
      <c r="AW103" s="80" t="str">
        <f>IF(AND($F103&lt;&gt;"", $F103&gt;=AW$5-4, $F103&lt;=AW$5, COUNTIF($M103:AV103,"u")=0), "u", "")</f>
        <v/>
      </c>
      <c r="AX103" s="80" t="str">
        <f>IF(AND($F103&lt;&gt;"", $F103&gt;=AX$5-4, $F103&lt;=AX$5, COUNTIF($M103:AW103,"u")=0), "u", "")</f>
        <v/>
      </c>
      <c r="AY103" s="80" t="str">
        <f>IF(AND($F103&lt;&gt;"", $F103&gt;=AY$5-4, $F103&lt;=AY$5, COUNTIF($M103:AX103,"u")=0), "u", "")</f>
        <v/>
      </c>
      <c r="AZ103" s="80" t="str">
        <f>IF(AND($F103&lt;&gt;"", $F103&gt;=AZ$5-4, $F103&lt;=AZ$5, COUNTIF($M103:AY103,"u")=0), "u", "")</f>
        <v/>
      </c>
      <c r="BA103" s="80" t="str">
        <f>IF(AND($F103&lt;&gt;"", $F103&gt;=BA$5-4, $F103&lt;=BA$5, COUNTIF($M103:AZ103,"u")=0), "u", "")</f>
        <v/>
      </c>
      <c r="BB103" s="80" t="str">
        <f>IF(AND($F103&lt;&gt;"", $F103&gt;=BB$5-4, $F103&lt;=BB$5, COUNTIF($M103:BA103,"u")=0), "u", "")</f>
        <v/>
      </c>
      <c r="BC103" s="80" t="str">
        <f>IF(AND($F103&lt;&gt;"", $F103&gt;=BC$5-4, $F103&lt;=BC$5, COUNTIF($M103:BB103,"u")=0), "u", "")</f>
        <v/>
      </c>
      <c r="BD103" s="80" t="str">
        <f>IF(AND($F103&lt;&gt;"", $F103&gt;=BD$5-4, $F103&lt;=BD$5, COUNTIF($M103:BC103,"u")=0), "u", "")</f>
        <v/>
      </c>
      <c r="BE103" s="80" t="str">
        <f>IF(AND($F103&lt;&gt;"", $F103&gt;=BE$5-4, $F103&lt;=BE$5, COUNTIF($M103:BD103,"u")=0), "u", "")</f>
        <v/>
      </c>
      <c r="BF103" s="80" t="str">
        <f>IF(AND($F103&lt;&gt;"", $F103&gt;=BF$5-4, $F103&lt;=BF$5, COUNTIF($M103:BE103,"u")=0), "u", "")</f>
        <v/>
      </c>
      <c r="BG103" s="80" t="str">
        <f>IF(AND($F103&lt;&gt;"", $F103&gt;=BG$5-4, $F103&lt;=BG$5, COUNTIF($M103:BF103,"u")=0), "u", "")</f>
        <v/>
      </c>
      <c r="BH103" s="80" t="str">
        <f>IF(AND($F103&lt;&gt;"", $F103&gt;=BH$5-4, $F103&lt;=BH$5, COUNTIF($M103:BG103,"u")=0), "u", "")</f>
        <v/>
      </c>
      <c r="BI103" s="80" t="str">
        <f>IF(AND($F103&lt;&gt;"", $F103&gt;=BI$5-4, $F103&lt;=BI$5, COUNTIF($M103:BH103,"u")=0), "u", "")</f>
        <v/>
      </c>
      <c r="BJ103" s="80" t="str">
        <f>IF(AND($F103&lt;&gt;"", $F103&gt;=BJ$5-4, $F103&lt;=BJ$5, COUNTIF($M103:BI103,"u")=0), "u", "")</f>
        <v/>
      </c>
      <c r="BK103" s="80" t="str">
        <f>IF(AND($F103&lt;&gt;"", $F103&gt;=BK$5-4, $F103&lt;=BK$5, COUNTIF($M103:BJ103,"u")=0), "u", "")</f>
        <v/>
      </c>
      <c r="BL103" s="80" t="str">
        <f>IF(AND($F103&lt;&gt;"", $F103&gt;=BL$5-4, $F103&lt;=BL$5, COUNTIF($M103:BK103,"u")=0), "u", "")</f>
        <v/>
      </c>
      <c r="BM103" s="80" t="str">
        <f>IF(AND($F103&lt;&gt;"", $F103&gt;=BM$5-4, $F103&lt;=BM$5, COUNTIF($M103:BL103,"u")=0), "u", "")</f>
        <v/>
      </c>
      <c r="BN103" s="80" t="str">
        <f>IF(AND($F103&lt;&gt;"", $F103&gt;=BN$5-4, $F103&lt;=BN$5, COUNTIF($M103:BM103,"u")=0), "u", "")</f>
        <v/>
      </c>
      <c r="BO103" s="80" t="str">
        <f>IF(AND($F103&lt;&gt;"", $F103&gt;=BO$5-4, $F103&lt;=BO$5, COUNTIF($M103:BN103,"u")=0), "u", "")</f>
        <v/>
      </c>
      <c r="BP103" s="80" t="str">
        <f>IF(AND($F103&lt;&gt;"", $F103&gt;=BP$5-4, $F103&lt;=BP$5, COUNTIF($M103:BO103,"u")=0), "u", "")</f>
        <v/>
      </c>
      <c r="BQ103" s="80" t="str">
        <f>IF(AND($F103&lt;&gt;"", $F103&gt;=BQ$5-4, $F103&lt;=BQ$5, COUNTIF($M103:BP103,"u")=0), "u", "")</f>
        <v/>
      </c>
      <c r="BR103" s="80" t="str">
        <f>IF(AND($F103&lt;&gt;"", $F103&gt;=BR$5-4, $F103&lt;=BR$5, COUNTIF($M103:BQ103,"u")=0), "u", "")</f>
        <v/>
      </c>
      <c r="BS103" s="80" t="str">
        <f>IF(AND($F103&lt;&gt;"", $F103&gt;=BS$5-4, $F103&lt;=BS$5, COUNTIF($M103:BR103,"u")=0), "u", "")</f>
        <v/>
      </c>
      <c r="BT103" s="80" t="str">
        <f>IF(AND($F103&lt;&gt;"", $F103&gt;=BT$5-4, $F103&lt;=BT$5, COUNTIF($M103:BS103,"u")=0), "u", "")</f>
        <v/>
      </c>
      <c r="BU103" s="80" t="str">
        <f>IF(AND($F103&lt;&gt;"", $F103&gt;=BU$5-4, $F103&lt;=BU$5, COUNTIF($M103:BT103,"u")=0), "u", "")</f>
        <v/>
      </c>
      <c r="BV103" s="80" t="str">
        <f>IF(AND($F103&lt;&gt;"", $F103&gt;=BV$5-4, $F103&lt;=BV$5, COUNTIF($M103:BU103,"u")=0), "u", "")</f>
        <v/>
      </c>
      <c r="BW103" s="80" t="str">
        <f>IF(AND($F103&lt;&gt;"", $F103&gt;=BW$5-4, $F103&lt;=BW$5, COUNTIF($M103:BV103,"u")=0), "u", "")</f>
        <v/>
      </c>
      <c r="BX103" s="80" t="str">
        <f>IF(AND($F103&lt;&gt;"", $F103&gt;=BX$5-4, $F103&lt;=BX$5, COUNTIF($M103:BW103,"u")=0), "u", "")</f>
        <v/>
      </c>
      <c r="BY103" s="80" t="str">
        <f>IF(AND($F103&lt;&gt;"", $F103&gt;=BY$5-4, $F103&lt;=BY$5, COUNTIF($M103:BX103,"u")=0), "u", "")</f>
        <v/>
      </c>
      <c r="BZ103" s="80" t="str">
        <f>IF(AND($F103&lt;&gt;"", $F103&gt;=BZ$5-4, $F103&lt;=BZ$5, COUNTIF($M103:BY103,"u")=0), "u", "")</f>
        <v/>
      </c>
      <c r="CA103" s="80" t="str">
        <f>IF(AND($F103&lt;&gt;"", $F103&gt;=CA$5-4, $F103&lt;=CA$5, COUNTIF($M103:BZ103,"u")=0), "u", "")</f>
        <v/>
      </c>
      <c r="CB103" s="80" t="str">
        <f>IF(AND($F103&lt;&gt;"", $F103&gt;=CB$5-4, $F103&lt;=CB$5, COUNTIF($M103:CA103,"u")=0), "u", "")</f>
        <v/>
      </c>
      <c r="CC103" s="80" t="str">
        <f>IF(AND($F103&lt;&gt;"", $F103&gt;=CC$5-4, $F103&lt;=CC$5, COUNTIF($M103:CB103,"u")=0), "u", "")</f>
        <v/>
      </c>
      <c r="CD103" s="80" t="str">
        <f>IF(AND($F103&lt;&gt;"", $F103&gt;=CD$5-4, $F103&lt;=CD$5, COUNTIF($M103:CC103,"u")=0), "u", "")</f>
        <v/>
      </c>
      <c r="CE103" s="80" t="str">
        <f>IF(AND($F103&lt;&gt;"", $F103&gt;=CE$5-4, $F103&lt;=CE$5, COUNTIF($M103:CD103,"u")=0), "u", "")</f>
        <v/>
      </c>
      <c r="CF103" s="80" t="str">
        <f>IF(AND($F103&lt;&gt;"", $F103&gt;=CF$5-4, $F103&lt;=CF$5, COUNTIF($M103:CE103,"u")=0), "u", "")</f>
        <v/>
      </c>
      <c r="CG103" s="80" t="str">
        <f>IF(AND($F103&lt;&gt;"", $F103&gt;=CG$5-4, $F103&lt;=CG$5, COUNTIF($M103:CF103,"u")=0), "u", "")</f>
        <v/>
      </c>
      <c r="CH103" s="80" t="str">
        <f>IF(AND($F103&lt;&gt;"", $F103&gt;=CH$5-4, $F103&lt;=CH$5, COUNTIF($M103:CG103,"u")=0), "u", "")</f>
        <v/>
      </c>
      <c r="CI103" s="80" t="str">
        <f>IF(AND($F103&lt;&gt;"", $F103&gt;=CI$5-4, $F103&lt;=CI$5, COUNTIF($M103:CH103,"u")=0), "u", "")</f>
        <v/>
      </c>
      <c r="CJ103" s="80" t="str">
        <f>IF(AND($F103&lt;&gt;"", $F103&gt;=CJ$5-4, $F103&lt;=CJ$5, COUNTIF($M103:CI103,"u")=0), "u", "")</f>
        <v/>
      </c>
      <c r="CK103" s="80" t="str">
        <f>IF(AND($F103&lt;&gt;"", $F103&gt;=CK$5-4, $F103&lt;=CK$5, COUNTIF($M103:CJ103,"u")=0), "u", "")</f>
        <v/>
      </c>
      <c r="CL103" s="80" t="str">
        <f>IF(AND($F103&lt;&gt;"", $F103&gt;=CL$5-4, $F103&lt;=CL$5, COUNTIF($M103:CK103,"u")=0), "u", "")</f>
        <v/>
      </c>
      <c r="CM103" s="80" t="str">
        <f>IF(AND($F103&lt;&gt;"", $F103&gt;=CM$5-4, $F103&lt;=CM$5, COUNTIF($M103:CL103,"u")=0), "u", "")</f>
        <v/>
      </c>
      <c r="CN103" s="80" t="str">
        <f>IF(AND($F103&lt;&gt;"", $F103&gt;=CN$5-4, $F103&lt;=CN$5, COUNTIF($M103:CM103,"u")=0), "u", "")</f>
        <v/>
      </c>
      <c r="CO103" s="80" t="str">
        <f>IF(AND($F103&lt;&gt;"", $F103&gt;=CO$5-4, $F103&lt;=CO$5, COUNTIF($M103:CN103,"u")=0), "u", "")</f>
        <v/>
      </c>
      <c r="CP103" s="80" t="str">
        <f>IF(AND($F103&lt;&gt;"", $F103&gt;=CP$5-4, $F103&lt;=CP$5, COUNTIF($M103:CO103,"u")=0), "u", "")</f>
        <v/>
      </c>
      <c r="CQ103" s="80" t="str">
        <f>IF(AND($F103&lt;&gt;"", $F103&gt;=CQ$5-4, $F103&lt;=CQ$5, COUNTIF($M103:CP103,"u")=0), "u", "")</f>
        <v/>
      </c>
      <c r="CR103" s="80" t="str">
        <f>IF(AND($F103&lt;&gt;"", $F103&gt;=CR$5-4, $F103&lt;=CR$5, COUNTIF($M103:CQ103,"u")=0), "u", "")</f>
        <v/>
      </c>
      <c r="CS103" s="80" t="str">
        <f>IF(AND($F103&lt;&gt;"", $F103&gt;=CS$5-4, $F103&lt;=CS$5, COUNTIF($M103:CR103,"u")=0), "u", "")</f>
        <v/>
      </c>
      <c r="CT103" s="80" t="str">
        <f>IF(AND($F103&lt;&gt;"", $F103&gt;=CT$5-4, $F103&lt;=CT$5, COUNTIF($M103:CS103,"u")=0), "u", "")</f>
        <v/>
      </c>
      <c r="CU103" s="80" t="str">
        <f>IF(AND($F103&lt;&gt;"", $F103&gt;=CU$5-4, $F103&lt;=CU$5, COUNTIF($M103:CT103,"u")=0), "u", "")</f>
        <v/>
      </c>
      <c r="CV103" s="80" t="str">
        <f>IF(AND($F103&lt;&gt;"", $F103&gt;=CV$5-4, $F103&lt;=CV$5, COUNTIF($M103:CU103,"u")=0), "u", "")</f>
        <v/>
      </c>
      <c r="CW103" s="80" t="str">
        <f>IF(AND($F103&lt;&gt;"", $F103&gt;=CW$5-4, $F103&lt;=CW$5, COUNTIF($M103:CV103,"u")=0), "u", "")</f>
        <v/>
      </c>
      <c r="CX103" s="80" t="str">
        <f>IF(AND($F103&lt;&gt;"", $F103&gt;=CX$5-4, $F103&lt;=CX$5, COUNTIF($M103:CW103,"u")=0), "u", "")</f>
        <v/>
      </c>
      <c r="CY103" s="80" t="str">
        <f>IF(AND($F103&lt;&gt;"", $F103&gt;=CY$5-4, $F103&lt;=CY$5, COUNTIF($M103:CX103,"u")=0), "u", "")</f>
        <v/>
      </c>
      <c r="CZ103" s="80" t="str">
        <f>IF(AND($F103&lt;&gt;"", $F103&gt;=CZ$5-4, $F103&lt;=CZ$5, COUNTIF($M103:CY103,"u")=0), "u", "")</f>
        <v/>
      </c>
      <c r="DA103" s="80" t="str">
        <f>IF(AND($F103&lt;&gt;"", $F103&gt;=DA$5-4, $F103&lt;=DA$5, COUNTIF($M103:CZ103,"u")=0), "u", "")</f>
        <v/>
      </c>
      <c r="DB103" s="80" t="str">
        <f>IF(AND($F103&lt;&gt;"", $F103&gt;=DB$5-4, $F103&lt;=DB$5, COUNTIF($M103:DA103,"u")=0), "u", "")</f>
        <v/>
      </c>
      <c r="DC103" s="80" t="str">
        <f>IF(AND($F103&lt;&gt;"", $F103&gt;=DC$5-4, $F103&lt;=DC$5, COUNTIF($M103:DB103,"u")=0), "u", "")</f>
        <v/>
      </c>
      <c r="DD103" s="80" t="str">
        <f>IF(AND($F103&lt;&gt;"", $F103&gt;=DD$5-4, $F103&lt;=DD$5, COUNTIF($M103:DC103,"u")=0), "u", "")</f>
        <v/>
      </c>
      <c r="DE103" s="80" t="str">
        <f>IF(AND($F103&lt;&gt;"", $F103&gt;=DE$5-4, $F103&lt;=DE$5, COUNTIF($M103:DD103,"u")=0), "u", "")</f>
        <v/>
      </c>
      <c r="DF103" s="80" t="str">
        <f>IF(AND($F103&lt;&gt;"", $F103&gt;=DF$5-4, $F103&lt;=DF$5, COUNTIF($M103:DE103,"u")=0), "u", "")</f>
        <v/>
      </c>
      <c r="DG103" s="80" t="str">
        <f>IF(AND($F103&lt;&gt;"", $F103&gt;=DG$5-4, $F103&lt;=DG$5, COUNTIF($M103:DF103,"u")=0), "u", "")</f>
        <v/>
      </c>
      <c r="DH103" s="80" t="str">
        <f>IF(AND($F103&lt;&gt;"", $F103&gt;=DH$5-4, $F103&lt;=DH$5, COUNTIF($M103:DG103,"u")=0), "u", "")</f>
        <v/>
      </c>
      <c r="DI103" s="80" t="str">
        <f>IF(AND($F103&lt;&gt;"", $F103&gt;=DI$5-4, $F103&lt;=DI$5, COUNTIF($M103:DH103,"u")=0), "u", "")</f>
        <v/>
      </c>
      <c r="DJ103" s="80" t="str">
        <f>IF(AND($F103&lt;&gt;"", $F103&gt;=DJ$5-4, $F103&lt;=DJ$5, COUNTIF($M103:DI103,"u")=0), "u", "")</f>
        <v/>
      </c>
      <c r="DK103" s="80" t="str">
        <f>IF(AND($F103&lt;&gt;"", $F103&gt;=DK$5-4, $F103&lt;=DK$5, COUNTIF($M103:DJ103,"u")=0), "u", "")</f>
        <v/>
      </c>
      <c r="DL103" s="80" t="str">
        <f>IF(AND($F103&lt;&gt;"", $F103&gt;=DL$5-4, $F103&lt;=DL$5, COUNTIF($M103:DK103,"u")=0), "u", "")</f>
        <v/>
      </c>
    </row>
    <row r="104" spans="1:116" ht="25.05" customHeight="1" x14ac:dyDescent="0.3">
      <c r="A104" s="39"/>
      <c r="B104" s="75">
        <v>99</v>
      </c>
      <c r="C104" s="97"/>
      <c r="D104" s="92"/>
      <c r="E104" s="53"/>
      <c r="F104" s="53"/>
      <c r="G104" s="83" t="str">
        <f t="shared" si="50"/>
        <v/>
      </c>
      <c r="H104" s="83" t="str">
        <f t="shared" si="50"/>
        <v/>
      </c>
      <c r="I104" s="77" t="str">
        <f t="shared" si="48"/>
        <v/>
      </c>
      <c r="J104" s="78"/>
      <c r="K104" s="86"/>
      <c r="L104" s="56"/>
      <c r="M104" s="80" t="str">
        <f t="shared" si="49"/>
        <v/>
      </c>
      <c r="N104" s="80" t="str">
        <f>IF(AND($F104&lt;&gt;"", $F104&gt;=N$5-4, $F104&lt;=N$5, COUNTIF($M104:M104,"u")=0), "u", "")</f>
        <v/>
      </c>
      <c r="O104" s="80" t="str">
        <f>IF(AND($F104&lt;&gt;"", $F104&gt;=O$5-4, $F104&lt;=O$5, COUNTIF($M104:N104,"u")=0), "u", "")</f>
        <v/>
      </c>
      <c r="P104" s="80" t="str">
        <f>IF(AND($F104&lt;&gt;"", $F104&gt;=P$5-4, $F104&lt;=P$5, COUNTIF($M104:O104,"u")=0), "u", "")</f>
        <v/>
      </c>
      <c r="Q104" s="80" t="str">
        <f>IF(AND($F104&lt;&gt;"", $F104&gt;=Q$5-4, $F104&lt;=Q$5, COUNTIF($M104:P104,"u")=0), "u", "")</f>
        <v/>
      </c>
      <c r="R104" s="80" t="str">
        <f>IF(AND($F104&lt;&gt;"", $F104&gt;=R$5-4, $F104&lt;=R$5, COUNTIF($M104:Q104,"u")=0), "u", "")</f>
        <v/>
      </c>
      <c r="S104" s="80" t="str">
        <f>IF(AND($F104&lt;&gt;"", $F104&gt;=S$5-4, $F104&lt;=S$5, COUNTIF($M104:R104,"u")=0), "u", "")</f>
        <v/>
      </c>
      <c r="T104" s="80" t="str">
        <f>IF(AND($F104&lt;&gt;"", $F104&gt;=T$5-4, $F104&lt;=T$5, COUNTIF($M104:S104,"u")=0), "u", "")</f>
        <v/>
      </c>
      <c r="U104" s="80" t="str">
        <f>IF(AND($F104&lt;&gt;"", $F104&gt;=U$5-4, $F104&lt;=U$5, COUNTIF($M104:T104,"u")=0), "u", "")</f>
        <v/>
      </c>
      <c r="V104" s="80" t="str">
        <f>IF(AND($F104&lt;&gt;"", $F104&gt;=V$5-4, $F104&lt;=V$5, COUNTIF($M104:U104,"u")=0), "u", "")</f>
        <v/>
      </c>
      <c r="W104" s="80" t="str">
        <f>IF(AND($F104&lt;&gt;"", $F104&gt;=W$5-4, $F104&lt;=W$5, COUNTIF($M104:V104,"u")=0), "u", "")</f>
        <v/>
      </c>
      <c r="X104" s="80" t="str">
        <f>IF(AND($F104&lt;&gt;"", $F104&gt;=X$5-4, $F104&lt;=X$5, COUNTIF($M104:W104,"u")=0), "u", "")</f>
        <v/>
      </c>
      <c r="Y104" s="80" t="str">
        <f>IF(AND($F104&lt;&gt;"", $F104&gt;=Y$5-4, $F104&lt;=Y$5, COUNTIF($M104:X104,"u")=0), "u", "")</f>
        <v/>
      </c>
      <c r="Z104" s="80" t="str">
        <f>IF(AND($F104&lt;&gt;"", $F104&gt;=Z$5-4, $F104&lt;=Z$5, COUNTIF($M104:Y104,"u")=0), "u", "")</f>
        <v/>
      </c>
      <c r="AA104" s="80" t="str">
        <f>IF(AND($F104&lt;&gt;"", $F104&gt;=AA$5-4, $F104&lt;=AA$5, COUNTIF($M104:Z104,"u")=0), "u", "")</f>
        <v/>
      </c>
      <c r="AB104" s="80" t="str">
        <f>IF(AND($F104&lt;&gt;"", $F104&gt;=AB$5-4, $F104&lt;=AB$5, COUNTIF($M104:AA104,"u")=0), "u", "")</f>
        <v/>
      </c>
      <c r="AC104" s="80" t="str">
        <f>IF(AND($F104&lt;&gt;"", $F104&gt;=AC$5-4, $F104&lt;=AC$5, COUNTIF($M104:AB104,"u")=0), "u", "")</f>
        <v/>
      </c>
      <c r="AD104" s="80" t="str">
        <f>IF(AND($F104&lt;&gt;"", $F104&gt;=AD$5-4, $F104&lt;=AD$5, COUNTIF($M104:AC104,"u")=0), "u", "")</f>
        <v/>
      </c>
      <c r="AE104" s="80" t="str">
        <f>IF(AND($F104&lt;&gt;"", $F104&gt;=AE$5-4, $F104&lt;=AE$5, COUNTIF($M104:AD104,"u")=0), "u", "")</f>
        <v/>
      </c>
      <c r="AF104" s="80" t="str">
        <f>IF(AND($F104&lt;&gt;"", $F104&gt;=AF$5-4, $F104&lt;=AF$5, COUNTIF($M104:AE104,"u")=0), "u", "")</f>
        <v/>
      </c>
      <c r="AG104" s="80" t="str">
        <f>IF(AND($F104&lt;&gt;"", $F104&gt;=AG$5-4, $F104&lt;=AG$5, COUNTIF($M104:AF104,"u")=0), "u", "")</f>
        <v/>
      </c>
      <c r="AH104" s="80" t="str">
        <f>IF(AND($F104&lt;&gt;"", $F104&gt;=AH$5-4, $F104&lt;=AH$5, COUNTIF($M104:AG104,"u")=0), "u", "")</f>
        <v/>
      </c>
      <c r="AI104" s="80" t="str">
        <f>IF(AND($F104&lt;&gt;"", $F104&gt;=AI$5-4, $F104&lt;=AI$5, COUNTIF($M104:AH104,"u")=0), "u", "")</f>
        <v/>
      </c>
      <c r="AJ104" s="80" t="str">
        <f>IF(AND($F104&lt;&gt;"", $F104&gt;=AJ$5-4, $F104&lt;=AJ$5, COUNTIF($M104:AI104,"u")=0), "u", "")</f>
        <v/>
      </c>
      <c r="AK104" s="80" t="str">
        <f>IF(AND($F104&lt;&gt;"", $F104&gt;=AK$5-4, $F104&lt;=AK$5, COUNTIF($M104:AJ104,"u")=0), "u", "")</f>
        <v/>
      </c>
      <c r="AL104" s="80" t="str">
        <f>IF(AND($F104&lt;&gt;"", $F104&gt;=AL$5-4, $F104&lt;=AL$5, COUNTIF($M104:AK104,"u")=0), "u", "")</f>
        <v/>
      </c>
      <c r="AM104" s="80" t="str">
        <f>IF(AND($F104&lt;&gt;"", $F104&gt;=AM$5-4, $F104&lt;=AM$5, COUNTIF($M104:AL104,"u")=0), "u", "")</f>
        <v/>
      </c>
      <c r="AN104" s="80" t="str">
        <f>IF(AND($F104&lt;&gt;"", $F104&gt;=AN$5-4, $F104&lt;=AN$5, COUNTIF($M104:AM104,"u")=0), "u", "")</f>
        <v/>
      </c>
      <c r="AO104" s="80" t="str">
        <f>IF(AND($F104&lt;&gt;"", $F104&gt;=AO$5-4, $F104&lt;=AO$5, COUNTIF($M104:AN104,"u")=0), "u", "")</f>
        <v/>
      </c>
      <c r="AP104" s="80" t="str">
        <f>IF(AND($F104&lt;&gt;"", $F104&gt;=AP$5-4, $F104&lt;=AP$5, COUNTIF($M104:AO104,"u")=0), "u", "")</f>
        <v/>
      </c>
      <c r="AQ104" s="80" t="str">
        <f>IF(AND($F104&lt;&gt;"", $F104&gt;=AQ$5-4, $F104&lt;=AQ$5, COUNTIF($M104:AP104,"u")=0), "u", "")</f>
        <v/>
      </c>
      <c r="AR104" s="80" t="str">
        <f>IF(AND($F104&lt;&gt;"", $F104&gt;=AR$5-4, $F104&lt;=AR$5, COUNTIF($M104:AQ104,"u")=0), "u", "")</f>
        <v/>
      </c>
      <c r="AS104" s="80" t="str">
        <f>IF(AND($F104&lt;&gt;"", $F104&gt;=AS$5-4, $F104&lt;=AS$5, COUNTIF($M104:AR104,"u")=0), "u", "")</f>
        <v/>
      </c>
      <c r="AT104" s="80" t="str">
        <f>IF(AND($F104&lt;&gt;"", $F104&gt;=AT$5-4, $F104&lt;=AT$5, COUNTIF($M104:AS104,"u")=0), "u", "")</f>
        <v/>
      </c>
      <c r="AU104" s="80" t="str">
        <f>IF(AND($F104&lt;&gt;"", $F104&gt;=AU$5-4, $F104&lt;=AU$5, COUNTIF($M104:AT104,"u")=0), "u", "")</f>
        <v/>
      </c>
      <c r="AV104" s="80" t="str">
        <f>IF(AND($F104&lt;&gt;"", $F104&gt;=AV$5-4, $F104&lt;=AV$5, COUNTIF($M104:AU104,"u")=0), "u", "")</f>
        <v/>
      </c>
      <c r="AW104" s="80" t="str">
        <f>IF(AND($F104&lt;&gt;"", $F104&gt;=AW$5-4, $F104&lt;=AW$5, COUNTIF($M104:AV104,"u")=0), "u", "")</f>
        <v/>
      </c>
      <c r="AX104" s="80" t="str">
        <f>IF(AND($F104&lt;&gt;"", $F104&gt;=AX$5-4, $F104&lt;=AX$5, COUNTIF($M104:AW104,"u")=0), "u", "")</f>
        <v/>
      </c>
      <c r="AY104" s="80" t="str">
        <f>IF(AND($F104&lt;&gt;"", $F104&gt;=AY$5-4, $F104&lt;=AY$5, COUNTIF($M104:AX104,"u")=0), "u", "")</f>
        <v/>
      </c>
      <c r="AZ104" s="80" t="str">
        <f>IF(AND($F104&lt;&gt;"", $F104&gt;=AZ$5-4, $F104&lt;=AZ$5, COUNTIF($M104:AY104,"u")=0), "u", "")</f>
        <v/>
      </c>
      <c r="BA104" s="80" t="str">
        <f>IF(AND($F104&lt;&gt;"", $F104&gt;=BA$5-4, $F104&lt;=BA$5, COUNTIF($M104:AZ104,"u")=0), "u", "")</f>
        <v/>
      </c>
      <c r="BB104" s="80" t="str">
        <f>IF(AND($F104&lt;&gt;"", $F104&gt;=BB$5-4, $F104&lt;=BB$5, COUNTIF($M104:BA104,"u")=0), "u", "")</f>
        <v/>
      </c>
      <c r="BC104" s="80" t="str">
        <f>IF(AND($F104&lt;&gt;"", $F104&gt;=BC$5-4, $F104&lt;=BC$5, COUNTIF($M104:BB104,"u")=0), "u", "")</f>
        <v/>
      </c>
      <c r="BD104" s="80" t="str">
        <f>IF(AND($F104&lt;&gt;"", $F104&gt;=BD$5-4, $F104&lt;=BD$5, COUNTIF($M104:BC104,"u")=0), "u", "")</f>
        <v/>
      </c>
      <c r="BE104" s="80" t="str">
        <f>IF(AND($F104&lt;&gt;"", $F104&gt;=BE$5-4, $F104&lt;=BE$5, COUNTIF($M104:BD104,"u")=0), "u", "")</f>
        <v/>
      </c>
      <c r="BF104" s="80" t="str">
        <f>IF(AND($F104&lt;&gt;"", $F104&gt;=BF$5-4, $F104&lt;=BF$5, COUNTIF($M104:BE104,"u")=0), "u", "")</f>
        <v/>
      </c>
      <c r="BG104" s="80" t="str">
        <f>IF(AND($F104&lt;&gt;"", $F104&gt;=BG$5-4, $F104&lt;=BG$5, COUNTIF($M104:BF104,"u")=0), "u", "")</f>
        <v/>
      </c>
      <c r="BH104" s="80" t="str">
        <f>IF(AND($F104&lt;&gt;"", $F104&gt;=BH$5-4, $F104&lt;=BH$5, COUNTIF($M104:BG104,"u")=0), "u", "")</f>
        <v/>
      </c>
      <c r="BI104" s="80" t="str">
        <f>IF(AND($F104&lt;&gt;"", $F104&gt;=BI$5-4, $F104&lt;=BI$5, COUNTIF($M104:BH104,"u")=0), "u", "")</f>
        <v/>
      </c>
      <c r="BJ104" s="80" t="str">
        <f>IF(AND($F104&lt;&gt;"", $F104&gt;=BJ$5-4, $F104&lt;=BJ$5, COUNTIF($M104:BI104,"u")=0), "u", "")</f>
        <v/>
      </c>
      <c r="BK104" s="80" t="str">
        <f>IF(AND($F104&lt;&gt;"", $F104&gt;=BK$5-4, $F104&lt;=BK$5, COUNTIF($M104:BJ104,"u")=0), "u", "")</f>
        <v/>
      </c>
      <c r="BL104" s="80" t="str">
        <f>IF(AND($F104&lt;&gt;"", $F104&gt;=BL$5-4, $F104&lt;=BL$5, COUNTIF($M104:BK104,"u")=0), "u", "")</f>
        <v/>
      </c>
      <c r="BM104" s="80" t="str">
        <f>IF(AND($F104&lt;&gt;"", $F104&gt;=BM$5-4, $F104&lt;=BM$5, COUNTIF($M104:BL104,"u")=0), "u", "")</f>
        <v/>
      </c>
      <c r="BN104" s="80" t="str">
        <f>IF(AND($F104&lt;&gt;"", $F104&gt;=BN$5-4, $F104&lt;=BN$5, COUNTIF($M104:BM104,"u")=0), "u", "")</f>
        <v/>
      </c>
      <c r="BO104" s="80" t="str">
        <f>IF(AND($F104&lt;&gt;"", $F104&gt;=BO$5-4, $F104&lt;=BO$5, COUNTIF($M104:BN104,"u")=0), "u", "")</f>
        <v/>
      </c>
      <c r="BP104" s="80" t="str">
        <f>IF(AND($F104&lt;&gt;"", $F104&gt;=BP$5-4, $F104&lt;=BP$5, COUNTIF($M104:BO104,"u")=0), "u", "")</f>
        <v/>
      </c>
      <c r="BQ104" s="80" t="str">
        <f>IF(AND($F104&lt;&gt;"", $F104&gt;=BQ$5-4, $F104&lt;=BQ$5, COUNTIF($M104:BP104,"u")=0), "u", "")</f>
        <v/>
      </c>
      <c r="BR104" s="80" t="str">
        <f>IF(AND($F104&lt;&gt;"", $F104&gt;=BR$5-4, $F104&lt;=BR$5, COUNTIF($M104:BQ104,"u")=0), "u", "")</f>
        <v/>
      </c>
      <c r="BS104" s="80" t="str">
        <f>IF(AND($F104&lt;&gt;"", $F104&gt;=BS$5-4, $F104&lt;=BS$5, COUNTIF($M104:BR104,"u")=0), "u", "")</f>
        <v/>
      </c>
      <c r="BT104" s="80" t="str">
        <f>IF(AND($F104&lt;&gt;"", $F104&gt;=BT$5-4, $F104&lt;=BT$5, COUNTIF($M104:BS104,"u")=0), "u", "")</f>
        <v/>
      </c>
      <c r="BU104" s="80" t="str">
        <f>IF(AND($F104&lt;&gt;"", $F104&gt;=BU$5-4, $F104&lt;=BU$5, COUNTIF($M104:BT104,"u")=0), "u", "")</f>
        <v/>
      </c>
      <c r="BV104" s="80" t="str">
        <f>IF(AND($F104&lt;&gt;"", $F104&gt;=BV$5-4, $F104&lt;=BV$5, COUNTIF($M104:BU104,"u")=0), "u", "")</f>
        <v/>
      </c>
      <c r="BW104" s="80" t="str">
        <f>IF(AND($F104&lt;&gt;"", $F104&gt;=BW$5-4, $F104&lt;=BW$5, COUNTIF($M104:BV104,"u")=0), "u", "")</f>
        <v/>
      </c>
      <c r="BX104" s="80" t="str">
        <f>IF(AND($F104&lt;&gt;"", $F104&gt;=BX$5-4, $F104&lt;=BX$5, COUNTIF($M104:BW104,"u")=0), "u", "")</f>
        <v/>
      </c>
      <c r="BY104" s="80" t="str">
        <f>IF(AND($F104&lt;&gt;"", $F104&gt;=BY$5-4, $F104&lt;=BY$5, COUNTIF($M104:BX104,"u")=0), "u", "")</f>
        <v/>
      </c>
      <c r="BZ104" s="80" t="str">
        <f>IF(AND($F104&lt;&gt;"", $F104&gt;=BZ$5-4, $F104&lt;=BZ$5, COUNTIF($M104:BY104,"u")=0), "u", "")</f>
        <v/>
      </c>
      <c r="CA104" s="80" t="str">
        <f>IF(AND($F104&lt;&gt;"", $F104&gt;=CA$5-4, $F104&lt;=CA$5, COUNTIF($M104:BZ104,"u")=0), "u", "")</f>
        <v/>
      </c>
      <c r="CB104" s="80" t="str">
        <f>IF(AND($F104&lt;&gt;"", $F104&gt;=CB$5-4, $F104&lt;=CB$5, COUNTIF($M104:CA104,"u")=0), "u", "")</f>
        <v/>
      </c>
      <c r="CC104" s="80" t="str">
        <f>IF(AND($F104&lt;&gt;"", $F104&gt;=CC$5-4, $F104&lt;=CC$5, COUNTIF($M104:CB104,"u")=0), "u", "")</f>
        <v/>
      </c>
      <c r="CD104" s="80" t="str">
        <f>IF(AND($F104&lt;&gt;"", $F104&gt;=CD$5-4, $F104&lt;=CD$5, COUNTIF($M104:CC104,"u")=0), "u", "")</f>
        <v/>
      </c>
      <c r="CE104" s="80" t="str">
        <f>IF(AND($F104&lt;&gt;"", $F104&gt;=CE$5-4, $F104&lt;=CE$5, COUNTIF($M104:CD104,"u")=0), "u", "")</f>
        <v/>
      </c>
      <c r="CF104" s="80" t="str">
        <f>IF(AND($F104&lt;&gt;"", $F104&gt;=CF$5-4, $F104&lt;=CF$5, COUNTIF($M104:CE104,"u")=0), "u", "")</f>
        <v/>
      </c>
      <c r="CG104" s="80" t="str">
        <f>IF(AND($F104&lt;&gt;"", $F104&gt;=CG$5-4, $F104&lt;=CG$5, COUNTIF($M104:CF104,"u")=0), "u", "")</f>
        <v/>
      </c>
      <c r="CH104" s="80" t="str">
        <f>IF(AND($F104&lt;&gt;"", $F104&gt;=CH$5-4, $F104&lt;=CH$5, COUNTIF($M104:CG104,"u")=0), "u", "")</f>
        <v/>
      </c>
      <c r="CI104" s="80" t="str">
        <f>IF(AND($F104&lt;&gt;"", $F104&gt;=CI$5-4, $F104&lt;=CI$5, COUNTIF($M104:CH104,"u")=0), "u", "")</f>
        <v/>
      </c>
      <c r="CJ104" s="80" t="str">
        <f>IF(AND($F104&lt;&gt;"", $F104&gt;=CJ$5-4, $F104&lt;=CJ$5, COUNTIF($M104:CI104,"u")=0), "u", "")</f>
        <v/>
      </c>
      <c r="CK104" s="80" t="str">
        <f>IF(AND($F104&lt;&gt;"", $F104&gt;=CK$5-4, $F104&lt;=CK$5, COUNTIF($M104:CJ104,"u")=0), "u", "")</f>
        <v/>
      </c>
      <c r="CL104" s="80" t="str">
        <f>IF(AND($F104&lt;&gt;"", $F104&gt;=CL$5-4, $F104&lt;=CL$5, COUNTIF($M104:CK104,"u")=0), "u", "")</f>
        <v/>
      </c>
      <c r="CM104" s="80" t="str">
        <f>IF(AND($F104&lt;&gt;"", $F104&gt;=CM$5-4, $F104&lt;=CM$5, COUNTIF($M104:CL104,"u")=0), "u", "")</f>
        <v/>
      </c>
      <c r="CN104" s="80" t="str">
        <f>IF(AND($F104&lt;&gt;"", $F104&gt;=CN$5-4, $F104&lt;=CN$5, COUNTIF($M104:CM104,"u")=0), "u", "")</f>
        <v/>
      </c>
      <c r="CO104" s="80" t="str">
        <f>IF(AND($F104&lt;&gt;"", $F104&gt;=CO$5-4, $F104&lt;=CO$5, COUNTIF($M104:CN104,"u")=0), "u", "")</f>
        <v/>
      </c>
      <c r="CP104" s="80" t="str">
        <f>IF(AND($F104&lt;&gt;"", $F104&gt;=CP$5-4, $F104&lt;=CP$5, COUNTIF($M104:CO104,"u")=0), "u", "")</f>
        <v/>
      </c>
      <c r="CQ104" s="80" t="str">
        <f>IF(AND($F104&lt;&gt;"", $F104&gt;=CQ$5-4, $F104&lt;=CQ$5, COUNTIF($M104:CP104,"u")=0), "u", "")</f>
        <v/>
      </c>
      <c r="CR104" s="80" t="str">
        <f>IF(AND($F104&lt;&gt;"", $F104&gt;=CR$5-4, $F104&lt;=CR$5, COUNTIF($M104:CQ104,"u")=0), "u", "")</f>
        <v/>
      </c>
      <c r="CS104" s="80" t="str">
        <f>IF(AND($F104&lt;&gt;"", $F104&gt;=CS$5-4, $F104&lt;=CS$5, COUNTIF($M104:CR104,"u")=0), "u", "")</f>
        <v/>
      </c>
      <c r="CT104" s="80" t="str">
        <f>IF(AND($F104&lt;&gt;"", $F104&gt;=CT$5-4, $F104&lt;=CT$5, COUNTIF($M104:CS104,"u")=0), "u", "")</f>
        <v/>
      </c>
      <c r="CU104" s="80" t="str">
        <f>IF(AND($F104&lt;&gt;"", $F104&gt;=CU$5-4, $F104&lt;=CU$5, COUNTIF($M104:CT104,"u")=0), "u", "")</f>
        <v/>
      </c>
      <c r="CV104" s="80" t="str">
        <f>IF(AND($F104&lt;&gt;"", $F104&gt;=CV$5-4, $F104&lt;=CV$5, COUNTIF($M104:CU104,"u")=0), "u", "")</f>
        <v/>
      </c>
      <c r="CW104" s="80" t="str">
        <f>IF(AND($F104&lt;&gt;"", $F104&gt;=CW$5-4, $F104&lt;=CW$5, COUNTIF($M104:CV104,"u")=0), "u", "")</f>
        <v/>
      </c>
      <c r="CX104" s="80" t="str">
        <f>IF(AND($F104&lt;&gt;"", $F104&gt;=CX$5-4, $F104&lt;=CX$5, COUNTIF($M104:CW104,"u")=0), "u", "")</f>
        <v/>
      </c>
      <c r="CY104" s="80" t="str">
        <f>IF(AND($F104&lt;&gt;"", $F104&gt;=CY$5-4, $F104&lt;=CY$5, COUNTIF($M104:CX104,"u")=0), "u", "")</f>
        <v/>
      </c>
      <c r="CZ104" s="80" t="str">
        <f>IF(AND($F104&lt;&gt;"", $F104&gt;=CZ$5-4, $F104&lt;=CZ$5, COUNTIF($M104:CY104,"u")=0), "u", "")</f>
        <v/>
      </c>
      <c r="DA104" s="80" t="str">
        <f>IF(AND($F104&lt;&gt;"", $F104&gt;=DA$5-4, $F104&lt;=DA$5, COUNTIF($M104:CZ104,"u")=0), "u", "")</f>
        <v/>
      </c>
      <c r="DB104" s="80" t="str">
        <f>IF(AND($F104&lt;&gt;"", $F104&gt;=DB$5-4, $F104&lt;=DB$5, COUNTIF($M104:DA104,"u")=0), "u", "")</f>
        <v/>
      </c>
      <c r="DC104" s="80" t="str">
        <f>IF(AND($F104&lt;&gt;"", $F104&gt;=DC$5-4, $F104&lt;=DC$5, COUNTIF($M104:DB104,"u")=0), "u", "")</f>
        <v/>
      </c>
      <c r="DD104" s="80" t="str">
        <f>IF(AND($F104&lt;&gt;"", $F104&gt;=DD$5-4, $F104&lt;=DD$5, COUNTIF($M104:DC104,"u")=0), "u", "")</f>
        <v/>
      </c>
      <c r="DE104" s="80" t="str">
        <f>IF(AND($F104&lt;&gt;"", $F104&gt;=DE$5-4, $F104&lt;=DE$5, COUNTIF($M104:DD104,"u")=0), "u", "")</f>
        <v/>
      </c>
      <c r="DF104" s="80" t="str">
        <f>IF(AND($F104&lt;&gt;"", $F104&gt;=DF$5-4, $F104&lt;=DF$5, COUNTIF($M104:DE104,"u")=0), "u", "")</f>
        <v/>
      </c>
      <c r="DG104" s="80" t="str">
        <f>IF(AND($F104&lt;&gt;"", $F104&gt;=DG$5-4, $F104&lt;=DG$5, COUNTIF($M104:DF104,"u")=0), "u", "")</f>
        <v/>
      </c>
      <c r="DH104" s="80" t="str">
        <f>IF(AND($F104&lt;&gt;"", $F104&gt;=DH$5-4, $F104&lt;=DH$5, COUNTIF($M104:DG104,"u")=0), "u", "")</f>
        <v/>
      </c>
      <c r="DI104" s="80" t="str">
        <f>IF(AND($F104&lt;&gt;"", $F104&gt;=DI$5-4, $F104&lt;=DI$5, COUNTIF($M104:DH104,"u")=0), "u", "")</f>
        <v/>
      </c>
      <c r="DJ104" s="80" t="str">
        <f>IF(AND($F104&lt;&gt;"", $F104&gt;=DJ$5-4, $F104&lt;=DJ$5, COUNTIF($M104:DI104,"u")=0), "u", "")</f>
        <v/>
      </c>
      <c r="DK104" s="80" t="str">
        <f>IF(AND($F104&lt;&gt;"", $F104&gt;=DK$5-4, $F104&lt;=DK$5, COUNTIF($M104:DJ104,"u")=0), "u", "")</f>
        <v/>
      </c>
      <c r="DL104" s="80" t="str">
        <f>IF(AND($F104&lt;&gt;"", $F104&gt;=DL$5-4, $F104&lt;=DL$5, COUNTIF($M104:DK104,"u")=0), "u", "")</f>
        <v/>
      </c>
    </row>
    <row r="105" spans="1:116" ht="25.05" customHeight="1" x14ac:dyDescent="0.3">
      <c r="A105" s="39"/>
      <c r="B105" s="75">
        <v>100</v>
      </c>
      <c r="C105" s="97"/>
      <c r="D105" s="92"/>
      <c r="E105" s="53"/>
      <c r="F105" s="53"/>
      <c r="G105" s="83" t="str">
        <f t="shared" si="50"/>
        <v/>
      </c>
      <c r="H105" s="83" t="str">
        <f t="shared" si="50"/>
        <v/>
      </c>
      <c r="I105" s="77" t="str">
        <f t="shared" si="48"/>
        <v/>
      </c>
      <c r="J105" s="78"/>
      <c r="K105" s="86"/>
      <c r="L105" s="56"/>
      <c r="M105" s="80" t="str">
        <f t="shared" si="49"/>
        <v/>
      </c>
      <c r="N105" s="80" t="str">
        <f>IF(AND($F105&lt;&gt;"", $F105&gt;=N$5-4, $F105&lt;=N$5, COUNTIF($M105:M105,"u")=0), "u", "")</f>
        <v/>
      </c>
      <c r="O105" s="80" t="str">
        <f>IF(AND($F105&lt;&gt;"", $F105&gt;=O$5-4, $F105&lt;=O$5, COUNTIF($M105:N105,"u")=0), "u", "")</f>
        <v/>
      </c>
      <c r="P105" s="80" t="str">
        <f>IF(AND($F105&lt;&gt;"", $F105&gt;=P$5-4, $F105&lt;=P$5, COUNTIF($M105:O105,"u")=0), "u", "")</f>
        <v/>
      </c>
      <c r="Q105" s="80" t="str">
        <f>IF(AND($F105&lt;&gt;"", $F105&gt;=Q$5-4, $F105&lt;=Q$5, COUNTIF($M105:P105,"u")=0), "u", "")</f>
        <v/>
      </c>
      <c r="R105" s="80" t="str">
        <f>IF(AND($F105&lt;&gt;"", $F105&gt;=R$5-4, $F105&lt;=R$5, COUNTIF($M105:Q105,"u")=0), "u", "")</f>
        <v/>
      </c>
      <c r="S105" s="80" t="str">
        <f>IF(AND($F105&lt;&gt;"", $F105&gt;=S$5-4, $F105&lt;=S$5, COUNTIF($M105:R105,"u")=0), "u", "")</f>
        <v/>
      </c>
      <c r="T105" s="80" t="str">
        <f>IF(AND($F105&lt;&gt;"", $F105&gt;=T$5-4, $F105&lt;=T$5, COUNTIF($M105:S105,"u")=0), "u", "")</f>
        <v/>
      </c>
      <c r="U105" s="80" t="str">
        <f>IF(AND($F105&lt;&gt;"", $F105&gt;=U$5-4, $F105&lt;=U$5, COUNTIF($M105:T105,"u")=0), "u", "")</f>
        <v/>
      </c>
      <c r="V105" s="80" t="str">
        <f>IF(AND($F105&lt;&gt;"", $F105&gt;=V$5-4, $F105&lt;=V$5, COUNTIF($M105:U105,"u")=0), "u", "")</f>
        <v/>
      </c>
      <c r="W105" s="80" t="str">
        <f>IF(AND($F105&lt;&gt;"", $F105&gt;=W$5-4, $F105&lt;=W$5, COUNTIF($M105:V105,"u")=0), "u", "")</f>
        <v/>
      </c>
      <c r="X105" s="80" t="str">
        <f>IF(AND($F105&lt;&gt;"", $F105&gt;=X$5-4, $F105&lt;=X$5, COUNTIF($M105:W105,"u")=0), "u", "")</f>
        <v/>
      </c>
      <c r="Y105" s="80" t="str">
        <f>IF(AND($F105&lt;&gt;"", $F105&gt;=Y$5-4, $F105&lt;=Y$5, COUNTIF($M105:X105,"u")=0), "u", "")</f>
        <v/>
      </c>
      <c r="Z105" s="80" t="str">
        <f>IF(AND($F105&lt;&gt;"", $F105&gt;=Z$5-4, $F105&lt;=Z$5, COUNTIF($M105:Y105,"u")=0), "u", "")</f>
        <v/>
      </c>
      <c r="AA105" s="80" t="str">
        <f>IF(AND($F105&lt;&gt;"", $F105&gt;=AA$5-4, $F105&lt;=AA$5, COUNTIF($M105:Z105,"u")=0), "u", "")</f>
        <v/>
      </c>
      <c r="AB105" s="80" t="str">
        <f>IF(AND($F105&lt;&gt;"", $F105&gt;=AB$5-4, $F105&lt;=AB$5, COUNTIF($M105:AA105,"u")=0), "u", "")</f>
        <v/>
      </c>
      <c r="AC105" s="80" t="str">
        <f>IF(AND($F105&lt;&gt;"", $F105&gt;=AC$5-4, $F105&lt;=AC$5, COUNTIF($M105:AB105,"u")=0), "u", "")</f>
        <v/>
      </c>
      <c r="AD105" s="80" t="str">
        <f>IF(AND($F105&lt;&gt;"", $F105&gt;=AD$5-4, $F105&lt;=AD$5, COUNTIF($M105:AC105,"u")=0), "u", "")</f>
        <v/>
      </c>
      <c r="AE105" s="80" t="str">
        <f>IF(AND($F105&lt;&gt;"", $F105&gt;=AE$5-4, $F105&lt;=AE$5, COUNTIF($M105:AD105,"u")=0), "u", "")</f>
        <v/>
      </c>
      <c r="AF105" s="80" t="str">
        <f>IF(AND($F105&lt;&gt;"", $F105&gt;=AF$5-4, $F105&lt;=AF$5, COUNTIF($M105:AE105,"u")=0), "u", "")</f>
        <v/>
      </c>
      <c r="AG105" s="80" t="str">
        <f>IF(AND($F105&lt;&gt;"", $F105&gt;=AG$5-4, $F105&lt;=AG$5, COUNTIF($M105:AF105,"u")=0), "u", "")</f>
        <v/>
      </c>
      <c r="AH105" s="80" t="str">
        <f>IF(AND($F105&lt;&gt;"", $F105&gt;=AH$5-4, $F105&lt;=AH$5, COUNTIF($M105:AG105,"u")=0), "u", "")</f>
        <v/>
      </c>
      <c r="AI105" s="80" t="str">
        <f>IF(AND($F105&lt;&gt;"", $F105&gt;=AI$5-4, $F105&lt;=AI$5, COUNTIF($M105:AH105,"u")=0), "u", "")</f>
        <v/>
      </c>
      <c r="AJ105" s="80" t="str">
        <f>IF(AND($F105&lt;&gt;"", $F105&gt;=AJ$5-4, $F105&lt;=AJ$5, COUNTIF($M105:AI105,"u")=0), "u", "")</f>
        <v/>
      </c>
      <c r="AK105" s="80" t="str">
        <f>IF(AND($F105&lt;&gt;"", $F105&gt;=AK$5-4, $F105&lt;=AK$5, COUNTIF($M105:AJ105,"u")=0), "u", "")</f>
        <v/>
      </c>
      <c r="AL105" s="80" t="str">
        <f>IF(AND($F105&lt;&gt;"", $F105&gt;=AL$5-4, $F105&lt;=AL$5, COUNTIF($M105:AK105,"u")=0), "u", "")</f>
        <v/>
      </c>
      <c r="AM105" s="80" t="str">
        <f>IF(AND($F105&lt;&gt;"", $F105&gt;=AM$5-4, $F105&lt;=AM$5, COUNTIF($M105:AL105,"u")=0), "u", "")</f>
        <v/>
      </c>
      <c r="AN105" s="80" t="str">
        <f>IF(AND($F105&lt;&gt;"", $F105&gt;=AN$5-4, $F105&lt;=AN$5, COUNTIF($M105:AM105,"u")=0), "u", "")</f>
        <v/>
      </c>
      <c r="AO105" s="80" t="str">
        <f>IF(AND($F105&lt;&gt;"", $F105&gt;=AO$5-4, $F105&lt;=AO$5, COUNTIF($M105:AN105,"u")=0), "u", "")</f>
        <v/>
      </c>
      <c r="AP105" s="80" t="str">
        <f>IF(AND($F105&lt;&gt;"", $F105&gt;=AP$5-4, $F105&lt;=AP$5, COUNTIF($M105:AO105,"u")=0), "u", "")</f>
        <v/>
      </c>
      <c r="AQ105" s="80" t="str">
        <f>IF(AND($F105&lt;&gt;"", $F105&gt;=AQ$5-4, $F105&lt;=AQ$5, COUNTIF($M105:AP105,"u")=0), "u", "")</f>
        <v/>
      </c>
      <c r="AR105" s="80" t="str">
        <f>IF(AND($F105&lt;&gt;"", $F105&gt;=AR$5-4, $F105&lt;=AR$5, COUNTIF($M105:AQ105,"u")=0), "u", "")</f>
        <v/>
      </c>
      <c r="AS105" s="80" t="str">
        <f>IF(AND($F105&lt;&gt;"", $F105&gt;=AS$5-4, $F105&lt;=AS$5, COUNTIF($M105:AR105,"u")=0), "u", "")</f>
        <v/>
      </c>
      <c r="AT105" s="80" t="str">
        <f>IF(AND($F105&lt;&gt;"", $F105&gt;=AT$5-4, $F105&lt;=AT$5, COUNTIF($M105:AS105,"u")=0), "u", "")</f>
        <v/>
      </c>
      <c r="AU105" s="80" t="str">
        <f>IF(AND($F105&lt;&gt;"", $F105&gt;=AU$5-4, $F105&lt;=AU$5, COUNTIF($M105:AT105,"u")=0), "u", "")</f>
        <v/>
      </c>
      <c r="AV105" s="80" t="str">
        <f>IF(AND($F105&lt;&gt;"", $F105&gt;=AV$5-4, $F105&lt;=AV$5, COUNTIF($M105:AU105,"u")=0), "u", "")</f>
        <v/>
      </c>
      <c r="AW105" s="80" t="str">
        <f>IF(AND($F105&lt;&gt;"", $F105&gt;=AW$5-4, $F105&lt;=AW$5, COUNTIF($M105:AV105,"u")=0), "u", "")</f>
        <v/>
      </c>
      <c r="AX105" s="80" t="str">
        <f>IF(AND($F105&lt;&gt;"", $F105&gt;=AX$5-4, $F105&lt;=AX$5, COUNTIF($M105:AW105,"u")=0), "u", "")</f>
        <v/>
      </c>
      <c r="AY105" s="80" t="str">
        <f>IF(AND($F105&lt;&gt;"", $F105&gt;=AY$5-4, $F105&lt;=AY$5, COUNTIF($M105:AX105,"u")=0), "u", "")</f>
        <v/>
      </c>
      <c r="AZ105" s="80" t="str">
        <f>IF(AND($F105&lt;&gt;"", $F105&gt;=AZ$5-4, $F105&lt;=AZ$5, COUNTIF($M105:AY105,"u")=0), "u", "")</f>
        <v/>
      </c>
      <c r="BA105" s="80" t="str">
        <f>IF(AND($F105&lt;&gt;"", $F105&gt;=BA$5-4, $F105&lt;=BA$5, COUNTIF($M105:AZ105,"u")=0), "u", "")</f>
        <v/>
      </c>
      <c r="BB105" s="80" t="str">
        <f>IF(AND($F105&lt;&gt;"", $F105&gt;=BB$5-4, $F105&lt;=BB$5, COUNTIF($M105:BA105,"u")=0), "u", "")</f>
        <v/>
      </c>
      <c r="BC105" s="80" t="str">
        <f>IF(AND($F105&lt;&gt;"", $F105&gt;=BC$5-4, $F105&lt;=BC$5, COUNTIF($M105:BB105,"u")=0), "u", "")</f>
        <v/>
      </c>
      <c r="BD105" s="80" t="str">
        <f>IF(AND($F105&lt;&gt;"", $F105&gt;=BD$5-4, $F105&lt;=BD$5, COUNTIF($M105:BC105,"u")=0), "u", "")</f>
        <v/>
      </c>
      <c r="BE105" s="80" t="str">
        <f>IF(AND($F105&lt;&gt;"", $F105&gt;=BE$5-4, $F105&lt;=BE$5, COUNTIF($M105:BD105,"u")=0), "u", "")</f>
        <v/>
      </c>
      <c r="BF105" s="80" t="str">
        <f>IF(AND($F105&lt;&gt;"", $F105&gt;=BF$5-4, $F105&lt;=BF$5, COUNTIF($M105:BE105,"u")=0), "u", "")</f>
        <v/>
      </c>
      <c r="BG105" s="80" t="str">
        <f>IF(AND($F105&lt;&gt;"", $F105&gt;=BG$5-4, $F105&lt;=BG$5, COUNTIF($M105:BF105,"u")=0), "u", "")</f>
        <v/>
      </c>
      <c r="BH105" s="80" t="str">
        <f>IF(AND($F105&lt;&gt;"", $F105&gt;=BH$5-4, $F105&lt;=BH$5, COUNTIF($M105:BG105,"u")=0), "u", "")</f>
        <v/>
      </c>
      <c r="BI105" s="80" t="str">
        <f>IF(AND($F105&lt;&gt;"", $F105&gt;=BI$5-4, $F105&lt;=BI$5, COUNTIF($M105:BH105,"u")=0), "u", "")</f>
        <v/>
      </c>
      <c r="BJ105" s="80" t="str">
        <f>IF(AND($F105&lt;&gt;"", $F105&gt;=BJ$5-4, $F105&lt;=BJ$5, COUNTIF($M105:BI105,"u")=0), "u", "")</f>
        <v/>
      </c>
      <c r="BK105" s="80" t="str">
        <f>IF(AND($F105&lt;&gt;"", $F105&gt;=BK$5-4, $F105&lt;=BK$5, COUNTIF($M105:BJ105,"u")=0), "u", "")</f>
        <v/>
      </c>
      <c r="BL105" s="80" t="str">
        <f>IF(AND($F105&lt;&gt;"", $F105&gt;=BL$5-4, $F105&lt;=BL$5, COUNTIF($M105:BK105,"u")=0), "u", "")</f>
        <v/>
      </c>
      <c r="BM105" s="80" t="str">
        <f>IF(AND($F105&lt;&gt;"", $F105&gt;=BM$5-4, $F105&lt;=BM$5, COUNTIF($M105:BL105,"u")=0), "u", "")</f>
        <v/>
      </c>
      <c r="BN105" s="80" t="str">
        <f>IF(AND($F105&lt;&gt;"", $F105&gt;=BN$5-4, $F105&lt;=BN$5, COUNTIF($M105:BM105,"u")=0), "u", "")</f>
        <v/>
      </c>
      <c r="BO105" s="80" t="str">
        <f>IF(AND($F105&lt;&gt;"", $F105&gt;=BO$5-4, $F105&lt;=BO$5, COUNTIF($M105:BN105,"u")=0), "u", "")</f>
        <v/>
      </c>
      <c r="BP105" s="80" t="str">
        <f>IF(AND($F105&lt;&gt;"", $F105&gt;=BP$5-4, $F105&lt;=BP$5, COUNTIF($M105:BO105,"u")=0), "u", "")</f>
        <v/>
      </c>
      <c r="BQ105" s="80" t="str">
        <f>IF(AND($F105&lt;&gt;"", $F105&gt;=BQ$5-4, $F105&lt;=BQ$5, COUNTIF($M105:BP105,"u")=0), "u", "")</f>
        <v/>
      </c>
      <c r="BR105" s="80" t="str">
        <f>IF(AND($F105&lt;&gt;"", $F105&gt;=BR$5-4, $F105&lt;=BR$5, COUNTIF($M105:BQ105,"u")=0), "u", "")</f>
        <v/>
      </c>
      <c r="BS105" s="80" t="str">
        <f>IF(AND($F105&lt;&gt;"", $F105&gt;=BS$5-4, $F105&lt;=BS$5, COUNTIF($M105:BR105,"u")=0), "u", "")</f>
        <v/>
      </c>
      <c r="BT105" s="80" t="str">
        <f>IF(AND($F105&lt;&gt;"", $F105&gt;=BT$5-4, $F105&lt;=BT$5, COUNTIF($M105:BS105,"u")=0), "u", "")</f>
        <v/>
      </c>
      <c r="BU105" s="80" t="str">
        <f>IF(AND($F105&lt;&gt;"", $F105&gt;=BU$5-4, $F105&lt;=BU$5, COUNTIF($M105:BT105,"u")=0), "u", "")</f>
        <v/>
      </c>
      <c r="BV105" s="80" t="str">
        <f>IF(AND($F105&lt;&gt;"", $F105&gt;=BV$5-4, $F105&lt;=BV$5, COUNTIF($M105:BU105,"u")=0), "u", "")</f>
        <v/>
      </c>
      <c r="BW105" s="80" t="str">
        <f>IF(AND($F105&lt;&gt;"", $F105&gt;=BW$5-4, $F105&lt;=BW$5, COUNTIF($M105:BV105,"u")=0), "u", "")</f>
        <v/>
      </c>
      <c r="BX105" s="80" t="str">
        <f>IF(AND($F105&lt;&gt;"", $F105&gt;=BX$5-4, $F105&lt;=BX$5, COUNTIF($M105:BW105,"u")=0), "u", "")</f>
        <v/>
      </c>
      <c r="BY105" s="80" t="str">
        <f>IF(AND($F105&lt;&gt;"", $F105&gt;=BY$5-4, $F105&lt;=BY$5, COUNTIF($M105:BX105,"u")=0), "u", "")</f>
        <v/>
      </c>
      <c r="BZ105" s="80" t="str">
        <f>IF(AND($F105&lt;&gt;"", $F105&gt;=BZ$5-4, $F105&lt;=BZ$5, COUNTIF($M105:BY105,"u")=0), "u", "")</f>
        <v/>
      </c>
      <c r="CA105" s="80" t="str">
        <f>IF(AND($F105&lt;&gt;"", $F105&gt;=CA$5-4, $F105&lt;=CA$5, COUNTIF($M105:BZ105,"u")=0), "u", "")</f>
        <v/>
      </c>
      <c r="CB105" s="80" t="str">
        <f>IF(AND($F105&lt;&gt;"", $F105&gt;=CB$5-4, $F105&lt;=CB$5, COUNTIF($M105:CA105,"u")=0), "u", "")</f>
        <v/>
      </c>
      <c r="CC105" s="80" t="str">
        <f>IF(AND($F105&lt;&gt;"", $F105&gt;=CC$5-4, $F105&lt;=CC$5, COUNTIF($M105:CB105,"u")=0), "u", "")</f>
        <v/>
      </c>
      <c r="CD105" s="80" t="str">
        <f>IF(AND($F105&lt;&gt;"", $F105&gt;=CD$5-4, $F105&lt;=CD$5, COUNTIF($M105:CC105,"u")=0), "u", "")</f>
        <v/>
      </c>
      <c r="CE105" s="80" t="str">
        <f>IF(AND($F105&lt;&gt;"", $F105&gt;=CE$5-4, $F105&lt;=CE$5, COUNTIF($M105:CD105,"u")=0), "u", "")</f>
        <v/>
      </c>
      <c r="CF105" s="80" t="str">
        <f>IF(AND($F105&lt;&gt;"", $F105&gt;=CF$5-4, $F105&lt;=CF$5, COUNTIF($M105:CE105,"u")=0), "u", "")</f>
        <v/>
      </c>
      <c r="CG105" s="80" t="str">
        <f>IF(AND($F105&lt;&gt;"", $F105&gt;=CG$5-4, $F105&lt;=CG$5, COUNTIF($M105:CF105,"u")=0), "u", "")</f>
        <v/>
      </c>
      <c r="CH105" s="80" t="str">
        <f>IF(AND($F105&lt;&gt;"", $F105&gt;=CH$5-4, $F105&lt;=CH$5, COUNTIF($M105:CG105,"u")=0), "u", "")</f>
        <v/>
      </c>
      <c r="CI105" s="80" t="str">
        <f>IF(AND($F105&lt;&gt;"", $F105&gt;=CI$5-4, $F105&lt;=CI$5, COUNTIF($M105:CH105,"u")=0), "u", "")</f>
        <v/>
      </c>
      <c r="CJ105" s="80" t="str">
        <f>IF(AND($F105&lt;&gt;"", $F105&gt;=CJ$5-4, $F105&lt;=CJ$5, COUNTIF($M105:CI105,"u")=0), "u", "")</f>
        <v/>
      </c>
      <c r="CK105" s="80" t="str">
        <f>IF(AND($F105&lt;&gt;"", $F105&gt;=CK$5-4, $F105&lt;=CK$5, COUNTIF($M105:CJ105,"u")=0), "u", "")</f>
        <v/>
      </c>
      <c r="CL105" s="80" t="str">
        <f>IF(AND($F105&lt;&gt;"", $F105&gt;=CL$5-4, $F105&lt;=CL$5, COUNTIF($M105:CK105,"u")=0), "u", "")</f>
        <v/>
      </c>
      <c r="CM105" s="80" t="str">
        <f>IF(AND($F105&lt;&gt;"", $F105&gt;=CM$5-4, $F105&lt;=CM$5, COUNTIF($M105:CL105,"u")=0), "u", "")</f>
        <v/>
      </c>
      <c r="CN105" s="80" t="str">
        <f>IF(AND($F105&lt;&gt;"", $F105&gt;=CN$5-4, $F105&lt;=CN$5, COUNTIF($M105:CM105,"u")=0), "u", "")</f>
        <v/>
      </c>
      <c r="CO105" s="80" t="str">
        <f>IF(AND($F105&lt;&gt;"", $F105&gt;=CO$5-4, $F105&lt;=CO$5, COUNTIF($M105:CN105,"u")=0), "u", "")</f>
        <v/>
      </c>
      <c r="CP105" s="80" t="str">
        <f>IF(AND($F105&lt;&gt;"", $F105&gt;=CP$5-4, $F105&lt;=CP$5, COUNTIF($M105:CO105,"u")=0), "u", "")</f>
        <v/>
      </c>
      <c r="CQ105" s="80" t="str">
        <f>IF(AND($F105&lt;&gt;"", $F105&gt;=CQ$5-4, $F105&lt;=CQ$5, COUNTIF($M105:CP105,"u")=0), "u", "")</f>
        <v/>
      </c>
      <c r="CR105" s="80" t="str">
        <f>IF(AND($F105&lt;&gt;"", $F105&gt;=CR$5-4, $F105&lt;=CR$5, COUNTIF($M105:CQ105,"u")=0), "u", "")</f>
        <v/>
      </c>
      <c r="CS105" s="80" t="str">
        <f>IF(AND($F105&lt;&gt;"", $F105&gt;=CS$5-4, $F105&lt;=CS$5, COUNTIF($M105:CR105,"u")=0), "u", "")</f>
        <v/>
      </c>
      <c r="CT105" s="80" t="str">
        <f>IF(AND($F105&lt;&gt;"", $F105&gt;=CT$5-4, $F105&lt;=CT$5, COUNTIF($M105:CS105,"u")=0), "u", "")</f>
        <v/>
      </c>
      <c r="CU105" s="80" t="str">
        <f>IF(AND($F105&lt;&gt;"", $F105&gt;=CU$5-4, $F105&lt;=CU$5, COUNTIF($M105:CT105,"u")=0), "u", "")</f>
        <v/>
      </c>
      <c r="CV105" s="80" t="str">
        <f>IF(AND($F105&lt;&gt;"", $F105&gt;=CV$5-4, $F105&lt;=CV$5, COUNTIF($M105:CU105,"u")=0), "u", "")</f>
        <v/>
      </c>
      <c r="CW105" s="80" t="str">
        <f>IF(AND($F105&lt;&gt;"", $F105&gt;=CW$5-4, $F105&lt;=CW$5, COUNTIF($M105:CV105,"u")=0), "u", "")</f>
        <v/>
      </c>
      <c r="CX105" s="80" t="str">
        <f>IF(AND($F105&lt;&gt;"", $F105&gt;=CX$5-4, $F105&lt;=CX$5, COUNTIF($M105:CW105,"u")=0), "u", "")</f>
        <v/>
      </c>
      <c r="CY105" s="80" t="str">
        <f>IF(AND($F105&lt;&gt;"", $F105&gt;=CY$5-4, $F105&lt;=CY$5, COUNTIF($M105:CX105,"u")=0), "u", "")</f>
        <v/>
      </c>
      <c r="CZ105" s="80" t="str">
        <f>IF(AND($F105&lt;&gt;"", $F105&gt;=CZ$5-4, $F105&lt;=CZ$5, COUNTIF($M105:CY105,"u")=0), "u", "")</f>
        <v/>
      </c>
      <c r="DA105" s="80" t="str">
        <f>IF(AND($F105&lt;&gt;"", $F105&gt;=DA$5-4, $F105&lt;=DA$5, COUNTIF($M105:CZ105,"u")=0), "u", "")</f>
        <v/>
      </c>
      <c r="DB105" s="80" t="str">
        <f>IF(AND($F105&lt;&gt;"", $F105&gt;=DB$5-4, $F105&lt;=DB$5, COUNTIF($M105:DA105,"u")=0), "u", "")</f>
        <v/>
      </c>
      <c r="DC105" s="80" t="str">
        <f>IF(AND($F105&lt;&gt;"", $F105&gt;=DC$5-4, $F105&lt;=DC$5, COUNTIF($M105:DB105,"u")=0), "u", "")</f>
        <v/>
      </c>
      <c r="DD105" s="80" t="str">
        <f>IF(AND($F105&lt;&gt;"", $F105&gt;=DD$5-4, $F105&lt;=DD$5, COUNTIF($M105:DC105,"u")=0), "u", "")</f>
        <v/>
      </c>
      <c r="DE105" s="80" t="str">
        <f>IF(AND($F105&lt;&gt;"", $F105&gt;=DE$5-4, $F105&lt;=DE$5, COUNTIF($M105:DD105,"u")=0), "u", "")</f>
        <v/>
      </c>
      <c r="DF105" s="80" t="str">
        <f>IF(AND($F105&lt;&gt;"", $F105&gt;=DF$5-4, $F105&lt;=DF$5, COUNTIF($M105:DE105,"u")=0), "u", "")</f>
        <v/>
      </c>
      <c r="DG105" s="80" t="str">
        <f>IF(AND($F105&lt;&gt;"", $F105&gt;=DG$5-4, $F105&lt;=DG$5, COUNTIF($M105:DF105,"u")=0), "u", "")</f>
        <v/>
      </c>
      <c r="DH105" s="80" t="str">
        <f>IF(AND($F105&lt;&gt;"", $F105&gt;=DH$5-4, $F105&lt;=DH$5, COUNTIF($M105:DG105,"u")=0), "u", "")</f>
        <v/>
      </c>
      <c r="DI105" s="80" t="str">
        <f>IF(AND($F105&lt;&gt;"", $F105&gt;=DI$5-4, $F105&lt;=DI$5, COUNTIF($M105:DH105,"u")=0), "u", "")</f>
        <v/>
      </c>
      <c r="DJ105" s="80" t="str">
        <f>IF(AND($F105&lt;&gt;"", $F105&gt;=DJ$5-4, $F105&lt;=DJ$5, COUNTIF($M105:DI105,"u")=0), "u", "")</f>
        <v/>
      </c>
      <c r="DK105" s="80" t="str">
        <f>IF(AND($F105&lt;&gt;"", $F105&gt;=DK$5-4, $F105&lt;=DK$5, COUNTIF($M105:DJ105,"u")=0), "u", "")</f>
        <v/>
      </c>
      <c r="DL105" s="80" t="str">
        <f>IF(AND($F105&lt;&gt;"", $F105&gt;=DL$5-4, $F105&lt;=DL$5, COUNTIF($M105:DK105,"u")=0), "u", "")</f>
        <v/>
      </c>
    </row>
    <row r="106" spans="1:116" ht="25.05" customHeight="1" x14ac:dyDescent="0.3">
      <c r="A106" s="39"/>
      <c r="B106" s="75">
        <v>101</v>
      </c>
      <c r="C106" s="97"/>
      <c r="D106" s="92"/>
      <c r="E106" s="53"/>
      <c r="F106" s="53"/>
      <c r="G106" s="83" t="str">
        <f t="shared" si="50"/>
        <v/>
      </c>
      <c r="H106" s="83" t="str">
        <f t="shared" si="50"/>
        <v/>
      </c>
      <c r="I106" s="77" t="str">
        <f t="shared" si="48"/>
        <v/>
      </c>
      <c r="J106" s="78"/>
      <c r="K106" s="86"/>
      <c r="L106" s="56"/>
      <c r="M106" s="80" t="str">
        <f t="shared" si="49"/>
        <v/>
      </c>
      <c r="N106" s="80" t="str">
        <f>IF(AND($F106&lt;&gt;"", $F106&gt;=N$5-4, $F106&lt;=N$5, COUNTIF($M106:M106,"u")=0), "u", "")</f>
        <v/>
      </c>
      <c r="O106" s="80" t="str">
        <f>IF(AND($F106&lt;&gt;"", $F106&gt;=O$5-4, $F106&lt;=O$5, COUNTIF($M106:N106,"u")=0), "u", "")</f>
        <v/>
      </c>
      <c r="P106" s="80" t="str">
        <f>IF(AND($F106&lt;&gt;"", $F106&gt;=P$5-4, $F106&lt;=P$5, COUNTIF($M106:O106,"u")=0), "u", "")</f>
        <v/>
      </c>
      <c r="Q106" s="80" t="str">
        <f>IF(AND($F106&lt;&gt;"", $F106&gt;=Q$5-4, $F106&lt;=Q$5, COUNTIF($M106:P106,"u")=0), "u", "")</f>
        <v/>
      </c>
      <c r="R106" s="80" t="str">
        <f>IF(AND($F106&lt;&gt;"", $F106&gt;=R$5-4, $F106&lt;=R$5, COUNTIF($M106:Q106,"u")=0), "u", "")</f>
        <v/>
      </c>
      <c r="S106" s="80" t="str">
        <f>IF(AND($F106&lt;&gt;"", $F106&gt;=S$5-4, $F106&lt;=S$5, COUNTIF($M106:R106,"u")=0), "u", "")</f>
        <v/>
      </c>
      <c r="T106" s="80" t="str">
        <f>IF(AND($F106&lt;&gt;"", $F106&gt;=T$5-4, $F106&lt;=T$5, COUNTIF($M106:S106,"u")=0), "u", "")</f>
        <v/>
      </c>
      <c r="U106" s="80" t="str">
        <f>IF(AND($F106&lt;&gt;"", $F106&gt;=U$5-4, $F106&lt;=U$5, COUNTIF($M106:T106,"u")=0), "u", "")</f>
        <v/>
      </c>
      <c r="V106" s="80" t="str">
        <f>IF(AND($F106&lt;&gt;"", $F106&gt;=V$5-4, $F106&lt;=V$5, COUNTIF($M106:U106,"u")=0), "u", "")</f>
        <v/>
      </c>
      <c r="W106" s="80" t="str">
        <f>IF(AND($F106&lt;&gt;"", $F106&gt;=W$5-4, $F106&lt;=W$5, COUNTIF($M106:V106,"u")=0), "u", "")</f>
        <v/>
      </c>
      <c r="X106" s="80" t="str">
        <f>IF(AND($F106&lt;&gt;"", $F106&gt;=X$5-4, $F106&lt;=X$5, COUNTIF($M106:W106,"u")=0), "u", "")</f>
        <v/>
      </c>
      <c r="Y106" s="80" t="str">
        <f>IF(AND($F106&lt;&gt;"", $F106&gt;=Y$5-4, $F106&lt;=Y$5, COUNTIF($M106:X106,"u")=0), "u", "")</f>
        <v/>
      </c>
      <c r="Z106" s="80" t="str">
        <f>IF(AND($F106&lt;&gt;"", $F106&gt;=Z$5-4, $F106&lt;=Z$5, COUNTIF($M106:Y106,"u")=0), "u", "")</f>
        <v/>
      </c>
      <c r="AA106" s="80" t="str">
        <f>IF(AND($F106&lt;&gt;"", $F106&gt;=AA$5-4, $F106&lt;=AA$5, COUNTIF($M106:Z106,"u")=0), "u", "")</f>
        <v/>
      </c>
      <c r="AB106" s="80" t="str">
        <f>IF(AND($F106&lt;&gt;"", $F106&gt;=AB$5-4, $F106&lt;=AB$5, COUNTIF($M106:AA106,"u")=0), "u", "")</f>
        <v/>
      </c>
      <c r="AC106" s="80" t="str">
        <f>IF(AND($F106&lt;&gt;"", $F106&gt;=AC$5-4, $F106&lt;=AC$5, COUNTIF($M106:AB106,"u")=0), "u", "")</f>
        <v/>
      </c>
      <c r="AD106" s="80" t="str">
        <f>IF(AND($F106&lt;&gt;"", $F106&gt;=AD$5-4, $F106&lt;=AD$5, COUNTIF($M106:AC106,"u")=0), "u", "")</f>
        <v/>
      </c>
      <c r="AE106" s="80" t="str">
        <f>IF(AND($F106&lt;&gt;"", $F106&gt;=AE$5-4, $F106&lt;=AE$5, COUNTIF($M106:AD106,"u")=0), "u", "")</f>
        <v/>
      </c>
      <c r="AF106" s="80" t="str">
        <f>IF(AND($F106&lt;&gt;"", $F106&gt;=AF$5-4, $F106&lt;=AF$5, COUNTIF($M106:AE106,"u")=0), "u", "")</f>
        <v/>
      </c>
      <c r="AG106" s="80" t="str">
        <f>IF(AND($F106&lt;&gt;"", $F106&gt;=AG$5-4, $F106&lt;=AG$5, COUNTIF($M106:AF106,"u")=0), "u", "")</f>
        <v/>
      </c>
      <c r="AH106" s="80" t="str">
        <f>IF(AND($F106&lt;&gt;"", $F106&gt;=AH$5-4, $F106&lt;=AH$5, COUNTIF($M106:AG106,"u")=0), "u", "")</f>
        <v/>
      </c>
      <c r="AI106" s="80" t="str">
        <f>IF(AND($F106&lt;&gt;"", $F106&gt;=AI$5-4, $F106&lt;=AI$5, COUNTIF($M106:AH106,"u")=0), "u", "")</f>
        <v/>
      </c>
      <c r="AJ106" s="80" t="str">
        <f>IF(AND($F106&lt;&gt;"", $F106&gt;=AJ$5-4, $F106&lt;=AJ$5, COUNTIF($M106:AI106,"u")=0), "u", "")</f>
        <v/>
      </c>
      <c r="AK106" s="80" t="str">
        <f>IF(AND($F106&lt;&gt;"", $F106&gt;=AK$5-4, $F106&lt;=AK$5, COUNTIF($M106:AJ106,"u")=0), "u", "")</f>
        <v/>
      </c>
      <c r="AL106" s="80" t="str">
        <f>IF(AND($F106&lt;&gt;"", $F106&gt;=AL$5-4, $F106&lt;=AL$5, COUNTIF($M106:AK106,"u")=0), "u", "")</f>
        <v/>
      </c>
      <c r="AM106" s="80" t="str">
        <f>IF(AND($F106&lt;&gt;"", $F106&gt;=AM$5-4, $F106&lt;=AM$5, COUNTIF($M106:AL106,"u")=0), "u", "")</f>
        <v/>
      </c>
      <c r="AN106" s="80" t="str">
        <f>IF(AND($F106&lt;&gt;"", $F106&gt;=AN$5-4, $F106&lt;=AN$5, COUNTIF($M106:AM106,"u")=0), "u", "")</f>
        <v/>
      </c>
      <c r="AO106" s="80" t="str">
        <f>IF(AND($F106&lt;&gt;"", $F106&gt;=AO$5-4, $F106&lt;=AO$5, COUNTIF($M106:AN106,"u")=0), "u", "")</f>
        <v/>
      </c>
      <c r="AP106" s="80" t="str">
        <f>IF(AND($F106&lt;&gt;"", $F106&gt;=AP$5-4, $F106&lt;=AP$5, COUNTIF($M106:AO106,"u")=0), "u", "")</f>
        <v/>
      </c>
      <c r="AQ106" s="80" t="str">
        <f>IF(AND($F106&lt;&gt;"", $F106&gt;=AQ$5-4, $F106&lt;=AQ$5, COUNTIF($M106:AP106,"u")=0), "u", "")</f>
        <v/>
      </c>
      <c r="AR106" s="80" t="str">
        <f>IF(AND($F106&lt;&gt;"", $F106&gt;=AR$5-4, $F106&lt;=AR$5, COUNTIF($M106:AQ106,"u")=0), "u", "")</f>
        <v/>
      </c>
      <c r="AS106" s="80" t="str">
        <f>IF(AND($F106&lt;&gt;"", $F106&gt;=AS$5-4, $F106&lt;=AS$5, COUNTIF($M106:AR106,"u")=0), "u", "")</f>
        <v/>
      </c>
      <c r="AT106" s="80" t="str">
        <f>IF(AND($F106&lt;&gt;"", $F106&gt;=AT$5-4, $F106&lt;=AT$5, COUNTIF($M106:AS106,"u")=0), "u", "")</f>
        <v/>
      </c>
      <c r="AU106" s="80" t="str">
        <f>IF(AND($F106&lt;&gt;"", $F106&gt;=AU$5-4, $F106&lt;=AU$5, COUNTIF($M106:AT106,"u")=0), "u", "")</f>
        <v/>
      </c>
      <c r="AV106" s="80" t="str">
        <f>IF(AND($F106&lt;&gt;"", $F106&gt;=AV$5-4, $F106&lt;=AV$5, COUNTIF($M106:AU106,"u")=0), "u", "")</f>
        <v/>
      </c>
      <c r="AW106" s="80" t="str">
        <f>IF(AND($F106&lt;&gt;"", $F106&gt;=AW$5-4, $F106&lt;=AW$5, COUNTIF($M106:AV106,"u")=0), "u", "")</f>
        <v/>
      </c>
      <c r="AX106" s="80" t="str">
        <f>IF(AND($F106&lt;&gt;"", $F106&gt;=AX$5-4, $F106&lt;=AX$5, COUNTIF($M106:AW106,"u")=0), "u", "")</f>
        <v/>
      </c>
      <c r="AY106" s="80" t="str">
        <f>IF(AND($F106&lt;&gt;"", $F106&gt;=AY$5-4, $F106&lt;=AY$5, COUNTIF($M106:AX106,"u")=0), "u", "")</f>
        <v/>
      </c>
      <c r="AZ106" s="80" t="str">
        <f>IF(AND($F106&lt;&gt;"", $F106&gt;=AZ$5-4, $F106&lt;=AZ$5, COUNTIF($M106:AY106,"u")=0), "u", "")</f>
        <v/>
      </c>
      <c r="BA106" s="80" t="str">
        <f>IF(AND($F106&lt;&gt;"", $F106&gt;=BA$5-4, $F106&lt;=BA$5, COUNTIF($M106:AZ106,"u")=0), "u", "")</f>
        <v/>
      </c>
      <c r="BB106" s="80" t="str">
        <f>IF(AND($F106&lt;&gt;"", $F106&gt;=BB$5-4, $F106&lt;=BB$5, COUNTIF($M106:BA106,"u")=0), "u", "")</f>
        <v/>
      </c>
      <c r="BC106" s="80" t="str">
        <f>IF(AND($F106&lt;&gt;"", $F106&gt;=BC$5-4, $F106&lt;=BC$5, COUNTIF($M106:BB106,"u")=0), "u", "")</f>
        <v/>
      </c>
      <c r="BD106" s="80" t="str">
        <f>IF(AND($F106&lt;&gt;"", $F106&gt;=BD$5-4, $F106&lt;=BD$5, COUNTIF($M106:BC106,"u")=0), "u", "")</f>
        <v/>
      </c>
      <c r="BE106" s="80" t="str">
        <f>IF(AND($F106&lt;&gt;"", $F106&gt;=BE$5-4, $F106&lt;=BE$5, COUNTIF($M106:BD106,"u")=0), "u", "")</f>
        <v/>
      </c>
      <c r="BF106" s="80" t="str">
        <f>IF(AND($F106&lt;&gt;"", $F106&gt;=BF$5-4, $F106&lt;=BF$5, COUNTIF($M106:BE106,"u")=0), "u", "")</f>
        <v/>
      </c>
      <c r="BG106" s="80" t="str">
        <f>IF(AND($F106&lt;&gt;"", $F106&gt;=BG$5-4, $F106&lt;=BG$5, COUNTIF($M106:BF106,"u")=0), "u", "")</f>
        <v/>
      </c>
      <c r="BH106" s="80" t="str">
        <f>IF(AND($F106&lt;&gt;"", $F106&gt;=BH$5-4, $F106&lt;=BH$5, COUNTIF($M106:BG106,"u")=0), "u", "")</f>
        <v/>
      </c>
      <c r="BI106" s="80" t="str">
        <f>IF(AND($F106&lt;&gt;"", $F106&gt;=BI$5-4, $F106&lt;=BI$5, COUNTIF($M106:BH106,"u")=0), "u", "")</f>
        <v/>
      </c>
      <c r="BJ106" s="80" t="str">
        <f>IF(AND($F106&lt;&gt;"", $F106&gt;=BJ$5-4, $F106&lt;=BJ$5, COUNTIF($M106:BI106,"u")=0), "u", "")</f>
        <v/>
      </c>
      <c r="BK106" s="80" t="str">
        <f>IF(AND($F106&lt;&gt;"", $F106&gt;=BK$5-4, $F106&lt;=BK$5, COUNTIF($M106:BJ106,"u")=0), "u", "")</f>
        <v/>
      </c>
      <c r="BL106" s="80" t="str">
        <f>IF(AND($F106&lt;&gt;"", $F106&gt;=BL$5-4, $F106&lt;=BL$5, COUNTIF($M106:BK106,"u")=0), "u", "")</f>
        <v/>
      </c>
      <c r="BM106" s="80" t="str">
        <f>IF(AND($F106&lt;&gt;"", $F106&gt;=BM$5-4, $F106&lt;=BM$5, COUNTIF($M106:BL106,"u")=0), "u", "")</f>
        <v/>
      </c>
      <c r="BN106" s="80" t="str">
        <f>IF(AND($F106&lt;&gt;"", $F106&gt;=BN$5-4, $F106&lt;=BN$5, COUNTIF($M106:BM106,"u")=0), "u", "")</f>
        <v/>
      </c>
      <c r="BO106" s="80" t="str">
        <f>IF(AND($F106&lt;&gt;"", $F106&gt;=BO$5-4, $F106&lt;=BO$5, COUNTIF($M106:BN106,"u")=0), "u", "")</f>
        <v/>
      </c>
      <c r="BP106" s="80" t="str">
        <f>IF(AND($F106&lt;&gt;"", $F106&gt;=BP$5-4, $F106&lt;=BP$5, COUNTIF($M106:BO106,"u")=0), "u", "")</f>
        <v/>
      </c>
      <c r="BQ106" s="80" t="str">
        <f>IF(AND($F106&lt;&gt;"", $F106&gt;=BQ$5-4, $F106&lt;=BQ$5, COUNTIF($M106:BP106,"u")=0), "u", "")</f>
        <v/>
      </c>
      <c r="BR106" s="80" t="str">
        <f>IF(AND($F106&lt;&gt;"", $F106&gt;=BR$5-4, $F106&lt;=BR$5, COUNTIF($M106:BQ106,"u")=0), "u", "")</f>
        <v/>
      </c>
      <c r="BS106" s="80" t="str">
        <f>IF(AND($F106&lt;&gt;"", $F106&gt;=BS$5-4, $F106&lt;=BS$5, COUNTIF($M106:BR106,"u")=0), "u", "")</f>
        <v/>
      </c>
      <c r="BT106" s="80" t="str">
        <f>IF(AND($F106&lt;&gt;"", $F106&gt;=BT$5-4, $F106&lt;=BT$5, COUNTIF($M106:BS106,"u")=0), "u", "")</f>
        <v/>
      </c>
      <c r="BU106" s="80" t="str">
        <f>IF(AND($F106&lt;&gt;"", $F106&gt;=BU$5-4, $F106&lt;=BU$5, COUNTIF($M106:BT106,"u")=0), "u", "")</f>
        <v/>
      </c>
      <c r="BV106" s="80" t="str">
        <f>IF(AND($F106&lt;&gt;"", $F106&gt;=BV$5-4, $F106&lt;=BV$5, COUNTIF($M106:BU106,"u")=0), "u", "")</f>
        <v/>
      </c>
      <c r="BW106" s="80" t="str">
        <f>IF(AND($F106&lt;&gt;"", $F106&gt;=BW$5-4, $F106&lt;=BW$5, COUNTIF($M106:BV106,"u")=0), "u", "")</f>
        <v/>
      </c>
      <c r="BX106" s="80" t="str">
        <f>IF(AND($F106&lt;&gt;"", $F106&gt;=BX$5-4, $F106&lt;=BX$5, COUNTIF($M106:BW106,"u")=0), "u", "")</f>
        <v/>
      </c>
      <c r="BY106" s="80" t="str">
        <f>IF(AND($F106&lt;&gt;"", $F106&gt;=BY$5-4, $F106&lt;=BY$5, COUNTIF($M106:BX106,"u")=0), "u", "")</f>
        <v/>
      </c>
      <c r="BZ106" s="80" t="str">
        <f>IF(AND($F106&lt;&gt;"", $F106&gt;=BZ$5-4, $F106&lt;=BZ$5, COUNTIF($M106:BY106,"u")=0), "u", "")</f>
        <v/>
      </c>
      <c r="CA106" s="80" t="str">
        <f>IF(AND($F106&lt;&gt;"", $F106&gt;=CA$5-4, $F106&lt;=CA$5, COUNTIF($M106:BZ106,"u")=0), "u", "")</f>
        <v/>
      </c>
      <c r="CB106" s="80" t="str">
        <f>IF(AND($F106&lt;&gt;"", $F106&gt;=CB$5-4, $F106&lt;=CB$5, COUNTIF($M106:CA106,"u")=0), "u", "")</f>
        <v/>
      </c>
      <c r="CC106" s="80" t="str">
        <f>IF(AND($F106&lt;&gt;"", $F106&gt;=CC$5-4, $F106&lt;=CC$5, COUNTIF($M106:CB106,"u")=0), "u", "")</f>
        <v/>
      </c>
      <c r="CD106" s="80" t="str">
        <f>IF(AND($F106&lt;&gt;"", $F106&gt;=CD$5-4, $F106&lt;=CD$5, COUNTIF($M106:CC106,"u")=0), "u", "")</f>
        <v/>
      </c>
      <c r="CE106" s="80" t="str">
        <f>IF(AND($F106&lt;&gt;"", $F106&gt;=CE$5-4, $F106&lt;=CE$5, COUNTIF($M106:CD106,"u")=0), "u", "")</f>
        <v/>
      </c>
      <c r="CF106" s="80" t="str">
        <f>IF(AND($F106&lt;&gt;"", $F106&gt;=CF$5-4, $F106&lt;=CF$5, COUNTIF($M106:CE106,"u")=0), "u", "")</f>
        <v/>
      </c>
      <c r="CG106" s="80" t="str">
        <f>IF(AND($F106&lt;&gt;"", $F106&gt;=CG$5-4, $F106&lt;=CG$5, COUNTIF($M106:CF106,"u")=0), "u", "")</f>
        <v/>
      </c>
      <c r="CH106" s="80" t="str">
        <f>IF(AND($F106&lt;&gt;"", $F106&gt;=CH$5-4, $F106&lt;=CH$5, COUNTIF($M106:CG106,"u")=0), "u", "")</f>
        <v/>
      </c>
      <c r="CI106" s="80" t="str">
        <f>IF(AND($F106&lt;&gt;"", $F106&gt;=CI$5-4, $F106&lt;=CI$5, COUNTIF($M106:CH106,"u")=0), "u", "")</f>
        <v/>
      </c>
      <c r="CJ106" s="80" t="str">
        <f>IF(AND($F106&lt;&gt;"", $F106&gt;=CJ$5-4, $F106&lt;=CJ$5, COUNTIF($M106:CI106,"u")=0), "u", "")</f>
        <v/>
      </c>
      <c r="CK106" s="80" t="str">
        <f>IF(AND($F106&lt;&gt;"", $F106&gt;=CK$5-4, $F106&lt;=CK$5, COUNTIF($M106:CJ106,"u")=0), "u", "")</f>
        <v/>
      </c>
      <c r="CL106" s="80" t="str">
        <f>IF(AND($F106&lt;&gt;"", $F106&gt;=CL$5-4, $F106&lt;=CL$5, COUNTIF($M106:CK106,"u")=0), "u", "")</f>
        <v/>
      </c>
      <c r="CM106" s="80" t="str">
        <f>IF(AND($F106&lt;&gt;"", $F106&gt;=CM$5-4, $F106&lt;=CM$5, COUNTIF($M106:CL106,"u")=0), "u", "")</f>
        <v/>
      </c>
      <c r="CN106" s="80" t="str">
        <f>IF(AND($F106&lt;&gt;"", $F106&gt;=CN$5-4, $F106&lt;=CN$5, COUNTIF($M106:CM106,"u")=0), "u", "")</f>
        <v/>
      </c>
      <c r="CO106" s="80" t="str">
        <f>IF(AND($F106&lt;&gt;"", $F106&gt;=CO$5-4, $F106&lt;=CO$5, COUNTIF($M106:CN106,"u")=0), "u", "")</f>
        <v/>
      </c>
      <c r="CP106" s="80" t="str">
        <f>IF(AND($F106&lt;&gt;"", $F106&gt;=CP$5-4, $F106&lt;=CP$5, COUNTIF($M106:CO106,"u")=0), "u", "")</f>
        <v/>
      </c>
      <c r="CQ106" s="80" t="str">
        <f>IF(AND($F106&lt;&gt;"", $F106&gt;=CQ$5-4, $F106&lt;=CQ$5, COUNTIF($M106:CP106,"u")=0), "u", "")</f>
        <v/>
      </c>
      <c r="CR106" s="80" t="str">
        <f>IF(AND($F106&lt;&gt;"", $F106&gt;=CR$5-4, $F106&lt;=CR$5, COUNTIF($M106:CQ106,"u")=0), "u", "")</f>
        <v/>
      </c>
      <c r="CS106" s="80" t="str">
        <f>IF(AND($F106&lt;&gt;"", $F106&gt;=CS$5-4, $F106&lt;=CS$5, COUNTIF($M106:CR106,"u")=0), "u", "")</f>
        <v/>
      </c>
      <c r="CT106" s="80" t="str">
        <f>IF(AND($F106&lt;&gt;"", $F106&gt;=CT$5-4, $F106&lt;=CT$5, COUNTIF($M106:CS106,"u")=0), "u", "")</f>
        <v/>
      </c>
      <c r="CU106" s="80" t="str">
        <f>IF(AND($F106&lt;&gt;"", $F106&gt;=CU$5-4, $F106&lt;=CU$5, COUNTIF($M106:CT106,"u")=0), "u", "")</f>
        <v/>
      </c>
      <c r="CV106" s="80" t="str">
        <f>IF(AND($F106&lt;&gt;"", $F106&gt;=CV$5-4, $F106&lt;=CV$5, COUNTIF($M106:CU106,"u")=0), "u", "")</f>
        <v/>
      </c>
      <c r="CW106" s="80" t="str">
        <f>IF(AND($F106&lt;&gt;"", $F106&gt;=CW$5-4, $F106&lt;=CW$5, COUNTIF($M106:CV106,"u")=0), "u", "")</f>
        <v/>
      </c>
      <c r="CX106" s="80" t="str">
        <f>IF(AND($F106&lt;&gt;"", $F106&gt;=CX$5-4, $F106&lt;=CX$5, COUNTIF($M106:CW106,"u")=0), "u", "")</f>
        <v/>
      </c>
      <c r="CY106" s="80" t="str">
        <f>IF(AND($F106&lt;&gt;"", $F106&gt;=CY$5-4, $F106&lt;=CY$5, COUNTIF($M106:CX106,"u")=0), "u", "")</f>
        <v/>
      </c>
      <c r="CZ106" s="80" t="str">
        <f>IF(AND($F106&lt;&gt;"", $F106&gt;=CZ$5-4, $F106&lt;=CZ$5, COUNTIF($M106:CY106,"u")=0), "u", "")</f>
        <v/>
      </c>
      <c r="DA106" s="80" t="str">
        <f>IF(AND($F106&lt;&gt;"", $F106&gt;=DA$5-4, $F106&lt;=DA$5, COUNTIF($M106:CZ106,"u")=0), "u", "")</f>
        <v/>
      </c>
      <c r="DB106" s="80" t="str">
        <f>IF(AND($F106&lt;&gt;"", $F106&gt;=DB$5-4, $F106&lt;=DB$5, COUNTIF($M106:DA106,"u")=0), "u", "")</f>
        <v/>
      </c>
      <c r="DC106" s="80" t="str">
        <f>IF(AND($F106&lt;&gt;"", $F106&gt;=DC$5-4, $F106&lt;=DC$5, COUNTIF($M106:DB106,"u")=0), "u", "")</f>
        <v/>
      </c>
      <c r="DD106" s="80" t="str">
        <f>IF(AND($F106&lt;&gt;"", $F106&gt;=DD$5-4, $F106&lt;=DD$5, COUNTIF($M106:DC106,"u")=0), "u", "")</f>
        <v/>
      </c>
      <c r="DE106" s="80" t="str">
        <f>IF(AND($F106&lt;&gt;"", $F106&gt;=DE$5-4, $F106&lt;=DE$5, COUNTIF($M106:DD106,"u")=0), "u", "")</f>
        <v/>
      </c>
      <c r="DF106" s="80" t="str">
        <f>IF(AND($F106&lt;&gt;"", $F106&gt;=DF$5-4, $F106&lt;=DF$5, COUNTIF($M106:DE106,"u")=0), "u", "")</f>
        <v/>
      </c>
      <c r="DG106" s="80" t="str">
        <f>IF(AND($F106&lt;&gt;"", $F106&gt;=DG$5-4, $F106&lt;=DG$5, COUNTIF($M106:DF106,"u")=0), "u", "")</f>
        <v/>
      </c>
      <c r="DH106" s="80" t="str">
        <f>IF(AND($F106&lt;&gt;"", $F106&gt;=DH$5-4, $F106&lt;=DH$5, COUNTIF($M106:DG106,"u")=0), "u", "")</f>
        <v/>
      </c>
      <c r="DI106" s="80" t="str">
        <f>IF(AND($F106&lt;&gt;"", $F106&gt;=DI$5-4, $F106&lt;=DI$5, COUNTIF($M106:DH106,"u")=0), "u", "")</f>
        <v/>
      </c>
      <c r="DJ106" s="80" t="str">
        <f>IF(AND($F106&lt;&gt;"", $F106&gt;=DJ$5-4, $F106&lt;=DJ$5, COUNTIF($M106:DI106,"u")=0), "u", "")</f>
        <v/>
      </c>
      <c r="DK106" s="80" t="str">
        <f>IF(AND($F106&lt;&gt;"", $F106&gt;=DK$5-4, $F106&lt;=DK$5, COUNTIF($M106:DJ106,"u")=0), "u", "")</f>
        <v/>
      </c>
      <c r="DL106" s="80" t="str">
        <f>IF(AND($F106&lt;&gt;"", $F106&gt;=DL$5-4, $F106&lt;=DL$5, COUNTIF($M106:DK106,"u")=0), "u", "")</f>
        <v/>
      </c>
    </row>
    <row r="107" spans="1:116" ht="25.05" customHeight="1" x14ac:dyDescent="0.3">
      <c r="A107" s="39"/>
      <c r="B107" s="75">
        <v>102</v>
      </c>
      <c r="C107" s="97"/>
      <c r="D107" s="92"/>
      <c r="E107" s="53"/>
      <c r="F107" s="53"/>
      <c r="G107" s="83" t="str">
        <f t="shared" si="50"/>
        <v/>
      </c>
      <c r="H107" s="83" t="str">
        <f t="shared" si="50"/>
        <v/>
      </c>
      <c r="I107" s="77" t="str">
        <f t="shared" si="48"/>
        <v/>
      </c>
      <c r="J107" s="78"/>
      <c r="K107" s="86"/>
      <c r="L107" s="56"/>
      <c r="M107" s="80" t="str">
        <f t="shared" si="49"/>
        <v/>
      </c>
      <c r="N107" s="80" t="str">
        <f>IF(AND($F107&lt;&gt;"", $F107&gt;=N$5-4, $F107&lt;=N$5, COUNTIF($M107:M107,"u")=0), "u", "")</f>
        <v/>
      </c>
      <c r="O107" s="80" t="str">
        <f>IF(AND($F107&lt;&gt;"", $F107&gt;=O$5-4, $F107&lt;=O$5, COUNTIF($M107:N107,"u")=0), "u", "")</f>
        <v/>
      </c>
      <c r="P107" s="80" t="str">
        <f>IF(AND($F107&lt;&gt;"", $F107&gt;=P$5-4, $F107&lt;=P$5, COUNTIF($M107:O107,"u")=0), "u", "")</f>
        <v/>
      </c>
      <c r="Q107" s="80" t="str">
        <f>IF(AND($F107&lt;&gt;"", $F107&gt;=Q$5-4, $F107&lt;=Q$5, COUNTIF($M107:P107,"u")=0), "u", "")</f>
        <v/>
      </c>
      <c r="R107" s="80" t="str">
        <f>IF(AND($F107&lt;&gt;"", $F107&gt;=R$5-4, $F107&lt;=R$5, COUNTIF($M107:Q107,"u")=0), "u", "")</f>
        <v/>
      </c>
      <c r="S107" s="80" t="str">
        <f>IF(AND($F107&lt;&gt;"", $F107&gt;=S$5-4, $F107&lt;=S$5, COUNTIF($M107:R107,"u")=0), "u", "")</f>
        <v/>
      </c>
      <c r="T107" s="80" t="str">
        <f>IF(AND($F107&lt;&gt;"", $F107&gt;=T$5-4, $F107&lt;=T$5, COUNTIF($M107:S107,"u")=0), "u", "")</f>
        <v/>
      </c>
      <c r="U107" s="80" t="str">
        <f>IF(AND($F107&lt;&gt;"", $F107&gt;=U$5-4, $F107&lt;=U$5, COUNTIF($M107:T107,"u")=0), "u", "")</f>
        <v/>
      </c>
      <c r="V107" s="80" t="str">
        <f>IF(AND($F107&lt;&gt;"", $F107&gt;=V$5-4, $F107&lt;=V$5, COUNTIF($M107:U107,"u")=0), "u", "")</f>
        <v/>
      </c>
      <c r="W107" s="80" t="str">
        <f>IF(AND($F107&lt;&gt;"", $F107&gt;=W$5-4, $F107&lt;=W$5, COUNTIF($M107:V107,"u")=0), "u", "")</f>
        <v/>
      </c>
      <c r="X107" s="80" t="str">
        <f>IF(AND($F107&lt;&gt;"", $F107&gt;=X$5-4, $F107&lt;=X$5, COUNTIF($M107:W107,"u")=0), "u", "")</f>
        <v/>
      </c>
      <c r="Y107" s="80" t="str">
        <f>IF(AND($F107&lt;&gt;"", $F107&gt;=Y$5-4, $F107&lt;=Y$5, COUNTIF($M107:X107,"u")=0), "u", "")</f>
        <v/>
      </c>
      <c r="Z107" s="80" t="str">
        <f>IF(AND($F107&lt;&gt;"", $F107&gt;=Z$5-4, $F107&lt;=Z$5, COUNTIF($M107:Y107,"u")=0), "u", "")</f>
        <v/>
      </c>
      <c r="AA107" s="80" t="str">
        <f>IF(AND($F107&lt;&gt;"", $F107&gt;=AA$5-4, $F107&lt;=AA$5, COUNTIF($M107:Z107,"u")=0), "u", "")</f>
        <v/>
      </c>
      <c r="AB107" s="80" t="str">
        <f>IF(AND($F107&lt;&gt;"", $F107&gt;=AB$5-4, $F107&lt;=AB$5, COUNTIF($M107:AA107,"u")=0), "u", "")</f>
        <v/>
      </c>
      <c r="AC107" s="80" t="str">
        <f>IF(AND($F107&lt;&gt;"", $F107&gt;=AC$5-4, $F107&lt;=AC$5, COUNTIF($M107:AB107,"u")=0), "u", "")</f>
        <v/>
      </c>
      <c r="AD107" s="80" t="str">
        <f>IF(AND($F107&lt;&gt;"", $F107&gt;=AD$5-4, $F107&lt;=AD$5, COUNTIF($M107:AC107,"u")=0), "u", "")</f>
        <v/>
      </c>
      <c r="AE107" s="80" t="str">
        <f>IF(AND($F107&lt;&gt;"", $F107&gt;=AE$5-4, $F107&lt;=AE$5, COUNTIF($M107:AD107,"u")=0), "u", "")</f>
        <v/>
      </c>
      <c r="AF107" s="80" t="str">
        <f>IF(AND($F107&lt;&gt;"", $F107&gt;=AF$5-4, $F107&lt;=AF$5, COUNTIF($M107:AE107,"u")=0), "u", "")</f>
        <v/>
      </c>
      <c r="AG107" s="80" t="str">
        <f>IF(AND($F107&lt;&gt;"", $F107&gt;=AG$5-4, $F107&lt;=AG$5, COUNTIF($M107:AF107,"u")=0), "u", "")</f>
        <v/>
      </c>
      <c r="AH107" s="80" t="str">
        <f>IF(AND($F107&lt;&gt;"", $F107&gt;=AH$5-4, $F107&lt;=AH$5, COUNTIF($M107:AG107,"u")=0), "u", "")</f>
        <v/>
      </c>
      <c r="AI107" s="80" t="str">
        <f>IF(AND($F107&lt;&gt;"", $F107&gt;=AI$5-4, $F107&lt;=AI$5, COUNTIF($M107:AH107,"u")=0), "u", "")</f>
        <v/>
      </c>
      <c r="AJ107" s="80" t="str">
        <f>IF(AND($F107&lt;&gt;"", $F107&gt;=AJ$5-4, $F107&lt;=AJ$5, COUNTIF($M107:AI107,"u")=0), "u", "")</f>
        <v/>
      </c>
      <c r="AK107" s="80" t="str">
        <f>IF(AND($F107&lt;&gt;"", $F107&gt;=AK$5-4, $F107&lt;=AK$5, COUNTIF($M107:AJ107,"u")=0), "u", "")</f>
        <v/>
      </c>
      <c r="AL107" s="80" t="str">
        <f>IF(AND($F107&lt;&gt;"", $F107&gt;=AL$5-4, $F107&lt;=AL$5, COUNTIF($M107:AK107,"u")=0), "u", "")</f>
        <v/>
      </c>
      <c r="AM107" s="80" t="str">
        <f>IF(AND($F107&lt;&gt;"", $F107&gt;=AM$5-4, $F107&lt;=AM$5, COUNTIF($M107:AL107,"u")=0), "u", "")</f>
        <v/>
      </c>
      <c r="AN107" s="80" t="str">
        <f>IF(AND($F107&lt;&gt;"", $F107&gt;=AN$5-4, $F107&lt;=AN$5, COUNTIF($M107:AM107,"u")=0), "u", "")</f>
        <v/>
      </c>
      <c r="AO107" s="80" t="str">
        <f>IF(AND($F107&lt;&gt;"", $F107&gt;=AO$5-4, $F107&lt;=AO$5, COUNTIF($M107:AN107,"u")=0), "u", "")</f>
        <v/>
      </c>
      <c r="AP107" s="80" t="str">
        <f>IF(AND($F107&lt;&gt;"", $F107&gt;=AP$5-4, $F107&lt;=AP$5, COUNTIF($M107:AO107,"u")=0), "u", "")</f>
        <v/>
      </c>
      <c r="AQ107" s="80" t="str">
        <f>IF(AND($F107&lt;&gt;"", $F107&gt;=AQ$5-4, $F107&lt;=AQ$5, COUNTIF($M107:AP107,"u")=0), "u", "")</f>
        <v/>
      </c>
      <c r="AR107" s="80" t="str">
        <f>IF(AND($F107&lt;&gt;"", $F107&gt;=AR$5-4, $F107&lt;=AR$5, COUNTIF($M107:AQ107,"u")=0), "u", "")</f>
        <v/>
      </c>
      <c r="AS107" s="80" t="str">
        <f>IF(AND($F107&lt;&gt;"", $F107&gt;=AS$5-4, $F107&lt;=AS$5, COUNTIF($M107:AR107,"u")=0), "u", "")</f>
        <v/>
      </c>
      <c r="AT107" s="80" t="str">
        <f>IF(AND($F107&lt;&gt;"", $F107&gt;=AT$5-4, $F107&lt;=AT$5, COUNTIF($M107:AS107,"u")=0), "u", "")</f>
        <v/>
      </c>
      <c r="AU107" s="80" t="str">
        <f>IF(AND($F107&lt;&gt;"", $F107&gt;=AU$5-4, $F107&lt;=AU$5, COUNTIF($M107:AT107,"u")=0), "u", "")</f>
        <v/>
      </c>
      <c r="AV107" s="80" t="str">
        <f>IF(AND($F107&lt;&gt;"", $F107&gt;=AV$5-4, $F107&lt;=AV$5, COUNTIF($M107:AU107,"u")=0), "u", "")</f>
        <v/>
      </c>
      <c r="AW107" s="80" t="str">
        <f>IF(AND($F107&lt;&gt;"", $F107&gt;=AW$5-4, $F107&lt;=AW$5, COUNTIF($M107:AV107,"u")=0), "u", "")</f>
        <v/>
      </c>
      <c r="AX107" s="80" t="str">
        <f>IF(AND($F107&lt;&gt;"", $F107&gt;=AX$5-4, $F107&lt;=AX$5, COUNTIF($M107:AW107,"u")=0), "u", "")</f>
        <v/>
      </c>
      <c r="AY107" s="80" t="str">
        <f>IF(AND($F107&lt;&gt;"", $F107&gt;=AY$5-4, $F107&lt;=AY$5, COUNTIF($M107:AX107,"u")=0), "u", "")</f>
        <v/>
      </c>
      <c r="AZ107" s="80" t="str">
        <f>IF(AND($F107&lt;&gt;"", $F107&gt;=AZ$5-4, $F107&lt;=AZ$5, COUNTIF($M107:AY107,"u")=0), "u", "")</f>
        <v/>
      </c>
      <c r="BA107" s="80" t="str">
        <f>IF(AND($F107&lt;&gt;"", $F107&gt;=BA$5-4, $F107&lt;=BA$5, COUNTIF($M107:AZ107,"u")=0), "u", "")</f>
        <v/>
      </c>
      <c r="BB107" s="80" t="str">
        <f>IF(AND($F107&lt;&gt;"", $F107&gt;=BB$5-4, $F107&lt;=BB$5, COUNTIF($M107:BA107,"u")=0), "u", "")</f>
        <v/>
      </c>
      <c r="BC107" s="80" t="str">
        <f>IF(AND($F107&lt;&gt;"", $F107&gt;=BC$5-4, $F107&lt;=BC$5, COUNTIF($M107:BB107,"u")=0), "u", "")</f>
        <v/>
      </c>
      <c r="BD107" s="80" t="str">
        <f>IF(AND($F107&lt;&gt;"", $F107&gt;=BD$5-4, $F107&lt;=BD$5, COUNTIF($M107:BC107,"u")=0), "u", "")</f>
        <v/>
      </c>
      <c r="BE107" s="80" t="str">
        <f>IF(AND($F107&lt;&gt;"", $F107&gt;=BE$5-4, $F107&lt;=BE$5, COUNTIF($M107:BD107,"u")=0), "u", "")</f>
        <v/>
      </c>
      <c r="BF107" s="80" t="str">
        <f>IF(AND($F107&lt;&gt;"", $F107&gt;=BF$5-4, $F107&lt;=BF$5, COUNTIF($M107:BE107,"u")=0), "u", "")</f>
        <v/>
      </c>
      <c r="BG107" s="80" t="str">
        <f>IF(AND($F107&lt;&gt;"", $F107&gt;=BG$5-4, $F107&lt;=BG$5, COUNTIF($M107:BF107,"u")=0), "u", "")</f>
        <v/>
      </c>
      <c r="BH107" s="80" t="str">
        <f>IF(AND($F107&lt;&gt;"", $F107&gt;=BH$5-4, $F107&lt;=BH$5, COUNTIF($M107:BG107,"u")=0), "u", "")</f>
        <v/>
      </c>
      <c r="BI107" s="80" t="str">
        <f>IF(AND($F107&lt;&gt;"", $F107&gt;=BI$5-4, $F107&lt;=BI$5, COUNTIF($M107:BH107,"u")=0), "u", "")</f>
        <v/>
      </c>
      <c r="BJ107" s="80" t="str">
        <f>IF(AND($F107&lt;&gt;"", $F107&gt;=BJ$5-4, $F107&lt;=BJ$5, COUNTIF($M107:BI107,"u")=0), "u", "")</f>
        <v/>
      </c>
      <c r="BK107" s="80" t="str">
        <f>IF(AND($F107&lt;&gt;"", $F107&gt;=BK$5-4, $F107&lt;=BK$5, COUNTIF($M107:BJ107,"u")=0), "u", "")</f>
        <v/>
      </c>
      <c r="BL107" s="80" t="str">
        <f>IF(AND($F107&lt;&gt;"", $F107&gt;=BL$5-4, $F107&lt;=BL$5, COUNTIF($M107:BK107,"u")=0), "u", "")</f>
        <v/>
      </c>
      <c r="BM107" s="80" t="str">
        <f>IF(AND($F107&lt;&gt;"", $F107&gt;=BM$5-4, $F107&lt;=BM$5, COUNTIF($M107:BL107,"u")=0), "u", "")</f>
        <v/>
      </c>
      <c r="BN107" s="80" t="str">
        <f>IF(AND($F107&lt;&gt;"", $F107&gt;=BN$5-4, $F107&lt;=BN$5, COUNTIF($M107:BM107,"u")=0), "u", "")</f>
        <v/>
      </c>
      <c r="BO107" s="80" t="str">
        <f>IF(AND($F107&lt;&gt;"", $F107&gt;=BO$5-4, $F107&lt;=BO$5, COUNTIF($M107:BN107,"u")=0), "u", "")</f>
        <v/>
      </c>
      <c r="BP107" s="80" t="str">
        <f>IF(AND($F107&lt;&gt;"", $F107&gt;=BP$5-4, $F107&lt;=BP$5, COUNTIF($M107:BO107,"u")=0), "u", "")</f>
        <v/>
      </c>
      <c r="BQ107" s="80" t="str">
        <f>IF(AND($F107&lt;&gt;"", $F107&gt;=BQ$5-4, $F107&lt;=BQ$5, COUNTIF($M107:BP107,"u")=0), "u", "")</f>
        <v/>
      </c>
      <c r="BR107" s="80" t="str">
        <f>IF(AND($F107&lt;&gt;"", $F107&gt;=BR$5-4, $F107&lt;=BR$5, COUNTIF($M107:BQ107,"u")=0), "u", "")</f>
        <v/>
      </c>
      <c r="BS107" s="80" t="str">
        <f>IF(AND($F107&lt;&gt;"", $F107&gt;=BS$5-4, $F107&lt;=BS$5, COUNTIF($M107:BR107,"u")=0), "u", "")</f>
        <v/>
      </c>
      <c r="BT107" s="80" t="str">
        <f>IF(AND($F107&lt;&gt;"", $F107&gt;=BT$5-4, $F107&lt;=BT$5, COUNTIF($M107:BS107,"u")=0), "u", "")</f>
        <v/>
      </c>
      <c r="BU107" s="80" t="str">
        <f>IF(AND($F107&lt;&gt;"", $F107&gt;=BU$5-4, $F107&lt;=BU$5, COUNTIF($M107:BT107,"u")=0), "u", "")</f>
        <v/>
      </c>
      <c r="BV107" s="80" t="str">
        <f>IF(AND($F107&lt;&gt;"", $F107&gt;=BV$5-4, $F107&lt;=BV$5, COUNTIF($M107:BU107,"u")=0), "u", "")</f>
        <v/>
      </c>
      <c r="BW107" s="80" t="str">
        <f>IF(AND($F107&lt;&gt;"", $F107&gt;=BW$5-4, $F107&lt;=BW$5, COUNTIF($M107:BV107,"u")=0), "u", "")</f>
        <v/>
      </c>
      <c r="BX107" s="80" t="str">
        <f>IF(AND($F107&lt;&gt;"", $F107&gt;=BX$5-4, $F107&lt;=BX$5, COUNTIF($M107:BW107,"u")=0), "u", "")</f>
        <v/>
      </c>
      <c r="BY107" s="80" t="str">
        <f>IF(AND($F107&lt;&gt;"", $F107&gt;=BY$5-4, $F107&lt;=BY$5, COUNTIF($M107:BX107,"u")=0), "u", "")</f>
        <v/>
      </c>
      <c r="BZ107" s="80" t="str">
        <f>IF(AND($F107&lt;&gt;"", $F107&gt;=BZ$5-4, $F107&lt;=BZ$5, COUNTIF($M107:BY107,"u")=0), "u", "")</f>
        <v/>
      </c>
      <c r="CA107" s="80" t="str">
        <f>IF(AND($F107&lt;&gt;"", $F107&gt;=CA$5-4, $F107&lt;=CA$5, COUNTIF($M107:BZ107,"u")=0), "u", "")</f>
        <v/>
      </c>
      <c r="CB107" s="80" t="str">
        <f>IF(AND($F107&lt;&gt;"", $F107&gt;=CB$5-4, $F107&lt;=CB$5, COUNTIF($M107:CA107,"u")=0), "u", "")</f>
        <v/>
      </c>
      <c r="CC107" s="80" t="str">
        <f>IF(AND($F107&lt;&gt;"", $F107&gt;=CC$5-4, $F107&lt;=CC$5, COUNTIF($M107:CB107,"u")=0), "u", "")</f>
        <v/>
      </c>
      <c r="CD107" s="80" t="str">
        <f>IF(AND($F107&lt;&gt;"", $F107&gt;=CD$5-4, $F107&lt;=CD$5, COUNTIF($M107:CC107,"u")=0), "u", "")</f>
        <v/>
      </c>
      <c r="CE107" s="80" t="str">
        <f>IF(AND($F107&lt;&gt;"", $F107&gt;=CE$5-4, $F107&lt;=CE$5, COUNTIF($M107:CD107,"u")=0), "u", "")</f>
        <v/>
      </c>
      <c r="CF107" s="80" t="str">
        <f>IF(AND($F107&lt;&gt;"", $F107&gt;=CF$5-4, $F107&lt;=CF$5, COUNTIF($M107:CE107,"u")=0), "u", "")</f>
        <v/>
      </c>
      <c r="CG107" s="80" t="str">
        <f>IF(AND($F107&lt;&gt;"", $F107&gt;=CG$5-4, $F107&lt;=CG$5, COUNTIF($M107:CF107,"u")=0), "u", "")</f>
        <v/>
      </c>
      <c r="CH107" s="80" t="str">
        <f>IF(AND($F107&lt;&gt;"", $F107&gt;=CH$5-4, $F107&lt;=CH$5, COUNTIF($M107:CG107,"u")=0), "u", "")</f>
        <v/>
      </c>
      <c r="CI107" s="80" t="str">
        <f>IF(AND($F107&lt;&gt;"", $F107&gt;=CI$5-4, $F107&lt;=CI$5, COUNTIF($M107:CH107,"u")=0), "u", "")</f>
        <v/>
      </c>
      <c r="CJ107" s="80" t="str">
        <f>IF(AND($F107&lt;&gt;"", $F107&gt;=CJ$5-4, $F107&lt;=CJ$5, COUNTIF($M107:CI107,"u")=0), "u", "")</f>
        <v/>
      </c>
      <c r="CK107" s="80" t="str">
        <f>IF(AND($F107&lt;&gt;"", $F107&gt;=CK$5-4, $F107&lt;=CK$5, COUNTIF($M107:CJ107,"u")=0), "u", "")</f>
        <v/>
      </c>
      <c r="CL107" s="80" t="str">
        <f>IF(AND($F107&lt;&gt;"", $F107&gt;=CL$5-4, $F107&lt;=CL$5, COUNTIF($M107:CK107,"u")=0), "u", "")</f>
        <v/>
      </c>
      <c r="CM107" s="80" t="str">
        <f>IF(AND($F107&lt;&gt;"", $F107&gt;=CM$5-4, $F107&lt;=CM$5, COUNTIF($M107:CL107,"u")=0), "u", "")</f>
        <v/>
      </c>
      <c r="CN107" s="80" t="str">
        <f>IF(AND($F107&lt;&gt;"", $F107&gt;=CN$5-4, $F107&lt;=CN$5, COUNTIF($M107:CM107,"u")=0), "u", "")</f>
        <v/>
      </c>
      <c r="CO107" s="80" t="str">
        <f>IF(AND($F107&lt;&gt;"", $F107&gt;=CO$5-4, $F107&lt;=CO$5, COUNTIF($M107:CN107,"u")=0), "u", "")</f>
        <v/>
      </c>
      <c r="CP107" s="80" t="str">
        <f>IF(AND($F107&lt;&gt;"", $F107&gt;=CP$5-4, $F107&lt;=CP$5, COUNTIF($M107:CO107,"u")=0), "u", "")</f>
        <v/>
      </c>
      <c r="CQ107" s="80" t="str">
        <f>IF(AND($F107&lt;&gt;"", $F107&gt;=CQ$5-4, $F107&lt;=CQ$5, COUNTIF($M107:CP107,"u")=0), "u", "")</f>
        <v/>
      </c>
      <c r="CR107" s="80" t="str">
        <f>IF(AND($F107&lt;&gt;"", $F107&gt;=CR$5-4, $F107&lt;=CR$5, COUNTIF($M107:CQ107,"u")=0), "u", "")</f>
        <v/>
      </c>
      <c r="CS107" s="80" t="str">
        <f>IF(AND($F107&lt;&gt;"", $F107&gt;=CS$5-4, $F107&lt;=CS$5, COUNTIF($M107:CR107,"u")=0), "u", "")</f>
        <v/>
      </c>
      <c r="CT107" s="80" t="str">
        <f>IF(AND($F107&lt;&gt;"", $F107&gt;=CT$5-4, $F107&lt;=CT$5, COUNTIF($M107:CS107,"u")=0), "u", "")</f>
        <v/>
      </c>
      <c r="CU107" s="80" t="str">
        <f>IF(AND($F107&lt;&gt;"", $F107&gt;=CU$5-4, $F107&lt;=CU$5, COUNTIF($M107:CT107,"u")=0), "u", "")</f>
        <v/>
      </c>
      <c r="CV107" s="80" t="str">
        <f>IF(AND($F107&lt;&gt;"", $F107&gt;=CV$5-4, $F107&lt;=CV$5, COUNTIF($M107:CU107,"u")=0), "u", "")</f>
        <v/>
      </c>
      <c r="CW107" s="80" t="str">
        <f>IF(AND($F107&lt;&gt;"", $F107&gt;=CW$5-4, $F107&lt;=CW$5, COUNTIF($M107:CV107,"u")=0), "u", "")</f>
        <v/>
      </c>
      <c r="CX107" s="80" t="str">
        <f>IF(AND($F107&lt;&gt;"", $F107&gt;=CX$5-4, $F107&lt;=CX$5, COUNTIF($M107:CW107,"u")=0), "u", "")</f>
        <v/>
      </c>
      <c r="CY107" s="80" t="str">
        <f>IF(AND($F107&lt;&gt;"", $F107&gt;=CY$5-4, $F107&lt;=CY$5, COUNTIF($M107:CX107,"u")=0), "u", "")</f>
        <v/>
      </c>
      <c r="CZ107" s="80" t="str">
        <f>IF(AND($F107&lt;&gt;"", $F107&gt;=CZ$5-4, $F107&lt;=CZ$5, COUNTIF($M107:CY107,"u")=0), "u", "")</f>
        <v/>
      </c>
      <c r="DA107" s="80" t="str">
        <f>IF(AND($F107&lt;&gt;"", $F107&gt;=DA$5-4, $F107&lt;=DA$5, COUNTIF($M107:CZ107,"u")=0), "u", "")</f>
        <v/>
      </c>
      <c r="DB107" s="80" t="str">
        <f>IF(AND($F107&lt;&gt;"", $F107&gt;=DB$5-4, $F107&lt;=DB$5, COUNTIF($M107:DA107,"u")=0), "u", "")</f>
        <v/>
      </c>
      <c r="DC107" s="80" t="str">
        <f>IF(AND($F107&lt;&gt;"", $F107&gt;=DC$5-4, $F107&lt;=DC$5, COUNTIF($M107:DB107,"u")=0), "u", "")</f>
        <v/>
      </c>
      <c r="DD107" s="80" t="str">
        <f>IF(AND($F107&lt;&gt;"", $F107&gt;=DD$5-4, $F107&lt;=DD$5, COUNTIF($M107:DC107,"u")=0), "u", "")</f>
        <v/>
      </c>
      <c r="DE107" s="80" t="str">
        <f>IF(AND($F107&lt;&gt;"", $F107&gt;=DE$5-4, $F107&lt;=DE$5, COUNTIF($M107:DD107,"u")=0), "u", "")</f>
        <v/>
      </c>
      <c r="DF107" s="80" t="str">
        <f>IF(AND($F107&lt;&gt;"", $F107&gt;=DF$5-4, $F107&lt;=DF$5, COUNTIF($M107:DE107,"u")=0), "u", "")</f>
        <v/>
      </c>
      <c r="DG107" s="80" t="str">
        <f>IF(AND($F107&lt;&gt;"", $F107&gt;=DG$5-4, $F107&lt;=DG$5, COUNTIF($M107:DF107,"u")=0), "u", "")</f>
        <v/>
      </c>
      <c r="DH107" s="80" t="str">
        <f>IF(AND($F107&lt;&gt;"", $F107&gt;=DH$5-4, $F107&lt;=DH$5, COUNTIF($M107:DG107,"u")=0), "u", "")</f>
        <v/>
      </c>
      <c r="DI107" s="80" t="str">
        <f>IF(AND($F107&lt;&gt;"", $F107&gt;=DI$5-4, $F107&lt;=DI$5, COUNTIF($M107:DH107,"u")=0), "u", "")</f>
        <v/>
      </c>
      <c r="DJ107" s="80" t="str">
        <f>IF(AND($F107&lt;&gt;"", $F107&gt;=DJ$5-4, $F107&lt;=DJ$5, COUNTIF($M107:DI107,"u")=0), "u", "")</f>
        <v/>
      </c>
      <c r="DK107" s="80" t="str">
        <f>IF(AND($F107&lt;&gt;"", $F107&gt;=DK$5-4, $F107&lt;=DK$5, COUNTIF($M107:DJ107,"u")=0), "u", "")</f>
        <v/>
      </c>
      <c r="DL107" s="80" t="str">
        <f>IF(AND($F107&lt;&gt;"", $F107&gt;=DL$5-4, $F107&lt;=DL$5, COUNTIF($M107:DK107,"u")=0), "u", "")</f>
        <v/>
      </c>
    </row>
    <row r="108" spans="1:116" ht="25.05" customHeight="1" x14ac:dyDescent="0.3">
      <c r="A108" s="39"/>
      <c r="B108" s="75">
        <v>103</v>
      </c>
      <c r="C108" s="97"/>
      <c r="D108" s="92"/>
      <c r="E108" s="53"/>
      <c r="F108" s="53"/>
      <c r="G108" s="83" t="str">
        <f t="shared" si="50"/>
        <v/>
      </c>
      <c r="H108" s="83" t="str">
        <f t="shared" si="50"/>
        <v/>
      </c>
      <c r="I108" s="77" t="str">
        <f t="shared" si="48"/>
        <v/>
      </c>
      <c r="J108" s="78"/>
      <c r="K108" s="86"/>
      <c r="L108" s="56"/>
      <c r="M108" s="80" t="str">
        <f t="shared" si="49"/>
        <v/>
      </c>
      <c r="N108" s="80" t="str">
        <f>IF(AND($F108&lt;&gt;"", $F108&gt;=N$5-4, $F108&lt;=N$5, COUNTIF($M108:M108,"u")=0), "u", "")</f>
        <v/>
      </c>
      <c r="O108" s="80" t="str">
        <f>IF(AND($F108&lt;&gt;"", $F108&gt;=O$5-4, $F108&lt;=O$5, COUNTIF($M108:N108,"u")=0), "u", "")</f>
        <v/>
      </c>
      <c r="P108" s="80" t="str">
        <f>IF(AND($F108&lt;&gt;"", $F108&gt;=P$5-4, $F108&lt;=P$5, COUNTIF($M108:O108,"u")=0), "u", "")</f>
        <v/>
      </c>
      <c r="Q108" s="80" t="str">
        <f>IF(AND($F108&lt;&gt;"", $F108&gt;=Q$5-4, $F108&lt;=Q$5, COUNTIF($M108:P108,"u")=0), "u", "")</f>
        <v/>
      </c>
      <c r="R108" s="80" t="str">
        <f>IF(AND($F108&lt;&gt;"", $F108&gt;=R$5-4, $F108&lt;=R$5, COUNTIF($M108:Q108,"u")=0), "u", "")</f>
        <v/>
      </c>
      <c r="S108" s="80" t="str">
        <f>IF(AND($F108&lt;&gt;"", $F108&gt;=S$5-4, $F108&lt;=S$5, COUNTIF($M108:R108,"u")=0), "u", "")</f>
        <v/>
      </c>
      <c r="T108" s="80" t="str">
        <f>IF(AND($F108&lt;&gt;"", $F108&gt;=T$5-4, $F108&lt;=T$5, COUNTIF($M108:S108,"u")=0), "u", "")</f>
        <v/>
      </c>
      <c r="U108" s="80" t="str">
        <f>IF(AND($F108&lt;&gt;"", $F108&gt;=U$5-4, $F108&lt;=U$5, COUNTIF($M108:T108,"u")=0), "u", "")</f>
        <v/>
      </c>
      <c r="V108" s="80" t="str">
        <f>IF(AND($F108&lt;&gt;"", $F108&gt;=V$5-4, $F108&lt;=V$5, COUNTIF($M108:U108,"u")=0), "u", "")</f>
        <v/>
      </c>
      <c r="W108" s="80" t="str">
        <f>IF(AND($F108&lt;&gt;"", $F108&gt;=W$5-4, $F108&lt;=W$5, COUNTIF($M108:V108,"u")=0), "u", "")</f>
        <v/>
      </c>
      <c r="X108" s="80" t="str">
        <f>IF(AND($F108&lt;&gt;"", $F108&gt;=X$5-4, $F108&lt;=X$5, COUNTIF($M108:W108,"u")=0), "u", "")</f>
        <v/>
      </c>
      <c r="Y108" s="80" t="str">
        <f>IF(AND($F108&lt;&gt;"", $F108&gt;=Y$5-4, $F108&lt;=Y$5, COUNTIF($M108:X108,"u")=0), "u", "")</f>
        <v/>
      </c>
      <c r="Z108" s="80" t="str">
        <f>IF(AND($F108&lt;&gt;"", $F108&gt;=Z$5-4, $F108&lt;=Z$5, COUNTIF($M108:Y108,"u")=0), "u", "")</f>
        <v/>
      </c>
      <c r="AA108" s="80" t="str">
        <f>IF(AND($F108&lt;&gt;"", $F108&gt;=AA$5-4, $F108&lt;=AA$5, COUNTIF($M108:Z108,"u")=0), "u", "")</f>
        <v/>
      </c>
      <c r="AB108" s="80" t="str">
        <f>IF(AND($F108&lt;&gt;"", $F108&gt;=AB$5-4, $F108&lt;=AB$5, COUNTIF($M108:AA108,"u")=0), "u", "")</f>
        <v/>
      </c>
      <c r="AC108" s="80" t="str">
        <f>IF(AND($F108&lt;&gt;"", $F108&gt;=AC$5-4, $F108&lt;=AC$5, COUNTIF($M108:AB108,"u")=0), "u", "")</f>
        <v/>
      </c>
      <c r="AD108" s="80" t="str">
        <f>IF(AND($F108&lt;&gt;"", $F108&gt;=AD$5-4, $F108&lt;=AD$5, COUNTIF($M108:AC108,"u")=0), "u", "")</f>
        <v/>
      </c>
      <c r="AE108" s="80" t="str">
        <f>IF(AND($F108&lt;&gt;"", $F108&gt;=AE$5-4, $F108&lt;=AE$5, COUNTIF($M108:AD108,"u")=0), "u", "")</f>
        <v/>
      </c>
      <c r="AF108" s="80" t="str">
        <f>IF(AND($F108&lt;&gt;"", $F108&gt;=AF$5-4, $F108&lt;=AF$5, COUNTIF($M108:AE108,"u")=0), "u", "")</f>
        <v/>
      </c>
      <c r="AG108" s="80" t="str">
        <f>IF(AND($F108&lt;&gt;"", $F108&gt;=AG$5-4, $F108&lt;=AG$5, COUNTIF($M108:AF108,"u")=0), "u", "")</f>
        <v/>
      </c>
      <c r="AH108" s="80" t="str">
        <f>IF(AND($F108&lt;&gt;"", $F108&gt;=AH$5-4, $F108&lt;=AH$5, COUNTIF($M108:AG108,"u")=0), "u", "")</f>
        <v/>
      </c>
      <c r="AI108" s="80" t="str">
        <f>IF(AND($F108&lt;&gt;"", $F108&gt;=AI$5-4, $F108&lt;=AI$5, COUNTIF($M108:AH108,"u")=0), "u", "")</f>
        <v/>
      </c>
      <c r="AJ108" s="80" t="str">
        <f>IF(AND($F108&lt;&gt;"", $F108&gt;=AJ$5-4, $F108&lt;=AJ$5, COUNTIF($M108:AI108,"u")=0), "u", "")</f>
        <v/>
      </c>
      <c r="AK108" s="80" t="str">
        <f>IF(AND($F108&lt;&gt;"", $F108&gt;=AK$5-4, $F108&lt;=AK$5, COUNTIF($M108:AJ108,"u")=0), "u", "")</f>
        <v/>
      </c>
      <c r="AL108" s="80" t="str">
        <f>IF(AND($F108&lt;&gt;"", $F108&gt;=AL$5-4, $F108&lt;=AL$5, COUNTIF($M108:AK108,"u")=0), "u", "")</f>
        <v/>
      </c>
      <c r="AM108" s="80" t="str">
        <f>IF(AND($F108&lt;&gt;"", $F108&gt;=AM$5-4, $F108&lt;=AM$5, COUNTIF($M108:AL108,"u")=0), "u", "")</f>
        <v/>
      </c>
      <c r="AN108" s="80" t="str">
        <f>IF(AND($F108&lt;&gt;"", $F108&gt;=AN$5-4, $F108&lt;=AN$5, COUNTIF($M108:AM108,"u")=0), "u", "")</f>
        <v/>
      </c>
      <c r="AO108" s="80" t="str">
        <f>IF(AND($F108&lt;&gt;"", $F108&gt;=AO$5-4, $F108&lt;=AO$5, COUNTIF($M108:AN108,"u")=0), "u", "")</f>
        <v/>
      </c>
      <c r="AP108" s="80" t="str">
        <f>IF(AND($F108&lt;&gt;"", $F108&gt;=AP$5-4, $F108&lt;=AP$5, COUNTIF($M108:AO108,"u")=0), "u", "")</f>
        <v/>
      </c>
      <c r="AQ108" s="80" t="str">
        <f>IF(AND($F108&lt;&gt;"", $F108&gt;=AQ$5-4, $F108&lt;=AQ$5, COUNTIF($M108:AP108,"u")=0), "u", "")</f>
        <v/>
      </c>
      <c r="AR108" s="80" t="str">
        <f>IF(AND($F108&lt;&gt;"", $F108&gt;=AR$5-4, $F108&lt;=AR$5, COUNTIF($M108:AQ108,"u")=0), "u", "")</f>
        <v/>
      </c>
      <c r="AS108" s="80" t="str">
        <f>IF(AND($F108&lt;&gt;"", $F108&gt;=AS$5-4, $F108&lt;=AS$5, COUNTIF($M108:AR108,"u")=0), "u", "")</f>
        <v/>
      </c>
      <c r="AT108" s="80" t="str">
        <f>IF(AND($F108&lt;&gt;"", $F108&gt;=AT$5-4, $F108&lt;=AT$5, COUNTIF($M108:AS108,"u")=0), "u", "")</f>
        <v/>
      </c>
      <c r="AU108" s="80" t="str">
        <f>IF(AND($F108&lt;&gt;"", $F108&gt;=AU$5-4, $F108&lt;=AU$5, COUNTIF($M108:AT108,"u")=0), "u", "")</f>
        <v/>
      </c>
      <c r="AV108" s="80" t="str">
        <f>IF(AND($F108&lt;&gt;"", $F108&gt;=AV$5-4, $F108&lt;=AV$5, COUNTIF($M108:AU108,"u")=0), "u", "")</f>
        <v/>
      </c>
      <c r="AW108" s="80" t="str">
        <f>IF(AND($F108&lt;&gt;"", $F108&gt;=AW$5-4, $F108&lt;=AW$5, COUNTIF($M108:AV108,"u")=0), "u", "")</f>
        <v/>
      </c>
      <c r="AX108" s="80" t="str">
        <f>IF(AND($F108&lt;&gt;"", $F108&gt;=AX$5-4, $F108&lt;=AX$5, COUNTIF($M108:AW108,"u")=0), "u", "")</f>
        <v/>
      </c>
      <c r="AY108" s="80" t="str">
        <f>IF(AND($F108&lt;&gt;"", $F108&gt;=AY$5-4, $F108&lt;=AY$5, COUNTIF($M108:AX108,"u")=0), "u", "")</f>
        <v/>
      </c>
      <c r="AZ108" s="80" t="str">
        <f>IF(AND($F108&lt;&gt;"", $F108&gt;=AZ$5-4, $F108&lt;=AZ$5, COUNTIF($M108:AY108,"u")=0), "u", "")</f>
        <v/>
      </c>
      <c r="BA108" s="80" t="str">
        <f>IF(AND($F108&lt;&gt;"", $F108&gt;=BA$5-4, $F108&lt;=BA$5, COUNTIF($M108:AZ108,"u")=0), "u", "")</f>
        <v/>
      </c>
      <c r="BB108" s="80" t="str">
        <f>IF(AND($F108&lt;&gt;"", $F108&gt;=BB$5-4, $F108&lt;=BB$5, COUNTIF($M108:BA108,"u")=0), "u", "")</f>
        <v/>
      </c>
      <c r="BC108" s="80" t="str">
        <f>IF(AND($F108&lt;&gt;"", $F108&gt;=BC$5-4, $F108&lt;=BC$5, COUNTIF($M108:BB108,"u")=0), "u", "")</f>
        <v/>
      </c>
      <c r="BD108" s="80" t="str">
        <f>IF(AND($F108&lt;&gt;"", $F108&gt;=BD$5-4, $F108&lt;=BD$5, COUNTIF($M108:BC108,"u")=0), "u", "")</f>
        <v/>
      </c>
      <c r="BE108" s="80" t="str">
        <f>IF(AND($F108&lt;&gt;"", $F108&gt;=BE$5-4, $F108&lt;=BE$5, COUNTIF($M108:BD108,"u")=0), "u", "")</f>
        <v/>
      </c>
      <c r="BF108" s="80" t="str">
        <f>IF(AND($F108&lt;&gt;"", $F108&gt;=BF$5-4, $F108&lt;=BF$5, COUNTIF($M108:BE108,"u")=0), "u", "")</f>
        <v/>
      </c>
      <c r="BG108" s="80" t="str">
        <f>IF(AND($F108&lt;&gt;"", $F108&gt;=BG$5-4, $F108&lt;=BG$5, COUNTIF($M108:BF108,"u")=0), "u", "")</f>
        <v/>
      </c>
      <c r="BH108" s="80" t="str">
        <f>IF(AND($F108&lt;&gt;"", $F108&gt;=BH$5-4, $F108&lt;=BH$5, COUNTIF($M108:BG108,"u")=0), "u", "")</f>
        <v/>
      </c>
      <c r="BI108" s="80" t="str">
        <f>IF(AND($F108&lt;&gt;"", $F108&gt;=BI$5-4, $F108&lt;=BI$5, COUNTIF($M108:BH108,"u")=0), "u", "")</f>
        <v/>
      </c>
      <c r="BJ108" s="80" t="str">
        <f>IF(AND($F108&lt;&gt;"", $F108&gt;=BJ$5-4, $F108&lt;=BJ$5, COUNTIF($M108:BI108,"u")=0), "u", "")</f>
        <v/>
      </c>
      <c r="BK108" s="80" t="str">
        <f>IF(AND($F108&lt;&gt;"", $F108&gt;=BK$5-4, $F108&lt;=BK$5, COUNTIF($M108:BJ108,"u")=0), "u", "")</f>
        <v/>
      </c>
      <c r="BL108" s="80" t="str">
        <f>IF(AND($F108&lt;&gt;"", $F108&gt;=BL$5-4, $F108&lt;=BL$5, COUNTIF($M108:BK108,"u")=0), "u", "")</f>
        <v/>
      </c>
      <c r="BM108" s="80" t="str">
        <f>IF(AND($F108&lt;&gt;"", $F108&gt;=BM$5-4, $F108&lt;=BM$5, COUNTIF($M108:BL108,"u")=0), "u", "")</f>
        <v/>
      </c>
      <c r="BN108" s="80" t="str">
        <f>IF(AND($F108&lt;&gt;"", $F108&gt;=BN$5-4, $F108&lt;=BN$5, COUNTIF($M108:BM108,"u")=0), "u", "")</f>
        <v/>
      </c>
      <c r="BO108" s="80" t="str">
        <f>IF(AND($F108&lt;&gt;"", $F108&gt;=BO$5-4, $F108&lt;=BO$5, COUNTIF($M108:BN108,"u")=0), "u", "")</f>
        <v/>
      </c>
      <c r="BP108" s="80" t="str">
        <f>IF(AND($F108&lt;&gt;"", $F108&gt;=BP$5-4, $F108&lt;=BP$5, COUNTIF($M108:BO108,"u")=0), "u", "")</f>
        <v/>
      </c>
      <c r="BQ108" s="80" t="str">
        <f>IF(AND($F108&lt;&gt;"", $F108&gt;=BQ$5-4, $F108&lt;=BQ$5, COUNTIF($M108:BP108,"u")=0), "u", "")</f>
        <v/>
      </c>
      <c r="BR108" s="80" t="str">
        <f>IF(AND($F108&lt;&gt;"", $F108&gt;=BR$5-4, $F108&lt;=BR$5, COUNTIF($M108:BQ108,"u")=0), "u", "")</f>
        <v/>
      </c>
      <c r="BS108" s="80" t="str">
        <f>IF(AND($F108&lt;&gt;"", $F108&gt;=BS$5-4, $F108&lt;=BS$5, COUNTIF($M108:BR108,"u")=0), "u", "")</f>
        <v/>
      </c>
      <c r="BT108" s="80" t="str">
        <f>IF(AND($F108&lt;&gt;"", $F108&gt;=BT$5-4, $F108&lt;=BT$5, COUNTIF($M108:BS108,"u")=0), "u", "")</f>
        <v/>
      </c>
      <c r="BU108" s="80" t="str">
        <f>IF(AND($F108&lt;&gt;"", $F108&gt;=BU$5-4, $F108&lt;=BU$5, COUNTIF($M108:BT108,"u")=0), "u", "")</f>
        <v/>
      </c>
      <c r="BV108" s="80" t="str">
        <f>IF(AND($F108&lt;&gt;"", $F108&gt;=BV$5-4, $F108&lt;=BV$5, COUNTIF($M108:BU108,"u")=0), "u", "")</f>
        <v/>
      </c>
      <c r="BW108" s="80" t="str">
        <f>IF(AND($F108&lt;&gt;"", $F108&gt;=BW$5-4, $F108&lt;=BW$5, COUNTIF($M108:BV108,"u")=0), "u", "")</f>
        <v/>
      </c>
      <c r="BX108" s="80" t="str">
        <f>IF(AND($F108&lt;&gt;"", $F108&gt;=BX$5-4, $F108&lt;=BX$5, COUNTIF($M108:BW108,"u")=0), "u", "")</f>
        <v/>
      </c>
      <c r="BY108" s="80" t="str">
        <f>IF(AND($F108&lt;&gt;"", $F108&gt;=BY$5-4, $F108&lt;=BY$5, COUNTIF($M108:BX108,"u")=0), "u", "")</f>
        <v/>
      </c>
      <c r="BZ108" s="80" t="str">
        <f>IF(AND($F108&lt;&gt;"", $F108&gt;=BZ$5-4, $F108&lt;=BZ$5, COUNTIF($M108:BY108,"u")=0), "u", "")</f>
        <v/>
      </c>
      <c r="CA108" s="80" t="str">
        <f>IF(AND($F108&lt;&gt;"", $F108&gt;=CA$5-4, $F108&lt;=CA$5, COUNTIF($M108:BZ108,"u")=0), "u", "")</f>
        <v/>
      </c>
      <c r="CB108" s="80" t="str">
        <f>IF(AND($F108&lt;&gt;"", $F108&gt;=CB$5-4, $F108&lt;=CB$5, COUNTIF($M108:CA108,"u")=0), "u", "")</f>
        <v/>
      </c>
      <c r="CC108" s="80" t="str">
        <f>IF(AND($F108&lt;&gt;"", $F108&gt;=CC$5-4, $F108&lt;=CC$5, COUNTIF($M108:CB108,"u")=0), "u", "")</f>
        <v/>
      </c>
      <c r="CD108" s="80" t="str">
        <f>IF(AND($F108&lt;&gt;"", $F108&gt;=CD$5-4, $F108&lt;=CD$5, COUNTIF($M108:CC108,"u")=0), "u", "")</f>
        <v/>
      </c>
      <c r="CE108" s="80" t="str">
        <f>IF(AND($F108&lt;&gt;"", $F108&gt;=CE$5-4, $F108&lt;=CE$5, COUNTIF($M108:CD108,"u")=0), "u", "")</f>
        <v/>
      </c>
      <c r="CF108" s="80" t="str">
        <f>IF(AND($F108&lt;&gt;"", $F108&gt;=CF$5-4, $F108&lt;=CF$5, COUNTIF($M108:CE108,"u")=0), "u", "")</f>
        <v/>
      </c>
      <c r="CG108" s="80" t="str">
        <f>IF(AND($F108&lt;&gt;"", $F108&gt;=CG$5-4, $F108&lt;=CG$5, COUNTIF($M108:CF108,"u")=0), "u", "")</f>
        <v/>
      </c>
      <c r="CH108" s="80" t="str">
        <f>IF(AND($F108&lt;&gt;"", $F108&gt;=CH$5-4, $F108&lt;=CH$5, COUNTIF($M108:CG108,"u")=0), "u", "")</f>
        <v/>
      </c>
      <c r="CI108" s="80" t="str">
        <f>IF(AND($F108&lt;&gt;"", $F108&gt;=CI$5-4, $F108&lt;=CI$5, COUNTIF($M108:CH108,"u")=0), "u", "")</f>
        <v/>
      </c>
      <c r="CJ108" s="80" t="str">
        <f>IF(AND($F108&lt;&gt;"", $F108&gt;=CJ$5-4, $F108&lt;=CJ$5, COUNTIF($M108:CI108,"u")=0), "u", "")</f>
        <v/>
      </c>
      <c r="CK108" s="80" t="str">
        <f>IF(AND($F108&lt;&gt;"", $F108&gt;=CK$5-4, $F108&lt;=CK$5, COUNTIF($M108:CJ108,"u")=0), "u", "")</f>
        <v/>
      </c>
      <c r="CL108" s="80" t="str">
        <f>IF(AND($F108&lt;&gt;"", $F108&gt;=CL$5-4, $F108&lt;=CL$5, COUNTIF($M108:CK108,"u")=0), "u", "")</f>
        <v/>
      </c>
      <c r="CM108" s="80" t="str">
        <f>IF(AND($F108&lt;&gt;"", $F108&gt;=CM$5-4, $F108&lt;=CM$5, COUNTIF($M108:CL108,"u")=0), "u", "")</f>
        <v/>
      </c>
      <c r="CN108" s="80" t="str">
        <f>IF(AND($F108&lt;&gt;"", $F108&gt;=CN$5-4, $F108&lt;=CN$5, COUNTIF($M108:CM108,"u")=0), "u", "")</f>
        <v/>
      </c>
      <c r="CO108" s="80" t="str">
        <f>IF(AND($F108&lt;&gt;"", $F108&gt;=CO$5-4, $F108&lt;=CO$5, COUNTIF($M108:CN108,"u")=0), "u", "")</f>
        <v/>
      </c>
      <c r="CP108" s="80" t="str">
        <f>IF(AND($F108&lt;&gt;"", $F108&gt;=CP$5-4, $F108&lt;=CP$5, COUNTIF($M108:CO108,"u")=0), "u", "")</f>
        <v/>
      </c>
      <c r="CQ108" s="80" t="str">
        <f>IF(AND($F108&lt;&gt;"", $F108&gt;=CQ$5-4, $F108&lt;=CQ$5, COUNTIF($M108:CP108,"u")=0), "u", "")</f>
        <v/>
      </c>
      <c r="CR108" s="80" t="str">
        <f>IF(AND($F108&lt;&gt;"", $F108&gt;=CR$5-4, $F108&lt;=CR$5, COUNTIF($M108:CQ108,"u")=0), "u", "")</f>
        <v/>
      </c>
      <c r="CS108" s="80" t="str">
        <f>IF(AND($F108&lt;&gt;"", $F108&gt;=CS$5-4, $F108&lt;=CS$5, COUNTIF($M108:CR108,"u")=0), "u", "")</f>
        <v/>
      </c>
      <c r="CT108" s="80" t="str">
        <f>IF(AND($F108&lt;&gt;"", $F108&gt;=CT$5-4, $F108&lt;=CT$5, COUNTIF($M108:CS108,"u")=0), "u", "")</f>
        <v/>
      </c>
      <c r="CU108" s="80" t="str">
        <f>IF(AND($F108&lt;&gt;"", $F108&gt;=CU$5-4, $F108&lt;=CU$5, COUNTIF($M108:CT108,"u")=0), "u", "")</f>
        <v/>
      </c>
      <c r="CV108" s="80" t="str">
        <f>IF(AND($F108&lt;&gt;"", $F108&gt;=CV$5-4, $F108&lt;=CV$5, COUNTIF($M108:CU108,"u")=0), "u", "")</f>
        <v/>
      </c>
      <c r="CW108" s="80" t="str">
        <f>IF(AND($F108&lt;&gt;"", $F108&gt;=CW$5-4, $F108&lt;=CW$5, COUNTIF($M108:CV108,"u")=0), "u", "")</f>
        <v/>
      </c>
      <c r="CX108" s="80" t="str">
        <f>IF(AND($F108&lt;&gt;"", $F108&gt;=CX$5-4, $F108&lt;=CX$5, COUNTIF($M108:CW108,"u")=0), "u", "")</f>
        <v/>
      </c>
      <c r="CY108" s="80" t="str">
        <f>IF(AND($F108&lt;&gt;"", $F108&gt;=CY$5-4, $F108&lt;=CY$5, COUNTIF($M108:CX108,"u")=0), "u", "")</f>
        <v/>
      </c>
      <c r="CZ108" s="80" t="str">
        <f>IF(AND($F108&lt;&gt;"", $F108&gt;=CZ$5-4, $F108&lt;=CZ$5, COUNTIF($M108:CY108,"u")=0), "u", "")</f>
        <v/>
      </c>
      <c r="DA108" s="80" t="str">
        <f>IF(AND($F108&lt;&gt;"", $F108&gt;=DA$5-4, $F108&lt;=DA$5, COUNTIF($M108:CZ108,"u")=0), "u", "")</f>
        <v/>
      </c>
      <c r="DB108" s="80" t="str">
        <f>IF(AND($F108&lt;&gt;"", $F108&gt;=DB$5-4, $F108&lt;=DB$5, COUNTIF($M108:DA108,"u")=0), "u", "")</f>
        <v/>
      </c>
      <c r="DC108" s="80" t="str">
        <f>IF(AND($F108&lt;&gt;"", $F108&gt;=DC$5-4, $F108&lt;=DC$5, COUNTIF($M108:DB108,"u")=0), "u", "")</f>
        <v/>
      </c>
      <c r="DD108" s="80" t="str">
        <f>IF(AND($F108&lt;&gt;"", $F108&gt;=DD$5-4, $F108&lt;=DD$5, COUNTIF($M108:DC108,"u")=0), "u", "")</f>
        <v/>
      </c>
      <c r="DE108" s="80" t="str">
        <f>IF(AND($F108&lt;&gt;"", $F108&gt;=DE$5-4, $F108&lt;=DE$5, COUNTIF($M108:DD108,"u")=0), "u", "")</f>
        <v/>
      </c>
      <c r="DF108" s="80" t="str">
        <f>IF(AND($F108&lt;&gt;"", $F108&gt;=DF$5-4, $F108&lt;=DF$5, COUNTIF($M108:DE108,"u")=0), "u", "")</f>
        <v/>
      </c>
      <c r="DG108" s="80" t="str">
        <f>IF(AND($F108&lt;&gt;"", $F108&gt;=DG$5-4, $F108&lt;=DG$5, COUNTIF($M108:DF108,"u")=0), "u", "")</f>
        <v/>
      </c>
      <c r="DH108" s="80" t="str">
        <f>IF(AND($F108&lt;&gt;"", $F108&gt;=DH$5-4, $F108&lt;=DH$5, COUNTIF($M108:DG108,"u")=0), "u", "")</f>
        <v/>
      </c>
      <c r="DI108" s="80" t="str">
        <f>IF(AND($F108&lt;&gt;"", $F108&gt;=DI$5-4, $F108&lt;=DI$5, COUNTIF($M108:DH108,"u")=0), "u", "")</f>
        <v/>
      </c>
      <c r="DJ108" s="80" t="str">
        <f>IF(AND($F108&lt;&gt;"", $F108&gt;=DJ$5-4, $F108&lt;=DJ$5, COUNTIF($M108:DI108,"u")=0), "u", "")</f>
        <v/>
      </c>
      <c r="DK108" s="80" t="str">
        <f>IF(AND($F108&lt;&gt;"", $F108&gt;=DK$5-4, $F108&lt;=DK$5, COUNTIF($M108:DJ108,"u")=0), "u", "")</f>
        <v/>
      </c>
      <c r="DL108" s="80" t="str">
        <f>IF(AND($F108&lt;&gt;"", $F108&gt;=DL$5-4, $F108&lt;=DL$5, COUNTIF($M108:DK108,"u")=0), "u", "")</f>
        <v/>
      </c>
    </row>
    <row r="109" spans="1:116" ht="25.05" customHeight="1" x14ac:dyDescent="0.3">
      <c r="A109" s="39"/>
      <c r="B109" s="75">
        <v>104</v>
      </c>
      <c r="C109" s="97"/>
      <c r="D109" s="92"/>
      <c r="E109" s="53"/>
      <c r="F109" s="53"/>
      <c r="G109" s="83" t="str">
        <f t="shared" si="50"/>
        <v/>
      </c>
      <c r="H109" s="83" t="str">
        <f t="shared" si="50"/>
        <v/>
      </c>
      <c r="I109" s="77" t="str">
        <f t="shared" si="48"/>
        <v/>
      </c>
      <c r="J109" s="78"/>
      <c r="K109" s="86"/>
      <c r="L109" s="56"/>
      <c r="M109" s="80" t="str">
        <f t="shared" si="49"/>
        <v/>
      </c>
      <c r="N109" s="80" t="str">
        <f>IF(AND($F109&lt;&gt;"", $F109&gt;=N$5-4, $F109&lt;=N$5, COUNTIF($M109:M109,"u")=0), "u", "")</f>
        <v/>
      </c>
      <c r="O109" s="80" t="str">
        <f>IF(AND($F109&lt;&gt;"", $F109&gt;=O$5-4, $F109&lt;=O$5, COUNTIF($M109:N109,"u")=0), "u", "")</f>
        <v/>
      </c>
      <c r="P109" s="80" t="str">
        <f>IF(AND($F109&lt;&gt;"", $F109&gt;=P$5-4, $F109&lt;=P$5, COUNTIF($M109:O109,"u")=0), "u", "")</f>
        <v/>
      </c>
      <c r="Q109" s="80" t="str">
        <f>IF(AND($F109&lt;&gt;"", $F109&gt;=Q$5-4, $F109&lt;=Q$5, COUNTIF($M109:P109,"u")=0), "u", "")</f>
        <v/>
      </c>
      <c r="R109" s="80" t="str">
        <f>IF(AND($F109&lt;&gt;"", $F109&gt;=R$5-4, $F109&lt;=R$5, COUNTIF($M109:Q109,"u")=0), "u", "")</f>
        <v/>
      </c>
      <c r="S109" s="80" t="str">
        <f>IF(AND($F109&lt;&gt;"", $F109&gt;=S$5-4, $F109&lt;=S$5, COUNTIF($M109:R109,"u")=0), "u", "")</f>
        <v/>
      </c>
      <c r="T109" s="80" t="str">
        <f>IF(AND($F109&lt;&gt;"", $F109&gt;=T$5-4, $F109&lt;=T$5, COUNTIF($M109:S109,"u")=0), "u", "")</f>
        <v/>
      </c>
      <c r="U109" s="80" t="str">
        <f>IF(AND($F109&lt;&gt;"", $F109&gt;=U$5-4, $F109&lt;=U$5, COUNTIF($M109:T109,"u")=0), "u", "")</f>
        <v/>
      </c>
      <c r="V109" s="80" t="str">
        <f>IF(AND($F109&lt;&gt;"", $F109&gt;=V$5-4, $F109&lt;=V$5, COUNTIF($M109:U109,"u")=0), "u", "")</f>
        <v/>
      </c>
      <c r="W109" s="80" t="str">
        <f>IF(AND($F109&lt;&gt;"", $F109&gt;=W$5-4, $F109&lt;=W$5, COUNTIF($M109:V109,"u")=0), "u", "")</f>
        <v/>
      </c>
      <c r="X109" s="80" t="str">
        <f>IF(AND($F109&lt;&gt;"", $F109&gt;=X$5-4, $F109&lt;=X$5, COUNTIF($M109:W109,"u")=0), "u", "")</f>
        <v/>
      </c>
      <c r="Y109" s="80" t="str">
        <f>IF(AND($F109&lt;&gt;"", $F109&gt;=Y$5-4, $F109&lt;=Y$5, COUNTIF($M109:X109,"u")=0), "u", "")</f>
        <v/>
      </c>
      <c r="Z109" s="80" t="str">
        <f>IF(AND($F109&lt;&gt;"", $F109&gt;=Z$5-4, $F109&lt;=Z$5, COUNTIF($M109:Y109,"u")=0), "u", "")</f>
        <v/>
      </c>
      <c r="AA109" s="80" t="str">
        <f>IF(AND($F109&lt;&gt;"", $F109&gt;=AA$5-4, $F109&lt;=AA$5, COUNTIF($M109:Z109,"u")=0), "u", "")</f>
        <v/>
      </c>
      <c r="AB109" s="80" t="str">
        <f>IF(AND($F109&lt;&gt;"", $F109&gt;=AB$5-4, $F109&lt;=AB$5, COUNTIF($M109:AA109,"u")=0), "u", "")</f>
        <v/>
      </c>
      <c r="AC109" s="80" t="str">
        <f>IF(AND($F109&lt;&gt;"", $F109&gt;=AC$5-4, $F109&lt;=AC$5, COUNTIF($M109:AB109,"u")=0), "u", "")</f>
        <v/>
      </c>
      <c r="AD109" s="80" t="str">
        <f>IF(AND($F109&lt;&gt;"", $F109&gt;=AD$5-4, $F109&lt;=AD$5, COUNTIF($M109:AC109,"u")=0), "u", "")</f>
        <v/>
      </c>
      <c r="AE109" s="80" t="str">
        <f>IF(AND($F109&lt;&gt;"", $F109&gt;=AE$5-4, $F109&lt;=AE$5, COUNTIF($M109:AD109,"u")=0), "u", "")</f>
        <v/>
      </c>
      <c r="AF109" s="80" t="str">
        <f>IF(AND($F109&lt;&gt;"", $F109&gt;=AF$5-4, $F109&lt;=AF$5, COUNTIF($M109:AE109,"u")=0), "u", "")</f>
        <v/>
      </c>
      <c r="AG109" s="80" t="str">
        <f>IF(AND($F109&lt;&gt;"", $F109&gt;=AG$5-4, $F109&lt;=AG$5, COUNTIF($M109:AF109,"u")=0), "u", "")</f>
        <v/>
      </c>
      <c r="AH109" s="80" t="str">
        <f>IF(AND($F109&lt;&gt;"", $F109&gt;=AH$5-4, $F109&lt;=AH$5, COUNTIF($M109:AG109,"u")=0), "u", "")</f>
        <v/>
      </c>
      <c r="AI109" s="80" t="str">
        <f>IF(AND($F109&lt;&gt;"", $F109&gt;=AI$5-4, $F109&lt;=AI$5, COUNTIF($M109:AH109,"u")=0), "u", "")</f>
        <v/>
      </c>
      <c r="AJ109" s="80" t="str">
        <f>IF(AND($F109&lt;&gt;"", $F109&gt;=AJ$5-4, $F109&lt;=AJ$5, COUNTIF($M109:AI109,"u")=0), "u", "")</f>
        <v/>
      </c>
      <c r="AK109" s="80" t="str">
        <f>IF(AND($F109&lt;&gt;"", $F109&gt;=AK$5-4, $F109&lt;=AK$5, COUNTIF($M109:AJ109,"u")=0), "u", "")</f>
        <v/>
      </c>
      <c r="AL109" s="80" t="str">
        <f>IF(AND($F109&lt;&gt;"", $F109&gt;=AL$5-4, $F109&lt;=AL$5, COUNTIF($M109:AK109,"u")=0), "u", "")</f>
        <v/>
      </c>
      <c r="AM109" s="80" t="str">
        <f>IF(AND($F109&lt;&gt;"", $F109&gt;=AM$5-4, $F109&lt;=AM$5, COUNTIF($M109:AL109,"u")=0), "u", "")</f>
        <v/>
      </c>
      <c r="AN109" s="80" t="str">
        <f>IF(AND($F109&lt;&gt;"", $F109&gt;=AN$5-4, $F109&lt;=AN$5, COUNTIF($M109:AM109,"u")=0), "u", "")</f>
        <v/>
      </c>
      <c r="AO109" s="80" t="str">
        <f>IF(AND($F109&lt;&gt;"", $F109&gt;=AO$5-4, $F109&lt;=AO$5, COUNTIF($M109:AN109,"u")=0), "u", "")</f>
        <v/>
      </c>
      <c r="AP109" s="80" t="str">
        <f>IF(AND($F109&lt;&gt;"", $F109&gt;=AP$5-4, $F109&lt;=AP$5, COUNTIF($M109:AO109,"u")=0), "u", "")</f>
        <v/>
      </c>
      <c r="AQ109" s="80" t="str">
        <f>IF(AND($F109&lt;&gt;"", $F109&gt;=AQ$5-4, $F109&lt;=AQ$5, COUNTIF($M109:AP109,"u")=0), "u", "")</f>
        <v/>
      </c>
      <c r="AR109" s="80" t="str">
        <f>IF(AND($F109&lt;&gt;"", $F109&gt;=AR$5-4, $F109&lt;=AR$5, COUNTIF($M109:AQ109,"u")=0), "u", "")</f>
        <v/>
      </c>
      <c r="AS109" s="80" t="str">
        <f>IF(AND($F109&lt;&gt;"", $F109&gt;=AS$5-4, $F109&lt;=AS$5, COUNTIF($M109:AR109,"u")=0), "u", "")</f>
        <v/>
      </c>
      <c r="AT109" s="80" t="str">
        <f>IF(AND($F109&lt;&gt;"", $F109&gt;=AT$5-4, $F109&lt;=AT$5, COUNTIF($M109:AS109,"u")=0), "u", "")</f>
        <v/>
      </c>
      <c r="AU109" s="80" t="str">
        <f>IF(AND($F109&lt;&gt;"", $F109&gt;=AU$5-4, $F109&lt;=AU$5, COUNTIF($M109:AT109,"u")=0), "u", "")</f>
        <v/>
      </c>
      <c r="AV109" s="80" t="str">
        <f>IF(AND($F109&lt;&gt;"", $F109&gt;=AV$5-4, $F109&lt;=AV$5, COUNTIF($M109:AU109,"u")=0), "u", "")</f>
        <v/>
      </c>
      <c r="AW109" s="80" t="str">
        <f>IF(AND($F109&lt;&gt;"", $F109&gt;=AW$5-4, $F109&lt;=AW$5, COUNTIF($M109:AV109,"u")=0), "u", "")</f>
        <v/>
      </c>
      <c r="AX109" s="80" t="str">
        <f>IF(AND($F109&lt;&gt;"", $F109&gt;=AX$5-4, $F109&lt;=AX$5, COUNTIF($M109:AW109,"u")=0), "u", "")</f>
        <v/>
      </c>
      <c r="AY109" s="80" t="str">
        <f>IF(AND($F109&lt;&gt;"", $F109&gt;=AY$5-4, $F109&lt;=AY$5, COUNTIF($M109:AX109,"u")=0), "u", "")</f>
        <v/>
      </c>
      <c r="AZ109" s="80" t="str">
        <f>IF(AND($F109&lt;&gt;"", $F109&gt;=AZ$5-4, $F109&lt;=AZ$5, COUNTIF($M109:AY109,"u")=0), "u", "")</f>
        <v/>
      </c>
      <c r="BA109" s="80" t="str">
        <f>IF(AND($F109&lt;&gt;"", $F109&gt;=BA$5-4, $F109&lt;=BA$5, COUNTIF($M109:AZ109,"u")=0), "u", "")</f>
        <v/>
      </c>
      <c r="BB109" s="80" t="str">
        <f>IF(AND($F109&lt;&gt;"", $F109&gt;=BB$5-4, $F109&lt;=BB$5, COUNTIF($M109:BA109,"u")=0), "u", "")</f>
        <v/>
      </c>
      <c r="BC109" s="80" t="str">
        <f>IF(AND($F109&lt;&gt;"", $F109&gt;=BC$5-4, $F109&lt;=BC$5, COUNTIF($M109:BB109,"u")=0), "u", "")</f>
        <v/>
      </c>
      <c r="BD109" s="80" t="str">
        <f>IF(AND($F109&lt;&gt;"", $F109&gt;=BD$5-4, $F109&lt;=BD$5, COUNTIF($M109:BC109,"u")=0), "u", "")</f>
        <v/>
      </c>
      <c r="BE109" s="80" t="str">
        <f>IF(AND($F109&lt;&gt;"", $F109&gt;=BE$5-4, $F109&lt;=BE$5, COUNTIF($M109:BD109,"u")=0), "u", "")</f>
        <v/>
      </c>
      <c r="BF109" s="80" t="str">
        <f>IF(AND($F109&lt;&gt;"", $F109&gt;=BF$5-4, $F109&lt;=BF$5, COUNTIF($M109:BE109,"u")=0), "u", "")</f>
        <v/>
      </c>
      <c r="BG109" s="80" t="str">
        <f>IF(AND($F109&lt;&gt;"", $F109&gt;=BG$5-4, $F109&lt;=BG$5, COUNTIF($M109:BF109,"u")=0), "u", "")</f>
        <v/>
      </c>
      <c r="BH109" s="80" t="str">
        <f>IF(AND($F109&lt;&gt;"", $F109&gt;=BH$5-4, $F109&lt;=BH$5, COUNTIF($M109:BG109,"u")=0), "u", "")</f>
        <v/>
      </c>
      <c r="BI109" s="80" t="str">
        <f>IF(AND($F109&lt;&gt;"", $F109&gt;=BI$5-4, $F109&lt;=BI$5, COUNTIF($M109:BH109,"u")=0), "u", "")</f>
        <v/>
      </c>
      <c r="BJ109" s="80" t="str">
        <f>IF(AND($F109&lt;&gt;"", $F109&gt;=BJ$5-4, $F109&lt;=BJ$5, COUNTIF($M109:BI109,"u")=0), "u", "")</f>
        <v/>
      </c>
      <c r="BK109" s="80" t="str">
        <f>IF(AND($F109&lt;&gt;"", $F109&gt;=BK$5-4, $F109&lt;=BK$5, COUNTIF($M109:BJ109,"u")=0), "u", "")</f>
        <v/>
      </c>
      <c r="BL109" s="80" t="str">
        <f>IF(AND($F109&lt;&gt;"", $F109&gt;=BL$5-4, $F109&lt;=BL$5, COUNTIF($M109:BK109,"u")=0), "u", "")</f>
        <v/>
      </c>
      <c r="BM109" s="80" t="str">
        <f>IF(AND($F109&lt;&gt;"", $F109&gt;=BM$5-4, $F109&lt;=BM$5, COUNTIF($M109:BL109,"u")=0), "u", "")</f>
        <v/>
      </c>
      <c r="BN109" s="80" t="str">
        <f>IF(AND($F109&lt;&gt;"", $F109&gt;=BN$5-4, $F109&lt;=BN$5, COUNTIF($M109:BM109,"u")=0), "u", "")</f>
        <v/>
      </c>
      <c r="BO109" s="80" t="str">
        <f>IF(AND($F109&lt;&gt;"", $F109&gt;=BO$5-4, $F109&lt;=BO$5, COUNTIF($M109:BN109,"u")=0), "u", "")</f>
        <v/>
      </c>
      <c r="BP109" s="80" t="str">
        <f>IF(AND($F109&lt;&gt;"", $F109&gt;=BP$5-4, $F109&lt;=BP$5, COUNTIF($M109:BO109,"u")=0), "u", "")</f>
        <v/>
      </c>
      <c r="BQ109" s="80" t="str">
        <f>IF(AND($F109&lt;&gt;"", $F109&gt;=BQ$5-4, $F109&lt;=BQ$5, COUNTIF($M109:BP109,"u")=0), "u", "")</f>
        <v/>
      </c>
      <c r="BR109" s="80" t="str">
        <f>IF(AND($F109&lt;&gt;"", $F109&gt;=BR$5-4, $F109&lt;=BR$5, COUNTIF($M109:BQ109,"u")=0), "u", "")</f>
        <v/>
      </c>
      <c r="BS109" s="80" t="str">
        <f>IF(AND($F109&lt;&gt;"", $F109&gt;=BS$5-4, $F109&lt;=BS$5, COUNTIF($M109:BR109,"u")=0), "u", "")</f>
        <v/>
      </c>
      <c r="BT109" s="80" t="str">
        <f>IF(AND($F109&lt;&gt;"", $F109&gt;=BT$5-4, $F109&lt;=BT$5, COUNTIF($M109:BS109,"u")=0), "u", "")</f>
        <v/>
      </c>
      <c r="BU109" s="80" t="str">
        <f>IF(AND($F109&lt;&gt;"", $F109&gt;=BU$5-4, $F109&lt;=BU$5, COUNTIF($M109:BT109,"u")=0), "u", "")</f>
        <v/>
      </c>
      <c r="BV109" s="80" t="str">
        <f>IF(AND($F109&lt;&gt;"", $F109&gt;=BV$5-4, $F109&lt;=BV$5, COUNTIF($M109:BU109,"u")=0), "u", "")</f>
        <v/>
      </c>
      <c r="BW109" s="80" t="str">
        <f>IF(AND($F109&lt;&gt;"", $F109&gt;=BW$5-4, $F109&lt;=BW$5, COUNTIF($M109:BV109,"u")=0), "u", "")</f>
        <v/>
      </c>
      <c r="BX109" s="80" t="str">
        <f>IF(AND($F109&lt;&gt;"", $F109&gt;=BX$5-4, $F109&lt;=BX$5, COUNTIF($M109:BW109,"u")=0), "u", "")</f>
        <v/>
      </c>
      <c r="BY109" s="80" t="str">
        <f>IF(AND($F109&lt;&gt;"", $F109&gt;=BY$5-4, $F109&lt;=BY$5, COUNTIF($M109:BX109,"u")=0), "u", "")</f>
        <v/>
      </c>
      <c r="BZ109" s="80" t="str">
        <f>IF(AND($F109&lt;&gt;"", $F109&gt;=BZ$5-4, $F109&lt;=BZ$5, COUNTIF($M109:BY109,"u")=0), "u", "")</f>
        <v/>
      </c>
      <c r="CA109" s="80" t="str">
        <f>IF(AND($F109&lt;&gt;"", $F109&gt;=CA$5-4, $F109&lt;=CA$5, COUNTIF($M109:BZ109,"u")=0), "u", "")</f>
        <v/>
      </c>
      <c r="CB109" s="80" t="str">
        <f>IF(AND($F109&lt;&gt;"", $F109&gt;=CB$5-4, $F109&lt;=CB$5, COUNTIF($M109:CA109,"u")=0), "u", "")</f>
        <v/>
      </c>
      <c r="CC109" s="80" t="str">
        <f>IF(AND($F109&lt;&gt;"", $F109&gt;=CC$5-4, $F109&lt;=CC$5, COUNTIF($M109:CB109,"u")=0), "u", "")</f>
        <v/>
      </c>
      <c r="CD109" s="80" t="str">
        <f>IF(AND($F109&lt;&gt;"", $F109&gt;=CD$5-4, $F109&lt;=CD$5, COUNTIF($M109:CC109,"u")=0), "u", "")</f>
        <v/>
      </c>
      <c r="CE109" s="80" t="str">
        <f>IF(AND($F109&lt;&gt;"", $F109&gt;=CE$5-4, $F109&lt;=CE$5, COUNTIF($M109:CD109,"u")=0), "u", "")</f>
        <v/>
      </c>
      <c r="CF109" s="80" t="str">
        <f>IF(AND($F109&lt;&gt;"", $F109&gt;=CF$5-4, $F109&lt;=CF$5, COUNTIF($M109:CE109,"u")=0), "u", "")</f>
        <v/>
      </c>
      <c r="CG109" s="80" t="str">
        <f>IF(AND($F109&lt;&gt;"", $F109&gt;=CG$5-4, $F109&lt;=CG$5, COUNTIF($M109:CF109,"u")=0), "u", "")</f>
        <v/>
      </c>
      <c r="CH109" s="80" t="str">
        <f>IF(AND($F109&lt;&gt;"", $F109&gt;=CH$5-4, $F109&lt;=CH$5, COUNTIF($M109:CG109,"u")=0), "u", "")</f>
        <v/>
      </c>
      <c r="CI109" s="80" t="str">
        <f>IF(AND($F109&lt;&gt;"", $F109&gt;=CI$5-4, $F109&lt;=CI$5, COUNTIF($M109:CH109,"u")=0), "u", "")</f>
        <v/>
      </c>
      <c r="CJ109" s="80" t="str">
        <f>IF(AND($F109&lt;&gt;"", $F109&gt;=CJ$5-4, $F109&lt;=CJ$5, COUNTIF($M109:CI109,"u")=0), "u", "")</f>
        <v/>
      </c>
      <c r="CK109" s="80" t="str">
        <f>IF(AND($F109&lt;&gt;"", $F109&gt;=CK$5-4, $F109&lt;=CK$5, COUNTIF($M109:CJ109,"u")=0), "u", "")</f>
        <v/>
      </c>
      <c r="CL109" s="80" t="str">
        <f>IF(AND($F109&lt;&gt;"", $F109&gt;=CL$5-4, $F109&lt;=CL$5, COUNTIF($M109:CK109,"u")=0), "u", "")</f>
        <v/>
      </c>
      <c r="CM109" s="80" t="str">
        <f>IF(AND($F109&lt;&gt;"", $F109&gt;=CM$5-4, $F109&lt;=CM$5, COUNTIF($M109:CL109,"u")=0), "u", "")</f>
        <v/>
      </c>
      <c r="CN109" s="80" t="str">
        <f>IF(AND($F109&lt;&gt;"", $F109&gt;=CN$5-4, $F109&lt;=CN$5, COUNTIF($M109:CM109,"u")=0), "u", "")</f>
        <v/>
      </c>
      <c r="CO109" s="80" t="str">
        <f>IF(AND($F109&lt;&gt;"", $F109&gt;=CO$5-4, $F109&lt;=CO$5, COUNTIF($M109:CN109,"u")=0), "u", "")</f>
        <v/>
      </c>
      <c r="CP109" s="80" t="str">
        <f>IF(AND($F109&lt;&gt;"", $F109&gt;=CP$5-4, $F109&lt;=CP$5, COUNTIF($M109:CO109,"u")=0), "u", "")</f>
        <v/>
      </c>
      <c r="CQ109" s="80" t="str">
        <f>IF(AND($F109&lt;&gt;"", $F109&gt;=CQ$5-4, $F109&lt;=CQ$5, COUNTIF($M109:CP109,"u")=0), "u", "")</f>
        <v/>
      </c>
      <c r="CR109" s="80" t="str">
        <f>IF(AND($F109&lt;&gt;"", $F109&gt;=CR$5-4, $F109&lt;=CR$5, COUNTIF($M109:CQ109,"u")=0), "u", "")</f>
        <v/>
      </c>
      <c r="CS109" s="80" t="str">
        <f>IF(AND($F109&lt;&gt;"", $F109&gt;=CS$5-4, $F109&lt;=CS$5, COUNTIF($M109:CR109,"u")=0), "u", "")</f>
        <v/>
      </c>
      <c r="CT109" s="80" t="str">
        <f>IF(AND($F109&lt;&gt;"", $F109&gt;=CT$5-4, $F109&lt;=CT$5, COUNTIF($M109:CS109,"u")=0), "u", "")</f>
        <v/>
      </c>
      <c r="CU109" s="80" t="str">
        <f>IF(AND($F109&lt;&gt;"", $F109&gt;=CU$5-4, $F109&lt;=CU$5, COUNTIF($M109:CT109,"u")=0), "u", "")</f>
        <v/>
      </c>
      <c r="CV109" s="80" t="str">
        <f>IF(AND($F109&lt;&gt;"", $F109&gt;=CV$5-4, $F109&lt;=CV$5, COUNTIF($M109:CU109,"u")=0), "u", "")</f>
        <v/>
      </c>
      <c r="CW109" s="80" t="str">
        <f>IF(AND($F109&lt;&gt;"", $F109&gt;=CW$5-4, $F109&lt;=CW$5, COUNTIF($M109:CV109,"u")=0), "u", "")</f>
        <v/>
      </c>
      <c r="CX109" s="80" t="str">
        <f>IF(AND($F109&lt;&gt;"", $F109&gt;=CX$5-4, $F109&lt;=CX$5, COUNTIF($M109:CW109,"u")=0), "u", "")</f>
        <v/>
      </c>
      <c r="CY109" s="80" t="str">
        <f>IF(AND($F109&lt;&gt;"", $F109&gt;=CY$5-4, $F109&lt;=CY$5, COUNTIF($M109:CX109,"u")=0), "u", "")</f>
        <v/>
      </c>
      <c r="CZ109" s="80" t="str">
        <f>IF(AND($F109&lt;&gt;"", $F109&gt;=CZ$5-4, $F109&lt;=CZ$5, COUNTIF($M109:CY109,"u")=0), "u", "")</f>
        <v/>
      </c>
      <c r="DA109" s="80" t="str">
        <f>IF(AND($F109&lt;&gt;"", $F109&gt;=DA$5-4, $F109&lt;=DA$5, COUNTIF($M109:CZ109,"u")=0), "u", "")</f>
        <v/>
      </c>
      <c r="DB109" s="80" t="str">
        <f>IF(AND($F109&lt;&gt;"", $F109&gt;=DB$5-4, $F109&lt;=DB$5, COUNTIF($M109:DA109,"u")=0), "u", "")</f>
        <v/>
      </c>
      <c r="DC109" s="80" t="str">
        <f>IF(AND($F109&lt;&gt;"", $F109&gt;=DC$5-4, $F109&lt;=DC$5, COUNTIF($M109:DB109,"u")=0), "u", "")</f>
        <v/>
      </c>
      <c r="DD109" s="80" t="str">
        <f>IF(AND($F109&lt;&gt;"", $F109&gt;=DD$5-4, $F109&lt;=DD$5, COUNTIF($M109:DC109,"u")=0), "u", "")</f>
        <v/>
      </c>
      <c r="DE109" s="80" t="str">
        <f>IF(AND($F109&lt;&gt;"", $F109&gt;=DE$5-4, $F109&lt;=DE$5, COUNTIF($M109:DD109,"u")=0), "u", "")</f>
        <v/>
      </c>
      <c r="DF109" s="80" t="str">
        <f>IF(AND($F109&lt;&gt;"", $F109&gt;=DF$5-4, $F109&lt;=DF$5, COUNTIF($M109:DE109,"u")=0), "u", "")</f>
        <v/>
      </c>
      <c r="DG109" s="80" t="str">
        <f>IF(AND($F109&lt;&gt;"", $F109&gt;=DG$5-4, $F109&lt;=DG$5, COUNTIF($M109:DF109,"u")=0), "u", "")</f>
        <v/>
      </c>
      <c r="DH109" s="80" t="str">
        <f>IF(AND($F109&lt;&gt;"", $F109&gt;=DH$5-4, $F109&lt;=DH$5, COUNTIF($M109:DG109,"u")=0), "u", "")</f>
        <v/>
      </c>
      <c r="DI109" s="80" t="str">
        <f>IF(AND($F109&lt;&gt;"", $F109&gt;=DI$5-4, $F109&lt;=DI$5, COUNTIF($M109:DH109,"u")=0), "u", "")</f>
        <v/>
      </c>
      <c r="DJ109" s="80" t="str">
        <f>IF(AND($F109&lt;&gt;"", $F109&gt;=DJ$5-4, $F109&lt;=DJ$5, COUNTIF($M109:DI109,"u")=0), "u", "")</f>
        <v/>
      </c>
      <c r="DK109" s="80" t="str">
        <f>IF(AND($F109&lt;&gt;"", $F109&gt;=DK$5-4, $F109&lt;=DK$5, COUNTIF($M109:DJ109,"u")=0), "u", "")</f>
        <v/>
      </c>
      <c r="DL109" s="80" t="str">
        <f>IF(AND($F109&lt;&gt;"", $F109&gt;=DL$5-4, $F109&lt;=DL$5, COUNTIF($M109:DK109,"u")=0), "u", "")</f>
        <v/>
      </c>
    </row>
    <row r="110" spans="1:116" ht="25.05" customHeight="1" x14ac:dyDescent="0.3">
      <c r="A110" s="39"/>
      <c r="B110" s="75">
        <v>105</v>
      </c>
      <c r="C110" s="97"/>
      <c r="D110" s="92"/>
      <c r="E110" s="53"/>
      <c r="F110" s="53"/>
      <c r="G110" s="83" t="str">
        <f t="shared" si="50"/>
        <v/>
      </c>
      <c r="H110" s="83" t="str">
        <f t="shared" si="50"/>
        <v/>
      </c>
      <c r="I110" s="77" t="str">
        <f t="shared" si="48"/>
        <v/>
      </c>
      <c r="J110" s="78"/>
      <c r="K110" s="86"/>
      <c r="L110" s="56"/>
      <c r="M110" s="80" t="str">
        <f t="shared" si="49"/>
        <v/>
      </c>
      <c r="N110" s="80" t="str">
        <f>IF(AND($F110&lt;&gt;"", $F110&gt;=N$5-4, $F110&lt;=N$5, COUNTIF($M110:M110,"u")=0), "u", "")</f>
        <v/>
      </c>
      <c r="O110" s="80" t="str">
        <f>IF(AND($F110&lt;&gt;"", $F110&gt;=O$5-4, $F110&lt;=O$5, COUNTIF($M110:N110,"u")=0), "u", "")</f>
        <v/>
      </c>
      <c r="P110" s="80" t="str">
        <f>IF(AND($F110&lt;&gt;"", $F110&gt;=P$5-4, $F110&lt;=P$5, COUNTIF($M110:O110,"u")=0), "u", "")</f>
        <v/>
      </c>
      <c r="Q110" s="80" t="str">
        <f>IF(AND($F110&lt;&gt;"", $F110&gt;=Q$5-4, $F110&lt;=Q$5, COUNTIF($M110:P110,"u")=0), "u", "")</f>
        <v/>
      </c>
      <c r="R110" s="80" t="str">
        <f>IF(AND($F110&lt;&gt;"", $F110&gt;=R$5-4, $F110&lt;=R$5, COUNTIF($M110:Q110,"u")=0), "u", "")</f>
        <v/>
      </c>
      <c r="S110" s="80" t="str">
        <f>IF(AND($F110&lt;&gt;"", $F110&gt;=S$5-4, $F110&lt;=S$5, COUNTIF($M110:R110,"u")=0), "u", "")</f>
        <v/>
      </c>
      <c r="T110" s="80" t="str">
        <f>IF(AND($F110&lt;&gt;"", $F110&gt;=T$5-4, $F110&lt;=T$5, COUNTIF($M110:S110,"u")=0), "u", "")</f>
        <v/>
      </c>
      <c r="U110" s="80" t="str">
        <f>IF(AND($F110&lt;&gt;"", $F110&gt;=U$5-4, $F110&lt;=U$5, COUNTIF($M110:T110,"u")=0), "u", "")</f>
        <v/>
      </c>
      <c r="V110" s="80" t="str">
        <f>IF(AND($F110&lt;&gt;"", $F110&gt;=V$5-4, $F110&lt;=V$5, COUNTIF($M110:U110,"u")=0), "u", "")</f>
        <v/>
      </c>
      <c r="W110" s="80" t="str">
        <f>IF(AND($F110&lt;&gt;"", $F110&gt;=W$5-4, $F110&lt;=W$5, COUNTIF($M110:V110,"u")=0), "u", "")</f>
        <v/>
      </c>
      <c r="X110" s="80" t="str">
        <f>IF(AND($F110&lt;&gt;"", $F110&gt;=X$5-4, $F110&lt;=X$5, COUNTIF($M110:W110,"u")=0), "u", "")</f>
        <v/>
      </c>
      <c r="Y110" s="80" t="str">
        <f>IF(AND($F110&lt;&gt;"", $F110&gt;=Y$5-4, $F110&lt;=Y$5, COUNTIF($M110:X110,"u")=0), "u", "")</f>
        <v/>
      </c>
      <c r="Z110" s="80" t="str">
        <f>IF(AND($F110&lt;&gt;"", $F110&gt;=Z$5-4, $F110&lt;=Z$5, COUNTIF($M110:Y110,"u")=0), "u", "")</f>
        <v/>
      </c>
      <c r="AA110" s="80" t="str">
        <f>IF(AND($F110&lt;&gt;"", $F110&gt;=AA$5-4, $F110&lt;=AA$5, COUNTIF($M110:Z110,"u")=0), "u", "")</f>
        <v/>
      </c>
      <c r="AB110" s="80" t="str">
        <f>IF(AND($F110&lt;&gt;"", $F110&gt;=AB$5-4, $F110&lt;=AB$5, COUNTIF($M110:AA110,"u")=0), "u", "")</f>
        <v/>
      </c>
      <c r="AC110" s="80" t="str">
        <f>IF(AND($F110&lt;&gt;"", $F110&gt;=AC$5-4, $F110&lt;=AC$5, COUNTIF($M110:AB110,"u")=0), "u", "")</f>
        <v/>
      </c>
      <c r="AD110" s="80" t="str">
        <f>IF(AND($F110&lt;&gt;"", $F110&gt;=AD$5-4, $F110&lt;=AD$5, COUNTIF($M110:AC110,"u")=0), "u", "")</f>
        <v/>
      </c>
      <c r="AE110" s="80" t="str">
        <f>IF(AND($F110&lt;&gt;"", $F110&gt;=AE$5-4, $F110&lt;=AE$5, COUNTIF($M110:AD110,"u")=0), "u", "")</f>
        <v/>
      </c>
      <c r="AF110" s="80" t="str">
        <f>IF(AND($F110&lt;&gt;"", $F110&gt;=AF$5-4, $F110&lt;=AF$5, COUNTIF($M110:AE110,"u")=0), "u", "")</f>
        <v/>
      </c>
      <c r="AG110" s="80" t="str">
        <f>IF(AND($F110&lt;&gt;"", $F110&gt;=AG$5-4, $F110&lt;=AG$5, COUNTIF($M110:AF110,"u")=0), "u", "")</f>
        <v/>
      </c>
      <c r="AH110" s="80" t="str">
        <f>IF(AND($F110&lt;&gt;"", $F110&gt;=AH$5-4, $F110&lt;=AH$5, COUNTIF($M110:AG110,"u")=0), "u", "")</f>
        <v/>
      </c>
      <c r="AI110" s="80" t="str">
        <f>IF(AND($F110&lt;&gt;"", $F110&gt;=AI$5-4, $F110&lt;=AI$5, COUNTIF($M110:AH110,"u")=0), "u", "")</f>
        <v/>
      </c>
      <c r="AJ110" s="80" t="str">
        <f>IF(AND($F110&lt;&gt;"", $F110&gt;=AJ$5-4, $F110&lt;=AJ$5, COUNTIF($M110:AI110,"u")=0), "u", "")</f>
        <v/>
      </c>
      <c r="AK110" s="80" t="str">
        <f>IF(AND($F110&lt;&gt;"", $F110&gt;=AK$5-4, $F110&lt;=AK$5, COUNTIF($M110:AJ110,"u")=0), "u", "")</f>
        <v/>
      </c>
      <c r="AL110" s="80" t="str">
        <f>IF(AND($F110&lt;&gt;"", $F110&gt;=AL$5-4, $F110&lt;=AL$5, COUNTIF($M110:AK110,"u")=0), "u", "")</f>
        <v/>
      </c>
      <c r="AM110" s="80" t="str">
        <f>IF(AND($F110&lt;&gt;"", $F110&gt;=AM$5-4, $F110&lt;=AM$5, COUNTIF($M110:AL110,"u")=0), "u", "")</f>
        <v/>
      </c>
      <c r="AN110" s="80" t="str">
        <f>IF(AND($F110&lt;&gt;"", $F110&gt;=AN$5-4, $F110&lt;=AN$5, COUNTIF($M110:AM110,"u")=0), "u", "")</f>
        <v/>
      </c>
      <c r="AO110" s="80" t="str">
        <f>IF(AND($F110&lt;&gt;"", $F110&gt;=AO$5-4, $F110&lt;=AO$5, COUNTIF($M110:AN110,"u")=0), "u", "")</f>
        <v/>
      </c>
      <c r="AP110" s="80" t="str">
        <f>IF(AND($F110&lt;&gt;"", $F110&gt;=AP$5-4, $F110&lt;=AP$5, COUNTIF($M110:AO110,"u")=0), "u", "")</f>
        <v/>
      </c>
      <c r="AQ110" s="80" t="str">
        <f>IF(AND($F110&lt;&gt;"", $F110&gt;=AQ$5-4, $F110&lt;=AQ$5, COUNTIF($M110:AP110,"u")=0), "u", "")</f>
        <v/>
      </c>
      <c r="AR110" s="80" t="str">
        <f>IF(AND($F110&lt;&gt;"", $F110&gt;=AR$5-4, $F110&lt;=AR$5, COUNTIF($M110:AQ110,"u")=0), "u", "")</f>
        <v/>
      </c>
      <c r="AS110" s="80" t="str">
        <f>IF(AND($F110&lt;&gt;"", $F110&gt;=AS$5-4, $F110&lt;=AS$5, COUNTIF($M110:AR110,"u")=0), "u", "")</f>
        <v/>
      </c>
      <c r="AT110" s="80" t="str">
        <f>IF(AND($F110&lt;&gt;"", $F110&gt;=AT$5-4, $F110&lt;=AT$5, COUNTIF($M110:AS110,"u")=0), "u", "")</f>
        <v/>
      </c>
      <c r="AU110" s="80" t="str">
        <f>IF(AND($F110&lt;&gt;"", $F110&gt;=AU$5-4, $F110&lt;=AU$5, COUNTIF($M110:AT110,"u")=0), "u", "")</f>
        <v/>
      </c>
      <c r="AV110" s="80" t="str">
        <f>IF(AND($F110&lt;&gt;"", $F110&gt;=AV$5-4, $F110&lt;=AV$5, COUNTIF($M110:AU110,"u")=0), "u", "")</f>
        <v/>
      </c>
      <c r="AW110" s="80" t="str">
        <f>IF(AND($F110&lt;&gt;"", $F110&gt;=AW$5-4, $F110&lt;=AW$5, COUNTIF($M110:AV110,"u")=0), "u", "")</f>
        <v/>
      </c>
      <c r="AX110" s="80" t="str">
        <f>IF(AND($F110&lt;&gt;"", $F110&gt;=AX$5-4, $F110&lt;=AX$5, COUNTIF($M110:AW110,"u")=0), "u", "")</f>
        <v/>
      </c>
      <c r="AY110" s="80" t="str">
        <f>IF(AND($F110&lt;&gt;"", $F110&gt;=AY$5-4, $F110&lt;=AY$5, COUNTIF($M110:AX110,"u")=0), "u", "")</f>
        <v/>
      </c>
      <c r="AZ110" s="80" t="str">
        <f>IF(AND($F110&lt;&gt;"", $F110&gt;=AZ$5-4, $F110&lt;=AZ$5, COUNTIF($M110:AY110,"u")=0), "u", "")</f>
        <v/>
      </c>
      <c r="BA110" s="80" t="str">
        <f>IF(AND($F110&lt;&gt;"", $F110&gt;=BA$5-4, $F110&lt;=BA$5, COUNTIF($M110:AZ110,"u")=0), "u", "")</f>
        <v/>
      </c>
      <c r="BB110" s="80" t="str">
        <f>IF(AND($F110&lt;&gt;"", $F110&gt;=BB$5-4, $F110&lt;=BB$5, COUNTIF($M110:BA110,"u")=0), "u", "")</f>
        <v/>
      </c>
      <c r="BC110" s="80" t="str">
        <f>IF(AND($F110&lt;&gt;"", $F110&gt;=BC$5-4, $F110&lt;=BC$5, COUNTIF($M110:BB110,"u")=0), "u", "")</f>
        <v/>
      </c>
      <c r="BD110" s="80" t="str">
        <f>IF(AND($F110&lt;&gt;"", $F110&gt;=BD$5-4, $F110&lt;=BD$5, COUNTIF($M110:BC110,"u")=0), "u", "")</f>
        <v/>
      </c>
      <c r="BE110" s="80" t="str">
        <f>IF(AND($F110&lt;&gt;"", $F110&gt;=BE$5-4, $F110&lt;=BE$5, COUNTIF($M110:BD110,"u")=0), "u", "")</f>
        <v/>
      </c>
      <c r="BF110" s="80" t="str">
        <f>IF(AND($F110&lt;&gt;"", $F110&gt;=BF$5-4, $F110&lt;=BF$5, COUNTIF($M110:BE110,"u")=0), "u", "")</f>
        <v/>
      </c>
      <c r="BG110" s="80" t="str">
        <f>IF(AND($F110&lt;&gt;"", $F110&gt;=BG$5-4, $F110&lt;=BG$5, COUNTIF($M110:BF110,"u")=0), "u", "")</f>
        <v/>
      </c>
      <c r="BH110" s="80" t="str">
        <f>IF(AND($F110&lt;&gt;"", $F110&gt;=BH$5-4, $F110&lt;=BH$5, COUNTIF($M110:BG110,"u")=0), "u", "")</f>
        <v/>
      </c>
      <c r="BI110" s="80" t="str">
        <f>IF(AND($F110&lt;&gt;"", $F110&gt;=BI$5-4, $F110&lt;=BI$5, COUNTIF($M110:BH110,"u")=0), "u", "")</f>
        <v/>
      </c>
      <c r="BJ110" s="80" t="str">
        <f>IF(AND($F110&lt;&gt;"", $F110&gt;=BJ$5-4, $F110&lt;=BJ$5, COUNTIF($M110:BI110,"u")=0), "u", "")</f>
        <v/>
      </c>
      <c r="BK110" s="80" t="str">
        <f>IF(AND($F110&lt;&gt;"", $F110&gt;=BK$5-4, $F110&lt;=BK$5, COUNTIF($M110:BJ110,"u")=0), "u", "")</f>
        <v/>
      </c>
      <c r="BL110" s="80" t="str">
        <f>IF(AND($F110&lt;&gt;"", $F110&gt;=BL$5-4, $F110&lt;=BL$5, COUNTIF($M110:BK110,"u")=0), "u", "")</f>
        <v/>
      </c>
      <c r="BM110" s="80" t="str">
        <f>IF(AND($F110&lt;&gt;"", $F110&gt;=BM$5-4, $F110&lt;=BM$5, COUNTIF($M110:BL110,"u")=0), "u", "")</f>
        <v/>
      </c>
      <c r="BN110" s="80" t="str">
        <f>IF(AND($F110&lt;&gt;"", $F110&gt;=BN$5-4, $F110&lt;=BN$5, COUNTIF($M110:BM110,"u")=0), "u", "")</f>
        <v/>
      </c>
      <c r="BO110" s="80" t="str">
        <f>IF(AND($F110&lt;&gt;"", $F110&gt;=BO$5-4, $F110&lt;=BO$5, COUNTIF($M110:BN110,"u")=0), "u", "")</f>
        <v/>
      </c>
      <c r="BP110" s="80" t="str">
        <f>IF(AND($F110&lt;&gt;"", $F110&gt;=BP$5-4, $F110&lt;=BP$5, COUNTIF($M110:BO110,"u")=0), "u", "")</f>
        <v/>
      </c>
      <c r="BQ110" s="80" t="str">
        <f>IF(AND($F110&lt;&gt;"", $F110&gt;=BQ$5-4, $F110&lt;=BQ$5, COUNTIF($M110:BP110,"u")=0), "u", "")</f>
        <v/>
      </c>
      <c r="BR110" s="80" t="str">
        <f>IF(AND($F110&lt;&gt;"", $F110&gt;=BR$5-4, $F110&lt;=BR$5, COUNTIF($M110:BQ110,"u")=0), "u", "")</f>
        <v/>
      </c>
      <c r="BS110" s="80" t="str">
        <f>IF(AND($F110&lt;&gt;"", $F110&gt;=BS$5-4, $F110&lt;=BS$5, COUNTIF($M110:BR110,"u")=0), "u", "")</f>
        <v/>
      </c>
      <c r="BT110" s="80" t="str">
        <f>IF(AND($F110&lt;&gt;"", $F110&gt;=BT$5-4, $F110&lt;=BT$5, COUNTIF($M110:BS110,"u")=0), "u", "")</f>
        <v/>
      </c>
      <c r="BU110" s="80" t="str">
        <f>IF(AND($F110&lt;&gt;"", $F110&gt;=BU$5-4, $F110&lt;=BU$5, COUNTIF($M110:BT110,"u")=0), "u", "")</f>
        <v/>
      </c>
      <c r="BV110" s="80" t="str">
        <f>IF(AND($F110&lt;&gt;"", $F110&gt;=BV$5-4, $F110&lt;=BV$5, COUNTIF($M110:BU110,"u")=0), "u", "")</f>
        <v/>
      </c>
      <c r="BW110" s="80" t="str">
        <f>IF(AND($F110&lt;&gt;"", $F110&gt;=BW$5-4, $F110&lt;=BW$5, COUNTIF($M110:BV110,"u")=0), "u", "")</f>
        <v/>
      </c>
      <c r="BX110" s="80" t="str">
        <f>IF(AND($F110&lt;&gt;"", $F110&gt;=BX$5-4, $F110&lt;=BX$5, COUNTIF($M110:BW110,"u")=0), "u", "")</f>
        <v/>
      </c>
      <c r="BY110" s="80" t="str">
        <f>IF(AND($F110&lt;&gt;"", $F110&gt;=BY$5-4, $F110&lt;=BY$5, COUNTIF($M110:BX110,"u")=0), "u", "")</f>
        <v/>
      </c>
      <c r="BZ110" s="80" t="str">
        <f>IF(AND($F110&lt;&gt;"", $F110&gt;=BZ$5-4, $F110&lt;=BZ$5, COUNTIF($M110:BY110,"u")=0), "u", "")</f>
        <v/>
      </c>
      <c r="CA110" s="80" t="str">
        <f>IF(AND($F110&lt;&gt;"", $F110&gt;=CA$5-4, $F110&lt;=CA$5, COUNTIF($M110:BZ110,"u")=0), "u", "")</f>
        <v/>
      </c>
      <c r="CB110" s="80" t="str">
        <f>IF(AND($F110&lt;&gt;"", $F110&gt;=CB$5-4, $F110&lt;=CB$5, COUNTIF($M110:CA110,"u")=0), "u", "")</f>
        <v/>
      </c>
      <c r="CC110" s="80" t="str">
        <f>IF(AND($F110&lt;&gt;"", $F110&gt;=CC$5-4, $F110&lt;=CC$5, COUNTIF($M110:CB110,"u")=0), "u", "")</f>
        <v/>
      </c>
      <c r="CD110" s="80" t="str">
        <f>IF(AND($F110&lt;&gt;"", $F110&gt;=CD$5-4, $F110&lt;=CD$5, COUNTIF($M110:CC110,"u")=0), "u", "")</f>
        <v/>
      </c>
      <c r="CE110" s="80" t="str">
        <f>IF(AND($F110&lt;&gt;"", $F110&gt;=CE$5-4, $F110&lt;=CE$5, COUNTIF($M110:CD110,"u")=0), "u", "")</f>
        <v/>
      </c>
      <c r="CF110" s="80" t="str">
        <f>IF(AND($F110&lt;&gt;"", $F110&gt;=CF$5-4, $F110&lt;=CF$5, COUNTIF($M110:CE110,"u")=0), "u", "")</f>
        <v/>
      </c>
      <c r="CG110" s="80" t="str">
        <f>IF(AND($F110&lt;&gt;"", $F110&gt;=CG$5-4, $F110&lt;=CG$5, COUNTIF($M110:CF110,"u")=0), "u", "")</f>
        <v/>
      </c>
      <c r="CH110" s="80" t="str">
        <f>IF(AND($F110&lt;&gt;"", $F110&gt;=CH$5-4, $F110&lt;=CH$5, COUNTIF($M110:CG110,"u")=0), "u", "")</f>
        <v/>
      </c>
      <c r="CI110" s="80" t="str">
        <f>IF(AND($F110&lt;&gt;"", $F110&gt;=CI$5-4, $F110&lt;=CI$5, COUNTIF($M110:CH110,"u")=0), "u", "")</f>
        <v/>
      </c>
      <c r="CJ110" s="80" t="str">
        <f>IF(AND($F110&lt;&gt;"", $F110&gt;=CJ$5-4, $F110&lt;=CJ$5, COUNTIF($M110:CI110,"u")=0), "u", "")</f>
        <v/>
      </c>
      <c r="CK110" s="80" t="str">
        <f>IF(AND($F110&lt;&gt;"", $F110&gt;=CK$5-4, $F110&lt;=CK$5, COUNTIF($M110:CJ110,"u")=0), "u", "")</f>
        <v/>
      </c>
      <c r="CL110" s="80" t="str">
        <f>IF(AND($F110&lt;&gt;"", $F110&gt;=CL$5-4, $F110&lt;=CL$5, COUNTIF($M110:CK110,"u")=0), "u", "")</f>
        <v/>
      </c>
      <c r="CM110" s="80" t="str">
        <f>IF(AND($F110&lt;&gt;"", $F110&gt;=CM$5-4, $F110&lt;=CM$5, COUNTIF($M110:CL110,"u")=0), "u", "")</f>
        <v/>
      </c>
      <c r="CN110" s="80" t="str">
        <f>IF(AND($F110&lt;&gt;"", $F110&gt;=CN$5-4, $F110&lt;=CN$5, COUNTIF($M110:CM110,"u")=0), "u", "")</f>
        <v/>
      </c>
      <c r="CO110" s="80" t="str">
        <f>IF(AND($F110&lt;&gt;"", $F110&gt;=CO$5-4, $F110&lt;=CO$5, COUNTIF($M110:CN110,"u")=0), "u", "")</f>
        <v/>
      </c>
      <c r="CP110" s="80" t="str">
        <f>IF(AND($F110&lt;&gt;"", $F110&gt;=CP$5-4, $F110&lt;=CP$5, COUNTIF($M110:CO110,"u")=0), "u", "")</f>
        <v/>
      </c>
      <c r="CQ110" s="80" t="str">
        <f>IF(AND($F110&lt;&gt;"", $F110&gt;=CQ$5-4, $F110&lt;=CQ$5, COUNTIF($M110:CP110,"u")=0), "u", "")</f>
        <v/>
      </c>
      <c r="CR110" s="80" t="str">
        <f>IF(AND($F110&lt;&gt;"", $F110&gt;=CR$5-4, $F110&lt;=CR$5, COUNTIF($M110:CQ110,"u")=0), "u", "")</f>
        <v/>
      </c>
      <c r="CS110" s="80" t="str">
        <f>IF(AND($F110&lt;&gt;"", $F110&gt;=CS$5-4, $F110&lt;=CS$5, COUNTIF($M110:CR110,"u")=0), "u", "")</f>
        <v/>
      </c>
      <c r="CT110" s="80" t="str">
        <f>IF(AND($F110&lt;&gt;"", $F110&gt;=CT$5-4, $F110&lt;=CT$5, COUNTIF($M110:CS110,"u")=0), "u", "")</f>
        <v/>
      </c>
      <c r="CU110" s="80" t="str">
        <f>IF(AND($F110&lt;&gt;"", $F110&gt;=CU$5-4, $F110&lt;=CU$5, COUNTIF($M110:CT110,"u")=0), "u", "")</f>
        <v/>
      </c>
      <c r="CV110" s="80" t="str">
        <f>IF(AND($F110&lt;&gt;"", $F110&gt;=CV$5-4, $F110&lt;=CV$5, COUNTIF($M110:CU110,"u")=0), "u", "")</f>
        <v/>
      </c>
      <c r="CW110" s="80" t="str">
        <f>IF(AND($F110&lt;&gt;"", $F110&gt;=CW$5-4, $F110&lt;=CW$5, COUNTIF($M110:CV110,"u")=0), "u", "")</f>
        <v/>
      </c>
      <c r="CX110" s="80" t="str">
        <f>IF(AND($F110&lt;&gt;"", $F110&gt;=CX$5-4, $F110&lt;=CX$5, COUNTIF($M110:CW110,"u")=0), "u", "")</f>
        <v/>
      </c>
      <c r="CY110" s="80" t="str">
        <f>IF(AND($F110&lt;&gt;"", $F110&gt;=CY$5-4, $F110&lt;=CY$5, COUNTIF($M110:CX110,"u")=0), "u", "")</f>
        <v/>
      </c>
      <c r="CZ110" s="80" t="str">
        <f>IF(AND($F110&lt;&gt;"", $F110&gt;=CZ$5-4, $F110&lt;=CZ$5, COUNTIF($M110:CY110,"u")=0), "u", "")</f>
        <v/>
      </c>
      <c r="DA110" s="80" t="str">
        <f>IF(AND($F110&lt;&gt;"", $F110&gt;=DA$5-4, $F110&lt;=DA$5, COUNTIF($M110:CZ110,"u")=0), "u", "")</f>
        <v/>
      </c>
      <c r="DB110" s="80" t="str">
        <f>IF(AND($F110&lt;&gt;"", $F110&gt;=DB$5-4, $F110&lt;=DB$5, COUNTIF($M110:DA110,"u")=0), "u", "")</f>
        <v/>
      </c>
      <c r="DC110" s="80" t="str">
        <f>IF(AND($F110&lt;&gt;"", $F110&gt;=DC$5-4, $F110&lt;=DC$5, COUNTIF($M110:DB110,"u")=0), "u", "")</f>
        <v/>
      </c>
      <c r="DD110" s="80" t="str">
        <f>IF(AND($F110&lt;&gt;"", $F110&gt;=DD$5-4, $F110&lt;=DD$5, COUNTIF($M110:DC110,"u")=0), "u", "")</f>
        <v/>
      </c>
      <c r="DE110" s="80" t="str">
        <f>IF(AND($F110&lt;&gt;"", $F110&gt;=DE$5-4, $F110&lt;=DE$5, COUNTIF($M110:DD110,"u")=0), "u", "")</f>
        <v/>
      </c>
      <c r="DF110" s="80" t="str">
        <f>IF(AND($F110&lt;&gt;"", $F110&gt;=DF$5-4, $F110&lt;=DF$5, COUNTIF($M110:DE110,"u")=0), "u", "")</f>
        <v/>
      </c>
      <c r="DG110" s="80" t="str">
        <f>IF(AND($F110&lt;&gt;"", $F110&gt;=DG$5-4, $F110&lt;=DG$5, COUNTIF($M110:DF110,"u")=0), "u", "")</f>
        <v/>
      </c>
      <c r="DH110" s="80" t="str">
        <f>IF(AND($F110&lt;&gt;"", $F110&gt;=DH$5-4, $F110&lt;=DH$5, COUNTIF($M110:DG110,"u")=0), "u", "")</f>
        <v/>
      </c>
      <c r="DI110" s="80" t="str">
        <f>IF(AND($F110&lt;&gt;"", $F110&gt;=DI$5-4, $F110&lt;=DI$5, COUNTIF($M110:DH110,"u")=0), "u", "")</f>
        <v/>
      </c>
      <c r="DJ110" s="80" t="str">
        <f>IF(AND($F110&lt;&gt;"", $F110&gt;=DJ$5-4, $F110&lt;=DJ$5, COUNTIF($M110:DI110,"u")=0), "u", "")</f>
        <v/>
      </c>
      <c r="DK110" s="80" t="str">
        <f>IF(AND($F110&lt;&gt;"", $F110&gt;=DK$5-4, $F110&lt;=DK$5, COUNTIF($M110:DJ110,"u")=0), "u", "")</f>
        <v/>
      </c>
      <c r="DL110" s="80" t="str">
        <f>IF(AND($F110&lt;&gt;"", $F110&gt;=DL$5-4, $F110&lt;=DL$5, COUNTIF($M110:DK110,"u")=0), "u", "")</f>
        <v/>
      </c>
    </row>
    <row r="111" spans="1:116" ht="25.05" customHeight="1" x14ac:dyDescent="0.3">
      <c r="A111" s="39"/>
      <c r="B111" s="75">
        <v>106</v>
      </c>
      <c r="C111" s="97"/>
      <c r="D111" s="92"/>
      <c r="E111" s="53"/>
      <c r="F111" s="53"/>
      <c r="G111" s="83" t="str">
        <f t="shared" si="50"/>
        <v/>
      </c>
      <c r="H111" s="83" t="str">
        <f t="shared" si="50"/>
        <v/>
      </c>
      <c r="I111" s="77" t="str">
        <f t="shared" si="48"/>
        <v/>
      </c>
      <c r="J111" s="78"/>
      <c r="K111" s="86"/>
      <c r="L111" s="56"/>
      <c r="M111" s="80" t="str">
        <f t="shared" si="49"/>
        <v/>
      </c>
      <c r="N111" s="80" t="str">
        <f>IF(AND($F111&lt;&gt;"", $F111&gt;=N$5-4, $F111&lt;=N$5, COUNTIF($M111:M111,"u")=0), "u", "")</f>
        <v/>
      </c>
      <c r="O111" s="80" t="str">
        <f>IF(AND($F111&lt;&gt;"", $F111&gt;=O$5-4, $F111&lt;=O$5, COUNTIF($M111:N111,"u")=0), "u", "")</f>
        <v/>
      </c>
      <c r="P111" s="80" t="str">
        <f>IF(AND($F111&lt;&gt;"", $F111&gt;=P$5-4, $F111&lt;=P$5, COUNTIF($M111:O111,"u")=0), "u", "")</f>
        <v/>
      </c>
      <c r="Q111" s="80" t="str">
        <f>IF(AND($F111&lt;&gt;"", $F111&gt;=Q$5-4, $F111&lt;=Q$5, COUNTIF($M111:P111,"u")=0), "u", "")</f>
        <v/>
      </c>
      <c r="R111" s="80" t="str">
        <f>IF(AND($F111&lt;&gt;"", $F111&gt;=R$5-4, $F111&lt;=R$5, COUNTIF($M111:Q111,"u")=0), "u", "")</f>
        <v/>
      </c>
      <c r="S111" s="80" t="str">
        <f>IF(AND($F111&lt;&gt;"", $F111&gt;=S$5-4, $F111&lt;=S$5, COUNTIF($M111:R111,"u")=0), "u", "")</f>
        <v/>
      </c>
      <c r="T111" s="80" t="str">
        <f>IF(AND($F111&lt;&gt;"", $F111&gt;=T$5-4, $F111&lt;=T$5, COUNTIF($M111:S111,"u")=0), "u", "")</f>
        <v/>
      </c>
      <c r="U111" s="80" t="str">
        <f>IF(AND($F111&lt;&gt;"", $F111&gt;=U$5-4, $F111&lt;=U$5, COUNTIF($M111:T111,"u")=0), "u", "")</f>
        <v/>
      </c>
      <c r="V111" s="80" t="str">
        <f>IF(AND($F111&lt;&gt;"", $F111&gt;=V$5-4, $F111&lt;=V$5, COUNTIF($M111:U111,"u")=0), "u", "")</f>
        <v/>
      </c>
      <c r="W111" s="80" t="str">
        <f>IF(AND($F111&lt;&gt;"", $F111&gt;=W$5-4, $F111&lt;=W$5, COUNTIF($M111:V111,"u")=0), "u", "")</f>
        <v/>
      </c>
      <c r="X111" s="80" t="str">
        <f>IF(AND($F111&lt;&gt;"", $F111&gt;=X$5-4, $F111&lt;=X$5, COUNTIF($M111:W111,"u")=0), "u", "")</f>
        <v/>
      </c>
      <c r="Y111" s="80" t="str">
        <f>IF(AND($F111&lt;&gt;"", $F111&gt;=Y$5-4, $F111&lt;=Y$5, COUNTIF($M111:X111,"u")=0), "u", "")</f>
        <v/>
      </c>
      <c r="Z111" s="80" t="str">
        <f>IF(AND($F111&lt;&gt;"", $F111&gt;=Z$5-4, $F111&lt;=Z$5, COUNTIF($M111:Y111,"u")=0), "u", "")</f>
        <v/>
      </c>
      <c r="AA111" s="80" t="str">
        <f>IF(AND($F111&lt;&gt;"", $F111&gt;=AA$5-4, $F111&lt;=AA$5, COUNTIF($M111:Z111,"u")=0), "u", "")</f>
        <v/>
      </c>
      <c r="AB111" s="80" t="str">
        <f>IF(AND($F111&lt;&gt;"", $F111&gt;=AB$5-4, $F111&lt;=AB$5, COUNTIF($M111:AA111,"u")=0), "u", "")</f>
        <v/>
      </c>
      <c r="AC111" s="80" t="str">
        <f>IF(AND($F111&lt;&gt;"", $F111&gt;=AC$5-4, $F111&lt;=AC$5, COUNTIF($M111:AB111,"u")=0), "u", "")</f>
        <v/>
      </c>
      <c r="AD111" s="80" t="str">
        <f>IF(AND($F111&lt;&gt;"", $F111&gt;=AD$5-4, $F111&lt;=AD$5, COUNTIF($M111:AC111,"u")=0), "u", "")</f>
        <v/>
      </c>
      <c r="AE111" s="80" t="str">
        <f>IF(AND($F111&lt;&gt;"", $F111&gt;=AE$5-4, $F111&lt;=AE$5, COUNTIF($M111:AD111,"u")=0), "u", "")</f>
        <v/>
      </c>
      <c r="AF111" s="80" t="str">
        <f>IF(AND($F111&lt;&gt;"", $F111&gt;=AF$5-4, $F111&lt;=AF$5, COUNTIF($M111:AE111,"u")=0), "u", "")</f>
        <v/>
      </c>
      <c r="AG111" s="80" t="str">
        <f>IF(AND($F111&lt;&gt;"", $F111&gt;=AG$5-4, $F111&lt;=AG$5, COUNTIF($M111:AF111,"u")=0), "u", "")</f>
        <v/>
      </c>
      <c r="AH111" s="80" t="str">
        <f>IF(AND($F111&lt;&gt;"", $F111&gt;=AH$5-4, $F111&lt;=AH$5, COUNTIF($M111:AG111,"u")=0), "u", "")</f>
        <v/>
      </c>
      <c r="AI111" s="80" t="str">
        <f>IF(AND($F111&lt;&gt;"", $F111&gt;=AI$5-4, $F111&lt;=AI$5, COUNTIF($M111:AH111,"u")=0), "u", "")</f>
        <v/>
      </c>
      <c r="AJ111" s="80" t="str">
        <f>IF(AND($F111&lt;&gt;"", $F111&gt;=AJ$5-4, $F111&lt;=AJ$5, COUNTIF($M111:AI111,"u")=0), "u", "")</f>
        <v/>
      </c>
      <c r="AK111" s="80" t="str">
        <f>IF(AND($F111&lt;&gt;"", $F111&gt;=AK$5-4, $F111&lt;=AK$5, COUNTIF($M111:AJ111,"u")=0), "u", "")</f>
        <v/>
      </c>
      <c r="AL111" s="80" t="str">
        <f>IF(AND($F111&lt;&gt;"", $F111&gt;=AL$5-4, $F111&lt;=AL$5, COUNTIF($M111:AK111,"u")=0), "u", "")</f>
        <v/>
      </c>
      <c r="AM111" s="80" t="str">
        <f>IF(AND($F111&lt;&gt;"", $F111&gt;=AM$5-4, $F111&lt;=AM$5, COUNTIF($M111:AL111,"u")=0), "u", "")</f>
        <v/>
      </c>
      <c r="AN111" s="80" t="str">
        <f>IF(AND($F111&lt;&gt;"", $F111&gt;=AN$5-4, $F111&lt;=AN$5, COUNTIF($M111:AM111,"u")=0), "u", "")</f>
        <v/>
      </c>
      <c r="AO111" s="80" t="str">
        <f>IF(AND($F111&lt;&gt;"", $F111&gt;=AO$5-4, $F111&lt;=AO$5, COUNTIF($M111:AN111,"u")=0), "u", "")</f>
        <v/>
      </c>
      <c r="AP111" s="80" t="str">
        <f>IF(AND($F111&lt;&gt;"", $F111&gt;=AP$5-4, $F111&lt;=AP$5, COUNTIF($M111:AO111,"u")=0), "u", "")</f>
        <v/>
      </c>
      <c r="AQ111" s="80" t="str">
        <f>IF(AND($F111&lt;&gt;"", $F111&gt;=AQ$5-4, $F111&lt;=AQ$5, COUNTIF($M111:AP111,"u")=0), "u", "")</f>
        <v/>
      </c>
      <c r="AR111" s="80" t="str">
        <f>IF(AND($F111&lt;&gt;"", $F111&gt;=AR$5-4, $F111&lt;=AR$5, COUNTIF($M111:AQ111,"u")=0), "u", "")</f>
        <v/>
      </c>
      <c r="AS111" s="80" t="str">
        <f>IF(AND($F111&lt;&gt;"", $F111&gt;=AS$5-4, $F111&lt;=AS$5, COUNTIF($M111:AR111,"u")=0), "u", "")</f>
        <v/>
      </c>
      <c r="AT111" s="80" t="str">
        <f>IF(AND($F111&lt;&gt;"", $F111&gt;=AT$5-4, $F111&lt;=AT$5, COUNTIF($M111:AS111,"u")=0), "u", "")</f>
        <v/>
      </c>
      <c r="AU111" s="80" t="str">
        <f>IF(AND($F111&lt;&gt;"", $F111&gt;=AU$5-4, $F111&lt;=AU$5, COUNTIF($M111:AT111,"u")=0), "u", "")</f>
        <v/>
      </c>
      <c r="AV111" s="80" t="str">
        <f>IF(AND($F111&lt;&gt;"", $F111&gt;=AV$5-4, $F111&lt;=AV$5, COUNTIF($M111:AU111,"u")=0), "u", "")</f>
        <v/>
      </c>
      <c r="AW111" s="80" t="str">
        <f>IF(AND($F111&lt;&gt;"", $F111&gt;=AW$5-4, $F111&lt;=AW$5, COUNTIF($M111:AV111,"u")=0), "u", "")</f>
        <v/>
      </c>
      <c r="AX111" s="80" t="str">
        <f>IF(AND($F111&lt;&gt;"", $F111&gt;=AX$5-4, $F111&lt;=AX$5, COUNTIF($M111:AW111,"u")=0), "u", "")</f>
        <v/>
      </c>
      <c r="AY111" s="80" t="str">
        <f>IF(AND($F111&lt;&gt;"", $F111&gt;=AY$5-4, $F111&lt;=AY$5, COUNTIF($M111:AX111,"u")=0), "u", "")</f>
        <v/>
      </c>
      <c r="AZ111" s="80" t="str">
        <f>IF(AND($F111&lt;&gt;"", $F111&gt;=AZ$5-4, $F111&lt;=AZ$5, COUNTIF($M111:AY111,"u")=0), "u", "")</f>
        <v/>
      </c>
      <c r="BA111" s="80" t="str">
        <f>IF(AND($F111&lt;&gt;"", $F111&gt;=BA$5-4, $F111&lt;=BA$5, COUNTIF($M111:AZ111,"u")=0), "u", "")</f>
        <v/>
      </c>
      <c r="BB111" s="80" t="str">
        <f>IF(AND($F111&lt;&gt;"", $F111&gt;=BB$5-4, $F111&lt;=BB$5, COUNTIF($M111:BA111,"u")=0), "u", "")</f>
        <v/>
      </c>
      <c r="BC111" s="80" t="str">
        <f>IF(AND($F111&lt;&gt;"", $F111&gt;=BC$5-4, $F111&lt;=BC$5, COUNTIF($M111:BB111,"u")=0), "u", "")</f>
        <v/>
      </c>
      <c r="BD111" s="80" t="str">
        <f>IF(AND($F111&lt;&gt;"", $F111&gt;=BD$5-4, $F111&lt;=BD$5, COUNTIF($M111:BC111,"u")=0), "u", "")</f>
        <v/>
      </c>
      <c r="BE111" s="80" t="str">
        <f>IF(AND($F111&lt;&gt;"", $F111&gt;=BE$5-4, $F111&lt;=BE$5, COUNTIF($M111:BD111,"u")=0), "u", "")</f>
        <v/>
      </c>
      <c r="BF111" s="80" t="str">
        <f>IF(AND($F111&lt;&gt;"", $F111&gt;=BF$5-4, $F111&lt;=BF$5, COUNTIF($M111:BE111,"u")=0), "u", "")</f>
        <v/>
      </c>
      <c r="BG111" s="80" t="str">
        <f>IF(AND($F111&lt;&gt;"", $F111&gt;=BG$5-4, $F111&lt;=BG$5, COUNTIF($M111:BF111,"u")=0), "u", "")</f>
        <v/>
      </c>
      <c r="BH111" s="80" t="str">
        <f>IF(AND($F111&lt;&gt;"", $F111&gt;=BH$5-4, $F111&lt;=BH$5, COUNTIF($M111:BG111,"u")=0), "u", "")</f>
        <v/>
      </c>
      <c r="BI111" s="80" t="str">
        <f>IF(AND($F111&lt;&gt;"", $F111&gt;=BI$5-4, $F111&lt;=BI$5, COUNTIF($M111:BH111,"u")=0), "u", "")</f>
        <v/>
      </c>
      <c r="BJ111" s="80" t="str">
        <f>IF(AND($F111&lt;&gt;"", $F111&gt;=BJ$5-4, $F111&lt;=BJ$5, COUNTIF($M111:BI111,"u")=0), "u", "")</f>
        <v/>
      </c>
      <c r="BK111" s="80" t="str">
        <f>IF(AND($F111&lt;&gt;"", $F111&gt;=BK$5-4, $F111&lt;=BK$5, COUNTIF($M111:BJ111,"u")=0), "u", "")</f>
        <v/>
      </c>
      <c r="BL111" s="80" t="str">
        <f>IF(AND($F111&lt;&gt;"", $F111&gt;=BL$5-4, $F111&lt;=BL$5, COUNTIF($M111:BK111,"u")=0), "u", "")</f>
        <v/>
      </c>
      <c r="BM111" s="80" t="str">
        <f>IF(AND($F111&lt;&gt;"", $F111&gt;=BM$5-4, $F111&lt;=BM$5, COUNTIF($M111:BL111,"u")=0), "u", "")</f>
        <v/>
      </c>
      <c r="BN111" s="80" t="str">
        <f>IF(AND($F111&lt;&gt;"", $F111&gt;=BN$5-4, $F111&lt;=BN$5, COUNTIF($M111:BM111,"u")=0), "u", "")</f>
        <v/>
      </c>
      <c r="BO111" s="80" t="str">
        <f>IF(AND($F111&lt;&gt;"", $F111&gt;=BO$5-4, $F111&lt;=BO$5, COUNTIF($M111:BN111,"u")=0), "u", "")</f>
        <v/>
      </c>
      <c r="BP111" s="80" t="str">
        <f>IF(AND($F111&lt;&gt;"", $F111&gt;=BP$5-4, $F111&lt;=BP$5, COUNTIF($M111:BO111,"u")=0), "u", "")</f>
        <v/>
      </c>
      <c r="BQ111" s="80" t="str">
        <f>IF(AND($F111&lt;&gt;"", $F111&gt;=BQ$5-4, $F111&lt;=BQ$5, COUNTIF($M111:BP111,"u")=0), "u", "")</f>
        <v/>
      </c>
      <c r="BR111" s="80" t="str">
        <f>IF(AND($F111&lt;&gt;"", $F111&gt;=BR$5-4, $F111&lt;=BR$5, COUNTIF($M111:BQ111,"u")=0), "u", "")</f>
        <v/>
      </c>
      <c r="BS111" s="80" t="str">
        <f>IF(AND($F111&lt;&gt;"", $F111&gt;=BS$5-4, $F111&lt;=BS$5, COUNTIF($M111:BR111,"u")=0), "u", "")</f>
        <v/>
      </c>
      <c r="BT111" s="80" t="str">
        <f>IF(AND($F111&lt;&gt;"", $F111&gt;=BT$5-4, $F111&lt;=BT$5, COUNTIF($M111:BS111,"u")=0), "u", "")</f>
        <v/>
      </c>
      <c r="BU111" s="80" t="str">
        <f>IF(AND($F111&lt;&gt;"", $F111&gt;=BU$5-4, $F111&lt;=BU$5, COUNTIF($M111:BT111,"u")=0), "u", "")</f>
        <v/>
      </c>
      <c r="BV111" s="80" t="str">
        <f>IF(AND($F111&lt;&gt;"", $F111&gt;=BV$5-4, $F111&lt;=BV$5, COUNTIF($M111:BU111,"u")=0), "u", "")</f>
        <v/>
      </c>
      <c r="BW111" s="80" t="str">
        <f>IF(AND($F111&lt;&gt;"", $F111&gt;=BW$5-4, $F111&lt;=BW$5, COUNTIF($M111:BV111,"u")=0), "u", "")</f>
        <v/>
      </c>
      <c r="BX111" s="80" t="str">
        <f>IF(AND($F111&lt;&gt;"", $F111&gt;=BX$5-4, $F111&lt;=BX$5, COUNTIF($M111:BW111,"u")=0), "u", "")</f>
        <v/>
      </c>
      <c r="BY111" s="80" t="str">
        <f>IF(AND($F111&lt;&gt;"", $F111&gt;=BY$5-4, $F111&lt;=BY$5, COUNTIF($M111:BX111,"u")=0), "u", "")</f>
        <v/>
      </c>
      <c r="BZ111" s="80" t="str">
        <f>IF(AND($F111&lt;&gt;"", $F111&gt;=BZ$5-4, $F111&lt;=BZ$5, COUNTIF($M111:BY111,"u")=0), "u", "")</f>
        <v/>
      </c>
      <c r="CA111" s="80" t="str">
        <f>IF(AND($F111&lt;&gt;"", $F111&gt;=CA$5-4, $F111&lt;=CA$5, COUNTIF($M111:BZ111,"u")=0), "u", "")</f>
        <v/>
      </c>
      <c r="CB111" s="80" t="str">
        <f>IF(AND($F111&lt;&gt;"", $F111&gt;=CB$5-4, $F111&lt;=CB$5, COUNTIF($M111:CA111,"u")=0), "u", "")</f>
        <v/>
      </c>
      <c r="CC111" s="80" t="str">
        <f>IF(AND($F111&lt;&gt;"", $F111&gt;=CC$5-4, $F111&lt;=CC$5, COUNTIF($M111:CB111,"u")=0), "u", "")</f>
        <v/>
      </c>
      <c r="CD111" s="80" t="str">
        <f>IF(AND($F111&lt;&gt;"", $F111&gt;=CD$5-4, $F111&lt;=CD$5, COUNTIF($M111:CC111,"u")=0), "u", "")</f>
        <v/>
      </c>
      <c r="CE111" s="80" t="str">
        <f>IF(AND($F111&lt;&gt;"", $F111&gt;=CE$5-4, $F111&lt;=CE$5, COUNTIF($M111:CD111,"u")=0), "u", "")</f>
        <v/>
      </c>
      <c r="CF111" s="80" t="str">
        <f>IF(AND($F111&lt;&gt;"", $F111&gt;=CF$5-4, $F111&lt;=CF$5, COUNTIF($M111:CE111,"u")=0), "u", "")</f>
        <v/>
      </c>
      <c r="CG111" s="80" t="str">
        <f>IF(AND($F111&lt;&gt;"", $F111&gt;=CG$5-4, $F111&lt;=CG$5, COUNTIF($M111:CF111,"u")=0), "u", "")</f>
        <v/>
      </c>
      <c r="CH111" s="80" t="str">
        <f>IF(AND($F111&lt;&gt;"", $F111&gt;=CH$5-4, $F111&lt;=CH$5, COUNTIF($M111:CG111,"u")=0), "u", "")</f>
        <v/>
      </c>
      <c r="CI111" s="80" t="str">
        <f>IF(AND($F111&lt;&gt;"", $F111&gt;=CI$5-4, $F111&lt;=CI$5, COUNTIF($M111:CH111,"u")=0), "u", "")</f>
        <v/>
      </c>
      <c r="CJ111" s="80" t="str">
        <f>IF(AND($F111&lt;&gt;"", $F111&gt;=CJ$5-4, $F111&lt;=CJ$5, COUNTIF($M111:CI111,"u")=0), "u", "")</f>
        <v/>
      </c>
      <c r="CK111" s="80" t="str">
        <f>IF(AND($F111&lt;&gt;"", $F111&gt;=CK$5-4, $F111&lt;=CK$5, COUNTIF($M111:CJ111,"u")=0), "u", "")</f>
        <v/>
      </c>
      <c r="CL111" s="80" t="str">
        <f>IF(AND($F111&lt;&gt;"", $F111&gt;=CL$5-4, $F111&lt;=CL$5, COUNTIF($M111:CK111,"u")=0), "u", "")</f>
        <v/>
      </c>
      <c r="CM111" s="80" t="str">
        <f>IF(AND($F111&lt;&gt;"", $F111&gt;=CM$5-4, $F111&lt;=CM$5, COUNTIF($M111:CL111,"u")=0), "u", "")</f>
        <v/>
      </c>
      <c r="CN111" s="80" t="str">
        <f>IF(AND($F111&lt;&gt;"", $F111&gt;=CN$5-4, $F111&lt;=CN$5, COUNTIF($M111:CM111,"u")=0), "u", "")</f>
        <v/>
      </c>
      <c r="CO111" s="80" t="str">
        <f>IF(AND($F111&lt;&gt;"", $F111&gt;=CO$5-4, $F111&lt;=CO$5, COUNTIF($M111:CN111,"u")=0), "u", "")</f>
        <v/>
      </c>
      <c r="CP111" s="80" t="str">
        <f>IF(AND($F111&lt;&gt;"", $F111&gt;=CP$5-4, $F111&lt;=CP$5, COUNTIF($M111:CO111,"u")=0), "u", "")</f>
        <v/>
      </c>
      <c r="CQ111" s="80" t="str">
        <f>IF(AND($F111&lt;&gt;"", $F111&gt;=CQ$5-4, $F111&lt;=CQ$5, COUNTIF($M111:CP111,"u")=0), "u", "")</f>
        <v/>
      </c>
      <c r="CR111" s="80" t="str">
        <f>IF(AND($F111&lt;&gt;"", $F111&gt;=CR$5-4, $F111&lt;=CR$5, COUNTIF($M111:CQ111,"u")=0), "u", "")</f>
        <v/>
      </c>
      <c r="CS111" s="80" t="str">
        <f>IF(AND($F111&lt;&gt;"", $F111&gt;=CS$5-4, $F111&lt;=CS$5, COUNTIF($M111:CR111,"u")=0), "u", "")</f>
        <v/>
      </c>
      <c r="CT111" s="80" t="str">
        <f>IF(AND($F111&lt;&gt;"", $F111&gt;=CT$5-4, $F111&lt;=CT$5, COUNTIF($M111:CS111,"u")=0), "u", "")</f>
        <v/>
      </c>
      <c r="CU111" s="80" t="str">
        <f>IF(AND($F111&lt;&gt;"", $F111&gt;=CU$5-4, $F111&lt;=CU$5, COUNTIF($M111:CT111,"u")=0), "u", "")</f>
        <v/>
      </c>
      <c r="CV111" s="80" t="str">
        <f>IF(AND($F111&lt;&gt;"", $F111&gt;=CV$5-4, $F111&lt;=CV$5, COUNTIF($M111:CU111,"u")=0), "u", "")</f>
        <v/>
      </c>
      <c r="CW111" s="80" t="str">
        <f>IF(AND($F111&lt;&gt;"", $F111&gt;=CW$5-4, $F111&lt;=CW$5, COUNTIF($M111:CV111,"u")=0), "u", "")</f>
        <v/>
      </c>
      <c r="CX111" s="80" t="str">
        <f>IF(AND($F111&lt;&gt;"", $F111&gt;=CX$5-4, $F111&lt;=CX$5, COUNTIF($M111:CW111,"u")=0), "u", "")</f>
        <v/>
      </c>
      <c r="CY111" s="80" t="str">
        <f>IF(AND($F111&lt;&gt;"", $F111&gt;=CY$5-4, $F111&lt;=CY$5, COUNTIF($M111:CX111,"u")=0), "u", "")</f>
        <v/>
      </c>
      <c r="CZ111" s="80" t="str">
        <f>IF(AND($F111&lt;&gt;"", $F111&gt;=CZ$5-4, $F111&lt;=CZ$5, COUNTIF($M111:CY111,"u")=0), "u", "")</f>
        <v/>
      </c>
      <c r="DA111" s="80" t="str">
        <f>IF(AND($F111&lt;&gt;"", $F111&gt;=DA$5-4, $F111&lt;=DA$5, COUNTIF($M111:CZ111,"u")=0), "u", "")</f>
        <v/>
      </c>
      <c r="DB111" s="80" t="str">
        <f>IF(AND($F111&lt;&gt;"", $F111&gt;=DB$5-4, $F111&lt;=DB$5, COUNTIF($M111:DA111,"u")=0), "u", "")</f>
        <v/>
      </c>
      <c r="DC111" s="80" t="str">
        <f>IF(AND($F111&lt;&gt;"", $F111&gt;=DC$5-4, $F111&lt;=DC$5, COUNTIF($M111:DB111,"u")=0), "u", "")</f>
        <v/>
      </c>
      <c r="DD111" s="80" t="str">
        <f>IF(AND($F111&lt;&gt;"", $F111&gt;=DD$5-4, $F111&lt;=DD$5, COUNTIF($M111:DC111,"u")=0), "u", "")</f>
        <v/>
      </c>
      <c r="DE111" s="80" t="str">
        <f>IF(AND($F111&lt;&gt;"", $F111&gt;=DE$5-4, $F111&lt;=DE$5, COUNTIF($M111:DD111,"u")=0), "u", "")</f>
        <v/>
      </c>
      <c r="DF111" s="80" t="str">
        <f>IF(AND($F111&lt;&gt;"", $F111&gt;=DF$5-4, $F111&lt;=DF$5, COUNTIF($M111:DE111,"u")=0), "u", "")</f>
        <v/>
      </c>
      <c r="DG111" s="80" t="str">
        <f>IF(AND($F111&lt;&gt;"", $F111&gt;=DG$5-4, $F111&lt;=DG$5, COUNTIF($M111:DF111,"u")=0), "u", "")</f>
        <v/>
      </c>
      <c r="DH111" s="80" t="str">
        <f>IF(AND($F111&lt;&gt;"", $F111&gt;=DH$5-4, $F111&lt;=DH$5, COUNTIF($M111:DG111,"u")=0), "u", "")</f>
        <v/>
      </c>
      <c r="DI111" s="80" t="str">
        <f>IF(AND($F111&lt;&gt;"", $F111&gt;=DI$5-4, $F111&lt;=DI$5, COUNTIF($M111:DH111,"u")=0), "u", "")</f>
        <v/>
      </c>
      <c r="DJ111" s="80" t="str">
        <f>IF(AND($F111&lt;&gt;"", $F111&gt;=DJ$5-4, $F111&lt;=DJ$5, COUNTIF($M111:DI111,"u")=0), "u", "")</f>
        <v/>
      </c>
      <c r="DK111" s="80" t="str">
        <f>IF(AND($F111&lt;&gt;"", $F111&gt;=DK$5-4, $F111&lt;=DK$5, COUNTIF($M111:DJ111,"u")=0), "u", "")</f>
        <v/>
      </c>
      <c r="DL111" s="80" t="str">
        <f>IF(AND($F111&lt;&gt;"", $F111&gt;=DL$5-4, $F111&lt;=DL$5, COUNTIF($M111:DK111,"u")=0), "u", "")</f>
        <v/>
      </c>
    </row>
    <row r="112" spans="1:116" ht="25.05" customHeight="1" x14ac:dyDescent="0.3">
      <c r="A112" s="39"/>
      <c r="B112" s="75">
        <v>107</v>
      </c>
      <c r="C112" s="97"/>
      <c r="D112" s="92"/>
      <c r="E112" s="53"/>
      <c r="F112" s="53"/>
      <c r="G112" s="83" t="str">
        <f t="shared" si="50"/>
        <v/>
      </c>
      <c r="H112" s="83" t="str">
        <f t="shared" si="50"/>
        <v/>
      </c>
      <c r="I112" s="77" t="str">
        <f t="shared" si="48"/>
        <v/>
      </c>
      <c r="J112" s="78"/>
      <c r="K112" s="86"/>
      <c r="L112" s="56"/>
      <c r="M112" s="80" t="str">
        <f t="shared" si="49"/>
        <v/>
      </c>
      <c r="N112" s="80" t="str">
        <f>IF(AND($F112&lt;&gt;"", $F112&gt;=N$5-4, $F112&lt;=N$5, COUNTIF($M112:M112,"u")=0), "u", "")</f>
        <v/>
      </c>
      <c r="O112" s="80" t="str">
        <f>IF(AND($F112&lt;&gt;"", $F112&gt;=O$5-4, $F112&lt;=O$5, COUNTIF($M112:N112,"u")=0), "u", "")</f>
        <v/>
      </c>
      <c r="P112" s="80" t="str">
        <f>IF(AND($F112&lt;&gt;"", $F112&gt;=P$5-4, $F112&lt;=P$5, COUNTIF($M112:O112,"u")=0), "u", "")</f>
        <v/>
      </c>
      <c r="Q112" s="80" t="str">
        <f>IF(AND($F112&lt;&gt;"", $F112&gt;=Q$5-4, $F112&lt;=Q$5, COUNTIF($M112:P112,"u")=0), "u", "")</f>
        <v/>
      </c>
      <c r="R112" s="80" t="str">
        <f>IF(AND($F112&lt;&gt;"", $F112&gt;=R$5-4, $F112&lt;=R$5, COUNTIF($M112:Q112,"u")=0), "u", "")</f>
        <v/>
      </c>
      <c r="S112" s="80" t="str">
        <f>IF(AND($F112&lt;&gt;"", $F112&gt;=S$5-4, $F112&lt;=S$5, COUNTIF($M112:R112,"u")=0), "u", "")</f>
        <v/>
      </c>
      <c r="T112" s="80" t="str">
        <f>IF(AND($F112&lt;&gt;"", $F112&gt;=T$5-4, $F112&lt;=T$5, COUNTIF($M112:S112,"u")=0), "u", "")</f>
        <v/>
      </c>
      <c r="U112" s="80" t="str">
        <f>IF(AND($F112&lt;&gt;"", $F112&gt;=U$5-4, $F112&lt;=U$5, COUNTIF($M112:T112,"u")=0), "u", "")</f>
        <v/>
      </c>
      <c r="V112" s="80" t="str">
        <f>IF(AND($F112&lt;&gt;"", $F112&gt;=V$5-4, $F112&lt;=V$5, COUNTIF($M112:U112,"u")=0), "u", "")</f>
        <v/>
      </c>
      <c r="W112" s="80" t="str">
        <f>IF(AND($F112&lt;&gt;"", $F112&gt;=W$5-4, $F112&lt;=W$5, COUNTIF($M112:V112,"u")=0), "u", "")</f>
        <v/>
      </c>
      <c r="X112" s="80" t="str">
        <f>IF(AND($F112&lt;&gt;"", $F112&gt;=X$5-4, $F112&lt;=X$5, COUNTIF($M112:W112,"u")=0), "u", "")</f>
        <v/>
      </c>
      <c r="Y112" s="80" t="str">
        <f>IF(AND($F112&lt;&gt;"", $F112&gt;=Y$5-4, $F112&lt;=Y$5, COUNTIF($M112:X112,"u")=0), "u", "")</f>
        <v/>
      </c>
      <c r="Z112" s="80" t="str">
        <f>IF(AND($F112&lt;&gt;"", $F112&gt;=Z$5-4, $F112&lt;=Z$5, COUNTIF($M112:Y112,"u")=0), "u", "")</f>
        <v/>
      </c>
      <c r="AA112" s="80" t="str">
        <f>IF(AND($F112&lt;&gt;"", $F112&gt;=AA$5-4, $F112&lt;=AA$5, COUNTIF($M112:Z112,"u")=0), "u", "")</f>
        <v/>
      </c>
      <c r="AB112" s="80" t="str">
        <f>IF(AND($F112&lt;&gt;"", $F112&gt;=AB$5-4, $F112&lt;=AB$5, COUNTIF($M112:AA112,"u")=0), "u", "")</f>
        <v/>
      </c>
      <c r="AC112" s="80" t="str">
        <f>IF(AND($F112&lt;&gt;"", $F112&gt;=AC$5-4, $F112&lt;=AC$5, COUNTIF($M112:AB112,"u")=0), "u", "")</f>
        <v/>
      </c>
      <c r="AD112" s="80" t="str">
        <f>IF(AND($F112&lt;&gt;"", $F112&gt;=AD$5-4, $F112&lt;=AD$5, COUNTIF($M112:AC112,"u")=0), "u", "")</f>
        <v/>
      </c>
      <c r="AE112" s="80" t="str">
        <f>IF(AND($F112&lt;&gt;"", $F112&gt;=AE$5-4, $F112&lt;=AE$5, COUNTIF($M112:AD112,"u")=0), "u", "")</f>
        <v/>
      </c>
      <c r="AF112" s="80" t="str">
        <f>IF(AND($F112&lt;&gt;"", $F112&gt;=AF$5-4, $F112&lt;=AF$5, COUNTIF($M112:AE112,"u")=0), "u", "")</f>
        <v/>
      </c>
      <c r="AG112" s="80" t="str">
        <f>IF(AND($F112&lt;&gt;"", $F112&gt;=AG$5-4, $F112&lt;=AG$5, COUNTIF($M112:AF112,"u")=0), "u", "")</f>
        <v/>
      </c>
      <c r="AH112" s="80" t="str">
        <f>IF(AND($F112&lt;&gt;"", $F112&gt;=AH$5-4, $F112&lt;=AH$5, COUNTIF($M112:AG112,"u")=0), "u", "")</f>
        <v/>
      </c>
      <c r="AI112" s="80" t="str">
        <f>IF(AND($F112&lt;&gt;"", $F112&gt;=AI$5-4, $F112&lt;=AI$5, COUNTIF($M112:AH112,"u")=0), "u", "")</f>
        <v/>
      </c>
      <c r="AJ112" s="80" t="str">
        <f>IF(AND($F112&lt;&gt;"", $F112&gt;=AJ$5-4, $F112&lt;=AJ$5, COUNTIF($M112:AI112,"u")=0), "u", "")</f>
        <v/>
      </c>
      <c r="AK112" s="80" t="str">
        <f>IF(AND($F112&lt;&gt;"", $F112&gt;=AK$5-4, $F112&lt;=AK$5, COUNTIF($M112:AJ112,"u")=0), "u", "")</f>
        <v/>
      </c>
      <c r="AL112" s="80" t="str">
        <f>IF(AND($F112&lt;&gt;"", $F112&gt;=AL$5-4, $F112&lt;=AL$5, COUNTIF($M112:AK112,"u")=0), "u", "")</f>
        <v/>
      </c>
      <c r="AM112" s="80" t="str">
        <f>IF(AND($F112&lt;&gt;"", $F112&gt;=AM$5-4, $F112&lt;=AM$5, COUNTIF($M112:AL112,"u")=0), "u", "")</f>
        <v/>
      </c>
      <c r="AN112" s="80" t="str">
        <f>IF(AND($F112&lt;&gt;"", $F112&gt;=AN$5-4, $F112&lt;=AN$5, COUNTIF($M112:AM112,"u")=0), "u", "")</f>
        <v/>
      </c>
      <c r="AO112" s="80" t="str">
        <f>IF(AND($F112&lt;&gt;"", $F112&gt;=AO$5-4, $F112&lt;=AO$5, COUNTIF($M112:AN112,"u")=0), "u", "")</f>
        <v/>
      </c>
      <c r="AP112" s="80" t="str">
        <f>IF(AND($F112&lt;&gt;"", $F112&gt;=AP$5-4, $F112&lt;=AP$5, COUNTIF($M112:AO112,"u")=0), "u", "")</f>
        <v/>
      </c>
      <c r="AQ112" s="80" t="str">
        <f>IF(AND($F112&lt;&gt;"", $F112&gt;=AQ$5-4, $F112&lt;=AQ$5, COUNTIF($M112:AP112,"u")=0), "u", "")</f>
        <v/>
      </c>
      <c r="AR112" s="80" t="str">
        <f>IF(AND($F112&lt;&gt;"", $F112&gt;=AR$5-4, $F112&lt;=AR$5, COUNTIF($M112:AQ112,"u")=0), "u", "")</f>
        <v/>
      </c>
      <c r="AS112" s="80" t="str">
        <f>IF(AND($F112&lt;&gt;"", $F112&gt;=AS$5-4, $F112&lt;=AS$5, COUNTIF($M112:AR112,"u")=0), "u", "")</f>
        <v/>
      </c>
      <c r="AT112" s="80" t="str">
        <f>IF(AND($F112&lt;&gt;"", $F112&gt;=AT$5-4, $F112&lt;=AT$5, COUNTIF($M112:AS112,"u")=0), "u", "")</f>
        <v/>
      </c>
      <c r="AU112" s="80" t="str">
        <f>IF(AND($F112&lt;&gt;"", $F112&gt;=AU$5-4, $F112&lt;=AU$5, COUNTIF($M112:AT112,"u")=0), "u", "")</f>
        <v/>
      </c>
      <c r="AV112" s="80" t="str">
        <f>IF(AND($F112&lt;&gt;"", $F112&gt;=AV$5-4, $F112&lt;=AV$5, COUNTIF($M112:AU112,"u")=0), "u", "")</f>
        <v/>
      </c>
      <c r="AW112" s="80" t="str">
        <f>IF(AND($F112&lt;&gt;"", $F112&gt;=AW$5-4, $F112&lt;=AW$5, COUNTIF($M112:AV112,"u")=0), "u", "")</f>
        <v/>
      </c>
      <c r="AX112" s="80" t="str">
        <f>IF(AND($F112&lt;&gt;"", $F112&gt;=AX$5-4, $F112&lt;=AX$5, COUNTIF($M112:AW112,"u")=0), "u", "")</f>
        <v/>
      </c>
      <c r="AY112" s="80" t="str">
        <f>IF(AND($F112&lt;&gt;"", $F112&gt;=AY$5-4, $F112&lt;=AY$5, COUNTIF($M112:AX112,"u")=0), "u", "")</f>
        <v/>
      </c>
      <c r="AZ112" s="80" t="str">
        <f>IF(AND($F112&lt;&gt;"", $F112&gt;=AZ$5-4, $F112&lt;=AZ$5, COUNTIF($M112:AY112,"u")=0), "u", "")</f>
        <v/>
      </c>
      <c r="BA112" s="80" t="str">
        <f>IF(AND($F112&lt;&gt;"", $F112&gt;=BA$5-4, $F112&lt;=BA$5, COUNTIF($M112:AZ112,"u")=0), "u", "")</f>
        <v/>
      </c>
      <c r="BB112" s="80" t="str">
        <f>IF(AND($F112&lt;&gt;"", $F112&gt;=BB$5-4, $F112&lt;=BB$5, COUNTIF($M112:BA112,"u")=0), "u", "")</f>
        <v/>
      </c>
      <c r="BC112" s="80" t="str">
        <f>IF(AND($F112&lt;&gt;"", $F112&gt;=BC$5-4, $F112&lt;=BC$5, COUNTIF($M112:BB112,"u")=0), "u", "")</f>
        <v/>
      </c>
      <c r="BD112" s="80" t="str">
        <f>IF(AND($F112&lt;&gt;"", $F112&gt;=BD$5-4, $F112&lt;=BD$5, COUNTIF($M112:BC112,"u")=0), "u", "")</f>
        <v/>
      </c>
      <c r="BE112" s="80" t="str">
        <f>IF(AND($F112&lt;&gt;"", $F112&gt;=BE$5-4, $F112&lt;=BE$5, COUNTIF($M112:BD112,"u")=0), "u", "")</f>
        <v/>
      </c>
      <c r="BF112" s="80" t="str">
        <f>IF(AND($F112&lt;&gt;"", $F112&gt;=BF$5-4, $F112&lt;=BF$5, COUNTIF($M112:BE112,"u")=0), "u", "")</f>
        <v/>
      </c>
      <c r="BG112" s="80" t="str">
        <f>IF(AND($F112&lt;&gt;"", $F112&gt;=BG$5-4, $F112&lt;=BG$5, COUNTIF($M112:BF112,"u")=0), "u", "")</f>
        <v/>
      </c>
      <c r="BH112" s="80" t="str">
        <f>IF(AND($F112&lt;&gt;"", $F112&gt;=BH$5-4, $F112&lt;=BH$5, COUNTIF($M112:BG112,"u")=0), "u", "")</f>
        <v/>
      </c>
      <c r="BI112" s="80" t="str">
        <f>IF(AND($F112&lt;&gt;"", $F112&gt;=BI$5-4, $F112&lt;=BI$5, COUNTIF($M112:BH112,"u")=0), "u", "")</f>
        <v/>
      </c>
      <c r="BJ112" s="80" t="str">
        <f>IF(AND($F112&lt;&gt;"", $F112&gt;=BJ$5-4, $F112&lt;=BJ$5, COUNTIF($M112:BI112,"u")=0), "u", "")</f>
        <v/>
      </c>
      <c r="BK112" s="80" t="str">
        <f>IF(AND($F112&lt;&gt;"", $F112&gt;=BK$5-4, $F112&lt;=BK$5, COUNTIF($M112:BJ112,"u")=0), "u", "")</f>
        <v/>
      </c>
      <c r="BL112" s="80" t="str">
        <f>IF(AND($F112&lt;&gt;"", $F112&gt;=BL$5-4, $F112&lt;=BL$5, COUNTIF($M112:BK112,"u")=0), "u", "")</f>
        <v/>
      </c>
      <c r="BM112" s="80" t="str">
        <f>IF(AND($F112&lt;&gt;"", $F112&gt;=BM$5-4, $F112&lt;=BM$5, COUNTIF($M112:BL112,"u")=0), "u", "")</f>
        <v/>
      </c>
      <c r="BN112" s="80" t="str">
        <f>IF(AND($F112&lt;&gt;"", $F112&gt;=BN$5-4, $F112&lt;=BN$5, COUNTIF($M112:BM112,"u")=0), "u", "")</f>
        <v/>
      </c>
      <c r="BO112" s="80" t="str">
        <f>IF(AND($F112&lt;&gt;"", $F112&gt;=BO$5-4, $F112&lt;=BO$5, COUNTIF($M112:BN112,"u")=0), "u", "")</f>
        <v/>
      </c>
      <c r="BP112" s="80" t="str">
        <f>IF(AND($F112&lt;&gt;"", $F112&gt;=BP$5-4, $F112&lt;=BP$5, COUNTIF($M112:BO112,"u")=0), "u", "")</f>
        <v/>
      </c>
      <c r="BQ112" s="80" t="str">
        <f>IF(AND($F112&lt;&gt;"", $F112&gt;=BQ$5-4, $F112&lt;=BQ$5, COUNTIF($M112:BP112,"u")=0), "u", "")</f>
        <v/>
      </c>
      <c r="BR112" s="80" t="str">
        <f>IF(AND($F112&lt;&gt;"", $F112&gt;=BR$5-4, $F112&lt;=BR$5, COUNTIF($M112:BQ112,"u")=0), "u", "")</f>
        <v/>
      </c>
      <c r="BS112" s="80" t="str">
        <f>IF(AND($F112&lt;&gt;"", $F112&gt;=BS$5-4, $F112&lt;=BS$5, COUNTIF($M112:BR112,"u")=0), "u", "")</f>
        <v/>
      </c>
      <c r="BT112" s="80" t="str">
        <f>IF(AND($F112&lt;&gt;"", $F112&gt;=BT$5-4, $F112&lt;=BT$5, COUNTIF($M112:BS112,"u")=0), "u", "")</f>
        <v/>
      </c>
      <c r="BU112" s="80" t="str">
        <f>IF(AND($F112&lt;&gt;"", $F112&gt;=BU$5-4, $F112&lt;=BU$5, COUNTIF($M112:BT112,"u")=0), "u", "")</f>
        <v/>
      </c>
      <c r="BV112" s="80" t="str">
        <f>IF(AND($F112&lt;&gt;"", $F112&gt;=BV$5-4, $F112&lt;=BV$5, COUNTIF($M112:BU112,"u")=0), "u", "")</f>
        <v/>
      </c>
      <c r="BW112" s="80" t="str">
        <f>IF(AND($F112&lt;&gt;"", $F112&gt;=BW$5-4, $F112&lt;=BW$5, COUNTIF($M112:BV112,"u")=0), "u", "")</f>
        <v/>
      </c>
      <c r="BX112" s="80" t="str">
        <f>IF(AND($F112&lt;&gt;"", $F112&gt;=BX$5-4, $F112&lt;=BX$5, COUNTIF($M112:BW112,"u")=0), "u", "")</f>
        <v/>
      </c>
      <c r="BY112" s="80" t="str">
        <f>IF(AND($F112&lt;&gt;"", $F112&gt;=BY$5-4, $F112&lt;=BY$5, COUNTIF($M112:BX112,"u")=0), "u", "")</f>
        <v/>
      </c>
      <c r="BZ112" s="80" t="str">
        <f>IF(AND($F112&lt;&gt;"", $F112&gt;=BZ$5-4, $F112&lt;=BZ$5, COUNTIF($M112:BY112,"u")=0), "u", "")</f>
        <v/>
      </c>
      <c r="CA112" s="80" t="str">
        <f>IF(AND($F112&lt;&gt;"", $F112&gt;=CA$5-4, $F112&lt;=CA$5, COUNTIF($M112:BZ112,"u")=0), "u", "")</f>
        <v/>
      </c>
      <c r="CB112" s="80" t="str">
        <f>IF(AND($F112&lt;&gt;"", $F112&gt;=CB$5-4, $F112&lt;=CB$5, COUNTIF($M112:CA112,"u")=0), "u", "")</f>
        <v/>
      </c>
      <c r="CC112" s="80" t="str">
        <f>IF(AND($F112&lt;&gt;"", $F112&gt;=CC$5-4, $F112&lt;=CC$5, COUNTIF($M112:CB112,"u")=0), "u", "")</f>
        <v/>
      </c>
      <c r="CD112" s="80" t="str">
        <f>IF(AND($F112&lt;&gt;"", $F112&gt;=CD$5-4, $F112&lt;=CD$5, COUNTIF($M112:CC112,"u")=0), "u", "")</f>
        <v/>
      </c>
      <c r="CE112" s="80" t="str">
        <f>IF(AND($F112&lt;&gt;"", $F112&gt;=CE$5-4, $F112&lt;=CE$5, COUNTIF($M112:CD112,"u")=0), "u", "")</f>
        <v/>
      </c>
      <c r="CF112" s="80" t="str">
        <f>IF(AND($F112&lt;&gt;"", $F112&gt;=CF$5-4, $F112&lt;=CF$5, COUNTIF($M112:CE112,"u")=0), "u", "")</f>
        <v/>
      </c>
      <c r="CG112" s="80" t="str">
        <f>IF(AND($F112&lt;&gt;"", $F112&gt;=CG$5-4, $F112&lt;=CG$5, COUNTIF($M112:CF112,"u")=0), "u", "")</f>
        <v/>
      </c>
      <c r="CH112" s="80" t="str">
        <f>IF(AND($F112&lt;&gt;"", $F112&gt;=CH$5-4, $F112&lt;=CH$5, COUNTIF($M112:CG112,"u")=0), "u", "")</f>
        <v/>
      </c>
      <c r="CI112" s="80" t="str">
        <f>IF(AND($F112&lt;&gt;"", $F112&gt;=CI$5-4, $F112&lt;=CI$5, COUNTIF($M112:CH112,"u")=0), "u", "")</f>
        <v/>
      </c>
      <c r="CJ112" s="80" t="str">
        <f>IF(AND($F112&lt;&gt;"", $F112&gt;=CJ$5-4, $F112&lt;=CJ$5, COUNTIF($M112:CI112,"u")=0), "u", "")</f>
        <v/>
      </c>
      <c r="CK112" s="80" t="str">
        <f>IF(AND($F112&lt;&gt;"", $F112&gt;=CK$5-4, $F112&lt;=CK$5, COUNTIF($M112:CJ112,"u")=0), "u", "")</f>
        <v/>
      </c>
      <c r="CL112" s="80" t="str">
        <f>IF(AND($F112&lt;&gt;"", $F112&gt;=CL$5-4, $F112&lt;=CL$5, COUNTIF($M112:CK112,"u")=0), "u", "")</f>
        <v/>
      </c>
      <c r="CM112" s="80" t="str">
        <f>IF(AND($F112&lt;&gt;"", $F112&gt;=CM$5-4, $F112&lt;=CM$5, COUNTIF($M112:CL112,"u")=0), "u", "")</f>
        <v/>
      </c>
      <c r="CN112" s="80" t="str">
        <f>IF(AND($F112&lt;&gt;"", $F112&gt;=CN$5-4, $F112&lt;=CN$5, COUNTIF($M112:CM112,"u")=0), "u", "")</f>
        <v/>
      </c>
      <c r="CO112" s="80" t="str">
        <f>IF(AND($F112&lt;&gt;"", $F112&gt;=CO$5-4, $F112&lt;=CO$5, COUNTIF($M112:CN112,"u")=0), "u", "")</f>
        <v/>
      </c>
      <c r="CP112" s="80" t="str">
        <f>IF(AND($F112&lt;&gt;"", $F112&gt;=CP$5-4, $F112&lt;=CP$5, COUNTIF($M112:CO112,"u")=0), "u", "")</f>
        <v/>
      </c>
      <c r="CQ112" s="80" t="str">
        <f>IF(AND($F112&lt;&gt;"", $F112&gt;=CQ$5-4, $F112&lt;=CQ$5, COUNTIF($M112:CP112,"u")=0), "u", "")</f>
        <v/>
      </c>
      <c r="CR112" s="80" t="str">
        <f>IF(AND($F112&lt;&gt;"", $F112&gt;=CR$5-4, $F112&lt;=CR$5, COUNTIF($M112:CQ112,"u")=0), "u", "")</f>
        <v/>
      </c>
      <c r="CS112" s="80" t="str">
        <f>IF(AND($F112&lt;&gt;"", $F112&gt;=CS$5-4, $F112&lt;=CS$5, COUNTIF($M112:CR112,"u")=0), "u", "")</f>
        <v/>
      </c>
      <c r="CT112" s="80" t="str">
        <f>IF(AND($F112&lt;&gt;"", $F112&gt;=CT$5-4, $F112&lt;=CT$5, COUNTIF($M112:CS112,"u")=0), "u", "")</f>
        <v/>
      </c>
      <c r="CU112" s="80" t="str">
        <f>IF(AND($F112&lt;&gt;"", $F112&gt;=CU$5-4, $F112&lt;=CU$5, COUNTIF($M112:CT112,"u")=0), "u", "")</f>
        <v/>
      </c>
      <c r="CV112" s="80" t="str">
        <f>IF(AND($F112&lt;&gt;"", $F112&gt;=CV$5-4, $F112&lt;=CV$5, COUNTIF($M112:CU112,"u")=0), "u", "")</f>
        <v/>
      </c>
      <c r="CW112" s="80" t="str">
        <f>IF(AND($F112&lt;&gt;"", $F112&gt;=CW$5-4, $F112&lt;=CW$5, COUNTIF($M112:CV112,"u")=0), "u", "")</f>
        <v/>
      </c>
      <c r="CX112" s="80" t="str">
        <f>IF(AND($F112&lt;&gt;"", $F112&gt;=CX$5-4, $F112&lt;=CX$5, COUNTIF($M112:CW112,"u")=0), "u", "")</f>
        <v/>
      </c>
      <c r="CY112" s="80" t="str">
        <f>IF(AND($F112&lt;&gt;"", $F112&gt;=CY$5-4, $F112&lt;=CY$5, COUNTIF($M112:CX112,"u")=0), "u", "")</f>
        <v/>
      </c>
      <c r="CZ112" s="80" t="str">
        <f>IF(AND($F112&lt;&gt;"", $F112&gt;=CZ$5-4, $F112&lt;=CZ$5, COUNTIF($M112:CY112,"u")=0), "u", "")</f>
        <v/>
      </c>
      <c r="DA112" s="80" t="str">
        <f>IF(AND($F112&lt;&gt;"", $F112&gt;=DA$5-4, $F112&lt;=DA$5, COUNTIF($M112:CZ112,"u")=0), "u", "")</f>
        <v/>
      </c>
      <c r="DB112" s="80" t="str">
        <f>IF(AND($F112&lt;&gt;"", $F112&gt;=DB$5-4, $F112&lt;=DB$5, COUNTIF($M112:DA112,"u")=0), "u", "")</f>
        <v/>
      </c>
      <c r="DC112" s="80" t="str">
        <f>IF(AND($F112&lt;&gt;"", $F112&gt;=DC$5-4, $F112&lt;=DC$5, COUNTIF($M112:DB112,"u")=0), "u", "")</f>
        <v/>
      </c>
      <c r="DD112" s="80" t="str">
        <f>IF(AND($F112&lt;&gt;"", $F112&gt;=DD$5-4, $F112&lt;=DD$5, COUNTIF($M112:DC112,"u")=0), "u", "")</f>
        <v/>
      </c>
      <c r="DE112" s="80" t="str">
        <f>IF(AND($F112&lt;&gt;"", $F112&gt;=DE$5-4, $F112&lt;=DE$5, COUNTIF($M112:DD112,"u")=0), "u", "")</f>
        <v/>
      </c>
      <c r="DF112" s="80" t="str">
        <f>IF(AND($F112&lt;&gt;"", $F112&gt;=DF$5-4, $F112&lt;=DF$5, COUNTIF($M112:DE112,"u")=0), "u", "")</f>
        <v/>
      </c>
      <c r="DG112" s="80" t="str">
        <f>IF(AND($F112&lt;&gt;"", $F112&gt;=DG$5-4, $F112&lt;=DG$5, COUNTIF($M112:DF112,"u")=0), "u", "")</f>
        <v/>
      </c>
      <c r="DH112" s="80" t="str">
        <f>IF(AND($F112&lt;&gt;"", $F112&gt;=DH$5-4, $F112&lt;=DH$5, COUNTIF($M112:DG112,"u")=0), "u", "")</f>
        <v/>
      </c>
      <c r="DI112" s="80" t="str">
        <f>IF(AND($F112&lt;&gt;"", $F112&gt;=DI$5-4, $F112&lt;=DI$5, COUNTIF($M112:DH112,"u")=0), "u", "")</f>
        <v/>
      </c>
      <c r="DJ112" s="80" t="str">
        <f>IF(AND($F112&lt;&gt;"", $F112&gt;=DJ$5-4, $F112&lt;=DJ$5, COUNTIF($M112:DI112,"u")=0), "u", "")</f>
        <v/>
      </c>
      <c r="DK112" s="80" t="str">
        <f>IF(AND($F112&lt;&gt;"", $F112&gt;=DK$5-4, $F112&lt;=DK$5, COUNTIF($M112:DJ112,"u")=0), "u", "")</f>
        <v/>
      </c>
      <c r="DL112" s="80" t="str">
        <f>IF(AND($F112&lt;&gt;"", $F112&gt;=DL$5-4, $F112&lt;=DL$5, COUNTIF($M112:DK112,"u")=0), "u", "")</f>
        <v/>
      </c>
    </row>
    <row r="113" spans="1:116" ht="25.05" customHeight="1" x14ac:dyDescent="0.3">
      <c r="A113" s="39"/>
      <c r="B113" s="75">
        <v>108</v>
      </c>
      <c r="C113" s="97"/>
      <c r="D113" s="92"/>
      <c r="E113" s="53"/>
      <c r="F113" s="53"/>
      <c r="G113" s="83" t="str">
        <f t="shared" si="50"/>
        <v/>
      </c>
      <c r="H113" s="83" t="str">
        <f t="shared" si="50"/>
        <v/>
      </c>
      <c r="I113" s="77" t="str">
        <f t="shared" si="48"/>
        <v/>
      </c>
      <c r="J113" s="78"/>
      <c r="K113" s="86"/>
      <c r="L113" s="56"/>
      <c r="M113" s="80" t="str">
        <f t="shared" si="49"/>
        <v/>
      </c>
      <c r="N113" s="80" t="str">
        <f>IF(AND($F113&lt;&gt;"", $F113&gt;=N$5-4, $F113&lt;=N$5, COUNTIF($M113:M113,"u")=0), "u", "")</f>
        <v/>
      </c>
      <c r="O113" s="80" t="str">
        <f>IF(AND($F113&lt;&gt;"", $F113&gt;=O$5-4, $F113&lt;=O$5, COUNTIF($M113:N113,"u")=0), "u", "")</f>
        <v/>
      </c>
      <c r="P113" s="80" t="str">
        <f>IF(AND($F113&lt;&gt;"", $F113&gt;=P$5-4, $F113&lt;=P$5, COUNTIF($M113:O113,"u")=0), "u", "")</f>
        <v/>
      </c>
      <c r="Q113" s="80" t="str">
        <f>IF(AND($F113&lt;&gt;"", $F113&gt;=Q$5-4, $F113&lt;=Q$5, COUNTIF($M113:P113,"u")=0), "u", "")</f>
        <v/>
      </c>
      <c r="R113" s="80" t="str">
        <f>IF(AND($F113&lt;&gt;"", $F113&gt;=R$5-4, $F113&lt;=R$5, COUNTIF($M113:Q113,"u")=0), "u", "")</f>
        <v/>
      </c>
      <c r="S113" s="80" t="str">
        <f>IF(AND($F113&lt;&gt;"", $F113&gt;=S$5-4, $F113&lt;=S$5, COUNTIF($M113:R113,"u")=0), "u", "")</f>
        <v/>
      </c>
      <c r="T113" s="80" t="str">
        <f>IF(AND($F113&lt;&gt;"", $F113&gt;=T$5-4, $F113&lt;=T$5, COUNTIF($M113:S113,"u")=0), "u", "")</f>
        <v/>
      </c>
      <c r="U113" s="80" t="str">
        <f>IF(AND($F113&lt;&gt;"", $F113&gt;=U$5-4, $F113&lt;=U$5, COUNTIF($M113:T113,"u")=0), "u", "")</f>
        <v/>
      </c>
      <c r="V113" s="80" t="str">
        <f>IF(AND($F113&lt;&gt;"", $F113&gt;=V$5-4, $F113&lt;=V$5, COUNTIF($M113:U113,"u")=0), "u", "")</f>
        <v/>
      </c>
      <c r="W113" s="80" t="str">
        <f>IF(AND($F113&lt;&gt;"", $F113&gt;=W$5-4, $F113&lt;=W$5, COUNTIF($M113:V113,"u")=0), "u", "")</f>
        <v/>
      </c>
      <c r="X113" s="80" t="str">
        <f>IF(AND($F113&lt;&gt;"", $F113&gt;=X$5-4, $F113&lt;=X$5, COUNTIF($M113:W113,"u")=0), "u", "")</f>
        <v/>
      </c>
      <c r="Y113" s="80" t="str">
        <f>IF(AND($F113&lt;&gt;"", $F113&gt;=Y$5-4, $F113&lt;=Y$5, COUNTIF($M113:X113,"u")=0), "u", "")</f>
        <v/>
      </c>
      <c r="Z113" s="80" t="str">
        <f>IF(AND($F113&lt;&gt;"", $F113&gt;=Z$5-4, $F113&lt;=Z$5, COUNTIF($M113:Y113,"u")=0), "u", "")</f>
        <v/>
      </c>
      <c r="AA113" s="80" t="str">
        <f>IF(AND($F113&lt;&gt;"", $F113&gt;=AA$5-4, $F113&lt;=AA$5, COUNTIF($M113:Z113,"u")=0), "u", "")</f>
        <v/>
      </c>
      <c r="AB113" s="80" t="str">
        <f>IF(AND($F113&lt;&gt;"", $F113&gt;=AB$5-4, $F113&lt;=AB$5, COUNTIF($M113:AA113,"u")=0), "u", "")</f>
        <v/>
      </c>
      <c r="AC113" s="80" t="str">
        <f>IF(AND($F113&lt;&gt;"", $F113&gt;=AC$5-4, $F113&lt;=AC$5, COUNTIF($M113:AB113,"u")=0), "u", "")</f>
        <v/>
      </c>
      <c r="AD113" s="80" t="str">
        <f>IF(AND($F113&lt;&gt;"", $F113&gt;=AD$5-4, $F113&lt;=AD$5, COUNTIF($M113:AC113,"u")=0), "u", "")</f>
        <v/>
      </c>
      <c r="AE113" s="80" t="str">
        <f>IF(AND($F113&lt;&gt;"", $F113&gt;=AE$5-4, $F113&lt;=AE$5, COUNTIF($M113:AD113,"u")=0), "u", "")</f>
        <v/>
      </c>
      <c r="AF113" s="80" t="str">
        <f>IF(AND($F113&lt;&gt;"", $F113&gt;=AF$5-4, $F113&lt;=AF$5, COUNTIF($M113:AE113,"u")=0), "u", "")</f>
        <v/>
      </c>
      <c r="AG113" s="80" t="str">
        <f>IF(AND($F113&lt;&gt;"", $F113&gt;=AG$5-4, $F113&lt;=AG$5, COUNTIF($M113:AF113,"u")=0), "u", "")</f>
        <v/>
      </c>
      <c r="AH113" s="80" t="str">
        <f>IF(AND($F113&lt;&gt;"", $F113&gt;=AH$5-4, $F113&lt;=AH$5, COUNTIF($M113:AG113,"u")=0), "u", "")</f>
        <v/>
      </c>
      <c r="AI113" s="80" t="str">
        <f>IF(AND($F113&lt;&gt;"", $F113&gt;=AI$5-4, $F113&lt;=AI$5, COUNTIF($M113:AH113,"u")=0), "u", "")</f>
        <v/>
      </c>
      <c r="AJ113" s="80" t="str">
        <f>IF(AND($F113&lt;&gt;"", $F113&gt;=AJ$5-4, $F113&lt;=AJ$5, COUNTIF($M113:AI113,"u")=0), "u", "")</f>
        <v/>
      </c>
      <c r="AK113" s="80" t="str">
        <f>IF(AND($F113&lt;&gt;"", $F113&gt;=AK$5-4, $F113&lt;=AK$5, COUNTIF($M113:AJ113,"u")=0), "u", "")</f>
        <v/>
      </c>
      <c r="AL113" s="80" t="str">
        <f>IF(AND($F113&lt;&gt;"", $F113&gt;=AL$5-4, $F113&lt;=AL$5, COUNTIF($M113:AK113,"u")=0), "u", "")</f>
        <v/>
      </c>
      <c r="AM113" s="80" t="str">
        <f>IF(AND($F113&lt;&gt;"", $F113&gt;=AM$5-4, $F113&lt;=AM$5, COUNTIF($M113:AL113,"u")=0), "u", "")</f>
        <v/>
      </c>
      <c r="AN113" s="80" t="str">
        <f>IF(AND($F113&lt;&gt;"", $F113&gt;=AN$5-4, $F113&lt;=AN$5, COUNTIF($M113:AM113,"u")=0), "u", "")</f>
        <v/>
      </c>
      <c r="AO113" s="80" t="str">
        <f>IF(AND($F113&lt;&gt;"", $F113&gt;=AO$5-4, $F113&lt;=AO$5, COUNTIF($M113:AN113,"u")=0), "u", "")</f>
        <v/>
      </c>
      <c r="AP113" s="80" t="str">
        <f>IF(AND($F113&lt;&gt;"", $F113&gt;=AP$5-4, $F113&lt;=AP$5, COUNTIF($M113:AO113,"u")=0), "u", "")</f>
        <v/>
      </c>
      <c r="AQ113" s="80" t="str">
        <f>IF(AND($F113&lt;&gt;"", $F113&gt;=AQ$5-4, $F113&lt;=AQ$5, COUNTIF($M113:AP113,"u")=0), "u", "")</f>
        <v/>
      </c>
      <c r="AR113" s="80" t="str">
        <f>IF(AND($F113&lt;&gt;"", $F113&gt;=AR$5-4, $F113&lt;=AR$5, COUNTIF($M113:AQ113,"u")=0), "u", "")</f>
        <v/>
      </c>
      <c r="AS113" s="80" t="str">
        <f>IF(AND($F113&lt;&gt;"", $F113&gt;=AS$5-4, $F113&lt;=AS$5, COUNTIF($M113:AR113,"u")=0), "u", "")</f>
        <v/>
      </c>
      <c r="AT113" s="80" t="str">
        <f>IF(AND($F113&lt;&gt;"", $F113&gt;=AT$5-4, $F113&lt;=AT$5, COUNTIF($M113:AS113,"u")=0), "u", "")</f>
        <v/>
      </c>
      <c r="AU113" s="80" t="str">
        <f>IF(AND($F113&lt;&gt;"", $F113&gt;=AU$5-4, $F113&lt;=AU$5, COUNTIF($M113:AT113,"u")=0), "u", "")</f>
        <v/>
      </c>
      <c r="AV113" s="80" t="str">
        <f>IF(AND($F113&lt;&gt;"", $F113&gt;=AV$5-4, $F113&lt;=AV$5, COUNTIF($M113:AU113,"u")=0), "u", "")</f>
        <v/>
      </c>
      <c r="AW113" s="80" t="str">
        <f>IF(AND($F113&lt;&gt;"", $F113&gt;=AW$5-4, $F113&lt;=AW$5, COUNTIF($M113:AV113,"u")=0), "u", "")</f>
        <v/>
      </c>
      <c r="AX113" s="80" t="str">
        <f>IF(AND($F113&lt;&gt;"", $F113&gt;=AX$5-4, $F113&lt;=AX$5, COUNTIF($M113:AW113,"u")=0), "u", "")</f>
        <v/>
      </c>
      <c r="AY113" s="80" t="str">
        <f>IF(AND($F113&lt;&gt;"", $F113&gt;=AY$5-4, $F113&lt;=AY$5, COUNTIF($M113:AX113,"u")=0), "u", "")</f>
        <v/>
      </c>
      <c r="AZ113" s="80" t="str">
        <f>IF(AND($F113&lt;&gt;"", $F113&gt;=AZ$5-4, $F113&lt;=AZ$5, COUNTIF($M113:AY113,"u")=0), "u", "")</f>
        <v/>
      </c>
      <c r="BA113" s="80" t="str">
        <f>IF(AND($F113&lt;&gt;"", $F113&gt;=BA$5-4, $F113&lt;=BA$5, COUNTIF($M113:AZ113,"u")=0), "u", "")</f>
        <v/>
      </c>
      <c r="BB113" s="80" t="str">
        <f>IF(AND($F113&lt;&gt;"", $F113&gt;=BB$5-4, $F113&lt;=BB$5, COUNTIF($M113:BA113,"u")=0), "u", "")</f>
        <v/>
      </c>
      <c r="BC113" s="80" t="str">
        <f>IF(AND($F113&lt;&gt;"", $F113&gt;=BC$5-4, $F113&lt;=BC$5, COUNTIF($M113:BB113,"u")=0), "u", "")</f>
        <v/>
      </c>
      <c r="BD113" s="80" t="str">
        <f>IF(AND($F113&lt;&gt;"", $F113&gt;=BD$5-4, $F113&lt;=BD$5, COUNTIF($M113:BC113,"u")=0), "u", "")</f>
        <v/>
      </c>
      <c r="BE113" s="80" t="str">
        <f>IF(AND($F113&lt;&gt;"", $F113&gt;=BE$5-4, $F113&lt;=BE$5, COUNTIF($M113:BD113,"u")=0), "u", "")</f>
        <v/>
      </c>
      <c r="BF113" s="80" t="str">
        <f>IF(AND($F113&lt;&gt;"", $F113&gt;=BF$5-4, $F113&lt;=BF$5, COUNTIF($M113:BE113,"u")=0), "u", "")</f>
        <v/>
      </c>
      <c r="BG113" s="80" t="str">
        <f>IF(AND($F113&lt;&gt;"", $F113&gt;=BG$5-4, $F113&lt;=BG$5, COUNTIF($M113:BF113,"u")=0), "u", "")</f>
        <v/>
      </c>
      <c r="BH113" s="80" t="str">
        <f>IF(AND($F113&lt;&gt;"", $F113&gt;=BH$5-4, $F113&lt;=BH$5, COUNTIF($M113:BG113,"u")=0), "u", "")</f>
        <v/>
      </c>
      <c r="BI113" s="80" t="str">
        <f>IF(AND($F113&lt;&gt;"", $F113&gt;=BI$5-4, $F113&lt;=BI$5, COUNTIF($M113:BH113,"u")=0), "u", "")</f>
        <v/>
      </c>
      <c r="BJ113" s="80" t="str">
        <f>IF(AND($F113&lt;&gt;"", $F113&gt;=BJ$5-4, $F113&lt;=BJ$5, COUNTIF($M113:BI113,"u")=0), "u", "")</f>
        <v/>
      </c>
      <c r="BK113" s="80" t="str">
        <f>IF(AND($F113&lt;&gt;"", $F113&gt;=BK$5-4, $F113&lt;=BK$5, COUNTIF($M113:BJ113,"u")=0), "u", "")</f>
        <v/>
      </c>
      <c r="BL113" s="80" t="str">
        <f>IF(AND($F113&lt;&gt;"", $F113&gt;=BL$5-4, $F113&lt;=BL$5, COUNTIF($M113:BK113,"u")=0), "u", "")</f>
        <v/>
      </c>
      <c r="BM113" s="80" t="str">
        <f>IF(AND($F113&lt;&gt;"", $F113&gt;=BM$5-4, $F113&lt;=BM$5, COUNTIF($M113:BL113,"u")=0), "u", "")</f>
        <v/>
      </c>
      <c r="BN113" s="80" t="str">
        <f>IF(AND($F113&lt;&gt;"", $F113&gt;=BN$5-4, $F113&lt;=BN$5, COUNTIF($M113:BM113,"u")=0), "u", "")</f>
        <v/>
      </c>
      <c r="BO113" s="80" t="str">
        <f>IF(AND($F113&lt;&gt;"", $F113&gt;=BO$5-4, $F113&lt;=BO$5, COUNTIF($M113:BN113,"u")=0), "u", "")</f>
        <v/>
      </c>
      <c r="BP113" s="80" t="str">
        <f>IF(AND($F113&lt;&gt;"", $F113&gt;=BP$5-4, $F113&lt;=BP$5, COUNTIF($M113:BO113,"u")=0), "u", "")</f>
        <v/>
      </c>
      <c r="BQ113" s="80" t="str">
        <f>IF(AND($F113&lt;&gt;"", $F113&gt;=BQ$5-4, $F113&lt;=BQ$5, COUNTIF($M113:BP113,"u")=0), "u", "")</f>
        <v/>
      </c>
      <c r="BR113" s="80" t="str">
        <f>IF(AND($F113&lt;&gt;"", $F113&gt;=BR$5-4, $F113&lt;=BR$5, COUNTIF($M113:BQ113,"u")=0), "u", "")</f>
        <v/>
      </c>
      <c r="BS113" s="80" t="str">
        <f>IF(AND($F113&lt;&gt;"", $F113&gt;=BS$5-4, $F113&lt;=BS$5, COUNTIF($M113:BR113,"u")=0), "u", "")</f>
        <v/>
      </c>
      <c r="BT113" s="80" t="str">
        <f>IF(AND($F113&lt;&gt;"", $F113&gt;=BT$5-4, $F113&lt;=BT$5, COUNTIF($M113:BS113,"u")=0), "u", "")</f>
        <v/>
      </c>
      <c r="BU113" s="80" t="str">
        <f>IF(AND($F113&lt;&gt;"", $F113&gt;=BU$5-4, $F113&lt;=BU$5, COUNTIF($M113:BT113,"u")=0), "u", "")</f>
        <v/>
      </c>
      <c r="BV113" s="80" t="str">
        <f>IF(AND($F113&lt;&gt;"", $F113&gt;=BV$5-4, $F113&lt;=BV$5, COUNTIF($M113:BU113,"u")=0), "u", "")</f>
        <v/>
      </c>
      <c r="BW113" s="80" t="str">
        <f>IF(AND($F113&lt;&gt;"", $F113&gt;=BW$5-4, $F113&lt;=BW$5, COUNTIF($M113:BV113,"u")=0), "u", "")</f>
        <v/>
      </c>
      <c r="BX113" s="80" t="str">
        <f>IF(AND($F113&lt;&gt;"", $F113&gt;=BX$5-4, $F113&lt;=BX$5, COUNTIF($M113:BW113,"u")=0), "u", "")</f>
        <v/>
      </c>
      <c r="BY113" s="80" t="str">
        <f>IF(AND($F113&lt;&gt;"", $F113&gt;=BY$5-4, $F113&lt;=BY$5, COUNTIF($M113:BX113,"u")=0), "u", "")</f>
        <v/>
      </c>
      <c r="BZ113" s="80" t="str">
        <f>IF(AND($F113&lt;&gt;"", $F113&gt;=BZ$5-4, $F113&lt;=BZ$5, COUNTIF($M113:BY113,"u")=0), "u", "")</f>
        <v/>
      </c>
      <c r="CA113" s="80" t="str">
        <f>IF(AND($F113&lt;&gt;"", $F113&gt;=CA$5-4, $F113&lt;=CA$5, COUNTIF($M113:BZ113,"u")=0), "u", "")</f>
        <v/>
      </c>
      <c r="CB113" s="80" t="str">
        <f>IF(AND($F113&lt;&gt;"", $F113&gt;=CB$5-4, $F113&lt;=CB$5, COUNTIF($M113:CA113,"u")=0), "u", "")</f>
        <v/>
      </c>
      <c r="CC113" s="80" t="str">
        <f>IF(AND($F113&lt;&gt;"", $F113&gt;=CC$5-4, $F113&lt;=CC$5, COUNTIF($M113:CB113,"u")=0), "u", "")</f>
        <v/>
      </c>
      <c r="CD113" s="80" t="str">
        <f>IF(AND($F113&lt;&gt;"", $F113&gt;=CD$5-4, $F113&lt;=CD$5, COUNTIF($M113:CC113,"u")=0), "u", "")</f>
        <v/>
      </c>
      <c r="CE113" s="80" t="str">
        <f>IF(AND($F113&lt;&gt;"", $F113&gt;=CE$5-4, $F113&lt;=CE$5, COUNTIF($M113:CD113,"u")=0), "u", "")</f>
        <v/>
      </c>
      <c r="CF113" s="80" t="str">
        <f>IF(AND($F113&lt;&gt;"", $F113&gt;=CF$5-4, $F113&lt;=CF$5, COUNTIF($M113:CE113,"u")=0), "u", "")</f>
        <v/>
      </c>
      <c r="CG113" s="80" t="str">
        <f>IF(AND($F113&lt;&gt;"", $F113&gt;=CG$5-4, $F113&lt;=CG$5, COUNTIF($M113:CF113,"u")=0), "u", "")</f>
        <v/>
      </c>
      <c r="CH113" s="80" t="str">
        <f>IF(AND($F113&lt;&gt;"", $F113&gt;=CH$5-4, $F113&lt;=CH$5, COUNTIF($M113:CG113,"u")=0), "u", "")</f>
        <v/>
      </c>
      <c r="CI113" s="80" t="str">
        <f>IF(AND($F113&lt;&gt;"", $F113&gt;=CI$5-4, $F113&lt;=CI$5, COUNTIF($M113:CH113,"u")=0), "u", "")</f>
        <v/>
      </c>
      <c r="CJ113" s="80" t="str">
        <f>IF(AND($F113&lt;&gt;"", $F113&gt;=CJ$5-4, $F113&lt;=CJ$5, COUNTIF($M113:CI113,"u")=0), "u", "")</f>
        <v/>
      </c>
      <c r="CK113" s="80" t="str">
        <f>IF(AND($F113&lt;&gt;"", $F113&gt;=CK$5-4, $F113&lt;=CK$5, COUNTIF($M113:CJ113,"u")=0), "u", "")</f>
        <v/>
      </c>
      <c r="CL113" s="80" t="str">
        <f>IF(AND($F113&lt;&gt;"", $F113&gt;=CL$5-4, $F113&lt;=CL$5, COUNTIF($M113:CK113,"u")=0), "u", "")</f>
        <v/>
      </c>
      <c r="CM113" s="80" t="str">
        <f>IF(AND($F113&lt;&gt;"", $F113&gt;=CM$5-4, $F113&lt;=CM$5, COUNTIF($M113:CL113,"u")=0), "u", "")</f>
        <v/>
      </c>
      <c r="CN113" s="80" t="str">
        <f>IF(AND($F113&lt;&gt;"", $F113&gt;=CN$5-4, $F113&lt;=CN$5, COUNTIF($M113:CM113,"u")=0), "u", "")</f>
        <v/>
      </c>
      <c r="CO113" s="80" t="str">
        <f>IF(AND($F113&lt;&gt;"", $F113&gt;=CO$5-4, $F113&lt;=CO$5, COUNTIF($M113:CN113,"u")=0), "u", "")</f>
        <v/>
      </c>
      <c r="CP113" s="80" t="str">
        <f>IF(AND($F113&lt;&gt;"", $F113&gt;=CP$5-4, $F113&lt;=CP$5, COUNTIF($M113:CO113,"u")=0), "u", "")</f>
        <v/>
      </c>
      <c r="CQ113" s="80" t="str">
        <f>IF(AND($F113&lt;&gt;"", $F113&gt;=CQ$5-4, $F113&lt;=CQ$5, COUNTIF($M113:CP113,"u")=0), "u", "")</f>
        <v/>
      </c>
      <c r="CR113" s="80" t="str">
        <f>IF(AND($F113&lt;&gt;"", $F113&gt;=CR$5-4, $F113&lt;=CR$5, COUNTIF($M113:CQ113,"u")=0), "u", "")</f>
        <v/>
      </c>
      <c r="CS113" s="80" t="str">
        <f>IF(AND($F113&lt;&gt;"", $F113&gt;=CS$5-4, $F113&lt;=CS$5, COUNTIF($M113:CR113,"u")=0), "u", "")</f>
        <v/>
      </c>
      <c r="CT113" s="80" t="str">
        <f>IF(AND($F113&lt;&gt;"", $F113&gt;=CT$5-4, $F113&lt;=CT$5, COUNTIF($M113:CS113,"u")=0), "u", "")</f>
        <v/>
      </c>
      <c r="CU113" s="80" t="str">
        <f>IF(AND($F113&lt;&gt;"", $F113&gt;=CU$5-4, $F113&lt;=CU$5, COUNTIF($M113:CT113,"u")=0), "u", "")</f>
        <v/>
      </c>
      <c r="CV113" s="80" t="str">
        <f>IF(AND($F113&lt;&gt;"", $F113&gt;=CV$5-4, $F113&lt;=CV$5, COUNTIF($M113:CU113,"u")=0), "u", "")</f>
        <v/>
      </c>
      <c r="CW113" s="80" t="str">
        <f>IF(AND($F113&lt;&gt;"", $F113&gt;=CW$5-4, $F113&lt;=CW$5, COUNTIF($M113:CV113,"u")=0), "u", "")</f>
        <v/>
      </c>
      <c r="CX113" s="80" t="str">
        <f>IF(AND($F113&lt;&gt;"", $F113&gt;=CX$5-4, $F113&lt;=CX$5, COUNTIF($M113:CW113,"u")=0), "u", "")</f>
        <v/>
      </c>
      <c r="CY113" s="80" t="str">
        <f>IF(AND($F113&lt;&gt;"", $F113&gt;=CY$5-4, $F113&lt;=CY$5, COUNTIF($M113:CX113,"u")=0), "u", "")</f>
        <v/>
      </c>
      <c r="CZ113" s="80" t="str">
        <f>IF(AND($F113&lt;&gt;"", $F113&gt;=CZ$5-4, $F113&lt;=CZ$5, COUNTIF($M113:CY113,"u")=0), "u", "")</f>
        <v/>
      </c>
      <c r="DA113" s="80" t="str">
        <f>IF(AND($F113&lt;&gt;"", $F113&gt;=DA$5-4, $F113&lt;=DA$5, COUNTIF($M113:CZ113,"u")=0), "u", "")</f>
        <v/>
      </c>
      <c r="DB113" s="80" t="str">
        <f>IF(AND($F113&lt;&gt;"", $F113&gt;=DB$5-4, $F113&lt;=DB$5, COUNTIF($M113:DA113,"u")=0), "u", "")</f>
        <v/>
      </c>
      <c r="DC113" s="80" t="str">
        <f>IF(AND($F113&lt;&gt;"", $F113&gt;=DC$5-4, $F113&lt;=DC$5, COUNTIF($M113:DB113,"u")=0), "u", "")</f>
        <v/>
      </c>
      <c r="DD113" s="80" t="str">
        <f>IF(AND($F113&lt;&gt;"", $F113&gt;=DD$5-4, $F113&lt;=DD$5, COUNTIF($M113:DC113,"u")=0), "u", "")</f>
        <v/>
      </c>
      <c r="DE113" s="80" t="str">
        <f>IF(AND($F113&lt;&gt;"", $F113&gt;=DE$5-4, $F113&lt;=DE$5, COUNTIF($M113:DD113,"u")=0), "u", "")</f>
        <v/>
      </c>
      <c r="DF113" s="80" t="str">
        <f>IF(AND($F113&lt;&gt;"", $F113&gt;=DF$5-4, $F113&lt;=DF$5, COUNTIF($M113:DE113,"u")=0), "u", "")</f>
        <v/>
      </c>
      <c r="DG113" s="80" t="str">
        <f>IF(AND($F113&lt;&gt;"", $F113&gt;=DG$5-4, $F113&lt;=DG$5, COUNTIF($M113:DF113,"u")=0), "u", "")</f>
        <v/>
      </c>
      <c r="DH113" s="80" t="str">
        <f>IF(AND($F113&lt;&gt;"", $F113&gt;=DH$5-4, $F113&lt;=DH$5, COUNTIF($M113:DG113,"u")=0), "u", "")</f>
        <v/>
      </c>
      <c r="DI113" s="80" t="str">
        <f>IF(AND($F113&lt;&gt;"", $F113&gt;=DI$5-4, $F113&lt;=DI$5, COUNTIF($M113:DH113,"u")=0), "u", "")</f>
        <v/>
      </c>
      <c r="DJ113" s="80" t="str">
        <f>IF(AND($F113&lt;&gt;"", $F113&gt;=DJ$5-4, $F113&lt;=DJ$5, COUNTIF($M113:DI113,"u")=0), "u", "")</f>
        <v/>
      </c>
      <c r="DK113" s="80" t="str">
        <f>IF(AND($F113&lt;&gt;"", $F113&gt;=DK$5-4, $F113&lt;=DK$5, COUNTIF($M113:DJ113,"u")=0), "u", "")</f>
        <v/>
      </c>
      <c r="DL113" s="80" t="str">
        <f>IF(AND($F113&lt;&gt;"", $F113&gt;=DL$5-4, $F113&lt;=DL$5, COUNTIF($M113:DK113,"u")=0), "u", "")</f>
        <v/>
      </c>
    </row>
    <row r="114" spans="1:116" ht="25.05" customHeight="1" x14ac:dyDescent="0.3">
      <c r="A114" s="39"/>
      <c r="B114" s="75">
        <v>109</v>
      </c>
      <c r="C114" s="97"/>
      <c r="D114" s="92"/>
      <c r="E114" s="53"/>
      <c r="F114" s="53"/>
      <c r="G114" s="83" t="str">
        <f t="shared" si="50"/>
        <v/>
      </c>
      <c r="H114" s="83" t="str">
        <f t="shared" si="50"/>
        <v/>
      </c>
      <c r="I114" s="77" t="str">
        <f t="shared" si="48"/>
        <v/>
      </c>
      <c r="J114" s="78"/>
      <c r="K114" s="86"/>
      <c r="L114" s="56"/>
      <c r="M114" s="80" t="str">
        <f t="shared" si="49"/>
        <v/>
      </c>
      <c r="N114" s="80" t="str">
        <f>IF(AND($F114&lt;&gt;"", $F114&gt;=N$5-4, $F114&lt;=N$5, COUNTIF($M114:M114,"u")=0), "u", "")</f>
        <v/>
      </c>
      <c r="O114" s="80" t="str">
        <f>IF(AND($F114&lt;&gt;"", $F114&gt;=O$5-4, $F114&lt;=O$5, COUNTIF($M114:N114,"u")=0), "u", "")</f>
        <v/>
      </c>
      <c r="P114" s="80" t="str">
        <f>IF(AND($F114&lt;&gt;"", $F114&gt;=P$5-4, $F114&lt;=P$5, COUNTIF($M114:O114,"u")=0), "u", "")</f>
        <v/>
      </c>
      <c r="Q114" s="80" t="str">
        <f>IF(AND($F114&lt;&gt;"", $F114&gt;=Q$5-4, $F114&lt;=Q$5, COUNTIF($M114:P114,"u")=0), "u", "")</f>
        <v/>
      </c>
      <c r="R114" s="80" t="str">
        <f>IF(AND($F114&lt;&gt;"", $F114&gt;=R$5-4, $F114&lt;=R$5, COUNTIF($M114:Q114,"u")=0), "u", "")</f>
        <v/>
      </c>
      <c r="S114" s="80" t="str">
        <f>IF(AND($F114&lt;&gt;"", $F114&gt;=S$5-4, $F114&lt;=S$5, COUNTIF($M114:R114,"u")=0), "u", "")</f>
        <v/>
      </c>
      <c r="T114" s="80" t="str">
        <f>IF(AND($F114&lt;&gt;"", $F114&gt;=T$5-4, $F114&lt;=T$5, COUNTIF($M114:S114,"u")=0), "u", "")</f>
        <v/>
      </c>
      <c r="U114" s="80" t="str">
        <f>IF(AND($F114&lt;&gt;"", $F114&gt;=U$5-4, $F114&lt;=U$5, COUNTIF($M114:T114,"u")=0), "u", "")</f>
        <v/>
      </c>
      <c r="V114" s="80" t="str">
        <f>IF(AND($F114&lt;&gt;"", $F114&gt;=V$5-4, $F114&lt;=V$5, COUNTIF($M114:U114,"u")=0), "u", "")</f>
        <v/>
      </c>
      <c r="W114" s="80" t="str">
        <f>IF(AND($F114&lt;&gt;"", $F114&gt;=W$5-4, $F114&lt;=W$5, COUNTIF($M114:V114,"u")=0), "u", "")</f>
        <v/>
      </c>
      <c r="X114" s="80" t="str">
        <f>IF(AND($F114&lt;&gt;"", $F114&gt;=X$5-4, $F114&lt;=X$5, COUNTIF($M114:W114,"u")=0), "u", "")</f>
        <v/>
      </c>
      <c r="Y114" s="80" t="str">
        <f>IF(AND($F114&lt;&gt;"", $F114&gt;=Y$5-4, $F114&lt;=Y$5, COUNTIF($M114:X114,"u")=0), "u", "")</f>
        <v/>
      </c>
      <c r="Z114" s="80" t="str">
        <f>IF(AND($F114&lt;&gt;"", $F114&gt;=Z$5-4, $F114&lt;=Z$5, COUNTIF($M114:Y114,"u")=0), "u", "")</f>
        <v/>
      </c>
      <c r="AA114" s="80" t="str">
        <f>IF(AND($F114&lt;&gt;"", $F114&gt;=AA$5-4, $F114&lt;=AA$5, COUNTIF($M114:Z114,"u")=0), "u", "")</f>
        <v/>
      </c>
      <c r="AB114" s="80" t="str">
        <f>IF(AND($F114&lt;&gt;"", $F114&gt;=AB$5-4, $F114&lt;=AB$5, COUNTIF($M114:AA114,"u")=0), "u", "")</f>
        <v/>
      </c>
      <c r="AC114" s="80" t="str">
        <f>IF(AND($F114&lt;&gt;"", $F114&gt;=AC$5-4, $F114&lt;=AC$5, COUNTIF($M114:AB114,"u")=0), "u", "")</f>
        <v/>
      </c>
      <c r="AD114" s="80" t="str">
        <f>IF(AND($F114&lt;&gt;"", $F114&gt;=AD$5-4, $F114&lt;=AD$5, COUNTIF($M114:AC114,"u")=0), "u", "")</f>
        <v/>
      </c>
      <c r="AE114" s="80" t="str">
        <f>IF(AND($F114&lt;&gt;"", $F114&gt;=AE$5-4, $F114&lt;=AE$5, COUNTIF($M114:AD114,"u")=0), "u", "")</f>
        <v/>
      </c>
      <c r="AF114" s="80" t="str">
        <f>IF(AND($F114&lt;&gt;"", $F114&gt;=AF$5-4, $F114&lt;=AF$5, COUNTIF($M114:AE114,"u")=0), "u", "")</f>
        <v/>
      </c>
      <c r="AG114" s="80" t="str">
        <f>IF(AND($F114&lt;&gt;"", $F114&gt;=AG$5-4, $F114&lt;=AG$5, COUNTIF($M114:AF114,"u")=0), "u", "")</f>
        <v/>
      </c>
      <c r="AH114" s="80" t="str">
        <f>IF(AND($F114&lt;&gt;"", $F114&gt;=AH$5-4, $F114&lt;=AH$5, COUNTIF($M114:AG114,"u")=0), "u", "")</f>
        <v/>
      </c>
      <c r="AI114" s="80" t="str">
        <f>IF(AND($F114&lt;&gt;"", $F114&gt;=AI$5-4, $F114&lt;=AI$5, COUNTIF($M114:AH114,"u")=0), "u", "")</f>
        <v/>
      </c>
      <c r="AJ114" s="80" t="str">
        <f>IF(AND($F114&lt;&gt;"", $F114&gt;=AJ$5-4, $F114&lt;=AJ$5, COUNTIF($M114:AI114,"u")=0), "u", "")</f>
        <v/>
      </c>
      <c r="AK114" s="80" t="str">
        <f>IF(AND($F114&lt;&gt;"", $F114&gt;=AK$5-4, $F114&lt;=AK$5, COUNTIF($M114:AJ114,"u")=0), "u", "")</f>
        <v/>
      </c>
      <c r="AL114" s="80" t="str">
        <f>IF(AND($F114&lt;&gt;"", $F114&gt;=AL$5-4, $F114&lt;=AL$5, COUNTIF($M114:AK114,"u")=0), "u", "")</f>
        <v/>
      </c>
      <c r="AM114" s="80" t="str">
        <f>IF(AND($F114&lt;&gt;"", $F114&gt;=AM$5-4, $F114&lt;=AM$5, COUNTIF($M114:AL114,"u")=0), "u", "")</f>
        <v/>
      </c>
      <c r="AN114" s="80" t="str">
        <f>IF(AND($F114&lt;&gt;"", $F114&gt;=AN$5-4, $F114&lt;=AN$5, COUNTIF($M114:AM114,"u")=0), "u", "")</f>
        <v/>
      </c>
      <c r="AO114" s="80" t="str">
        <f>IF(AND($F114&lt;&gt;"", $F114&gt;=AO$5-4, $F114&lt;=AO$5, COUNTIF($M114:AN114,"u")=0), "u", "")</f>
        <v/>
      </c>
      <c r="AP114" s="80" t="str">
        <f>IF(AND($F114&lt;&gt;"", $F114&gt;=AP$5-4, $F114&lt;=AP$5, COUNTIF($M114:AO114,"u")=0), "u", "")</f>
        <v/>
      </c>
      <c r="AQ114" s="80" t="str">
        <f>IF(AND($F114&lt;&gt;"", $F114&gt;=AQ$5-4, $F114&lt;=AQ$5, COUNTIF($M114:AP114,"u")=0), "u", "")</f>
        <v/>
      </c>
      <c r="AR114" s="80" t="str">
        <f>IF(AND($F114&lt;&gt;"", $F114&gt;=AR$5-4, $F114&lt;=AR$5, COUNTIF($M114:AQ114,"u")=0), "u", "")</f>
        <v/>
      </c>
      <c r="AS114" s="80" t="str">
        <f>IF(AND($F114&lt;&gt;"", $F114&gt;=AS$5-4, $F114&lt;=AS$5, COUNTIF($M114:AR114,"u")=0), "u", "")</f>
        <v/>
      </c>
      <c r="AT114" s="80" t="str">
        <f>IF(AND($F114&lt;&gt;"", $F114&gt;=AT$5-4, $F114&lt;=AT$5, COUNTIF($M114:AS114,"u")=0), "u", "")</f>
        <v/>
      </c>
      <c r="AU114" s="80" t="str">
        <f>IF(AND($F114&lt;&gt;"", $F114&gt;=AU$5-4, $F114&lt;=AU$5, COUNTIF($M114:AT114,"u")=0), "u", "")</f>
        <v/>
      </c>
      <c r="AV114" s="80" t="str">
        <f>IF(AND($F114&lt;&gt;"", $F114&gt;=AV$5-4, $F114&lt;=AV$5, COUNTIF($M114:AU114,"u")=0), "u", "")</f>
        <v/>
      </c>
      <c r="AW114" s="80" t="str">
        <f>IF(AND($F114&lt;&gt;"", $F114&gt;=AW$5-4, $F114&lt;=AW$5, COUNTIF($M114:AV114,"u")=0), "u", "")</f>
        <v/>
      </c>
      <c r="AX114" s="80" t="str">
        <f>IF(AND($F114&lt;&gt;"", $F114&gt;=AX$5-4, $F114&lt;=AX$5, COUNTIF($M114:AW114,"u")=0), "u", "")</f>
        <v/>
      </c>
      <c r="AY114" s="80" t="str">
        <f>IF(AND($F114&lt;&gt;"", $F114&gt;=AY$5-4, $F114&lt;=AY$5, COUNTIF($M114:AX114,"u")=0), "u", "")</f>
        <v/>
      </c>
      <c r="AZ114" s="80" t="str">
        <f>IF(AND($F114&lt;&gt;"", $F114&gt;=AZ$5-4, $F114&lt;=AZ$5, COUNTIF($M114:AY114,"u")=0), "u", "")</f>
        <v/>
      </c>
      <c r="BA114" s="80" t="str">
        <f>IF(AND($F114&lt;&gt;"", $F114&gt;=BA$5-4, $F114&lt;=BA$5, COUNTIF($M114:AZ114,"u")=0), "u", "")</f>
        <v/>
      </c>
      <c r="BB114" s="80" t="str">
        <f>IF(AND($F114&lt;&gt;"", $F114&gt;=BB$5-4, $F114&lt;=BB$5, COUNTIF($M114:BA114,"u")=0), "u", "")</f>
        <v/>
      </c>
      <c r="BC114" s="80" t="str">
        <f>IF(AND($F114&lt;&gt;"", $F114&gt;=BC$5-4, $F114&lt;=BC$5, COUNTIF($M114:BB114,"u")=0), "u", "")</f>
        <v/>
      </c>
      <c r="BD114" s="80" t="str">
        <f>IF(AND($F114&lt;&gt;"", $F114&gt;=BD$5-4, $F114&lt;=BD$5, COUNTIF($M114:BC114,"u")=0), "u", "")</f>
        <v/>
      </c>
      <c r="BE114" s="80" t="str">
        <f>IF(AND($F114&lt;&gt;"", $F114&gt;=BE$5-4, $F114&lt;=BE$5, COUNTIF($M114:BD114,"u")=0), "u", "")</f>
        <v/>
      </c>
      <c r="BF114" s="80" t="str">
        <f>IF(AND($F114&lt;&gt;"", $F114&gt;=BF$5-4, $F114&lt;=BF$5, COUNTIF($M114:BE114,"u")=0), "u", "")</f>
        <v/>
      </c>
      <c r="BG114" s="80" t="str">
        <f>IF(AND($F114&lt;&gt;"", $F114&gt;=BG$5-4, $F114&lt;=BG$5, COUNTIF($M114:BF114,"u")=0), "u", "")</f>
        <v/>
      </c>
      <c r="BH114" s="80" t="str">
        <f>IF(AND($F114&lt;&gt;"", $F114&gt;=BH$5-4, $F114&lt;=BH$5, COUNTIF($M114:BG114,"u")=0), "u", "")</f>
        <v/>
      </c>
      <c r="BI114" s="80" t="str">
        <f>IF(AND($F114&lt;&gt;"", $F114&gt;=BI$5-4, $F114&lt;=BI$5, COUNTIF($M114:BH114,"u")=0), "u", "")</f>
        <v/>
      </c>
      <c r="BJ114" s="80" t="str">
        <f>IF(AND($F114&lt;&gt;"", $F114&gt;=BJ$5-4, $F114&lt;=BJ$5, COUNTIF($M114:BI114,"u")=0), "u", "")</f>
        <v/>
      </c>
      <c r="BK114" s="80" t="str">
        <f>IF(AND($F114&lt;&gt;"", $F114&gt;=BK$5-4, $F114&lt;=BK$5, COUNTIF($M114:BJ114,"u")=0), "u", "")</f>
        <v/>
      </c>
      <c r="BL114" s="80" t="str">
        <f>IF(AND($F114&lt;&gt;"", $F114&gt;=BL$5-4, $F114&lt;=BL$5, COUNTIF($M114:BK114,"u")=0), "u", "")</f>
        <v/>
      </c>
      <c r="BM114" s="80" t="str">
        <f>IF(AND($F114&lt;&gt;"", $F114&gt;=BM$5-4, $F114&lt;=BM$5, COUNTIF($M114:BL114,"u")=0), "u", "")</f>
        <v/>
      </c>
      <c r="BN114" s="80" t="str">
        <f>IF(AND($F114&lt;&gt;"", $F114&gt;=BN$5-4, $F114&lt;=BN$5, COUNTIF($M114:BM114,"u")=0), "u", "")</f>
        <v/>
      </c>
      <c r="BO114" s="80" t="str">
        <f>IF(AND($F114&lt;&gt;"", $F114&gt;=BO$5-4, $F114&lt;=BO$5, COUNTIF($M114:BN114,"u")=0), "u", "")</f>
        <v/>
      </c>
      <c r="BP114" s="80" t="str">
        <f>IF(AND($F114&lt;&gt;"", $F114&gt;=BP$5-4, $F114&lt;=BP$5, COUNTIF($M114:BO114,"u")=0), "u", "")</f>
        <v/>
      </c>
      <c r="BQ114" s="80" t="str">
        <f>IF(AND($F114&lt;&gt;"", $F114&gt;=BQ$5-4, $F114&lt;=BQ$5, COUNTIF($M114:BP114,"u")=0), "u", "")</f>
        <v/>
      </c>
      <c r="BR114" s="80" t="str">
        <f>IF(AND($F114&lt;&gt;"", $F114&gt;=BR$5-4, $F114&lt;=BR$5, COUNTIF($M114:BQ114,"u")=0), "u", "")</f>
        <v/>
      </c>
      <c r="BS114" s="80" t="str">
        <f>IF(AND($F114&lt;&gt;"", $F114&gt;=BS$5-4, $F114&lt;=BS$5, COUNTIF($M114:BR114,"u")=0), "u", "")</f>
        <v/>
      </c>
      <c r="BT114" s="80" t="str">
        <f>IF(AND($F114&lt;&gt;"", $F114&gt;=BT$5-4, $F114&lt;=BT$5, COUNTIF($M114:BS114,"u")=0), "u", "")</f>
        <v/>
      </c>
      <c r="BU114" s="80" t="str">
        <f>IF(AND($F114&lt;&gt;"", $F114&gt;=BU$5-4, $F114&lt;=BU$5, COUNTIF($M114:BT114,"u")=0), "u", "")</f>
        <v/>
      </c>
      <c r="BV114" s="80" t="str">
        <f>IF(AND($F114&lt;&gt;"", $F114&gt;=BV$5-4, $F114&lt;=BV$5, COUNTIF($M114:BU114,"u")=0), "u", "")</f>
        <v/>
      </c>
      <c r="BW114" s="80" t="str">
        <f>IF(AND($F114&lt;&gt;"", $F114&gt;=BW$5-4, $F114&lt;=BW$5, COUNTIF($M114:BV114,"u")=0), "u", "")</f>
        <v/>
      </c>
      <c r="BX114" s="80" t="str">
        <f>IF(AND($F114&lt;&gt;"", $F114&gt;=BX$5-4, $F114&lt;=BX$5, COUNTIF($M114:BW114,"u")=0), "u", "")</f>
        <v/>
      </c>
      <c r="BY114" s="80" t="str">
        <f>IF(AND($F114&lt;&gt;"", $F114&gt;=BY$5-4, $F114&lt;=BY$5, COUNTIF($M114:BX114,"u")=0), "u", "")</f>
        <v/>
      </c>
      <c r="BZ114" s="80" t="str">
        <f>IF(AND($F114&lt;&gt;"", $F114&gt;=BZ$5-4, $F114&lt;=BZ$5, COUNTIF($M114:BY114,"u")=0), "u", "")</f>
        <v/>
      </c>
      <c r="CA114" s="80" t="str">
        <f>IF(AND($F114&lt;&gt;"", $F114&gt;=CA$5-4, $F114&lt;=CA$5, COUNTIF($M114:BZ114,"u")=0), "u", "")</f>
        <v/>
      </c>
      <c r="CB114" s="80" t="str">
        <f>IF(AND($F114&lt;&gt;"", $F114&gt;=CB$5-4, $F114&lt;=CB$5, COUNTIF($M114:CA114,"u")=0), "u", "")</f>
        <v/>
      </c>
      <c r="CC114" s="80" t="str">
        <f>IF(AND($F114&lt;&gt;"", $F114&gt;=CC$5-4, $F114&lt;=CC$5, COUNTIF($M114:CB114,"u")=0), "u", "")</f>
        <v/>
      </c>
      <c r="CD114" s="80" t="str">
        <f>IF(AND($F114&lt;&gt;"", $F114&gt;=CD$5-4, $F114&lt;=CD$5, COUNTIF($M114:CC114,"u")=0), "u", "")</f>
        <v/>
      </c>
      <c r="CE114" s="80" t="str">
        <f>IF(AND($F114&lt;&gt;"", $F114&gt;=CE$5-4, $F114&lt;=CE$5, COUNTIF($M114:CD114,"u")=0), "u", "")</f>
        <v/>
      </c>
      <c r="CF114" s="80" t="str">
        <f>IF(AND($F114&lt;&gt;"", $F114&gt;=CF$5-4, $F114&lt;=CF$5, COUNTIF($M114:CE114,"u")=0), "u", "")</f>
        <v/>
      </c>
      <c r="CG114" s="80" t="str">
        <f>IF(AND($F114&lt;&gt;"", $F114&gt;=CG$5-4, $F114&lt;=CG$5, COUNTIF($M114:CF114,"u")=0), "u", "")</f>
        <v/>
      </c>
      <c r="CH114" s="80" t="str">
        <f>IF(AND($F114&lt;&gt;"", $F114&gt;=CH$5-4, $F114&lt;=CH$5, COUNTIF($M114:CG114,"u")=0), "u", "")</f>
        <v/>
      </c>
      <c r="CI114" s="80" t="str">
        <f>IF(AND($F114&lt;&gt;"", $F114&gt;=CI$5-4, $F114&lt;=CI$5, COUNTIF($M114:CH114,"u")=0), "u", "")</f>
        <v/>
      </c>
      <c r="CJ114" s="80" t="str">
        <f>IF(AND($F114&lt;&gt;"", $F114&gt;=CJ$5-4, $F114&lt;=CJ$5, COUNTIF($M114:CI114,"u")=0), "u", "")</f>
        <v/>
      </c>
      <c r="CK114" s="80" t="str">
        <f>IF(AND($F114&lt;&gt;"", $F114&gt;=CK$5-4, $F114&lt;=CK$5, COUNTIF($M114:CJ114,"u")=0), "u", "")</f>
        <v/>
      </c>
      <c r="CL114" s="80" t="str">
        <f>IF(AND($F114&lt;&gt;"", $F114&gt;=CL$5-4, $F114&lt;=CL$5, COUNTIF($M114:CK114,"u")=0), "u", "")</f>
        <v/>
      </c>
      <c r="CM114" s="80" t="str">
        <f>IF(AND($F114&lt;&gt;"", $F114&gt;=CM$5-4, $F114&lt;=CM$5, COUNTIF($M114:CL114,"u")=0), "u", "")</f>
        <v/>
      </c>
      <c r="CN114" s="80" t="str">
        <f>IF(AND($F114&lt;&gt;"", $F114&gt;=CN$5-4, $F114&lt;=CN$5, COUNTIF($M114:CM114,"u")=0), "u", "")</f>
        <v/>
      </c>
      <c r="CO114" s="80" t="str">
        <f>IF(AND($F114&lt;&gt;"", $F114&gt;=CO$5-4, $F114&lt;=CO$5, COUNTIF($M114:CN114,"u")=0), "u", "")</f>
        <v/>
      </c>
      <c r="CP114" s="80" t="str">
        <f>IF(AND($F114&lt;&gt;"", $F114&gt;=CP$5-4, $F114&lt;=CP$5, COUNTIF($M114:CO114,"u")=0), "u", "")</f>
        <v/>
      </c>
      <c r="CQ114" s="80" t="str">
        <f>IF(AND($F114&lt;&gt;"", $F114&gt;=CQ$5-4, $F114&lt;=CQ$5, COUNTIF($M114:CP114,"u")=0), "u", "")</f>
        <v/>
      </c>
      <c r="CR114" s="80" t="str">
        <f>IF(AND($F114&lt;&gt;"", $F114&gt;=CR$5-4, $F114&lt;=CR$5, COUNTIF($M114:CQ114,"u")=0), "u", "")</f>
        <v/>
      </c>
      <c r="CS114" s="80" t="str">
        <f>IF(AND($F114&lt;&gt;"", $F114&gt;=CS$5-4, $F114&lt;=CS$5, COUNTIF($M114:CR114,"u")=0), "u", "")</f>
        <v/>
      </c>
      <c r="CT114" s="80" t="str">
        <f>IF(AND($F114&lt;&gt;"", $F114&gt;=CT$5-4, $F114&lt;=CT$5, COUNTIF($M114:CS114,"u")=0), "u", "")</f>
        <v/>
      </c>
      <c r="CU114" s="80" t="str">
        <f>IF(AND($F114&lt;&gt;"", $F114&gt;=CU$5-4, $F114&lt;=CU$5, COUNTIF($M114:CT114,"u")=0), "u", "")</f>
        <v/>
      </c>
      <c r="CV114" s="80" t="str">
        <f>IF(AND($F114&lt;&gt;"", $F114&gt;=CV$5-4, $F114&lt;=CV$5, COUNTIF($M114:CU114,"u")=0), "u", "")</f>
        <v/>
      </c>
      <c r="CW114" s="80" t="str">
        <f>IF(AND($F114&lt;&gt;"", $F114&gt;=CW$5-4, $F114&lt;=CW$5, COUNTIF($M114:CV114,"u")=0), "u", "")</f>
        <v/>
      </c>
      <c r="CX114" s="80" t="str">
        <f>IF(AND($F114&lt;&gt;"", $F114&gt;=CX$5-4, $F114&lt;=CX$5, COUNTIF($M114:CW114,"u")=0), "u", "")</f>
        <v/>
      </c>
      <c r="CY114" s="80" t="str">
        <f>IF(AND($F114&lt;&gt;"", $F114&gt;=CY$5-4, $F114&lt;=CY$5, COUNTIF($M114:CX114,"u")=0), "u", "")</f>
        <v/>
      </c>
      <c r="CZ114" s="80" t="str">
        <f>IF(AND($F114&lt;&gt;"", $F114&gt;=CZ$5-4, $F114&lt;=CZ$5, COUNTIF($M114:CY114,"u")=0), "u", "")</f>
        <v/>
      </c>
      <c r="DA114" s="80" t="str">
        <f>IF(AND($F114&lt;&gt;"", $F114&gt;=DA$5-4, $F114&lt;=DA$5, COUNTIF($M114:CZ114,"u")=0), "u", "")</f>
        <v/>
      </c>
      <c r="DB114" s="80" t="str">
        <f>IF(AND($F114&lt;&gt;"", $F114&gt;=DB$5-4, $F114&lt;=DB$5, COUNTIF($M114:DA114,"u")=0), "u", "")</f>
        <v/>
      </c>
      <c r="DC114" s="80" t="str">
        <f>IF(AND($F114&lt;&gt;"", $F114&gt;=DC$5-4, $F114&lt;=DC$5, COUNTIF($M114:DB114,"u")=0), "u", "")</f>
        <v/>
      </c>
      <c r="DD114" s="80" t="str">
        <f>IF(AND($F114&lt;&gt;"", $F114&gt;=DD$5-4, $F114&lt;=DD$5, COUNTIF($M114:DC114,"u")=0), "u", "")</f>
        <v/>
      </c>
      <c r="DE114" s="80" t="str">
        <f>IF(AND($F114&lt;&gt;"", $F114&gt;=DE$5-4, $F114&lt;=DE$5, COUNTIF($M114:DD114,"u")=0), "u", "")</f>
        <v/>
      </c>
      <c r="DF114" s="80" t="str">
        <f>IF(AND($F114&lt;&gt;"", $F114&gt;=DF$5-4, $F114&lt;=DF$5, COUNTIF($M114:DE114,"u")=0), "u", "")</f>
        <v/>
      </c>
      <c r="DG114" s="80" t="str">
        <f>IF(AND($F114&lt;&gt;"", $F114&gt;=DG$5-4, $F114&lt;=DG$5, COUNTIF($M114:DF114,"u")=0), "u", "")</f>
        <v/>
      </c>
      <c r="DH114" s="80" t="str">
        <f>IF(AND($F114&lt;&gt;"", $F114&gt;=DH$5-4, $F114&lt;=DH$5, COUNTIF($M114:DG114,"u")=0), "u", "")</f>
        <v/>
      </c>
      <c r="DI114" s="80" t="str">
        <f>IF(AND($F114&lt;&gt;"", $F114&gt;=DI$5-4, $F114&lt;=DI$5, COUNTIF($M114:DH114,"u")=0), "u", "")</f>
        <v/>
      </c>
      <c r="DJ114" s="80" t="str">
        <f>IF(AND($F114&lt;&gt;"", $F114&gt;=DJ$5-4, $F114&lt;=DJ$5, COUNTIF($M114:DI114,"u")=0), "u", "")</f>
        <v/>
      </c>
      <c r="DK114" s="80" t="str">
        <f>IF(AND($F114&lt;&gt;"", $F114&gt;=DK$5-4, $F114&lt;=DK$5, COUNTIF($M114:DJ114,"u")=0), "u", "")</f>
        <v/>
      </c>
      <c r="DL114" s="80" t="str">
        <f>IF(AND($F114&lt;&gt;"", $F114&gt;=DL$5-4, $F114&lt;=DL$5, COUNTIF($M114:DK114,"u")=0), "u", "")</f>
        <v/>
      </c>
    </row>
    <row r="115" spans="1:116" ht="25.05" customHeight="1" x14ac:dyDescent="0.3">
      <c r="A115" s="39"/>
      <c r="B115" s="75">
        <v>110</v>
      </c>
      <c r="C115" s="97"/>
      <c r="D115" s="92"/>
      <c r="E115" s="53"/>
      <c r="F115" s="53"/>
      <c r="G115" s="83" t="str">
        <f t="shared" si="50"/>
        <v/>
      </c>
      <c r="H115" s="83" t="str">
        <f t="shared" si="50"/>
        <v/>
      </c>
      <c r="I115" s="77" t="str">
        <f t="shared" si="48"/>
        <v/>
      </c>
      <c r="J115" s="78"/>
      <c r="K115" s="86"/>
      <c r="L115" s="56"/>
      <c r="M115" s="80" t="str">
        <f t="shared" si="49"/>
        <v/>
      </c>
      <c r="N115" s="80" t="str">
        <f>IF(AND($F115&lt;&gt;"", $F115&gt;=N$5-4, $F115&lt;=N$5, COUNTIF($M115:M115,"u")=0), "u", "")</f>
        <v/>
      </c>
      <c r="O115" s="80" t="str">
        <f>IF(AND($F115&lt;&gt;"", $F115&gt;=O$5-4, $F115&lt;=O$5, COUNTIF($M115:N115,"u")=0), "u", "")</f>
        <v/>
      </c>
      <c r="P115" s="80" t="str">
        <f>IF(AND($F115&lt;&gt;"", $F115&gt;=P$5-4, $F115&lt;=P$5, COUNTIF($M115:O115,"u")=0), "u", "")</f>
        <v/>
      </c>
      <c r="Q115" s="80" t="str">
        <f>IF(AND($F115&lt;&gt;"", $F115&gt;=Q$5-4, $F115&lt;=Q$5, COUNTIF($M115:P115,"u")=0), "u", "")</f>
        <v/>
      </c>
      <c r="R115" s="80" t="str">
        <f>IF(AND($F115&lt;&gt;"", $F115&gt;=R$5-4, $F115&lt;=R$5, COUNTIF($M115:Q115,"u")=0), "u", "")</f>
        <v/>
      </c>
      <c r="S115" s="80" t="str">
        <f>IF(AND($F115&lt;&gt;"", $F115&gt;=S$5-4, $F115&lt;=S$5, COUNTIF($M115:R115,"u")=0), "u", "")</f>
        <v/>
      </c>
      <c r="T115" s="80" t="str">
        <f>IF(AND($F115&lt;&gt;"", $F115&gt;=T$5-4, $F115&lt;=T$5, COUNTIF($M115:S115,"u")=0), "u", "")</f>
        <v/>
      </c>
      <c r="U115" s="80" t="str">
        <f>IF(AND($F115&lt;&gt;"", $F115&gt;=U$5-4, $F115&lt;=U$5, COUNTIF($M115:T115,"u")=0), "u", "")</f>
        <v/>
      </c>
      <c r="V115" s="80" t="str">
        <f>IF(AND($F115&lt;&gt;"", $F115&gt;=V$5-4, $F115&lt;=V$5, COUNTIF($M115:U115,"u")=0), "u", "")</f>
        <v/>
      </c>
      <c r="W115" s="80" t="str">
        <f>IF(AND($F115&lt;&gt;"", $F115&gt;=W$5-4, $F115&lt;=W$5, COUNTIF($M115:V115,"u")=0), "u", "")</f>
        <v/>
      </c>
      <c r="X115" s="80" t="str">
        <f>IF(AND($F115&lt;&gt;"", $F115&gt;=X$5-4, $F115&lt;=X$5, COUNTIF($M115:W115,"u")=0), "u", "")</f>
        <v/>
      </c>
      <c r="Y115" s="80" t="str">
        <f>IF(AND($F115&lt;&gt;"", $F115&gt;=Y$5-4, $F115&lt;=Y$5, COUNTIF($M115:X115,"u")=0), "u", "")</f>
        <v/>
      </c>
      <c r="Z115" s="80" t="str">
        <f>IF(AND($F115&lt;&gt;"", $F115&gt;=Z$5-4, $F115&lt;=Z$5, COUNTIF($M115:Y115,"u")=0), "u", "")</f>
        <v/>
      </c>
      <c r="AA115" s="80" t="str">
        <f>IF(AND($F115&lt;&gt;"", $F115&gt;=AA$5-4, $F115&lt;=AA$5, COUNTIF($M115:Z115,"u")=0), "u", "")</f>
        <v/>
      </c>
      <c r="AB115" s="80" t="str">
        <f>IF(AND($F115&lt;&gt;"", $F115&gt;=AB$5-4, $F115&lt;=AB$5, COUNTIF($M115:AA115,"u")=0), "u", "")</f>
        <v/>
      </c>
      <c r="AC115" s="80" t="str">
        <f>IF(AND($F115&lt;&gt;"", $F115&gt;=AC$5-4, $F115&lt;=AC$5, COUNTIF($M115:AB115,"u")=0), "u", "")</f>
        <v/>
      </c>
      <c r="AD115" s="80" t="str">
        <f>IF(AND($F115&lt;&gt;"", $F115&gt;=AD$5-4, $F115&lt;=AD$5, COUNTIF($M115:AC115,"u")=0), "u", "")</f>
        <v/>
      </c>
      <c r="AE115" s="80" t="str">
        <f>IF(AND($F115&lt;&gt;"", $F115&gt;=AE$5-4, $F115&lt;=AE$5, COUNTIF($M115:AD115,"u")=0), "u", "")</f>
        <v/>
      </c>
      <c r="AF115" s="80" t="str">
        <f>IF(AND($F115&lt;&gt;"", $F115&gt;=AF$5-4, $F115&lt;=AF$5, COUNTIF($M115:AE115,"u")=0), "u", "")</f>
        <v/>
      </c>
      <c r="AG115" s="80" t="str">
        <f>IF(AND($F115&lt;&gt;"", $F115&gt;=AG$5-4, $F115&lt;=AG$5, COUNTIF($M115:AF115,"u")=0), "u", "")</f>
        <v/>
      </c>
      <c r="AH115" s="80" t="str">
        <f>IF(AND($F115&lt;&gt;"", $F115&gt;=AH$5-4, $F115&lt;=AH$5, COUNTIF($M115:AG115,"u")=0), "u", "")</f>
        <v/>
      </c>
      <c r="AI115" s="80" t="str">
        <f>IF(AND($F115&lt;&gt;"", $F115&gt;=AI$5-4, $F115&lt;=AI$5, COUNTIF($M115:AH115,"u")=0), "u", "")</f>
        <v/>
      </c>
      <c r="AJ115" s="80" t="str">
        <f>IF(AND($F115&lt;&gt;"", $F115&gt;=AJ$5-4, $F115&lt;=AJ$5, COUNTIF($M115:AI115,"u")=0), "u", "")</f>
        <v/>
      </c>
      <c r="AK115" s="80" t="str">
        <f>IF(AND($F115&lt;&gt;"", $F115&gt;=AK$5-4, $F115&lt;=AK$5, COUNTIF($M115:AJ115,"u")=0), "u", "")</f>
        <v/>
      </c>
      <c r="AL115" s="80" t="str">
        <f>IF(AND($F115&lt;&gt;"", $F115&gt;=AL$5-4, $F115&lt;=AL$5, COUNTIF($M115:AK115,"u")=0), "u", "")</f>
        <v/>
      </c>
      <c r="AM115" s="80" t="str">
        <f>IF(AND($F115&lt;&gt;"", $F115&gt;=AM$5-4, $F115&lt;=AM$5, COUNTIF($M115:AL115,"u")=0), "u", "")</f>
        <v/>
      </c>
      <c r="AN115" s="80" t="str">
        <f>IF(AND($F115&lt;&gt;"", $F115&gt;=AN$5-4, $F115&lt;=AN$5, COUNTIF($M115:AM115,"u")=0), "u", "")</f>
        <v/>
      </c>
      <c r="AO115" s="80" t="str">
        <f>IF(AND($F115&lt;&gt;"", $F115&gt;=AO$5-4, $F115&lt;=AO$5, COUNTIF($M115:AN115,"u")=0), "u", "")</f>
        <v/>
      </c>
      <c r="AP115" s="80" t="str">
        <f>IF(AND($F115&lt;&gt;"", $F115&gt;=AP$5-4, $F115&lt;=AP$5, COUNTIF($M115:AO115,"u")=0), "u", "")</f>
        <v/>
      </c>
      <c r="AQ115" s="80" t="str">
        <f>IF(AND($F115&lt;&gt;"", $F115&gt;=AQ$5-4, $F115&lt;=AQ$5, COUNTIF($M115:AP115,"u")=0), "u", "")</f>
        <v/>
      </c>
      <c r="AR115" s="80" t="str">
        <f>IF(AND($F115&lt;&gt;"", $F115&gt;=AR$5-4, $F115&lt;=AR$5, COUNTIF($M115:AQ115,"u")=0), "u", "")</f>
        <v/>
      </c>
      <c r="AS115" s="80" t="str">
        <f>IF(AND($F115&lt;&gt;"", $F115&gt;=AS$5-4, $F115&lt;=AS$5, COUNTIF($M115:AR115,"u")=0), "u", "")</f>
        <v/>
      </c>
      <c r="AT115" s="80" t="str">
        <f>IF(AND($F115&lt;&gt;"", $F115&gt;=AT$5-4, $F115&lt;=AT$5, COUNTIF($M115:AS115,"u")=0), "u", "")</f>
        <v/>
      </c>
      <c r="AU115" s="80" t="str">
        <f>IF(AND($F115&lt;&gt;"", $F115&gt;=AU$5-4, $F115&lt;=AU$5, COUNTIF($M115:AT115,"u")=0), "u", "")</f>
        <v/>
      </c>
      <c r="AV115" s="80" t="str">
        <f>IF(AND($F115&lt;&gt;"", $F115&gt;=AV$5-4, $F115&lt;=AV$5, COUNTIF($M115:AU115,"u")=0), "u", "")</f>
        <v/>
      </c>
      <c r="AW115" s="80" t="str">
        <f>IF(AND($F115&lt;&gt;"", $F115&gt;=AW$5-4, $F115&lt;=AW$5, COUNTIF($M115:AV115,"u")=0), "u", "")</f>
        <v/>
      </c>
      <c r="AX115" s="80" t="str">
        <f>IF(AND($F115&lt;&gt;"", $F115&gt;=AX$5-4, $F115&lt;=AX$5, COUNTIF($M115:AW115,"u")=0), "u", "")</f>
        <v/>
      </c>
      <c r="AY115" s="80" t="str">
        <f>IF(AND($F115&lt;&gt;"", $F115&gt;=AY$5-4, $F115&lt;=AY$5, COUNTIF($M115:AX115,"u")=0), "u", "")</f>
        <v/>
      </c>
      <c r="AZ115" s="80" t="str">
        <f>IF(AND($F115&lt;&gt;"", $F115&gt;=AZ$5-4, $F115&lt;=AZ$5, COUNTIF($M115:AY115,"u")=0), "u", "")</f>
        <v/>
      </c>
      <c r="BA115" s="80" t="str">
        <f>IF(AND($F115&lt;&gt;"", $F115&gt;=BA$5-4, $F115&lt;=BA$5, COUNTIF($M115:AZ115,"u")=0), "u", "")</f>
        <v/>
      </c>
      <c r="BB115" s="80" t="str">
        <f>IF(AND($F115&lt;&gt;"", $F115&gt;=BB$5-4, $F115&lt;=BB$5, COUNTIF($M115:BA115,"u")=0), "u", "")</f>
        <v/>
      </c>
      <c r="BC115" s="80" t="str">
        <f>IF(AND($F115&lt;&gt;"", $F115&gt;=BC$5-4, $F115&lt;=BC$5, COUNTIF($M115:BB115,"u")=0), "u", "")</f>
        <v/>
      </c>
      <c r="BD115" s="80" t="str">
        <f>IF(AND($F115&lt;&gt;"", $F115&gt;=BD$5-4, $F115&lt;=BD$5, COUNTIF($M115:BC115,"u")=0), "u", "")</f>
        <v/>
      </c>
      <c r="BE115" s="80" t="str">
        <f>IF(AND($F115&lt;&gt;"", $F115&gt;=BE$5-4, $F115&lt;=BE$5, COUNTIF($M115:BD115,"u")=0), "u", "")</f>
        <v/>
      </c>
      <c r="BF115" s="80" t="str">
        <f>IF(AND($F115&lt;&gt;"", $F115&gt;=BF$5-4, $F115&lt;=BF$5, COUNTIF($M115:BE115,"u")=0), "u", "")</f>
        <v/>
      </c>
      <c r="BG115" s="80" t="str">
        <f>IF(AND($F115&lt;&gt;"", $F115&gt;=BG$5-4, $F115&lt;=BG$5, COUNTIF($M115:BF115,"u")=0), "u", "")</f>
        <v/>
      </c>
      <c r="BH115" s="80" t="str">
        <f>IF(AND($F115&lt;&gt;"", $F115&gt;=BH$5-4, $F115&lt;=BH$5, COUNTIF($M115:BG115,"u")=0), "u", "")</f>
        <v/>
      </c>
      <c r="BI115" s="80" t="str">
        <f>IF(AND($F115&lt;&gt;"", $F115&gt;=BI$5-4, $F115&lt;=BI$5, COUNTIF($M115:BH115,"u")=0), "u", "")</f>
        <v/>
      </c>
      <c r="BJ115" s="80" t="str">
        <f>IF(AND($F115&lt;&gt;"", $F115&gt;=BJ$5-4, $F115&lt;=BJ$5, COUNTIF($M115:BI115,"u")=0), "u", "")</f>
        <v/>
      </c>
      <c r="BK115" s="80" t="str">
        <f>IF(AND($F115&lt;&gt;"", $F115&gt;=BK$5-4, $F115&lt;=BK$5, COUNTIF($M115:BJ115,"u")=0), "u", "")</f>
        <v/>
      </c>
      <c r="BL115" s="80" t="str">
        <f>IF(AND($F115&lt;&gt;"", $F115&gt;=BL$5-4, $F115&lt;=BL$5, COUNTIF($M115:BK115,"u")=0), "u", "")</f>
        <v/>
      </c>
      <c r="BM115" s="80" t="str">
        <f>IF(AND($F115&lt;&gt;"", $F115&gt;=BM$5-4, $F115&lt;=BM$5, COUNTIF($M115:BL115,"u")=0), "u", "")</f>
        <v/>
      </c>
      <c r="BN115" s="80" t="str">
        <f>IF(AND($F115&lt;&gt;"", $F115&gt;=BN$5-4, $F115&lt;=BN$5, COUNTIF($M115:BM115,"u")=0), "u", "")</f>
        <v/>
      </c>
      <c r="BO115" s="80" t="str">
        <f>IF(AND($F115&lt;&gt;"", $F115&gt;=BO$5-4, $F115&lt;=BO$5, COUNTIF($M115:BN115,"u")=0), "u", "")</f>
        <v/>
      </c>
      <c r="BP115" s="80" t="str">
        <f>IF(AND($F115&lt;&gt;"", $F115&gt;=BP$5-4, $F115&lt;=BP$5, COUNTIF($M115:BO115,"u")=0), "u", "")</f>
        <v/>
      </c>
      <c r="BQ115" s="80" t="str">
        <f>IF(AND($F115&lt;&gt;"", $F115&gt;=BQ$5-4, $F115&lt;=BQ$5, COUNTIF($M115:BP115,"u")=0), "u", "")</f>
        <v/>
      </c>
      <c r="BR115" s="80" t="str">
        <f>IF(AND($F115&lt;&gt;"", $F115&gt;=BR$5-4, $F115&lt;=BR$5, COUNTIF($M115:BQ115,"u")=0), "u", "")</f>
        <v/>
      </c>
      <c r="BS115" s="80" t="str">
        <f>IF(AND($F115&lt;&gt;"", $F115&gt;=BS$5-4, $F115&lt;=BS$5, COUNTIF($M115:BR115,"u")=0), "u", "")</f>
        <v/>
      </c>
      <c r="BT115" s="80" t="str">
        <f>IF(AND($F115&lt;&gt;"", $F115&gt;=BT$5-4, $F115&lt;=BT$5, COUNTIF($M115:BS115,"u")=0), "u", "")</f>
        <v/>
      </c>
      <c r="BU115" s="80" t="str">
        <f>IF(AND($F115&lt;&gt;"", $F115&gt;=BU$5-4, $F115&lt;=BU$5, COUNTIF($M115:BT115,"u")=0), "u", "")</f>
        <v/>
      </c>
      <c r="BV115" s="80" t="str">
        <f>IF(AND($F115&lt;&gt;"", $F115&gt;=BV$5-4, $F115&lt;=BV$5, COUNTIF($M115:BU115,"u")=0), "u", "")</f>
        <v/>
      </c>
      <c r="BW115" s="80" t="str">
        <f>IF(AND($F115&lt;&gt;"", $F115&gt;=BW$5-4, $F115&lt;=BW$5, COUNTIF($M115:BV115,"u")=0), "u", "")</f>
        <v/>
      </c>
      <c r="BX115" s="80" t="str">
        <f>IF(AND($F115&lt;&gt;"", $F115&gt;=BX$5-4, $F115&lt;=BX$5, COUNTIF($M115:BW115,"u")=0), "u", "")</f>
        <v/>
      </c>
      <c r="BY115" s="80" t="str">
        <f>IF(AND($F115&lt;&gt;"", $F115&gt;=BY$5-4, $F115&lt;=BY$5, COUNTIF($M115:BX115,"u")=0), "u", "")</f>
        <v/>
      </c>
      <c r="BZ115" s="80" t="str">
        <f>IF(AND($F115&lt;&gt;"", $F115&gt;=BZ$5-4, $F115&lt;=BZ$5, COUNTIF($M115:BY115,"u")=0), "u", "")</f>
        <v/>
      </c>
      <c r="CA115" s="80" t="str">
        <f>IF(AND($F115&lt;&gt;"", $F115&gt;=CA$5-4, $F115&lt;=CA$5, COUNTIF($M115:BZ115,"u")=0), "u", "")</f>
        <v/>
      </c>
      <c r="CB115" s="80" t="str">
        <f>IF(AND($F115&lt;&gt;"", $F115&gt;=CB$5-4, $F115&lt;=CB$5, COUNTIF($M115:CA115,"u")=0), "u", "")</f>
        <v/>
      </c>
      <c r="CC115" s="80" t="str">
        <f>IF(AND($F115&lt;&gt;"", $F115&gt;=CC$5-4, $F115&lt;=CC$5, COUNTIF($M115:CB115,"u")=0), "u", "")</f>
        <v/>
      </c>
      <c r="CD115" s="80" t="str">
        <f>IF(AND($F115&lt;&gt;"", $F115&gt;=CD$5-4, $F115&lt;=CD$5, COUNTIF($M115:CC115,"u")=0), "u", "")</f>
        <v/>
      </c>
      <c r="CE115" s="80" t="str">
        <f>IF(AND($F115&lt;&gt;"", $F115&gt;=CE$5-4, $F115&lt;=CE$5, COUNTIF($M115:CD115,"u")=0), "u", "")</f>
        <v/>
      </c>
      <c r="CF115" s="80" t="str">
        <f>IF(AND($F115&lt;&gt;"", $F115&gt;=CF$5-4, $F115&lt;=CF$5, COUNTIF($M115:CE115,"u")=0), "u", "")</f>
        <v/>
      </c>
      <c r="CG115" s="80" t="str">
        <f>IF(AND($F115&lt;&gt;"", $F115&gt;=CG$5-4, $F115&lt;=CG$5, COUNTIF($M115:CF115,"u")=0), "u", "")</f>
        <v/>
      </c>
      <c r="CH115" s="80" t="str">
        <f>IF(AND($F115&lt;&gt;"", $F115&gt;=CH$5-4, $F115&lt;=CH$5, COUNTIF($M115:CG115,"u")=0), "u", "")</f>
        <v/>
      </c>
      <c r="CI115" s="80" t="str">
        <f>IF(AND($F115&lt;&gt;"", $F115&gt;=CI$5-4, $F115&lt;=CI$5, COUNTIF($M115:CH115,"u")=0), "u", "")</f>
        <v/>
      </c>
      <c r="CJ115" s="80" t="str">
        <f>IF(AND($F115&lt;&gt;"", $F115&gt;=CJ$5-4, $F115&lt;=CJ$5, COUNTIF($M115:CI115,"u")=0), "u", "")</f>
        <v/>
      </c>
      <c r="CK115" s="80" t="str">
        <f>IF(AND($F115&lt;&gt;"", $F115&gt;=CK$5-4, $F115&lt;=CK$5, COUNTIF($M115:CJ115,"u")=0), "u", "")</f>
        <v/>
      </c>
      <c r="CL115" s="80" t="str">
        <f>IF(AND($F115&lt;&gt;"", $F115&gt;=CL$5-4, $F115&lt;=CL$5, COUNTIF($M115:CK115,"u")=0), "u", "")</f>
        <v/>
      </c>
      <c r="CM115" s="80" t="str">
        <f>IF(AND($F115&lt;&gt;"", $F115&gt;=CM$5-4, $F115&lt;=CM$5, COUNTIF($M115:CL115,"u")=0), "u", "")</f>
        <v/>
      </c>
      <c r="CN115" s="80" t="str">
        <f>IF(AND($F115&lt;&gt;"", $F115&gt;=CN$5-4, $F115&lt;=CN$5, COUNTIF($M115:CM115,"u")=0), "u", "")</f>
        <v/>
      </c>
      <c r="CO115" s="80" t="str">
        <f>IF(AND($F115&lt;&gt;"", $F115&gt;=CO$5-4, $F115&lt;=CO$5, COUNTIF($M115:CN115,"u")=0), "u", "")</f>
        <v/>
      </c>
      <c r="CP115" s="80" t="str">
        <f>IF(AND($F115&lt;&gt;"", $F115&gt;=CP$5-4, $F115&lt;=CP$5, COUNTIF($M115:CO115,"u")=0), "u", "")</f>
        <v/>
      </c>
      <c r="CQ115" s="80" t="str">
        <f>IF(AND($F115&lt;&gt;"", $F115&gt;=CQ$5-4, $F115&lt;=CQ$5, COUNTIF($M115:CP115,"u")=0), "u", "")</f>
        <v/>
      </c>
      <c r="CR115" s="80" t="str">
        <f>IF(AND($F115&lt;&gt;"", $F115&gt;=CR$5-4, $F115&lt;=CR$5, COUNTIF($M115:CQ115,"u")=0), "u", "")</f>
        <v/>
      </c>
      <c r="CS115" s="80" t="str">
        <f>IF(AND($F115&lt;&gt;"", $F115&gt;=CS$5-4, $F115&lt;=CS$5, COUNTIF($M115:CR115,"u")=0), "u", "")</f>
        <v/>
      </c>
      <c r="CT115" s="80" t="str">
        <f>IF(AND($F115&lt;&gt;"", $F115&gt;=CT$5-4, $F115&lt;=CT$5, COUNTIF($M115:CS115,"u")=0), "u", "")</f>
        <v/>
      </c>
      <c r="CU115" s="80" t="str">
        <f>IF(AND($F115&lt;&gt;"", $F115&gt;=CU$5-4, $F115&lt;=CU$5, COUNTIF($M115:CT115,"u")=0), "u", "")</f>
        <v/>
      </c>
      <c r="CV115" s="80" t="str">
        <f>IF(AND($F115&lt;&gt;"", $F115&gt;=CV$5-4, $F115&lt;=CV$5, COUNTIF($M115:CU115,"u")=0), "u", "")</f>
        <v/>
      </c>
      <c r="CW115" s="80" t="str">
        <f>IF(AND($F115&lt;&gt;"", $F115&gt;=CW$5-4, $F115&lt;=CW$5, COUNTIF($M115:CV115,"u")=0), "u", "")</f>
        <v/>
      </c>
      <c r="CX115" s="80" t="str">
        <f>IF(AND($F115&lt;&gt;"", $F115&gt;=CX$5-4, $F115&lt;=CX$5, COUNTIF($M115:CW115,"u")=0), "u", "")</f>
        <v/>
      </c>
      <c r="CY115" s="80" t="str">
        <f>IF(AND($F115&lt;&gt;"", $F115&gt;=CY$5-4, $F115&lt;=CY$5, COUNTIF($M115:CX115,"u")=0), "u", "")</f>
        <v/>
      </c>
      <c r="CZ115" s="80" t="str">
        <f>IF(AND($F115&lt;&gt;"", $F115&gt;=CZ$5-4, $F115&lt;=CZ$5, COUNTIF($M115:CY115,"u")=0), "u", "")</f>
        <v/>
      </c>
      <c r="DA115" s="80" t="str">
        <f>IF(AND($F115&lt;&gt;"", $F115&gt;=DA$5-4, $F115&lt;=DA$5, COUNTIF($M115:CZ115,"u")=0), "u", "")</f>
        <v/>
      </c>
      <c r="DB115" s="80" t="str">
        <f>IF(AND($F115&lt;&gt;"", $F115&gt;=DB$5-4, $F115&lt;=DB$5, COUNTIF($M115:DA115,"u")=0), "u", "")</f>
        <v/>
      </c>
      <c r="DC115" s="80" t="str">
        <f>IF(AND($F115&lt;&gt;"", $F115&gt;=DC$5-4, $F115&lt;=DC$5, COUNTIF($M115:DB115,"u")=0), "u", "")</f>
        <v/>
      </c>
      <c r="DD115" s="80" t="str">
        <f>IF(AND($F115&lt;&gt;"", $F115&gt;=DD$5-4, $F115&lt;=DD$5, COUNTIF($M115:DC115,"u")=0), "u", "")</f>
        <v/>
      </c>
      <c r="DE115" s="80" t="str">
        <f>IF(AND($F115&lt;&gt;"", $F115&gt;=DE$5-4, $F115&lt;=DE$5, COUNTIF($M115:DD115,"u")=0), "u", "")</f>
        <v/>
      </c>
      <c r="DF115" s="80" t="str">
        <f>IF(AND($F115&lt;&gt;"", $F115&gt;=DF$5-4, $F115&lt;=DF$5, COUNTIF($M115:DE115,"u")=0), "u", "")</f>
        <v/>
      </c>
      <c r="DG115" s="80" t="str">
        <f>IF(AND($F115&lt;&gt;"", $F115&gt;=DG$5-4, $F115&lt;=DG$5, COUNTIF($M115:DF115,"u")=0), "u", "")</f>
        <v/>
      </c>
      <c r="DH115" s="80" t="str">
        <f>IF(AND($F115&lt;&gt;"", $F115&gt;=DH$5-4, $F115&lt;=DH$5, COUNTIF($M115:DG115,"u")=0), "u", "")</f>
        <v/>
      </c>
      <c r="DI115" s="80" t="str">
        <f>IF(AND($F115&lt;&gt;"", $F115&gt;=DI$5-4, $F115&lt;=DI$5, COUNTIF($M115:DH115,"u")=0), "u", "")</f>
        <v/>
      </c>
      <c r="DJ115" s="80" t="str">
        <f>IF(AND($F115&lt;&gt;"", $F115&gt;=DJ$5-4, $F115&lt;=DJ$5, COUNTIF($M115:DI115,"u")=0), "u", "")</f>
        <v/>
      </c>
      <c r="DK115" s="80" t="str">
        <f>IF(AND($F115&lt;&gt;"", $F115&gt;=DK$5-4, $F115&lt;=DK$5, COUNTIF($M115:DJ115,"u")=0), "u", "")</f>
        <v/>
      </c>
      <c r="DL115" s="80" t="str">
        <f>IF(AND($F115&lt;&gt;"", $F115&gt;=DL$5-4, $F115&lt;=DL$5, COUNTIF($M115:DK115,"u")=0), "u", "")</f>
        <v/>
      </c>
    </row>
    <row r="116" spans="1:116" ht="25.05" customHeight="1" x14ac:dyDescent="0.3">
      <c r="A116" s="39"/>
      <c r="B116" s="75">
        <v>111</v>
      </c>
      <c r="C116" s="97"/>
      <c r="D116" s="92"/>
      <c r="E116" s="53"/>
      <c r="F116" s="53"/>
      <c r="G116" s="83" t="str">
        <f t="shared" si="50"/>
        <v/>
      </c>
      <c r="H116" s="83" t="str">
        <f t="shared" si="50"/>
        <v/>
      </c>
      <c r="I116" s="77" t="str">
        <f t="shared" si="48"/>
        <v/>
      </c>
      <c r="J116" s="78"/>
      <c r="K116" s="86"/>
      <c r="L116" s="56"/>
      <c r="M116" s="80" t="str">
        <f t="shared" si="49"/>
        <v/>
      </c>
      <c r="N116" s="80" t="str">
        <f>IF(AND($F116&lt;&gt;"", $F116&gt;=N$5-4, $F116&lt;=N$5, COUNTIF($M116:M116,"u")=0), "u", "")</f>
        <v/>
      </c>
      <c r="O116" s="80" t="str">
        <f>IF(AND($F116&lt;&gt;"", $F116&gt;=O$5-4, $F116&lt;=O$5, COUNTIF($M116:N116,"u")=0), "u", "")</f>
        <v/>
      </c>
      <c r="P116" s="80" t="str">
        <f>IF(AND($F116&lt;&gt;"", $F116&gt;=P$5-4, $F116&lt;=P$5, COUNTIF($M116:O116,"u")=0), "u", "")</f>
        <v/>
      </c>
      <c r="Q116" s="80" t="str">
        <f>IF(AND($F116&lt;&gt;"", $F116&gt;=Q$5-4, $F116&lt;=Q$5, COUNTIF($M116:P116,"u")=0), "u", "")</f>
        <v/>
      </c>
      <c r="R116" s="80" t="str">
        <f>IF(AND($F116&lt;&gt;"", $F116&gt;=R$5-4, $F116&lt;=R$5, COUNTIF($M116:Q116,"u")=0), "u", "")</f>
        <v/>
      </c>
      <c r="S116" s="80" t="str">
        <f>IF(AND($F116&lt;&gt;"", $F116&gt;=S$5-4, $F116&lt;=S$5, COUNTIF($M116:R116,"u")=0), "u", "")</f>
        <v/>
      </c>
      <c r="T116" s="80" t="str">
        <f>IF(AND($F116&lt;&gt;"", $F116&gt;=T$5-4, $F116&lt;=T$5, COUNTIF($M116:S116,"u")=0), "u", "")</f>
        <v/>
      </c>
      <c r="U116" s="80" t="str">
        <f>IF(AND($F116&lt;&gt;"", $F116&gt;=U$5-4, $F116&lt;=U$5, COUNTIF($M116:T116,"u")=0), "u", "")</f>
        <v/>
      </c>
      <c r="V116" s="80" t="str">
        <f>IF(AND($F116&lt;&gt;"", $F116&gt;=V$5-4, $F116&lt;=V$5, COUNTIF($M116:U116,"u")=0), "u", "")</f>
        <v/>
      </c>
      <c r="W116" s="80" t="str">
        <f>IF(AND($F116&lt;&gt;"", $F116&gt;=W$5-4, $F116&lt;=W$5, COUNTIF($M116:V116,"u")=0), "u", "")</f>
        <v/>
      </c>
      <c r="X116" s="80" t="str">
        <f>IF(AND($F116&lt;&gt;"", $F116&gt;=X$5-4, $F116&lt;=X$5, COUNTIF($M116:W116,"u")=0), "u", "")</f>
        <v/>
      </c>
      <c r="Y116" s="80" t="str">
        <f>IF(AND($F116&lt;&gt;"", $F116&gt;=Y$5-4, $F116&lt;=Y$5, COUNTIF($M116:X116,"u")=0), "u", "")</f>
        <v/>
      </c>
      <c r="Z116" s="80" t="str">
        <f>IF(AND($F116&lt;&gt;"", $F116&gt;=Z$5-4, $F116&lt;=Z$5, COUNTIF($M116:Y116,"u")=0), "u", "")</f>
        <v/>
      </c>
      <c r="AA116" s="80" t="str">
        <f>IF(AND($F116&lt;&gt;"", $F116&gt;=AA$5-4, $F116&lt;=AA$5, COUNTIF($M116:Z116,"u")=0), "u", "")</f>
        <v/>
      </c>
      <c r="AB116" s="80" t="str">
        <f>IF(AND($F116&lt;&gt;"", $F116&gt;=AB$5-4, $F116&lt;=AB$5, COUNTIF($M116:AA116,"u")=0), "u", "")</f>
        <v/>
      </c>
      <c r="AC116" s="80" t="str">
        <f>IF(AND($F116&lt;&gt;"", $F116&gt;=AC$5-4, $F116&lt;=AC$5, COUNTIF($M116:AB116,"u")=0), "u", "")</f>
        <v/>
      </c>
      <c r="AD116" s="80" t="str">
        <f>IF(AND($F116&lt;&gt;"", $F116&gt;=AD$5-4, $F116&lt;=AD$5, COUNTIF($M116:AC116,"u")=0), "u", "")</f>
        <v/>
      </c>
      <c r="AE116" s="80" t="str">
        <f>IF(AND($F116&lt;&gt;"", $F116&gt;=AE$5-4, $F116&lt;=AE$5, COUNTIF($M116:AD116,"u")=0), "u", "")</f>
        <v/>
      </c>
      <c r="AF116" s="80" t="str">
        <f>IF(AND($F116&lt;&gt;"", $F116&gt;=AF$5-4, $F116&lt;=AF$5, COUNTIF($M116:AE116,"u")=0), "u", "")</f>
        <v/>
      </c>
      <c r="AG116" s="80" t="str">
        <f>IF(AND($F116&lt;&gt;"", $F116&gt;=AG$5-4, $F116&lt;=AG$5, COUNTIF($M116:AF116,"u")=0), "u", "")</f>
        <v/>
      </c>
      <c r="AH116" s="80" t="str">
        <f>IF(AND($F116&lt;&gt;"", $F116&gt;=AH$5-4, $F116&lt;=AH$5, COUNTIF($M116:AG116,"u")=0), "u", "")</f>
        <v/>
      </c>
      <c r="AI116" s="80" t="str">
        <f>IF(AND($F116&lt;&gt;"", $F116&gt;=AI$5-4, $F116&lt;=AI$5, COUNTIF($M116:AH116,"u")=0), "u", "")</f>
        <v/>
      </c>
      <c r="AJ116" s="80" t="str">
        <f>IF(AND($F116&lt;&gt;"", $F116&gt;=AJ$5-4, $F116&lt;=AJ$5, COUNTIF($M116:AI116,"u")=0), "u", "")</f>
        <v/>
      </c>
      <c r="AK116" s="80" t="str">
        <f>IF(AND($F116&lt;&gt;"", $F116&gt;=AK$5-4, $F116&lt;=AK$5, COUNTIF($M116:AJ116,"u")=0), "u", "")</f>
        <v/>
      </c>
      <c r="AL116" s="80" t="str">
        <f>IF(AND($F116&lt;&gt;"", $F116&gt;=AL$5-4, $F116&lt;=AL$5, COUNTIF($M116:AK116,"u")=0), "u", "")</f>
        <v/>
      </c>
      <c r="AM116" s="80" t="str">
        <f>IF(AND($F116&lt;&gt;"", $F116&gt;=AM$5-4, $F116&lt;=AM$5, COUNTIF($M116:AL116,"u")=0), "u", "")</f>
        <v/>
      </c>
      <c r="AN116" s="80" t="str">
        <f>IF(AND($F116&lt;&gt;"", $F116&gt;=AN$5-4, $F116&lt;=AN$5, COUNTIF($M116:AM116,"u")=0), "u", "")</f>
        <v/>
      </c>
      <c r="AO116" s="80" t="str">
        <f>IF(AND($F116&lt;&gt;"", $F116&gt;=AO$5-4, $F116&lt;=AO$5, COUNTIF($M116:AN116,"u")=0), "u", "")</f>
        <v/>
      </c>
      <c r="AP116" s="80" t="str">
        <f>IF(AND($F116&lt;&gt;"", $F116&gt;=AP$5-4, $F116&lt;=AP$5, COUNTIF($M116:AO116,"u")=0), "u", "")</f>
        <v/>
      </c>
      <c r="AQ116" s="80" t="str">
        <f>IF(AND($F116&lt;&gt;"", $F116&gt;=AQ$5-4, $F116&lt;=AQ$5, COUNTIF($M116:AP116,"u")=0), "u", "")</f>
        <v/>
      </c>
      <c r="AR116" s="80" t="str">
        <f>IF(AND($F116&lt;&gt;"", $F116&gt;=AR$5-4, $F116&lt;=AR$5, COUNTIF($M116:AQ116,"u")=0), "u", "")</f>
        <v/>
      </c>
      <c r="AS116" s="80" t="str">
        <f>IF(AND($F116&lt;&gt;"", $F116&gt;=AS$5-4, $F116&lt;=AS$5, COUNTIF($M116:AR116,"u")=0), "u", "")</f>
        <v/>
      </c>
      <c r="AT116" s="80" t="str">
        <f>IF(AND($F116&lt;&gt;"", $F116&gt;=AT$5-4, $F116&lt;=AT$5, COUNTIF($M116:AS116,"u")=0), "u", "")</f>
        <v/>
      </c>
      <c r="AU116" s="80" t="str">
        <f>IF(AND($F116&lt;&gt;"", $F116&gt;=AU$5-4, $F116&lt;=AU$5, COUNTIF($M116:AT116,"u")=0), "u", "")</f>
        <v/>
      </c>
      <c r="AV116" s="80" t="str">
        <f>IF(AND($F116&lt;&gt;"", $F116&gt;=AV$5-4, $F116&lt;=AV$5, COUNTIF($M116:AU116,"u")=0), "u", "")</f>
        <v/>
      </c>
      <c r="AW116" s="80" t="str">
        <f>IF(AND($F116&lt;&gt;"", $F116&gt;=AW$5-4, $F116&lt;=AW$5, COUNTIF($M116:AV116,"u")=0), "u", "")</f>
        <v/>
      </c>
      <c r="AX116" s="80" t="str">
        <f>IF(AND($F116&lt;&gt;"", $F116&gt;=AX$5-4, $F116&lt;=AX$5, COUNTIF($M116:AW116,"u")=0), "u", "")</f>
        <v/>
      </c>
      <c r="AY116" s="80" t="str">
        <f>IF(AND($F116&lt;&gt;"", $F116&gt;=AY$5-4, $F116&lt;=AY$5, COUNTIF($M116:AX116,"u")=0), "u", "")</f>
        <v/>
      </c>
      <c r="AZ116" s="80" t="str">
        <f>IF(AND($F116&lt;&gt;"", $F116&gt;=AZ$5-4, $F116&lt;=AZ$5, COUNTIF($M116:AY116,"u")=0), "u", "")</f>
        <v/>
      </c>
      <c r="BA116" s="80" t="str">
        <f>IF(AND($F116&lt;&gt;"", $F116&gt;=BA$5-4, $F116&lt;=BA$5, COUNTIF($M116:AZ116,"u")=0), "u", "")</f>
        <v/>
      </c>
      <c r="BB116" s="80" t="str">
        <f>IF(AND($F116&lt;&gt;"", $F116&gt;=BB$5-4, $F116&lt;=BB$5, COUNTIF($M116:BA116,"u")=0), "u", "")</f>
        <v/>
      </c>
      <c r="BC116" s="80" t="str">
        <f>IF(AND($F116&lt;&gt;"", $F116&gt;=BC$5-4, $F116&lt;=BC$5, COUNTIF($M116:BB116,"u")=0), "u", "")</f>
        <v/>
      </c>
      <c r="BD116" s="80" t="str">
        <f>IF(AND($F116&lt;&gt;"", $F116&gt;=BD$5-4, $F116&lt;=BD$5, COUNTIF($M116:BC116,"u")=0), "u", "")</f>
        <v/>
      </c>
      <c r="BE116" s="80" t="str">
        <f>IF(AND($F116&lt;&gt;"", $F116&gt;=BE$5-4, $F116&lt;=BE$5, COUNTIF($M116:BD116,"u")=0), "u", "")</f>
        <v/>
      </c>
      <c r="BF116" s="80" t="str">
        <f>IF(AND($F116&lt;&gt;"", $F116&gt;=BF$5-4, $F116&lt;=BF$5, COUNTIF($M116:BE116,"u")=0), "u", "")</f>
        <v/>
      </c>
      <c r="BG116" s="80" t="str">
        <f>IF(AND($F116&lt;&gt;"", $F116&gt;=BG$5-4, $F116&lt;=BG$5, COUNTIF($M116:BF116,"u")=0), "u", "")</f>
        <v/>
      </c>
      <c r="BH116" s="80" t="str">
        <f>IF(AND($F116&lt;&gt;"", $F116&gt;=BH$5-4, $F116&lt;=BH$5, COUNTIF($M116:BG116,"u")=0), "u", "")</f>
        <v/>
      </c>
      <c r="BI116" s="80" t="str">
        <f>IF(AND($F116&lt;&gt;"", $F116&gt;=BI$5-4, $F116&lt;=BI$5, COUNTIF($M116:BH116,"u")=0), "u", "")</f>
        <v/>
      </c>
      <c r="BJ116" s="80" t="str">
        <f>IF(AND($F116&lt;&gt;"", $F116&gt;=BJ$5-4, $F116&lt;=BJ$5, COUNTIF($M116:BI116,"u")=0), "u", "")</f>
        <v/>
      </c>
      <c r="BK116" s="80" t="str">
        <f>IF(AND($F116&lt;&gt;"", $F116&gt;=BK$5-4, $F116&lt;=BK$5, COUNTIF($M116:BJ116,"u")=0), "u", "")</f>
        <v/>
      </c>
      <c r="BL116" s="80" t="str">
        <f>IF(AND($F116&lt;&gt;"", $F116&gt;=BL$5-4, $F116&lt;=BL$5, COUNTIF($M116:BK116,"u")=0), "u", "")</f>
        <v/>
      </c>
      <c r="BM116" s="80" t="str">
        <f>IF(AND($F116&lt;&gt;"", $F116&gt;=BM$5-4, $F116&lt;=BM$5, COUNTIF($M116:BL116,"u")=0), "u", "")</f>
        <v/>
      </c>
      <c r="BN116" s="80" t="str">
        <f>IF(AND($F116&lt;&gt;"", $F116&gt;=BN$5-4, $F116&lt;=BN$5, COUNTIF($M116:BM116,"u")=0), "u", "")</f>
        <v/>
      </c>
      <c r="BO116" s="80" t="str">
        <f>IF(AND($F116&lt;&gt;"", $F116&gt;=BO$5-4, $F116&lt;=BO$5, COUNTIF($M116:BN116,"u")=0), "u", "")</f>
        <v/>
      </c>
      <c r="BP116" s="80" t="str">
        <f>IF(AND($F116&lt;&gt;"", $F116&gt;=BP$5-4, $F116&lt;=BP$5, COUNTIF($M116:BO116,"u")=0), "u", "")</f>
        <v/>
      </c>
      <c r="BQ116" s="80" t="str">
        <f>IF(AND($F116&lt;&gt;"", $F116&gt;=BQ$5-4, $F116&lt;=BQ$5, COUNTIF($M116:BP116,"u")=0), "u", "")</f>
        <v/>
      </c>
      <c r="BR116" s="80" t="str">
        <f>IF(AND($F116&lt;&gt;"", $F116&gt;=BR$5-4, $F116&lt;=BR$5, COUNTIF($M116:BQ116,"u")=0), "u", "")</f>
        <v/>
      </c>
      <c r="BS116" s="80" t="str">
        <f>IF(AND($F116&lt;&gt;"", $F116&gt;=BS$5-4, $F116&lt;=BS$5, COUNTIF($M116:BR116,"u")=0), "u", "")</f>
        <v/>
      </c>
      <c r="BT116" s="80" t="str">
        <f>IF(AND($F116&lt;&gt;"", $F116&gt;=BT$5-4, $F116&lt;=BT$5, COUNTIF($M116:BS116,"u")=0), "u", "")</f>
        <v/>
      </c>
      <c r="BU116" s="80" t="str">
        <f>IF(AND($F116&lt;&gt;"", $F116&gt;=BU$5-4, $F116&lt;=BU$5, COUNTIF($M116:BT116,"u")=0), "u", "")</f>
        <v/>
      </c>
      <c r="BV116" s="80" t="str">
        <f>IF(AND($F116&lt;&gt;"", $F116&gt;=BV$5-4, $F116&lt;=BV$5, COUNTIF($M116:BU116,"u")=0), "u", "")</f>
        <v/>
      </c>
      <c r="BW116" s="80" t="str">
        <f>IF(AND($F116&lt;&gt;"", $F116&gt;=BW$5-4, $F116&lt;=BW$5, COUNTIF($M116:BV116,"u")=0), "u", "")</f>
        <v/>
      </c>
      <c r="BX116" s="80" t="str">
        <f>IF(AND($F116&lt;&gt;"", $F116&gt;=BX$5-4, $F116&lt;=BX$5, COUNTIF($M116:BW116,"u")=0), "u", "")</f>
        <v/>
      </c>
      <c r="BY116" s="80" t="str">
        <f>IF(AND($F116&lt;&gt;"", $F116&gt;=BY$5-4, $F116&lt;=BY$5, COUNTIF($M116:BX116,"u")=0), "u", "")</f>
        <v/>
      </c>
      <c r="BZ116" s="80" t="str">
        <f>IF(AND($F116&lt;&gt;"", $F116&gt;=BZ$5-4, $F116&lt;=BZ$5, COUNTIF($M116:BY116,"u")=0), "u", "")</f>
        <v/>
      </c>
      <c r="CA116" s="80" t="str">
        <f>IF(AND($F116&lt;&gt;"", $F116&gt;=CA$5-4, $F116&lt;=CA$5, COUNTIF($M116:BZ116,"u")=0), "u", "")</f>
        <v/>
      </c>
      <c r="CB116" s="80" t="str">
        <f>IF(AND($F116&lt;&gt;"", $F116&gt;=CB$5-4, $F116&lt;=CB$5, COUNTIF($M116:CA116,"u")=0), "u", "")</f>
        <v/>
      </c>
      <c r="CC116" s="80" t="str">
        <f>IF(AND($F116&lt;&gt;"", $F116&gt;=CC$5-4, $F116&lt;=CC$5, COUNTIF($M116:CB116,"u")=0), "u", "")</f>
        <v/>
      </c>
      <c r="CD116" s="80" t="str">
        <f>IF(AND($F116&lt;&gt;"", $F116&gt;=CD$5-4, $F116&lt;=CD$5, COUNTIF($M116:CC116,"u")=0), "u", "")</f>
        <v/>
      </c>
      <c r="CE116" s="80" t="str">
        <f>IF(AND($F116&lt;&gt;"", $F116&gt;=CE$5-4, $F116&lt;=CE$5, COUNTIF($M116:CD116,"u")=0), "u", "")</f>
        <v/>
      </c>
      <c r="CF116" s="80" t="str">
        <f>IF(AND($F116&lt;&gt;"", $F116&gt;=CF$5-4, $F116&lt;=CF$5, COUNTIF($M116:CE116,"u")=0), "u", "")</f>
        <v/>
      </c>
      <c r="CG116" s="80" t="str">
        <f>IF(AND($F116&lt;&gt;"", $F116&gt;=CG$5-4, $F116&lt;=CG$5, COUNTIF($M116:CF116,"u")=0), "u", "")</f>
        <v/>
      </c>
      <c r="CH116" s="80" t="str">
        <f>IF(AND($F116&lt;&gt;"", $F116&gt;=CH$5-4, $F116&lt;=CH$5, COUNTIF($M116:CG116,"u")=0), "u", "")</f>
        <v/>
      </c>
      <c r="CI116" s="80" t="str">
        <f>IF(AND($F116&lt;&gt;"", $F116&gt;=CI$5-4, $F116&lt;=CI$5, COUNTIF($M116:CH116,"u")=0), "u", "")</f>
        <v/>
      </c>
      <c r="CJ116" s="80" t="str">
        <f>IF(AND($F116&lt;&gt;"", $F116&gt;=CJ$5-4, $F116&lt;=CJ$5, COUNTIF($M116:CI116,"u")=0), "u", "")</f>
        <v/>
      </c>
      <c r="CK116" s="80" t="str">
        <f>IF(AND($F116&lt;&gt;"", $F116&gt;=CK$5-4, $F116&lt;=CK$5, COUNTIF($M116:CJ116,"u")=0), "u", "")</f>
        <v/>
      </c>
      <c r="CL116" s="80" t="str">
        <f>IF(AND($F116&lt;&gt;"", $F116&gt;=CL$5-4, $F116&lt;=CL$5, COUNTIF($M116:CK116,"u")=0), "u", "")</f>
        <v/>
      </c>
      <c r="CM116" s="80" t="str">
        <f>IF(AND($F116&lt;&gt;"", $F116&gt;=CM$5-4, $F116&lt;=CM$5, COUNTIF($M116:CL116,"u")=0), "u", "")</f>
        <v/>
      </c>
      <c r="CN116" s="80" t="str">
        <f>IF(AND($F116&lt;&gt;"", $F116&gt;=CN$5-4, $F116&lt;=CN$5, COUNTIF($M116:CM116,"u")=0), "u", "")</f>
        <v/>
      </c>
      <c r="CO116" s="80" t="str">
        <f>IF(AND($F116&lt;&gt;"", $F116&gt;=CO$5-4, $F116&lt;=CO$5, COUNTIF($M116:CN116,"u")=0), "u", "")</f>
        <v/>
      </c>
      <c r="CP116" s="80" t="str">
        <f>IF(AND($F116&lt;&gt;"", $F116&gt;=CP$5-4, $F116&lt;=CP$5, COUNTIF($M116:CO116,"u")=0), "u", "")</f>
        <v/>
      </c>
      <c r="CQ116" s="80" t="str">
        <f>IF(AND($F116&lt;&gt;"", $F116&gt;=CQ$5-4, $F116&lt;=CQ$5, COUNTIF($M116:CP116,"u")=0), "u", "")</f>
        <v/>
      </c>
      <c r="CR116" s="80" t="str">
        <f>IF(AND($F116&lt;&gt;"", $F116&gt;=CR$5-4, $F116&lt;=CR$5, COUNTIF($M116:CQ116,"u")=0), "u", "")</f>
        <v/>
      </c>
      <c r="CS116" s="80" t="str">
        <f>IF(AND($F116&lt;&gt;"", $F116&gt;=CS$5-4, $F116&lt;=CS$5, COUNTIF($M116:CR116,"u")=0), "u", "")</f>
        <v/>
      </c>
      <c r="CT116" s="80" t="str">
        <f>IF(AND($F116&lt;&gt;"", $F116&gt;=CT$5-4, $F116&lt;=CT$5, COUNTIF($M116:CS116,"u")=0), "u", "")</f>
        <v/>
      </c>
      <c r="CU116" s="80" t="str">
        <f>IF(AND($F116&lt;&gt;"", $F116&gt;=CU$5-4, $F116&lt;=CU$5, COUNTIF($M116:CT116,"u")=0), "u", "")</f>
        <v/>
      </c>
      <c r="CV116" s="80" t="str">
        <f>IF(AND($F116&lt;&gt;"", $F116&gt;=CV$5-4, $F116&lt;=CV$5, COUNTIF($M116:CU116,"u")=0), "u", "")</f>
        <v/>
      </c>
      <c r="CW116" s="80" t="str">
        <f>IF(AND($F116&lt;&gt;"", $F116&gt;=CW$5-4, $F116&lt;=CW$5, COUNTIF($M116:CV116,"u")=0), "u", "")</f>
        <v/>
      </c>
      <c r="CX116" s="80" t="str">
        <f>IF(AND($F116&lt;&gt;"", $F116&gt;=CX$5-4, $F116&lt;=CX$5, COUNTIF($M116:CW116,"u")=0), "u", "")</f>
        <v/>
      </c>
      <c r="CY116" s="80" t="str">
        <f>IF(AND($F116&lt;&gt;"", $F116&gt;=CY$5-4, $F116&lt;=CY$5, COUNTIF($M116:CX116,"u")=0), "u", "")</f>
        <v/>
      </c>
      <c r="CZ116" s="80" t="str">
        <f>IF(AND($F116&lt;&gt;"", $F116&gt;=CZ$5-4, $F116&lt;=CZ$5, COUNTIF($M116:CY116,"u")=0), "u", "")</f>
        <v/>
      </c>
      <c r="DA116" s="80" t="str">
        <f>IF(AND($F116&lt;&gt;"", $F116&gt;=DA$5-4, $F116&lt;=DA$5, COUNTIF($M116:CZ116,"u")=0), "u", "")</f>
        <v/>
      </c>
      <c r="DB116" s="80" t="str">
        <f>IF(AND($F116&lt;&gt;"", $F116&gt;=DB$5-4, $F116&lt;=DB$5, COUNTIF($M116:DA116,"u")=0), "u", "")</f>
        <v/>
      </c>
      <c r="DC116" s="80" t="str">
        <f>IF(AND($F116&lt;&gt;"", $F116&gt;=DC$5-4, $F116&lt;=DC$5, COUNTIF($M116:DB116,"u")=0), "u", "")</f>
        <v/>
      </c>
      <c r="DD116" s="80" t="str">
        <f>IF(AND($F116&lt;&gt;"", $F116&gt;=DD$5-4, $F116&lt;=DD$5, COUNTIF($M116:DC116,"u")=0), "u", "")</f>
        <v/>
      </c>
      <c r="DE116" s="80" t="str">
        <f>IF(AND($F116&lt;&gt;"", $F116&gt;=DE$5-4, $F116&lt;=DE$5, COUNTIF($M116:DD116,"u")=0), "u", "")</f>
        <v/>
      </c>
      <c r="DF116" s="80" t="str">
        <f>IF(AND($F116&lt;&gt;"", $F116&gt;=DF$5-4, $F116&lt;=DF$5, COUNTIF($M116:DE116,"u")=0), "u", "")</f>
        <v/>
      </c>
      <c r="DG116" s="80" t="str">
        <f>IF(AND($F116&lt;&gt;"", $F116&gt;=DG$5-4, $F116&lt;=DG$5, COUNTIF($M116:DF116,"u")=0), "u", "")</f>
        <v/>
      </c>
      <c r="DH116" s="80" t="str">
        <f>IF(AND($F116&lt;&gt;"", $F116&gt;=DH$5-4, $F116&lt;=DH$5, COUNTIF($M116:DG116,"u")=0), "u", "")</f>
        <v/>
      </c>
      <c r="DI116" s="80" t="str">
        <f>IF(AND($F116&lt;&gt;"", $F116&gt;=DI$5-4, $F116&lt;=DI$5, COUNTIF($M116:DH116,"u")=0), "u", "")</f>
        <v/>
      </c>
      <c r="DJ116" s="80" t="str">
        <f>IF(AND($F116&lt;&gt;"", $F116&gt;=DJ$5-4, $F116&lt;=DJ$5, COUNTIF($M116:DI116,"u")=0), "u", "")</f>
        <v/>
      </c>
      <c r="DK116" s="80" t="str">
        <f>IF(AND($F116&lt;&gt;"", $F116&gt;=DK$5-4, $F116&lt;=DK$5, COUNTIF($M116:DJ116,"u")=0), "u", "")</f>
        <v/>
      </c>
      <c r="DL116" s="80" t="str">
        <f>IF(AND($F116&lt;&gt;"", $F116&gt;=DL$5-4, $F116&lt;=DL$5, COUNTIF($M116:DK116,"u")=0), "u", "")</f>
        <v/>
      </c>
    </row>
    <row r="117" spans="1:116" ht="25.05" customHeight="1" x14ac:dyDescent="0.3">
      <c r="A117" s="39"/>
      <c r="B117" s="75">
        <v>112</v>
      </c>
      <c r="C117" s="97"/>
      <c r="D117" s="92"/>
      <c r="E117" s="53"/>
      <c r="F117" s="53"/>
      <c r="G117" s="83" t="str">
        <f t="shared" si="50"/>
        <v/>
      </c>
      <c r="H117" s="83" t="str">
        <f t="shared" si="50"/>
        <v/>
      </c>
      <c r="I117" s="77" t="str">
        <f t="shared" si="48"/>
        <v/>
      </c>
      <c r="J117" s="78"/>
      <c r="K117" s="86"/>
      <c r="L117" s="56"/>
      <c r="M117" s="80" t="str">
        <f t="shared" si="49"/>
        <v/>
      </c>
      <c r="N117" s="80" t="str">
        <f>IF(AND($F117&lt;&gt;"", $F117&gt;=N$5-4, $F117&lt;=N$5, COUNTIF($M117:M117,"u")=0), "u", "")</f>
        <v/>
      </c>
      <c r="O117" s="80" t="str">
        <f>IF(AND($F117&lt;&gt;"", $F117&gt;=O$5-4, $F117&lt;=O$5, COUNTIF($M117:N117,"u")=0), "u", "")</f>
        <v/>
      </c>
      <c r="P117" s="80" t="str">
        <f>IF(AND($F117&lt;&gt;"", $F117&gt;=P$5-4, $F117&lt;=P$5, COUNTIF($M117:O117,"u")=0), "u", "")</f>
        <v/>
      </c>
      <c r="Q117" s="80" t="str">
        <f>IF(AND($F117&lt;&gt;"", $F117&gt;=Q$5-4, $F117&lt;=Q$5, COUNTIF($M117:P117,"u")=0), "u", "")</f>
        <v/>
      </c>
      <c r="R117" s="80" t="str">
        <f>IF(AND($F117&lt;&gt;"", $F117&gt;=R$5-4, $F117&lt;=R$5, COUNTIF($M117:Q117,"u")=0), "u", "")</f>
        <v/>
      </c>
      <c r="S117" s="80" t="str">
        <f>IF(AND($F117&lt;&gt;"", $F117&gt;=S$5-4, $F117&lt;=S$5, COUNTIF($M117:R117,"u")=0), "u", "")</f>
        <v/>
      </c>
      <c r="T117" s="80" t="str">
        <f>IF(AND($F117&lt;&gt;"", $F117&gt;=T$5-4, $F117&lt;=T$5, COUNTIF($M117:S117,"u")=0), "u", "")</f>
        <v/>
      </c>
      <c r="U117" s="80" t="str">
        <f>IF(AND($F117&lt;&gt;"", $F117&gt;=U$5-4, $F117&lt;=U$5, COUNTIF($M117:T117,"u")=0), "u", "")</f>
        <v/>
      </c>
      <c r="V117" s="80" t="str">
        <f>IF(AND($F117&lt;&gt;"", $F117&gt;=V$5-4, $F117&lt;=V$5, COUNTIF($M117:U117,"u")=0), "u", "")</f>
        <v/>
      </c>
      <c r="W117" s="80" t="str">
        <f>IF(AND($F117&lt;&gt;"", $F117&gt;=W$5-4, $F117&lt;=W$5, COUNTIF($M117:V117,"u")=0), "u", "")</f>
        <v/>
      </c>
      <c r="X117" s="80" t="str">
        <f>IF(AND($F117&lt;&gt;"", $F117&gt;=X$5-4, $F117&lt;=X$5, COUNTIF($M117:W117,"u")=0), "u", "")</f>
        <v/>
      </c>
      <c r="Y117" s="80" t="str">
        <f>IF(AND($F117&lt;&gt;"", $F117&gt;=Y$5-4, $F117&lt;=Y$5, COUNTIF($M117:X117,"u")=0), "u", "")</f>
        <v/>
      </c>
      <c r="Z117" s="80" t="str">
        <f>IF(AND($F117&lt;&gt;"", $F117&gt;=Z$5-4, $F117&lt;=Z$5, COUNTIF($M117:Y117,"u")=0), "u", "")</f>
        <v/>
      </c>
      <c r="AA117" s="80" t="str">
        <f>IF(AND($F117&lt;&gt;"", $F117&gt;=AA$5-4, $F117&lt;=AA$5, COUNTIF($M117:Z117,"u")=0), "u", "")</f>
        <v/>
      </c>
      <c r="AB117" s="80" t="str">
        <f>IF(AND($F117&lt;&gt;"", $F117&gt;=AB$5-4, $F117&lt;=AB$5, COUNTIF($M117:AA117,"u")=0), "u", "")</f>
        <v/>
      </c>
      <c r="AC117" s="80" t="str">
        <f>IF(AND($F117&lt;&gt;"", $F117&gt;=AC$5-4, $F117&lt;=AC$5, COUNTIF($M117:AB117,"u")=0), "u", "")</f>
        <v/>
      </c>
      <c r="AD117" s="80" t="str">
        <f>IF(AND($F117&lt;&gt;"", $F117&gt;=AD$5-4, $F117&lt;=AD$5, COUNTIF($M117:AC117,"u")=0), "u", "")</f>
        <v/>
      </c>
      <c r="AE117" s="80" t="str">
        <f>IF(AND($F117&lt;&gt;"", $F117&gt;=AE$5-4, $F117&lt;=AE$5, COUNTIF($M117:AD117,"u")=0), "u", "")</f>
        <v/>
      </c>
      <c r="AF117" s="80" t="str">
        <f>IF(AND($F117&lt;&gt;"", $F117&gt;=AF$5-4, $F117&lt;=AF$5, COUNTIF($M117:AE117,"u")=0), "u", "")</f>
        <v/>
      </c>
      <c r="AG117" s="80" t="str">
        <f>IF(AND($F117&lt;&gt;"", $F117&gt;=AG$5-4, $F117&lt;=AG$5, COUNTIF($M117:AF117,"u")=0), "u", "")</f>
        <v/>
      </c>
      <c r="AH117" s="80" t="str">
        <f>IF(AND($F117&lt;&gt;"", $F117&gt;=AH$5-4, $F117&lt;=AH$5, COUNTIF($M117:AG117,"u")=0), "u", "")</f>
        <v/>
      </c>
      <c r="AI117" s="80" t="str">
        <f>IF(AND($F117&lt;&gt;"", $F117&gt;=AI$5-4, $F117&lt;=AI$5, COUNTIF($M117:AH117,"u")=0), "u", "")</f>
        <v/>
      </c>
      <c r="AJ117" s="80" t="str">
        <f>IF(AND($F117&lt;&gt;"", $F117&gt;=AJ$5-4, $F117&lt;=AJ$5, COUNTIF($M117:AI117,"u")=0), "u", "")</f>
        <v/>
      </c>
      <c r="AK117" s="80" t="str">
        <f>IF(AND($F117&lt;&gt;"", $F117&gt;=AK$5-4, $F117&lt;=AK$5, COUNTIF($M117:AJ117,"u")=0), "u", "")</f>
        <v/>
      </c>
      <c r="AL117" s="80" t="str">
        <f>IF(AND($F117&lt;&gt;"", $F117&gt;=AL$5-4, $F117&lt;=AL$5, COUNTIF($M117:AK117,"u")=0), "u", "")</f>
        <v/>
      </c>
      <c r="AM117" s="80" t="str">
        <f>IF(AND($F117&lt;&gt;"", $F117&gt;=AM$5-4, $F117&lt;=AM$5, COUNTIF($M117:AL117,"u")=0), "u", "")</f>
        <v/>
      </c>
      <c r="AN117" s="80" t="str">
        <f>IF(AND($F117&lt;&gt;"", $F117&gt;=AN$5-4, $F117&lt;=AN$5, COUNTIF($M117:AM117,"u")=0), "u", "")</f>
        <v/>
      </c>
      <c r="AO117" s="80" t="str">
        <f>IF(AND($F117&lt;&gt;"", $F117&gt;=AO$5-4, $F117&lt;=AO$5, COUNTIF($M117:AN117,"u")=0), "u", "")</f>
        <v/>
      </c>
      <c r="AP117" s="80" t="str">
        <f>IF(AND($F117&lt;&gt;"", $F117&gt;=AP$5-4, $F117&lt;=AP$5, COUNTIF($M117:AO117,"u")=0), "u", "")</f>
        <v/>
      </c>
      <c r="AQ117" s="80" t="str">
        <f>IF(AND($F117&lt;&gt;"", $F117&gt;=AQ$5-4, $F117&lt;=AQ$5, COUNTIF($M117:AP117,"u")=0), "u", "")</f>
        <v/>
      </c>
      <c r="AR117" s="80" t="str">
        <f>IF(AND($F117&lt;&gt;"", $F117&gt;=AR$5-4, $F117&lt;=AR$5, COUNTIF($M117:AQ117,"u")=0), "u", "")</f>
        <v/>
      </c>
      <c r="AS117" s="80" t="str">
        <f>IF(AND($F117&lt;&gt;"", $F117&gt;=AS$5-4, $F117&lt;=AS$5, COUNTIF($M117:AR117,"u")=0), "u", "")</f>
        <v/>
      </c>
      <c r="AT117" s="80" t="str">
        <f>IF(AND($F117&lt;&gt;"", $F117&gt;=AT$5-4, $F117&lt;=AT$5, COUNTIF($M117:AS117,"u")=0), "u", "")</f>
        <v/>
      </c>
      <c r="AU117" s="80" t="str">
        <f>IF(AND($F117&lt;&gt;"", $F117&gt;=AU$5-4, $F117&lt;=AU$5, COUNTIF($M117:AT117,"u")=0), "u", "")</f>
        <v/>
      </c>
      <c r="AV117" s="80" t="str">
        <f>IF(AND($F117&lt;&gt;"", $F117&gt;=AV$5-4, $F117&lt;=AV$5, COUNTIF($M117:AU117,"u")=0), "u", "")</f>
        <v/>
      </c>
      <c r="AW117" s="80" t="str">
        <f>IF(AND($F117&lt;&gt;"", $F117&gt;=AW$5-4, $F117&lt;=AW$5, COUNTIF($M117:AV117,"u")=0), "u", "")</f>
        <v/>
      </c>
      <c r="AX117" s="80" t="str">
        <f>IF(AND($F117&lt;&gt;"", $F117&gt;=AX$5-4, $F117&lt;=AX$5, COUNTIF($M117:AW117,"u")=0), "u", "")</f>
        <v/>
      </c>
      <c r="AY117" s="80" t="str">
        <f>IF(AND($F117&lt;&gt;"", $F117&gt;=AY$5-4, $F117&lt;=AY$5, COUNTIF($M117:AX117,"u")=0), "u", "")</f>
        <v/>
      </c>
      <c r="AZ117" s="80" t="str">
        <f>IF(AND($F117&lt;&gt;"", $F117&gt;=AZ$5-4, $F117&lt;=AZ$5, COUNTIF($M117:AY117,"u")=0), "u", "")</f>
        <v/>
      </c>
      <c r="BA117" s="80" t="str">
        <f>IF(AND($F117&lt;&gt;"", $F117&gt;=BA$5-4, $F117&lt;=BA$5, COUNTIF($M117:AZ117,"u")=0), "u", "")</f>
        <v/>
      </c>
      <c r="BB117" s="80" t="str">
        <f>IF(AND($F117&lt;&gt;"", $F117&gt;=BB$5-4, $F117&lt;=BB$5, COUNTIF($M117:BA117,"u")=0), "u", "")</f>
        <v/>
      </c>
      <c r="BC117" s="80" t="str">
        <f>IF(AND($F117&lt;&gt;"", $F117&gt;=BC$5-4, $F117&lt;=BC$5, COUNTIF($M117:BB117,"u")=0), "u", "")</f>
        <v/>
      </c>
      <c r="BD117" s="80" t="str">
        <f>IF(AND($F117&lt;&gt;"", $F117&gt;=BD$5-4, $F117&lt;=BD$5, COUNTIF($M117:BC117,"u")=0), "u", "")</f>
        <v/>
      </c>
      <c r="BE117" s="80" t="str">
        <f>IF(AND($F117&lt;&gt;"", $F117&gt;=BE$5-4, $F117&lt;=BE$5, COUNTIF($M117:BD117,"u")=0), "u", "")</f>
        <v/>
      </c>
      <c r="BF117" s="80" t="str">
        <f>IF(AND($F117&lt;&gt;"", $F117&gt;=BF$5-4, $F117&lt;=BF$5, COUNTIF($M117:BE117,"u")=0), "u", "")</f>
        <v/>
      </c>
      <c r="BG117" s="80" t="str">
        <f>IF(AND($F117&lt;&gt;"", $F117&gt;=BG$5-4, $F117&lt;=BG$5, COUNTIF($M117:BF117,"u")=0), "u", "")</f>
        <v/>
      </c>
      <c r="BH117" s="80" t="str">
        <f>IF(AND($F117&lt;&gt;"", $F117&gt;=BH$5-4, $F117&lt;=BH$5, COUNTIF($M117:BG117,"u")=0), "u", "")</f>
        <v/>
      </c>
      <c r="BI117" s="80" t="str">
        <f>IF(AND($F117&lt;&gt;"", $F117&gt;=BI$5-4, $F117&lt;=BI$5, COUNTIF($M117:BH117,"u")=0), "u", "")</f>
        <v/>
      </c>
      <c r="BJ117" s="80" t="str">
        <f>IF(AND($F117&lt;&gt;"", $F117&gt;=BJ$5-4, $F117&lt;=BJ$5, COUNTIF($M117:BI117,"u")=0), "u", "")</f>
        <v/>
      </c>
      <c r="BK117" s="80" t="str">
        <f>IF(AND($F117&lt;&gt;"", $F117&gt;=BK$5-4, $F117&lt;=BK$5, COUNTIF($M117:BJ117,"u")=0), "u", "")</f>
        <v/>
      </c>
      <c r="BL117" s="80" t="str">
        <f>IF(AND($F117&lt;&gt;"", $F117&gt;=BL$5-4, $F117&lt;=BL$5, COUNTIF($M117:BK117,"u")=0), "u", "")</f>
        <v/>
      </c>
      <c r="BM117" s="80" t="str">
        <f>IF(AND($F117&lt;&gt;"", $F117&gt;=BM$5-4, $F117&lt;=BM$5, COUNTIF($M117:BL117,"u")=0), "u", "")</f>
        <v/>
      </c>
      <c r="BN117" s="80" t="str">
        <f>IF(AND($F117&lt;&gt;"", $F117&gt;=BN$5-4, $F117&lt;=BN$5, COUNTIF($M117:BM117,"u")=0), "u", "")</f>
        <v/>
      </c>
      <c r="BO117" s="80" t="str">
        <f>IF(AND($F117&lt;&gt;"", $F117&gt;=BO$5-4, $F117&lt;=BO$5, COUNTIF($M117:BN117,"u")=0), "u", "")</f>
        <v/>
      </c>
      <c r="BP117" s="80" t="str">
        <f>IF(AND($F117&lt;&gt;"", $F117&gt;=BP$5-4, $F117&lt;=BP$5, COUNTIF($M117:BO117,"u")=0), "u", "")</f>
        <v/>
      </c>
      <c r="BQ117" s="80" t="str">
        <f>IF(AND($F117&lt;&gt;"", $F117&gt;=BQ$5-4, $F117&lt;=BQ$5, COUNTIF($M117:BP117,"u")=0), "u", "")</f>
        <v/>
      </c>
      <c r="BR117" s="80" t="str">
        <f>IF(AND($F117&lt;&gt;"", $F117&gt;=BR$5-4, $F117&lt;=BR$5, COUNTIF($M117:BQ117,"u")=0), "u", "")</f>
        <v/>
      </c>
      <c r="BS117" s="80" t="str">
        <f>IF(AND($F117&lt;&gt;"", $F117&gt;=BS$5-4, $F117&lt;=BS$5, COUNTIF($M117:BR117,"u")=0), "u", "")</f>
        <v/>
      </c>
      <c r="BT117" s="80" t="str">
        <f>IF(AND($F117&lt;&gt;"", $F117&gt;=BT$5-4, $F117&lt;=BT$5, COUNTIF($M117:BS117,"u")=0), "u", "")</f>
        <v/>
      </c>
      <c r="BU117" s="80" t="str">
        <f>IF(AND($F117&lt;&gt;"", $F117&gt;=BU$5-4, $F117&lt;=BU$5, COUNTIF($M117:BT117,"u")=0), "u", "")</f>
        <v/>
      </c>
      <c r="BV117" s="80" t="str">
        <f>IF(AND($F117&lt;&gt;"", $F117&gt;=BV$5-4, $F117&lt;=BV$5, COUNTIF($M117:BU117,"u")=0), "u", "")</f>
        <v/>
      </c>
      <c r="BW117" s="80" t="str">
        <f>IF(AND($F117&lt;&gt;"", $F117&gt;=BW$5-4, $F117&lt;=BW$5, COUNTIF($M117:BV117,"u")=0), "u", "")</f>
        <v/>
      </c>
      <c r="BX117" s="80" t="str">
        <f>IF(AND($F117&lt;&gt;"", $F117&gt;=BX$5-4, $F117&lt;=BX$5, COUNTIF($M117:BW117,"u")=0), "u", "")</f>
        <v/>
      </c>
      <c r="BY117" s="80" t="str">
        <f>IF(AND($F117&lt;&gt;"", $F117&gt;=BY$5-4, $F117&lt;=BY$5, COUNTIF($M117:BX117,"u")=0), "u", "")</f>
        <v/>
      </c>
      <c r="BZ117" s="80" t="str">
        <f>IF(AND($F117&lt;&gt;"", $F117&gt;=BZ$5-4, $F117&lt;=BZ$5, COUNTIF($M117:BY117,"u")=0), "u", "")</f>
        <v/>
      </c>
      <c r="CA117" s="80" t="str">
        <f>IF(AND($F117&lt;&gt;"", $F117&gt;=CA$5-4, $F117&lt;=CA$5, COUNTIF($M117:BZ117,"u")=0), "u", "")</f>
        <v/>
      </c>
      <c r="CB117" s="80" t="str">
        <f>IF(AND($F117&lt;&gt;"", $F117&gt;=CB$5-4, $F117&lt;=CB$5, COUNTIF($M117:CA117,"u")=0), "u", "")</f>
        <v/>
      </c>
      <c r="CC117" s="80" t="str">
        <f>IF(AND($F117&lt;&gt;"", $F117&gt;=CC$5-4, $F117&lt;=CC$5, COUNTIF($M117:CB117,"u")=0), "u", "")</f>
        <v/>
      </c>
      <c r="CD117" s="80" t="str">
        <f>IF(AND($F117&lt;&gt;"", $F117&gt;=CD$5-4, $F117&lt;=CD$5, COUNTIF($M117:CC117,"u")=0), "u", "")</f>
        <v/>
      </c>
      <c r="CE117" s="80" t="str">
        <f>IF(AND($F117&lt;&gt;"", $F117&gt;=CE$5-4, $F117&lt;=CE$5, COUNTIF($M117:CD117,"u")=0), "u", "")</f>
        <v/>
      </c>
      <c r="CF117" s="80" t="str">
        <f>IF(AND($F117&lt;&gt;"", $F117&gt;=CF$5-4, $F117&lt;=CF$5, COUNTIF($M117:CE117,"u")=0), "u", "")</f>
        <v/>
      </c>
      <c r="CG117" s="80" t="str">
        <f>IF(AND($F117&lt;&gt;"", $F117&gt;=CG$5-4, $F117&lt;=CG$5, COUNTIF($M117:CF117,"u")=0), "u", "")</f>
        <v/>
      </c>
      <c r="CH117" s="80" t="str">
        <f>IF(AND($F117&lt;&gt;"", $F117&gt;=CH$5-4, $F117&lt;=CH$5, COUNTIF($M117:CG117,"u")=0), "u", "")</f>
        <v/>
      </c>
      <c r="CI117" s="80" t="str">
        <f>IF(AND($F117&lt;&gt;"", $F117&gt;=CI$5-4, $F117&lt;=CI$5, COUNTIF($M117:CH117,"u")=0), "u", "")</f>
        <v/>
      </c>
      <c r="CJ117" s="80" t="str">
        <f>IF(AND($F117&lt;&gt;"", $F117&gt;=CJ$5-4, $F117&lt;=CJ$5, COUNTIF($M117:CI117,"u")=0), "u", "")</f>
        <v/>
      </c>
      <c r="CK117" s="80" t="str">
        <f>IF(AND($F117&lt;&gt;"", $F117&gt;=CK$5-4, $F117&lt;=CK$5, COUNTIF($M117:CJ117,"u")=0), "u", "")</f>
        <v/>
      </c>
      <c r="CL117" s="80" t="str">
        <f>IF(AND($F117&lt;&gt;"", $F117&gt;=CL$5-4, $F117&lt;=CL$5, COUNTIF($M117:CK117,"u")=0), "u", "")</f>
        <v/>
      </c>
      <c r="CM117" s="80" t="str">
        <f>IF(AND($F117&lt;&gt;"", $F117&gt;=CM$5-4, $F117&lt;=CM$5, COUNTIF($M117:CL117,"u")=0), "u", "")</f>
        <v/>
      </c>
      <c r="CN117" s="80" t="str">
        <f>IF(AND($F117&lt;&gt;"", $F117&gt;=CN$5-4, $F117&lt;=CN$5, COUNTIF($M117:CM117,"u")=0), "u", "")</f>
        <v/>
      </c>
      <c r="CO117" s="80" t="str">
        <f>IF(AND($F117&lt;&gt;"", $F117&gt;=CO$5-4, $F117&lt;=CO$5, COUNTIF($M117:CN117,"u")=0), "u", "")</f>
        <v/>
      </c>
      <c r="CP117" s="80" t="str">
        <f>IF(AND($F117&lt;&gt;"", $F117&gt;=CP$5-4, $F117&lt;=CP$5, COUNTIF($M117:CO117,"u")=0), "u", "")</f>
        <v/>
      </c>
      <c r="CQ117" s="80" t="str">
        <f>IF(AND($F117&lt;&gt;"", $F117&gt;=CQ$5-4, $F117&lt;=CQ$5, COUNTIF($M117:CP117,"u")=0), "u", "")</f>
        <v/>
      </c>
      <c r="CR117" s="80" t="str">
        <f>IF(AND($F117&lt;&gt;"", $F117&gt;=CR$5-4, $F117&lt;=CR$5, COUNTIF($M117:CQ117,"u")=0), "u", "")</f>
        <v/>
      </c>
      <c r="CS117" s="80" t="str">
        <f>IF(AND($F117&lt;&gt;"", $F117&gt;=CS$5-4, $F117&lt;=CS$5, COUNTIF($M117:CR117,"u")=0), "u", "")</f>
        <v/>
      </c>
      <c r="CT117" s="80" t="str">
        <f>IF(AND($F117&lt;&gt;"", $F117&gt;=CT$5-4, $F117&lt;=CT$5, COUNTIF($M117:CS117,"u")=0), "u", "")</f>
        <v/>
      </c>
      <c r="CU117" s="80" t="str">
        <f>IF(AND($F117&lt;&gt;"", $F117&gt;=CU$5-4, $F117&lt;=CU$5, COUNTIF($M117:CT117,"u")=0), "u", "")</f>
        <v/>
      </c>
      <c r="CV117" s="80" t="str">
        <f>IF(AND($F117&lt;&gt;"", $F117&gt;=CV$5-4, $F117&lt;=CV$5, COUNTIF($M117:CU117,"u")=0), "u", "")</f>
        <v/>
      </c>
      <c r="CW117" s="80" t="str">
        <f>IF(AND($F117&lt;&gt;"", $F117&gt;=CW$5-4, $F117&lt;=CW$5, COUNTIF($M117:CV117,"u")=0), "u", "")</f>
        <v/>
      </c>
      <c r="CX117" s="80" t="str">
        <f>IF(AND($F117&lt;&gt;"", $F117&gt;=CX$5-4, $F117&lt;=CX$5, COUNTIF($M117:CW117,"u")=0), "u", "")</f>
        <v/>
      </c>
      <c r="CY117" s="80" t="str">
        <f>IF(AND($F117&lt;&gt;"", $F117&gt;=CY$5-4, $F117&lt;=CY$5, COUNTIF($M117:CX117,"u")=0), "u", "")</f>
        <v/>
      </c>
      <c r="CZ117" s="80" t="str">
        <f>IF(AND($F117&lt;&gt;"", $F117&gt;=CZ$5-4, $F117&lt;=CZ$5, COUNTIF($M117:CY117,"u")=0), "u", "")</f>
        <v/>
      </c>
      <c r="DA117" s="80" t="str">
        <f>IF(AND($F117&lt;&gt;"", $F117&gt;=DA$5-4, $F117&lt;=DA$5, COUNTIF($M117:CZ117,"u")=0), "u", "")</f>
        <v/>
      </c>
      <c r="DB117" s="80" t="str">
        <f>IF(AND($F117&lt;&gt;"", $F117&gt;=DB$5-4, $F117&lt;=DB$5, COUNTIF($M117:DA117,"u")=0), "u", "")</f>
        <v/>
      </c>
      <c r="DC117" s="80" t="str">
        <f>IF(AND($F117&lt;&gt;"", $F117&gt;=DC$5-4, $F117&lt;=DC$5, COUNTIF($M117:DB117,"u")=0), "u", "")</f>
        <v/>
      </c>
      <c r="DD117" s="80" t="str">
        <f>IF(AND($F117&lt;&gt;"", $F117&gt;=DD$5-4, $F117&lt;=DD$5, COUNTIF($M117:DC117,"u")=0), "u", "")</f>
        <v/>
      </c>
      <c r="DE117" s="80" t="str">
        <f>IF(AND($F117&lt;&gt;"", $F117&gt;=DE$5-4, $F117&lt;=DE$5, COUNTIF($M117:DD117,"u")=0), "u", "")</f>
        <v/>
      </c>
      <c r="DF117" s="80" t="str">
        <f>IF(AND($F117&lt;&gt;"", $F117&gt;=DF$5-4, $F117&lt;=DF$5, COUNTIF($M117:DE117,"u")=0), "u", "")</f>
        <v/>
      </c>
      <c r="DG117" s="80" t="str">
        <f>IF(AND($F117&lt;&gt;"", $F117&gt;=DG$5-4, $F117&lt;=DG$5, COUNTIF($M117:DF117,"u")=0), "u", "")</f>
        <v/>
      </c>
      <c r="DH117" s="80" t="str">
        <f>IF(AND($F117&lt;&gt;"", $F117&gt;=DH$5-4, $F117&lt;=DH$5, COUNTIF($M117:DG117,"u")=0), "u", "")</f>
        <v/>
      </c>
      <c r="DI117" s="80" t="str">
        <f>IF(AND($F117&lt;&gt;"", $F117&gt;=DI$5-4, $F117&lt;=DI$5, COUNTIF($M117:DH117,"u")=0), "u", "")</f>
        <v/>
      </c>
      <c r="DJ117" s="80" t="str">
        <f>IF(AND($F117&lt;&gt;"", $F117&gt;=DJ$5-4, $F117&lt;=DJ$5, COUNTIF($M117:DI117,"u")=0), "u", "")</f>
        <v/>
      </c>
      <c r="DK117" s="80" t="str">
        <f>IF(AND($F117&lt;&gt;"", $F117&gt;=DK$5-4, $F117&lt;=DK$5, COUNTIF($M117:DJ117,"u")=0), "u", "")</f>
        <v/>
      </c>
      <c r="DL117" s="80" t="str">
        <f>IF(AND($F117&lt;&gt;"", $F117&gt;=DL$5-4, $F117&lt;=DL$5, COUNTIF($M117:DK117,"u")=0), "u", "")</f>
        <v/>
      </c>
    </row>
    <row r="118" spans="1:116" ht="25.05" customHeight="1" x14ac:dyDescent="0.3">
      <c r="A118" s="39"/>
      <c r="B118" s="75">
        <v>113</v>
      </c>
      <c r="C118" s="97"/>
      <c r="D118" s="92"/>
      <c r="E118" s="53"/>
      <c r="F118" s="53"/>
      <c r="G118" s="83" t="str">
        <f t="shared" si="50"/>
        <v/>
      </c>
      <c r="H118" s="83" t="str">
        <f t="shared" si="50"/>
        <v/>
      </c>
      <c r="I118" s="77" t="str">
        <f t="shared" si="48"/>
        <v/>
      </c>
      <c r="J118" s="78"/>
      <c r="K118" s="86"/>
      <c r="L118" s="56"/>
      <c r="M118" s="80" t="str">
        <f t="shared" si="49"/>
        <v/>
      </c>
      <c r="N118" s="80" t="str">
        <f>IF(AND($F118&lt;&gt;"", $F118&gt;=N$5-4, $F118&lt;=N$5, COUNTIF($M118:M118,"u")=0), "u", "")</f>
        <v/>
      </c>
      <c r="O118" s="80" t="str">
        <f>IF(AND($F118&lt;&gt;"", $F118&gt;=O$5-4, $F118&lt;=O$5, COUNTIF($M118:N118,"u")=0), "u", "")</f>
        <v/>
      </c>
      <c r="P118" s="80" t="str">
        <f>IF(AND($F118&lt;&gt;"", $F118&gt;=P$5-4, $F118&lt;=P$5, COUNTIF($M118:O118,"u")=0), "u", "")</f>
        <v/>
      </c>
      <c r="Q118" s="80" t="str">
        <f>IF(AND($F118&lt;&gt;"", $F118&gt;=Q$5-4, $F118&lt;=Q$5, COUNTIF($M118:P118,"u")=0), "u", "")</f>
        <v/>
      </c>
      <c r="R118" s="80" t="str">
        <f>IF(AND($F118&lt;&gt;"", $F118&gt;=R$5-4, $F118&lt;=R$5, COUNTIF($M118:Q118,"u")=0), "u", "")</f>
        <v/>
      </c>
      <c r="S118" s="80" t="str">
        <f>IF(AND($F118&lt;&gt;"", $F118&gt;=S$5-4, $F118&lt;=S$5, COUNTIF($M118:R118,"u")=0), "u", "")</f>
        <v/>
      </c>
      <c r="T118" s="80" t="str">
        <f>IF(AND($F118&lt;&gt;"", $F118&gt;=T$5-4, $F118&lt;=T$5, COUNTIF($M118:S118,"u")=0), "u", "")</f>
        <v/>
      </c>
      <c r="U118" s="80" t="str">
        <f>IF(AND($F118&lt;&gt;"", $F118&gt;=U$5-4, $F118&lt;=U$5, COUNTIF($M118:T118,"u")=0), "u", "")</f>
        <v/>
      </c>
      <c r="V118" s="80" t="str">
        <f>IF(AND($F118&lt;&gt;"", $F118&gt;=V$5-4, $F118&lt;=V$5, COUNTIF($M118:U118,"u")=0), "u", "")</f>
        <v/>
      </c>
      <c r="W118" s="80" t="str">
        <f>IF(AND($F118&lt;&gt;"", $F118&gt;=W$5-4, $F118&lt;=W$5, COUNTIF($M118:V118,"u")=0), "u", "")</f>
        <v/>
      </c>
      <c r="X118" s="80" t="str">
        <f>IF(AND($F118&lt;&gt;"", $F118&gt;=X$5-4, $F118&lt;=X$5, COUNTIF($M118:W118,"u")=0), "u", "")</f>
        <v/>
      </c>
      <c r="Y118" s="80" t="str">
        <f>IF(AND($F118&lt;&gt;"", $F118&gt;=Y$5-4, $F118&lt;=Y$5, COUNTIF($M118:X118,"u")=0), "u", "")</f>
        <v/>
      </c>
      <c r="Z118" s="80" t="str">
        <f>IF(AND($F118&lt;&gt;"", $F118&gt;=Z$5-4, $F118&lt;=Z$5, COUNTIF($M118:Y118,"u")=0), "u", "")</f>
        <v/>
      </c>
      <c r="AA118" s="80" t="str">
        <f>IF(AND($F118&lt;&gt;"", $F118&gt;=AA$5-4, $F118&lt;=AA$5, COUNTIF($M118:Z118,"u")=0), "u", "")</f>
        <v/>
      </c>
      <c r="AB118" s="80" t="str">
        <f>IF(AND($F118&lt;&gt;"", $F118&gt;=AB$5-4, $F118&lt;=AB$5, COUNTIF($M118:AA118,"u")=0), "u", "")</f>
        <v/>
      </c>
      <c r="AC118" s="80" t="str">
        <f>IF(AND($F118&lt;&gt;"", $F118&gt;=AC$5-4, $F118&lt;=AC$5, COUNTIF($M118:AB118,"u")=0), "u", "")</f>
        <v/>
      </c>
      <c r="AD118" s="80" t="str">
        <f>IF(AND($F118&lt;&gt;"", $F118&gt;=AD$5-4, $F118&lt;=AD$5, COUNTIF($M118:AC118,"u")=0), "u", "")</f>
        <v/>
      </c>
      <c r="AE118" s="80" t="str">
        <f>IF(AND($F118&lt;&gt;"", $F118&gt;=AE$5-4, $F118&lt;=AE$5, COUNTIF($M118:AD118,"u")=0), "u", "")</f>
        <v/>
      </c>
      <c r="AF118" s="80" t="str">
        <f>IF(AND($F118&lt;&gt;"", $F118&gt;=AF$5-4, $F118&lt;=AF$5, COUNTIF($M118:AE118,"u")=0), "u", "")</f>
        <v/>
      </c>
      <c r="AG118" s="80" t="str">
        <f>IF(AND($F118&lt;&gt;"", $F118&gt;=AG$5-4, $F118&lt;=AG$5, COUNTIF($M118:AF118,"u")=0), "u", "")</f>
        <v/>
      </c>
      <c r="AH118" s="80" t="str">
        <f>IF(AND($F118&lt;&gt;"", $F118&gt;=AH$5-4, $F118&lt;=AH$5, COUNTIF($M118:AG118,"u")=0), "u", "")</f>
        <v/>
      </c>
      <c r="AI118" s="80" t="str">
        <f>IF(AND($F118&lt;&gt;"", $F118&gt;=AI$5-4, $F118&lt;=AI$5, COUNTIF($M118:AH118,"u")=0), "u", "")</f>
        <v/>
      </c>
      <c r="AJ118" s="80" t="str">
        <f>IF(AND($F118&lt;&gt;"", $F118&gt;=AJ$5-4, $F118&lt;=AJ$5, COUNTIF($M118:AI118,"u")=0), "u", "")</f>
        <v/>
      </c>
      <c r="AK118" s="80" t="str">
        <f>IF(AND($F118&lt;&gt;"", $F118&gt;=AK$5-4, $F118&lt;=AK$5, COUNTIF($M118:AJ118,"u")=0), "u", "")</f>
        <v/>
      </c>
      <c r="AL118" s="80" t="str">
        <f>IF(AND($F118&lt;&gt;"", $F118&gt;=AL$5-4, $F118&lt;=AL$5, COUNTIF($M118:AK118,"u")=0), "u", "")</f>
        <v/>
      </c>
      <c r="AM118" s="80" t="str">
        <f>IF(AND($F118&lt;&gt;"", $F118&gt;=AM$5-4, $F118&lt;=AM$5, COUNTIF($M118:AL118,"u")=0), "u", "")</f>
        <v/>
      </c>
      <c r="AN118" s="80" t="str">
        <f>IF(AND($F118&lt;&gt;"", $F118&gt;=AN$5-4, $F118&lt;=AN$5, COUNTIF($M118:AM118,"u")=0), "u", "")</f>
        <v/>
      </c>
      <c r="AO118" s="80" t="str">
        <f>IF(AND($F118&lt;&gt;"", $F118&gt;=AO$5-4, $F118&lt;=AO$5, COUNTIF($M118:AN118,"u")=0), "u", "")</f>
        <v/>
      </c>
      <c r="AP118" s="80" t="str">
        <f>IF(AND($F118&lt;&gt;"", $F118&gt;=AP$5-4, $F118&lt;=AP$5, COUNTIF($M118:AO118,"u")=0), "u", "")</f>
        <v/>
      </c>
      <c r="AQ118" s="80" t="str">
        <f>IF(AND($F118&lt;&gt;"", $F118&gt;=AQ$5-4, $F118&lt;=AQ$5, COUNTIF($M118:AP118,"u")=0), "u", "")</f>
        <v/>
      </c>
      <c r="AR118" s="80" t="str">
        <f>IF(AND($F118&lt;&gt;"", $F118&gt;=AR$5-4, $F118&lt;=AR$5, COUNTIF($M118:AQ118,"u")=0), "u", "")</f>
        <v/>
      </c>
      <c r="AS118" s="80" t="str">
        <f>IF(AND($F118&lt;&gt;"", $F118&gt;=AS$5-4, $F118&lt;=AS$5, COUNTIF($M118:AR118,"u")=0), "u", "")</f>
        <v/>
      </c>
      <c r="AT118" s="80" t="str">
        <f>IF(AND($F118&lt;&gt;"", $F118&gt;=AT$5-4, $F118&lt;=AT$5, COUNTIF($M118:AS118,"u")=0), "u", "")</f>
        <v/>
      </c>
      <c r="AU118" s="80" t="str">
        <f>IF(AND($F118&lt;&gt;"", $F118&gt;=AU$5-4, $F118&lt;=AU$5, COUNTIF($M118:AT118,"u")=0), "u", "")</f>
        <v/>
      </c>
      <c r="AV118" s="80" t="str">
        <f>IF(AND($F118&lt;&gt;"", $F118&gt;=AV$5-4, $F118&lt;=AV$5, COUNTIF($M118:AU118,"u")=0), "u", "")</f>
        <v/>
      </c>
      <c r="AW118" s="80" t="str">
        <f>IF(AND($F118&lt;&gt;"", $F118&gt;=AW$5-4, $F118&lt;=AW$5, COUNTIF($M118:AV118,"u")=0), "u", "")</f>
        <v/>
      </c>
      <c r="AX118" s="80" t="str">
        <f>IF(AND($F118&lt;&gt;"", $F118&gt;=AX$5-4, $F118&lt;=AX$5, COUNTIF($M118:AW118,"u")=0), "u", "")</f>
        <v/>
      </c>
      <c r="AY118" s="80" t="str">
        <f>IF(AND($F118&lt;&gt;"", $F118&gt;=AY$5-4, $F118&lt;=AY$5, COUNTIF($M118:AX118,"u")=0), "u", "")</f>
        <v/>
      </c>
      <c r="AZ118" s="80" t="str">
        <f>IF(AND($F118&lt;&gt;"", $F118&gt;=AZ$5-4, $F118&lt;=AZ$5, COUNTIF($M118:AY118,"u")=0), "u", "")</f>
        <v/>
      </c>
      <c r="BA118" s="80" t="str">
        <f>IF(AND($F118&lt;&gt;"", $F118&gt;=BA$5-4, $F118&lt;=BA$5, COUNTIF($M118:AZ118,"u")=0), "u", "")</f>
        <v/>
      </c>
      <c r="BB118" s="80" t="str">
        <f>IF(AND($F118&lt;&gt;"", $F118&gt;=BB$5-4, $F118&lt;=BB$5, COUNTIF($M118:BA118,"u")=0), "u", "")</f>
        <v/>
      </c>
      <c r="BC118" s="80" t="str">
        <f>IF(AND($F118&lt;&gt;"", $F118&gt;=BC$5-4, $F118&lt;=BC$5, COUNTIF($M118:BB118,"u")=0), "u", "")</f>
        <v/>
      </c>
      <c r="BD118" s="80" t="str">
        <f>IF(AND($F118&lt;&gt;"", $F118&gt;=BD$5-4, $F118&lt;=BD$5, COUNTIF($M118:BC118,"u")=0), "u", "")</f>
        <v/>
      </c>
      <c r="BE118" s="80" t="str">
        <f>IF(AND($F118&lt;&gt;"", $F118&gt;=BE$5-4, $F118&lt;=BE$5, COUNTIF($M118:BD118,"u")=0), "u", "")</f>
        <v/>
      </c>
      <c r="BF118" s="80" t="str">
        <f>IF(AND($F118&lt;&gt;"", $F118&gt;=BF$5-4, $F118&lt;=BF$5, COUNTIF($M118:BE118,"u")=0), "u", "")</f>
        <v/>
      </c>
      <c r="BG118" s="80" t="str">
        <f>IF(AND($F118&lt;&gt;"", $F118&gt;=BG$5-4, $F118&lt;=BG$5, COUNTIF($M118:BF118,"u")=0), "u", "")</f>
        <v/>
      </c>
      <c r="BH118" s="80" t="str">
        <f>IF(AND($F118&lt;&gt;"", $F118&gt;=BH$5-4, $F118&lt;=BH$5, COUNTIF($M118:BG118,"u")=0), "u", "")</f>
        <v/>
      </c>
      <c r="BI118" s="80" t="str">
        <f>IF(AND($F118&lt;&gt;"", $F118&gt;=BI$5-4, $F118&lt;=BI$5, COUNTIF($M118:BH118,"u")=0), "u", "")</f>
        <v/>
      </c>
      <c r="BJ118" s="80" t="str">
        <f>IF(AND($F118&lt;&gt;"", $F118&gt;=BJ$5-4, $F118&lt;=BJ$5, COUNTIF($M118:BI118,"u")=0), "u", "")</f>
        <v/>
      </c>
      <c r="BK118" s="80" t="str">
        <f>IF(AND($F118&lt;&gt;"", $F118&gt;=BK$5-4, $F118&lt;=BK$5, COUNTIF($M118:BJ118,"u")=0), "u", "")</f>
        <v/>
      </c>
      <c r="BL118" s="80" t="str">
        <f>IF(AND($F118&lt;&gt;"", $F118&gt;=BL$5-4, $F118&lt;=BL$5, COUNTIF($M118:BK118,"u")=0), "u", "")</f>
        <v/>
      </c>
      <c r="BM118" s="80" t="str">
        <f>IF(AND($F118&lt;&gt;"", $F118&gt;=BM$5-4, $F118&lt;=BM$5, COUNTIF($M118:BL118,"u")=0), "u", "")</f>
        <v/>
      </c>
      <c r="BN118" s="80" t="str">
        <f>IF(AND($F118&lt;&gt;"", $F118&gt;=BN$5-4, $F118&lt;=BN$5, COUNTIF($M118:BM118,"u")=0), "u", "")</f>
        <v/>
      </c>
      <c r="BO118" s="80" t="str">
        <f>IF(AND($F118&lt;&gt;"", $F118&gt;=BO$5-4, $F118&lt;=BO$5, COUNTIF($M118:BN118,"u")=0), "u", "")</f>
        <v/>
      </c>
      <c r="BP118" s="80" t="str">
        <f>IF(AND($F118&lt;&gt;"", $F118&gt;=BP$5-4, $F118&lt;=BP$5, COUNTIF($M118:BO118,"u")=0), "u", "")</f>
        <v/>
      </c>
      <c r="BQ118" s="80" t="str">
        <f>IF(AND($F118&lt;&gt;"", $F118&gt;=BQ$5-4, $F118&lt;=BQ$5, COUNTIF($M118:BP118,"u")=0), "u", "")</f>
        <v/>
      </c>
      <c r="BR118" s="80" t="str">
        <f>IF(AND($F118&lt;&gt;"", $F118&gt;=BR$5-4, $F118&lt;=BR$5, COUNTIF($M118:BQ118,"u")=0), "u", "")</f>
        <v/>
      </c>
      <c r="BS118" s="80" t="str">
        <f>IF(AND($F118&lt;&gt;"", $F118&gt;=BS$5-4, $F118&lt;=BS$5, COUNTIF($M118:BR118,"u")=0), "u", "")</f>
        <v/>
      </c>
      <c r="BT118" s="80" t="str">
        <f>IF(AND($F118&lt;&gt;"", $F118&gt;=BT$5-4, $F118&lt;=BT$5, COUNTIF($M118:BS118,"u")=0), "u", "")</f>
        <v/>
      </c>
      <c r="BU118" s="80" t="str">
        <f>IF(AND($F118&lt;&gt;"", $F118&gt;=BU$5-4, $F118&lt;=BU$5, COUNTIF($M118:BT118,"u")=0), "u", "")</f>
        <v/>
      </c>
      <c r="BV118" s="80" t="str">
        <f>IF(AND($F118&lt;&gt;"", $F118&gt;=BV$5-4, $F118&lt;=BV$5, COUNTIF($M118:BU118,"u")=0), "u", "")</f>
        <v/>
      </c>
      <c r="BW118" s="80" t="str">
        <f>IF(AND($F118&lt;&gt;"", $F118&gt;=BW$5-4, $F118&lt;=BW$5, COUNTIF($M118:BV118,"u")=0), "u", "")</f>
        <v/>
      </c>
      <c r="BX118" s="80" t="str">
        <f>IF(AND($F118&lt;&gt;"", $F118&gt;=BX$5-4, $F118&lt;=BX$5, COUNTIF($M118:BW118,"u")=0), "u", "")</f>
        <v/>
      </c>
      <c r="BY118" s="80" t="str">
        <f>IF(AND($F118&lt;&gt;"", $F118&gt;=BY$5-4, $F118&lt;=BY$5, COUNTIF($M118:BX118,"u")=0), "u", "")</f>
        <v/>
      </c>
      <c r="BZ118" s="80" t="str">
        <f>IF(AND($F118&lt;&gt;"", $F118&gt;=BZ$5-4, $F118&lt;=BZ$5, COUNTIF($M118:BY118,"u")=0), "u", "")</f>
        <v/>
      </c>
      <c r="CA118" s="80" t="str">
        <f>IF(AND($F118&lt;&gt;"", $F118&gt;=CA$5-4, $F118&lt;=CA$5, COUNTIF($M118:BZ118,"u")=0), "u", "")</f>
        <v/>
      </c>
      <c r="CB118" s="80" t="str">
        <f>IF(AND($F118&lt;&gt;"", $F118&gt;=CB$5-4, $F118&lt;=CB$5, COUNTIF($M118:CA118,"u")=0), "u", "")</f>
        <v/>
      </c>
      <c r="CC118" s="80" t="str">
        <f>IF(AND($F118&lt;&gt;"", $F118&gt;=CC$5-4, $F118&lt;=CC$5, COUNTIF($M118:CB118,"u")=0), "u", "")</f>
        <v/>
      </c>
      <c r="CD118" s="80" t="str">
        <f>IF(AND($F118&lt;&gt;"", $F118&gt;=CD$5-4, $F118&lt;=CD$5, COUNTIF($M118:CC118,"u")=0), "u", "")</f>
        <v/>
      </c>
      <c r="CE118" s="80" t="str">
        <f>IF(AND($F118&lt;&gt;"", $F118&gt;=CE$5-4, $F118&lt;=CE$5, COUNTIF($M118:CD118,"u")=0), "u", "")</f>
        <v/>
      </c>
      <c r="CF118" s="80" t="str">
        <f>IF(AND($F118&lt;&gt;"", $F118&gt;=CF$5-4, $F118&lt;=CF$5, COUNTIF($M118:CE118,"u")=0), "u", "")</f>
        <v/>
      </c>
      <c r="CG118" s="80" t="str">
        <f>IF(AND($F118&lt;&gt;"", $F118&gt;=CG$5-4, $F118&lt;=CG$5, COUNTIF($M118:CF118,"u")=0), "u", "")</f>
        <v/>
      </c>
      <c r="CH118" s="80" t="str">
        <f>IF(AND($F118&lt;&gt;"", $F118&gt;=CH$5-4, $F118&lt;=CH$5, COUNTIF($M118:CG118,"u")=0), "u", "")</f>
        <v/>
      </c>
      <c r="CI118" s="80" t="str">
        <f>IF(AND($F118&lt;&gt;"", $F118&gt;=CI$5-4, $F118&lt;=CI$5, COUNTIF($M118:CH118,"u")=0), "u", "")</f>
        <v/>
      </c>
      <c r="CJ118" s="80" t="str">
        <f>IF(AND($F118&lt;&gt;"", $F118&gt;=CJ$5-4, $F118&lt;=CJ$5, COUNTIF($M118:CI118,"u")=0), "u", "")</f>
        <v/>
      </c>
      <c r="CK118" s="80" t="str">
        <f>IF(AND($F118&lt;&gt;"", $F118&gt;=CK$5-4, $F118&lt;=CK$5, COUNTIF($M118:CJ118,"u")=0), "u", "")</f>
        <v/>
      </c>
      <c r="CL118" s="80" t="str">
        <f>IF(AND($F118&lt;&gt;"", $F118&gt;=CL$5-4, $F118&lt;=CL$5, COUNTIF($M118:CK118,"u")=0), "u", "")</f>
        <v/>
      </c>
      <c r="CM118" s="80" t="str">
        <f>IF(AND($F118&lt;&gt;"", $F118&gt;=CM$5-4, $F118&lt;=CM$5, COUNTIF($M118:CL118,"u")=0), "u", "")</f>
        <v/>
      </c>
      <c r="CN118" s="80" t="str">
        <f>IF(AND($F118&lt;&gt;"", $F118&gt;=CN$5-4, $F118&lt;=CN$5, COUNTIF($M118:CM118,"u")=0), "u", "")</f>
        <v/>
      </c>
      <c r="CO118" s="80" t="str">
        <f>IF(AND($F118&lt;&gt;"", $F118&gt;=CO$5-4, $F118&lt;=CO$5, COUNTIF($M118:CN118,"u")=0), "u", "")</f>
        <v/>
      </c>
      <c r="CP118" s="80" t="str">
        <f>IF(AND($F118&lt;&gt;"", $F118&gt;=CP$5-4, $F118&lt;=CP$5, COUNTIF($M118:CO118,"u")=0), "u", "")</f>
        <v/>
      </c>
      <c r="CQ118" s="80" t="str">
        <f>IF(AND($F118&lt;&gt;"", $F118&gt;=CQ$5-4, $F118&lt;=CQ$5, COUNTIF($M118:CP118,"u")=0), "u", "")</f>
        <v/>
      </c>
      <c r="CR118" s="80" t="str">
        <f>IF(AND($F118&lt;&gt;"", $F118&gt;=CR$5-4, $F118&lt;=CR$5, COUNTIF($M118:CQ118,"u")=0), "u", "")</f>
        <v/>
      </c>
      <c r="CS118" s="80" t="str">
        <f>IF(AND($F118&lt;&gt;"", $F118&gt;=CS$5-4, $F118&lt;=CS$5, COUNTIF($M118:CR118,"u")=0), "u", "")</f>
        <v/>
      </c>
      <c r="CT118" s="80" t="str">
        <f>IF(AND($F118&lt;&gt;"", $F118&gt;=CT$5-4, $F118&lt;=CT$5, COUNTIF($M118:CS118,"u")=0), "u", "")</f>
        <v/>
      </c>
      <c r="CU118" s="80" t="str">
        <f>IF(AND($F118&lt;&gt;"", $F118&gt;=CU$5-4, $F118&lt;=CU$5, COUNTIF($M118:CT118,"u")=0), "u", "")</f>
        <v/>
      </c>
      <c r="CV118" s="80" t="str">
        <f>IF(AND($F118&lt;&gt;"", $F118&gt;=CV$5-4, $F118&lt;=CV$5, COUNTIF($M118:CU118,"u")=0), "u", "")</f>
        <v/>
      </c>
      <c r="CW118" s="80" t="str">
        <f>IF(AND($F118&lt;&gt;"", $F118&gt;=CW$5-4, $F118&lt;=CW$5, COUNTIF($M118:CV118,"u")=0), "u", "")</f>
        <v/>
      </c>
      <c r="CX118" s="80" t="str">
        <f>IF(AND($F118&lt;&gt;"", $F118&gt;=CX$5-4, $F118&lt;=CX$5, COUNTIF($M118:CW118,"u")=0), "u", "")</f>
        <v/>
      </c>
      <c r="CY118" s="80" t="str">
        <f>IF(AND($F118&lt;&gt;"", $F118&gt;=CY$5-4, $F118&lt;=CY$5, COUNTIF($M118:CX118,"u")=0), "u", "")</f>
        <v/>
      </c>
      <c r="CZ118" s="80" t="str">
        <f>IF(AND($F118&lt;&gt;"", $F118&gt;=CZ$5-4, $F118&lt;=CZ$5, COUNTIF($M118:CY118,"u")=0), "u", "")</f>
        <v/>
      </c>
      <c r="DA118" s="80" t="str">
        <f>IF(AND($F118&lt;&gt;"", $F118&gt;=DA$5-4, $F118&lt;=DA$5, COUNTIF($M118:CZ118,"u")=0), "u", "")</f>
        <v/>
      </c>
      <c r="DB118" s="80" t="str">
        <f>IF(AND($F118&lt;&gt;"", $F118&gt;=DB$5-4, $F118&lt;=DB$5, COUNTIF($M118:DA118,"u")=0), "u", "")</f>
        <v/>
      </c>
      <c r="DC118" s="80" t="str">
        <f>IF(AND($F118&lt;&gt;"", $F118&gt;=DC$5-4, $F118&lt;=DC$5, COUNTIF($M118:DB118,"u")=0), "u", "")</f>
        <v/>
      </c>
      <c r="DD118" s="80" t="str">
        <f>IF(AND($F118&lt;&gt;"", $F118&gt;=DD$5-4, $F118&lt;=DD$5, COUNTIF($M118:DC118,"u")=0), "u", "")</f>
        <v/>
      </c>
      <c r="DE118" s="80" t="str">
        <f>IF(AND($F118&lt;&gt;"", $F118&gt;=DE$5-4, $F118&lt;=DE$5, COUNTIF($M118:DD118,"u")=0), "u", "")</f>
        <v/>
      </c>
      <c r="DF118" s="80" t="str">
        <f>IF(AND($F118&lt;&gt;"", $F118&gt;=DF$5-4, $F118&lt;=DF$5, COUNTIF($M118:DE118,"u")=0), "u", "")</f>
        <v/>
      </c>
      <c r="DG118" s="80" t="str">
        <f>IF(AND($F118&lt;&gt;"", $F118&gt;=DG$5-4, $F118&lt;=DG$5, COUNTIF($M118:DF118,"u")=0), "u", "")</f>
        <v/>
      </c>
      <c r="DH118" s="80" t="str">
        <f>IF(AND($F118&lt;&gt;"", $F118&gt;=DH$5-4, $F118&lt;=DH$5, COUNTIF($M118:DG118,"u")=0), "u", "")</f>
        <v/>
      </c>
      <c r="DI118" s="80" t="str">
        <f>IF(AND($F118&lt;&gt;"", $F118&gt;=DI$5-4, $F118&lt;=DI$5, COUNTIF($M118:DH118,"u")=0), "u", "")</f>
        <v/>
      </c>
      <c r="DJ118" s="80" t="str">
        <f>IF(AND($F118&lt;&gt;"", $F118&gt;=DJ$5-4, $F118&lt;=DJ$5, COUNTIF($M118:DI118,"u")=0), "u", "")</f>
        <v/>
      </c>
      <c r="DK118" s="80" t="str">
        <f>IF(AND($F118&lt;&gt;"", $F118&gt;=DK$5-4, $F118&lt;=DK$5, COUNTIF($M118:DJ118,"u")=0), "u", "")</f>
        <v/>
      </c>
      <c r="DL118" s="80" t="str">
        <f>IF(AND($F118&lt;&gt;"", $F118&gt;=DL$5-4, $F118&lt;=DL$5, COUNTIF($M118:DK118,"u")=0), "u", "")</f>
        <v/>
      </c>
    </row>
    <row r="119" spans="1:116" ht="25.05" customHeight="1" x14ac:dyDescent="0.3">
      <c r="A119" s="39"/>
      <c r="B119" s="75">
        <v>114</v>
      </c>
      <c r="C119" s="97"/>
      <c r="D119" s="92"/>
      <c r="E119" s="53"/>
      <c r="F119" s="53"/>
      <c r="G119" s="83" t="str">
        <f t="shared" si="50"/>
        <v/>
      </c>
      <c r="H119" s="83" t="str">
        <f t="shared" si="50"/>
        <v/>
      </c>
      <c r="I119" s="77" t="str">
        <f t="shared" si="48"/>
        <v/>
      </c>
      <c r="J119" s="78"/>
      <c r="K119" s="86"/>
      <c r="L119" s="56"/>
      <c r="M119" s="80" t="str">
        <f t="shared" si="49"/>
        <v/>
      </c>
      <c r="N119" s="80" t="str">
        <f>IF(AND($F119&lt;&gt;"", $F119&gt;=N$5-4, $F119&lt;=N$5, COUNTIF($M119:M119,"u")=0), "u", "")</f>
        <v/>
      </c>
      <c r="O119" s="80" t="str">
        <f>IF(AND($F119&lt;&gt;"", $F119&gt;=O$5-4, $F119&lt;=O$5, COUNTIF($M119:N119,"u")=0), "u", "")</f>
        <v/>
      </c>
      <c r="P119" s="80" t="str">
        <f>IF(AND($F119&lt;&gt;"", $F119&gt;=P$5-4, $F119&lt;=P$5, COUNTIF($M119:O119,"u")=0), "u", "")</f>
        <v/>
      </c>
      <c r="Q119" s="80" t="str">
        <f>IF(AND($F119&lt;&gt;"", $F119&gt;=Q$5-4, $F119&lt;=Q$5, COUNTIF($M119:P119,"u")=0), "u", "")</f>
        <v/>
      </c>
      <c r="R119" s="80" t="str">
        <f>IF(AND($F119&lt;&gt;"", $F119&gt;=R$5-4, $F119&lt;=R$5, COUNTIF($M119:Q119,"u")=0), "u", "")</f>
        <v/>
      </c>
      <c r="S119" s="80" t="str">
        <f>IF(AND($F119&lt;&gt;"", $F119&gt;=S$5-4, $F119&lt;=S$5, COUNTIF($M119:R119,"u")=0), "u", "")</f>
        <v/>
      </c>
      <c r="T119" s="80" t="str">
        <f>IF(AND($F119&lt;&gt;"", $F119&gt;=T$5-4, $F119&lt;=T$5, COUNTIF($M119:S119,"u")=0), "u", "")</f>
        <v/>
      </c>
      <c r="U119" s="80" t="str">
        <f>IF(AND($F119&lt;&gt;"", $F119&gt;=U$5-4, $F119&lt;=U$5, COUNTIF($M119:T119,"u")=0), "u", "")</f>
        <v/>
      </c>
      <c r="V119" s="80" t="str">
        <f>IF(AND($F119&lt;&gt;"", $F119&gt;=V$5-4, $F119&lt;=V$5, COUNTIF($M119:U119,"u")=0), "u", "")</f>
        <v/>
      </c>
      <c r="W119" s="80" t="str">
        <f>IF(AND($F119&lt;&gt;"", $F119&gt;=W$5-4, $F119&lt;=W$5, COUNTIF($M119:V119,"u")=0), "u", "")</f>
        <v/>
      </c>
      <c r="X119" s="80" t="str">
        <f>IF(AND($F119&lt;&gt;"", $F119&gt;=X$5-4, $F119&lt;=X$5, COUNTIF($M119:W119,"u")=0), "u", "")</f>
        <v/>
      </c>
      <c r="Y119" s="80" t="str">
        <f>IF(AND($F119&lt;&gt;"", $F119&gt;=Y$5-4, $F119&lt;=Y$5, COUNTIF($M119:X119,"u")=0), "u", "")</f>
        <v/>
      </c>
      <c r="Z119" s="80" t="str">
        <f>IF(AND($F119&lt;&gt;"", $F119&gt;=Z$5-4, $F119&lt;=Z$5, COUNTIF($M119:Y119,"u")=0), "u", "")</f>
        <v/>
      </c>
      <c r="AA119" s="80" t="str">
        <f>IF(AND($F119&lt;&gt;"", $F119&gt;=AA$5-4, $F119&lt;=AA$5, COUNTIF($M119:Z119,"u")=0), "u", "")</f>
        <v/>
      </c>
      <c r="AB119" s="80" t="str">
        <f>IF(AND($F119&lt;&gt;"", $F119&gt;=AB$5-4, $F119&lt;=AB$5, COUNTIF($M119:AA119,"u")=0), "u", "")</f>
        <v/>
      </c>
      <c r="AC119" s="80" t="str">
        <f>IF(AND($F119&lt;&gt;"", $F119&gt;=AC$5-4, $F119&lt;=AC$5, COUNTIF($M119:AB119,"u")=0), "u", "")</f>
        <v/>
      </c>
      <c r="AD119" s="80" t="str">
        <f>IF(AND($F119&lt;&gt;"", $F119&gt;=AD$5-4, $F119&lt;=AD$5, COUNTIF($M119:AC119,"u")=0), "u", "")</f>
        <v/>
      </c>
      <c r="AE119" s="80" t="str">
        <f>IF(AND($F119&lt;&gt;"", $F119&gt;=AE$5-4, $F119&lt;=AE$5, COUNTIF($M119:AD119,"u")=0), "u", "")</f>
        <v/>
      </c>
      <c r="AF119" s="80" t="str">
        <f>IF(AND($F119&lt;&gt;"", $F119&gt;=AF$5-4, $F119&lt;=AF$5, COUNTIF($M119:AE119,"u")=0), "u", "")</f>
        <v/>
      </c>
      <c r="AG119" s="80" t="str">
        <f>IF(AND($F119&lt;&gt;"", $F119&gt;=AG$5-4, $F119&lt;=AG$5, COUNTIF($M119:AF119,"u")=0), "u", "")</f>
        <v/>
      </c>
      <c r="AH119" s="80" t="str">
        <f>IF(AND($F119&lt;&gt;"", $F119&gt;=AH$5-4, $F119&lt;=AH$5, COUNTIF($M119:AG119,"u")=0), "u", "")</f>
        <v/>
      </c>
      <c r="AI119" s="80" t="str">
        <f>IF(AND($F119&lt;&gt;"", $F119&gt;=AI$5-4, $F119&lt;=AI$5, COUNTIF($M119:AH119,"u")=0), "u", "")</f>
        <v/>
      </c>
      <c r="AJ119" s="80" t="str">
        <f>IF(AND($F119&lt;&gt;"", $F119&gt;=AJ$5-4, $F119&lt;=AJ$5, COUNTIF($M119:AI119,"u")=0), "u", "")</f>
        <v/>
      </c>
      <c r="AK119" s="80" t="str">
        <f>IF(AND($F119&lt;&gt;"", $F119&gt;=AK$5-4, $F119&lt;=AK$5, COUNTIF($M119:AJ119,"u")=0), "u", "")</f>
        <v/>
      </c>
      <c r="AL119" s="80" t="str">
        <f>IF(AND($F119&lt;&gt;"", $F119&gt;=AL$5-4, $F119&lt;=AL$5, COUNTIF($M119:AK119,"u")=0), "u", "")</f>
        <v/>
      </c>
      <c r="AM119" s="80" t="str">
        <f>IF(AND($F119&lt;&gt;"", $F119&gt;=AM$5-4, $F119&lt;=AM$5, COUNTIF($M119:AL119,"u")=0), "u", "")</f>
        <v/>
      </c>
      <c r="AN119" s="80" t="str">
        <f>IF(AND($F119&lt;&gt;"", $F119&gt;=AN$5-4, $F119&lt;=AN$5, COUNTIF($M119:AM119,"u")=0), "u", "")</f>
        <v/>
      </c>
      <c r="AO119" s="80" t="str">
        <f>IF(AND($F119&lt;&gt;"", $F119&gt;=AO$5-4, $F119&lt;=AO$5, COUNTIF($M119:AN119,"u")=0), "u", "")</f>
        <v/>
      </c>
      <c r="AP119" s="80" t="str">
        <f>IF(AND($F119&lt;&gt;"", $F119&gt;=AP$5-4, $F119&lt;=AP$5, COUNTIF($M119:AO119,"u")=0), "u", "")</f>
        <v/>
      </c>
      <c r="AQ119" s="80" t="str">
        <f>IF(AND($F119&lt;&gt;"", $F119&gt;=AQ$5-4, $F119&lt;=AQ$5, COUNTIF($M119:AP119,"u")=0), "u", "")</f>
        <v/>
      </c>
      <c r="AR119" s="80" t="str">
        <f>IF(AND($F119&lt;&gt;"", $F119&gt;=AR$5-4, $F119&lt;=AR$5, COUNTIF($M119:AQ119,"u")=0), "u", "")</f>
        <v/>
      </c>
      <c r="AS119" s="80" t="str">
        <f>IF(AND($F119&lt;&gt;"", $F119&gt;=AS$5-4, $F119&lt;=AS$5, COUNTIF($M119:AR119,"u")=0), "u", "")</f>
        <v/>
      </c>
      <c r="AT119" s="80" t="str">
        <f>IF(AND($F119&lt;&gt;"", $F119&gt;=AT$5-4, $F119&lt;=AT$5, COUNTIF($M119:AS119,"u")=0), "u", "")</f>
        <v/>
      </c>
      <c r="AU119" s="80" t="str">
        <f>IF(AND($F119&lt;&gt;"", $F119&gt;=AU$5-4, $F119&lt;=AU$5, COUNTIF($M119:AT119,"u")=0), "u", "")</f>
        <v/>
      </c>
      <c r="AV119" s="80" t="str">
        <f>IF(AND($F119&lt;&gt;"", $F119&gt;=AV$5-4, $F119&lt;=AV$5, COUNTIF($M119:AU119,"u")=0), "u", "")</f>
        <v/>
      </c>
      <c r="AW119" s="80" t="str">
        <f>IF(AND($F119&lt;&gt;"", $F119&gt;=AW$5-4, $F119&lt;=AW$5, COUNTIF($M119:AV119,"u")=0), "u", "")</f>
        <v/>
      </c>
      <c r="AX119" s="80" t="str">
        <f>IF(AND($F119&lt;&gt;"", $F119&gt;=AX$5-4, $F119&lt;=AX$5, COUNTIF($M119:AW119,"u")=0), "u", "")</f>
        <v/>
      </c>
      <c r="AY119" s="80" t="str">
        <f>IF(AND($F119&lt;&gt;"", $F119&gt;=AY$5-4, $F119&lt;=AY$5, COUNTIF($M119:AX119,"u")=0), "u", "")</f>
        <v/>
      </c>
      <c r="AZ119" s="80" t="str">
        <f>IF(AND($F119&lt;&gt;"", $F119&gt;=AZ$5-4, $F119&lt;=AZ$5, COUNTIF($M119:AY119,"u")=0), "u", "")</f>
        <v/>
      </c>
      <c r="BA119" s="80" t="str">
        <f>IF(AND($F119&lt;&gt;"", $F119&gt;=BA$5-4, $F119&lt;=BA$5, COUNTIF($M119:AZ119,"u")=0), "u", "")</f>
        <v/>
      </c>
      <c r="BB119" s="80" t="str">
        <f>IF(AND($F119&lt;&gt;"", $F119&gt;=BB$5-4, $F119&lt;=BB$5, COUNTIF($M119:BA119,"u")=0), "u", "")</f>
        <v/>
      </c>
      <c r="BC119" s="80" t="str">
        <f>IF(AND($F119&lt;&gt;"", $F119&gt;=BC$5-4, $F119&lt;=BC$5, COUNTIF($M119:BB119,"u")=0), "u", "")</f>
        <v/>
      </c>
      <c r="BD119" s="80" t="str">
        <f>IF(AND($F119&lt;&gt;"", $F119&gt;=BD$5-4, $F119&lt;=BD$5, COUNTIF($M119:BC119,"u")=0), "u", "")</f>
        <v/>
      </c>
      <c r="BE119" s="80" t="str">
        <f>IF(AND($F119&lt;&gt;"", $F119&gt;=BE$5-4, $F119&lt;=BE$5, COUNTIF($M119:BD119,"u")=0), "u", "")</f>
        <v/>
      </c>
      <c r="BF119" s="80" t="str">
        <f>IF(AND($F119&lt;&gt;"", $F119&gt;=BF$5-4, $F119&lt;=BF$5, COUNTIF($M119:BE119,"u")=0), "u", "")</f>
        <v/>
      </c>
      <c r="BG119" s="80" t="str">
        <f>IF(AND($F119&lt;&gt;"", $F119&gt;=BG$5-4, $F119&lt;=BG$5, COUNTIF($M119:BF119,"u")=0), "u", "")</f>
        <v/>
      </c>
      <c r="BH119" s="80" t="str">
        <f>IF(AND($F119&lt;&gt;"", $F119&gt;=BH$5-4, $F119&lt;=BH$5, COUNTIF($M119:BG119,"u")=0), "u", "")</f>
        <v/>
      </c>
      <c r="BI119" s="80" t="str">
        <f>IF(AND($F119&lt;&gt;"", $F119&gt;=BI$5-4, $F119&lt;=BI$5, COUNTIF($M119:BH119,"u")=0), "u", "")</f>
        <v/>
      </c>
      <c r="BJ119" s="80" t="str">
        <f>IF(AND($F119&lt;&gt;"", $F119&gt;=BJ$5-4, $F119&lt;=BJ$5, COUNTIF($M119:BI119,"u")=0), "u", "")</f>
        <v/>
      </c>
      <c r="BK119" s="80" t="str">
        <f>IF(AND($F119&lt;&gt;"", $F119&gt;=BK$5-4, $F119&lt;=BK$5, COUNTIF($M119:BJ119,"u")=0), "u", "")</f>
        <v/>
      </c>
      <c r="BL119" s="80" t="str">
        <f>IF(AND($F119&lt;&gt;"", $F119&gt;=BL$5-4, $F119&lt;=BL$5, COUNTIF($M119:BK119,"u")=0), "u", "")</f>
        <v/>
      </c>
      <c r="BM119" s="80" t="str">
        <f>IF(AND($F119&lt;&gt;"", $F119&gt;=BM$5-4, $F119&lt;=BM$5, COUNTIF($M119:BL119,"u")=0), "u", "")</f>
        <v/>
      </c>
      <c r="BN119" s="80" t="str">
        <f>IF(AND($F119&lt;&gt;"", $F119&gt;=BN$5-4, $F119&lt;=BN$5, COUNTIF($M119:BM119,"u")=0), "u", "")</f>
        <v/>
      </c>
      <c r="BO119" s="80" t="str">
        <f>IF(AND($F119&lt;&gt;"", $F119&gt;=BO$5-4, $F119&lt;=BO$5, COUNTIF($M119:BN119,"u")=0), "u", "")</f>
        <v/>
      </c>
      <c r="BP119" s="80" t="str">
        <f>IF(AND($F119&lt;&gt;"", $F119&gt;=BP$5-4, $F119&lt;=BP$5, COUNTIF($M119:BO119,"u")=0), "u", "")</f>
        <v/>
      </c>
      <c r="BQ119" s="80" t="str">
        <f>IF(AND($F119&lt;&gt;"", $F119&gt;=BQ$5-4, $F119&lt;=BQ$5, COUNTIF($M119:BP119,"u")=0), "u", "")</f>
        <v/>
      </c>
      <c r="BR119" s="80" t="str">
        <f>IF(AND($F119&lt;&gt;"", $F119&gt;=BR$5-4, $F119&lt;=BR$5, COUNTIF($M119:BQ119,"u")=0), "u", "")</f>
        <v/>
      </c>
      <c r="BS119" s="80" t="str">
        <f>IF(AND($F119&lt;&gt;"", $F119&gt;=BS$5-4, $F119&lt;=BS$5, COUNTIF($M119:BR119,"u")=0), "u", "")</f>
        <v/>
      </c>
      <c r="BT119" s="80" t="str">
        <f>IF(AND($F119&lt;&gt;"", $F119&gt;=BT$5-4, $F119&lt;=BT$5, COUNTIF($M119:BS119,"u")=0), "u", "")</f>
        <v/>
      </c>
      <c r="BU119" s="80" t="str">
        <f>IF(AND($F119&lt;&gt;"", $F119&gt;=BU$5-4, $F119&lt;=BU$5, COUNTIF($M119:BT119,"u")=0), "u", "")</f>
        <v/>
      </c>
      <c r="BV119" s="80" t="str">
        <f>IF(AND($F119&lt;&gt;"", $F119&gt;=BV$5-4, $F119&lt;=BV$5, COUNTIF($M119:BU119,"u")=0), "u", "")</f>
        <v/>
      </c>
      <c r="BW119" s="80" t="str">
        <f>IF(AND($F119&lt;&gt;"", $F119&gt;=BW$5-4, $F119&lt;=BW$5, COUNTIF($M119:BV119,"u")=0), "u", "")</f>
        <v/>
      </c>
      <c r="BX119" s="80" t="str">
        <f>IF(AND($F119&lt;&gt;"", $F119&gt;=BX$5-4, $F119&lt;=BX$5, COUNTIF($M119:BW119,"u")=0), "u", "")</f>
        <v/>
      </c>
      <c r="BY119" s="80" t="str">
        <f>IF(AND($F119&lt;&gt;"", $F119&gt;=BY$5-4, $F119&lt;=BY$5, COUNTIF($M119:BX119,"u")=0), "u", "")</f>
        <v/>
      </c>
      <c r="BZ119" s="80" t="str">
        <f>IF(AND($F119&lt;&gt;"", $F119&gt;=BZ$5-4, $F119&lt;=BZ$5, COUNTIF($M119:BY119,"u")=0), "u", "")</f>
        <v/>
      </c>
      <c r="CA119" s="80" t="str">
        <f>IF(AND($F119&lt;&gt;"", $F119&gt;=CA$5-4, $F119&lt;=CA$5, COUNTIF($M119:BZ119,"u")=0), "u", "")</f>
        <v/>
      </c>
      <c r="CB119" s="80" t="str">
        <f>IF(AND($F119&lt;&gt;"", $F119&gt;=CB$5-4, $F119&lt;=CB$5, COUNTIF($M119:CA119,"u")=0), "u", "")</f>
        <v/>
      </c>
      <c r="CC119" s="80" t="str">
        <f>IF(AND($F119&lt;&gt;"", $F119&gt;=CC$5-4, $F119&lt;=CC$5, COUNTIF($M119:CB119,"u")=0), "u", "")</f>
        <v/>
      </c>
      <c r="CD119" s="80" t="str">
        <f>IF(AND($F119&lt;&gt;"", $F119&gt;=CD$5-4, $F119&lt;=CD$5, COUNTIF($M119:CC119,"u")=0), "u", "")</f>
        <v/>
      </c>
      <c r="CE119" s="80" t="str">
        <f>IF(AND($F119&lt;&gt;"", $F119&gt;=CE$5-4, $F119&lt;=CE$5, COUNTIF($M119:CD119,"u")=0), "u", "")</f>
        <v/>
      </c>
      <c r="CF119" s="80" t="str">
        <f>IF(AND($F119&lt;&gt;"", $F119&gt;=CF$5-4, $F119&lt;=CF$5, COUNTIF($M119:CE119,"u")=0), "u", "")</f>
        <v/>
      </c>
      <c r="CG119" s="80" t="str">
        <f>IF(AND($F119&lt;&gt;"", $F119&gt;=CG$5-4, $F119&lt;=CG$5, COUNTIF($M119:CF119,"u")=0), "u", "")</f>
        <v/>
      </c>
      <c r="CH119" s="80" t="str">
        <f>IF(AND($F119&lt;&gt;"", $F119&gt;=CH$5-4, $F119&lt;=CH$5, COUNTIF($M119:CG119,"u")=0), "u", "")</f>
        <v/>
      </c>
      <c r="CI119" s="80" t="str">
        <f>IF(AND($F119&lt;&gt;"", $F119&gt;=CI$5-4, $F119&lt;=CI$5, COUNTIF($M119:CH119,"u")=0), "u", "")</f>
        <v/>
      </c>
      <c r="CJ119" s="80" t="str">
        <f>IF(AND($F119&lt;&gt;"", $F119&gt;=CJ$5-4, $F119&lt;=CJ$5, COUNTIF($M119:CI119,"u")=0), "u", "")</f>
        <v/>
      </c>
      <c r="CK119" s="80" t="str">
        <f>IF(AND($F119&lt;&gt;"", $F119&gt;=CK$5-4, $F119&lt;=CK$5, COUNTIF($M119:CJ119,"u")=0), "u", "")</f>
        <v/>
      </c>
      <c r="CL119" s="80" t="str">
        <f>IF(AND($F119&lt;&gt;"", $F119&gt;=CL$5-4, $F119&lt;=CL$5, COUNTIF($M119:CK119,"u")=0), "u", "")</f>
        <v/>
      </c>
      <c r="CM119" s="80" t="str">
        <f>IF(AND($F119&lt;&gt;"", $F119&gt;=CM$5-4, $F119&lt;=CM$5, COUNTIF($M119:CL119,"u")=0), "u", "")</f>
        <v/>
      </c>
      <c r="CN119" s="80" t="str">
        <f>IF(AND($F119&lt;&gt;"", $F119&gt;=CN$5-4, $F119&lt;=CN$5, COUNTIF($M119:CM119,"u")=0), "u", "")</f>
        <v/>
      </c>
      <c r="CO119" s="80" t="str">
        <f>IF(AND($F119&lt;&gt;"", $F119&gt;=CO$5-4, $F119&lt;=CO$5, COUNTIF($M119:CN119,"u")=0), "u", "")</f>
        <v/>
      </c>
      <c r="CP119" s="80" t="str">
        <f>IF(AND($F119&lt;&gt;"", $F119&gt;=CP$5-4, $F119&lt;=CP$5, COUNTIF($M119:CO119,"u")=0), "u", "")</f>
        <v/>
      </c>
      <c r="CQ119" s="80" t="str">
        <f>IF(AND($F119&lt;&gt;"", $F119&gt;=CQ$5-4, $F119&lt;=CQ$5, COUNTIF($M119:CP119,"u")=0), "u", "")</f>
        <v/>
      </c>
      <c r="CR119" s="80" t="str">
        <f>IF(AND($F119&lt;&gt;"", $F119&gt;=CR$5-4, $F119&lt;=CR$5, COUNTIF($M119:CQ119,"u")=0), "u", "")</f>
        <v/>
      </c>
      <c r="CS119" s="80" t="str">
        <f>IF(AND($F119&lt;&gt;"", $F119&gt;=CS$5-4, $F119&lt;=CS$5, COUNTIF($M119:CR119,"u")=0), "u", "")</f>
        <v/>
      </c>
      <c r="CT119" s="80" t="str">
        <f>IF(AND($F119&lt;&gt;"", $F119&gt;=CT$5-4, $F119&lt;=CT$5, COUNTIF($M119:CS119,"u")=0), "u", "")</f>
        <v/>
      </c>
      <c r="CU119" s="80" t="str">
        <f>IF(AND($F119&lt;&gt;"", $F119&gt;=CU$5-4, $F119&lt;=CU$5, COUNTIF($M119:CT119,"u")=0), "u", "")</f>
        <v/>
      </c>
      <c r="CV119" s="80" t="str">
        <f>IF(AND($F119&lt;&gt;"", $F119&gt;=CV$5-4, $F119&lt;=CV$5, COUNTIF($M119:CU119,"u")=0), "u", "")</f>
        <v/>
      </c>
      <c r="CW119" s="80" t="str">
        <f>IF(AND($F119&lt;&gt;"", $F119&gt;=CW$5-4, $F119&lt;=CW$5, COUNTIF($M119:CV119,"u")=0), "u", "")</f>
        <v/>
      </c>
      <c r="CX119" s="80" t="str">
        <f>IF(AND($F119&lt;&gt;"", $F119&gt;=CX$5-4, $F119&lt;=CX$5, COUNTIF($M119:CW119,"u")=0), "u", "")</f>
        <v/>
      </c>
      <c r="CY119" s="80" t="str">
        <f>IF(AND($F119&lt;&gt;"", $F119&gt;=CY$5-4, $F119&lt;=CY$5, COUNTIF($M119:CX119,"u")=0), "u", "")</f>
        <v/>
      </c>
      <c r="CZ119" s="80" t="str">
        <f>IF(AND($F119&lt;&gt;"", $F119&gt;=CZ$5-4, $F119&lt;=CZ$5, COUNTIF($M119:CY119,"u")=0), "u", "")</f>
        <v/>
      </c>
      <c r="DA119" s="80" t="str">
        <f>IF(AND($F119&lt;&gt;"", $F119&gt;=DA$5-4, $F119&lt;=DA$5, COUNTIF($M119:CZ119,"u")=0), "u", "")</f>
        <v/>
      </c>
      <c r="DB119" s="80" t="str">
        <f>IF(AND($F119&lt;&gt;"", $F119&gt;=DB$5-4, $F119&lt;=DB$5, COUNTIF($M119:DA119,"u")=0), "u", "")</f>
        <v/>
      </c>
      <c r="DC119" s="80" t="str">
        <f>IF(AND($F119&lt;&gt;"", $F119&gt;=DC$5-4, $F119&lt;=DC$5, COUNTIF($M119:DB119,"u")=0), "u", "")</f>
        <v/>
      </c>
      <c r="DD119" s="80" t="str">
        <f>IF(AND($F119&lt;&gt;"", $F119&gt;=DD$5-4, $F119&lt;=DD$5, COUNTIF($M119:DC119,"u")=0), "u", "")</f>
        <v/>
      </c>
      <c r="DE119" s="80" t="str">
        <f>IF(AND($F119&lt;&gt;"", $F119&gt;=DE$5-4, $F119&lt;=DE$5, COUNTIF($M119:DD119,"u")=0), "u", "")</f>
        <v/>
      </c>
      <c r="DF119" s="80" t="str">
        <f>IF(AND($F119&lt;&gt;"", $F119&gt;=DF$5-4, $F119&lt;=DF$5, COUNTIF($M119:DE119,"u")=0), "u", "")</f>
        <v/>
      </c>
      <c r="DG119" s="80" t="str">
        <f>IF(AND($F119&lt;&gt;"", $F119&gt;=DG$5-4, $F119&lt;=DG$5, COUNTIF($M119:DF119,"u")=0), "u", "")</f>
        <v/>
      </c>
      <c r="DH119" s="80" t="str">
        <f>IF(AND($F119&lt;&gt;"", $F119&gt;=DH$5-4, $F119&lt;=DH$5, COUNTIF($M119:DG119,"u")=0), "u", "")</f>
        <v/>
      </c>
      <c r="DI119" s="80" t="str">
        <f>IF(AND($F119&lt;&gt;"", $F119&gt;=DI$5-4, $F119&lt;=DI$5, COUNTIF($M119:DH119,"u")=0), "u", "")</f>
        <v/>
      </c>
      <c r="DJ119" s="80" t="str">
        <f>IF(AND($F119&lt;&gt;"", $F119&gt;=DJ$5-4, $F119&lt;=DJ$5, COUNTIF($M119:DI119,"u")=0), "u", "")</f>
        <v/>
      </c>
      <c r="DK119" s="80" t="str">
        <f>IF(AND($F119&lt;&gt;"", $F119&gt;=DK$5-4, $F119&lt;=DK$5, COUNTIF($M119:DJ119,"u")=0), "u", "")</f>
        <v/>
      </c>
      <c r="DL119" s="80" t="str">
        <f>IF(AND($F119&lt;&gt;"", $F119&gt;=DL$5-4, $F119&lt;=DL$5, COUNTIF($M119:DK119,"u")=0), "u", "")</f>
        <v/>
      </c>
    </row>
    <row r="120" spans="1:116" ht="25.05" customHeight="1" x14ac:dyDescent="0.3">
      <c r="A120" s="39"/>
      <c r="B120" s="75">
        <v>115</v>
      </c>
      <c r="C120" s="97"/>
      <c r="D120" s="92"/>
      <c r="E120" s="53"/>
      <c r="F120" s="53"/>
      <c r="G120" s="83" t="str">
        <f t="shared" si="50"/>
        <v/>
      </c>
      <c r="H120" s="83" t="str">
        <f t="shared" si="50"/>
        <v/>
      </c>
      <c r="I120" s="77" t="str">
        <f t="shared" si="48"/>
        <v/>
      </c>
      <c r="J120" s="78"/>
      <c r="K120" s="86"/>
      <c r="L120" s="56"/>
      <c r="M120" s="80" t="str">
        <f t="shared" si="49"/>
        <v/>
      </c>
      <c r="N120" s="80" t="str">
        <f>IF(AND($F120&lt;&gt;"", $F120&gt;=N$5-4, $F120&lt;=N$5, COUNTIF($M120:M120,"u")=0), "u", "")</f>
        <v/>
      </c>
      <c r="O120" s="80" t="str">
        <f>IF(AND($F120&lt;&gt;"", $F120&gt;=O$5-4, $F120&lt;=O$5, COUNTIF($M120:N120,"u")=0), "u", "")</f>
        <v/>
      </c>
      <c r="P120" s="80" t="str">
        <f>IF(AND($F120&lt;&gt;"", $F120&gt;=P$5-4, $F120&lt;=P$5, COUNTIF($M120:O120,"u")=0), "u", "")</f>
        <v/>
      </c>
      <c r="Q120" s="80" t="str">
        <f>IF(AND($F120&lt;&gt;"", $F120&gt;=Q$5-4, $F120&lt;=Q$5, COUNTIF($M120:P120,"u")=0), "u", "")</f>
        <v/>
      </c>
      <c r="R120" s="80" t="str">
        <f>IF(AND($F120&lt;&gt;"", $F120&gt;=R$5-4, $F120&lt;=R$5, COUNTIF($M120:Q120,"u")=0), "u", "")</f>
        <v/>
      </c>
      <c r="S120" s="80" t="str">
        <f>IF(AND($F120&lt;&gt;"", $F120&gt;=S$5-4, $F120&lt;=S$5, COUNTIF($M120:R120,"u")=0), "u", "")</f>
        <v/>
      </c>
      <c r="T120" s="80" t="str">
        <f>IF(AND($F120&lt;&gt;"", $F120&gt;=T$5-4, $F120&lt;=T$5, COUNTIF($M120:S120,"u")=0), "u", "")</f>
        <v/>
      </c>
      <c r="U120" s="80" t="str">
        <f>IF(AND($F120&lt;&gt;"", $F120&gt;=U$5-4, $F120&lt;=U$5, COUNTIF($M120:T120,"u")=0), "u", "")</f>
        <v/>
      </c>
      <c r="V120" s="80" t="str">
        <f>IF(AND($F120&lt;&gt;"", $F120&gt;=V$5-4, $F120&lt;=V$5, COUNTIF($M120:U120,"u")=0), "u", "")</f>
        <v/>
      </c>
      <c r="W120" s="80" t="str">
        <f>IF(AND($F120&lt;&gt;"", $F120&gt;=W$5-4, $F120&lt;=W$5, COUNTIF($M120:V120,"u")=0), "u", "")</f>
        <v/>
      </c>
      <c r="X120" s="80" t="str">
        <f>IF(AND($F120&lt;&gt;"", $F120&gt;=X$5-4, $F120&lt;=X$5, COUNTIF($M120:W120,"u")=0), "u", "")</f>
        <v/>
      </c>
      <c r="Y120" s="80" t="str">
        <f>IF(AND($F120&lt;&gt;"", $F120&gt;=Y$5-4, $F120&lt;=Y$5, COUNTIF($M120:X120,"u")=0), "u", "")</f>
        <v/>
      </c>
      <c r="Z120" s="80" t="str">
        <f>IF(AND($F120&lt;&gt;"", $F120&gt;=Z$5-4, $F120&lt;=Z$5, COUNTIF($M120:Y120,"u")=0), "u", "")</f>
        <v/>
      </c>
      <c r="AA120" s="80" t="str">
        <f>IF(AND($F120&lt;&gt;"", $F120&gt;=AA$5-4, $F120&lt;=AA$5, COUNTIF($M120:Z120,"u")=0), "u", "")</f>
        <v/>
      </c>
      <c r="AB120" s="80" t="str">
        <f>IF(AND($F120&lt;&gt;"", $F120&gt;=AB$5-4, $F120&lt;=AB$5, COUNTIF($M120:AA120,"u")=0), "u", "")</f>
        <v/>
      </c>
      <c r="AC120" s="80" t="str">
        <f>IF(AND($F120&lt;&gt;"", $F120&gt;=AC$5-4, $F120&lt;=AC$5, COUNTIF($M120:AB120,"u")=0), "u", "")</f>
        <v/>
      </c>
      <c r="AD120" s="80" t="str">
        <f>IF(AND($F120&lt;&gt;"", $F120&gt;=AD$5-4, $F120&lt;=AD$5, COUNTIF($M120:AC120,"u")=0), "u", "")</f>
        <v/>
      </c>
      <c r="AE120" s="80" t="str">
        <f>IF(AND($F120&lt;&gt;"", $F120&gt;=AE$5-4, $F120&lt;=AE$5, COUNTIF($M120:AD120,"u")=0), "u", "")</f>
        <v/>
      </c>
      <c r="AF120" s="80" t="str">
        <f>IF(AND($F120&lt;&gt;"", $F120&gt;=AF$5-4, $F120&lt;=AF$5, COUNTIF($M120:AE120,"u")=0), "u", "")</f>
        <v/>
      </c>
      <c r="AG120" s="80" t="str">
        <f>IF(AND($F120&lt;&gt;"", $F120&gt;=AG$5-4, $F120&lt;=AG$5, COUNTIF($M120:AF120,"u")=0), "u", "")</f>
        <v/>
      </c>
      <c r="AH120" s="80" t="str">
        <f>IF(AND($F120&lt;&gt;"", $F120&gt;=AH$5-4, $F120&lt;=AH$5, COUNTIF($M120:AG120,"u")=0), "u", "")</f>
        <v/>
      </c>
      <c r="AI120" s="80" t="str">
        <f>IF(AND($F120&lt;&gt;"", $F120&gt;=AI$5-4, $F120&lt;=AI$5, COUNTIF($M120:AH120,"u")=0), "u", "")</f>
        <v/>
      </c>
      <c r="AJ120" s="80" t="str">
        <f>IF(AND($F120&lt;&gt;"", $F120&gt;=AJ$5-4, $F120&lt;=AJ$5, COUNTIF($M120:AI120,"u")=0), "u", "")</f>
        <v/>
      </c>
      <c r="AK120" s="80" t="str">
        <f>IF(AND($F120&lt;&gt;"", $F120&gt;=AK$5-4, $F120&lt;=AK$5, COUNTIF($M120:AJ120,"u")=0), "u", "")</f>
        <v/>
      </c>
      <c r="AL120" s="80" t="str">
        <f>IF(AND($F120&lt;&gt;"", $F120&gt;=AL$5-4, $F120&lt;=AL$5, COUNTIF($M120:AK120,"u")=0), "u", "")</f>
        <v/>
      </c>
      <c r="AM120" s="80" t="str">
        <f>IF(AND($F120&lt;&gt;"", $F120&gt;=AM$5-4, $F120&lt;=AM$5, COUNTIF($M120:AL120,"u")=0), "u", "")</f>
        <v/>
      </c>
      <c r="AN120" s="80" t="str">
        <f>IF(AND($F120&lt;&gt;"", $F120&gt;=AN$5-4, $F120&lt;=AN$5, COUNTIF($M120:AM120,"u")=0), "u", "")</f>
        <v/>
      </c>
      <c r="AO120" s="80" t="str">
        <f>IF(AND($F120&lt;&gt;"", $F120&gt;=AO$5-4, $F120&lt;=AO$5, COUNTIF($M120:AN120,"u")=0), "u", "")</f>
        <v/>
      </c>
      <c r="AP120" s="80" t="str">
        <f>IF(AND($F120&lt;&gt;"", $F120&gt;=AP$5-4, $F120&lt;=AP$5, COUNTIF($M120:AO120,"u")=0), "u", "")</f>
        <v/>
      </c>
      <c r="AQ120" s="80" t="str">
        <f>IF(AND($F120&lt;&gt;"", $F120&gt;=AQ$5-4, $F120&lt;=AQ$5, COUNTIF($M120:AP120,"u")=0), "u", "")</f>
        <v/>
      </c>
      <c r="AR120" s="80" t="str">
        <f>IF(AND($F120&lt;&gt;"", $F120&gt;=AR$5-4, $F120&lt;=AR$5, COUNTIF($M120:AQ120,"u")=0), "u", "")</f>
        <v/>
      </c>
      <c r="AS120" s="80" t="str">
        <f>IF(AND($F120&lt;&gt;"", $F120&gt;=AS$5-4, $F120&lt;=AS$5, COUNTIF($M120:AR120,"u")=0), "u", "")</f>
        <v/>
      </c>
      <c r="AT120" s="80" t="str">
        <f>IF(AND($F120&lt;&gt;"", $F120&gt;=AT$5-4, $F120&lt;=AT$5, COUNTIF($M120:AS120,"u")=0), "u", "")</f>
        <v/>
      </c>
      <c r="AU120" s="80" t="str">
        <f>IF(AND($F120&lt;&gt;"", $F120&gt;=AU$5-4, $F120&lt;=AU$5, COUNTIF($M120:AT120,"u")=0), "u", "")</f>
        <v/>
      </c>
      <c r="AV120" s="80" t="str">
        <f>IF(AND($F120&lt;&gt;"", $F120&gt;=AV$5-4, $F120&lt;=AV$5, COUNTIF($M120:AU120,"u")=0), "u", "")</f>
        <v/>
      </c>
      <c r="AW120" s="80" t="str">
        <f>IF(AND($F120&lt;&gt;"", $F120&gt;=AW$5-4, $F120&lt;=AW$5, COUNTIF($M120:AV120,"u")=0), "u", "")</f>
        <v/>
      </c>
      <c r="AX120" s="80" t="str">
        <f>IF(AND($F120&lt;&gt;"", $F120&gt;=AX$5-4, $F120&lt;=AX$5, COUNTIF($M120:AW120,"u")=0), "u", "")</f>
        <v/>
      </c>
      <c r="AY120" s="80" t="str">
        <f>IF(AND($F120&lt;&gt;"", $F120&gt;=AY$5-4, $F120&lt;=AY$5, COUNTIF($M120:AX120,"u")=0), "u", "")</f>
        <v/>
      </c>
      <c r="AZ120" s="80" t="str">
        <f>IF(AND($F120&lt;&gt;"", $F120&gt;=AZ$5-4, $F120&lt;=AZ$5, COUNTIF($M120:AY120,"u")=0), "u", "")</f>
        <v/>
      </c>
      <c r="BA120" s="80" t="str">
        <f>IF(AND($F120&lt;&gt;"", $F120&gt;=BA$5-4, $F120&lt;=BA$5, COUNTIF($M120:AZ120,"u")=0), "u", "")</f>
        <v/>
      </c>
      <c r="BB120" s="80" t="str">
        <f>IF(AND($F120&lt;&gt;"", $F120&gt;=BB$5-4, $F120&lt;=BB$5, COUNTIF($M120:BA120,"u")=0), "u", "")</f>
        <v/>
      </c>
      <c r="BC120" s="80" t="str">
        <f>IF(AND($F120&lt;&gt;"", $F120&gt;=BC$5-4, $F120&lt;=BC$5, COUNTIF($M120:BB120,"u")=0), "u", "")</f>
        <v/>
      </c>
      <c r="BD120" s="80" t="str">
        <f>IF(AND($F120&lt;&gt;"", $F120&gt;=BD$5-4, $F120&lt;=BD$5, COUNTIF($M120:BC120,"u")=0), "u", "")</f>
        <v/>
      </c>
      <c r="BE120" s="80" t="str">
        <f>IF(AND($F120&lt;&gt;"", $F120&gt;=BE$5-4, $F120&lt;=BE$5, COUNTIF($M120:BD120,"u")=0), "u", "")</f>
        <v/>
      </c>
      <c r="BF120" s="80" t="str">
        <f>IF(AND($F120&lt;&gt;"", $F120&gt;=BF$5-4, $F120&lt;=BF$5, COUNTIF($M120:BE120,"u")=0), "u", "")</f>
        <v/>
      </c>
      <c r="BG120" s="80" t="str">
        <f>IF(AND($F120&lt;&gt;"", $F120&gt;=BG$5-4, $F120&lt;=BG$5, COUNTIF($M120:BF120,"u")=0), "u", "")</f>
        <v/>
      </c>
      <c r="BH120" s="80" t="str">
        <f>IF(AND($F120&lt;&gt;"", $F120&gt;=BH$5-4, $F120&lt;=BH$5, COUNTIF($M120:BG120,"u")=0), "u", "")</f>
        <v/>
      </c>
      <c r="BI120" s="80" t="str">
        <f>IF(AND($F120&lt;&gt;"", $F120&gt;=BI$5-4, $F120&lt;=BI$5, COUNTIF($M120:BH120,"u")=0), "u", "")</f>
        <v/>
      </c>
      <c r="BJ120" s="80" t="str">
        <f>IF(AND($F120&lt;&gt;"", $F120&gt;=BJ$5-4, $F120&lt;=BJ$5, COUNTIF($M120:BI120,"u")=0), "u", "")</f>
        <v/>
      </c>
      <c r="BK120" s="80" t="str">
        <f>IF(AND($F120&lt;&gt;"", $F120&gt;=BK$5-4, $F120&lt;=BK$5, COUNTIF($M120:BJ120,"u")=0), "u", "")</f>
        <v/>
      </c>
      <c r="BL120" s="80" t="str">
        <f>IF(AND($F120&lt;&gt;"", $F120&gt;=BL$5-4, $F120&lt;=BL$5, COUNTIF($M120:BK120,"u")=0), "u", "")</f>
        <v/>
      </c>
      <c r="BM120" s="80" t="str">
        <f>IF(AND($F120&lt;&gt;"", $F120&gt;=BM$5-4, $F120&lt;=BM$5, COUNTIF($M120:BL120,"u")=0), "u", "")</f>
        <v/>
      </c>
      <c r="BN120" s="80" t="str">
        <f>IF(AND($F120&lt;&gt;"", $F120&gt;=BN$5-4, $F120&lt;=BN$5, COUNTIF($M120:BM120,"u")=0), "u", "")</f>
        <v/>
      </c>
      <c r="BO120" s="80" t="str">
        <f>IF(AND($F120&lt;&gt;"", $F120&gt;=BO$5-4, $F120&lt;=BO$5, COUNTIF($M120:BN120,"u")=0), "u", "")</f>
        <v/>
      </c>
      <c r="BP120" s="80" t="str">
        <f>IF(AND($F120&lt;&gt;"", $F120&gt;=BP$5-4, $F120&lt;=BP$5, COUNTIF($M120:BO120,"u")=0), "u", "")</f>
        <v/>
      </c>
      <c r="BQ120" s="80" t="str">
        <f>IF(AND($F120&lt;&gt;"", $F120&gt;=BQ$5-4, $F120&lt;=BQ$5, COUNTIF($M120:BP120,"u")=0), "u", "")</f>
        <v/>
      </c>
      <c r="BR120" s="80" t="str">
        <f>IF(AND($F120&lt;&gt;"", $F120&gt;=BR$5-4, $F120&lt;=BR$5, COUNTIF($M120:BQ120,"u")=0), "u", "")</f>
        <v/>
      </c>
      <c r="BS120" s="80" t="str">
        <f>IF(AND($F120&lt;&gt;"", $F120&gt;=BS$5-4, $F120&lt;=BS$5, COUNTIF($M120:BR120,"u")=0), "u", "")</f>
        <v/>
      </c>
      <c r="BT120" s="80" t="str">
        <f>IF(AND($F120&lt;&gt;"", $F120&gt;=BT$5-4, $F120&lt;=BT$5, COUNTIF($M120:BS120,"u")=0), "u", "")</f>
        <v/>
      </c>
      <c r="BU120" s="80" t="str">
        <f>IF(AND($F120&lt;&gt;"", $F120&gt;=BU$5-4, $F120&lt;=BU$5, COUNTIF($M120:BT120,"u")=0), "u", "")</f>
        <v/>
      </c>
      <c r="BV120" s="80" t="str">
        <f>IF(AND($F120&lt;&gt;"", $F120&gt;=BV$5-4, $F120&lt;=BV$5, COUNTIF($M120:BU120,"u")=0), "u", "")</f>
        <v/>
      </c>
      <c r="BW120" s="80" t="str">
        <f>IF(AND($F120&lt;&gt;"", $F120&gt;=BW$5-4, $F120&lt;=BW$5, COUNTIF($M120:BV120,"u")=0), "u", "")</f>
        <v/>
      </c>
      <c r="BX120" s="80" t="str">
        <f>IF(AND($F120&lt;&gt;"", $F120&gt;=BX$5-4, $F120&lt;=BX$5, COUNTIF($M120:BW120,"u")=0), "u", "")</f>
        <v/>
      </c>
      <c r="BY120" s="80" t="str">
        <f>IF(AND($F120&lt;&gt;"", $F120&gt;=BY$5-4, $F120&lt;=BY$5, COUNTIF($M120:BX120,"u")=0), "u", "")</f>
        <v/>
      </c>
      <c r="BZ120" s="80" t="str">
        <f>IF(AND($F120&lt;&gt;"", $F120&gt;=BZ$5-4, $F120&lt;=BZ$5, COUNTIF($M120:BY120,"u")=0), "u", "")</f>
        <v/>
      </c>
      <c r="CA120" s="80" t="str">
        <f>IF(AND($F120&lt;&gt;"", $F120&gt;=CA$5-4, $F120&lt;=CA$5, COUNTIF($M120:BZ120,"u")=0), "u", "")</f>
        <v/>
      </c>
      <c r="CB120" s="80" t="str">
        <f>IF(AND($F120&lt;&gt;"", $F120&gt;=CB$5-4, $F120&lt;=CB$5, COUNTIF($M120:CA120,"u")=0), "u", "")</f>
        <v/>
      </c>
      <c r="CC120" s="80" t="str">
        <f>IF(AND($F120&lt;&gt;"", $F120&gt;=CC$5-4, $F120&lt;=CC$5, COUNTIF($M120:CB120,"u")=0), "u", "")</f>
        <v/>
      </c>
      <c r="CD120" s="80" t="str">
        <f>IF(AND($F120&lt;&gt;"", $F120&gt;=CD$5-4, $F120&lt;=CD$5, COUNTIF($M120:CC120,"u")=0), "u", "")</f>
        <v/>
      </c>
      <c r="CE120" s="80" t="str">
        <f>IF(AND($F120&lt;&gt;"", $F120&gt;=CE$5-4, $F120&lt;=CE$5, COUNTIF($M120:CD120,"u")=0), "u", "")</f>
        <v/>
      </c>
      <c r="CF120" s="80" t="str">
        <f>IF(AND($F120&lt;&gt;"", $F120&gt;=CF$5-4, $F120&lt;=CF$5, COUNTIF($M120:CE120,"u")=0), "u", "")</f>
        <v/>
      </c>
      <c r="CG120" s="80" t="str">
        <f>IF(AND($F120&lt;&gt;"", $F120&gt;=CG$5-4, $F120&lt;=CG$5, COUNTIF($M120:CF120,"u")=0), "u", "")</f>
        <v/>
      </c>
      <c r="CH120" s="80" t="str">
        <f>IF(AND($F120&lt;&gt;"", $F120&gt;=CH$5-4, $F120&lt;=CH$5, COUNTIF($M120:CG120,"u")=0), "u", "")</f>
        <v/>
      </c>
      <c r="CI120" s="80" t="str">
        <f>IF(AND($F120&lt;&gt;"", $F120&gt;=CI$5-4, $F120&lt;=CI$5, COUNTIF($M120:CH120,"u")=0), "u", "")</f>
        <v/>
      </c>
      <c r="CJ120" s="80" t="str">
        <f>IF(AND($F120&lt;&gt;"", $F120&gt;=CJ$5-4, $F120&lt;=CJ$5, COUNTIF($M120:CI120,"u")=0), "u", "")</f>
        <v/>
      </c>
      <c r="CK120" s="80" t="str">
        <f>IF(AND($F120&lt;&gt;"", $F120&gt;=CK$5-4, $F120&lt;=CK$5, COUNTIF($M120:CJ120,"u")=0), "u", "")</f>
        <v/>
      </c>
      <c r="CL120" s="80" t="str">
        <f>IF(AND($F120&lt;&gt;"", $F120&gt;=CL$5-4, $F120&lt;=CL$5, COUNTIF($M120:CK120,"u")=0), "u", "")</f>
        <v/>
      </c>
      <c r="CM120" s="80" t="str">
        <f>IF(AND($F120&lt;&gt;"", $F120&gt;=CM$5-4, $F120&lt;=CM$5, COUNTIF($M120:CL120,"u")=0), "u", "")</f>
        <v/>
      </c>
      <c r="CN120" s="80" t="str">
        <f>IF(AND($F120&lt;&gt;"", $F120&gt;=CN$5-4, $F120&lt;=CN$5, COUNTIF($M120:CM120,"u")=0), "u", "")</f>
        <v/>
      </c>
      <c r="CO120" s="80" t="str">
        <f>IF(AND($F120&lt;&gt;"", $F120&gt;=CO$5-4, $F120&lt;=CO$5, COUNTIF($M120:CN120,"u")=0), "u", "")</f>
        <v/>
      </c>
      <c r="CP120" s="80" t="str">
        <f>IF(AND($F120&lt;&gt;"", $F120&gt;=CP$5-4, $F120&lt;=CP$5, COUNTIF($M120:CO120,"u")=0), "u", "")</f>
        <v/>
      </c>
      <c r="CQ120" s="80" t="str">
        <f>IF(AND($F120&lt;&gt;"", $F120&gt;=CQ$5-4, $F120&lt;=CQ$5, COUNTIF($M120:CP120,"u")=0), "u", "")</f>
        <v/>
      </c>
      <c r="CR120" s="80" t="str">
        <f>IF(AND($F120&lt;&gt;"", $F120&gt;=CR$5-4, $F120&lt;=CR$5, COUNTIF($M120:CQ120,"u")=0), "u", "")</f>
        <v/>
      </c>
      <c r="CS120" s="80" t="str">
        <f>IF(AND($F120&lt;&gt;"", $F120&gt;=CS$5-4, $F120&lt;=CS$5, COUNTIF($M120:CR120,"u")=0), "u", "")</f>
        <v/>
      </c>
      <c r="CT120" s="80" t="str">
        <f>IF(AND($F120&lt;&gt;"", $F120&gt;=CT$5-4, $F120&lt;=CT$5, COUNTIF($M120:CS120,"u")=0), "u", "")</f>
        <v/>
      </c>
      <c r="CU120" s="80" t="str">
        <f>IF(AND($F120&lt;&gt;"", $F120&gt;=CU$5-4, $F120&lt;=CU$5, COUNTIF($M120:CT120,"u")=0), "u", "")</f>
        <v/>
      </c>
      <c r="CV120" s="80" t="str">
        <f>IF(AND($F120&lt;&gt;"", $F120&gt;=CV$5-4, $F120&lt;=CV$5, COUNTIF($M120:CU120,"u")=0), "u", "")</f>
        <v/>
      </c>
      <c r="CW120" s="80" t="str">
        <f>IF(AND($F120&lt;&gt;"", $F120&gt;=CW$5-4, $F120&lt;=CW$5, COUNTIF($M120:CV120,"u")=0), "u", "")</f>
        <v/>
      </c>
      <c r="CX120" s="80" t="str">
        <f>IF(AND($F120&lt;&gt;"", $F120&gt;=CX$5-4, $F120&lt;=CX$5, COUNTIF($M120:CW120,"u")=0), "u", "")</f>
        <v/>
      </c>
      <c r="CY120" s="80" t="str">
        <f>IF(AND($F120&lt;&gt;"", $F120&gt;=CY$5-4, $F120&lt;=CY$5, COUNTIF($M120:CX120,"u")=0), "u", "")</f>
        <v/>
      </c>
      <c r="CZ120" s="80" t="str">
        <f>IF(AND($F120&lt;&gt;"", $F120&gt;=CZ$5-4, $F120&lt;=CZ$5, COUNTIF($M120:CY120,"u")=0), "u", "")</f>
        <v/>
      </c>
      <c r="DA120" s="80" t="str">
        <f>IF(AND($F120&lt;&gt;"", $F120&gt;=DA$5-4, $F120&lt;=DA$5, COUNTIF($M120:CZ120,"u")=0), "u", "")</f>
        <v/>
      </c>
      <c r="DB120" s="80" t="str">
        <f>IF(AND($F120&lt;&gt;"", $F120&gt;=DB$5-4, $F120&lt;=DB$5, COUNTIF($M120:DA120,"u")=0), "u", "")</f>
        <v/>
      </c>
      <c r="DC120" s="80" t="str">
        <f>IF(AND($F120&lt;&gt;"", $F120&gt;=DC$5-4, $F120&lt;=DC$5, COUNTIF($M120:DB120,"u")=0), "u", "")</f>
        <v/>
      </c>
      <c r="DD120" s="80" t="str">
        <f>IF(AND($F120&lt;&gt;"", $F120&gt;=DD$5-4, $F120&lt;=DD$5, COUNTIF($M120:DC120,"u")=0), "u", "")</f>
        <v/>
      </c>
      <c r="DE120" s="80" t="str">
        <f>IF(AND($F120&lt;&gt;"", $F120&gt;=DE$5-4, $F120&lt;=DE$5, COUNTIF($M120:DD120,"u")=0), "u", "")</f>
        <v/>
      </c>
      <c r="DF120" s="80" t="str">
        <f>IF(AND($F120&lt;&gt;"", $F120&gt;=DF$5-4, $F120&lt;=DF$5, COUNTIF($M120:DE120,"u")=0), "u", "")</f>
        <v/>
      </c>
      <c r="DG120" s="80" t="str">
        <f>IF(AND($F120&lt;&gt;"", $F120&gt;=DG$5-4, $F120&lt;=DG$5, COUNTIF($M120:DF120,"u")=0), "u", "")</f>
        <v/>
      </c>
      <c r="DH120" s="80" t="str">
        <f>IF(AND($F120&lt;&gt;"", $F120&gt;=DH$5-4, $F120&lt;=DH$5, COUNTIF($M120:DG120,"u")=0), "u", "")</f>
        <v/>
      </c>
      <c r="DI120" s="80" t="str">
        <f>IF(AND($F120&lt;&gt;"", $F120&gt;=DI$5-4, $F120&lt;=DI$5, COUNTIF($M120:DH120,"u")=0), "u", "")</f>
        <v/>
      </c>
      <c r="DJ120" s="80" t="str">
        <f>IF(AND($F120&lt;&gt;"", $F120&gt;=DJ$5-4, $F120&lt;=DJ$5, COUNTIF($M120:DI120,"u")=0), "u", "")</f>
        <v/>
      </c>
      <c r="DK120" s="80" t="str">
        <f>IF(AND($F120&lt;&gt;"", $F120&gt;=DK$5-4, $F120&lt;=DK$5, COUNTIF($M120:DJ120,"u")=0), "u", "")</f>
        <v/>
      </c>
      <c r="DL120" s="80" t="str">
        <f>IF(AND($F120&lt;&gt;"", $F120&gt;=DL$5-4, $F120&lt;=DL$5, COUNTIF($M120:DK120,"u")=0), "u", "")</f>
        <v/>
      </c>
    </row>
    <row r="121" spans="1:116" ht="25.05" customHeight="1" x14ac:dyDescent="0.3">
      <c r="A121" s="39"/>
      <c r="B121" s="75">
        <v>116</v>
      </c>
      <c r="C121" s="97"/>
      <c r="D121" s="92"/>
      <c r="E121" s="53"/>
      <c r="F121" s="53"/>
      <c r="G121" s="83" t="str">
        <f t="shared" si="50"/>
        <v/>
      </c>
      <c r="H121" s="83" t="str">
        <f t="shared" si="50"/>
        <v/>
      </c>
      <c r="I121" s="77" t="str">
        <f t="shared" si="48"/>
        <v/>
      </c>
      <c r="J121" s="78"/>
      <c r="K121" s="86"/>
      <c r="L121" s="56"/>
      <c r="M121" s="80" t="str">
        <f t="shared" si="49"/>
        <v/>
      </c>
      <c r="N121" s="80" t="str">
        <f>IF(AND($F121&lt;&gt;"", $F121&gt;=N$5-4, $F121&lt;=N$5, COUNTIF($M121:M121,"u")=0), "u", "")</f>
        <v/>
      </c>
      <c r="O121" s="80" t="str">
        <f>IF(AND($F121&lt;&gt;"", $F121&gt;=O$5-4, $F121&lt;=O$5, COUNTIF($M121:N121,"u")=0), "u", "")</f>
        <v/>
      </c>
      <c r="P121" s="80" t="str">
        <f>IF(AND($F121&lt;&gt;"", $F121&gt;=P$5-4, $F121&lt;=P$5, COUNTIF($M121:O121,"u")=0), "u", "")</f>
        <v/>
      </c>
      <c r="Q121" s="80" t="str">
        <f>IF(AND($F121&lt;&gt;"", $F121&gt;=Q$5-4, $F121&lt;=Q$5, COUNTIF($M121:P121,"u")=0), "u", "")</f>
        <v/>
      </c>
      <c r="R121" s="80" t="str">
        <f>IF(AND($F121&lt;&gt;"", $F121&gt;=R$5-4, $F121&lt;=R$5, COUNTIF($M121:Q121,"u")=0), "u", "")</f>
        <v/>
      </c>
      <c r="S121" s="80" t="str">
        <f>IF(AND($F121&lt;&gt;"", $F121&gt;=S$5-4, $F121&lt;=S$5, COUNTIF($M121:R121,"u")=0), "u", "")</f>
        <v/>
      </c>
      <c r="T121" s="80" t="str">
        <f>IF(AND($F121&lt;&gt;"", $F121&gt;=T$5-4, $F121&lt;=T$5, COUNTIF($M121:S121,"u")=0), "u", "")</f>
        <v/>
      </c>
      <c r="U121" s="80" t="str">
        <f>IF(AND($F121&lt;&gt;"", $F121&gt;=U$5-4, $F121&lt;=U$5, COUNTIF($M121:T121,"u")=0), "u", "")</f>
        <v/>
      </c>
      <c r="V121" s="80" t="str">
        <f>IF(AND($F121&lt;&gt;"", $F121&gt;=V$5-4, $F121&lt;=V$5, COUNTIF($M121:U121,"u")=0), "u", "")</f>
        <v/>
      </c>
      <c r="W121" s="80" t="str">
        <f>IF(AND($F121&lt;&gt;"", $F121&gt;=W$5-4, $F121&lt;=W$5, COUNTIF($M121:V121,"u")=0), "u", "")</f>
        <v/>
      </c>
      <c r="X121" s="80" t="str">
        <f>IF(AND($F121&lt;&gt;"", $F121&gt;=X$5-4, $F121&lt;=X$5, COUNTIF($M121:W121,"u")=0), "u", "")</f>
        <v/>
      </c>
      <c r="Y121" s="80" t="str">
        <f>IF(AND($F121&lt;&gt;"", $F121&gt;=Y$5-4, $F121&lt;=Y$5, COUNTIF($M121:X121,"u")=0), "u", "")</f>
        <v/>
      </c>
      <c r="Z121" s="80" t="str">
        <f>IF(AND($F121&lt;&gt;"", $F121&gt;=Z$5-4, $F121&lt;=Z$5, COUNTIF($M121:Y121,"u")=0), "u", "")</f>
        <v/>
      </c>
      <c r="AA121" s="80" t="str">
        <f>IF(AND($F121&lt;&gt;"", $F121&gt;=AA$5-4, $F121&lt;=AA$5, COUNTIF($M121:Z121,"u")=0), "u", "")</f>
        <v/>
      </c>
      <c r="AB121" s="80" t="str">
        <f>IF(AND($F121&lt;&gt;"", $F121&gt;=AB$5-4, $F121&lt;=AB$5, COUNTIF($M121:AA121,"u")=0), "u", "")</f>
        <v/>
      </c>
      <c r="AC121" s="80" t="str">
        <f>IF(AND($F121&lt;&gt;"", $F121&gt;=AC$5-4, $F121&lt;=AC$5, COUNTIF($M121:AB121,"u")=0), "u", "")</f>
        <v/>
      </c>
      <c r="AD121" s="80" t="str">
        <f>IF(AND($F121&lt;&gt;"", $F121&gt;=AD$5-4, $F121&lt;=AD$5, COUNTIF($M121:AC121,"u")=0), "u", "")</f>
        <v/>
      </c>
      <c r="AE121" s="80" t="str">
        <f>IF(AND($F121&lt;&gt;"", $F121&gt;=AE$5-4, $F121&lt;=AE$5, COUNTIF($M121:AD121,"u")=0), "u", "")</f>
        <v/>
      </c>
      <c r="AF121" s="80" t="str">
        <f>IF(AND($F121&lt;&gt;"", $F121&gt;=AF$5-4, $F121&lt;=AF$5, COUNTIF($M121:AE121,"u")=0), "u", "")</f>
        <v/>
      </c>
      <c r="AG121" s="80" t="str">
        <f>IF(AND($F121&lt;&gt;"", $F121&gt;=AG$5-4, $F121&lt;=AG$5, COUNTIF($M121:AF121,"u")=0), "u", "")</f>
        <v/>
      </c>
      <c r="AH121" s="80" t="str">
        <f>IF(AND($F121&lt;&gt;"", $F121&gt;=AH$5-4, $F121&lt;=AH$5, COUNTIF($M121:AG121,"u")=0), "u", "")</f>
        <v/>
      </c>
      <c r="AI121" s="80" t="str">
        <f>IF(AND($F121&lt;&gt;"", $F121&gt;=AI$5-4, $F121&lt;=AI$5, COUNTIF($M121:AH121,"u")=0), "u", "")</f>
        <v/>
      </c>
      <c r="AJ121" s="80" t="str">
        <f>IF(AND($F121&lt;&gt;"", $F121&gt;=AJ$5-4, $F121&lt;=AJ$5, COUNTIF($M121:AI121,"u")=0), "u", "")</f>
        <v/>
      </c>
      <c r="AK121" s="80" t="str">
        <f>IF(AND($F121&lt;&gt;"", $F121&gt;=AK$5-4, $F121&lt;=AK$5, COUNTIF($M121:AJ121,"u")=0), "u", "")</f>
        <v/>
      </c>
      <c r="AL121" s="80" t="str">
        <f>IF(AND($F121&lt;&gt;"", $F121&gt;=AL$5-4, $F121&lt;=AL$5, COUNTIF($M121:AK121,"u")=0), "u", "")</f>
        <v/>
      </c>
      <c r="AM121" s="80" t="str">
        <f>IF(AND($F121&lt;&gt;"", $F121&gt;=AM$5-4, $F121&lt;=AM$5, COUNTIF($M121:AL121,"u")=0), "u", "")</f>
        <v/>
      </c>
      <c r="AN121" s="80" t="str">
        <f>IF(AND($F121&lt;&gt;"", $F121&gt;=AN$5-4, $F121&lt;=AN$5, COUNTIF($M121:AM121,"u")=0), "u", "")</f>
        <v/>
      </c>
      <c r="AO121" s="80" t="str">
        <f>IF(AND($F121&lt;&gt;"", $F121&gt;=AO$5-4, $F121&lt;=AO$5, COUNTIF($M121:AN121,"u")=0), "u", "")</f>
        <v/>
      </c>
      <c r="AP121" s="80" t="str">
        <f>IF(AND($F121&lt;&gt;"", $F121&gt;=AP$5-4, $F121&lt;=AP$5, COUNTIF($M121:AO121,"u")=0), "u", "")</f>
        <v/>
      </c>
      <c r="AQ121" s="80" t="str">
        <f>IF(AND($F121&lt;&gt;"", $F121&gt;=AQ$5-4, $F121&lt;=AQ$5, COUNTIF($M121:AP121,"u")=0), "u", "")</f>
        <v/>
      </c>
      <c r="AR121" s="80" t="str">
        <f>IF(AND($F121&lt;&gt;"", $F121&gt;=AR$5-4, $F121&lt;=AR$5, COUNTIF($M121:AQ121,"u")=0), "u", "")</f>
        <v/>
      </c>
      <c r="AS121" s="80" t="str">
        <f>IF(AND($F121&lt;&gt;"", $F121&gt;=AS$5-4, $F121&lt;=AS$5, COUNTIF($M121:AR121,"u")=0), "u", "")</f>
        <v/>
      </c>
      <c r="AT121" s="80" t="str">
        <f>IF(AND($F121&lt;&gt;"", $F121&gt;=AT$5-4, $F121&lt;=AT$5, COUNTIF($M121:AS121,"u")=0), "u", "")</f>
        <v/>
      </c>
      <c r="AU121" s="80" t="str">
        <f>IF(AND($F121&lt;&gt;"", $F121&gt;=AU$5-4, $F121&lt;=AU$5, COUNTIF($M121:AT121,"u")=0), "u", "")</f>
        <v/>
      </c>
      <c r="AV121" s="80" t="str">
        <f>IF(AND($F121&lt;&gt;"", $F121&gt;=AV$5-4, $F121&lt;=AV$5, COUNTIF($M121:AU121,"u")=0), "u", "")</f>
        <v/>
      </c>
      <c r="AW121" s="80" t="str">
        <f>IF(AND($F121&lt;&gt;"", $F121&gt;=AW$5-4, $F121&lt;=AW$5, COUNTIF($M121:AV121,"u")=0), "u", "")</f>
        <v/>
      </c>
      <c r="AX121" s="80" t="str">
        <f>IF(AND($F121&lt;&gt;"", $F121&gt;=AX$5-4, $F121&lt;=AX$5, COUNTIF($M121:AW121,"u")=0), "u", "")</f>
        <v/>
      </c>
      <c r="AY121" s="80" t="str">
        <f>IF(AND($F121&lt;&gt;"", $F121&gt;=AY$5-4, $F121&lt;=AY$5, COUNTIF($M121:AX121,"u")=0), "u", "")</f>
        <v/>
      </c>
      <c r="AZ121" s="80" t="str">
        <f>IF(AND($F121&lt;&gt;"", $F121&gt;=AZ$5-4, $F121&lt;=AZ$5, COUNTIF($M121:AY121,"u")=0), "u", "")</f>
        <v/>
      </c>
      <c r="BA121" s="80" t="str">
        <f>IF(AND($F121&lt;&gt;"", $F121&gt;=BA$5-4, $F121&lt;=BA$5, COUNTIF($M121:AZ121,"u")=0), "u", "")</f>
        <v/>
      </c>
      <c r="BB121" s="80" t="str">
        <f>IF(AND($F121&lt;&gt;"", $F121&gt;=BB$5-4, $F121&lt;=BB$5, COUNTIF($M121:BA121,"u")=0), "u", "")</f>
        <v/>
      </c>
      <c r="BC121" s="80" t="str">
        <f>IF(AND($F121&lt;&gt;"", $F121&gt;=BC$5-4, $F121&lt;=BC$5, COUNTIF($M121:BB121,"u")=0), "u", "")</f>
        <v/>
      </c>
      <c r="BD121" s="80" t="str">
        <f>IF(AND($F121&lt;&gt;"", $F121&gt;=BD$5-4, $F121&lt;=BD$5, COUNTIF($M121:BC121,"u")=0), "u", "")</f>
        <v/>
      </c>
      <c r="BE121" s="80" t="str">
        <f>IF(AND($F121&lt;&gt;"", $F121&gt;=BE$5-4, $F121&lt;=BE$5, COUNTIF($M121:BD121,"u")=0), "u", "")</f>
        <v/>
      </c>
      <c r="BF121" s="80" t="str">
        <f>IF(AND($F121&lt;&gt;"", $F121&gt;=BF$5-4, $F121&lt;=BF$5, COUNTIF($M121:BE121,"u")=0), "u", "")</f>
        <v/>
      </c>
      <c r="BG121" s="80" t="str">
        <f>IF(AND($F121&lt;&gt;"", $F121&gt;=BG$5-4, $F121&lt;=BG$5, COUNTIF($M121:BF121,"u")=0), "u", "")</f>
        <v/>
      </c>
      <c r="BH121" s="80" t="str">
        <f>IF(AND($F121&lt;&gt;"", $F121&gt;=BH$5-4, $F121&lt;=BH$5, COUNTIF($M121:BG121,"u")=0), "u", "")</f>
        <v/>
      </c>
      <c r="BI121" s="80" t="str">
        <f>IF(AND($F121&lt;&gt;"", $F121&gt;=BI$5-4, $F121&lt;=BI$5, COUNTIF($M121:BH121,"u")=0), "u", "")</f>
        <v/>
      </c>
      <c r="BJ121" s="80" t="str">
        <f>IF(AND($F121&lt;&gt;"", $F121&gt;=BJ$5-4, $F121&lt;=BJ$5, COUNTIF($M121:BI121,"u")=0), "u", "")</f>
        <v/>
      </c>
      <c r="BK121" s="80" t="str">
        <f>IF(AND($F121&lt;&gt;"", $F121&gt;=BK$5-4, $F121&lt;=BK$5, COUNTIF($M121:BJ121,"u")=0), "u", "")</f>
        <v/>
      </c>
      <c r="BL121" s="80" t="str">
        <f>IF(AND($F121&lt;&gt;"", $F121&gt;=BL$5-4, $F121&lt;=BL$5, COUNTIF($M121:BK121,"u")=0), "u", "")</f>
        <v/>
      </c>
      <c r="BM121" s="80" t="str">
        <f>IF(AND($F121&lt;&gt;"", $F121&gt;=BM$5-4, $F121&lt;=BM$5, COUNTIF($M121:BL121,"u")=0), "u", "")</f>
        <v/>
      </c>
      <c r="BN121" s="80" t="str">
        <f>IF(AND($F121&lt;&gt;"", $F121&gt;=BN$5-4, $F121&lt;=BN$5, COUNTIF($M121:BM121,"u")=0), "u", "")</f>
        <v/>
      </c>
      <c r="BO121" s="80" t="str">
        <f>IF(AND($F121&lt;&gt;"", $F121&gt;=BO$5-4, $F121&lt;=BO$5, COUNTIF($M121:BN121,"u")=0), "u", "")</f>
        <v/>
      </c>
      <c r="BP121" s="80" t="str">
        <f>IF(AND($F121&lt;&gt;"", $F121&gt;=BP$5-4, $F121&lt;=BP$5, COUNTIF($M121:BO121,"u")=0), "u", "")</f>
        <v/>
      </c>
      <c r="BQ121" s="80" t="str">
        <f>IF(AND($F121&lt;&gt;"", $F121&gt;=BQ$5-4, $F121&lt;=BQ$5, COUNTIF($M121:BP121,"u")=0), "u", "")</f>
        <v/>
      </c>
      <c r="BR121" s="80" t="str">
        <f>IF(AND($F121&lt;&gt;"", $F121&gt;=BR$5-4, $F121&lt;=BR$5, COUNTIF($M121:BQ121,"u")=0), "u", "")</f>
        <v/>
      </c>
      <c r="BS121" s="80" t="str">
        <f>IF(AND($F121&lt;&gt;"", $F121&gt;=BS$5-4, $F121&lt;=BS$5, COUNTIF($M121:BR121,"u")=0), "u", "")</f>
        <v/>
      </c>
      <c r="BT121" s="80" t="str">
        <f>IF(AND($F121&lt;&gt;"", $F121&gt;=BT$5-4, $F121&lt;=BT$5, COUNTIF($M121:BS121,"u")=0), "u", "")</f>
        <v/>
      </c>
      <c r="BU121" s="80" t="str">
        <f>IF(AND($F121&lt;&gt;"", $F121&gt;=BU$5-4, $F121&lt;=BU$5, COUNTIF($M121:BT121,"u")=0), "u", "")</f>
        <v/>
      </c>
      <c r="BV121" s="80" t="str">
        <f>IF(AND($F121&lt;&gt;"", $F121&gt;=BV$5-4, $F121&lt;=BV$5, COUNTIF($M121:BU121,"u")=0), "u", "")</f>
        <v/>
      </c>
      <c r="BW121" s="80" t="str">
        <f>IF(AND($F121&lt;&gt;"", $F121&gt;=BW$5-4, $F121&lt;=BW$5, COUNTIF($M121:BV121,"u")=0), "u", "")</f>
        <v/>
      </c>
      <c r="BX121" s="80" t="str">
        <f>IF(AND($F121&lt;&gt;"", $F121&gt;=BX$5-4, $F121&lt;=BX$5, COUNTIF($M121:BW121,"u")=0), "u", "")</f>
        <v/>
      </c>
      <c r="BY121" s="80" t="str">
        <f>IF(AND($F121&lt;&gt;"", $F121&gt;=BY$5-4, $F121&lt;=BY$5, COUNTIF($M121:BX121,"u")=0), "u", "")</f>
        <v/>
      </c>
      <c r="BZ121" s="80" t="str">
        <f>IF(AND($F121&lt;&gt;"", $F121&gt;=BZ$5-4, $F121&lt;=BZ$5, COUNTIF($M121:BY121,"u")=0), "u", "")</f>
        <v/>
      </c>
      <c r="CA121" s="80" t="str">
        <f>IF(AND($F121&lt;&gt;"", $F121&gt;=CA$5-4, $F121&lt;=CA$5, COUNTIF($M121:BZ121,"u")=0), "u", "")</f>
        <v/>
      </c>
      <c r="CB121" s="80" t="str">
        <f>IF(AND($F121&lt;&gt;"", $F121&gt;=CB$5-4, $F121&lt;=CB$5, COUNTIF($M121:CA121,"u")=0), "u", "")</f>
        <v/>
      </c>
      <c r="CC121" s="80" t="str">
        <f>IF(AND($F121&lt;&gt;"", $F121&gt;=CC$5-4, $F121&lt;=CC$5, COUNTIF($M121:CB121,"u")=0), "u", "")</f>
        <v/>
      </c>
      <c r="CD121" s="80" t="str">
        <f>IF(AND($F121&lt;&gt;"", $F121&gt;=CD$5-4, $F121&lt;=CD$5, COUNTIF($M121:CC121,"u")=0), "u", "")</f>
        <v/>
      </c>
      <c r="CE121" s="80" t="str">
        <f>IF(AND($F121&lt;&gt;"", $F121&gt;=CE$5-4, $F121&lt;=CE$5, COUNTIF($M121:CD121,"u")=0), "u", "")</f>
        <v/>
      </c>
      <c r="CF121" s="80" t="str">
        <f>IF(AND($F121&lt;&gt;"", $F121&gt;=CF$5-4, $F121&lt;=CF$5, COUNTIF($M121:CE121,"u")=0), "u", "")</f>
        <v/>
      </c>
      <c r="CG121" s="80" t="str">
        <f>IF(AND($F121&lt;&gt;"", $F121&gt;=CG$5-4, $F121&lt;=CG$5, COUNTIF($M121:CF121,"u")=0), "u", "")</f>
        <v/>
      </c>
      <c r="CH121" s="80" t="str">
        <f>IF(AND($F121&lt;&gt;"", $F121&gt;=CH$5-4, $F121&lt;=CH$5, COUNTIF($M121:CG121,"u")=0), "u", "")</f>
        <v/>
      </c>
      <c r="CI121" s="80" t="str">
        <f>IF(AND($F121&lt;&gt;"", $F121&gt;=CI$5-4, $F121&lt;=CI$5, COUNTIF($M121:CH121,"u")=0), "u", "")</f>
        <v/>
      </c>
      <c r="CJ121" s="80" t="str">
        <f>IF(AND($F121&lt;&gt;"", $F121&gt;=CJ$5-4, $F121&lt;=CJ$5, COUNTIF($M121:CI121,"u")=0), "u", "")</f>
        <v/>
      </c>
      <c r="CK121" s="80" t="str">
        <f>IF(AND($F121&lt;&gt;"", $F121&gt;=CK$5-4, $F121&lt;=CK$5, COUNTIF($M121:CJ121,"u")=0), "u", "")</f>
        <v/>
      </c>
      <c r="CL121" s="80" t="str">
        <f>IF(AND($F121&lt;&gt;"", $F121&gt;=CL$5-4, $F121&lt;=CL$5, COUNTIF($M121:CK121,"u")=0), "u", "")</f>
        <v/>
      </c>
      <c r="CM121" s="80" t="str">
        <f>IF(AND($F121&lt;&gt;"", $F121&gt;=CM$5-4, $F121&lt;=CM$5, COUNTIF($M121:CL121,"u")=0), "u", "")</f>
        <v/>
      </c>
      <c r="CN121" s="80" t="str">
        <f>IF(AND($F121&lt;&gt;"", $F121&gt;=CN$5-4, $F121&lt;=CN$5, COUNTIF($M121:CM121,"u")=0), "u", "")</f>
        <v/>
      </c>
      <c r="CO121" s="80" t="str">
        <f>IF(AND($F121&lt;&gt;"", $F121&gt;=CO$5-4, $F121&lt;=CO$5, COUNTIF($M121:CN121,"u")=0), "u", "")</f>
        <v/>
      </c>
      <c r="CP121" s="80" t="str">
        <f>IF(AND($F121&lt;&gt;"", $F121&gt;=CP$5-4, $F121&lt;=CP$5, COUNTIF($M121:CO121,"u")=0), "u", "")</f>
        <v/>
      </c>
      <c r="CQ121" s="80" t="str">
        <f>IF(AND($F121&lt;&gt;"", $F121&gt;=CQ$5-4, $F121&lt;=CQ$5, COUNTIF($M121:CP121,"u")=0), "u", "")</f>
        <v/>
      </c>
      <c r="CR121" s="80" t="str">
        <f>IF(AND($F121&lt;&gt;"", $F121&gt;=CR$5-4, $F121&lt;=CR$5, COUNTIF($M121:CQ121,"u")=0), "u", "")</f>
        <v/>
      </c>
      <c r="CS121" s="80" t="str">
        <f>IF(AND($F121&lt;&gt;"", $F121&gt;=CS$5-4, $F121&lt;=CS$5, COUNTIF($M121:CR121,"u")=0), "u", "")</f>
        <v/>
      </c>
      <c r="CT121" s="80" t="str">
        <f>IF(AND($F121&lt;&gt;"", $F121&gt;=CT$5-4, $F121&lt;=CT$5, COUNTIF($M121:CS121,"u")=0), "u", "")</f>
        <v/>
      </c>
      <c r="CU121" s="80" t="str">
        <f>IF(AND($F121&lt;&gt;"", $F121&gt;=CU$5-4, $F121&lt;=CU$5, COUNTIF($M121:CT121,"u")=0), "u", "")</f>
        <v/>
      </c>
      <c r="CV121" s="80" t="str">
        <f>IF(AND($F121&lt;&gt;"", $F121&gt;=CV$5-4, $F121&lt;=CV$5, COUNTIF($M121:CU121,"u")=0), "u", "")</f>
        <v/>
      </c>
      <c r="CW121" s="80" t="str">
        <f>IF(AND($F121&lt;&gt;"", $F121&gt;=CW$5-4, $F121&lt;=CW$5, COUNTIF($M121:CV121,"u")=0), "u", "")</f>
        <v/>
      </c>
      <c r="CX121" s="80" t="str">
        <f>IF(AND($F121&lt;&gt;"", $F121&gt;=CX$5-4, $F121&lt;=CX$5, COUNTIF($M121:CW121,"u")=0), "u", "")</f>
        <v/>
      </c>
      <c r="CY121" s="80" t="str">
        <f>IF(AND($F121&lt;&gt;"", $F121&gt;=CY$5-4, $F121&lt;=CY$5, COUNTIF($M121:CX121,"u")=0), "u", "")</f>
        <v/>
      </c>
      <c r="CZ121" s="80" t="str">
        <f>IF(AND($F121&lt;&gt;"", $F121&gt;=CZ$5-4, $F121&lt;=CZ$5, COUNTIF($M121:CY121,"u")=0), "u", "")</f>
        <v/>
      </c>
      <c r="DA121" s="80" t="str">
        <f>IF(AND($F121&lt;&gt;"", $F121&gt;=DA$5-4, $F121&lt;=DA$5, COUNTIF($M121:CZ121,"u")=0), "u", "")</f>
        <v/>
      </c>
      <c r="DB121" s="80" t="str">
        <f>IF(AND($F121&lt;&gt;"", $F121&gt;=DB$5-4, $F121&lt;=DB$5, COUNTIF($M121:DA121,"u")=0), "u", "")</f>
        <v/>
      </c>
      <c r="DC121" s="80" t="str">
        <f>IF(AND($F121&lt;&gt;"", $F121&gt;=DC$5-4, $F121&lt;=DC$5, COUNTIF($M121:DB121,"u")=0), "u", "")</f>
        <v/>
      </c>
      <c r="DD121" s="80" t="str">
        <f>IF(AND($F121&lt;&gt;"", $F121&gt;=DD$5-4, $F121&lt;=DD$5, COUNTIF($M121:DC121,"u")=0), "u", "")</f>
        <v/>
      </c>
      <c r="DE121" s="80" t="str">
        <f>IF(AND($F121&lt;&gt;"", $F121&gt;=DE$5-4, $F121&lt;=DE$5, COUNTIF($M121:DD121,"u")=0), "u", "")</f>
        <v/>
      </c>
      <c r="DF121" s="80" t="str">
        <f>IF(AND($F121&lt;&gt;"", $F121&gt;=DF$5-4, $F121&lt;=DF$5, COUNTIF($M121:DE121,"u")=0), "u", "")</f>
        <v/>
      </c>
      <c r="DG121" s="80" t="str">
        <f>IF(AND($F121&lt;&gt;"", $F121&gt;=DG$5-4, $F121&lt;=DG$5, COUNTIF($M121:DF121,"u")=0), "u", "")</f>
        <v/>
      </c>
      <c r="DH121" s="80" t="str">
        <f>IF(AND($F121&lt;&gt;"", $F121&gt;=DH$5-4, $F121&lt;=DH$5, COUNTIF($M121:DG121,"u")=0), "u", "")</f>
        <v/>
      </c>
      <c r="DI121" s="80" t="str">
        <f>IF(AND($F121&lt;&gt;"", $F121&gt;=DI$5-4, $F121&lt;=DI$5, COUNTIF($M121:DH121,"u")=0), "u", "")</f>
        <v/>
      </c>
      <c r="DJ121" s="80" t="str">
        <f>IF(AND($F121&lt;&gt;"", $F121&gt;=DJ$5-4, $F121&lt;=DJ$5, COUNTIF($M121:DI121,"u")=0), "u", "")</f>
        <v/>
      </c>
      <c r="DK121" s="80" t="str">
        <f>IF(AND($F121&lt;&gt;"", $F121&gt;=DK$5-4, $F121&lt;=DK$5, COUNTIF($M121:DJ121,"u")=0), "u", "")</f>
        <v/>
      </c>
      <c r="DL121" s="80" t="str">
        <f>IF(AND($F121&lt;&gt;"", $F121&gt;=DL$5-4, $F121&lt;=DL$5, COUNTIF($M121:DK121,"u")=0), "u", "")</f>
        <v/>
      </c>
    </row>
    <row r="122" spans="1:116" ht="25.05" customHeight="1" x14ac:dyDescent="0.3">
      <c r="A122" s="39"/>
      <c r="B122" s="75">
        <v>117</v>
      </c>
      <c r="C122" s="97"/>
      <c r="D122" s="92"/>
      <c r="E122" s="53"/>
      <c r="F122" s="53"/>
      <c r="G122" s="83" t="str">
        <f t="shared" si="50"/>
        <v/>
      </c>
      <c r="H122" s="83" t="str">
        <f t="shared" si="50"/>
        <v/>
      </c>
      <c r="I122" s="77" t="str">
        <f t="shared" si="48"/>
        <v/>
      </c>
      <c r="J122" s="78"/>
      <c r="K122" s="86"/>
      <c r="L122" s="56"/>
      <c r="M122" s="80" t="str">
        <f t="shared" si="49"/>
        <v/>
      </c>
      <c r="N122" s="80" t="str">
        <f>IF(AND($F122&lt;&gt;"", $F122&gt;=N$5-4, $F122&lt;=N$5, COUNTIF($M122:M122,"u")=0), "u", "")</f>
        <v/>
      </c>
      <c r="O122" s="80" t="str">
        <f>IF(AND($F122&lt;&gt;"", $F122&gt;=O$5-4, $F122&lt;=O$5, COUNTIF($M122:N122,"u")=0), "u", "")</f>
        <v/>
      </c>
      <c r="P122" s="80" t="str">
        <f>IF(AND($F122&lt;&gt;"", $F122&gt;=P$5-4, $F122&lt;=P$5, COUNTIF($M122:O122,"u")=0), "u", "")</f>
        <v/>
      </c>
      <c r="Q122" s="80" t="str">
        <f>IF(AND($F122&lt;&gt;"", $F122&gt;=Q$5-4, $F122&lt;=Q$5, COUNTIF($M122:P122,"u")=0), "u", "")</f>
        <v/>
      </c>
      <c r="R122" s="80" t="str">
        <f>IF(AND($F122&lt;&gt;"", $F122&gt;=R$5-4, $F122&lt;=R$5, COUNTIF($M122:Q122,"u")=0), "u", "")</f>
        <v/>
      </c>
      <c r="S122" s="80" t="str">
        <f>IF(AND($F122&lt;&gt;"", $F122&gt;=S$5-4, $F122&lt;=S$5, COUNTIF($M122:R122,"u")=0), "u", "")</f>
        <v/>
      </c>
      <c r="T122" s="80" t="str">
        <f>IF(AND($F122&lt;&gt;"", $F122&gt;=T$5-4, $F122&lt;=T$5, COUNTIF($M122:S122,"u")=0), "u", "")</f>
        <v/>
      </c>
      <c r="U122" s="80" t="str">
        <f>IF(AND($F122&lt;&gt;"", $F122&gt;=U$5-4, $F122&lt;=U$5, COUNTIF($M122:T122,"u")=0), "u", "")</f>
        <v/>
      </c>
      <c r="V122" s="80" t="str">
        <f>IF(AND($F122&lt;&gt;"", $F122&gt;=V$5-4, $F122&lt;=V$5, COUNTIF($M122:U122,"u")=0), "u", "")</f>
        <v/>
      </c>
      <c r="W122" s="80" t="str">
        <f>IF(AND($F122&lt;&gt;"", $F122&gt;=W$5-4, $F122&lt;=W$5, COUNTIF($M122:V122,"u")=0), "u", "")</f>
        <v/>
      </c>
      <c r="X122" s="80" t="str">
        <f>IF(AND($F122&lt;&gt;"", $F122&gt;=X$5-4, $F122&lt;=X$5, COUNTIF($M122:W122,"u")=0), "u", "")</f>
        <v/>
      </c>
      <c r="Y122" s="80" t="str">
        <f>IF(AND($F122&lt;&gt;"", $F122&gt;=Y$5-4, $F122&lt;=Y$5, COUNTIF($M122:X122,"u")=0), "u", "")</f>
        <v/>
      </c>
      <c r="Z122" s="80" t="str">
        <f>IF(AND($F122&lt;&gt;"", $F122&gt;=Z$5-4, $F122&lt;=Z$5, COUNTIF($M122:Y122,"u")=0), "u", "")</f>
        <v/>
      </c>
      <c r="AA122" s="80" t="str">
        <f>IF(AND($F122&lt;&gt;"", $F122&gt;=AA$5-4, $F122&lt;=AA$5, COUNTIF($M122:Z122,"u")=0), "u", "")</f>
        <v/>
      </c>
      <c r="AB122" s="80" t="str">
        <f>IF(AND($F122&lt;&gt;"", $F122&gt;=AB$5-4, $F122&lt;=AB$5, COUNTIF($M122:AA122,"u")=0), "u", "")</f>
        <v/>
      </c>
      <c r="AC122" s="80" t="str">
        <f>IF(AND($F122&lt;&gt;"", $F122&gt;=AC$5-4, $F122&lt;=AC$5, COUNTIF($M122:AB122,"u")=0), "u", "")</f>
        <v/>
      </c>
      <c r="AD122" s="80" t="str">
        <f>IF(AND($F122&lt;&gt;"", $F122&gt;=AD$5-4, $F122&lt;=AD$5, COUNTIF($M122:AC122,"u")=0), "u", "")</f>
        <v/>
      </c>
      <c r="AE122" s="80" t="str">
        <f>IF(AND($F122&lt;&gt;"", $F122&gt;=AE$5-4, $F122&lt;=AE$5, COUNTIF($M122:AD122,"u")=0), "u", "")</f>
        <v/>
      </c>
      <c r="AF122" s="80" t="str">
        <f>IF(AND($F122&lt;&gt;"", $F122&gt;=AF$5-4, $F122&lt;=AF$5, COUNTIF($M122:AE122,"u")=0), "u", "")</f>
        <v/>
      </c>
      <c r="AG122" s="80" t="str">
        <f>IF(AND($F122&lt;&gt;"", $F122&gt;=AG$5-4, $F122&lt;=AG$5, COUNTIF($M122:AF122,"u")=0), "u", "")</f>
        <v/>
      </c>
      <c r="AH122" s="80" t="str">
        <f>IF(AND($F122&lt;&gt;"", $F122&gt;=AH$5-4, $F122&lt;=AH$5, COUNTIF($M122:AG122,"u")=0), "u", "")</f>
        <v/>
      </c>
      <c r="AI122" s="80" t="str">
        <f>IF(AND($F122&lt;&gt;"", $F122&gt;=AI$5-4, $F122&lt;=AI$5, COUNTIF($M122:AH122,"u")=0), "u", "")</f>
        <v/>
      </c>
      <c r="AJ122" s="80" t="str">
        <f>IF(AND($F122&lt;&gt;"", $F122&gt;=AJ$5-4, $F122&lt;=AJ$5, COUNTIF($M122:AI122,"u")=0), "u", "")</f>
        <v/>
      </c>
      <c r="AK122" s="80" t="str">
        <f>IF(AND($F122&lt;&gt;"", $F122&gt;=AK$5-4, $F122&lt;=AK$5, COUNTIF($M122:AJ122,"u")=0), "u", "")</f>
        <v/>
      </c>
      <c r="AL122" s="80" t="str">
        <f>IF(AND($F122&lt;&gt;"", $F122&gt;=AL$5-4, $F122&lt;=AL$5, COUNTIF($M122:AK122,"u")=0), "u", "")</f>
        <v/>
      </c>
      <c r="AM122" s="80" t="str">
        <f>IF(AND($F122&lt;&gt;"", $F122&gt;=AM$5-4, $F122&lt;=AM$5, COUNTIF($M122:AL122,"u")=0), "u", "")</f>
        <v/>
      </c>
      <c r="AN122" s="80" t="str">
        <f>IF(AND($F122&lt;&gt;"", $F122&gt;=AN$5-4, $F122&lt;=AN$5, COUNTIF($M122:AM122,"u")=0), "u", "")</f>
        <v/>
      </c>
      <c r="AO122" s="80" t="str">
        <f>IF(AND($F122&lt;&gt;"", $F122&gt;=AO$5-4, $F122&lt;=AO$5, COUNTIF($M122:AN122,"u")=0), "u", "")</f>
        <v/>
      </c>
      <c r="AP122" s="80" t="str">
        <f>IF(AND($F122&lt;&gt;"", $F122&gt;=AP$5-4, $F122&lt;=AP$5, COUNTIF($M122:AO122,"u")=0), "u", "")</f>
        <v/>
      </c>
      <c r="AQ122" s="80" t="str">
        <f>IF(AND($F122&lt;&gt;"", $F122&gt;=AQ$5-4, $F122&lt;=AQ$5, COUNTIF($M122:AP122,"u")=0), "u", "")</f>
        <v/>
      </c>
      <c r="AR122" s="80" t="str">
        <f>IF(AND($F122&lt;&gt;"", $F122&gt;=AR$5-4, $F122&lt;=AR$5, COUNTIF($M122:AQ122,"u")=0), "u", "")</f>
        <v/>
      </c>
      <c r="AS122" s="80" t="str">
        <f>IF(AND($F122&lt;&gt;"", $F122&gt;=AS$5-4, $F122&lt;=AS$5, COUNTIF($M122:AR122,"u")=0), "u", "")</f>
        <v/>
      </c>
      <c r="AT122" s="80" t="str">
        <f>IF(AND($F122&lt;&gt;"", $F122&gt;=AT$5-4, $F122&lt;=AT$5, COUNTIF($M122:AS122,"u")=0), "u", "")</f>
        <v/>
      </c>
      <c r="AU122" s="80" t="str">
        <f>IF(AND($F122&lt;&gt;"", $F122&gt;=AU$5-4, $F122&lt;=AU$5, COUNTIF($M122:AT122,"u")=0), "u", "")</f>
        <v/>
      </c>
      <c r="AV122" s="80" t="str">
        <f>IF(AND($F122&lt;&gt;"", $F122&gt;=AV$5-4, $F122&lt;=AV$5, COUNTIF($M122:AU122,"u")=0), "u", "")</f>
        <v/>
      </c>
      <c r="AW122" s="80" t="str">
        <f>IF(AND($F122&lt;&gt;"", $F122&gt;=AW$5-4, $F122&lt;=AW$5, COUNTIF($M122:AV122,"u")=0), "u", "")</f>
        <v/>
      </c>
      <c r="AX122" s="80" t="str">
        <f>IF(AND($F122&lt;&gt;"", $F122&gt;=AX$5-4, $F122&lt;=AX$5, COUNTIF($M122:AW122,"u")=0), "u", "")</f>
        <v/>
      </c>
      <c r="AY122" s="80" t="str">
        <f>IF(AND($F122&lt;&gt;"", $F122&gt;=AY$5-4, $F122&lt;=AY$5, COUNTIF($M122:AX122,"u")=0), "u", "")</f>
        <v/>
      </c>
      <c r="AZ122" s="80" t="str">
        <f>IF(AND($F122&lt;&gt;"", $F122&gt;=AZ$5-4, $F122&lt;=AZ$5, COUNTIF($M122:AY122,"u")=0), "u", "")</f>
        <v/>
      </c>
      <c r="BA122" s="80" t="str">
        <f>IF(AND($F122&lt;&gt;"", $F122&gt;=BA$5-4, $F122&lt;=BA$5, COUNTIF($M122:AZ122,"u")=0), "u", "")</f>
        <v/>
      </c>
      <c r="BB122" s="80" t="str">
        <f>IF(AND($F122&lt;&gt;"", $F122&gt;=BB$5-4, $F122&lt;=BB$5, COUNTIF($M122:BA122,"u")=0), "u", "")</f>
        <v/>
      </c>
      <c r="BC122" s="80" t="str">
        <f>IF(AND($F122&lt;&gt;"", $F122&gt;=BC$5-4, $F122&lt;=BC$5, COUNTIF($M122:BB122,"u")=0), "u", "")</f>
        <v/>
      </c>
      <c r="BD122" s="80" t="str">
        <f>IF(AND($F122&lt;&gt;"", $F122&gt;=BD$5-4, $F122&lt;=BD$5, COUNTIF($M122:BC122,"u")=0), "u", "")</f>
        <v/>
      </c>
      <c r="BE122" s="80" t="str">
        <f>IF(AND($F122&lt;&gt;"", $F122&gt;=BE$5-4, $F122&lt;=BE$5, COUNTIF($M122:BD122,"u")=0), "u", "")</f>
        <v/>
      </c>
      <c r="BF122" s="80" t="str">
        <f>IF(AND($F122&lt;&gt;"", $F122&gt;=BF$5-4, $F122&lt;=BF$5, COUNTIF($M122:BE122,"u")=0), "u", "")</f>
        <v/>
      </c>
      <c r="BG122" s="80" t="str">
        <f>IF(AND($F122&lt;&gt;"", $F122&gt;=BG$5-4, $F122&lt;=BG$5, COUNTIF($M122:BF122,"u")=0), "u", "")</f>
        <v/>
      </c>
      <c r="BH122" s="80" t="str">
        <f>IF(AND($F122&lt;&gt;"", $F122&gt;=BH$5-4, $F122&lt;=BH$5, COUNTIF($M122:BG122,"u")=0), "u", "")</f>
        <v/>
      </c>
      <c r="BI122" s="80" t="str">
        <f>IF(AND($F122&lt;&gt;"", $F122&gt;=BI$5-4, $F122&lt;=BI$5, COUNTIF($M122:BH122,"u")=0), "u", "")</f>
        <v/>
      </c>
      <c r="BJ122" s="80" t="str">
        <f>IF(AND($F122&lt;&gt;"", $F122&gt;=BJ$5-4, $F122&lt;=BJ$5, COUNTIF($M122:BI122,"u")=0), "u", "")</f>
        <v/>
      </c>
      <c r="BK122" s="80" t="str">
        <f>IF(AND($F122&lt;&gt;"", $F122&gt;=BK$5-4, $F122&lt;=BK$5, COUNTIF($M122:BJ122,"u")=0), "u", "")</f>
        <v/>
      </c>
      <c r="BL122" s="80" t="str">
        <f>IF(AND($F122&lt;&gt;"", $F122&gt;=BL$5-4, $F122&lt;=BL$5, COUNTIF($M122:BK122,"u")=0), "u", "")</f>
        <v/>
      </c>
      <c r="BM122" s="80" t="str">
        <f>IF(AND($F122&lt;&gt;"", $F122&gt;=BM$5-4, $F122&lt;=BM$5, COUNTIF($M122:BL122,"u")=0), "u", "")</f>
        <v/>
      </c>
      <c r="BN122" s="80" t="str">
        <f>IF(AND($F122&lt;&gt;"", $F122&gt;=BN$5-4, $F122&lt;=BN$5, COUNTIF($M122:BM122,"u")=0), "u", "")</f>
        <v/>
      </c>
      <c r="BO122" s="80" t="str">
        <f>IF(AND($F122&lt;&gt;"", $F122&gt;=BO$5-4, $F122&lt;=BO$5, COUNTIF($M122:BN122,"u")=0), "u", "")</f>
        <v/>
      </c>
      <c r="BP122" s="80" t="str">
        <f>IF(AND($F122&lt;&gt;"", $F122&gt;=BP$5-4, $F122&lt;=BP$5, COUNTIF($M122:BO122,"u")=0), "u", "")</f>
        <v/>
      </c>
      <c r="BQ122" s="80" t="str">
        <f>IF(AND($F122&lt;&gt;"", $F122&gt;=BQ$5-4, $F122&lt;=BQ$5, COUNTIF($M122:BP122,"u")=0), "u", "")</f>
        <v/>
      </c>
      <c r="BR122" s="80" t="str">
        <f>IF(AND($F122&lt;&gt;"", $F122&gt;=BR$5-4, $F122&lt;=BR$5, COUNTIF($M122:BQ122,"u")=0), "u", "")</f>
        <v/>
      </c>
      <c r="BS122" s="80" t="str">
        <f>IF(AND($F122&lt;&gt;"", $F122&gt;=BS$5-4, $F122&lt;=BS$5, COUNTIF($M122:BR122,"u")=0), "u", "")</f>
        <v/>
      </c>
      <c r="BT122" s="80" t="str">
        <f>IF(AND($F122&lt;&gt;"", $F122&gt;=BT$5-4, $F122&lt;=BT$5, COUNTIF($M122:BS122,"u")=0), "u", "")</f>
        <v/>
      </c>
      <c r="BU122" s="80" t="str">
        <f>IF(AND($F122&lt;&gt;"", $F122&gt;=BU$5-4, $F122&lt;=BU$5, COUNTIF($M122:BT122,"u")=0), "u", "")</f>
        <v/>
      </c>
      <c r="BV122" s="80" t="str">
        <f>IF(AND($F122&lt;&gt;"", $F122&gt;=BV$5-4, $F122&lt;=BV$5, COUNTIF($M122:BU122,"u")=0), "u", "")</f>
        <v/>
      </c>
      <c r="BW122" s="80" t="str">
        <f>IF(AND($F122&lt;&gt;"", $F122&gt;=BW$5-4, $F122&lt;=BW$5, COUNTIF($M122:BV122,"u")=0), "u", "")</f>
        <v/>
      </c>
      <c r="BX122" s="80" t="str">
        <f>IF(AND($F122&lt;&gt;"", $F122&gt;=BX$5-4, $F122&lt;=BX$5, COUNTIF($M122:BW122,"u")=0), "u", "")</f>
        <v/>
      </c>
      <c r="BY122" s="80" t="str">
        <f>IF(AND($F122&lt;&gt;"", $F122&gt;=BY$5-4, $F122&lt;=BY$5, COUNTIF($M122:BX122,"u")=0), "u", "")</f>
        <v/>
      </c>
      <c r="BZ122" s="80" t="str">
        <f>IF(AND($F122&lt;&gt;"", $F122&gt;=BZ$5-4, $F122&lt;=BZ$5, COUNTIF($M122:BY122,"u")=0), "u", "")</f>
        <v/>
      </c>
      <c r="CA122" s="80" t="str">
        <f>IF(AND($F122&lt;&gt;"", $F122&gt;=CA$5-4, $F122&lt;=CA$5, COUNTIF($M122:BZ122,"u")=0), "u", "")</f>
        <v/>
      </c>
      <c r="CB122" s="80" t="str">
        <f>IF(AND($F122&lt;&gt;"", $F122&gt;=CB$5-4, $F122&lt;=CB$5, COUNTIF($M122:CA122,"u")=0), "u", "")</f>
        <v/>
      </c>
      <c r="CC122" s="80" t="str">
        <f>IF(AND($F122&lt;&gt;"", $F122&gt;=CC$5-4, $F122&lt;=CC$5, COUNTIF($M122:CB122,"u")=0), "u", "")</f>
        <v/>
      </c>
      <c r="CD122" s="80" t="str">
        <f>IF(AND($F122&lt;&gt;"", $F122&gt;=CD$5-4, $F122&lt;=CD$5, COUNTIF($M122:CC122,"u")=0), "u", "")</f>
        <v/>
      </c>
      <c r="CE122" s="80" t="str">
        <f>IF(AND($F122&lt;&gt;"", $F122&gt;=CE$5-4, $F122&lt;=CE$5, COUNTIF($M122:CD122,"u")=0), "u", "")</f>
        <v/>
      </c>
      <c r="CF122" s="80" t="str">
        <f>IF(AND($F122&lt;&gt;"", $F122&gt;=CF$5-4, $F122&lt;=CF$5, COUNTIF($M122:CE122,"u")=0), "u", "")</f>
        <v/>
      </c>
      <c r="CG122" s="80" t="str">
        <f>IF(AND($F122&lt;&gt;"", $F122&gt;=CG$5-4, $F122&lt;=CG$5, COUNTIF($M122:CF122,"u")=0), "u", "")</f>
        <v/>
      </c>
      <c r="CH122" s="80" t="str">
        <f>IF(AND($F122&lt;&gt;"", $F122&gt;=CH$5-4, $F122&lt;=CH$5, COUNTIF($M122:CG122,"u")=0), "u", "")</f>
        <v/>
      </c>
      <c r="CI122" s="80" t="str">
        <f>IF(AND($F122&lt;&gt;"", $F122&gt;=CI$5-4, $F122&lt;=CI$5, COUNTIF($M122:CH122,"u")=0), "u", "")</f>
        <v/>
      </c>
      <c r="CJ122" s="80" t="str">
        <f>IF(AND($F122&lt;&gt;"", $F122&gt;=CJ$5-4, $F122&lt;=CJ$5, COUNTIF($M122:CI122,"u")=0), "u", "")</f>
        <v/>
      </c>
      <c r="CK122" s="80" t="str">
        <f>IF(AND($F122&lt;&gt;"", $F122&gt;=CK$5-4, $F122&lt;=CK$5, COUNTIF($M122:CJ122,"u")=0), "u", "")</f>
        <v/>
      </c>
      <c r="CL122" s="80" t="str">
        <f>IF(AND($F122&lt;&gt;"", $F122&gt;=CL$5-4, $F122&lt;=CL$5, COUNTIF($M122:CK122,"u")=0), "u", "")</f>
        <v/>
      </c>
      <c r="CM122" s="80" t="str">
        <f>IF(AND($F122&lt;&gt;"", $F122&gt;=CM$5-4, $F122&lt;=CM$5, COUNTIF($M122:CL122,"u")=0), "u", "")</f>
        <v/>
      </c>
      <c r="CN122" s="80" t="str">
        <f>IF(AND($F122&lt;&gt;"", $F122&gt;=CN$5-4, $F122&lt;=CN$5, COUNTIF($M122:CM122,"u")=0), "u", "")</f>
        <v/>
      </c>
      <c r="CO122" s="80" t="str">
        <f>IF(AND($F122&lt;&gt;"", $F122&gt;=CO$5-4, $F122&lt;=CO$5, COUNTIF($M122:CN122,"u")=0), "u", "")</f>
        <v/>
      </c>
      <c r="CP122" s="80" t="str">
        <f>IF(AND($F122&lt;&gt;"", $F122&gt;=CP$5-4, $F122&lt;=CP$5, COUNTIF($M122:CO122,"u")=0), "u", "")</f>
        <v/>
      </c>
      <c r="CQ122" s="80" t="str">
        <f>IF(AND($F122&lt;&gt;"", $F122&gt;=CQ$5-4, $F122&lt;=CQ$5, COUNTIF($M122:CP122,"u")=0), "u", "")</f>
        <v/>
      </c>
      <c r="CR122" s="80" t="str">
        <f>IF(AND($F122&lt;&gt;"", $F122&gt;=CR$5-4, $F122&lt;=CR$5, COUNTIF($M122:CQ122,"u")=0), "u", "")</f>
        <v/>
      </c>
      <c r="CS122" s="80" t="str">
        <f>IF(AND($F122&lt;&gt;"", $F122&gt;=CS$5-4, $F122&lt;=CS$5, COUNTIF($M122:CR122,"u")=0), "u", "")</f>
        <v/>
      </c>
      <c r="CT122" s="80" t="str">
        <f>IF(AND($F122&lt;&gt;"", $F122&gt;=CT$5-4, $F122&lt;=CT$5, COUNTIF($M122:CS122,"u")=0), "u", "")</f>
        <v/>
      </c>
      <c r="CU122" s="80" t="str">
        <f>IF(AND($F122&lt;&gt;"", $F122&gt;=CU$5-4, $F122&lt;=CU$5, COUNTIF($M122:CT122,"u")=0), "u", "")</f>
        <v/>
      </c>
      <c r="CV122" s="80" t="str">
        <f>IF(AND($F122&lt;&gt;"", $F122&gt;=CV$5-4, $F122&lt;=CV$5, COUNTIF($M122:CU122,"u")=0), "u", "")</f>
        <v/>
      </c>
      <c r="CW122" s="80" t="str">
        <f>IF(AND($F122&lt;&gt;"", $F122&gt;=CW$5-4, $F122&lt;=CW$5, COUNTIF($M122:CV122,"u")=0), "u", "")</f>
        <v/>
      </c>
      <c r="CX122" s="80" t="str">
        <f>IF(AND($F122&lt;&gt;"", $F122&gt;=CX$5-4, $F122&lt;=CX$5, COUNTIF($M122:CW122,"u")=0), "u", "")</f>
        <v/>
      </c>
      <c r="CY122" s="80" t="str">
        <f>IF(AND($F122&lt;&gt;"", $F122&gt;=CY$5-4, $F122&lt;=CY$5, COUNTIF($M122:CX122,"u")=0), "u", "")</f>
        <v/>
      </c>
      <c r="CZ122" s="80" t="str">
        <f>IF(AND($F122&lt;&gt;"", $F122&gt;=CZ$5-4, $F122&lt;=CZ$5, COUNTIF($M122:CY122,"u")=0), "u", "")</f>
        <v/>
      </c>
      <c r="DA122" s="80" t="str">
        <f>IF(AND($F122&lt;&gt;"", $F122&gt;=DA$5-4, $F122&lt;=DA$5, COUNTIF($M122:CZ122,"u")=0), "u", "")</f>
        <v/>
      </c>
      <c r="DB122" s="80" t="str">
        <f>IF(AND($F122&lt;&gt;"", $F122&gt;=DB$5-4, $F122&lt;=DB$5, COUNTIF($M122:DA122,"u")=0), "u", "")</f>
        <v/>
      </c>
      <c r="DC122" s="80" t="str">
        <f>IF(AND($F122&lt;&gt;"", $F122&gt;=DC$5-4, $F122&lt;=DC$5, COUNTIF($M122:DB122,"u")=0), "u", "")</f>
        <v/>
      </c>
      <c r="DD122" s="80" t="str">
        <f>IF(AND($F122&lt;&gt;"", $F122&gt;=DD$5-4, $F122&lt;=DD$5, COUNTIF($M122:DC122,"u")=0), "u", "")</f>
        <v/>
      </c>
      <c r="DE122" s="80" t="str">
        <f>IF(AND($F122&lt;&gt;"", $F122&gt;=DE$5-4, $F122&lt;=DE$5, COUNTIF($M122:DD122,"u")=0), "u", "")</f>
        <v/>
      </c>
      <c r="DF122" s="80" t="str">
        <f>IF(AND($F122&lt;&gt;"", $F122&gt;=DF$5-4, $F122&lt;=DF$5, COUNTIF($M122:DE122,"u")=0), "u", "")</f>
        <v/>
      </c>
      <c r="DG122" s="80" t="str">
        <f>IF(AND($F122&lt;&gt;"", $F122&gt;=DG$5-4, $F122&lt;=DG$5, COUNTIF($M122:DF122,"u")=0), "u", "")</f>
        <v/>
      </c>
      <c r="DH122" s="80" t="str">
        <f>IF(AND($F122&lt;&gt;"", $F122&gt;=DH$5-4, $F122&lt;=DH$5, COUNTIF($M122:DG122,"u")=0), "u", "")</f>
        <v/>
      </c>
      <c r="DI122" s="80" t="str">
        <f>IF(AND($F122&lt;&gt;"", $F122&gt;=DI$5-4, $F122&lt;=DI$5, COUNTIF($M122:DH122,"u")=0), "u", "")</f>
        <v/>
      </c>
      <c r="DJ122" s="80" t="str">
        <f>IF(AND($F122&lt;&gt;"", $F122&gt;=DJ$5-4, $F122&lt;=DJ$5, COUNTIF($M122:DI122,"u")=0), "u", "")</f>
        <v/>
      </c>
      <c r="DK122" s="80" t="str">
        <f>IF(AND($F122&lt;&gt;"", $F122&gt;=DK$5-4, $F122&lt;=DK$5, COUNTIF($M122:DJ122,"u")=0), "u", "")</f>
        <v/>
      </c>
      <c r="DL122" s="80" t="str">
        <f>IF(AND($F122&lt;&gt;"", $F122&gt;=DL$5-4, $F122&lt;=DL$5, COUNTIF($M122:DK122,"u")=0), "u", "")</f>
        <v/>
      </c>
    </row>
    <row r="123" spans="1:116" ht="25.05" customHeight="1" x14ac:dyDescent="0.3">
      <c r="A123" s="39"/>
      <c r="B123" s="75">
        <v>118</v>
      </c>
      <c r="C123" s="97"/>
      <c r="D123" s="92"/>
      <c r="E123" s="53"/>
      <c r="F123" s="53"/>
      <c r="G123" s="83" t="str">
        <f t="shared" si="50"/>
        <v/>
      </c>
      <c r="H123" s="83" t="str">
        <f t="shared" si="50"/>
        <v/>
      </c>
      <c r="I123" s="77" t="str">
        <f t="shared" si="48"/>
        <v/>
      </c>
      <c r="J123" s="78"/>
      <c r="K123" s="86"/>
      <c r="L123" s="56"/>
      <c r="M123" s="80" t="str">
        <f t="shared" si="49"/>
        <v/>
      </c>
      <c r="N123" s="80" t="str">
        <f>IF(AND($F123&lt;&gt;"", $F123&gt;=N$5-4, $F123&lt;=N$5, COUNTIF($M123:M123,"u")=0), "u", "")</f>
        <v/>
      </c>
      <c r="O123" s="80" t="str">
        <f>IF(AND($F123&lt;&gt;"", $F123&gt;=O$5-4, $F123&lt;=O$5, COUNTIF($M123:N123,"u")=0), "u", "")</f>
        <v/>
      </c>
      <c r="P123" s="80" t="str">
        <f>IF(AND($F123&lt;&gt;"", $F123&gt;=P$5-4, $F123&lt;=P$5, COUNTIF($M123:O123,"u")=0), "u", "")</f>
        <v/>
      </c>
      <c r="Q123" s="80" t="str">
        <f>IF(AND($F123&lt;&gt;"", $F123&gt;=Q$5-4, $F123&lt;=Q$5, COUNTIF($M123:P123,"u")=0), "u", "")</f>
        <v/>
      </c>
      <c r="R123" s="80" t="str">
        <f>IF(AND($F123&lt;&gt;"", $F123&gt;=R$5-4, $F123&lt;=R$5, COUNTIF($M123:Q123,"u")=0), "u", "")</f>
        <v/>
      </c>
      <c r="S123" s="80" t="str">
        <f>IF(AND($F123&lt;&gt;"", $F123&gt;=S$5-4, $F123&lt;=S$5, COUNTIF($M123:R123,"u")=0), "u", "")</f>
        <v/>
      </c>
      <c r="T123" s="80" t="str">
        <f>IF(AND($F123&lt;&gt;"", $F123&gt;=T$5-4, $F123&lt;=T$5, COUNTIF($M123:S123,"u")=0), "u", "")</f>
        <v/>
      </c>
      <c r="U123" s="80" t="str">
        <f>IF(AND($F123&lt;&gt;"", $F123&gt;=U$5-4, $F123&lt;=U$5, COUNTIF($M123:T123,"u")=0), "u", "")</f>
        <v/>
      </c>
      <c r="V123" s="80" t="str">
        <f>IF(AND($F123&lt;&gt;"", $F123&gt;=V$5-4, $F123&lt;=V$5, COUNTIF($M123:U123,"u")=0), "u", "")</f>
        <v/>
      </c>
      <c r="W123" s="80" t="str">
        <f>IF(AND($F123&lt;&gt;"", $F123&gt;=W$5-4, $F123&lt;=W$5, COUNTIF($M123:V123,"u")=0), "u", "")</f>
        <v/>
      </c>
      <c r="X123" s="80" t="str">
        <f>IF(AND($F123&lt;&gt;"", $F123&gt;=X$5-4, $F123&lt;=X$5, COUNTIF($M123:W123,"u")=0), "u", "")</f>
        <v/>
      </c>
      <c r="Y123" s="80" t="str">
        <f>IF(AND($F123&lt;&gt;"", $F123&gt;=Y$5-4, $F123&lt;=Y$5, COUNTIF($M123:X123,"u")=0), "u", "")</f>
        <v/>
      </c>
      <c r="Z123" s="80" t="str">
        <f>IF(AND($F123&lt;&gt;"", $F123&gt;=Z$5-4, $F123&lt;=Z$5, COUNTIF($M123:Y123,"u")=0), "u", "")</f>
        <v/>
      </c>
      <c r="AA123" s="80" t="str">
        <f>IF(AND($F123&lt;&gt;"", $F123&gt;=AA$5-4, $F123&lt;=AA$5, COUNTIF($M123:Z123,"u")=0), "u", "")</f>
        <v/>
      </c>
      <c r="AB123" s="80" t="str">
        <f>IF(AND($F123&lt;&gt;"", $F123&gt;=AB$5-4, $F123&lt;=AB$5, COUNTIF($M123:AA123,"u")=0), "u", "")</f>
        <v/>
      </c>
      <c r="AC123" s="80" t="str">
        <f>IF(AND($F123&lt;&gt;"", $F123&gt;=AC$5-4, $F123&lt;=AC$5, COUNTIF($M123:AB123,"u")=0), "u", "")</f>
        <v/>
      </c>
      <c r="AD123" s="80" t="str">
        <f>IF(AND($F123&lt;&gt;"", $F123&gt;=AD$5-4, $F123&lt;=AD$5, COUNTIF($M123:AC123,"u")=0), "u", "")</f>
        <v/>
      </c>
      <c r="AE123" s="80" t="str">
        <f>IF(AND($F123&lt;&gt;"", $F123&gt;=AE$5-4, $F123&lt;=AE$5, COUNTIF($M123:AD123,"u")=0), "u", "")</f>
        <v/>
      </c>
      <c r="AF123" s="80" t="str">
        <f>IF(AND($F123&lt;&gt;"", $F123&gt;=AF$5-4, $F123&lt;=AF$5, COUNTIF($M123:AE123,"u")=0), "u", "")</f>
        <v/>
      </c>
      <c r="AG123" s="80" t="str">
        <f>IF(AND($F123&lt;&gt;"", $F123&gt;=AG$5-4, $F123&lt;=AG$5, COUNTIF($M123:AF123,"u")=0), "u", "")</f>
        <v/>
      </c>
      <c r="AH123" s="80" t="str">
        <f>IF(AND($F123&lt;&gt;"", $F123&gt;=AH$5-4, $F123&lt;=AH$5, COUNTIF($M123:AG123,"u")=0), "u", "")</f>
        <v/>
      </c>
      <c r="AI123" s="80" t="str">
        <f>IF(AND($F123&lt;&gt;"", $F123&gt;=AI$5-4, $F123&lt;=AI$5, COUNTIF($M123:AH123,"u")=0), "u", "")</f>
        <v/>
      </c>
      <c r="AJ123" s="80" t="str">
        <f>IF(AND($F123&lt;&gt;"", $F123&gt;=AJ$5-4, $F123&lt;=AJ$5, COUNTIF($M123:AI123,"u")=0), "u", "")</f>
        <v/>
      </c>
      <c r="AK123" s="80" t="str">
        <f>IF(AND($F123&lt;&gt;"", $F123&gt;=AK$5-4, $F123&lt;=AK$5, COUNTIF($M123:AJ123,"u")=0), "u", "")</f>
        <v/>
      </c>
      <c r="AL123" s="80" t="str">
        <f>IF(AND($F123&lt;&gt;"", $F123&gt;=AL$5-4, $F123&lt;=AL$5, COUNTIF($M123:AK123,"u")=0), "u", "")</f>
        <v/>
      </c>
      <c r="AM123" s="80" t="str">
        <f>IF(AND($F123&lt;&gt;"", $F123&gt;=AM$5-4, $F123&lt;=AM$5, COUNTIF($M123:AL123,"u")=0), "u", "")</f>
        <v/>
      </c>
      <c r="AN123" s="80" t="str">
        <f>IF(AND($F123&lt;&gt;"", $F123&gt;=AN$5-4, $F123&lt;=AN$5, COUNTIF($M123:AM123,"u")=0), "u", "")</f>
        <v/>
      </c>
      <c r="AO123" s="80" t="str">
        <f>IF(AND($F123&lt;&gt;"", $F123&gt;=AO$5-4, $F123&lt;=AO$5, COUNTIF($M123:AN123,"u")=0), "u", "")</f>
        <v/>
      </c>
      <c r="AP123" s="80" t="str">
        <f>IF(AND($F123&lt;&gt;"", $F123&gt;=AP$5-4, $F123&lt;=AP$5, COUNTIF($M123:AO123,"u")=0), "u", "")</f>
        <v/>
      </c>
      <c r="AQ123" s="80" t="str">
        <f>IF(AND($F123&lt;&gt;"", $F123&gt;=AQ$5-4, $F123&lt;=AQ$5, COUNTIF($M123:AP123,"u")=0), "u", "")</f>
        <v/>
      </c>
      <c r="AR123" s="80" t="str">
        <f>IF(AND($F123&lt;&gt;"", $F123&gt;=AR$5-4, $F123&lt;=AR$5, COUNTIF($M123:AQ123,"u")=0), "u", "")</f>
        <v/>
      </c>
      <c r="AS123" s="80" t="str">
        <f>IF(AND($F123&lt;&gt;"", $F123&gt;=AS$5-4, $F123&lt;=AS$5, COUNTIF($M123:AR123,"u")=0), "u", "")</f>
        <v/>
      </c>
      <c r="AT123" s="80" t="str">
        <f>IF(AND($F123&lt;&gt;"", $F123&gt;=AT$5-4, $F123&lt;=AT$5, COUNTIF($M123:AS123,"u")=0), "u", "")</f>
        <v/>
      </c>
      <c r="AU123" s="80" t="str">
        <f>IF(AND($F123&lt;&gt;"", $F123&gt;=AU$5-4, $F123&lt;=AU$5, COUNTIF($M123:AT123,"u")=0), "u", "")</f>
        <v/>
      </c>
      <c r="AV123" s="80" t="str">
        <f>IF(AND($F123&lt;&gt;"", $F123&gt;=AV$5-4, $F123&lt;=AV$5, COUNTIF($M123:AU123,"u")=0), "u", "")</f>
        <v/>
      </c>
      <c r="AW123" s="80" t="str">
        <f>IF(AND($F123&lt;&gt;"", $F123&gt;=AW$5-4, $F123&lt;=AW$5, COUNTIF($M123:AV123,"u")=0), "u", "")</f>
        <v/>
      </c>
      <c r="AX123" s="80" t="str">
        <f>IF(AND($F123&lt;&gt;"", $F123&gt;=AX$5-4, $F123&lt;=AX$5, COUNTIF($M123:AW123,"u")=0), "u", "")</f>
        <v/>
      </c>
      <c r="AY123" s="80" t="str">
        <f>IF(AND($F123&lt;&gt;"", $F123&gt;=AY$5-4, $F123&lt;=AY$5, COUNTIF($M123:AX123,"u")=0), "u", "")</f>
        <v/>
      </c>
      <c r="AZ123" s="80" t="str">
        <f>IF(AND($F123&lt;&gt;"", $F123&gt;=AZ$5-4, $F123&lt;=AZ$5, COUNTIF($M123:AY123,"u")=0), "u", "")</f>
        <v/>
      </c>
      <c r="BA123" s="80" t="str">
        <f>IF(AND($F123&lt;&gt;"", $F123&gt;=BA$5-4, $F123&lt;=BA$5, COUNTIF($M123:AZ123,"u")=0), "u", "")</f>
        <v/>
      </c>
      <c r="BB123" s="80" t="str">
        <f>IF(AND($F123&lt;&gt;"", $F123&gt;=BB$5-4, $F123&lt;=BB$5, COUNTIF($M123:BA123,"u")=0), "u", "")</f>
        <v/>
      </c>
      <c r="BC123" s="80" t="str">
        <f>IF(AND($F123&lt;&gt;"", $F123&gt;=BC$5-4, $F123&lt;=BC$5, COUNTIF($M123:BB123,"u")=0), "u", "")</f>
        <v/>
      </c>
      <c r="BD123" s="80" t="str">
        <f>IF(AND($F123&lt;&gt;"", $F123&gt;=BD$5-4, $F123&lt;=BD$5, COUNTIF($M123:BC123,"u")=0), "u", "")</f>
        <v/>
      </c>
      <c r="BE123" s="80" t="str">
        <f>IF(AND($F123&lt;&gt;"", $F123&gt;=BE$5-4, $F123&lt;=BE$5, COUNTIF($M123:BD123,"u")=0), "u", "")</f>
        <v/>
      </c>
      <c r="BF123" s="80" t="str">
        <f>IF(AND($F123&lt;&gt;"", $F123&gt;=BF$5-4, $F123&lt;=BF$5, COUNTIF($M123:BE123,"u")=0), "u", "")</f>
        <v/>
      </c>
      <c r="BG123" s="80" t="str">
        <f>IF(AND($F123&lt;&gt;"", $F123&gt;=BG$5-4, $F123&lt;=BG$5, COUNTIF($M123:BF123,"u")=0), "u", "")</f>
        <v/>
      </c>
      <c r="BH123" s="80" t="str">
        <f>IF(AND($F123&lt;&gt;"", $F123&gt;=BH$5-4, $F123&lt;=BH$5, COUNTIF($M123:BG123,"u")=0), "u", "")</f>
        <v/>
      </c>
      <c r="BI123" s="80" t="str">
        <f>IF(AND($F123&lt;&gt;"", $F123&gt;=BI$5-4, $F123&lt;=BI$5, COUNTIF($M123:BH123,"u")=0), "u", "")</f>
        <v/>
      </c>
      <c r="BJ123" s="80" t="str">
        <f>IF(AND($F123&lt;&gt;"", $F123&gt;=BJ$5-4, $F123&lt;=BJ$5, COUNTIF($M123:BI123,"u")=0), "u", "")</f>
        <v/>
      </c>
      <c r="BK123" s="80" t="str">
        <f>IF(AND($F123&lt;&gt;"", $F123&gt;=BK$5-4, $F123&lt;=BK$5, COUNTIF($M123:BJ123,"u")=0), "u", "")</f>
        <v/>
      </c>
      <c r="BL123" s="80" t="str">
        <f>IF(AND($F123&lt;&gt;"", $F123&gt;=BL$5-4, $F123&lt;=BL$5, COUNTIF($M123:BK123,"u")=0), "u", "")</f>
        <v/>
      </c>
      <c r="BM123" s="80" t="str">
        <f>IF(AND($F123&lt;&gt;"", $F123&gt;=BM$5-4, $F123&lt;=BM$5, COUNTIF($M123:BL123,"u")=0), "u", "")</f>
        <v/>
      </c>
      <c r="BN123" s="80" t="str">
        <f>IF(AND($F123&lt;&gt;"", $F123&gt;=BN$5-4, $F123&lt;=BN$5, COUNTIF($M123:BM123,"u")=0), "u", "")</f>
        <v/>
      </c>
      <c r="BO123" s="80" t="str">
        <f>IF(AND($F123&lt;&gt;"", $F123&gt;=BO$5-4, $F123&lt;=BO$5, COUNTIF($M123:BN123,"u")=0), "u", "")</f>
        <v/>
      </c>
      <c r="BP123" s="80" t="str">
        <f>IF(AND($F123&lt;&gt;"", $F123&gt;=BP$5-4, $F123&lt;=BP$5, COUNTIF($M123:BO123,"u")=0), "u", "")</f>
        <v/>
      </c>
      <c r="BQ123" s="80" t="str">
        <f>IF(AND($F123&lt;&gt;"", $F123&gt;=BQ$5-4, $F123&lt;=BQ$5, COUNTIF($M123:BP123,"u")=0), "u", "")</f>
        <v/>
      </c>
      <c r="BR123" s="80" t="str">
        <f>IF(AND($F123&lt;&gt;"", $F123&gt;=BR$5-4, $F123&lt;=BR$5, COUNTIF($M123:BQ123,"u")=0), "u", "")</f>
        <v/>
      </c>
      <c r="BS123" s="80" t="str">
        <f>IF(AND($F123&lt;&gt;"", $F123&gt;=BS$5-4, $F123&lt;=BS$5, COUNTIF($M123:BR123,"u")=0), "u", "")</f>
        <v/>
      </c>
      <c r="BT123" s="80" t="str">
        <f>IF(AND($F123&lt;&gt;"", $F123&gt;=BT$5-4, $F123&lt;=BT$5, COUNTIF($M123:BS123,"u")=0), "u", "")</f>
        <v/>
      </c>
      <c r="BU123" s="80" t="str">
        <f>IF(AND($F123&lt;&gt;"", $F123&gt;=BU$5-4, $F123&lt;=BU$5, COUNTIF($M123:BT123,"u")=0), "u", "")</f>
        <v/>
      </c>
      <c r="BV123" s="80" t="str">
        <f>IF(AND($F123&lt;&gt;"", $F123&gt;=BV$5-4, $F123&lt;=BV$5, COUNTIF($M123:BU123,"u")=0), "u", "")</f>
        <v/>
      </c>
      <c r="BW123" s="80" t="str">
        <f>IF(AND($F123&lt;&gt;"", $F123&gt;=BW$5-4, $F123&lt;=BW$5, COUNTIF($M123:BV123,"u")=0), "u", "")</f>
        <v/>
      </c>
      <c r="BX123" s="80" t="str">
        <f>IF(AND($F123&lt;&gt;"", $F123&gt;=BX$5-4, $F123&lt;=BX$5, COUNTIF($M123:BW123,"u")=0), "u", "")</f>
        <v/>
      </c>
      <c r="BY123" s="80" t="str">
        <f>IF(AND($F123&lt;&gt;"", $F123&gt;=BY$5-4, $F123&lt;=BY$5, COUNTIF($M123:BX123,"u")=0), "u", "")</f>
        <v/>
      </c>
      <c r="BZ123" s="80" t="str">
        <f>IF(AND($F123&lt;&gt;"", $F123&gt;=BZ$5-4, $F123&lt;=BZ$5, COUNTIF($M123:BY123,"u")=0), "u", "")</f>
        <v/>
      </c>
      <c r="CA123" s="80" t="str">
        <f>IF(AND($F123&lt;&gt;"", $F123&gt;=CA$5-4, $F123&lt;=CA$5, COUNTIF($M123:BZ123,"u")=0), "u", "")</f>
        <v/>
      </c>
      <c r="CB123" s="80" t="str">
        <f>IF(AND($F123&lt;&gt;"", $F123&gt;=CB$5-4, $F123&lt;=CB$5, COUNTIF($M123:CA123,"u")=0), "u", "")</f>
        <v/>
      </c>
      <c r="CC123" s="80" t="str">
        <f>IF(AND($F123&lt;&gt;"", $F123&gt;=CC$5-4, $F123&lt;=CC$5, COUNTIF($M123:CB123,"u")=0), "u", "")</f>
        <v/>
      </c>
      <c r="CD123" s="80" t="str">
        <f>IF(AND($F123&lt;&gt;"", $F123&gt;=CD$5-4, $F123&lt;=CD$5, COUNTIF($M123:CC123,"u")=0), "u", "")</f>
        <v/>
      </c>
      <c r="CE123" s="80" t="str">
        <f>IF(AND($F123&lt;&gt;"", $F123&gt;=CE$5-4, $F123&lt;=CE$5, COUNTIF($M123:CD123,"u")=0), "u", "")</f>
        <v/>
      </c>
      <c r="CF123" s="80" t="str">
        <f>IF(AND($F123&lt;&gt;"", $F123&gt;=CF$5-4, $F123&lt;=CF$5, COUNTIF($M123:CE123,"u")=0), "u", "")</f>
        <v/>
      </c>
      <c r="CG123" s="80" t="str">
        <f>IF(AND($F123&lt;&gt;"", $F123&gt;=CG$5-4, $F123&lt;=CG$5, COUNTIF($M123:CF123,"u")=0), "u", "")</f>
        <v/>
      </c>
      <c r="CH123" s="80" t="str">
        <f>IF(AND($F123&lt;&gt;"", $F123&gt;=CH$5-4, $F123&lt;=CH$5, COUNTIF($M123:CG123,"u")=0), "u", "")</f>
        <v/>
      </c>
      <c r="CI123" s="80" t="str">
        <f>IF(AND($F123&lt;&gt;"", $F123&gt;=CI$5-4, $F123&lt;=CI$5, COUNTIF($M123:CH123,"u")=0), "u", "")</f>
        <v/>
      </c>
      <c r="CJ123" s="80" t="str">
        <f>IF(AND($F123&lt;&gt;"", $F123&gt;=CJ$5-4, $F123&lt;=CJ$5, COUNTIF($M123:CI123,"u")=0), "u", "")</f>
        <v/>
      </c>
      <c r="CK123" s="80" t="str">
        <f>IF(AND($F123&lt;&gt;"", $F123&gt;=CK$5-4, $F123&lt;=CK$5, COUNTIF($M123:CJ123,"u")=0), "u", "")</f>
        <v/>
      </c>
      <c r="CL123" s="80" t="str">
        <f>IF(AND($F123&lt;&gt;"", $F123&gt;=CL$5-4, $F123&lt;=CL$5, COUNTIF($M123:CK123,"u")=0), "u", "")</f>
        <v/>
      </c>
      <c r="CM123" s="80" t="str">
        <f>IF(AND($F123&lt;&gt;"", $F123&gt;=CM$5-4, $F123&lt;=CM$5, COUNTIF($M123:CL123,"u")=0), "u", "")</f>
        <v/>
      </c>
      <c r="CN123" s="80" t="str">
        <f>IF(AND($F123&lt;&gt;"", $F123&gt;=CN$5-4, $F123&lt;=CN$5, COUNTIF($M123:CM123,"u")=0), "u", "")</f>
        <v/>
      </c>
      <c r="CO123" s="80" t="str">
        <f>IF(AND($F123&lt;&gt;"", $F123&gt;=CO$5-4, $F123&lt;=CO$5, COUNTIF($M123:CN123,"u")=0), "u", "")</f>
        <v/>
      </c>
      <c r="CP123" s="80" t="str">
        <f>IF(AND($F123&lt;&gt;"", $F123&gt;=CP$5-4, $F123&lt;=CP$5, COUNTIF($M123:CO123,"u")=0), "u", "")</f>
        <v/>
      </c>
      <c r="CQ123" s="80" t="str">
        <f>IF(AND($F123&lt;&gt;"", $F123&gt;=CQ$5-4, $F123&lt;=CQ$5, COUNTIF($M123:CP123,"u")=0), "u", "")</f>
        <v/>
      </c>
      <c r="CR123" s="80" t="str">
        <f>IF(AND($F123&lt;&gt;"", $F123&gt;=CR$5-4, $F123&lt;=CR$5, COUNTIF($M123:CQ123,"u")=0), "u", "")</f>
        <v/>
      </c>
      <c r="CS123" s="80" t="str">
        <f>IF(AND($F123&lt;&gt;"", $F123&gt;=CS$5-4, $F123&lt;=CS$5, COUNTIF($M123:CR123,"u")=0), "u", "")</f>
        <v/>
      </c>
      <c r="CT123" s="80" t="str">
        <f>IF(AND($F123&lt;&gt;"", $F123&gt;=CT$5-4, $F123&lt;=CT$5, COUNTIF($M123:CS123,"u")=0), "u", "")</f>
        <v/>
      </c>
      <c r="CU123" s="80" t="str">
        <f>IF(AND($F123&lt;&gt;"", $F123&gt;=CU$5-4, $F123&lt;=CU$5, COUNTIF($M123:CT123,"u")=0), "u", "")</f>
        <v/>
      </c>
      <c r="CV123" s="80" t="str">
        <f>IF(AND($F123&lt;&gt;"", $F123&gt;=CV$5-4, $F123&lt;=CV$5, COUNTIF($M123:CU123,"u")=0), "u", "")</f>
        <v/>
      </c>
      <c r="CW123" s="80" t="str">
        <f>IF(AND($F123&lt;&gt;"", $F123&gt;=CW$5-4, $F123&lt;=CW$5, COUNTIF($M123:CV123,"u")=0), "u", "")</f>
        <v/>
      </c>
      <c r="CX123" s="80" t="str">
        <f>IF(AND($F123&lt;&gt;"", $F123&gt;=CX$5-4, $F123&lt;=CX$5, COUNTIF($M123:CW123,"u")=0), "u", "")</f>
        <v/>
      </c>
      <c r="CY123" s="80" t="str">
        <f>IF(AND($F123&lt;&gt;"", $F123&gt;=CY$5-4, $F123&lt;=CY$5, COUNTIF($M123:CX123,"u")=0), "u", "")</f>
        <v/>
      </c>
      <c r="CZ123" s="80" t="str">
        <f>IF(AND($F123&lt;&gt;"", $F123&gt;=CZ$5-4, $F123&lt;=CZ$5, COUNTIF($M123:CY123,"u")=0), "u", "")</f>
        <v/>
      </c>
      <c r="DA123" s="80" t="str">
        <f>IF(AND($F123&lt;&gt;"", $F123&gt;=DA$5-4, $F123&lt;=DA$5, COUNTIF($M123:CZ123,"u")=0), "u", "")</f>
        <v/>
      </c>
      <c r="DB123" s="80" t="str">
        <f>IF(AND($F123&lt;&gt;"", $F123&gt;=DB$5-4, $F123&lt;=DB$5, COUNTIF($M123:DA123,"u")=0), "u", "")</f>
        <v/>
      </c>
      <c r="DC123" s="80" t="str">
        <f>IF(AND($F123&lt;&gt;"", $F123&gt;=DC$5-4, $F123&lt;=DC$5, COUNTIF($M123:DB123,"u")=0), "u", "")</f>
        <v/>
      </c>
      <c r="DD123" s="80" t="str">
        <f>IF(AND($F123&lt;&gt;"", $F123&gt;=DD$5-4, $F123&lt;=DD$5, COUNTIF($M123:DC123,"u")=0), "u", "")</f>
        <v/>
      </c>
      <c r="DE123" s="80" t="str">
        <f>IF(AND($F123&lt;&gt;"", $F123&gt;=DE$5-4, $F123&lt;=DE$5, COUNTIF($M123:DD123,"u")=0), "u", "")</f>
        <v/>
      </c>
      <c r="DF123" s="80" t="str">
        <f>IF(AND($F123&lt;&gt;"", $F123&gt;=DF$5-4, $F123&lt;=DF$5, COUNTIF($M123:DE123,"u")=0), "u", "")</f>
        <v/>
      </c>
      <c r="DG123" s="80" t="str">
        <f>IF(AND($F123&lt;&gt;"", $F123&gt;=DG$5-4, $F123&lt;=DG$5, COUNTIF($M123:DF123,"u")=0), "u", "")</f>
        <v/>
      </c>
      <c r="DH123" s="80" t="str">
        <f>IF(AND($F123&lt;&gt;"", $F123&gt;=DH$5-4, $F123&lt;=DH$5, COUNTIF($M123:DG123,"u")=0), "u", "")</f>
        <v/>
      </c>
      <c r="DI123" s="80" t="str">
        <f>IF(AND($F123&lt;&gt;"", $F123&gt;=DI$5-4, $F123&lt;=DI$5, COUNTIF($M123:DH123,"u")=0), "u", "")</f>
        <v/>
      </c>
      <c r="DJ123" s="80" t="str">
        <f>IF(AND($F123&lt;&gt;"", $F123&gt;=DJ$5-4, $F123&lt;=DJ$5, COUNTIF($M123:DI123,"u")=0), "u", "")</f>
        <v/>
      </c>
      <c r="DK123" s="80" t="str">
        <f>IF(AND($F123&lt;&gt;"", $F123&gt;=DK$5-4, $F123&lt;=DK$5, COUNTIF($M123:DJ123,"u")=0), "u", "")</f>
        <v/>
      </c>
      <c r="DL123" s="80" t="str">
        <f>IF(AND($F123&lt;&gt;"", $F123&gt;=DL$5-4, $F123&lt;=DL$5, COUNTIF($M123:DK123,"u")=0), "u", "")</f>
        <v/>
      </c>
    </row>
    <row r="124" spans="1:116" ht="25.05" customHeight="1" x14ac:dyDescent="0.3">
      <c r="A124" s="39"/>
      <c r="B124" s="75">
        <v>119</v>
      </c>
      <c r="C124" s="97"/>
      <c r="D124" s="92"/>
      <c r="E124" s="53"/>
      <c r="F124" s="53"/>
      <c r="G124" s="83" t="str">
        <f t="shared" si="50"/>
        <v/>
      </c>
      <c r="H124" s="83" t="str">
        <f t="shared" si="50"/>
        <v/>
      </c>
      <c r="I124" s="77" t="str">
        <f t="shared" si="48"/>
        <v/>
      </c>
      <c r="J124" s="78"/>
      <c r="K124" s="86"/>
      <c r="L124" s="56"/>
      <c r="M124" s="80" t="str">
        <f t="shared" si="49"/>
        <v/>
      </c>
      <c r="N124" s="80" t="str">
        <f>IF(AND($F124&lt;&gt;"", $F124&gt;=N$5-4, $F124&lt;=N$5, COUNTIF($M124:M124,"u")=0), "u", "")</f>
        <v/>
      </c>
      <c r="O124" s="80" t="str">
        <f>IF(AND($F124&lt;&gt;"", $F124&gt;=O$5-4, $F124&lt;=O$5, COUNTIF($M124:N124,"u")=0), "u", "")</f>
        <v/>
      </c>
      <c r="P124" s="80" t="str">
        <f>IF(AND($F124&lt;&gt;"", $F124&gt;=P$5-4, $F124&lt;=P$5, COUNTIF($M124:O124,"u")=0), "u", "")</f>
        <v/>
      </c>
      <c r="Q124" s="80" t="str">
        <f>IF(AND($F124&lt;&gt;"", $F124&gt;=Q$5-4, $F124&lt;=Q$5, COUNTIF($M124:P124,"u")=0), "u", "")</f>
        <v/>
      </c>
      <c r="R124" s="80" t="str">
        <f>IF(AND($F124&lt;&gt;"", $F124&gt;=R$5-4, $F124&lt;=R$5, COUNTIF($M124:Q124,"u")=0), "u", "")</f>
        <v/>
      </c>
      <c r="S124" s="80" t="str">
        <f>IF(AND($F124&lt;&gt;"", $F124&gt;=S$5-4, $F124&lt;=S$5, COUNTIF($M124:R124,"u")=0), "u", "")</f>
        <v/>
      </c>
      <c r="T124" s="80" t="str">
        <f>IF(AND($F124&lt;&gt;"", $F124&gt;=T$5-4, $F124&lt;=T$5, COUNTIF($M124:S124,"u")=0), "u", "")</f>
        <v/>
      </c>
      <c r="U124" s="80" t="str">
        <f>IF(AND($F124&lt;&gt;"", $F124&gt;=U$5-4, $F124&lt;=U$5, COUNTIF($M124:T124,"u")=0), "u", "")</f>
        <v/>
      </c>
      <c r="V124" s="80" t="str">
        <f>IF(AND($F124&lt;&gt;"", $F124&gt;=V$5-4, $F124&lt;=V$5, COUNTIF($M124:U124,"u")=0), "u", "")</f>
        <v/>
      </c>
      <c r="W124" s="80" t="str">
        <f>IF(AND($F124&lt;&gt;"", $F124&gt;=W$5-4, $F124&lt;=W$5, COUNTIF($M124:V124,"u")=0), "u", "")</f>
        <v/>
      </c>
      <c r="X124" s="80" t="str">
        <f>IF(AND($F124&lt;&gt;"", $F124&gt;=X$5-4, $F124&lt;=X$5, COUNTIF($M124:W124,"u")=0), "u", "")</f>
        <v/>
      </c>
      <c r="Y124" s="80" t="str">
        <f>IF(AND($F124&lt;&gt;"", $F124&gt;=Y$5-4, $F124&lt;=Y$5, COUNTIF($M124:X124,"u")=0), "u", "")</f>
        <v/>
      </c>
      <c r="Z124" s="80" t="str">
        <f>IF(AND($F124&lt;&gt;"", $F124&gt;=Z$5-4, $F124&lt;=Z$5, COUNTIF($M124:Y124,"u")=0), "u", "")</f>
        <v/>
      </c>
      <c r="AA124" s="80" t="str">
        <f>IF(AND($F124&lt;&gt;"", $F124&gt;=AA$5-4, $F124&lt;=AA$5, COUNTIF($M124:Z124,"u")=0), "u", "")</f>
        <v/>
      </c>
      <c r="AB124" s="80" t="str">
        <f>IF(AND($F124&lt;&gt;"", $F124&gt;=AB$5-4, $F124&lt;=AB$5, COUNTIF($M124:AA124,"u")=0), "u", "")</f>
        <v/>
      </c>
      <c r="AC124" s="80" t="str">
        <f>IF(AND($F124&lt;&gt;"", $F124&gt;=AC$5-4, $F124&lt;=AC$5, COUNTIF($M124:AB124,"u")=0), "u", "")</f>
        <v/>
      </c>
      <c r="AD124" s="80" t="str">
        <f>IF(AND($F124&lt;&gt;"", $F124&gt;=AD$5-4, $F124&lt;=AD$5, COUNTIF($M124:AC124,"u")=0), "u", "")</f>
        <v/>
      </c>
      <c r="AE124" s="80" t="str">
        <f>IF(AND($F124&lt;&gt;"", $F124&gt;=AE$5-4, $F124&lt;=AE$5, COUNTIF($M124:AD124,"u")=0), "u", "")</f>
        <v/>
      </c>
      <c r="AF124" s="80" t="str">
        <f>IF(AND($F124&lt;&gt;"", $F124&gt;=AF$5-4, $F124&lt;=AF$5, COUNTIF($M124:AE124,"u")=0), "u", "")</f>
        <v/>
      </c>
      <c r="AG124" s="80" t="str">
        <f>IF(AND($F124&lt;&gt;"", $F124&gt;=AG$5-4, $F124&lt;=AG$5, COUNTIF($M124:AF124,"u")=0), "u", "")</f>
        <v/>
      </c>
      <c r="AH124" s="80" t="str">
        <f>IF(AND($F124&lt;&gt;"", $F124&gt;=AH$5-4, $F124&lt;=AH$5, COUNTIF($M124:AG124,"u")=0), "u", "")</f>
        <v/>
      </c>
      <c r="AI124" s="80" t="str">
        <f>IF(AND($F124&lt;&gt;"", $F124&gt;=AI$5-4, $F124&lt;=AI$5, COUNTIF($M124:AH124,"u")=0), "u", "")</f>
        <v/>
      </c>
      <c r="AJ124" s="80" t="str">
        <f>IF(AND($F124&lt;&gt;"", $F124&gt;=AJ$5-4, $F124&lt;=AJ$5, COUNTIF($M124:AI124,"u")=0), "u", "")</f>
        <v/>
      </c>
      <c r="AK124" s="80" t="str">
        <f>IF(AND($F124&lt;&gt;"", $F124&gt;=AK$5-4, $F124&lt;=AK$5, COUNTIF($M124:AJ124,"u")=0), "u", "")</f>
        <v/>
      </c>
      <c r="AL124" s="80" t="str">
        <f>IF(AND($F124&lt;&gt;"", $F124&gt;=AL$5-4, $F124&lt;=AL$5, COUNTIF($M124:AK124,"u")=0), "u", "")</f>
        <v/>
      </c>
      <c r="AM124" s="80" t="str">
        <f>IF(AND($F124&lt;&gt;"", $F124&gt;=AM$5-4, $F124&lt;=AM$5, COUNTIF($M124:AL124,"u")=0), "u", "")</f>
        <v/>
      </c>
      <c r="AN124" s="80" t="str">
        <f>IF(AND($F124&lt;&gt;"", $F124&gt;=AN$5-4, $F124&lt;=AN$5, COUNTIF($M124:AM124,"u")=0), "u", "")</f>
        <v/>
      </c>
      <c r="AO124" s="80" t="str">
        <f>IF(AND($F124&lt;&gt;"", $F124&gt;=AO$5-4, $F124&lt;=AO$5, COUNTIF($M124:AN124,"u")=0), "u", "")</f>
        <v/>
      </c>
      <c r="AP124" s="80" t="str">
        <f>IF(AND($F124&lt;&gt;"", $F124&gt;=AP$5-4, $F124&lt;=AP$5, COUNTIF($M124:AO124,"u")=0), "u", "")</f>
        <v/>
      </c>
      <c r="AQ124" s="80" t="str">
        <f>IF(AND($F124&lt;&gt;"", $F124&gt;=AQ$5-4, $F124&lt;=AQ$5, COUNTIF($M124:AP124,"u")=0), "u", "")</f>
        <v/>
      </c>
      <c r="AR124" s="80" t="str">
        <f>IF(AND($F124&lt;&gt;"", $F124&gt;=AR$5-4, $F124&lt;=AR$5, COUNTIF($M124:AQ124,"u")=0), "u", "")</f>
        <v/>
      </c>
      <c r="AS124" s="80" t="str">
        <f>IF(AND($F124&lt;&gt;"", $F124&gt;=AS$5-4, $F124&lt;=AS$5, COUNTIF($M124:AR124,"u")=0), "u", "")</f>
        <v/>
      </c>
      <c r="AT124" s="80" t="str">
        <f>IF(AND($F124&lt;&gt;"", $F124&gt;=AT$5-4, $F124&lt;=AT$5, COUNTIF($M124:AS124,"u")=0), "u", "")</f>
        <v/>
      </c>
      <c r="AU124" s="80" t="str">
        <f>IF(AND($F124&lt;&gt;"", $F124&gt;=AU$5-4, $F124&lt;=AU$5, COUNTIF($M124:AT124,"u")=0), "u", "")</f>
        <v/>
      </c>
      <c r="AV124" s="80" t="str">
        <f>IF(AND($F124&lt;&gt;"", $F124&gt;=AV$5-4, $F124&lt;=AV$5, COUNTIF($M124:AU124,"u")=0), "u", "")</f>
        <v/>
      </c>
      <c r="AW124" s="80" t="str">
        <f>IF(AND($F124&lt;&gt;"", $F124&gt;=AW$5-4, $F124&lt;=AW$5, COUNTIF($M124:AV124,"u")=0), "u", "")</f>
        <v/>
      </c>
      <c r="AX124" s="80" t="str">
        <f>IF(AND($F124&lt;&gt;"", $F124&gt;=AX$5-4, $F124&lt;=AX$5, COUNTIF($M124:AW124,"u")=0), "u", "")</f>
        <v/>
      </c>
      <c r="AY124" s="80" t="str">
        <f>IF(AND($F124&lt;&gt;"", $F124&gt;=AY$5-4, $F124&lt;=AY$5, COUNTIF($M124:AX124,"u")=0), "u", "")</f>
        <v/>
      </c>
      <c r="AZ124" s="80" t="str">
        <f>IF(AND($F124&lt;&gt;"", $F124&gt;=AZ$5-4, $F124&lt;=AZ$5, COUNTIF($M124:AY124,"u")=0), "u", "")</f>
        <v/>
      </c>
      <c r="BA124" s="80" t="str">
        <f>IF(AND($F124&lt;&gt;"", $F124&gt;=BA$5-4, $F124&lt;=BA$5, COUNTIF($M124:AZ124,"u")=0), "u", "")</f>
        <v/>
      </c>
      <c r="BB124" s="80" t="str">
        <f>IF(AND($F124&lt;&gt;"", $F124&gt;=BB$5-4, $F124&lt;=BB$5, COUNTIF($M124:BA124,"u")=0), "u", "")</f>
        <v/>
      </c>
      <c r="BC124" s="80" t="str">
        <f>IF(AND($F124&lt;&gt;"", $F124&gt;=BC$5-4, $F124&lt;=BC$5, COUNTIF($M124:BB124,"u")=0), "u", "")</f>
        <v/>
      </c>
      <c r="BD124" s="80" t="str">
        <f>IF(AND($F124&lt;&gt;"", $F124&gt;=BD$5-4, $F124&lt;=BD$5, COUNTIF($M124:BC124,"u")=0), "u", "")</f>
        <v/>
      </c>
      <c r="BE124" s="80" t="str">
        <f>IF(AND($F124&lt;&gt;"", $F124&gt;=BE$5-4, $F124&lt;=BE$5, COUNTIF($M124:BD124,"u")=0), "u", "")</f>
        <v/>
      </c>
      <c r="BF124" s="80" t="str">
        <f>IF(AND($F124&lt;&gt;"", $F124&gt;=BF$5-4, $F124&lt;=BF$5, COUNTIF($M124:BE124,"u")=0), "u", "")</f>
        <v/>
      </c>
      <c r="BG124" s="80" t="str">
        <f>IF(AND($F124&lt;&gt;"", $F124&gt;=BG$5-4, $F124&lt;=BG$5, COUNTIF($M124:BF124,"u")=0), "u", "")</f>
        <v/>
      </c>
      <c r="BH124" s="80" t="str">
        <f>IF(AND($F124&lt;&gt;"", $F124&gt;=BH$5-4, $F124&lt;=BH$5, COUNTIF($M124:BG124,"u")=0), "u", "")</f>
        <v/>
      </c>
      <c r="BI124" s="80" t="str">
        <f>IF(AND($F124&lt;&gt;"", $F124&gt;=BI$5-4, $F124&lt;=BI$5, COUNTIF($M124:BH124,"u")=0), "u", "")</f>
        <v/>
      </c>
      <c r="BJ124" s="80" t="str">
        <f>IF(AND($F124&lt;&gt;"", $F124&gt;=BJ$5-4, $F124&lt;=BJ$5, COUNTIF($M124:BI124,"u")=0), "u", "")</f>
        <v/>
      </c>
      <c r="BK124" s="80" t="str">
        <f>IF(AND($F124&lt;&gt;"", $F124&gt;=BK$5-4, $F124&lt;=BK$5, COUNTIF($M124:BJ124,"u")=0), "u", "")</f>
        <v/>
      </c>
      <c r="BL124" s="80" t="str">
        <f>IF(AND($F124&lt;&gt;"", $F124&gt;=BL$5-4, $F124&lt;=BL$5, COUNTIF($M124:BK124,"u")=0), "u", "")</f>
        <v/>
      </c>
      <c r="BM124" s="80" t="str">
        <f>IF(AND($F124&lt;&gt;"", $F124&gt;=BM$5-4, $F124&lt;=BM$5, COUNTIF($M124:BL124,"u")=0), "u", "")</f>
        <v/>
      </c>
      <c r="BN124" s="80" t="str">
        <f>IF(AND($F124&lt;&gt;"", $F124&gt;=BN$5-4, $F124&lt;=BN$5, COUNTIF($M124:BM124,"u")=0), "u", "")</f>
        <v/>
      </c>
      <c r="BO124" s="80" t="str">
        <f>IF(AND($F124&lt;&gt;"", $F124&gt;=BO$5-4, $F124&lt;=BO$5, COUNTIF($M124:BN124,"u")=0), "u", "")</f>
        <v/>
      </c>
      <c r="BP124" s="80" t="str">
        <f>IF(AND($F124&lt;&gt;"", $F124&gt;=BP$5-4, $F124&lt;=BP$5, COUNTIF($M124:BO124,"u")=0), "u", "")</f>
        <v/>
      </c>
      <c r="BQ124" s="80" t="str">
        <f>IF(AND($F124&lt;&gt;"", $F124&gt;=BQ$5-4, $F124&lt;=BQ$5, COUNTIF($M124:BP124,"u")=0), "u", "")</f>
        <v/>
      </c>
      <c r="BR124" s="80" t="str">
        <f>IF(AND($F124&lt;&gt;"", $F124&gt;=BR$5-4, $F124&lt;=BR$5, COUNTIF($M124:BQ124,"u")=0), "u", "")</f>
        <v/>
      </c>
      <c r="BS124" s="80" t="str">
        <f>IF(AND($F124&lt;&gt;"", $F124&gt;=BS$5-4, $F124&lt;=BS$5, COUNTIF($M124:BR124,"u")=0), "u", "")</f>
        <v/>
      </c>
      <c r="BT124" s="80" t="str">
        <f>IF(AND($F124&lt;&gt;"", $F124&gt;=BT$5-4, $F124&lt;=BT$5, COUNTIF($M124:BS124,"u")=0), "u", "")</f>
        <v/>
      </c>
      <c r="BU124" s="80" t="str">
        <f>IF(AND($F124&lt;&gt;"", $F124&gt;=BU$5-4, $F124&lt;=BU$5, COUNTIF($M124:BT124,"u")=0), "u", "")</f>
        <v/>
      </c>
      <c r="BV124" s="80" t="str">
        <f>IF(AND($F124&lt;&gt;"", $F124&gt;=BV$5-4, $F124&lt;=BV$5, COUNTIF($M124:BU124,"u")=0), "u", "")</f>
        <v/>
      </c>
      <c r="BW124" s="80" t="str">
        <f>IF(AND($F124&lt;&gt;"", $F124&gt;=BW$5-4, $F124&lt;=BW$5, COUNTIF($M124:BV124,"u")=0), "u", "")</f>
        <v/>
      </c>
      <c r="BX124" s="80" t="str">
        <f>IF(AND($F124&lt;&gt;"", $F124&gt;=BX$5-4, $F124&lt;=BX$5, COUNTIF($M124:BW124,"u")=0), "u", "")</f>
        <v/>
      </c>
      <c r="BY124" s="80" t="str">
        <f>IF(AND($F124&lt;&gt;"", $F124&gt;=BY$5-4, $F124&lt;=BY$5, COUNTIF($M124:BX124,"u")=0), "u", "")</f>
        <v/>
      </c>
      <c r="BZ124" s="80" t="str">
        <f>IF(AND($F124&lt;&gt;"", $F124&gt;=BZ$5-4, $F124&lt;=BZ$5, COUNTIF($M124:BY124,"u")=0), "u", "")</f>
        <v/>
      </c>
      <c r="CA124" s="80" t="str">
        <f>IF(AND($F124&lt;&gt;"", $F124&gt;=CA$5-4, $F124&lt;=CA$5, COUNTIF($M124:BZ124,"u")=0), "u", "")</f>
        <v/>
      </c>
      <c r="CB124" s="80" t="str">
        <f>IF(AND($F124&lt;&gt;"", $F124&gt;=CB$5-4, $F124&lt;=CB$5, COUNTIF($M124:CA124,"u")=0), "u", "")</f>
        <v/>
      </c>
      <c r="CC124" s="80" t="str">
        <f>IF(AND($F124&lt;&gt;"", $F124&gt;=CC$5-4, $F124&lt;=CC$5, COUNTIF($M124:CB124,"u")=0), "u", "")</f>
        <v/>
      </c>
      <c r="CD124" s="80" t="str">
        <f>IF(AND($F124&lt;&gt;"", $F124&gt;=CD$5-4, $F124&lt;=CD$5, COUNTIF($M124:CC124,"u")=0), "u", "")</f>
        <v/>
      </c>
      <c r="CE124" s="80" t="str">
        <f>IF(AND($F124&lt;&gt;"", $F124&gt;=CE$5-4, $F124&lt;=CE$5, COUNTIF($M124:CD124,"u")=0), "u", "")</f>
        <v/>
      </c>
      <c r="CF124" s="80" t="str">
        <f>IF(AND($F124&lt;&gt;"", $F124&gt;=CF$5-4, $F124&lt;=CF$5, COUNTIF($M124:CE124,"u")=0), "u", "")</f>
        <v/>
      </c>
      <c r="CG124" s="80" t="str">
        <f>IF(AND($F124&lt;&gt;"", $F124&gt;=CG$5-4, $F124&lt;=CG$5, COUNTIF($M124:CF124,"u")=0), "u", "")</f>
        <v/>
      </c>
      <c r="CH124" s="80" t="str">
        <f>IF(AND($F124&lt;&gt;"", $F124&gt;=CH$5-4, $F124&lt;=CH$5, COUNTIF($M124:CG124,"u")=0), "u", "")</f>
        <v/>
      </c>
      <c r="CI124" s="80" t="str">
        <f>IF(AND($F124&lt;&gt;"", $F124&gt;=CI$5-4, $F124&lt;=CI$5, COUNTIF($M124:CH124,"u")=0), "u", "")</f>
        <v/>
      </c>
      <c r="CJ124" s="80" t="str">
        <f>IF(AND($F124&lt;&gt;"", $F124&gt;=CJ$5-4, $F124&lt;=CJ$5, COUNTIF($M124:CI124,"u")=0), "u", "")</f>
        <v/>
      </c>
      <c r="CK124" s="80" t="str">
        <f>IF(AND($F124&lt;&gt;"", $F124&gt;=CK$5-4, $F124&lt;=CK$5, COUNTIF($M124:CJ124,"u")=0), "u", "")</f>
        <v/>
      </c>
      <c r="CL124" s="80" t="str">
        <f>IF(AND($F124&lt;&gt;"", $F124&gt;=CL$5-4, $F124&lt;=CL$5, COUNTIF($M124:CK124,"u")=0), "u", "")</f>
        <v/>
      </c>
      <c r="CM124" s="80" t="str">
        <f>IF(AND($F124&lt;&gt;"", $F124&gt;=CM$5-4, $F124&lt;=CM$5, COUNTIF($M124:CL124,"u")=0), "u", "")</f>
        <v/>
      </c>
      <c r="CN124" s="80" t="str">
        <f>IF(AND($F124&lt;&gt;"", $F124&gt;=CN$5-4, $F124&lt;=CN$5, COUNTIF($M124:CM124,"u")=0), "u", "")</f>
        <v/>
      </c>
      <c r="CO124" s="80" t="str">
        <f>IF(AND($F124&lt;&gt;"", $F124&gt;=CO$5-4, $F124&lt;=CO$5, COUNTIF($M124:CN124,"u")=0), "u", "")</f>
        <v/>
      </c>
      <c r="CP124" s="80" t="str">
        <f>IF(AND($F124&lt;&gt;"", $F124&gt;=CP$5-4, $F124&lt;=CP$5, COUNTIF($M124:CO124,"u")=0), "u", "")</f>
        <v/>
      </c>
      <c r="CQ124" s="80" t="str">
        <f>IF(AND($F124&lt;&gt;"", $F124&gt;=CQ$5-4, $F124&lt;=CQ$5, COUNTIF($M124:CP124,"u")=0), "u", "")</f>
        <v/>
      </c>
      <c r="CR124" s="80" t="str">
        <f>IF(AND($F124&lt;&gt;"", $F124&gt;=CR$5-4, $F124&lt;=CR$5, COUNTIF($M124:CQ124,"u")=0), "u", "")</f>
        <v/>
      </c>
      <c r="CS124" s="80" t="str">
        <f>IF(AND($F124&lt;&gt;"", $F124&gt;=CS$5-4, $F124&lt;=CS$5, COUNTIF($M124:CR124,"u")=0), "u", "")</f>
        <v/>
      </c>
      <c r="CT124" s="80" t="str">
        <f>IF(AND($F124&lt;&gt;"", $F124&gt;=CT$5-4, $F124&lt;=CT$5, COUNTIF($M124:CS124,"u")=0), "u", "")</f>
        <v/>
      </c>
      <c r="CU124" s="80" t="str">
        <f>IF(AND($F124&lt;&gt;"", $F124&gt;=CU$5-4, $F124&lt;=CU$5, COUNTIF($M124:CT124,"u")=0), "u", "")</f>
        <v/>
      </c>
      <c r="CV124" s="80" t="str">
        <f>IF(AND($F124&lt;&gt;"", $F124&gt;=CV$5-4, $F124&lt;=CV$5, COUNTIF($M124:CU124,"u")=0), "u", "")</f>
        <v/>
      </c>
      <c r="CW124" s="80" t="str">
        <f>IF(AND($F124&lt;&gt;"", $F124&gt;=CW$5-4, $F124&lt;=CW$5, COUNTIF($M124:CV124,"u")=0), "u", "")</f>
        <v/>
      </c>
      <c r="CX124" s="80" t="str">
        <f>IF(AND($F124&lt;&gt;"", $F124&gt;=CX$5-4, $F124&lt;=CX$5, COUNTIF($M124:CW124,"u")=0), "u", "")</f>
        <v/>
      </c>
      <c r="CY124" s="80" t="str">
        <f>IF(AND($F124&lt;&gt;"", $F124&gt;=CY$5-4, $F124&lt;=CY$5, COUNTIF($M124:CX124,"u")=0), "u", "")</f>
        <v/>
      </c>
      <c r="CZ124" s="80" t="str">
        <f>IF(AND($F124&lt;&gt;"", $F124&gt;=CZ$5-4, $F124&lt;=CZ$5, COUNTIF($M124:CY124,"u")=0), "u", "")</f>
        <v/>
      </c>
      <c r="DA124" s="80" t="str">
        <f>IF(AND($F124&lt;&gt;"", $F124&gt;=DA$5-4, $F124&lt;=DA$5, COUNTIF($M124:CZ124,"u")=0), "u", "")</f>
        <v/>
      </c>
      <c r="DB124" s="80" t="str">
        <f>IF(AND($F124&lt;&gt;"", $F124&gt;=DB$5-4, $F124&lt;=DB$5, COUNTIF($M124:DA124,"u")=0), "u", "")</f>
        <v/>
      </c>
      <c r="DC124" s="80" t="str">
        <f>IF(AND($F124&lt;&gt;"", $F124&gt;=DC$5-4, $F124&lt;=DC$5, COUNTIF($M124:DB124,"u")=0), "u", "")</f>
        <v/>
      </c>
      <c r="DD124" s="80" t="str">
        <f>IF(AND($F124&lt;&gt;"", $F124&gt;=DD$5-4, $F124&lt;=DD$5, COUNTIF($M124:DC124,"u")=0), "u", "")</f>
        <v/>
      </c>
      <c r="DE124" s="80" t="str">
        <f>IF(AND($F124&lt;&gt;"", $F124&gt;=DE$5-4, $F124&lt;=DE$5, COUNTIF($M124:DD124,"u")=0), "u", "")</f>
        <v/>
      </c>
      <c r="DF124" s="80" t="str">
        <f>IF(AND($F124&lt;&gt;"", $F124&gt;=DF$5-4, $F124&lt;=DF$5, COUNTIF($M124:DE124,"u")=0), "u", "")</f>
        <v/>
      </c>
      <c r="DG124" s="80" t="str">
        <f>IF(AND($F124&lt;&gt;"", $F124&gt;=DG$5-4, $F124&lt;=DG$5, COUNTIF($M124:DF124,"u")=0), "u", "")</f>
        <v/>
      </c>
      <c r="DH124" s="80" t="str">
        <f>IF(AND($F124&lt;&gt;"", $F124&gt;=DH$5-4, $F124&lt;=DH$5, COUNTIF($M124:DG124,"u")=0), "u", "")</f>
        <v/>
      </c>
      <c r="DI124" s="80" t="str">
        <f>IF(AND($F124&lt;&gt;"", $F124&gt;=DI$5-4, $F124&lt;=DI$5, COUNTIF($M124:DH124,"u")=0), "u", "")</f>
        <v/>
      </c>
      <c r="DJ124" s="80" t="str">
        <f>IF(AND($F124&lt;&gt;"", $F124&gt;=DJ$5-4, $F124&lt;=DJ$5, COUNTIF($M124:DI124,"u")=0), "u", "")</f>
        <v/>
      </c>
      <c r="DK124" s="80" t="str">
        <f>IF(AND($F124&lt;&gt;"", $F124&gt;=DK$5-4, $F124&lt;=DK$5, COUNTIF($M124:DJ124,"u")=0), "u", "")</f>
        <v/>
      </c>
      <c r="DL124" s="80" t="str">
        <f>IF(AND($F124&lt;&gt;"", $F124&gt;=DL$5-4, $F124&lt;=DL$5, COUNTIF($M124:DK124,"u")=0), "u", "")</f>
        <v/>
      </c>
    </row>
    <row r="125" spans="1:116" ht="25.05" customHeight="1" x14ac:dyDescent="0.3">
      <c r="A125" s="39"/>
      <c r="B125" s="75">
        <v>120</v>
      </c>
      <c r="C125" s="97"/>
      <c r="D125" s="92"/>
      <c r="E125" s="53"/>
      <c r="F125" s="53"/>
      <c r="G125" s="83" t="str">
        <f t="shared" si="50"/>
        <v/>
      </c>
      <c r="H125" s="83" t="str">
        <f t="shared" si="50"/>
        <v/>
      </c>
      <c r="I125" s="77" t="str">
        <f t="shared" si="48"/>
        <v/>
      </c>
      <c r="J125" s="78"/>
      <c r="K125" s="86"/>
      <c r="L125" s="56"/>
      <c r="M125" s="80" t="str">
        <f t="shared" si="49"/>
        <v/>
      </c>
      <c r="N125" s="80" t="str">
        <f>IF(AND($F125&lt;&gt;"", $F125&gt;=N$5-4, $F125&lt;=N$5, COUNTIF($M125:M125,"u")=0), "u", "")</f>
        <v/>
      </c>
      <c r="O125" s="80" t="str">
        <f>IF(AND($F125&lt;&gt;"", $F125&gt;=O$5-4, $F125&lt;=O$5, COUNTIF($M125:N125,"u")=0), "u", "")</f>
        <v/>
      </c>
      <c r="P125" s="80" t="str">
        <f>IF(AND($F125&lt;&gt;"", $F125&gt;=P$5-4, $F125&lt;=P$5, COUNTIF($M125:O125,"u")=0), "u", "")</f>
        <v/>
      </c>
      <c r="Q125" s="80" t="str">
        <f>IF(AND($F125&lt;&gt;"", $F125&gt;=Q$5-4, $F125&lt;=Q$5, COUNTIF($M125:P125,"u")=0), "u", "")</f>
        <v/>
      </c>
      <c r="R125" s="80" t="str">
        <f>IF(AND($F125&lt;&gt;"", $F125&gt;=R$5-4, $F125&lt;=R$5, COUNTIF($M125:Q125,"u")=0), "u", "")</f>
        <v/>
      </c>
      <c r="S125" s="80" t="str">
        <f>IF(AND($F125&lt;&gt;"", $F125&gt;=S$5-4, $F125&lt;=S$5, COUNTIF($M125:R125,"u")=0), "u", "")</f>
        <v/>
      </c>
      <c r="T125" s="80" t="str">
        <f>IF(AND($F125&lt;&gt;"", $F125&gt;=T$5-4, $F125&lt;=T$5, COUNTIF($M125:S125,"u")=0), "u", "")</f>
        <v/>
      </c>
      <c r="U125" s="80" t="str">
        <f>IF(AND($F125&lt;&gt;"", $F125&gt;=U$5-4, $F125&lt;=U$5, COUNTIF($M125:T125,"u")=0), "u", "")</f>
        <v/>
      </c>
      <c r="V125" s="80" t="str">
        <f>IF(AND($F125&lt;&gt;"", $F125&gt;=V$5-4, $F125&lt;=V$5, COUNTIF($M125:U125,"u")=0), "u", "")</f>
        <v/>
      </c>
      <c r="W125" s="80" t="str">
        <f>IF(AND($F125&lt;&gt;"", $F125&gt;=W$5-4, $F125&lt;=W$5, COUNTIF($M125:V125,"u")=0), "u", "")</f>
        <v/>
      </c>
      <c r="X125" s="80" t="str">
        <f>IF(AND($F125&lt;&gt;"", $F125&gt;=X$5-4, $F125&lt;=X$5, COUNTIF($M125:W125,"u")=0), "u", "")</f>
        <v/>
      </c>
      <c r="Y125" s="80" t="str">
        <f>IF(AND($F125&lt;&gt;"", $F125&gt;=Y$5-4, $F125&lt;=Y$5, COUNTIF($M125:X125,"u")=0), "u", "")</f>
        <v/>
      </c>
      <c r="Z125" s="80" t="str">
        <f>IF(AND($F125&lt;&gt;"", $F125&gt;=Z$5-4, $F125&lt;=Z$5, COUNTIF($M125:Y125,"u")=0), "u", "")</f>
        <v/>
      </c>
      <c r="AA125" s="80" t="str">
        <f>IF(AND($F125&lt;&gt;"", $F125&gt;=AA$5-4, $F125&lt;=AA$5, COUNTIF($M125:Z125,"u")=0), "u", "")</f>
        <v/>
      </c>
      <c r="AB125" s="80" t="str">
        <f>IF(AND($F125&lt;&gt;"", $F125&gt;=AB$5-4, $F125&lt;=AB$5, COUNTIF($M125:AA125,"u")=0), "u", "")</f>
        <v/>
      </c>
      <c r="AC125" s="80" t="str">
        <f>IF(AND($F125&lt;&gt;"", $F125&gt;=AC$5-4, $F125&lt;=AC$5, COUNTIF($M125:AB125,"u")=0), "u", "")</f>
        <v/>
      </c>
      <c r="AD125" s="80" t="str">
        <f>IF(AND($F125&lt;&gt;"", $F125&gt;=AD$5-4, $F125&lt;=AD$5, COUNTIF($M125:AC125,"u")=0), "u", "")</f>
        <v/>
      </c>
      <c r="AE125" s="80" t="str">
        <f>IF(AND($F125&lt;&gt;"", $F125&gt;=AE$5-4, $F125&lt;=AE$5, COUNTIF($M125:AD125,"u")=0), "u", "")</f>
        <v/>
      </c>
      <c r="AF125" s="80" t="str">
        <f>IF(AND($F125&lt;&gt;"", $F125&gt;=AF$5-4, $F125&lt;=AF$5, COUNTIF($M125:AE125,"u")=0), "u", "")</f>
        <v/>
      </c>
      <c r="AG125" s="80" t="str">
        <f>IF(AND($F125&lt;&gt;"", $F125&gt;=AG$5-4, $F125&lt;=AG$5, COUNTIF($M125:AF125,"u")=0), "u", "")</f>
        <v/>
      </c>
      <c r="AH125" s="80" t="str">
        <f>IF(AND($F125&lt;&gt;"", $F125&gt;=AH$5-4, $F125&lt;=AH$5, COUNTIF($M125:AG125,"u")=0), "u", "")</f>
        <v/>
      </c>
      <c r="AI125" s="80" t="str">
        <f>IF(AND($F125&lt;&gt;"", $F125&gt;=AI$5-4, $F125&lt;=AI$5, COUNTIF($M125:AH125,"u")=0), "u", "")</f>
        <v/>
      </c>
      <c r="AJ125" s="80" t="str">
        <f>IF(AND($F125&lt;&gt;"", $F125&gt;=AJ$5-4, $F125&lt;=AJ$5, COUNTIF($M125:AI125,"u")=0), "u", "")</f>
        <v/>
      </c>
      <c r="AK125" s="80" t="str">
        <f>IF(AND($F125&lt;&gt;"", $F125&gt;=AK$5-4, $F125&lt;=AK$5, COUNTIF($M125:AJ125,"u")=0), "u", "")</f>
        <v/>
      </c>
      <c r="AL125" s="80" t="str">
        <f>IF(AND($F125&lt;&gt;"", $F125&gt;=AL$5-4, $F125&lt;=AL$5, COUNTIF($M125:AK125,"u")=0), "u", "")</f>
        <v/>
      </c>
      <c r="AM125" s="80" t="str">
        <f>IF(AND($F125&lt;&gt;"", $F125&gt;=AM$5-4, $F125&lt;=AM$5, COUNTIF($M125:AL125,"u")=0), "u", "")</f>
        <v/>
      </c>
      <c r="AN125" s="80" t="str">
        <f>IF(AND($F125&lt;&gt;"", $F125&gt;=AN$5-4, $F125&lt;=AN$5, COUNTIF($M125:AM125,"u")=0), "u", "")</f>
        <v/>
      </c>
      <c r="AO125" s="80" t="str">
        <f>IF(AND($F125&lt;&gt;"", $F125&gt;=AO$5-4, $F125&lt;=AO$5, COUNTIF($M125:AN125,"u")=0), "u", "")</f>
        <v/>
      </c>
      <c r="AP125" s="80" t="str">
        <f>IF(AND($F125&lt;&gt;"", $F125&gt;=AP$5-4, $F125&lt;=AP$5, COUNTIF($M125:AO125,"u")=0), "u", "")</f>
        <v/>
      </c>
      <c r="AQ125" s="80" t="str">
        <f>IF(AND($F125&lt;&gt;"", $F125&gt;=AQ$5-4, $F125&lt;=AQ$5, COUNTIF($M125:AP125,"u")=0), "u", "")</f>
        <v/>
      </c>
      <c r="AR125" s="80" t="str">
        <f>IF(AND($F125&lt;&gt;"", $F125&gt;=AR$5-4, $F125&lt;=AR$5, COUNTIF($M125:AQ125,"u")=0), "u", "")</f>
        <v/>
      </c>
      <c r="AS125" s="80" t="str">
        <f>IF(AND($F125&lt;&gt;"", $F125&gt;=AS$5-4, $F125&lt;=AS$5, COUNTIF($M125:AR125,"u")=0), "u", "")</f>
        <v/>
      </c>
      <c r="AT125" s="80" t="str">
        <f>IF(AND($F125&lt;&gt;"", $F125&gt;=AT$5-4, $F125&lt;=AT$5, COUNTIF($M125:AS125,"u")=0), "u", "")</f>
        <v/>
      </c>
      <c r="AU125" s="80" t="str">
        <f>IF(AND($F125&lt;&gt;"", $F125&gt;=AU$5-4, $F125&lt;=AU$5, COUNTIF($M125:AT125,"u")=0), "u", "")</f>
        <v/>
      </c>
      <c r="AV125" s="80" t="str">
        <f>IF(AND($F125&lt;&gt;"", $F125&gt;=AV$5-4, $F125&lt;=AV$5, COUNTIF($M125:AU125,"u")=0), "u", "")</f>
        <v/>
      </c>
      <c r="AW125" s="80" t="str">
        <f>IF(AND($F125&lt;&gt;"", $F125&gt;=AW$5-4, $F125&lt;=AW$5, COUNTIF($M125:AV125,"u")=0), "u", "")</f>
        <v/>
      </c>
      <c r="AX125" s="80" t="str">
        <f>IF(AND($F125&lt;&gt;"", $F125&gt;=AX$5-4, $F125&lt;=AX$5, COUNTIF($M125:AW125,"u")=0), "u", "")</f>
        <v/>
      </c>
      <c r="AY125" s="80" t="str">
        <f>IF(AND($F125&lt;&gt;"", $F125&gt;=AY$5-4, $F125&lt;=AY$5, COUNTIF($M125:AX125,"u")=0), "u", "")</f>
        <v/>
      </c>
      <c r="AZ125" s="80" t="str">
        <f>IF(AND($F125&lt;&gt;"", $F125&gt;=AZ$5-4, $F125&lt;=AZ$5, COUNTIF($M125:AY125,"u")=0), "u", "")</f>
        <v/>
      </c>
      <c r="BA125" s="80" t="str">
        <f>IF(AND($F125&lt;&gt;"", $F125&gt;=BA$5-4, $F125&lt;=BA$5, COUNTIF($M125:AZ125,"u")=0), "u", "")</f>
        <v/>
      </c>
      <c r="BB125" s="80" t="str">
        <f>IF(AND($F125&lt;&gt;"", $F125&gt;=BB$5-4, $F125&lt;=BB$5, COUNTIF($M125:BA125,"u")=0), "u", "")</f>
        <v/>
      </c>
      <c r="BC125" s="80" t="str">
        <f>IF(AND($F125&lt;&gt;"", $F125&gt;=BC$5-4, $F125&lt;=BC$5, COUNTIF($M125:BB125,"u")=0), "u", "")</f>
        <v/>
      </c>
      <c r="BD125" s="80" t="str">
        <f>IF(AND($F125&lt;&gt;"", $F125&gt;=BD$5-4, $F125&lt;=BD$5, COUNTIF($M125:BC125,"u")=0), "u", "")</f>
        <v/>
      </c>
      <c r="BE125" s="80" t="str">
        <f>IF(AND($F125&lt;&gt;"", $F125&gt;=BE$5-4, $F125&lt;=BE$5, COUNTIF($M125:BD125,"u")=0), "u", "")</f>
        <v/>
      </c>
      <c r="BF125" s="80" t="str">
        <f>IF(AND($F125&lt;&gt;"", $F125&gt;=BF$5-4, $F125&lt;=BF$5, COUNTIF($M125:BE125,"u")=0), "u", "")</f>
        <v/>
      </c>
      <c r="BG125" s="80" t="str">
        <f>IF(AND($F125&lt;&gt;"", $F125&gt;=BG$5-4, $F125&lt;=BG$5, COUNTIF($M125:BF125,"u")=0), "u", "")</f>
        <v/>
      </c>
      <c r="BH125" s="80" t="str">
        <f>IF(AND($F125&lt;&gt;"", $F125&gt;=BH$5-4, $F125&lt;=BH$5, COUNTIF($M125:BG125,"u")=0), "u", "")</f>
        <v/>
      </c>
      <c r="BI125" s="80" t="str">
        <f>IF(AND($F125&lt;&gt;"", $F125&gt;=BI$5-4, $F125&lt;=BI$5, COUNTIF($M125:BH125,"u")=0), "u", "")</f>
        <v/>
      </c>
      <c r="BJ125" s="80" t="str">
        <f>IF(AND($F125&lt;&gt;"", $F125&gt;=BJ$5-4, $F125&lt;=BJ$5, COUNTIF($M125:BI125,"u")=0), "u", "")</f>
        <v/>
      </c>
      <c r="BK125" s="80" t="str">
        <f>IF(AND($F125&lt;&gt;"", $F125&gt;=BK$5-4, $F125&lt;=BK$5, COUNTIF($M125:BJ125,"u")=0), "u", "")</f>
        <v/>
      </c>
      <c r="BL125" s="80" t="str">
        <f>IF(AND($F125&lt;&gt;"", $F125&gt;=BL$5-4, $F125&lt;=BL$5, COUNTIF($M125:BK125,"u")=0), "u", "")</f>
        <v/>
      </c>
      <c r="BM125" s="80" t="str">
        <f>IF(AND($F125&lt;&gt;"", $F125&gt;=BM$5-4, $F125&lt;=BM$5, COUNTIF($M125:BL125,"u")=0), "u", "")</f>
        <v/>
      </c>
      <c r="BN125" s="80" t="str">
        <f>IF(AND($F125&lt;&gt;"", $F125&gt;=BN$5-4, $F125&lt;=BN$5, COUNTIF($M125:BM125,"u")=0), "u", "")</f>
        <v/>
      </c>
      <c r="BO125" s="80" t="str">
        <f>IF(AND($F125&lt;&gt;"", $F125&gt;=BO$5-4, $F125&lt;=BO$5, COUNTIF($M125:BN125,"u")=0), "u", "")</f>
        <v/>
      </c>
      <c r="BP125" s="80" t="str">
        <f>IF(AND($F125&lt;&gt;"", $F125&gt;=BP$5-4, $F125&lt;=BP$5, COUNTIF($M125:BO125,"u")=0), "u", "")</f>
        <v/>
      </c>
      <c r="BQ125" s="80" t="str">
        <f>IF(AND($F125&lt;&gt;"", $F125&gt;=BQ$5-4, $F125&lt;=BQ$5, COUNTIF($M125:BP125,"u")=0), "u", "")</f>
        <v/>
      </c>
      <c r="BR125" s="80" t="str">
        <f>IF(AND($F125&lt;&gt;"", $F125&gt;=BR$5-4, $F125&lt;=BR$5, COUNTIF($M125:BQ125,"u")=0), "u", "")</f>
        <v/>
      </c>
      <c r="BS125" s="80" t="str">
        <f>IF(AND($F125&lt;&gt;"", $F125&gt;=BS$5-4, $F125&lt;=BS$5, COUNTIF($M125:BR125,"u")=0), "u", "")</f>
        <v/>
      </c>
      <c r="BT125" s="80" t="str">
        <f>IF(AND($F125&lt;&gt;"", $F125&gt;=BT$5-4, $F125&lt;=BT$5, COUNTIF($M125:BS125,"u")=0), "u", "")</f>
        <v/>
      </c>
      <c r="BU125" s="80" t="str">
        <f>IF(AND($F125&lt;&gt;"", $F125&gt;=BU$5-4, $F125&lt;=BU$5, COUNTIF($M125:BT125,"u")=0), "u", "")</f>
        <v/>
      </c>
      <c r="BV125" s="80" t="str">
        <f>IF(AND($F125&lt;&gt;"", $F125&gt;=BV$5-4, $F125&lt;=BV$5, COUNTIF($M125:BU125,"u")=0), "u", "")</f>
        <v/>
      </c>
      <c r="BW125" s="80" t="str">
        <f>IF(AND($F125&lt;&gt;"", $F125&gt;=BW$5-4, $F125&lt;=BW$5, COUNTIF($M125:BV125,"u")=0), "u", "")</f>
        <v/>
      </c>
      <c r="BX125" s="80" t="str">
        <f>IF(AND($F125&lt;&gt;"", $F125&gt;=BX$5-4, $F125&lt;=BX$5, COUNTIF($M125:BW125,"u")=0), "u", "")</f>
        <v/>
      </c>
      <c r="BY125" s="80" t="str">
        <f>IF(AND($F125&lt;&gt;"", $F125&gt;=BY$5-4, $F125&lt;=BY$5, COUNTIF($M125:BX125,"u")=0), "u", "")</f>
        <v/>
      </c>
      <c r="BZ125" s="80" t="str">
        <f>IF(AND($F125&lt;&gt;"", $F125&gt;=BZ$5-4, $F125&lt;=BZ$5, COUNTIF($M125:BY125,"u")=0), "u", "")</f>
        <v/>
      </c>
      <c r="CA125" s="80" t="str">
        <f>IF(AND($F125&lt;&gt;"", $F125&gt;=CA$5-4, $F125&lt;=CA$5, COUNTIF($M125:BZ125,"u")=0), "u", "")</f>
        <v/>
      </c>
      <c r="CB125" s="80" t="str">
        <f>IF(AND($F125&lt;&gt;"", $F125&gt;=CB$5-4, $F125&lt;=CB$5, COUNTIF($M125:CA125,"u")=0), "u", "")</f>
        <v/>
      </c>
      <c r="CC125" s="80" t="str">
        <f>IF(AND($F125&lt;&gt;"", $F125&gt;=CC$5-4, $F125&lt;=CC$5, COUNTIF($M125:CB125,"u")=0), "u", "")</f>
        <v/>
      </c>
      <c r="CD125" s="80" t="str">
        <f>IF(AND($F125&lt;&gt;"", $F125&gt;=CD$5-4, $F125&lt;=CD$5, COUNTIF($M125:CC125,"u")=0), "u", "")</f>
        <v/>
      </c>
      <c r="CE125" s="80" t="str">
        <f>IF(AND($F125&lt;&gt;"", $F125&gt;=CE$5-4, $F125&lt;=CE$5, COUNTIF($M125:CD125,"u")=0), "u", "")</f>
        <v/>
      </c>
      <c r="CF125" s="80" t="str">
        <f>IF(AND($F125&lt;&gt;"", $F125&gt;=CF$5-4, $F125&lt;=CF$5, COUNTIF($M125:CE125,"u")=0), "u", "")</f>
        <v/>
      </c>
      <c r="CG125" s="80" t="str">
        <f>IF(AND($F125&lt;&gt;"", $F125&gt;=CG$5-4, $F125&lt;=CG$5, COUNTIF($M125:CF125,"u")=0), "u", "")</f>
        <v/>
      </c>
      <c r="CH125" s="80" t="str">
        <f>IF(AND($F125&lt;&gt;"", $F125&gt;=CH$5-4, $F125&lt;=CH$5, COUNTIF($M125:CG125,"u")=0), "u", "")</f>
        <v/>
      </c>
      <c r="CI125" s="80" t="str">
        <f>IF(AND($F125&lt;&gt;"", $F125&gt;=CI$5-4, $F125&lt;=CI$5, COUNTIF($M125:CH125,"u")=0), "u", "")</f>
        <v/>
      </c>
      <c r="CJ125" s="80" t="str">
        <f>IF(AND($F125&lt;&gt;"", $F125&gt;=CJ$5-4, $F125&lt;=CJ$5, COUNTIF($M125:CI125,"u")=0), "u", "")</f>
        <v/>
      </c>
      <c r="CK125" s="80" t="str">
        <f>IF(AND($F125&lt;&gt;"", $F125&gt;=CK$5-4, $F125&lt;=CK$5, COUNTIF($M125:CJ125,"u")=0), "u", "")</f>
        <v/>
      </c>
      <c r="CL125" s="80" t="str">
        <f>IF(AND($F125&lt;&gt;"", $F125&gt;=CL$5-4, $F125&lt;=CL$5, COUNTIF($M125:CK125,"u")=0), "u", "")</f>
        <v/>
      </c>
      <c r="CM125" s="80" t="str">
        <f>IF(AND($F125&lt;&gt;"", $F125&gt;=CM$5-4, $F125&lt;=CM$5, COUNTIF($M125:CL125,"u")=0), "u", "")</f>
        <v/>
      </c>
      <c r="CN125" s="80" t="str">
        <f>IF(AND($F125&lt;&gt;"", $F125&gt;=CN$5-4, $F125&lt;=CN$5, COUNTIF($M125:CM125,"u")=0), "u", "")</f>
        <v/>
      </c>
      <c r="CO125" s="80" t="str">
        <f>IF(AND($F125&lt;&gt;"", $F125&gt;=CO$5-4, $F125&lt;=CO$5, COUNTIF($M125:CN125,"u")=0), "u", "")</f>
        <v/>
      </c>
      <c r="CP125" s="80" t="str">
        <f>IF(AND($F125&lt;&gt;"", $F125&gt;=CP$5-4, $F125&lt;=CP$5, COUNTIF($M125:CO125,"u")=0), "u", "")</f>
        <v/>
      </c>
      <c r="CQ125" s="80" t="str">
        <f>IF(AND($F125&lt;&gt;"", $F125&gt;=CQ$5-4, $F125&lt;=CQ$5, COUNTIF($M125:CP125,"u")=0), "u", "")</f>
        <v/>
      </c>
      <c r="CR125" s="80" t="str">
        <f>IF(AND($F125&lt;&gt;"", $F125&gt;=CR$5-4, $F125&lt;=CR$5, COUNTIF($M125:CQ125,"u")=0), "u", "")</f>
        <v/>
      </c>
      <c r="CS125" s="80" t="str">
        <f>IF(AND($F125&lt;&gt;"", $F125&gt;=CS$5-4, $F125&lt;=CS$5, COUNTIF($M125:CR125,"u")=0), "u", "")</f>
        <v/>
      </c>
      <c r="CT125" s="80" t="str">
        <f>IF(AND($F125&lt;&gt;"", $F125&gt;=CT$5-4, $F125&lt;=CT$5, COUNTIF($M125:CS125,"u")=0), "u", "")</f>
        <v/>
      </c>
      <c r="CU125" s="80" t="str">
        <f>IF(AND($F125&lt;&gt;"", $F125&gt;=CU$5-4, $F125&lt;=CU$5, COUNTIF($M125:CT125,"u")=0), "u", "")</f>
        <v/>
      </c>
      <c r="CV125" s="80" t="str">
        <f>IF(AND($F125&lt;&gt;"", $F125&gt;=CV$5-4, $F125&lt;=CV$5, COUNTIF($M125:CU125,"u")=0), "u", "")</f>
        <v/>
      </c>
      <c r="CW125" s="80" t="str">
        <f>IF(AND($F125&lt;&gt;"", $F125&gt;=CW$5-4, $F125&lt;=CW$5, COUNTIF($M125:CV125,"u")=0), "u", "")</f>
        <v/>
      </c>
      <c r="CX125" s="80" t="str">
        <f>IF(AND($F125&lt;&gt;"", $F125&gt;=CX$5-4, $F125&lt;=CX$5, COUNTIF($M125:CW125,"u")=0), "u", "")</f>
        <v/>
      </c>
      <c r="CY125" s="80" t="str">
        <f>IF(AND($F125&lt;&gt;"", $F125&gt;=CY$5-4, $F125&lt;=CY$5, COUNTIF($M125:CX125,"u")=0), "u", "")</f>
        <v/>
      </c>
      <c r="CZ125" s="80" t="str">
        <f>IF(AND($F125&lt;&gt;"", $F125&gt;=CZ$5-4, $F125&lt;=CZ$5, COUNTIF($M125:CY125,"u")=0), "u", "")</f>
        <v/>
      </c>
      <c r="DA125" s="80" t="str">
        <f>IF(AND($F125&lt;&gt;"", $F125&gt;=DA$5-4, $F125&lt;=DA$5, COUNTIF($M125:CZ125,"u")=0), "u", "")</f>
        <v/>
      </c>
      <c r="DB125" s="80" t="str">
        <f>IF(AND($F125&lt;&gt;"", $F125&gt;=DB$5-4, $F125&lt;=DB$5, COUNTIF($M125:DA125,"u")=0), "u", "")</f>
        <v/>
      </c>
      <c r="DC125" s="80" t="str">
        <f>IF(AND($F125&lt;&gt;"", $F125&gt;=DC$5-4, $F125&lt;=DC$5, COUNTIF($M125:DB125,"u")=0), "u", "")</f>
        <v/>
      </c>
      <c r="DD125" s="80" t="str">
        <f>IF(AND($F125&lt;&gt;"", $F125&gt;=DD$5-4, $F125&lt;=DD$5, COUNTIF($M125:DC125,"u")=0), "u", "")</f>
        <v/>
      </c>
      <c r="DE125" s="80" t="str">
        <f>IF(AND($F125&lt;&gt;"", $F125&gt;=DE$5-4, $F125&lt;=DE$5, COUNTIF($M125:DD125,"u")=0), "u", "")</f>
        <v/>
      </c>
      <c r="DF125" s="80" t="str">
        <f>IF(AND($F125&lt;&gt;"", $F125&gt;=DF$5-4, $F125&lt;=DF$5, COUNTIF($M125:DE125,"u")=0), "u", "")</f>
        <v/>
      </c>
      <c r="DG125" s="80" t="str">
        <f>IF(AND($F125&lt;&gt;"", $F125&gt;=DG$5-4, $F125&lt;=DG$5, COUNTIF($M125:DF125,"u")=0), "u", "")</f>
        <v/>
      </c>
      <c r="DH125" s="80" t="str">
        <f>IF(AND($F125&lt;&gt;"", $F125&gt;=DH$5-4, $F125&lt;=DH$5, COUNTIF($M125:DG125,"u")=0), "u", "")</f>
        <v/>
      </c>
      <c r="DI125" s="80" t="str">
        <f>IF(AND($F125&lt;&gt;"", $F125&gt;=DI$5-4, $F125&lt;=DI$5, COUNTIF($M125:DH125,"u")=0), "u", "")</f>
        <v/>
      </c>
      <c r="DJ125" s="80" t="str">
        <f>IF(AND($F125&lt;&gt;"", $F125&gt;=DJ$5-4, $F125&lt;=DJ$5, COUNTIF($M125:DI125,"u")=0), "u", "")</f>
        <v/>
      </c>
      <c r="DK125" s="80" t="str">
        <f>IF(AND($F125&lt;&gt;"", $F125&gt;=DK$5-4, $F125&lt;=DK$5, COUNTIF($M125:DJ125,"u")=0), "u", "")</f>
        <v/>
      </c>
      <c r="DL125" s="80" t="str">
        <f>IF(AND($F125&lt;&gt;"", $F125&gt;=DL$5-4, $F125&lt;=DL$5, COUNTIF($M125:DK125,"u")=0), "u", "")</f>
        <v/>
      </c>
    </row>
    <row r="126" spans="1:116" ht="25.05" customHeight="1" x14ac:dyDescent="0.3">
      <c r="A126" s="39"/>
      <c r="B126" s="75">
        <v>121</v>
      </c>
      <c r="C126" s="97"/>
      <c r="D126" s="92"/>
      <c r="E126" s="53"/>
      <c r="F126" s="53"/>
      <c r="G126" s="83" t="str">
        <f t="shared" si="50"/>
        <v/>
      </c>
      <c r="H126" s="83" t="str">
        <f t="shared" si="50"/>
        <v/>
      </c>
      <c r="I126" s="77" t="str">
        <f t="shared" si="48"/>
        <v/>
      </c>
      <c r="J126" s="78"/>
      <c r="K126" s="86"/>
      <c r="L126" s="56"/>
      <c r="M126" s="80" t="str">
        <f t="shared" si="49"/>
        <v/>
      </c>
      <c r="N126" s="80" t="str">
        <f>IF(AND($F126&lt;&gt;"", $F126&gt;=N$5-4, $F126&lt;=N$5, COUNTIF($M126:M126,"u")=0), "u", "")</f>
        <v/>
      </c>
      <c r="O126" s="80" t="str">
        <f>IF(AND($F126&lt;&gt;"", $F126&gt;=O$5-4, $F126&lt;=O$5, COUNTIF($M126:N126,"u")=0), "u", "")</f>
        <v/>
      </c>
      <c r="P126" s="80" t="str">
        <f>IF(AND($F126&lt;&gt;"", $F126&gt;=P$5-4, $F126&lt;=P$5, COUNTIF($M126:O126,"u")=0), "u", "")</f>
        <v/>
      </c>
      <c r="Q126" s="80" t="str">
        <f>IF(AND($F126&lt;&gt;"", $F126&gt;=Q$5-4, $F126&lt;=Q$5, COUNTIF($M126:P126,"u")=0), "u", "")</f>
        <v/>
      </c>
      <c r="R126" s="80" t="str">
        <f>IF(AND($F126&lt;&gt;"", $F126&gt;=R$5-4, $F126&lt;=R$5, COUNTIF($M126:Q126,"u")=0), "u", "")</f>
        <v/>
      </c>
      <c r="S126" s="80" t="str">
        <f>IF(AND($F126&lt;&gt;"", $F126&gt;=S$5-4, $F126&lt;=S$5, COUNTIF($M126:R126,"u")=0), "u", "")</f>
        <v/>
      </c>
      <c r="T126" s="80" t="str">
        <f>IF(AND($F126&lt;&gt;"", $F126&gt;=T$5-4, $F126&lt;=T$5, COUNTIF($M126:S126,"u")=0), "u", "")</f>
        <v/>
      </c>
      <c r="U126" s="80" t="str">
        <f>IF(AND($F126&lt;&gt;"", $F126&gt;=U$5-4, $F126&lt;=U$5, COUNTIF($M126:T126,"u")=0), "u", "")</f>
        <v/>
      </c>
      <c r="V126" s="80" t="str">
        <f>IF(AND($F126&lt;&gt;"", $F126&gt;=V$5-4, $F126&lt;=V$5, COUNTIF($M126:U126,"u")=0), "u", "")</f>
        <v/>
      </c>
      <c r="W126" s="80" t="str">
        <f>IF(AND($F126&lt;&gt;"", $F126&gt;=W$5-4, $F126&lt;=W$5, COUNTIF($M126:V126,"u")=0), "u", "")</f>
        <v/>
      </c>
      <c r="X126" s="80" t="str">
        <f>IF(AND($F126&lt;&gt;"", $F126&gt;=X$5-4, $F126&lt;=X$5, COUNTIF($M126:W126,"u")=0), "u", "")</f>
        <v/>
      </c>
      <c r="Y126" s="80" t="str">
        <f>IF(AND($F126&lt;&gt;"", $F126&gt;=Y$5-4, $F126&lt;=Y$5, COUNTIF($M126:X126,"u")=0), "u", "")</f>
        <v/>
      </c>
      <c r="Z126" s="80" t="str">
        <f>IF(AND($F126&lt;&gt;"", $F126&gt;=Z$5-4, $F126&lt;=Z$5, COUNTIF($M126:Y126,"u")=0), "u", "")</f>
        <v/>
      </c>
      <c r="AA126" s="80" t="str">
        <f>IF(AND($F126&lt;&gt;"", $F126&gt;=AA$5-4, $F126&lt;=AA$5, COUNTIF($M126:Z126,"u")=0), "u", "")</f>
        <v/>
      </c>
      <c r="AB126" s="80" t="str">
        <f>IF(AND($F126&lt;&gt;"", $F126&gt;=AB$5-4, $F126&lt;=AB$5, COUNTIF($M126:AA126,"u")=0), "u", "")</f>
        <v/>
      </c>
      <c r="AC126" s="80" t="str">
        <f>IF(AND($F126&lt;&gt;"", $F126&gt;=AC$5-4, $F126&lt;=AC$5, COUNTIF($M126:AB126,"u")=0), "u", "")</f>
        <v/>
      </c>
      <c r="AD126" s="80" t="str">
        <f>IF(AND($F126&lt;&gt;"", $F126&gt;=AD$5-4, $F126&lt;=AD$5, COUNTIF($M126:AC126,"u")=0), "u", "")</f>
        <v/>
      </c>
      <c r="AE126" s="80" t="str">
        <f>IF(AND($F126&lt;&gt;"", $F126&gt;=AE$5-4, $F126&lt;=AE$5, COUNTIF($M126:AD126,"u")=0), "u", "")</f>
        <v/>
      </c>
      <c r="AF126" s="80" t="str">
        <f>IF(AND($F126&lt;&gt;"", $F126&gt;=AF$5-4, $F126&lt;=AF$5, COUNTIF($M126:AE126,"u")=0), "u", "")</f>
        <v/>
      </c>
      <c r="AG126" s="80" t="str">
        <f>IF(AND($F126&lt;&gt;"", $F126&gt;=AG$5-4, $F126&lt;=AG$5, COUNTIF($M126:AF126,"u")=0), "u", "")</f>
        <v/>
      </c>
      <c r="AH126" s="80" t="str">
        <f>IF(AND($F126&lt;&gt;"", $F126&gt;=AH$5-4, $F126&lt;=AH$5, COUNTIF($M126:AG126,"u")=0), "u", "")</f>
        <v/>
      </c>
      <c r="AI126" s="80" t="str">
        <f>IF(AND($F126&lt;&gt;"", $F126&gt;=AI$5-4, $F126&lt;=AI$5, COUNTIF($M126:AH126,"u")=0), "u", "")</f>
        <v/>
      </c>
      <c r="AJ126" s="80" t="str">
        <f>IF(AND($F126&lt;&gt;"", $F126&gt;=AJ$5-4, $F126&lt;=AJ$5, COUNTIF($M126:AI126,"u")=0), "u", "")</f>
        <v/>
      </c>
      <c r="AK126" s="80" t="str">
        <f>IF(AND($F126&lt;&gt;"", $F126&gt;=AK$5-4, $F126&lt;=AK$5, COUNTIF($M126:AJ126,"u")=0), "u", "")</f>
        <v/>
      </c>
      <c r="AL126" s="80" t="str">
        <f>IF(AND($F126&lt;&gt;"", $F126&gt;=AL$5-4, $F126&lt;=AL$5, COUNTIF($M126:AK126,"u")=0), "u", "")</f>
        <v/>
      </c>
      <c r="AM126" s="80" t="str">
        <f>IF(AND($F126&lt;&gt;"", $F126&gt;=AM$5-4, $F126&lt;=AM$5, COUNTIF($M126:AL126,"u")=0), "u", "")</f>
        <v/>
      </c>
      <c r="AN126" s="80" t="str">
        <f>IF(AND($F126&lt;&gt;"", $F126&gt;=AN$5-4, $F126&lt;=AN$5, COUNTIF($M126:AM126,"u")=0), "u", "")</f>
        <v/>
      </c>
      <c r="AO126" s="80" t="str">
        <f>IF(AND($F126&lt;&gt;"", $F126&gt;=AO$5-4, $F126&lt;=AO$5, COUNTIF($M126:AN126,"u")=0), "u", "")</f>
        <v/>
      </c>
      <c r="AP126" s="80" t="str">
        <f>IF(AND($F126&lt;&gt;"", $F126&gt;=AP$5-4, $F126&lt;=AP$5, COUNTIF($M126:AO126,"u")=0), "u", "")</f>
        <v/>
      </c>
      <c r="AQ126" s="80" t="str">
        <f>IF(AND($F126&lt;&gt;"", $F126&gt;=AQ$5-4, $F126&lt;=AQ$5, COUNTIF($M126:AP126,"u")=0), "u", "")</f>
        <v/>
      </c>
      <c r="AR126" s="80" t="str">
        <f>IF(AND($F126&lt;&gt;"", $F126&gt;=AR$5-4, $F126&lt;=AR$5, COUNTIF($M126:AQ126,"u")=0), "u", "")</f>
        <v/>
      </c>
      <c r="AS126" s="80" t="str">
        <f>IF(AND($F126&lt;&gt;"", $F126&gt;=AS$5-4, $F126&lt;=AS$5, COUNTIF($M126:AR126,"u")=0), "u", "")</f>
        <v/>
      </c>
      <c r="AT126" s="80" t="str">
        <f>IF(AND($F126&lt;&gt;"", $F126&gt;=AT$5-4, $F126&lt;=AT$5, COUNTIF($M126:AS126,"u")=0), "u", "")</f>
        <v/>
      </c>
      <c r="AU126" s="80" t="str">
        <f>IF(AND($F126&lt;&gt;"", $F126&gt;=AU$5-4, $F126&lt;=AU$5, COUNTIF($M126:AT126,"u")=0), "u", "")</f>
        <v/>
      </c>
      <c r="AV126" s="80" t="str">
        <f>IF(AND($F126&lt;&gt;"", $F126&gt;=AV$5-4, $F126&lt;=AV$5, COUNTIF($M126:AU126,"u")=0), "u", "")</f>
        <v/>
      </c>
      <c r="AW126" s="80" t="str">
        <f>IF(AND($F126&lt;&gt;"", $F126&gt;=AW$5-4, $F126&lt;=AW$5, COUNTIF($M126:AV126,"u")=0), "u", "")</f>
        <v/>
      </c>
      <c r="AX126" s="80" t="str">
        <f>IF(AND($F126&lt;&gt;"", $F126&gt;=AX$5-4, $F126&lt;=AX$5, COUNTIF($M126:AW126,"u")=0), "u", "")</f>
        <v/>
      </c>
      <c r="AY126" s="80" t="str">
        <f>IF(AND($F126&lt;&gt;"", $F126&gt;=AY$5-4, $F126&lt;=AY$5, COUNTIF($M126:AX126,"u")=0), "u", "")</f>
        <v/>
      </c>
      <c r="AZ126" s="80" t="str">
        <f>IF(AND($F126&lt;&gt;"", $F126&gt;=AZ$5-4, $F126&lt;=AZ$5, COUNTIF($M126:AY126,"u")=0), "u", "")</f>
        <v/>
      </c>
      <c r="BA126" s="80" t="str">
        <f>IF(AND($F126&lt;&gt;"", $F126&gt;=BA$5-4, $F126&lt;=BA$5, COUNTIF($M126:AZ126,"u")=0), "u", "")</f>
        <v/>
      </c>
      <c r="BB126" s="80" t="str">
        <f>IF(AND($F126&lt;&gt;"", $F126&gt;=BB$5-4, $F126&lt;=BB$5, COUNTIF($M126:BA126,"u")=0), "u", "")</f>
        <v/>
      </c>
      <c r="BC126" s="80" t="str">
        <f>IF(AND($F126&lt;&gt;"", $F126&gt;=BC$5-4, $F126&lt;=BC$5, COUNTIF($M126:BB126,"u")=0), "u", "")</f>
        <v/>
      </c>
      <c r="BD126" s="80" t="str">
        <f>IF(AND($F126&lt;&gt;"", $F126&gt;=BD$5-4, $F126&lt;=BD$5, COUNTIF($M126:BC126,"u")=0), "u", "")</f>
        <v/>
      </c>
      <c r="BE126" s="80" t="str">
        <f>IF(AND($F126&lt;&gt;"", $F126&gt;=BE$5-4, $F126&lt;=BE$5, COUNTIF($M126:BD126,"u")=0), "u", "")</f>
        <v/>
      </c>
      <c r="BF126" s="80" t="str">
        <f>IF(AND($F126&lt;&gt;"", $F126&gt;=BF$5-4, $F126&lt;=BF$5, COUNTIF($M126:BE126,"u")=0), "u", "")</f>
        <v/>
      </c>
      <c r="BG126" s="80" t="str">
        <f>IF(AND($F126&lt;&gt;"", $F126&gt;=BG$5-4, $F126&lt;=BG$5, COUNTIF($M126:BF126,"u")=0), "u", "")</f>
        <v/>
      </c>
      <c r="BH126" s="80" t="str">
        <f>IF(AND($F126&lt;&gt;"", $F126&gt;=BH$5-4, $F126&lt;=BH$5, COUNTIF($M126:BG126,"u")=0), "u", "")</f>
        <v/>
      </c>
      <c r="BI126" s="80" t="str">
        <f>IF(AND($F126&lt;&gt;"", $F126&gt;=BI$5-4, $F126&lt;=BI$5, COUNTIF($M126:BH126,"u")=0), "u", "")</f>
        <v/>
      </c>
      <c r="BJ126" s="80" t="str">
        <f>IF(AND($F126&lt;&gt;"", $F126&gt;=BJ$5-4, $F126&lt;=BJ$5, COUNTIF($M126:BI126,"u")=0), "u", "")</f>
        <v/>
      </c>
      <c r="BK126" s="80" t="str">
        <f>IF(AND($F126&lt;&gt;"", $F126&gt;=BK$5-4, $F126&lt;=BK$5, COUNTIF($M126:BJ126,"u")=0), "u", "")</f>
        <v/>
      </c>
      <c r="BL126" s="80" t="str">
        <f>IF(AND($F126&lt;&gt;"", $F126&gt;=BL$5-4, $F126&lt;=BL$5, COUNTIF($M126:BK126,"u")=0), "u", "")</f>
        <v/>
      </c>
      <c r="BM126" s="80" t="str">
        <f>IF(AND($F126&lt;&gt;"", $F126&gt;=BM$5-4, $F126&lt;=BM$5, COUNTIF($M126:BL126,"u")=0), "u", "")</f>
        <v/>
      </c>
      <c r="BN126" s="80" t="str">
        <f>IF(AND($F126&lt;&gt;"", $F126&gt;=BN$5-4, $F126&lt;=BN$5, COUNTIF($M126:BM126,"u")=0), "u", "")</f>
        <v/>
      </c>
      <c r="BO126" s="80" t="str">
        <f>IF(AND($F126&lt;&gt;"", $F126&gt;=BO$5-4, $F126&lt;=BO$5, COUNTIF($M126:BN126,"u")=0), "u", "")</f>
        <v/>
      </c>
      <c r="BP126" s="80" t="str">
        <f>IF(AND($F126&lt;&gt;"", $F126&gt;=BP$5-4, $F126&lt;=BP$5, COUNTIF($M126:BO126,"u")=0), "u", "")</f>
        <v/>
      </c>
      <c r="BQ126" s="80" t="str">
        <f>IF(AND($F126&lt;&gt;"", $F126&gt;=BQ$5-4, $F126&lt;=BQ$5, COUNTIF($M126:BP126,"u")=0), "u", "")</f>
        <v/>
      </c>
      <c r="BR126" s="80" t="str">
        <f>IF(AND($F126&lt;&gt;"", $F126&gt;=BR$5-4, $F126&lt;=BR$5, COUNTIF($M126:BQ126,"u")=0), "u", "")</f>
        <v/>
      </c>
      <c r="BS126" s="80" t="str">
        <f>IF(AND($F126&lt;&gt;"", $F126&gt;=BS$5-4, $F126&lt;=BS$5, COUNTIF($M126:BR126,"u")=0), "u", "")</f>
        <v/>
      </c>
      <c r="BT126" s="80" t="str">
        <f>IF(AND($F126&lt;&gt;"", $F126&gt;=BT$5-4, $F126&lt;=BT$5, COUNTIF($M126:BS126,"u")=0), "u", "")</f>
        <v/>
      </c>
      <c r="BU126" s="80" t="str">
        <f>IF(AND($F126&lt;&gt;"", $F126&gt;=BU$5-4, $F126&lt;=BU$5, COUNTIF($M126:BT126,"u")=0), "u", "")</f>
        <v/>
      </c>
      <c r="BV126" s="80" t="str">
        <f>IF(AND($F126&lt;&gt;"", $F126&gt;=BV$5-4, $F126&lt;=BV$5, COUNTIF($M126:BU126,"u")=0), "u", "")</f>
        <v/>
      </c>
      <c r="BW126" s="80" t="str">
        <f>IF(AND($F126&lt;&gt;"", $F126&gt;=BW$5-4, $F126&lt;=BW$5, COUNTIF($M126:BV126,"u")=0), "u", "")</f>
        <v/>
      </c>
      <c r="BX126" s="80" t="str">
        <f>IF(AND($F126&lt;&gt;"", $F126&gt;=BX$5-4, $F126&lt;=BX$5, COUNTIF($M126:BW126,"u")=0), "u", "")</f>
        <v/>
      </c>
      <c r="BY126" s="80" t="str">
        <f>IF(AND($F126&lt;&gt;"", $F126&gt;=BY$5-4, $F126&lt;=BY$5, COUNTIF($M126:BX126,"u")=0), "u", "")</f>
        <v/>
      </c>
      <c r="BZ126" s="80" t="str">
        <f>IF(AND($F126&lt;&gt;"", $F126&gt;=BZ$5-4, $F126&lt;=BZ$5, COUNTIF($M126:BY126,"u")=0), "u", "")</f>
        <v/>
      </c>
      <c r="CA126" s="80" t="str">
        <f>IF(AND($F126&lt;&gt;"", $F126&gt;=CA$5-4, $F126&lt;=CA$5, COUNTIF($M126:BZ126,"u")=0), "u", "")</f>
        <v/>
      </c>
      <c r="CB126" s="80" t="str">
        <f>IF(AND($F126&lt;&gt;"", $F126&gt;=CB$5-4, $F126&lt;=CB$5, COUNTIF($M126:CA126,"u")=0), "u", "")</f>
        <v/>
      </c>
      <c r="CC126" s="80" t="str">
        <f>IF(AND($F126&lt;&gt;"", $F126&gt;=CC$5-4, $F126&lt;=CC$5, COUNTIF($M126:CB126,"u")=0), "u", "")</f>
        <v/>
      </c>
      <c r="CD126" s="80" t="str">
        <f>IF(AND($F126&lt;&gt;"", $F126&gt;=CD$5-4, $F126&lt;=CD$5, COUNTIF($M126:CC126,"u")=0), "u", "")</f>
        <v/>
      </c>
      <c r="CE126" s="80" t="str">
        <f>IF(AND($F126&lt;&gt;"", $F126&gt;=CE$5-4, $F126&lt;=CE$5, COUNTIF($M126:CD126,"u")=0), "u", "")</f>
        <v/>
      </c>
      <c r="CF126" s="80" t="str">
        <f>IF(AND($F126&lt;&gt;"", $F126&gt;=CF$5-4, $F126&lt;=CF$5, COUNTIF($M126:CE126,"u")=0), "u", "")</f>
        <v/>
      </c>
      <c r="CG126" s="80" t="str">
        <f>IF(AND($F126&lt;&gt;"", $F126&gt;=CG$5-4, $F126&lt;=CG$5, COUNTIF($M126:CF126,"u")=0), "u", "")</f>
        <v/>
      </c>
      <c r="CH126" s="80" t="str">
        <f>IF(AND($F126&lt;&gt;"", $F126&gt;=CH$5-4, $F126&lt;=CH$5, COUNTIF($M126:CG126,"u")=0), "u", "")</f>
        <v/>
      </c>
      <c r="CI126" s="80" t="str">
        <f>IF(AND($F126&lt;&gt;"", $F126&gt;=CI$5-4, $F126&lt;=CI$5, COUNTIF($M126:CH126,"u")=0), "u", "")</f>
        <v/>
      </c>
      <c r="CJ126" s="80" t="str">
        <f>IF(AND($F126&lt;&gt;"", $F126&gt;=CJ$5-4, $F126&lt;=CJ$5, COUNTIF($M126:CI126,"u")=0), "u", "")</f>
        <v/>
      </c>
      <c r="CK126" s="80" t="str">
        <f>IF(AND($F126&lt;&gt;"", $F126&gt;=CK$5-4, $F126&lt;=CK$5, COUNTIF($M126:CJ126,"u")=0), "u", "")</f>
        <v/>
      </c>
      <c r="CL126" s="80" t="str">
        <f>IF(AND($F126&lt;&gt;"", $F126&gt;=CL$5-4, $F126&lt;=CL$5, COUNTIF($M126:CK126,"u")=0), "u", "")</f>
        <v/>
      </c>
      <c r="CM126" s="80" t="str">
        <f>IF(AND($F126&lt;&gt;"", $F126&gt;=CM$5-4, $F126&lt;=CM$5, COUNTIF($M126:CL126,"u")=0), "u", "")</f>
        <v/>
      </c>
      <c r="CN126" s="80" t="str">
        <f>IF(AND($F126&lt;&gt;"", $F126&gt;=CN$5-4, $F126&lt;=CN$5, COUNTIF($M126:CM126,"u")=0), "u", "")</f>
        <v/>
      </c>
      <c r="CO126" s="80" t="str">
        <f>IF(AND($F126&lt;&gt;"", $F126&gt;=CO$5-4, $F126&lt;=CO$5, COUNTIF($M126:CN126,"u")=0), "u", "")</f>
        <v/>
      </c>
      <c r="CP126" s="80" t="str">
        <f>IF(AND($F126&lt;&gt;"", $F126&gt;=CP$5-4, $F126&lt;=CP$5, COUNTIF($M126:CO126,"u")=0), "u", "")</f>
        <v/>
      </c>
      <c r="CQ126" s="80" t="str">
        <f>IF(AND($F126&lt;&gt;"", $F126&gt;=CQ$5-4, $F126&lt;=CQ$5, COUNTIF($M126:CP126,"u")=0), "u", "")</f>
        <v/>
      </c>
      <c r="CR126" s="80" t="str">
        <f>IF(AND($F126&lt;&gt;"", $F126&gt;=CR$5-4, $F126&lt;=CR$5, COUNTIF($M126:CQ126,"u")=0), "u", "")</f>
        <v/>
      </c>
      <c r="CS126" s="80" t="str">
        <f>IF(AND($F126&lt;&gt;"", $F126&gt;=CS$5-4, $F126&lt;=CS$5, COUNTIF($M126:CR126,"u")=0), "u", "")</f>
        <v/>
      </c>
      <c r="CT126" s="80" t="str">
        <f>IF(AND($F126&lt;&gt;"", $F126&gt;=CT$5-4, $F126&lt;=CT$5, COUNTIF($M126:CS126,"u")=0), "u", "")</f>
        <v/>
      </c>
      <c r="CU126" s="80" t="str">
        <f>IF(AND($F126&lt;&gt;"", $F126&gt;=CU$5-4, $F126&lt;=CU$5, COUNTIF($M126:CT126,"u")=0), "u", "")</f>
        <v/>
      </c>
      <c r="CV126" s="80" t="str">
        <f>IF(AND($F126&lt;&gt;"", $F126&gt;=CV$5-4, $F126&lt;=CV$5, COUNTIF($M126:CU126,"u")=0), "u", "")</f>
        <v/>
      </c>
      <c r="CW126" s="80" t="str">
        <f>IF(AND($F126&lt;&gt;"", $F126&gt;=CW$5-4, $F126&lt;=CW$5, COUNTIF($M126:CV126,"u")=0), "u", "")</f>
        <v/>
      </c>
      <c r="CX126" s="80" t="str">
        <f>IF(AND($F126&lt;&gt;"", $F126&gt;=CX$5-4, $F126&lt;=CX$5, COUNTIF($M126:CW126,"u")=0), "u", "")</f>
        <v/>
      </c>
      <c r="CY126" s="80" t="str">
        <f>IF(AND($F126&lt;&gt;"", $F126&gt;=CY$5-4, $F126&lt;=CY$5, COUNTIF($M126:CX126,"u")=0), "u", "")</f>
        <v/>
      </c>
      <c r="CZ126" s="80" t="str">
        <f>IF(AND($F126&lt;&gt;"", $F126&gt;=CZ$5-4, $F126&lt;=CZ$5, COUNTIF($M126:CY126,"u")=0), "u", "")</f>
        <v/>
      </c>
      <c r="DA126" s="80" t="str">
        <f>IF(AND($F126&lt;&gt;"", $F126&gt;=DA$5-4, $F126&lt;=DA$5, COUNTIF($M126:CZ126,"u")=0), "u", "")</f>
        <v/>
      </c>
      <c r="DB126" s="80" t="str">
        <f>IF(AND($F126&lt;&gt;"", $F126&gt;=DB$5-4, $F126&lt;=DB$5, COUNTIF($M126:DA126,"u")=0), "u", "")</f>
        <v/>
      </c>
      <c r="DC126" s="80" t="str">
        <f>IF(AND($F126&lt;&gt;"", $F126&gt;=DC$5-4, $F126&lt;=DC$5, COUNTIF($M126:DB126,"u")=0), "u", "")</f>
        <v/>
      </c>
      <c r="DD126" s="80" t="str">
        <f>IF(AND($F126&lt;&gt;"", $F126&gt;=DD$5-4, $F126&lt;=DD$5, COUNTIF($M126:DC126,"u")=0), "u", "")</f>
        <v/>
      </c>
      <c r="DE126" s="80" t="str">
        <f>IF(AND($F126&lt;&gt;"", $F126&gt;=DE$5-4, $F126&lt;=DE$5, COUNTIF($M126:DD126,"u")=0), "u", "")</f>
        <v/>
      </c>
      <c r="DF126" s="80" t="str">
        <f>IF(AND($F126&lt;&gt;"", $F126&gt;=DF$5-4, $F126&lt;=DF$5, COUNTIF($M126:DE126,"u")=0), "u", "")</f>
        <v/>
      </c>
      <c r="DG126" s="80" t="str">
        <f>IF(AND($F126&lt;&gt;"", $F126&gt;=DG$5-4, $F126&lt;=DG$5, COUNTIF($M126:DF126,"u")=0), "u", "")</f>
        <v/>
      </c>
      <c r="DH126" s="80" t="str">
        <f>IF(AND($F126&lt;&gt;"", $F126&gt;=DH$5-4, $F126&lt;=DH$5, COUNTIF($M126:DG126,"u")=0), "u", "")</f>
        <v/>
      </c>
      <c r="DI126" s="80" t="str">
        <f>IF(AND($F126&lt;&gt;"", $F126&gt;=DI$5-4, $F126&lt;=DI$5, COUNTIF($M126:DH126,"u")=0), "u", "")</f>
        <v/>
      </c>
      <c r="DJ126" s="80" t="str">
        <f>IF(AND($F126&lt;&gt;"", $F126&gt;=DJ$5-4, $F126&lt;=DJ$5, COUNTIF($M126:DI126,"u")=0), "u", "")</f>
        <v/>
      </c>
      <c r="DK126" s="80" t="str">
        <f>IF(AND($F126&lt;&gt;"", $F126&gt;=DK$5-4, $F126&lt;=DK$5, COUNTIF($M126:DJ126,"u")=0), "u", "")</f>
        <v/>
      </c>
      <c r="DL126" s="80" t="str">
        <f>IF(AND($F126&lt;&gt;"", $F126&gt;=DL$5-4, $F126&lt;=DL$5, COUNTIF($M126:DK126,"u")=0), "u", "")</f>
        <v/>
      </c>
    </row>
    <row r="127" spans="1:116" ht="25.05" customHeight="1" x14ac:dyDescent="0.3">
      <c r="A127" s="39"/>
      <c r="B127" s="75">
        <v>122</v>
      </c>
      <c r="C127" s="97"/>
      <c r="D127" s="92"/>
      <c r="E127" s="53"/>
      <c r="F127" s="53"/>
      <c r="G127" s="83" t="str">
        <f t="shared" si="50"/>
        <v/>
      </c>
      <c r="H127" s="83" t="str">
        <f t="shared" si="50"/>
        <v/>
      </c>
      <c r="I127" s="77" t="str">
        <f t="shared" si="48"/>
        <v/>
      </c>
      <c r="J127" s="78"/>
      <c r="K127" s="86"/>
      <c r="L127" s="56"/>
      <c r="M127" s="80" t="str">
        <f t="shared" si="49"/>
        <v/>
      </c>
      <c r="N127" s="80" t="str">
        <f>IF(AND($F127&lt;&gt;"", $F127&gt;=N$5-4, $F127&lt;=N$5, COUNTIF($M127:M127,"u")=0), "u", "")</f>
        <v/>
      </c>
      <c r="O127" s="80" t="str">
        <f>IF(AND($F127&lt;&gt;"", $F127&gt;=O$5-4, $F127&lt;=O$5, COUNTIF($M127:N127,"u")=0), "u", "")</f>
        <v/>
      </c>
      <c r="P127" s="80" t="str">
        <f>IF(AND($F127&lt;&gt;"", $F127&gt;=P$5-4, $F127&lt;=P$5, COUNTIF($M127:O127,"u")=0), "u", "")</f>
        <v/>
      </c>
      <c r="Q127" s="80" t="str">
        <f>IF(AND($F127&lt;&gt;"", $F127&gt;=Q$5-4, $F127&lt;=Q$5, COUNTIF($M127:P127,"u")=0), "u", "")</f>
        <v/>
      </c>
      <c r="R127" s="80" t="str">
        <f>IF(AND($F127&lt;&gt;"", $F127&gt;=R$5-4, $F127&lt;=R$5, COUNTIF($M127:Q127,"u")=0), "u", "")</f>
        <v/>
      </c>
      <c r="S127" s="80" t="str">
        <f>IF(AND($F127&lt;&gt;"", $F127&gt;=S$5-4, $F127&lt;=S$5, COUNTIF($M127:R127,"u")=0), "u", "")</f>
        <v/>
      </c>
      <c r="T127" s="80" t="str">
        <f>IF(AND($F127&lt;&gt;"", $F127&gt;=T$5-4, $F127&lt;=T$5, COUNTIF($M127:S127,"u")=0), "u", "")</f>
        <v/>
      </c>
      <c r="U127" s="80" t="str">
        <f>IF(AND($F127&lt;&gt;"", $F127&gt;=U$5-4, $F127&lt;=U$5, COUNTIF($M127:T127,"u")=0), "u", "")</f>
        <v/>
      </c>
      <c r="V127" s="80" t="str">
        <f>IF(AND($F127&lt;&gt;"", $F127&gt;=V$5-4, $F127&lt;=V$5, COUNTIF($M127:U127,"u")=0), "u", "")</f>
        <v/>
      </c>
      <c r="W127" s="80" t="str">
        <f>IF(AND($F127&lt;&gt;"", $F127&gt;=W$5-4, $F127&lt;=W$5, COUNTIF($M127:V127,"u")=0), "u", "")</f>
        <v/>
      </c>
      <c r="X127" s="80" t="str">
        <f>IF(AND($F127&lt;&gt;"", $F127&gt;=X$5-4, $F127&lt;=X$5, COUNTIF($M127:W127,"u")=0), "u", "")</f>
        <v/>
      </c>
      <c r="Y127" s="80" t="str">
        <f>IF(AND($F127&lt;&gt;"", $F127&gt;=Y$5-4, $F127&lt;=Y$5, COUNTIF($M127:X127,"u")=0), "u", "")</f>
        <v/>
      </c>
      <c r="Z127" s="80" t="str">
        <f>IF(AND($F127&lt;&gt;"", $F127&gt;=Z$5-4, $F127&lt;=Z$5, COUNTIF($M127:Y127,"u")=0), "u", "")</f>
        <v/>
      </c>
      <c r="AA127" s="80" t="str">
        <f>IF(AND($F127&lt;&gt;"", $F127&gt;=AA$5-4, $F127&lt;=AA$5, COUNTIF($M127:Z127,"u")=0), "u", "")</f>
        <v/>
      </c>
      <c r="AB127" s="80" t="str">
        <f>IF(AND($F127&lt;&gt;"", $F127&gt;=AB$5-4, $F127&lt;=AB$5, COUNTIF($M127:AA127,"u")=0), "u", "")</f>
        <v/>
      </c>
      <c r="AC127" s="80" t="str">
        <f>IF(AND($F127&lt;&gt;"", $F127&gt;=AC$5-4, $F127&lt;=AC$5, COUNTIF($M127:AB127,"u")=0), "u", "")</f>
        <v/>
      </c>
      <c r="AD127" s="80" t="str">
        <f>IF(AND($F127&lt;&gt;"", $F127&gt;=AD$5-4, $F127&lt;=AD$5, COUNTIF($M127:AC127,"u")=0), "u", "")</f>
        <v/>
      </c>
      <c r="AE127" s="80" t="str">
        <f>IF(AND($F127&lt;&gt;"", $F127&gt;=AE$5-4, $F127&lt;=AE$5, COUNTIF($M127:AD127,"u")=0), "u", "")</f>
        <v/>
      </c>
      <c r="AF127" s="80" t="str">
        <f>IF(AND($F127&lt;&gt;"", $F127&gt;=AF$5-4, $F127&lt;=AF$5, COUNTIF($M127:AE127,"u")=0), "u", "")</f>
        <v/>
      </c>
      <c r="AG127" s="80" t="str">
        <f>IF(AND($F127&lt;&gt;"", $F127&gt;=AG$5-4, $F127&lt;=AG$5, COUNTIF($M127:AF127,"u")=0), "u", "")</f>
        <v/>
      </c>
      <c r="AH127" s="80" t="str">
        <f>IF(AND($F127&lt;&gt;"", $F127&gt;=AH$5-4, $F127&lt;=AH$5, COUNTIF($M127:AG127,"u")=0), "u", "")</f>
        <v/>
      </c>
      <c r="AI127" s="80" t="str">
        <f>IF(AND($F127&lt;&gt;"", $F127&gt;=AI$5-4, $F127&lt;=AI$5, COUNTIF($M127:AH127,"u")=0), "u", "")</f>
        <v/>
      </c>
      <c r="AJ127" s="80" t="str">
        <f>IF(AND($F127&lt;&gt;"", $F127&gt;=AJ$5-4, $F127&lt;=AJ$5, COUNTIF($M127:AI127,"u")=0), "u", "")</f>
        <v/>
      </c>
      <c r="AK127" s="80" t="str">
        <f>IF(AND($F127&lt;&gt;"", $F127&gt;=AK$5-4, $F127&lt;=AK$5, COUNTIF($M127:AJ127,"u")=0), "u", "")</f>
        <v/>
      </c>
      <c r="AL127" s="80" t="str">
        <f>IF(AND($F127&lt;&gt;"", $F127&gt;=AL$5-4, $F127&lt;=AL$5, COUNTIF($M127:AK127,"u")=0), "u", "")</f>
        <v/>
      </c>
      <c r="AM127" s="80" t="str">
        <f>IF(AND($F127&lt;&gt;"", $F127&gt;=AM$5-4, $F127&lt;=AM$5, COUNTIF($M127:AL127,"u")=0), "u", "")</f>
        <v/>
      </c>
      <c r="AN127" s="80" t="str">
        <f>IF(AND($F127&lt;&gt;"", $F127&gt;=AN$5-4, $F127&lt;=AN$5, COUNTIF($M127:AM127,"u")=0), "u", "")</f>
        <v/>
      </c>
      <c r="AO127" s="80" t="str">
        <f>IF(AND($F127&lt;&gt;"", $F127&gt;=AO$5-4, $F127&lt;=AO$5, COUNTIF($M127:AN127,"u")=0), "u", "")</f>
        <v/>
      </c>
      <c r="AP127" s="80" t="str">
        <f>IF(AND($F127&lt;&gt;"", $F127&gt;=AP$5-4, $F127&lt;=AP$5, COUNTIF($M127:AO127,"u")=0), "u", "")</f>
        <v/>
      </c>
      <c r="AQ127" s="80" t="str">
        <f>IF(AND($F127&lt;&gt;"", $F127&gt;=AQ$5-4, $F127&lt;=AQ$5, COUNTIF($M127:AP127,"u")=0), "u", "")</f>
        <v/>
      </c>
      <c r="AR127" s="80" t="str">
        <f>IF(AND($F127&lt;&gt;"", $F127&gt;=AR$5-4, $F127&lt;=AR$5, COUNTIF($M127:AQ127,"u")=0), "u", "")</f>
        <v/>
      </c>
      <c r="AS127" s="80" t="str">
        <f>IF(AND($F127&lt;&gt;"", $F127&gt;=AS$5-4, $F127&lt;=AS$5, COUNTIF($M127:AR127,"u")=0), "u", "")</f>
        <v/>
      </c>
      <c r="AT127" s="80" t="str">
        <f>IF(AND($F127&lt;&gt;"", $F127&gt;=AT$5-4, $F127&lt;=AT$5, COUNTIF($M127:AS127,"u")=0), "u", "")</f>
        <v/>
      </c>
      <c r="AU127" s="80" t="str">
        <f>IF(AND($F127&lt;&gt;"", $F127&gt;=AU$5-4, $F127&lt;=AU$5, COUNTIF($M127:AT127,"u")=0), "u", "")</f>
        <v/>
      </c>
      <c r="AV127" s="80" t="str">
        <f>IF(AND($F127&lt;&gt;"", $F127&gt;=AV$5-4, $F127&lt;=AV$5, COUNTIF($M127:AU127,"u")=0), "u", "")</f>
        <v/>
      </c>
      <c r="AW127" s="80" t="str">
        <f>IF(AND($F127&lt;&gt;"", $F127&gt;=AW$5-4, $F127&lt;=AW$5, COUNTIF($M127:AV127,"u")=0), "u", "")</f>
        <v/>
      </c>
      <c r="AX127" s="80" t="str">
        <f>IF(AND($F127&lt;&gt;"", $F127&gt;=AX$5-4, $F127&lt;=AX$5, COUNTIF($M127:AW127,"u")=0), "u", "")</f>
        <v/>
      </c>
      <c r="AY127" s="80" t="str">
        <f>IF(AND($F127&lt;&gt;"", $F127&gt;=AY$5-4, $F127&lt;=AY$5, COUNTIF($M127:AX127,"u")=0), "u", "")</f>
        <v/>
      </c>
      <c r="AZ127" s="80" t="str">
        <f>IF(AND($F127&lt;&gt;"", $F127&gt;=AZ$5-4, $F127&lt;=AZ$5, COUNTIF($M127:AY127,"u")=0), "u", "")</f>
        <v/>
      </c>
      <c r="BA127" s="80" t="str">
        <f>IF(AND($F127&lt;&gt;"", $F127&gt;=BA$5-4, $F127&lt;=BA$5, COUNTIF($M127:AZ127,"u")=0), "u", "")</f>
        <v/>
      </c>
      <c r="BB127" s="80" t="str">
        <f>IF(AND($F127&lt;&gt;"", $F127&gt;=BB$5-4, $F127&lt;=BB$5, COUNTIF($M127:BA127,"u")=0), "u", "")</f>
        <v/>
      </c>
      <c r="BC127" s="80" t="str">
        <f>IF(AND($F127&lt;&gt;"", $F127&gt;=BC$5-4, $F127&lt;=BC$5, COUNTIF($M127:BB127,"u")=0), "u", "")</f>
        <v/>
      </c>
      <c r="BD127" s="80" t="str">
        <f>IF(AND($F127&lt;&gt;"", $F127&gt;=BD$5-4, $F127&lt;=BD$5, COUNTIF($M127:BC127,"u")=0), "u", "")</f>
        <v/>
      </c>
      <c r="BE127" s="80" t="str">
        <f>IF(AND($F127&lt;&gt;"", $F127&gt;=BE$5-4, $F127&lt;=BE$5, COUNTIF($M127:BD127,"u")=0), "u", "")</f>
        <v/>
      </c>
      <c r="BF127" s="80" t="str">
        <f>IF(AND($F127&lt;&gt;"", $F127&gt;=BF$5-4, $F127&lt;=BF$5, COUNTIF($M127:BE127,"u")=0), "u", "")</f>
        <v/>
      </c>
      <c r="BG127" s="80" t="str">
        <f>IF(AND($F127&lt;&gt;"", $F127&gt;=BG$5-4, $F127&lt;=BG$5, COUNTIF($M127:BF127,"u")=0), "u", "")</f>
        <v/>
      </c>
      <c r="BH127" s="80" t="str">
        <f>IF(AND($F127&lt;&gt;"", $F127&gt;=BH$5-4, $F127&lt;=BH$5, COUNTIF($M127:BG127,"u")=0), "u", "")</f>
        <v/>
      </c>
      <c r="BI127" s="80" t="str">
        <f>IF(AND($F127&lt;&gt;"", $F127&gt;=BI$5-4, $F127&lt;=BI$5, COUNTIF($M127:BH127,"u")=0), "u", "")</f>
        <v/>
      </c>
      <c r="BJ127" s="80" t="str">
        <f>IF(AND($F127&lt;&gt;"", $F127&gt;=BJ$5-4, $F127&lt;=BJ$5, COUNTIF($M127:BI127,"u")=0), "u", "")</f>
        <v/>
      </c>
      <c r="BK127" s="80" t="str">
        <f>IF(AND($F127&lt;&gt;"", $F127&gt;=BK$5-4, $F127&lt;=BK$5, COUNTIF($M127:BJ127,"u")=0), "u", "")</f>
        <v/>
      </c>
      <c r="BL127" s="80" t="str">
        <f>IF(AND($F127&lt;&gt;"", $F127&gt;=BL$5-4, $F127&lt;=BL$5, COUNTIF($M127:BK127,"u")=0), "u", "")</f>
        <v/>
      </c>
      <c r="BM127" s="80" t="str">
        <f>IF(AND($F127&lt;&gt;"", $F127&gt;=BM$5-4, $F127&lt;=BM$5, COUNTIF($M127:BL127,"u")=0), "u", "")</f>
        <v/>
      </c>
      <c r="BN127" s="80" t="str">
        <f>IF(AND($F127&lt;&gt;"", $F127&gt;=BN$5-4, $F127&lt;=BN$5, COUNTIF($M127:BM127,"u")=0), "u", "")</f>
        <v/>
      </c>
      <c r="BO127" s="80" t="str">
        <f>IF(AND($F127&lt;&gt;"", $F127&gt;=BO$5-4, $F127&lt;=BO$5, COUNTIF($M127:BN127,"u")=0), "u", "")</f>
        <v/>
      </c>
      <c r="BP127" s="80" t="str">
        <f>IF(AND($F127&lt;&gt;"", $F127&gt;=BP$5-4, $F127&lt;=BP$5, COUNTIF($M127:BO127,"u")=0), "u", "")</f>
        <v/>
      </c>
      <c r="BQ127" s="80" t="str">
        <f>IF(AND($F127&lt;&gt;"", $F127&gt;=BQ$5-4, $F127&lt;=BQ$5, COUNTIF($M127:BP127,"u")=0), "u", "")</f>
        <v/>
      </c>
      <c r="BR127" s="80" t="str">
        <f>IF(AND($F127&lt;&gt;"", $F127&gt;=BR$5-4, $F127&lt;=BR$5, COUNTIF($M127:BQ127,"u")=0), "u", "")</f>
        <v/>
      </c>
      <c r="BS127" s="80" t="str">
        <f>IF(AND($F127&lt;&gt;"", $F127&gt;=BS$5-4, $F127&lt;=BS$5, COUNTIF($M127:BR127,"u")=0), "u", "")</f>
        <v/>
      </c>
      <c r="BT127" s="80" t="str">
        <f>IF(AND($F127&lt;&gt;"", $F127&gt;=BT$5-4, $F127&lt;=BT$5, COUNTIF($M127:BS127,"u")=0), "u", "")</f>
        <v/>
      </c>
      <c r="BU127" s="80" t="str">
        <f>IF(AND($F127&lt;&gt;"", $F127&gt;=BU$5-4, $F127&lt;=BU$5, COUNTIF($M127:BT127,"u")=0), "u", "")</f>
        <v/>
      </c>
      <c r="BV127" s="80" t="str">
        <f>IF(AND($F127&lt;&gt;"", $F127&gt;=BV$5-4, $F127&lt;=BV$5, COUNTIF($M127:BU127,"u")=0), "u", "")</f>
        <v/>
      </c>
      <c r="BW127" s="80" t="str">
        <f>IF(AND($F127&lt;&gt;"", $F127&gt;=BW$5-4, $F127&lt;=BW$5, COUNTIF($M127:BV127,"u")=0), "u", "")</f>
        <v/>
      </c>
      <c r="BX127" s="80" t="str">
        <f>IF(AND($F127&lt;&gt;"", $F127&gt;=BX$5-4, $F127&lt;=BX$5, COUNTIF($M127:BW127,"u")=0), "u", "")</f>
        <v/>
      </c>
      <c r="BY127" s="80" t="str">
        <f>IF(AND($F127&lt;&gt;"", $F127&gt;=BY$5-4, $F127&lt;=BY$5, COUNTIF($M127:BX127,"u")=0), "u", "")</f>
        <v/>
      </c>
      <c r="BZ127" s="80" t="str">
        <f>IF(AND($F127&lt;&gt;"", $F127&gt;=BZ$5-4, $F127&lt;=BZ$5, COUNTIF($M127:BY127,"u")=0), "u", "")</f>
        <v/>
      </c>
      <c r="CA127" s="80" t="str">
        <f>IF(AND($F127&lt;&gt;"", $F127&gt;=CA$5-4, $F127&lt;=CA$5, COUNTIF($M127:BZ127,"u")=0), "u", "")</f>
        <v/>
      </c>
      <c r="CB127" s="80" t="str">
        <f>IF(AND($F127&lt;&gt;"", $F127&gt;=CB$5-4, $F127&lt;=CB$5, COUNTIF($M127:CA127,"u")=0), "u", "")</f>
        <v/>
      </c>
      <c r="CC127" s="80" t="str">
        <f>IF(AND($F127&lt;&gt;"", $F127&gt;=CC$5-4, $F127&lt;=CC$5, COUNTIF($M127:CB127,"u")=0), "u", "")</f>
        <v/>
      </c>
      <c r="CD127" s="80" t="str">
        <f>IF(AND($F127&lt;&gt;"", $F127&gt;=CD$5-4, $F127&lt;=CD$5, COUNTIF($M127:CC127,"u")=0), "u", "")</f>
        <v/>
      </c>
      <c r="CE127" s="80" t="str">
        <f>IF(AND($F127&lt;&gt;"", $F127&gt;=CE$5-4, $F127&lt;=CE$5, COUNTIF($M127:CD127,"u")=0), "u", "")</f>
        <v/>
      </c>
      <c r="CF127" s="80" t="str">
        <f>IF(AND($F127&lt;&gt;"", $F127&gt;=CF$5-4, $F127&lt;=CF$5, COUNTIF($M127:CE127,"u")=0), "u", "")</f>
        <v/>
      </c>
      <c r="CG127" s="80" t="str">
        <f>IF(AND($F127&lt;&gt;"", $F127&gt;=CG$5-4, $F127&lt;=CG$5, COUNTIF($M127:CF127,"u")=0), "u", "")</f>
        <v/>
      </c>
      <c r="CH127" s="80" t="str">
        <f>IF(AND($F127&lt;&gt;"", $F127&gt;=CH$5-4, $F127&lt;=CH$5, COUNTIF($M127:CG127,"u")=0), "u", "")</f>
        <v/>
      </c>
      <c r="CI127" s="80" t="str">
        <f>IF(AND($F127&lt;&gt;"", $F127&gt;=CI$5-4, $F127&lt;=CI$5, COUNTIF($M127:CH127,"u")=0), "u", "")</f>
        <v/>
      </c>
      <c r="CJ127" s="80" t="str">
        <f>IF(AND($F127&lt;&gt;"", $F127&gt;=CJ$5-4, $F127&lt;=CJ$5, COUNTIF($M127:CI127,"u")=0), "u", "")</f>
        <v/>
      </c>
      <c r="CK127" s="80" t="str">
        <f>IF(AND($F127&lt;&gt;"", $F127&gt;=CK$5-4, $F127&lt;=CK$5, COUNTIF($M127:CJ127,"u")=0), "u", "")</f>
        <v/>
      </c>
      <c r="CL127" s="80" t="str">
        <f>IF(AND($F127&lt;&gt;"", $F127&gt;=CL$5-4, $F127&lt;=CL$5, COUNTIF($M127:CK127,"u")=0), "u", "")</f>
        <v/>
      </c>
      <c r="CM127" s="80" t="str">
        <f>IF(AND($F127&lt;&gt;"", $F127&gt;=CM$5-4, $F127&lt;=CM$5, COUNTIF($M127:CL127,"u")=0), "u", "")</f>
        <v/>
      </c>
      <c r="CN127" s="80" t="str">
        <f>IF(AND($F127&lt;&gt;"", $F127&gt;=CN$5-4, $F127&lt;=CN$5, COUNTIF($M127:CM127,"u")=0), "u", "")</f>
        <v/>
      </c>
      <c r="CO127" s="80" t="str">
        <f>IF(AND($F127&lt;&gt;"", $F127&gt;=CO$5-4, $F127&lt;=CO$5, COUNTIF($M127:CN127,"u")=0), "u", "")</f>
        <v/>
      </c>
      <c r="CP127" s="80" t="str">
        <f>IF(AND($F127&lt;&gt;"", $F127&gt;=CP$5-4, $F127&lt;=CP$5, COUNTIF($M127:CO127,"u")=0), "u", "")</f>
        <v/>
      </c>
      <c r="CQ127" s="80" t="str">
        <f>IF(AND($F127&lt;&gt;"", $F127&gt;=CQ$5-4, $F127&lt;=CQ$5, COUNTIF($M127:CP127,"u")=0), "u", "")</f>
        <v/>
      </c>
      <c r="CR127" s="80" t="str">
        <f>IF(AND($F127&lt;&gt;"", $F127&gt;=CR$5-4, $F127&lt;=CR$5, COUNTIF($M127:CQ127,"u")=0), "u", "")</f>
        <v/>
      </c>
      <c r="CS127" s="80" t="str">
        <f>IF(AND($F127&lt;&gt;"", $F127&gt;=CS$5-4, $F127&lt;=CS$5, COUNTIF($M127:CR127,"u")=0), "u", "")</f>
        <v/>
      </c>
      <c r="CT127" s="80" t="str">
        <f>IF(AND($F127&lt;&gt;"", $F127&gt;=CT$5-4, $F127&lt;=CT$5, COUNTIF($M127:CS127,"u")=0), "u", "")</f>
        <v/>
      </c>
      <c r="CU127" s="80" t="str">
        <f>IF(AND($F127&lt;&gt;"", $F127&gt;=CU$5-4, $F127&lt;=CU$5, COUNTIF($M127:CT127,"u")=0), "u", "")</f>
        <v/>
      </c>
      <c r="CV127" s="80" t="str">
        <f>IF(AND($F127&lt;&gt;"", $F127&gt;=CV$5-4, $F127&lt;=CV$5, COUNTIF($M127:CU127,"u")=0), "u", "")</f>
        <v/>
      </c>
      <c r="CW127" s="80" t="str">
        <f>IF(AND($F127&lt;&gt;"", $F127&gt;=CW$5-4, $F127&lt;=CW$5, COUNTIF($M127:CV127,"u")=0), "u", "")</f>
        <v/>
      </c>
      <c r="CX127" s="80" t="str">
        <f>IF(AND($F127&lt;&gt;"", $F127&gt;=CX$5-4, $F127&lt;=CX$5, COUNTIF($M127:CW127,"u")=0), "u", "")</f>
        <v/>
      </c>
      <c r="CY127" s="80" t="str">
        <f>IF(AND($F127&lt;&gt;"", $F127&gt;=CY$5-4, $F127&lt;=CY$5, COUNTIF($M127:CX127,"u")=0), "u", "")</f>
        <v/>
      </c>
      <c r="CZ127" s="80" t="str">
        <f>IF(AND($F127&lt;&gt;"", $F127&gt;=CZ$5-4, $F127&lt;=CZ$5, COUNTIF($M127:CY127,"u")=0), "u", "")</f>
        <v/>
      </c>
      <c r="DA127" s="80" t="str">
        <f>IF(AND($F127&lt;&gt;"", $F127&gt;=DA$5-4, $F127&lt;=DA$5, COUNTIF($M127:CZ127,"u")=0), "u", "")</f>
        <v/>
      </c>
      <c r="DB127" s="80" t="str">
        <f>IF(AND($F127&lt;&gt;"", $F127&gt;=DB$5-4, $F127&lt;=DB$5, COUNTIF($M127:DA127,"u")=0), "u", "")</f>
        <v/>
      </c>
      <c r="DC127" s="80" t="str">
        <f>IF(AND($F127&lt;&gt;"", $F127&gt;=DC$5-4, $F127&lt;=DC$5, COUNTIF($M127:DB127,"u")=0), "u", "")</f>
        <v/>
      </c>
      <c r="DD127" s="80" t="str">
        <f>IF(AND($F127&lt;&gt;"", $F127&gt;=DD$5-4, $F127&lt;=DD$5, COUNTIF($M127:DC127,"u")=0), "u", "")</f>
        <v/>
      </c>
      <c r="DE127" s="80" t="str">
        <f>IF(AND($F127&lt;&gt;"", $F127&gt;=DE$5-4, $F127&lt;=DE$5, COUNTIF($M127:DD127,"u")=0), "u", "")</f>
        <v/>
      </c>
      <c r="DF127" s="80" t="str">
        <f>IF(AND($F127&lt;&gt;"", $F127&gt;=DF$5-4, $F127&lt;=DF$5, COUNTIF($M127:DE127,"u")=0), "u", "")</f>
        <v/>
      </c>
      <c r="DG127" s="80" t="str">
        <f>IF(AND($F127&lt;&gt;"", $F127&gt;=DG$5-4, $F127&lt;=DG$5, COUNTIF($M127:DF127,"u")=0), "u", "")</f>
        <v/>
      </c>
      <c r="DH127" s="80" t="str">
        <f>IF(AND($F127&lt;&gt;"", $F127&gt;=DH$5-4, $F127&lt;=DH$5, COUNTIF($M127:DG127,"u")=0), "u", "")</f>
        <v/>
      </c>
      <c r="DI127" s="80" t="str">
        <f>IF(AND($F127&lt;&gt;"", $F127&gt;=DI$5-4, $F127&lt;=DI$5, COUNTIF($M127:DH127,"u")=0), "u", "")</f>
        <v/>
      </c>
      <c r="DJ127" s="80" t="str">
        <f>IF(AND($F127&lt;&gt;"", $F127&gt;=DJ$5-4, $F127&lt;=DJ$5, COUNTIF($M127:DI127,"u")=0), "u", "")</f>
        <v/>
      </c>
      <c r="DK127" s="80" t="str">
        <f>IF(AND($F127&lt;&gt;"", $F127&gt;=DK$5-4, $F127&lt;=DK$5, COUNTIF($M127:DJ127,"u")=0), "u", "")</f>
        <v/>
      </c>
      <c r="DL127" s="80" t="str">
        <f>IF(AND($F127&lt;&gt;"", $F127&gt;=DL$5-4, $F127&lt;=DL$5, COUNTIF($M127:DK127,"u")=0), "u", "")</f>
        <v/>
      </c>
    </row>
    <row r="128" spans="1:116" ht="25.05" customHeight="1" x14ac:dyDescent="0.3">
      <c r="A128" s="39"/>
      <c r="B128" s="75">
        <v>123</v>
      </c>
      <c r="C128" s="97"/>
      <c r="D128" s="92"/>
      <c r="E128" s="53"/>
      <c r="F128" s="53"/>
      <c r="G128" s="83" t="str">
        <f t="shared" si="50"/>
        <v/>
      </c>
      <c r="H128" s="83" t="str">
        <f t="shared" si="50"/>
        <v/>
      </c>
      <c r="I128" s="77" t="str">
        <f t="shared" si="48"/>
        <v/>
      </c>
      <c r="J128" s="78"/>
      <c r="K128" s="86"/>
      <c r="L128" s="56"/>
      <c r="M128" s="80" t="str">
        <f t="shared" si="49"/>
        <v/>
      </c>
      <c r="N128" s="80" t="str">
        <f>IF(AND($F128&lt;&gt;"", $F128&gt;=N$5-4, $F128&lt;=N$5, COUNTIF($M128:M128,"u")=0), "u", "")</f>
        <v/>
      </c>
      <c r="O128" s="80" t="str">
        <f>IF(AND($F128&lt;&gt;"", $F128&gt;=O$5-4, $F128&lt;=O$5, COUNTIF($M128:N128,"u")=0), "u", "")</f>
        <v/>
      </c>
      <c r="P128" s="80" t="str">
        <f>IF(AND($F128&lt;&gt;"", $F128&gt;=P$5-4, $F128&lt;=P$5, COUNTIF($M128:O128,"u")=0), "u", "")</f>
        <v/>
      </c>
      <c r="Q128" s="80" t="str">
        <f>IF(AND($F128&lt;&gt;"", $F128&gt;=Q$5-4, $F128&lt;=Q$5, COUNTIF($M128:P128,"u")=0), "u", "")</f>
        <v/>
      </c>
      <c r="R128" s="80" t="str">
        <f>IF(AND($F128&lt;&gt;"", $F128&gt;=R$5-4, $F128&lt;=R$5, COUNTIF($M128:Q128,"u")=0), "u", "")</f>
        <v/>
      </c>
      <c r="S128" s="80" t="str">
        <f>IF(AND($F128&lt;&gt;"", $F128&gt;=S$5-4, $F128&lt;=S$5, COUNTIF($M128:R128,"u")=0), "u", "")</f>
        <v/>
      </c>
      <c r="T128" s="80" t="str">
        <f>IF(AND($F128&lt;&gt;"", $F128&gt;=T$5-4, $F128&lt;=T$5, COUNTIF($M128:S128,"u")=0), "u", "")</f>
        <v/>
      </c>
      <c r="U128" s="80" t="str">
        <f>IF(AND($F128&lt;&gt;"", $F128&gt;=U$5-4, $F128&lt;=U$5, COUNTIF($M128:T128,"u")=0), "u", "")</f>
        <v/>
      </c>
      <c r="V128" s="80" t="str">
        <f>IF(AND($F128&lt;&gt;"", $F128&gt;=V$5-4, $F128&lt;=V$5, COUNTIF($M128:U128,"u")=0), "u", "")</f>
        <v/>
      </c>
      <c r="W128" s="80" t="str">
        <f>IF(AND($F128&lt;&gt;"", $F128&gt;=W$5-4, $F128&lt;=W$5, COUNTIF($M128:V128,"u")=0), "u", "")</f>
        <v/>
      </c>
      <c r="X128" s="80" t="str">
        <f>IF(AND($F128&lt;&gt;"", $F128&gt;=X$5-4, $F128&lt;=X$5, COUNTIF($M128:W128,"u")=0), "u", "")</f>
        <v/>
      </c>
      <c r="Y128" s="80" t="str">
        <f>IF(AND($F128&lt;&gt;"", $F128&gt;=Y$5-4, $F128&lt;=Y$5, COUNTIF($M128:X128,"u")=0), "u", "")</f>
        <v/>
      </c>
      <c r="Z128" s="80" t="str">
        <f>IF(AND($F128&lt;&gt;"", $F128&gt;=Z$5-4, $F128&lt;=Z$5, COUNTIF($M128:Y128,"u")=0), "u", "")</f>
        <v/>
      </c>
      <c r="AA128" s="80" t="str">
        <f>IF(AND($F128&lt;&gt;"", $F128&gt;=AA$5-4, $F128&lt;=AA$5, COUNTIF($M128:Z128,"u")=0), "u", "")</f>
        <v/>
      </c>
      <c r="AB128" s="80" t="str">
        <f>IF(AND($F128&lt;&gt;"", $F128&gt;=AB$5-4, $F128&lt;=AB$5, COUNTIF($M128:AA128,"u")=0), "u", "")</f>
        <v/>
      </c>
      <c r="AC128" s="80" t="str">
        <f>IF(AND($F128&lt;&gt;"", $F128&gt;=AC$5-4, $F128&lt;=AC$5, COUNTIF($M128:AB128,"u")=0), "u", "")</f>
        <v/>
      </c>
      <c r="AD128" s="80" t="str">
        <f>IF(AND($F128&lt;&gt;"", $F128&gt;=AD$5-4, $F128&lt;=AD$5, COUNTIF($M128:AC128,"u")=0), "u", "")</f>
        <v/>
      </c>
      <c r="AE128" s="80" t="str">
        <f>IF(AND($F128&lt;&gt;"", $F128&gt;=AE$5-4, $F128&lt;=AE$5, COUNTIF($M128:AD128,"u")=0), "u", "")</f>
        <v/>
      </c>
      <c r="AF128" s="80" t="str">
        <f>IF(AND($F128&lt;&gt;"", $F128&gt;=AF$5-4, $F128&lt;=AF$5, COUNTIF($M128:AE128,"u")=0), "u", "")</f>
        <v/>
      </c>
      <c r="AG128" s="80" t="str">
        <f>IF(AND($F128&lt;&gt;"", $F128&gt;=AG$5-4, $F128&lt;=AG$5, COUNTIF($M128:AF128,"u")=0), "u", "")</f>
        <v/>
      </c>
      <c r="AH128" s="80" t="str">
        <f>IF(AND($F128&lt;&gt;"", $F128&gt;=AH$5-4, $F128&lt;=AH$5, COUNTIF($M128:AG128,"u")=0), "u", "")</f>
        <v/>
      </c>
      <c r="AI128" s="80" t="str">
        <f>IF(AND($F128&lt;&gt;"", $F128&gt;=AI$5-4, $F128&lt;=AI$5, COUNTIF($M128:AH128,"u")=0), "u", "")</f>
        <v/>
      </c>
      <c r="AJ128" s="80" t="str">
        <f>IF(AND($F128&lt;&gt;"", $F128&gt;=AJ$5-4, $F128&lt;=AJ$5, COUNTIF($M128:AI128,"u")=0), "u", "")</f>
        <v/>
      </c>
      <c r="AK128" s="80" t="str">
        <f>IF(AND($F128&lt;&gt;"", $F128&gt;=AK$5-4, $F128&lt;=AK$5, COUNTIF($M128:AJ128,"u")=0), "u", "")</f>
        <v/>
      </c>
      <c r="AL128" s="80" t="str">
        <f>IF(AND($F128&lt;&gt;"", $F128&gt;=AL$5-4, $F128&lt;=AL$5, COUNTIF($M128:AK128,"u")=0), "u", "")</f>
        <v/>
      </c>
      <c r="AM128" s="80" t="str">
        <f>IF(AND($F128&lt;&gt;"", $F128&gt;=AM$5-4, $F128&lt;=AM$5, COUNTIF($M128:AL128,"u")=0), "u", "")</f>
        <v/>
      </c>
      <c r="AN128" s="80" t="str">
        <f>IF(AND($F128&lt;&gt;"", $F128&gt;=AN$5-4, $F128&lt;=AN$5, COUNTIF($M128:AM128,"u")=0), "u", "")</f>
        <v/>
      </c>
      <c r="AO128" s="80" t="str">
        <f>IF(AND($F128&lt;&gt;"", $F128&gt;=AO$5-4, $F128&lt;=AO$5, COUNTIF($M128:AN128,"u")=0), "u", "")</f>
        <v/>
      </c>
      <c r="AP128" s="80" t="str">
        <f>IF(AND($F128&lt;&gt;"", $F128&gt;=AP$5-4, $F128&lt;=AP$5, COUNTIF($M128:AO128,"u")=0), "u", "")</f>
        <v/>
      </c>
      <c r="AQ128" s="80" t="str">
        <f>IF(AND($F128&lt;&gt;"", $F128&gt;=AQ$5-4, $F128&lt;=AQ$5, COUNTIF($M128:AP128,"u")=0), "u", "")</f>
        <v/>
      </c>
      <c r="AR128" s="80" t="str">
        <f>IF(AND($F128&lt;&gt;"", $F128&gt;=AR$5-4, $F128&lt;=AR$5, COUNTIF($M128:AQ128,"u")=0), "u", "")</f>
        <v/>
      </c>
      <c r="AS128" s="80" t="str">
        <f>IF(AND($F128&lt;&gt;"", $F128&gt;=AS$5-4, $F128&lt;=AS$5, COUNTIF($M128:AR128,"u")=0), "u", "")</f>
        <v/>
      </c>
      <c r="AT128" s="80" t="str">
        <f>IF(AND($F128&lt;&gt;"", $F128&gt;=AT$5-4, $F128&lt;=AT$5, COUNTIF($M128:AS128,"u")=0), "u", "")</f>
        <v/>
      </c>
      <c r="AU128" s="80" t="str">
        <f>IF(AND($F128&lt;&gt;"", $F128&gt;=AU$5-4, $F128&lt;=AU$5, COUNTIF($M128:AT128,"u")=0), "u", "")</f>
        <v/>
      </c>
      <c r="AV128" s="80" t="str">
        <f>IF(AND($F128&lt;&gt;"", $F128&gt;=AV$5-4, $F128&lt;=AV$5, COUNTIF($M128:AU128,"u")=0), "u", "")</f>
        <v/>
      </c>
      <c r="AW128" s="80" t="str">
        <f>IF(AND($F128&lt;&gt;"", $F128&gt;=AW$5-4, $F128&lt;=AW$5, COUNTIF($M128:AV128,"u")=0), "u", "")</f>
        <v/>
      </c>
      <c r="AX128" s="80" t="str">
        <f>IF(AND($F128&lt;&gt;"", $F128&gt;=AX$5-4, $F128&lt;=AX$5, COUNTIF($M128:AW128,"u")=0), "u", "")</f>
        <v/>
      </c>
      <c r="AY128" s="80" t="str">
        <f>IF(AND($F128&lt;&gt;"", $F128&gt;=AY$5-4, $F128&lt;=AY$5, COUNTIF($M128:AX128,"u")=0), "u", "")</f>
        <v/>
      </c>
      <c r="AZ128" s="80" t="str">
        <f>IF(AND($F128&lt;&gt;"", $F128&gt;=AZ$5-4, $F128&lt;=AZ$5, COUNTIF($M128:AY128,"u")=0), "u", "")</f>
        <v/>
      </c>
      <c r="BA128" s="80" t="str">
        <f>IF(AND($F128&lt;&gt;"", $F128&gt;=BA$5-4, $F128&lt;=BA$5, COUNTIF($M128:AZ128,"u")=0), "u", "")</f>
        <v/>
      </c>
      <c r="BB128" s="80" t="str">
        <f>IF(AND($F128&lt;&gt;"", $F128&gt;=BB$5-4, $F128&lt;=BB$5, COUNTIF($M128:BA128,"u")=0), "u", "")</f>
        <v/>
      </c>
      <c r="BC128" s="80" t="str">
        <f>IF(AND($F128&lt;&gt;"", $F128&gt;=BC$5-4, $F128&lt;=BC$5, COUNTIF($M128:BB128,"u")=0), "u", "")</f>
        <v/>
      </c>
      <c r="BD128" s="80" t="str">
        <f>IF(AND($F128&lt;&gt;"", $F128&gt;=BD$5-4, $F128&lt;=BD$5, COUNTIF($M128:BC128,"u")=0), "u", "")</f>
        <v/>
      </c>
      <c r="BE128" s="80" t="str">
        <f>IF(AND($F128&lt;&gt;"", $F128&gt;=BE$5-4, $F128&lt;=BE$5, COUNTIF($M128:BD128,"u")=0), "u", "")</f>
        <v/>
      </c>
      <c r="BF128" s="80" t="str">
        <f>IF(AND($F128&lt;&gt;"", $F128&gt;=BF$5-4, $F128&lt;=BF$5, COUNTIF($M128:BE128,"u")=0), "u", "")</f>
        <v/>
      </c>
      <c r="BG128" s="80" t="str">
        <f>IF(AND($F128&lt;&gt;"", $F128&gt;=BG$5-4, $F128&lt;=BG$5, COUNTIF($M128:BF128,"u")=0), "u", "")</f>
        <v/>
      </c>
      <c r="BH128" s="80" t="str">
        <f>IF(AND($F128&lt;&gt;"", $F128&gt;=BH$5-4, $F128&lt;=BH$5, COUNTIF($M128:BG128,"u")=0), "u", "")</f>
        <v/>
      </c>
      <c r="BI128" s="80" t="str">
        <f>IF(AND($F128&lt;&gt;"", $F128&gt;=BI$5-4, $F128&lt;=BI$5, COUNTIF($M128:BH128,"u")=0), "u", "")</f>
        <v/>
      </c>
      <c r="BJ128" s="80" t="str">
        <f>IF(AND($F128&lt;&gt;"", $F128&gt;=BJ$5-4, $F128&lt;=BJ$5, COUNTIF($M128:BI128,"u")=0), "u", "")</f>
        <v/>
      </c>
      <c r="BK128" s="80" t="str">
        <f>IF(AND($F128&lt;&gt;"", $F128&gt;=BK$5-4, $F128&lt;=BK$5, COUNTIF($M128:BJ128,"u")=0), "u", "")</f>
        <v/>
      </c>
      <c r="BL128" s="80" t="str">
        <f>IF(AND($F128&lt;&gt;"", $F128&gt;=BL$5-4, $F128&lt;=BL$5, COUNTIF($M128:BK128,"u")=0), "u", "")</f>
        <v/>
      </c>
      <c r="BM128" s="80" t="str">
        <f>IF(AND($F128&lt;&gt;"", $F128&gt;=BM$5-4, $F128&lt;=BM$5, COUNTIF($M128:BL128,"u")=0), "u", "")</f>
        <v/>
      </c>
      <c r="BN128" s="80" t="str">
        <f>IF(AND($F128&lt;&gt;"", $F128&gt;=BN$5-4, $F128&lt;=BN$5, COUNTIF($M128:BM128,"u")=0), "u", "")</f>
        <v/>
      </c>
      <c r="BO128" s="80" t="str">
        <f>IF(AND($F128&lt;&gt;"", $F128&gt;=BO$5-4, $F128&lt;=BO$5, COUNTIF($M128:BN128,"u")=0), "u", "")</f>
        <v/>
      </c>
      <c r="BP128" s="80" t="str">
        <f>IF(AND($F128&lt;&gt;"", $F128&gt;=BP$5-4, $F128&lt;=BP$5, COUNTIF($M128:BO128,"u")=0), "u", "")</f>
        <v/>
      </c>
      <c r="BQ128" s="80" t="str">
        <f>IF(AND($F128&lt;&gt;"", $F128&gt;=BQ$5-4, $F128&lt;=BQ$5, COUNTIF($M128:BP128,"u")=0), "u", "")</f>
        <v/>
      </c>
      <c r="BR128" s="80" t="str">
        <f>IF(AND($F128&lt;&gt;"", $F128&gt;=BR$5-4, $F128&lt;=BR$5, COUNTIF($M128:BQ128,"u")=0), "u", "")</f>
        <v/>
      </c>
      <c r="BS128" s="80" t="str">
        <f>IF(AND($F128&lt;&gt;"", $F128&gt;=BS$5-4, $F128&lt;=BS$5, COUNTIF($M128:BR128,"u")=0), "u", "")</f>
        <v/>
      </c>
      <c r="BT128" s="80" t="str">
        <f>IF(AND($F128&lt;&gt;"", $F128&gt;=BT$5-4, $F128&lt;=BT$5, COUNTIF($M128:BS128,"u")=0), "u", "")</f>
        <v/>
      </c>
      <c r="BU128" s="80" t="str">
        <f>IF(AND($F128&lt;&gt;"", $F128&gt;=BU$5-4, $F128&lt;=BU$5, COUNTIF($M128:BT128,"u")=0), "u", "")</f>
        <v/>
      </c>
      <c r="BV128" s="80" t="str">
        <f>IF(AND($F128&lt;&gt;"", $F128&gt;=BV$5-4, $F128&lt;=BV$5, COUNTIF($M128:BU128,"u")=0), "u", "")</f>
        <v/>
      </c>
      <c r="BW128" s="80" t="str">
        <f>IF(AND($F128&lt;&gt;"", $F128&gt;=BW$5-4, $F128&lt;=BW$5, COUNTIF($M128:BV128,"u")=0), "u", "")</f>
        <v/>
      </c>
      <c r="BX128" s="80" t="str">
        <f>IF(AND($F128&lt;&gt;"", $F128&gt;=BX$5-4, $F128&lt;=BX$5, COUNTIF($M128:BW128,"u")=0), "u", "")</f>
        <v/>
      </c>
      <c r="BY128" s="80" t="str">
        <f>IF(AND($F128&lt;&gt;"", $F128&gt;=BY$5-4, $F128&lt;=BY$5, COUNTIF($M128:BX128,"u")=0), "u", "")</f>
        <v/>
      </c>
      <c r="BZ128" s="80" t="str">
        <f>IF(AND($F128&lt;&gt;"", $F128&gt;=BZ$5-4, $F128&lt;=BZ$5, COUNTIF($M128:BY128,"u")=0), "u", "")</f>
        <v/>
      </c>
      <c r="CA128" s="80" t="str">
        <f>IF(AND($F128&lt;&gt;"", $F128&gt;=CA$5-4, $F128&lt;=CA$5, COUNTIF($M128:BZ128,"u")=0), "u", "")</f>
        <v/>
      </c>
      <c r="CB128" s="80" t="str">
        <f>IF(AND($F128&lt;&gt;"", $F128&gt;=CB$5-4, $F128&lt;=CB$5, COUNTIF($M128:CA128,"u")=0), "u", "")</f>
        <v/>
      </c>
      <c r="CC128" s="80" t="str">
        <f>IF(AND($F128&lt;&gt;"", $F128&gt;=CC$5-4, $F128&lt;=CC$5, COUNTIF($M128:CB128,"u")=0), "u", "")</f>
        <v/>
      </c>
      <c r="CD128" s="80" t="str">
        <f>IF(AND($F128&lt;&gt;"", $F128&gt;=CD$5-4, $F128&lt;=CD$5, COUNTIF($M128:CC128,"u")=0), "u", "")</f>
        <v/>
      </c>
      <c r="CE128" s="80" t="str">
        <f>IF(AND($F128&lt;&gt;"", $F128&gt;=CE$5-4, $F128&lt;=CE$5, COUNTIF($M128:CD128,"u")=0), "u", "")</f>
        <v/>
      </c>
      <c r="CF128" s="80" t="str">
        <f>IF(AND($F128&lt;&gt;"", $F128&gt;=CF$5-4, $F128&lt;=CF$5, COUNTIF($M128:CE128,"u")=0), "u", "")</f>
        <v/>
      </c>
      <c r="CG128" s="80" t="str">
        <f>IF(AND($F128&lt;&gt;"", $F128&gt;=CG$5-4, $F128&lt;=CG$5, COUNTIF($M128:CF128,"u")=0), "u", "")</f>
        <v/>
      </c>
      <c r="CH128" s="80" t="str">
        <f>IF(AND($F128&lt;&gt;"", $F128&gt;=CH$5-4, $F128&lt;=CH$5, COUNTIF($M128:CG128,"u")=0), "u", "")</f>
        <v/>
      </c>
      <c r="CI128" s="80" t="str">
        <f>IF(AND($F128&lt;&gt;"", $F128&gt;=CI$5-4, $F128&lt;=CI$5, COUNTIF($M128:CH128,"u")=0), "u", "")</f>
        <v/>
      </c>
      <c r="CJ128" s="80" t="str">
        <f>IF(AND($F128&lt;&gt;"", $F128&gt;=CJ$5-4, $F128&lt;=CJ$5, COUNTIF($M128:CI128,"u")=0), "u", "")</f>
        <v/>
      </c>
      <c r="CK128" s="80" t="str">
        <f>IF(AND($F128&lt;&gt;"", $F128&gt;=CK$5-4, $F128&lt;=CK$5, COUNTIF($M128:CJ128,"u")=0), "u", "")</f>
        <v/>
      </c>
      <c r="CL128" s="80" t="str">
        <f>IF(AND($F128&lt;&gt;"", $F128&gt;=CL$5-4, $F128&lt;=CL$5, COUNTIF($M128:CK128,"u")=0), "u", "")</f>
        <v/>
      </c>
      <c r="CM128" s="80" t="str">
        <f>IF(AND($F128&lt;&gt;"", $F128&gt;=CM$5-4, $F128&lt;=CM$5, COUNTIF($M128:CL128,"u")=0), "u", "")</f>
        <v/>
      </c>
      <c r="CN128" s="80" t="str">
        <f>IF(AND($F128&lt;&gt;"", $F128&gt;=CN$5-4, $F128&lt;=CN$5, COUNTIF($M128:CM128,"u")=0), "u", "")</f>
        <v/>
      </c>
      <c r="CO128" s="80" t="str">
        <f>IF(AND($F128&lt;&gt;"", $F128&gt;=CO$5-4, $F128&lt;=CO$5, COUNTIF($M128:CN128,"u")=0), "u", "")</f>
        <v/>
      </c>
      <c r="CP128" s="80" t="str">
        <f>IF(AND($F128&lt;&gt;"", $F128&gt;=CP$5-4, $F128&lt;=CP$5, COUNTIF($M128:CO128,"u")=0), "u", "")</f>
        <v/>
      </c>
      <c r="CQ128" s="80" t="str">
        <f>IF(AND($F128&lt;&gt;"", $F128&gt;=CQ$5-4, $F128&lt;=CQ$5, COUNTIF($M128:CP128,"u")=0), "u", "")</f>
        <v/>
      </c>
      <c r="CR128" s="80" t="str">
        <f>IF(AND($F128&lt;&gt;"", $F128&gt;=CR$5-4, $F128&lt;=CR$5, COUNTIF($M128:CQ128,"u")=0), "u", "")</f>
        <v/>
      </c>
      <c r="CS128" s="80" t="str">
        <f>IF(AND($F128&lt;&gt;"", $F128&gt;=CS$5-4, $F128&lt;=CS$5, COUNTIF($M128:CR128,"u")=0), "u", "")</f>
        <v/>
      </c>
      <c r="CT128" s="80" t="str">
        <f>IF(AND($F128&lt;&gt;"", $F128&gt;=CT$5-4, $F128&lt;=CT$5, COUNTIF($M128:CS128,"u")=0), "u", "")</f>
        <v/>
      </c>
      <c r="CU128" s="80" t="str">
        <f>IF(AND($F128&lt;&gt;"", $F128&gt;=CU$5-4, $F128&lt;=CU$5, COUNTIF($M128:CT128,"u")=0), "u", "")</f>
        <v/>
      </c>
      <c r="CV128" s="80" t="str">
        <f>IF(AND($F128&lt;&gt;"", $F128&gt;=CV$5-4, $F128&lt;=CV$5, COUNTIF($M128:CU128,"u")=0), "u", "")</f>
        <v/>
      </c>
      <c r="CW128" s="80" t="str">
        <f>IF(AND($F128&lt;&gt;"", $F128&gt;=CW$5-4, $F128&lt;=CW$5, COUNTIF($M128:CV128,"u")=0), "u", "")</f>
        <v/>
      </c>
      <c r="CX128" s="80" t="str">
        <f>IF(AND($F128&lt;&gt;"", $F128&gt;=CX$5-4, $F128&lt;=CX$5, COUNTIF($M128:CW128,"u")=0), "u", "")</f>
        <v/>
      </c>
      <c r="CY128" s="80" t="str">
        <f>IF(AND($F128&lt;&gt;"", $F128&gt;=CY$5-4, $F128&lt;=CY$5, COUNTIF($M128:CX128,"u")=0), "u", "")</f>
        <v/>
      </c>
      <c r="CZ128" s="80" t="str">
        <f>IF(AND($F128&lt;&gt;"", $F128&gt;=CZ$5-4, $F128&lt;=CZ$5, COUNTIF($M128:CY128,"u")=0), "u", "")</f>
        <v/>
      </c>
      <c r="DA128" s="80" t="str">
        <f>IF(AND($F128&lt;&gt;"", $F128&gt;=DA$5-4, $F128&lt;=DA$5, COUNTIF($M128:CZ128,"u")=0), "u", "")</f>
        <v/>
      </c>
      <c r="DB128" s="80" t="str">
        <f>IF(AND($F128&lt;&gt;"", $F128&gt;=DB$5-4, $F128&lt;=DB$5, COUNTIF($M128:DA128,"u")=0), "u", "")</f>
        <v/>
      </c>
      <c r="DC128" s="80" t="str">
        <f>IF(AND($F128&lt;&gt;"", $F128&gt;=DC$5-4, $F128&lt;=DC$5, COUNTIF($M128:DB128,"u")=0), "u", "")</f>
        <v/>
      </c>
      <c r="DD128" s="80" t="str">
        <f>IF(AND($F128&lt;&gt;"", $F128&gt;=DD$5-4, $F128&lt;=DD$5, COUNTIF($M128:DC128,"u")=0), "u", "")</f>
        <v/>
      </c>
      <c r="DE128" s="80" t="str">
        <f>IF(AND($F128&lt;&gt;"", $F128&gt;=DE$5-4, $F128&lt;=DE$5, COUNTIF($M128:DD128,"u")=0), "u", "")</f>
        <v/>
      </c>
      <c r="DF128" s="80" t="str">
        <f>IF(AND($F128&lt;&gt;"", $F128&gt;=DF$5-4, $F128&lt;=DF$5, COUNTIF($M128:DE128,"u")=0), "u", "")</f>
        <v/>
      </c>
      <c r="DG128" s="80" t="str">
        <f>IF(AND($F128&lt;&gt;"", $F128&gt;=DG$5-4, $F128&lt;=DG$5, COUNTIF($M128:DF128,"u")=0), "u", "")</f>
        <v/>
      </c>
      <c r="DH128" s="80" t="str">
        <f>IF(AND($F128&lt;&gt;"", $F128&gt;=DH$5-4, $F128&lt;=DH$5, COUNTIF($M128:DG128,"u")=0), "u", "")</f>
        <v/>
      </c>
      <c r="DI128" s="80" t="str">
        <f>IF(AND($F128&lt;&gt;"", $F128&gt;=DI$5-4, $F128&lt;=DI$5, COUNTIF($M128:DH128,"u")=0), "u", "")</f>
        <v/>
      </c>
      <c r="DJ128" s="80" t="str">
        <f>IF(AND($F128&lt;&gt;"", $F128&gt;=DJ$5-4, $F128&lt;=DJ$5, COUNTIF($M128:DI128,"u")=0), "u", "")</f>
        <v/>
      </c>
      <c r="DK128" s="80" t="str">
        <f>IF(AND($F128&lt;&gt;"", $F128&gt;=DK$5-4, $F128&lt;=DK$5, COUNTIF($M128:DJ128,"u")=0), "u", "")</f>
        <v/>
      </c>
      <c r="DL128" s="80" t="str">
        <f>IF(AND($F128&lt;&gt;"", $F128&gt;=DL$5-4, $F128&lt;=DL$5, COUNTIF($M128:DK128,"u")=0), "u", "")</f>
        <v/>
      </c>
    </row>
    <row r="129" spans="1:116" ht="25.05" customHeight="1" x14ac:dyDescent="0.3">
      <c r="A129" s="39"/>
      <c r="B129" s="75">
        <v>124</v>
      </c>
      <c r="C129" s="97"/>
      <c r="D129" s="92"/>
      <c r="E129" s="53"/>
      <c r="F129" s="53"/>
      <c r="G129" s="83" t="str">
        <f t="shared" si="50"/>
        <v/>
      </c>
      <c r="H129" s="83" t="str">
        <f t="shared" si="50"/>
        <v/>
      </c>
      <c r="I129" s="77" t="str">
        <f t="shared" si="48"/>
        <v/>
      </c>
      <c r="J129" s="78"/>
      <c r="K129" s="86"/>
      <c r="L129" s="56"/>
      <c r="M129" s="80" t="str">
        <f t="shared" si="49"/>
        <v/>
      </c>
      <c r="N129" s="80" t="str">
        <f>IF(AND($F129&lt;&gt;"", $F129&gt;=N$5-4, $F129&lt;=N$5, COUNTIF($M129:M129,"u")=0), "u", "")</f>
        <v/>
      </c>
      <c r="O129" s="80" t="str">
        <f>IF(AND($F129&lt;&gt;"", $F129&gt;=O$5-4, $F129&lt;=O$5, COUNTIF($M129:N129,"u")=0), "u", "")</f>
        <v/>
      </c>
      <c r="P129" s="80" t="str">
        <f>IF(AND($F129&lt;&gt;"", $F129&gt;=P$5-4, $F129&lt;=P$5, COUNTIF($M129:O129,"u")=0), "u", "")</f>
        <v/>
      </c>
      <c r="Q129" s="80" t="str">
        <f>IF(AND($F129&lt;&gt;"", $F129&gt;=Q$5-4, $F129&lt;=Q$5, COUNTIF($M129:P129,"u")=0), "u", "")</f>
        <v/>
      </c>
      <c r="R129" s="80" t="str">
        <f>IF(AND($F129&lt;&gt;"", $F129&gt;=R$5-4, $F129&lt;=R$5, COUNTIF($M129:Q129,"u")=0), "u", "")</f>
        <v/>
      </c>
      <c r="S129" s="80" t="str">
        <f>IF(AND($F129&lt;&gt;"", $F129&gt;=S$5-4, $F129&lt;=S$5, COUNTIF($M129:R129,"u")=0), "u", "")</f>
        <v/>
      </c>
      <c r="T129" s="80" t="str">
        <f>IF(AND($F129&lt;&gt;"", $F129&gt;=T$5-4, $F129&lt;=T$5, COUNTIF($M129:S129,"u")=0), "u", "")</f>
        <v/>
      </c>
      <c r="U129" s="80" t="str">
        <f>IF(AND($F129&lt;&gt;"", $F129&gt;=U$5-4, $F129&lt;=U$5, COUNTIF($M129:T129,"u")=0), "u", "")</f>
        <v/>
      </c>
      <c r="V129" s="80" t="str">
        <f>IF(AND($F129&lt;&gt;"", $F129&gt;=V$5-4, $F129&lt;=V$5, COUNTIF($M129:U129,"u")=0), "u", "")</f>
        <v/>
      </c>
      <c r="W129" s="80" t="str">
        <f>IF(AND($F129&lt;&gt;"", $F129&gt;=W$5-4, $F129&lt;=W$5, COUNTIF($M129:V129,"u")=0), "u", "")</f>
        <v/>
      </c>
      <c r="X129" s="80" t="str">
        <f>IF(AND($F129&lt;&gt;"", $F129&gt;=X$5-4, $F129&lt;=X$5, COUNTIF($M129:W129,"u")=0), "u", "")</f>
        <v/>
      </c>
      <c r="Y129" s="80" t="str">
        <f>IF(AND($F129&lt;&gt;"", $F129&gt;=Y$5-4, $F129&lt;=Y$5, COUNTIF($M129:X129,"u")=0), "u", "")</f>
        <v/>
      </c>
      <c r="Z129" s="80" t="str">
        <f>IF(AND($F129&lt;&gt;"", $F129&gt;=Z$5-4, $F129&lt;=Z$5, COUNTIF($M129:Y129,"u")=0), "u", "")</f>
        <v/>
      </c>
      <c r="AA129" s="80" t="str">
        <f>IF(AND($F129&lt;&gt;"", $F129&gt;=AA$5-4, $F129&lt;=AA$5, COUNTIF($M129:Z129,"u")=0), "u", "")</f>
        <v/>
      </c>
      <c r="AB129" s="80" t="str">
        <f>IF(AND($F129&lt;&gt;"", $F129&gt;=AB$5-4, $F129&lt;=AB$5, COUNTIF($M129:AA129,"u")=0), "u", "")</f>
        <v/>
      </c>
      <c r="AC129" s="80" t="str">
        <f>IF(AND($F129&lt;&gt;"", $F129&gt;=AC$5-4, $F129&lt;=AC$5, COUNTIF($M129:AB129,"u")=0), "u", "")</f>
        <v/>
      </c>
      <c r="AD129" s="80" t="str">
        <f>IF(AND($F129&lt;&gt;"", $F129&gt;=AD$5-4, $F129&lt;=AD$5, COUNTIF($M129:AC129,"u")=0), "u", "")</f>
        <v/>
      </c>
      <c r="AE129" s="80" t="str">
        <f>IF(AND($F129&lt;&gt;"", $F129&gt;=AE$5-4, $F129&lt;=AE$5, COUNTIF($M129:AD129,"u")=0), "u", "")</f>
        <v/>
      </c>
      <c r="AF129" s="80" t="str">
        <f>IF(AND($F129&lt;&gt;"", $F129&gt;=AF$5-4, $F129&lt;=AF$5, COUNTIF($M129:AE129,"u")=0), "u", "")</f>
        <v/>
      </c>
      <c r="AG129" s="80" t="str">
        <f>IF(AND($F129&lt;&gt;"", $F129&gt;=AG$5-4, $F129&lt;=AG$5, COUNTIF($M129:AF129,"u")=0), "u", "")</f>
        <v/>
      </c>
      <c r="AH129" s="80" t="str">
        <f>IF(AND($F129&lt;&gt;"", $F129&gt;=AH$5-4, $F129&lt;=AH$5, COUNTIF($M129:AG129,"u")=0), "u", "")</f>
        <v/>
      </c>
      <c r="AI129" s="80" t="str">
        <f>IF(AND($F129&lt;&gt;"", $F129&gt;=AI$5-4, $F129&lt;=AI$5, COUNTIF($M129:AH129,"u")=0), "u", "")</f>
        <v/>
      </c>
      <c r="AJ129" s="80" t="str">
        <f>IF(AND($F129&lt;&gt;"", $F129&gt;=AJ$5-4, $F129&lt;=AJ$5, COUNTIF($M129:AI129,"u")=0), "u", "")</f>
        <v/>
      </c>
      <c r="AK129" s="80" t="str">
        <f>IF(AND($F129&lt;&gt;"", $F129&gt;=AK$5-4, $F129&lt;=AK$5, COUNTIF($M129:AJ129,"u")=0), "u", "")</f>
        <v/>
      </c>
      <c r="AL129" s="80" t="str">
        <f>IF(AND($F129&lt;&gt;"", $F129&gt;=AL$5-4, $F129&lt;=AL$5, COUNTIF($M129:AK129,"u")=0), "u", "")</f>
        <v/>
      </c>
      <c r="AM129" s="80" t="str">
        <f>IF(AND($F129&lt;&gt;"", $F129&gt;=AM$5-4, $F129&lt;=AM$5, COUNTIF($M129:AL129,"u")=0), "u", "")</f>
        <v/>
      </c>
      <c r="AN129" s="80" t="str">
        <f>IF(AND($F129&lt;&gt;"", $F129&gt;=AN$5-4, $F129&lt;=AN$5, COUNTIF($M129:AM129,"u")=0), "u", "")</f>
        <v/>
      </c>
      <c r="AO129" s="80" t="str">
        <f>IF(AND($F129&lt;&gt;"", $F129&gt;=AO$5-4, $F129&lt;=AO$5, COUNTIF($M129:AN129,"u")=0), "u", "")</f>
        <v/>
      </c>
      <c r="AP129" s="80" t="str">
        <f>IF(AND($F129&lt;&gt;"", $F129&gt;=AP$5-4, $F129&lt;=AP$5, COUNTIF($M129:AO129,"u")=0), "u", "")</f>
        <v/>
      </c>
      <c r="AQ129" s="80" t="str">
        <f>IF(AND($F129&lt;&gt;"", $F129&gt;=AQ$5-4, $F129&lt;=AQ$5, COUNTIF($M129:AP129,"u")=0), "u", "")</f>
        <v/>
      </c>
      <c r="AR129" s="80" t="str">
        <f>IF(AND($F129&lt;&gt;"", $F129&gt;=AR$5-4, $F129&lt;=AR$5, COUNTIF($M129:AQ129,"u")=0), "u", "")</f>
        <v/>
      </c>
      <c r="AS129" s="80" t="str">
        <f>IF(AND($F129&lt;&gt;"", $F129&gt;=AS$5-4, $F129&lt;=AS$5, COUNTIF($M129:AR129,"u")=0), "u", "")</f>
        <v/>
      </c>
      <c r="AT129" s="80" t="str">
        <f>IF(AND($F129&lt;&gt;"", $F129&gt;=AT$5-4, $F129&lt;=AT$5, COUNTIF($M129:AS129,"u")=0), "u", "")</f>
        <v/>
      </c>
      <c r="AU129" s="80" t="str">
        <f>IF(AND($F129&lt;&gt;"", $F129&gt;=AU$5-4, $F129&lt;=AU$5, COUNTIF($M129:AT129,"u")=0), "u", "")</f>
        <v/>
      </c>
      <c r="AV129" s="80" t="str">
        <f>IF(AND($F129&lt;&gt;"", $F129&gt;=AV$5-4, $F129&lt;=AV$5, COUNTIF($M129:AU129,"u")=0), "u", "")</f>
        <v/>
      </c>
      <c r="AW129" s="80" t="str">
        <f>IF(AND($F129&lt;&gt;"", $F129&gt;=AW$5-4, $F129&lt;=AW$5, COUNTIF($M129:AV129,"u")=0), "u", "")</f>
        <v/>
      </c>
      <c r="AX129" s="80" t="str">
        <f>IF(AND($F129&lt;&gt;"", $F129&gt;=AX$5-4, $F129&lt;=AX$5, COUNTIF($M129:AW129,"u")=0), "u", "")</f>
        <v/>
      </c>
      <c r="AY129" s="80" t="str">
        <f>IF(AND($F129&lt;&gt;"", $F129&gt;=AY$5-4, $F129&lt;=AY$5, COUNTIF($M129:AX129,"u")=0), "u", "")</f>
        <v/>
      </c>
      <c r="AZ129" s="80" t="str">
        <f>IF(AND($F129&lt;&gt;"", $F129&gt;=AZ$5-4, $F129&lt;=AZ$5, COUNTIF($M129:AY129,"u")=0), "u", "")</f>
        <v/>
      </c>
      <c r="BA129" s="80" t="str">
        <f>IF(AND($F129&lt;&gt;"", $F129&gt;=BA$5-4, $F129&lt;=BA$5, COUNTIF($M129:AZ129,"u")=0), "u", "")</f>
        <v/>
      </c>
      <c r="BB129" s="80" t="str">
        <f>IF(AND($F129&lt;&gt;"", $F129&gt;=BB$5-4, $F129&lt;=BB$5, COUNTIF($M129:BA129,"u")=0), "u", "")</f>
        <v/>
      </c>
      <c r="BC129" s="80" t="str">
        <f>IF(AND($F129&lt;&gt;"", $F129&gt;=BC$5-4, $F129&lt;=BC$5, COUNTIF($M129:BB129,"u")=0), "u", "")</f>
        <v/>
      </c>
      <c r="BD129" s="80" t="str">
        <f>IF(AND($F129&lt;&gt;"", $F129&gt;=BD$5-4, $F129&lt;=BD$5, COUNTIF($M129:BC129,"u")=0), "u", "")</f>
        <v/>
      </c>
      <c r="BE129" s="80" t="str">
        <f>IF(AND($F129&lt;&gt;"", $F129&gt;=BE$5-4, $F129&lt;=BE$5, COUNTIF($M129:BD129,"u")=0), "u", "")</f>
        <v/>
      </c>
      <c r="BF129" s="80" t="str">
        <f>IF(AND($F129&lt;&gt;"", $F129&gt;=BF$5-4, $F129&lt;=BF$5, COUNTIF($M129:BE129,"u")=0), "u", "")</f>
        <v/>
      </c>
      <c r="BG129" s="80" t="str">
        <f>IF(AND($F129&lt;&gt;"", $F129&gt;=BG$5-4, $F129&lt;=BG$5, COUNTIF($M129:BF129,"u")=0), "u", "")</f>
        <v/>
      </c>
      <c r="BH129" s="80" t="str">
        <f>IF(AND($F129&lt;&gt;"", $F129&gt;=BH$5-4, $F129&lt;=BH$5, COUNTIF($M129:BG129,"u")=0), "u", "")</f>
        <v/>
      </c>
      <c r="BI129" s="80" t="str">
        <f>IF(AND($F129&lt;&gt;"", $F129&gt;=BI$5-4, $F129&lt;=BI$5, COUNTIF($M129:BH129,"u")=0), "u", "")</f>
        <v/>
      </c>
      <c r="BJ129" s="80" t="str">
        <f>IF(AND($F129&lt;&gt;"", $F129&gt;=BJ$5-4, $F129&lt;=BJ$5, COUNTIF($M129:BI129,"u")=0), "u", "")</f>
        <v/>
      </c>
      <c r="BK129" s="80" t="str">
        <f>IF(AND($F129&lt;&gt;"", $F129&gt;=BK$5-4, $F129&lt;=BK$5, COUNTIF($M129:BJ129,"u")=0), "u", "")</f>
        <v/>
      </c>
      <c r="BL129" s="80" t="str">
        <f>IF(AND($F129&lt;&gt;"", $F129&gt;=BL$5-4, $F129&lt;=BL$5, COUNTIF($M129:BK129,"u")=0), "u", "")</f>
        <v/>
      </c>
      <c r="BM129" s="80" t="str">
        <f>IF(AND($F129&lt;&gt;"", $F129&gt;=BM$5-4, $F129&lt;=BM$5, COUNTIF($M129:BL129,"u")=0), "u", "")</f>
        <v/>
      </c>
      <c r="BN129" s="80" t="str">
        <f>IF(AND($F129&lt;&gt;"", $F129&gt;=BN$5-4, $F129&lt;=BN$5, COUNTIF($M129:BM129,"u")=0), "u", "")</f>
        <v/>
      </c>
      <c r="BO129" s="80" t="str">
        <f>IF(AND($F129&lt;&gt;"", $F129&gt;=BO$5-4, $F129&lt;=BO$5, COUNTIF($M129:BN129,"u")=0), "u", "")</f>
        <v/>
      </c>
      <c r="BP129" s="80" t="str">
        <f>IF(AND($F129&lt;&gt;"", $F129&gt;=BP$5-4, $F129&lt;=BP$5, COUNTIF($M129:BO129,"u")=0), "u", "")</f>
        <v/>
      </c>
      <c r="BQ129" s="80" t="str">
        <f>IF(AND($F129&lt;&gt;"", $F129&gt;=BQ$5-4, $F129&lt;=BQ$5, COUNTIF($M129:BP129,"u")=0), "u", "")</f>
        <v/>
      </c>
      <c r="BR129" s="80" t="str">
        <f>IF(AND($F129&lt;&gt;"", $F129&gt;=BR$5-4, $F129&lt;=BR$5, COUNTIF($M129:BQ129,"u")=0), "u", "")</f>
        <v/>
      </c>
      <c r="BS129" s="80" t="str">
        <f>IF(AND($F129&lt;&gt;"", $F129&gt;=BS$5-4, $F129&lt;=BS$5, COUNTIF($M129:BR129,"u")=0), "u", "")</f>
        <v/>
      </c>
      <c r="BT129" s="80" t="str">
        <f>IF(AND($F129&lt;&gt;"", $F129&gt;=BT$5-4, $F129&lt;=BT$5, COUNTIF($M129:BS129,"u")=0), "u", "")</f>
        <v/>
      </c>
      <c r="BU129" s="80" t="str">
        <f>IF(AND($F129&lt;&gt;"", $F129&gt;=BU$5-4, $F129&lt;=BU$5, COUNTIF($M129:BT129,"u")=0), "u", "")</f>
        <v/>
      </c>
      <c r="BV129" s="80" t="str">
        <f>IF(AND($F129&lt;&gt;"", $F129&gt;=BV$5-4, $F129&lt;=BV$5, COUNTIF($M129:BU129,"u")=0), "u", "")</f>
        <v/>
      </c>
      <c r="BW129" s="80" t="str">
        <f>IF(AND($F129&lt;&gt;"", $F129&gt;=BW$5-4, $F129&lt;=BW$5, COUNTIF($M129:BV129,"u")=0), "u", "")</f>
        <v/>
      </c>
      <c r="BX129" s="80" t="str">
        <f>IF(AND($F129&lt;&gt;"", $F129&gt;=BX$5-4, $F129&lt;=BX$5, COUNTIF($M129:BW129,"u")=0), "u", "")</f>
        <v/>
      </c>
      <c r="BY129" s="80" t="str">
        <f>IF(AND($F129&lt;&gt;"", $F129&gt;=BY$5-4, $F129&lt;=BY$5, COUNTIF($M129:BX129,"u")=0), "u", "")</f>
        <v/>
      </c>
      <c r="BZ129" s="80" t="str">
        <f>IF(AND($F129&lt;&gt;"", $F129&gt;=BZ$5-4, $F129&lt;=BZ$5, COUNTIF($M129:BY129,"u")=0), "u", "")</f>
        <v/>
      </c>
      <c r="CA129" s="80" t="str">
        <f>IF(AND($F129&lt;&gt;"", $F129&gt;=CA$5-4, $F129&lt;=CA$5, COUNTIF($M129:BZ129,"u")=0), "u", "")</f>
        <v/>
      </c>
      <c r="CB129" s="80" t="str">
        <f>IF(AND($F129&lt;&gt;"", $F129&gt;=CB$5-4, $F129&lt;=CB$5, COUNTIF($M129:CA129,"u")=0), "u", "")</f>
        <v/>
      </c>
      <c r="CC129" s="80" t="str">
        <f>IF(AND($F129&lt;&gt;"", $F129&gt;=CC$5-4, $F129&lt;=CC$5, COUNTIF($M129:CB129,"u")=0), "u", "")</f>
        <v/>
      </c>
      <c r="CD129" s="80" t="str">
        <f>IF(AND($F129&lt;&gt;"", $F129&gt;=CD$5-4, $F129&lt;=CD$5, COUNTIF($M129:CC129,"u")=0), "u", "")</f>
        <v/>
      </c>
      <c r="CE129" s="80" t="str">
        <f>IF(AND($F129&lt;&gt;"", $F129&gt;=CE$5-4, $F129&lt;=CE$5, COUNTIF($M129:CD129,"u")=0), "u", "")</f>
        <v/>
      </c>
      <c r="CF129" s="80" t="str">
        <f>IF(AND($F129&lt;&gt;"", $F129&gt;=CF$5-4, $F129&lt;=CF$5, COUNTIF($M129:CE129,"u")=0), "u", "")</f>
        <v/>
      </c>
      <c r="CG129" s="80" t="str">
        <f>IF(AND($F129&lt;&gt;"", $F129&gt;=CG$5-4, $F129&lt;=CG$5, COUNTIF($M129:CF129,"u")=0), "u", "")</f>
        <v/>
      </c>
      <c r="CH129" s="80" t="str">
        <f>IF(AND($F129&lt;&gt;"", $F129&gt;=CH$5-4, $F129&lt;=CH$5, COUNTIF($M129:CG129,"u")=0), "u", "")</f>
        <v/>
      </c>
      <c r="CI129" s="80" t="str">
        <f>IF(AND($F129&lt;&gt;"", $F129&gt;=CI$5-4, $F129&lt;=CI$5, COUNTIF($M129:CH129,"u")=0), "u", "")</f>
        <v/>
      </c>
      <c r="CJ129" s="80" t="str">
        <f>IF(AND($F129&lt;&gt;"", $F129&gt;=CJ$5-4, $F129&lt;=CJ$5, COUNTIF($M129:CI129,"u")=0), "u", "")</f>
        <v/>
      </c>
      <c r="CK129" s="80" t="str">
        <f>IF(AND($F129&lt;&gt;"", $F129&gt;=CK$5-4, $F129&lt;=CK$5, COUNTIF($M129:CJ129,"u")=0), "u", "")</f>
        <v/>
      </c>
      <c r="CL129" s="80" t="str">
        <f>IF(AND($F129&lt;&gt;"", $F129&gt;=CL$5-4, $F129&lt;=CL$5, COUNTIF($M129:CK129,"u")=0), "u", "")</f>
        <v/>
      </c>
      <c r="CM129" s="80" t="str">
        <f>IF(AND($F129&lt;&gt;"", $F129&gt;=CM$5-4, $F129&lt;=CM$5, COUNTIF($M129:CL129,"u")=0), "u", "")</f>
        <v/>
      </c>
      <c r="CN129" s="80" t="str">
        <f>IF(AND($F129&lt;&gt;"", $F129&gt;=CN$5-4, $F129&lt;=CN$5, COUNTIF($M129:CM129,"u")=0), "u", "")</f>
        <v/>
      </c>
      <c r="CO129" s="80" t="str">
        <f>IF(AND($F129&lt;&gt;"", $F129&gt;=CO$5-4, $F129&lt;=CO$5, COUNTIF($M129:CN129,"u")=0), "u", "")</f>
        <v/>
      </c>
      <c r="CP129" s="80" t="str">
        <f>IF(AND($F129&lt;&gt;"", $F129&gt;=CP$5-4, $F129&lt;=CP$5, COUNTIF($M129:CO129,"u")=0), "u", "")</f>
        <v/>
      </c>
      <c r="CQ129" s="80" t="str">
        <f>IF(AND($F129&lt;&gt;"", $F129&gt;=CQ$5-4, $F129&lt;=CQ$5, COUNTIF($M129:CP129,"u")=0), "u", "")</f>
        <v/>
      </c>
      <c r="CR129" s="80" t="str">
        <f>IF(AND($F129&lt;&gt;"", $F129&gt;=CR$5-4, $F129&lt;=CR$5, COUNTIF($M129:CQ129,"u")=0), "u", "")</f>
        <v/>
      </c>
      <c r="CS129" s="80" t="str">
        <f>IF(AND($F129&lt;&gt;"", $F129&gt;=CS$5-4, $F129&lt;=CS$5, COUNTIF($M129:CR129,"u")=0), "u", "")</f>
        <v/>
      </c>
      <c r="CT129" s="80" t="str">
        <f>IF(AND($F129&lt;&gt;"", $F129&gt;=CT$5-4, $F129&lt;=CT$5, COUNTIF($M129:CS129,"u")=0), "u", "")</f>
        <v/>
      </c>
      <c r="CU129" s="80" t="str">
        <f>IF(AND($F129&lt;&gt;"", $F129&gt;=CU$5-4, $F129&lt;=CU$5, COUNTIF($M129:CT129,"u")=0), "u", "")</f>
        <v/>
      </c>
      <c r="CV129" s="80" t="str">
        <f>IF(AND($F129&lt;&gt;"", $F129&gt;=CV$5-4, $F129&lt;=CV$5, COUNTIF($M129:CU129,"u")=0), "u", "")</f>
        <v/>
      </c>
      <c r="CW129" s="80" t="str">
        <f>IF(AND($F129&lt;&gt;"", $F129&gt;=CW$5-4, $F129&lt;=CW$5, COUNTIF($M129:CV129,"u")=0), "u", "")</f>
        <v/>
      </c>
      <c r="CX129" s="80" t="str">
        <f>IF(AND($F129&lt;&gt;"", $F129&gt;=CX$5-4, $F129&lt;=CX$5, COUNTIF($M129:CW129,"u")=0), "u", "")</f>
        <v/>
      </c>
      <c r="CY129" s="80" t="str">
        <f>IF(AND($F129&lt;&gt;"", $F129&gt;=CY$5-4, $F129&lt;=CY$5, COUNTIF($M129:CX129,"u")=0), "u", "")</f>
        <v/>
      </c>
      <c r="CZ129" s="80" t="str">
        <f>IF(AND($F129&lt;&gt;"", $F129&gt;=CZ$5-4, $F129&lt;=CZ$5, COUNTIF($M129:CY129,"u")=0), "u", "")</f>
        <v/>
      </c>
      <c r="DA129" s="80" t="str">
        <f>IF(AND($F129&lt;&gt;"", $F129&gt;=DA$5-4, $F129&lt;=DA$5, COUNTIF($M129:CZ129,"u")=0), "u", "")</f>
        <v/>
      </c>
      <c r="DB129" s="80" t="str">
        <f>IF(AND($F129&lt;&gt;"", $F129&gt;=DB$5-4, $F129&lt;=DB$5, COUNTIF($M129:DA129,"u")=0), "u", "")</f>
        <v/>
      </c>
      <c r="DC129" s="80" t="str">
        <f>IF(AND($F129&lt;&gt;"", $F129&gt;=DC$5-4, $F129&lt;=DC$5, COUNTIF($M129:DB129,"u")=0), "u", "")</f>
        <v/>
      </c>
      <c r="DD129" s="80" t="str">
        <f>IF(AND($F129&lt;&gt;"", $F129&gt;=DD$5-4, $F129&lt;=DD$5, COUNTIF($M129:DC129,"u")=0), "u", "")</f>
        <v/>
      </c>
      <c r="DE129" s="80" t="str">
        <f>IF(AND($F129&lt;&gt;"", $F129&gt;=DE$5-4, $F129&lt;=DE$5, COUNTIF($M129:DD129,"u")=0), "u", "")</f>
        <v/>
      </c>
      <c r="DF129" s="80" t="str">
        <f>IF(AND($F129&lt;&gt;"", $F129&gt;=DF$5-4, $F129&lt;=DF$5, COUNTIF($M129:DE129,"u")=0), "u", "")</f>
        <v/>
      </c>
      <c r="DG129" s="80" t="str">
        <f>IF(AND($F129&lt;&gt;"", $F129&gt;=DG$5-4, $F129&lt;=DG$5, COUNTIF($M129:DF129,"u")=0), "u", "")</f>
        <v/>
      </c>
      <c r="DH129" s="80" t="str">
        <f>IF(AND($F129&lt;&gt;"", $F129&gt;=DH$5-4, $F129&lt;=DH$5, COUNTIF($M129:DG129,"u")=0), "u", "")</f>
        <v/>
      </c>
      <c r="DI129" s="80" t="str">
        <f>IF(AND($F129&lt;&gt;"", $F129&gt;=DI$5-4, $F129&lt;=DI$5, COUNTIF($M129:DH129,"u")=0), "u", "")</f>
        <v/>
      </c>
      <c r="DJ129" s="80" t="str">
        <f>IF(AND($F129&lt;&gt;"", $F129&gt;=DJ$5-4, $F129&lt;=DJ$5, COUNTIF($M129:DI129,"u")=0), "u", "")</f>
        <v/>
      </c>
      <c r="DK129" s="80" t="str">
        <f>IF(AND($F129&lt;&gt;"", $F129&gt;=DK$5-4, $F129&lt;=DK$5, COUNTIF($M129:DJ129,"u")=0), "u", "")</f>
        <v/>
      </c>
      <c r="DL129" s="80" t="str">
        <f>IF(AND($F129&lt;&gt;"", $F129&gt;=DL$5-4, $F129&lt;=DL$5, COUNTIF($M129:DK129,"u")=0), "u", "")</f>
        <v/>
      </c>
    </row>
    <row r="130" spans="1:116" ht="25.05" customHeight="1" x14ac:dyDescent="0.3">
      <c r="A130" s="39"/>
      <c r="B130" s="75">
        <v>125</v>
      </c>
      <c r="C130" s="97"/>
      <c r="D130" s="92"/>
      <c r="E130" s="53"/>
      <c r="F130" s="53"/>
      <c r="G130" s="83" t="str">
        <f t="shared" si="50"/>
        <v/>
      </c>
      <c r="H130" s="83" t="str">
        <f t="shared" si="50"/>
        <v/>
      </c>
      <c r="I130" s="77" t="str">
        <f t="shared" si="48"/>
        <v/>
      </c>
      <c r="J130" s="78"/>
      <c r="K130" s="86"/>
      <c r="L130" s="56"/>
      <c r="M130" s="80" t="str">
        <f t="shared" si="49"/>
        <v/>
      </c>
      <c r="N130" s="80" t="str">
        <f>IF(AND($F130&lt;&gt;"", $F130&gt;=N$5-4, $F130&lt;=N$5, COUNTIF($M130:M130,"u")=0), "u", "")</f>
        <v/>
      </c>
      <c r="O130" s="80" t="str">
        <f>IF(AND($F130&lt;&gt;"", $F130&gt;=O$5-4, $F130&lt;=O$5, COUNTIF($M130:N130,"u")=0), "u", "")</f>
        <v/>
      </c>
      <c r="P130" s="80" t="str">
        <f>IF(AND($F130&lt;&gt;"", $F130&gt;=P$5-4, $F130&lt;=P$5, COUNTIF($M130:O130,"u")=0), "u", "")</f>
        <v/>
      </c>
      <c r="Q130" s="80" t="str">
        <f>IF(AND($F130&lt;&gt;"", $F130&gt;=Q$5-4, $F130&lt;=Q$5, COUNTIF($M130:P130,"u")=0), "u", "")</f>
        <v/>
      </c>
      <c r="R130" s="80" t="str">
        <f>IF(AND($F130&lt;&gt;"", $F130&gt;=R$5-4, $F130&lt;=R$5, COUNTIF($M130:Q130,"u")=0), "u", "")</f>
        <v/>
      </c>
      <c r="S130" s="80" t="str">
        <f>IF(AND($F130&lt;&gt;"", $F130&gt;=S$5-4, $F130&lt;=S$5, COUNTIF($M130:R130,"u")=0), "u", "")</f>
        <v/>
      </c>
      <c r="T130" s="80" t="str">
        <f>IF(AND($F130&lt;&gt;"", $F130&gt;=T$5-4, $F130&lt;=T$5, COUNTIF($M130:S130,"u")=0), "u", "")</f>
        <v/>
      </c>
      <c r="U130" s="80" t="str">
        <f>IF(AND($F130&lt;&gt;"", $F130&gt;=U$5-4, $F130&lt;=U$5, COUNTIF($M130:T130,"u")=0), "u", "")</f>
        <v/>
      </c>
      <c r="V130" s="80" t="str">
        <f>IF(AND($F130&lt;&gt;"", $F130&gt;=V$5-4, $F130&lt;=V$5, COUNTIF($M130:U130,"u")=0), "u", "")</f>
        <v/>
      </c>
      <c r="W130" s="80" t="str">
        <f>IF(AND($F130&lt;&gt;"", $F130&gt;=W$5-4, $F130&lt;=W$5, COUNTIF($M130:V130,"u")=0), "u", "")</f>
        <v/>
      </c>
      <c r="X130" s="80" t="str">
        <f>IF(AND($F130&lt;&gt;"", $F130&gt;=X$5-4, $F130&lt;=X$5, COUNTIF($M130:W130,"u")=0), "u", "")</f>
        <v/>
      </c>
      <c r="Y130" s="80" t="str">
        <f>IF(AND($F130&lt;&gt;"", $F130&gt;=Y$5-4, $F130&lt;=Y$5, COUNTIF($M130:X130,"u")=0), "u", "")</f>
        <v/>
      </c>
      <c r="Z130" s="80" t="str">
        <f>IF(AND($F130&lt;&gt;"", $F130&gt;=Z$5-4, $F130&lt;=Z$5, COUNTIF($M130:Y130,"u")=0), "u", "")</f>
        <v/>
      </c>
      <c r="AA130" s="80" t="str">
        <f>IF(AND($F130&lt;&gt;"", $F130&gt;=AA$5-4, $F130&lt;=AA$5, COUNTIF($M130:Z130,"u")=0), "u", "")</f>
        <v/>
      </c>
      <c r="AB130" s="80" t="str">
        <f>IF(AND($F130&lt;&gt;"", $F130&gt;=AB$5-4, $F130&lt;=AB$5, COUNTIF($M130:AA130,"u")=0), "u", "")</f>
        <v/>
      </c>
      <c r="AC130" s="80" t="str">
        <f>IF(AND($F130&lt;&gt;"", $F130&gt;=AC$5-4, $F130&lt;=AC$5, COUNTIF($M130:AB130,"u")=0), "u", "")</f>
        <v/>
      </c>
      <c r="AD130" s="80" t="str">
        <f>IF(AND($F130&lt;&gt;"", $F130&gt;=AD$5-4, $F130&lt;=AD$5, COUNTIF($M130:AC130,"u")=0), "u", "")</f>
        <v/>
      </c>
      <c r="AE130" s="80" t="str">
        <f>IF(AND($F130&lt;&gt;"", $F130&gt;=AE$5-4, $F130&lt;=AE$5, COUNTIF($M130:AD130,"u")=0), "u", "")</f>
        <v/>
      </c>
      <c r="AF130" s="80" t="str">
        <f>IF(AND($F130&lt;&gt;"", $F130&gt;=AF$5-4, $F130&lt;=AF$5, COUNTIF($M130:AE130,"u")=0), "u", "")</f>
        <v/>
      </c>
      <c r="AG130" s="80" t="str">
        <f>IF(AND($F130&lt;&gt;"", $F130&gt;=AG$5-4, $F130&lt;=AG$5, COUNTIF($M130:AF130,"u")=0), "u", "")</f>
        <v/>
      </c>
      <c r="AH130" s="80" t="str">
        <f>IF(AND($F130&lt;&gt;"", $F130&gt;=AH$5-4, $F130&lt;=AH$5, COUNTIF($M130:AG130,"u")=0), "u", "")</f>
        <v/>
      </c>
      <c r="AI130" s="80" t="str">
        <f>IF(AND($F130&lt;&gt;"", $F130&gt;=AI$5-4, $F130&lt;=AI$5, COUNTIF($M130:AH130,"u")=0), "u", "")</f>
        <v/>
      </c>
      <c r="AJ130" s="80" t="str">
        <f>IF(AND($F130&lt;&gt;"", $F130&gt;=AJ$5-4, $F130&lt;=AJ$5, COUNTIF($M130:AI130,"u")=0), "u", "")</f>
        <v/>
      </c>
      <c r="AK130" s="80" t="str">
        <f>IF(AND($F130&lt;&gt;"", $F130&gt;=AK$5-4, $F130&lt;=AK$5, COUNTIF($M130:AJ130,"u")=0), "u", "")</f>
        <v/>
      </c>
      <c r="AL130" s="80" t="str">
        <f>IF(AND($F130&lt;&gt;"", $F130&gt;=AL$5-4, $F130&lt;=AL$5, COUNTIF($M130:AK130,"u")=0), "u", "")</f>
        <v/>
      </c>
      <c r="AM130" s="80" t="str">
        <f>IF(AND($F130&lt;&gt;"", $F130&gt;=AM$5-4, $F130&lt;=AM$5, COUNTIF($M130:AL130,"u")=0), "u", "")</f>
        <v/>
      </c>
      <c r="AN130" s="80" t="str">
        <f>IF(AND($F130&lt;&gt;"", $F130&gt;=AN$5-4, $F130&lt;=AN$5, COUNTIF($M130:AM130,"u")=0), "u", "")</f>
        <v/>
      </c>
      <c r="AO130" s="80" t="str">
        <f>IF(AND($F130&lt;&gt;"", $F130&gt;=AO$5-4, $F130&lt;=AO$5, COUNTIF($M130:AN130,"u")=0), "u", "")</f>
        <v/>
      </c>
      <c r="AP130" s="80" t="str">
        <f>IF(AND($F130&lt;&gt;"", $F130&gt;=AP$5-4, $F130&lt;=AP$5, COUNTIF($M130:AO130,"u")=0), "u", "")</f>
        <v/>
      </c>
      <c r="AQ130" s="80" t="str">
        <f>IF(AND($F130&lt;&gt;"", $F130&gt;=AQ$5-4, $F130&lt;=AQ$5, COUNTIF($M130:AP130,"u")=0), "u", "")</f>
        <v/>
      </c>
      <c r="AR130" s="80" t="str">
        <f>IF(AND($F130&lt;&gt;"", $F130&gt;=AR$5-4, $F130&lt;=AR$5, COUNTIF($M130:AQ130,"u")=0), "u", "")</f>
        <v/>
      </c>
      <c r="AS130" s="80" t="str">
        <f>IF(AND($F130&lt;&gt;"", $F130&gt;=AS$5-4, $F130&lt;=AS$5, COUNTIF($M130:AR130,"u")=0), "u", "")</f>
        <v/>
      </c>
      <c r="AT130" s="80" t="str">
        <f>IF(AND($F130&lt;&gt;"", $F130&gt;=AT$5-4, $F130&lt;=AT$5, COUNTIF($M130:AS130,"u")=0), "u", "")</f>
        <v/>
      </c>
      <c r="AU130" s="80" t="str">
        <f>IF(AND($F130&lt;&gt;"", $F130&gt;=AU$5-4, $F130&lt;=AU$5, COUNTIF($M130:AT130,"u")=0), "u", "")</f>
        <v/>
      </c>
      <c r="AV130" s="80" t="str">
        <f>IF(AND($F130&lt;&gt;"", $F130&gt;=AV$5-4, $F130&lt;=AV$5, COUNTIF($M130:AU130,"u")=0), "u", "")</f>
        <v/>
      </c>
      <c r="AW130" s="80" t="str">
        <f>IF(AND($F130&lt;&gt;"", $F130&gt;=AW$5-4, $F130&lt;=AW$5, COUNTIF($M130:AV130,"u")=0), "u", "")</f>
        <v/>
      </c>
      <c r="AX130" s="80" t="str">
        <f>IF(AND($F130&lt;&gt;"", $F130&gt;=AX$5-4, $F130&lt;=AX$5, COUNTIF($M130:AW130,"u")=0), "u", "")</f>
        <v/>
      </c>
      <c r="AY130" s="80" t="str">
        <f>IF(AND($F130&lt;&gt;"", $F130&gt;=AY$5-4, $F130&lt;=AY$5, COUNTIF($M130:AX130,"u")=0), "u", "")</f>
        <v/>
      </c>
      <c r="AZ130" s="80" t="str">
        <f>IF(AND($F130&lt;&gt;"", $F130&gt;=AZ$5-4, $F130&lt;=AZ$5, COUNTIF($M130:AY130,"u")=0), "u", "")</f>
        <v/>
      </c>
      <c r="BA130" s="80" t="str">
        <f>IF(AND($F130&lt;&gt;"", $F130&gt;=BA$5-4, $F130&lt;=BA$5, COUNTIF($M130:AZ130,"u")=0), "u", "")</f>
        <v/>
      </c>
      <c r="BB130" s="80" t="str">
        <f>IF(AND($F130&lt;&gt;"", $F130&gt;=BB$5-4, $F130&lt;=BB$5, COUNTIF($M130:BA130,"u")=0), "u", "")</f>
        <v/>
      </c>
      <c r="BC130" s="80" t="str">
        <f>IF(AND($F130&lt;&gt;"", $F130&gt;=BC$5-4, $F130&lt;=BC$5, COUNTIF($M130:BB130,"u")=0), "u", "")</f>
        <v/>
      </c>
      <c r="BD130" s="80" t="str">
        <f>IF(AND($F130&lt;&gt;"", $F130&gt;=BD$5-4, $F130&lt;=BD$5, COUNTIF($M130:BC130,"u")=0), "u", "")</f>
        <v/>
      </c>
      <c r="BE130" s="80" t="str">
        <f>IF(AND($F130&lt;&gt;"", $F130&gt;=BE$5-4, $F130&lt;=BE$5, COUNTIF($M130:BD130,"u")=0), "u", "")</f>
        <v/>
      </c>
      <c r="BF130" s="80" t="str">
        <f>IF(AND($F130&lt;&gt;"", $F130&gt;=BF$5-4, $F130&lt;=BF$5, COUNTIF($M130:BE130,"u")=0), "u", "")</f>
        <v/>
      </c>
      <c r="BG130" s="80" t="str">
        <f>IF(AND($F130&lt;&gt;"", $F130&gt;=BG$5-4, $F130&lt;=BG$5, COUNTIF($M130:BF130,"u")=0), "u", "")</f>
        <v/>
      </c>
      <c r="BH130" s="80" t="str">
        <f>IF(AND($F130&lt;&gt;"", $F130&gt;=BH$5-4, $F130&lt;=BH$5, COUNTIF($M130:BG130,"u")=0), "u", "")</f>
        <v/>
      </c>
      <c r="BI130" s="80" t="str">
        <f>IF(AND($F130&lt;&gt;"", $F130&gt;=BI$5-4, $F130&lt;=BI$5, COUNTIF($M130:BH130,"u")=0), "u", "")</f>
        <v/>
      </c>
      <c r="BJ130" s="80" t="str">
        <f>IF(AND($F130&lt;&gt;"", $F130&gt;=BJ$5-4, $F130&lt;=BJ$5, COUNTIF($M130:BI130,"u")=0), "u", "")</f>
        <v/>
      </c>
      <c r="BK130" s="80" t="str">
        <f>IF(AND($F130&lt;&gt;"", $F130&gt;=BK$5-4, $F130&lt;=BK$5, COUNTIF($M130:BJ130,"u")=0), "u", "")</f>
        <v/>
      </c>
      <c r="BL130" s="80" t="str">
        <f>IF(AND($F130&lt;&gt;"", $F130&gt;=BL$5-4, $F130&lt;=BL$5, COUNTIF($M130:BK130,"u")=0), "u", "")</f>
        <v/>
      </c>
      <c r="BM130" s="80" t="str">
        <f>IF(AND($F130&lt;&gt;"", $F130&gt;=BM$5-4, $F130&lt;=BM$5, COUNTIF($M130:BL130,"u")=0), "u", "")</f>
        <v/>
      </c>
      <c r="BN130" s="80" t="str">
        <f>IF(AND($F130&lt;&gt;"", $F130&gt;=BN$5-4, $F130&lt;=BN$5, COUNTIF($M130:BM130,"u")=0), "u", "")</f>
        <v/>
      </c>
      <c r="BO130" s="80" t="str">
        <f>IF(AND($F130&lt;&gt;"", $F130&gt;=BO$5-4, $F130&lt;=BO$5, COUNTIF($M130:BN130,"u")=0), "u", "")</f>
        <v/>
      </c>
      <c r="BP130" s="80" t="str">
        <f>IF(AND($F130&lt;&gt;"", $F130&gt;=BP$5-4, $F130&lt;=BP$5, COUNTIF($M130:BO130,"u")=0), "u", "")</f>
        <v/>
      </c>
      <c r="BQ130" s="80" t="str">
        <f>IF(AND($F130&lt;&gt;"", $F130&gt;=BQ$5-4, $F130&lt;=BQ$5, COUNTIF($M130:BP130,"u")=0), "u", "")</f>
        <v/>
      </c>
      <c r="BR130" s="80" t="str">
        <f>IF(AND($F130&lt;&gt;"", $F130&gt;=BR$5-4, $F130&lt;=BR$5, COUNTIF($M130:BQ130,"u")=0), "u", "")</f>
        <v/>
      </c>
      <c r="BS130" s="80" t="str">
        <f>IF(AND($F130&lt;&gt;"", $F130&gt;=BS$5-4, $F130&lt;=BS$5, COUNTIF($M130:BR130,"u")=0), "u", "")</f>
        <v/>
      </c>
      <c r="BT130" s="80" t="str">
        <f>IF(AND($F130&lt;&gt;"", $F130&gt;=BT$5-4, $F130&lt;=BT$5, COUNTIF($M130:BS130,"u")=0), "u", "")</f>
        <v/>
      </c>
      <c r="BU130" s="80" t="str">
        <f>IF(AND($F130&lt;&gt;"", $F130&gt;=BU$5-4, $F130&lt;=BU$5, COUNTIF($M130:BT130,"u")=0), "u", "")</f>
        <v/>
      </c>
      <c r="BV130" s="80" t="str">
        <f>IF(AND($F130&lt;&gt;"", $F130&gt;=BV$5-4, $F130&lt;=BV$5, COUNTIF($M130:BU130,"u")=0), "u", "")</f>
        <v/>
      </c>
      <c r="BW130" s="80" t="str">
        <f>IF(AND($F130&lt;&gt;"", $F130&gt;=BW$5-4, $F130&lt;=BW$5, COUNTIF($M130:BV130,"u")=0), "u", "")</f>
        <v/>
      </c>
      <c r="BX130" s="80" t="str">
        <f>IF(AND($F130&lt;&gt;"", $F130&gt;=BX$5-4, $F130&lt;=BX$5, COUNTIF($M130:BW130,"u")=0), "u", "")</f>
        <v/>
      </c>
      <c r="BY130" s="80" t="str">
        <f>IF(AND($F130&lt;&gt;"", $F130&gt;=BY$5-4, $F130&lt;=BY$5, COUNTIF($M130:BX130,"u")=0), "u", "")</f>
        <v/>
      </c>
      <c r="BZ130" s="80" t="str">
        <f>IF(AND($F130&lt;&gt;"", $F130&gt;=BZ$5-4, $F130&lt;=BZ$5, COUNTIF($M130:BY130,"u")=0), "u", "")</f>
        <v/>
      </c>
      <c r="CA130" s="80" t="str">
        <f>IF(AND($F130&lt;&gt;"", $F130&gt;=CA$5-4, $F130&lt;=CA$5, COUNTIF($M130:BZ130,"u")=0), "u", "")</f>
        <v/>
      </c>
      <c r="CB130" s="80" t="str">
        <f>IF(AND($F130&lt;&gt;"", $F130&gt;=CB$5-4, $F130&lt;=CB$5, COUNTIF($M130:CA130,"u")=0), "u", "")</f>
        <v/>
      </c>
      <c r="CC130" s="80" t="str">
        <f>IF(AND($F130&lt;&gt;"", $F130&gt;=CC$5-4, $F130&lt;=CC$5, COUNTIF($M130:CB130,"u")=0), "u", "")</f>
        <v/>
      </c>
      <c r="CD130" s="80" t="str">
        <f>IF(AND($F130&lt;&gt;"", $F130&gt;=CD$5-4, $F130&lt;=CD$5, COUNTIF($M130:CC130,"u")=0), "u", "")</f>
        <v/>
      </c>
      <c r="CE130" s="80" t="str">
        <f>IF(AND($F130&lt;&gt;"", $F130&gt;=CE$5-4, $F130&lt;=CE$5, COUNTIF($M130:CD130,"u")=0), "u", "")</f>
        <v/>
      </c>
      <c r="CF130" s="80" t="str">
        <f>IF(AND($F130&lt;&gt;"", $F130&gt;=CF$5-4, $F130&lt;=CF$5, COUNTIF($M130:CE130,"u")=0), "u", "")</f>
        <v/>
      </c>
      <c r="CG130" s="80" t="str">
        <f>IF(AND($F130&lt;&gt;"", $F130&gt;=CG$5-4, $F130&lt;=CG$5, COUNTIF($M130:CF130,"u")=0), "u", "")</f>
        <v/>
      </c>
      <c r="CH130" s="80" t="str">
        <f>IF(AND($F130&lt;&gt;"", $F130&gt;=CH$5-4, $F130&lt;=CH$5, COUNTIF($M130:CG130,"u")=0), "u", "")</f>
        <v/>
      </c>
      <c r="CI130" s="80" t="str">
        <f>IF(AND($F130&lt;&gt;"", $F130&gt;=CI$5-4, $F130&lt;=CI$5, COUNTIF($M130:CH130,"u")=0), "u", "")</f>
        <v/>
      </c>
      <c r="CJ130" s="80" t="str">
        <f>IF(AND($F130&lt;&gt;"", $F130&gt;=CJ$5-4, $F130&lt;=CJ$5, COUNTIF($M130:CI130,"u")=0), "u", "")</f>
        <v/>
      </c>
      <c r="CK130" s="80" t="str">
        <f>IF(AND($F130&lt;&gt;"", $F130&gt;=CK$5-4, $F130&lt;=CK$5, COUNTIF($M130:CJ130,"u")=0), "u", "")</f>
        <v/>
      </c>
      <c r="CL130" s="80" t="str">
        <f>IF(AND($F130&lt;&gt;"", $F130&gt;=CL$5-4, $F130&lt;=CL$5, COUNTIF($M130:CK130,"u")=0), "u", "")</f>
        <v/>
      </c>
      <c r="CM130" s="80" t="str">
        <f>IF(AND($F130&lt;&gt;"", $F130&gt;=CM$5-4, $F130&lt;=CM$5, COUNTIF($M130:CL130,"u")=0), "u", "")</f>
        <v/>
      </c>
      <c r="CN130" s="80" t="str">
        <f>IF(AND($F130&lt;&gt;"", $F130&gt;=CN$5-4, $F130&lt;=CN$5, COUNTIF($M130:CM130,"u")=0), "u", "")</f>
        <v/>
      </c>
      <c r="CO130" s="80" t="str">
        <f>IF(AND($F130&lt;&gt;"", $F130&gt;=CO$5-4, $F130&lt;=CO$5, COUNTIF($M130:CN130,"u")=0), "u", "")</f>
        <v/>
      </c>
      <c r="CP130" s="80" t="str">
        <f>IF(AND($F130&lt;&gt;"", $F130&gt;=CP$5-4, $F130&lt;=CP$5, COUNTIF($M130:CO130,"u")=0), "u", "")</f>
        <v/>
      </c>
      <c r="CQ130" s="80" t="str">
        <f>IF(AND($F130&lt;&gt;"", $F130&gt;=CQ$5-4, $F130&lt;=CQ$5, COUNTIF($M130:CP130,"u")=0), "u", "")</f>
        <v/>
      </c>
      <c r="CR130" s="80" t="str">
        <f>IF(AND($F130&lt;&gt;"", $F130&gt;=CR$5-4, $F130&lt;=CR$5, COUNTIF($M130:CQ130,"u")=0), "u", "")</f>
        <v/>
      </c>
      <c r="CS130" s="80" t="str">
        <f>IF(AND($F130&lt;&gt;"", $F130&gt;=CS$5-4, $F130&lt;=CS$5, COUNTIF($M130:CR130,"u")=0), "u", "")</f>
        <v/>
      </c>
      <c r="CT130" s="80" t="str">
        <f>IF(AND($F130&lt;&gt;"", $F130&gt;=CT$5-4, $F130&lt;=CT$5, COUNTIF($M130:CS130,"u")=0), "u", "")</f>
        <v/>
      </c>
      <c r="CU130" s="80" t="str">
        <f>IF(AND($F130&lt;&gt;"", $F130&gt;=CU$5-4, $F130&lt;=CU$5, COUNTIF($M130:CT130,"u")=0), "u", "")</f>
        <v/>
      </c>
      <c r="CV130" s="80" t="str">
        <f>IF(AND($F130&lt;&gt;"", $F130&gt;=CV$5-4, $F130&lt;=CV$5, COUNTIF($M130:CU130,"u")=0), "u", "")</f>
        <v/>
      </c>
      <c r="CW130" s="80" t="str">
        <f>IF(AND($F130&lt;&gt;"", $F130&gt;=CW$5-4, $F130&lt;=CW$5, COUNTIF($M130:CV130,"u")=0), "u", "")</f>
        <v/>
      </c>
      <c r="CX130" s="80" t="str">
        <f>IF(AND($F130&lt;&gt;"", $F130&gt;=CX$5-4, $F130&lt;=CX$5, COUNTIF($M130:CW130,"u")=0), "u", "")</f>
        <v/>
      </c>
      <c r="CY130" s="80" t="str">
        <f>IF(AND($F130&lt;&gt;"", $F130&gt;=CY$5-4, $F130&lt;=CY$5, COUNTIF($M130:CX130,"u")=0), "u", "")</f>
        <v/>
      </c>
      <c r="CZ130" s="80" t="str">
        <f>IF(AND($F130&lt;&gt;"", $F130&gt;=CZ$5-4, $F130&lt;=CZ$5, COUNTIF($M130:CY130,"u")=0), "u", "")</f>
        <v/>
      </c>
      <c r="DA130" s="80" t="str">
        <f>IF(AND($F130&lt;&gt;"", $F130&gt;=DA$5-4, $F130&lt;=DA$5, COUNTIF($M130:CZ130,"u")=0), "u", "")</f>
        <v/>
      </c>
      <c r="DB130" s="80" t="str">
        <f>IF(AND($F130&lt;&gt;"", $F130&gt;=DB$5-4, $F130&lt;=DB$5, COUNTIF($M130:DA130,"u")=0), "u", "")</f>
        <v/>
      </c>
      <c r="DC130" s="80" t="str">
        <f>IF(AND($F130&lt;&gt;"", $F130&gt;=DC$5-4, $F130&lt;=DC$5, COUNTIF($M130:DB130,"u")=0), "u", "")</f>
        <v/>
      </c>
      <c r="DD130" s="80" t="str">
        <f>IF(AND($F130&lt;&gt;"", $F130&gt;=DD$5-4, $F130&lt;=DD$5, COUNTIF($M130:DC130,"u")=0), "u", "")</f>
        <v/>
      </c>
      <c r="DE130" s="80" t="str">
        <f>IF(AND($F130&lt;&gt;"", $F130&gt;=DE$5-4, $F130&lt;=DE$5, COUNTIF($M130:DD130,"u")=0), "u", "")</f>
        <v/>
      </c>
      <c r="DF130" s="80" t="str">
        <f>IF(AND($F130&lt;&gt;"", $F130&gt;=DF$5-4, $F130&lt;=DF$5, COUNTIF($M130:DE130,"u")=0), "u", "")</f>
        <v/>
      </c>
      <c r="DG130" s="80" t="str">
        <f>IF(AND($F130&lt;&gt;"", $F130&gt;=DG$5-4, $F130&lt;=DG$5, COUNTIF($M130:DF130,"u")=0), "u", "")</f>
        <v/>
      </c>
      <c r="DH130" s="80" t="str">
        <f>IF(AND($F130&lt;&gt;"", $F130&gt;=DH$5-4, $F130&lt;=DH$5, COUNTIF($M130:DG130,"u")=0), "u", "")</f>
        <v/>
      </c>
      <c r="DI130" s="80" t="str">
        <f>IF(AND($F130&lt;&gt;"", $F130&gt;=DI$5-4, $F130&lt;=DI$5, COUNTIF($M130:DH130,"u")=0), "u", "")</f>
        <v/>
      </c>
      <c r="DJ130" s="80" t="str">
        <f>IF(AND($F130&lt;&gt;"", $F130&gt;=DJ$5-4, $F130&lt;=DJ$5, COUNTIF($M130:DI130,"u")=0), "u", "")</f>
        <v/>
      </c>
      <c r="DK130" s="80" t="str">
        <f>IF(AND($F130&lt;&gt;"", $F130&gt;=DK$5-4, $F130&lt;=DK$5, COUNTIF($M130:DJ130,"u")=0), "u", "")</f>
        <v/>
      </c>
      <c r="DL130" s="80" t="str">
        <f>IF(AND($F130&lt;&gt;"", $F130&gt;=DL$5-4, $F130&lt;=DL$5, COUNTIF($M130:DK130,"u")=0), "u", "")</f>
        <v/>
      </c>
    </row>
    <row r="131" spans="1:116" ht="25.05" customHeight="1" x14ac:dyDescent="0.3">
      <c r="A131" s="39"/>
      <c r="B131" s="75">
        <v>126</v>
      </c>
      <c r="C131" s="97"/>
      <c r="D131" s="92"/>
      <c r="E131" s="53"/>
      <c r="F131" s="53"/>
      <c r="G131" s="83" t="str">
        <f t="shared" si="50"/>
        <v/>
      </c>
      <c r="H131" s="83" t="str">
        <f t="shared" si="50"/>
        <v/>
      </c>
      <c r="I131" s="77" t="str">
        <f t="shared" si="48"/>
        <v/>
      </c>
      <c r="J131" s="78"/>
      <c r="K131" s="86"/>
      <c r="L131" s="56"/>
      <c r="M131" s="80" t="str">
        <f t="shared" si="49"/>
        <v/>
      </c>
      <c r="N131" s="80" t="str">
        <f>IF(AND($F131&lt;&gt;"", $F131&gt;=N$5-4, $F131&lt;=N$5, COUNTIF($M131:M131,"u")=0), "u", "")</f>
        <v/>
      </c>
      <c r="O131" s="80" t="str">
        <f>IF(AND($F131&lt;&gt;"", $F131&gt;=O$5-4, $F131&lt;=O$5, COUNTIF($M131:N131,"u")=0), "u", "")</f>
        <v/>
      </c>
      <c r="P131" s="80" t="str">
        <f>IF(AND($F131&lt;&gt;"", $F131&gt;=P$5-4, $F131&lt;=P$5, COUNTIF($M131:O131,"u")=0), "u", "")</f>
        <v/>
      </c>
      <c r="Q131" s="80" t="str">
        <f>IF(AND($F131&lt;&gt;"", $F131&gt;=Q$5-4, $F131&lt;=Q$5, COUNTIF($M131:P131,"u")=0), "u", "")</f>
        <v/>
      </c>
      <c r="R131" s="80" t="str">
        <f>IF(AND($F131&lt;&gt;"", $F131&gt;=R$5-4, $F131&lt;=R$5, COUNTIF($M131:Q131,"u")=0), "u", "")</f>
        <v/>
      </c>
      <c r="S131" s="80" t="str">
        <f>IF(AND($F131&lt;&gt;"", $F131&gt;=S$5-4, $F131&lt;=S$5, COUNTIF($M131:R131,"u")=0), "u", "")</f>
        <v/>
      </c>
      <c r="T131" s="80" t="str">
        <f>IF(AND($F131&lt;&gt;"", $F131&gt;=T$5-4, $F131&lt;=T$5, COUNTIF($M131:S131,"u")=0), "u", "")</f>
        <v/>
      </c>
      <c r="U131" s="80" t="str">
        <f>IF(AND($F131&lt;&gt;"", $F131&gt;=U$5-4, $F131&lt;=U$5, COUNTIF($M131:T131,"u")=0), "u", "")</f>
        <v/>
      </c>
      <c r="V131" s="80" t="str">
        <f>IF(AND($F131&lt;&gt;"", $F131&gt;=V$5-4, $F131&lt;=V$5, COUNTIF($M131:U131,"u")=0), "u", "")</f>
        <v/>
      </c>
      <c r="W131" s="80" t="str">
        <f>IF(AND($F131&lt;&gt;"", $F131&gt;=W$5-4, $F131&lt;=W$5, COUNTIF($M131:V131,"u")=0), "u", "")</f>
        <v/>
      </c>
      <c r="X131" s="80" t="str">
        <f>IF(AND($F131&lt;&gt;"", $F131&gt;=X$5-4, $F131&lt;=X$5, COUNTIF($M131:W131,"u")=0), "u", "")</f>
        <v/>
      </c>
      <c r="Y131" s="80" t="str">
        <f>IF(AND($F131&lt;&gt;"", $F131&gt;=Y$5-4, $F131&lt;=Y$5, COUNTIF($M131:X131,"u")=0), "u", "")</f>
        <v/>
      </c>
      <c r="Z131" s="80" t="str">
        <f>IF(AND($F131&lt;&gt;"", $F131&gt;=Z$5-4, $F131&lt;=Z$5, COUNTIF($M131:Y131,"u")=0), "u", "")</f>
        <v/>
      </c>
      <c r="AA131" s="80" t="str">
        <f>IF(AND($F131&lt;&gt;"", $F131&gt;=AA$5-4, $F131&lt;=AA$5, COUNTIF($M131:Z131,"u")=0), "u", "")</f>
        <v/>
      </c>
      <c r="AB131" s="80" t="str">
        <f>IF(AND($F131&lt;&gt;"", $F131&gt;=AB$5-4, $F131&lt;=AB$5, COUNTIF($M131:AA131,"u")=0), "u", "")</f>
        <v/>
      </c>
      <c r="AC131" s="80" t="str">
        <f>IF(AND($F131&lt;&gt;"", $F131&gt;=AC$5-4, $F131&lt;=AC$5, COUNTIF($M131:AB131,"u")=0), "u", "")</f>
        <v/>
      </c>
      <c r="AD131" s="80" t="str">
        <f>IF(AND($F131&lt;&gt;"", $F131&gt;=AD$5-4, $F131&lt;=AD$5, COUNTIF($M131:AC131,"u")=0), "u", "")</f>
        <v/>
      </c>
      <c r="AE131" s="80" t="str">
        <f>IF(AND($F131&lt;&gt;"", $F131&gt;=AE$5-4, $F131&lt;=AE$5, COUNTIF($M131:AD131,"u")=0), "u", "")</f>
        <v/>
      </c>
      <c r="AF131" s="80" t="str">
        <f>IF(AND($F131&lt;&gt;"", $F131&gt;=AF$5-4, $F131&lt;=AF$5, COUNTIF($M131:AE131,"u")=0), "u", "")</f>
        <v/>
      </c>
      <c r="AG131" s="80" t="str">
        <f>IF(AND($F131&lt;&gt;"", $F131&gt;=AG$5-4, $F131&lt;=AG$5, COUNTIF($M131:AF131,"u")=0), "u", "")</f>
        <v/>
      </c>
      <c r="AH131" s="80" t="str">
        <f>IF(AND($F131&lt;&gt;"", $F131&gt;=AH$5-4, $F131&lt;=AH$5, COUNTIF($M131:AG131,"u")=0), "u", "")</f>
        <v/>
      </c>
      <c r="AI131" s="80" t="str">
        <f>IF(AND($F131&lt;&gt;"", $F131&gt;=AI$5-4, $F131&lt;=AI$5, COUNTIF($M131:AH131,"u")=0), "u", "")</f>
        <v/>
      </c>
      <c r="AJ131" s="80" t="str">
        <f>IF(AND($F131&lt;&gt;"", $F131&gt;=AJ$5-4, $F131&lt;=AJ$5, COUNTIF($M131:AI131,"u")=0), "u", "")</f>
        <v/>
      </c>
      <c r="AK131" s="80" t="str">
        <f>IF(AND($F131&lt;&gt;"", $F131&gt;=AK$5-4, $F131&lt;=AK$5, COUNTIF($M131:AJ131,"u")=0), "u", "")</f>
        <v/>
      </c>
      <c r="AL131" s="80" t="str">
        <f>IF(AND($F131&lt;&gt;"", $F131&gt;=AL$5-4, $F131&lt;=AL$5, COUNTIF($M131:AK131,"u")=0), "u", "")</f>
        <v/>
      </c>
      <c r="AM131" s="80" t="str">
        <f>IF(AND($F131&lt;&gt;"", $F131&gt;=AM$5-4, $F131&lt;=AM$5, COUNTIF($M131:AL131,"u")=0), "u", "")</f>
        <v/>
      </c>
      <c r="AN131" s="80" t="str">
        <f>IF(AND($F131&lt;&gt;"", $F131&gt;=AN$5-4, $F131&lt;=AN$5, COUNTIF($M131:AM131,"u")=0), "u", "")</f>
        <v/>
      </c>
      <c r="AO131" s="80" t="str">
        <f>IF(AND($F131&lt;&gt;"", $F131&gt;=AO$5-4, $F131&lt;=AO$5, COUNTIF($M131:AN131,"u")=0), "u", "")</f>
        <v/>
      </c>
      <c r="AP131" s="80" t="str">
        <f>IF(AND($F131&lt;&gt;"", $F131&gt;=AP$5-4, $F131&lt;=AP$5, COUNTIF($M131:AO131,"u")=0), "u", "")</f>
        <v/>
      </c>
      <c r="AQ131" s="80" t="str">
        <f>IF(AND($F131&lt;&gt;"", $F131&gt;=AQ$5-4, $F131&lt;=AQ$5, COUNTIF($M131:AP131,"u")=0), "u", "")</f>
        <v/>
      </c>
      <c r="AR131" s="80" t="str">
        <f>IF(AND($F131&lt;&gt;"", $F131&gt;=AR$5-4, $F131&lt;=AR$5, COUNTIF($M131:AQ131,"u")=0), "u", "")</f>
        <v/>
      </c>
      <c r="AS131" s="80" t="str">
        <f>IF(AND($F131&lt;&gt;"", $F131&gt;=AS$5-4, $F131&lt;=AS$5, COUNTIF($M131:AR131,"u")=0), "u", "")</f>
        <v/>
      </c>
      <c r="AT131" s="80" t="str">
        <f>IF(AND($F131&lt;&gt;"", $F131&gt;=AT$5-4, $F131&lt;=AT$5, COUNTIF($M131:AS131,"u")=0), "u", "")</f>
        <v/>
      </c>
      <c r="AU131" s="80" t="str">
        <f>IF(AND($F131&lt;&gt;"", $F131&gt;=AU$5-4, $F131&lt;=AU$5, COUNTIF($M131:AT131,"u")=0), "u", "")</f>
        <v/>
      </c>
      <c r="AV131" s="80" t="str">
        <f>IF(AND($F131&lt;&gt;"", $F131&gt;=AV$5-4, $F131&lt;=AV$5, COUNTIF($M131:AU131,"u")=0), "u", "")</f>
        <v/>
      </c>
      <c r="AW131" s="80" t="str">
        <f>IF(AND($F131&lt;&gt;"", $F131&gt;=AW$5-4, $F131&lt;=AW$5, COUNTIF($M131:AV131,"u")=0), "u", "")</f>
        <v/>
      </c>
      <c r="AX131" s="80" t="str">
        <f>IF(AND($F131&lt;&gt;"", $F131&gt;=AX$5-4, $F131&lt;=AX$5, COUNTIF($M131:AW131,"u")=0), "u", "")</f>
        <v/>
      </c>
      <c r="AY131" s="80" t="str">
        <f>IF(AND($F131&lt;&gt;"", $F131&gt;=AY$5-4, $F131&lt;=AY$5, COUNTIF($M131:AX131,"u")=0), "u", "")</f>
        <v/>
      </c>
      <c r="AZ131" s="80" t="str">
        <f>IF(AND($F131&lt;&gt;"", $F131&gt;=AZ$5-4, $F131&lt;=AZ$5, COUNTIF($M131:AY131,"u")=0), "u", "")</f>
        <v/>
      </c>
      <c r="BA131" s="80" t="str">
        <f>IF(AND($F131&lt;&gt;"", $F131&gt;=BA$5-4, $F131&lt;=BA$5, COUNTIF($M131:AZ131,"u")=0), "u", "")</f>
        <v/>
      </c>
      <c r="BB131" s="80" t="str">
        <f>IF(AND($F131&lt;&gt;"", $F131&gt;=BB$5-4, $F131&lt;=BB$5, COUNTIF($M131:BA131,"u")=0), "u", "")</f>
        <v/>
      </c>
      <c r="BC131" s="80" t="str">
        <f>IF(AND($F131&lt;&gt;"", $F131&gt;=BC$5-4, $F131&lt;=BC$5, COUNTIF($M131:BB131,"u")=0), "u", "")</f>
        <v/>
      </c>
      <c r="BD131" s="80" t="str">
        <f>IF(AND($F131&lt;&gt;"", $F131&gt;=BD$5-4, $F131&lt;=BD$5, COUNTIF($M131:BC131,"u")=0), "u", "")</f>
        <v/>
      </c>
      <c r="BE131" s="80" t="str">
        <f>IF(AND($F131&lt;&gt;"", $F131&gt;=BE$5-4, $F131&lt;=BE$5, COUNTIF($M131:BD131,"u")=0), "u", "")</f>
        <v/>
      </c>
      <c r="BF131" s="80" t="str">
        <f>IF(AND($F131&lt;&gt;"", $F131&gt;=BF$5-4, $F131&lt;=BF$5, COUNTIF($M131:BE131,"u")=0), "u", "")</f>
        <v/>
      </c>
      <c r="BG131" s="80" t="str">
        <f>IF(AND($F131&lt;&gt;"", $F131&gt;=BG$5-4, $F131&lt;=BG$5, COUNTIF($M131:BF131,"u")=0), "u", "")</f>
        <v/>
      </c>
      <c r="BH131" s="80" t="str">
        <f>IF(AND($F131&lt;&gt;"", $F131&gt;=BH$5-4, $F131&lt;=BH$5, COUNTIF($M131:BG131,"u")=0), "u", "")</f>
        <v/>
      </c>
      <c r="BI131" s="80" t="str">
        <f>IF(AND($F131&lt;&gt;"", $F131&gt;=BI$5-4, $F131&lt;=BI$5, COUNTIF($M131:BH131,"u")=0), "u", "")</f>
        <v/>
      </c>
      <c r="BJ131" s="80" t="str">
        <f>IF(AND($F131&lt;&gt;"", $F131&gt;=BJ$5-4, $F131&lt;=BJ$5, COUNTIF($M131:BI131,"u")=0), "u", "")</f>
        <v/>
      </c>
      <c r="BK131" s="80" t="str">
        <f>IF(AND($F131&lt;&gt;"", $F131&gt;=BK$5-4, $F131&lt;=BK$5, COUNTIF($M131:BJ131,"u")=0), "u", "")</f>
        <v/>
      </c>
      <c r="BL131" s="80" t="str">
        <f>IF(AND($F131&lt;&gt;"", $F131&gt;=BL$5-4, $F131&lt;=BL$5, COUNTIF($M131:BK131,"u")=0), "u", "")</f>
        <v/>
      </c>
      <c r="BM131" s="80" t="str">
        <f>IF(AND($F131&lt;&gt;"", $F131&gt;=BM$5-4, $F131&lt;=BM$5, COUNTIF($M131:BL131,"u")=0), "u", "")</f>
        <v/>
      </c>
      <c r="BN131" s="80" t="str">
        <f>IF(AND($F131&lt;&gt;"", $F131&gt;=BN$5-4, $F131&lt;=BN$5, COUNTIF($M131:BM131,"u")=0), "u", "")</f>
        <v/>
      </c>
      <c r="BO131" s="80" t="str">
        <f>IF(AND($F131&lt;&gt;"", $F131&gt;=BO$5-4, $F131&lt;=BO$5, COUNTIF($M131:BN131,"u")=0), "u", "")</f>
        <v/>
      </c>
      <c r="BP131" s="80" t="str">
        <f>IF(AND($F131&lt;&gt;"", $F131&gt;=BP$5-4, $F131&lt;=BP$5, COUNTIF($M131:BO131,"u")=0), "u", "")</f>
        <v/>
      </c>
      <c r="BQ131" s="80" t="str">
        <f>IF(AND($F131&lt;&gt;"", $F131&gt;=BQ$5-4, $F131&lt;=BQ$5, COUNTIF($M131:BP131,"u")=0), "u", "")</f>
        <v/>
      </c>
      <c r="BR131" s="80" t="str">
        <f>IF(AND($F131&lt;&gt;"", $F131&gt;=BR$5-4, $F131&lt;=BR$5, COUNTIF($M131:BQ131,"u")=0), "u", "")</f>
        <v/>
      </c>
      <c r="BS131" s="80" t="str">
        <f>IF(AND($F131&lt;&gt;"", $F131&gt;=BS$5-4, $F131&lt;=BS$5, COUNTIF($M131:BR131,"u")=0), "u", "")</f>
        <v/>
      </c>
      <c r="BT131" s="80" t="str">
        <f>IF(AND($F131&lt;&gt;"", $F131&gt;=BT$5-4, $F131&lt;=BT$5, COUNTIF($M131:BS131,"u")=0), "u", "")</f>
        <v/>
      </c>
      <c r="BU131" s="80" t="str">
        <f>IF(AND($F131&lt;&gt;"", $F131&gt;=BU$5-4, $F131&lt;=BU$5, COUNTIF($M131:BT131,"u")=0), "u", "")</f>
        <v/>
      </c>
      <c r="BV131" s="80" t="str">
        <f>IF(AND($F131&lt;&gt;"", $F131&gt;=BV$5-4, $F131&lt;=BV$5, COUNTIF($M131:BU131,"u")=0), "u", "")</f>
        <v/>
      </c>
      <c r="BW131" s="80" t="str">
        <f>IF(AND($F131&lt;&gt;"", $F131&gt;=BW$5-4, $F131&lt;=BW$5, COUNTIF($M131:BV131,"u")=0), "u", "")</f>
        <v/>
      </c>
      <c r="BX131" s="80" t="str">
        <f>IF(AND($F131&lt;&gt;"", $F131&gt;=BX$5-4, $F131&lt;=BX$5, COUNTIF($M131:BW131,"u")=0), "u", "")</f>
        <v/>
      </c>
      <c r="BY131" s="80" t="str">
        <f>IF(AND($F131&lt;&gt;"", $F131&gt;=BY$5-4, $F131&lt;=BY$5, COUNTIF($M131:BX131,"u")=0), "u", "")</f>
        <v/>
      </c>
      <c r="BZ131" s="80" t="str">
        <f>IF(AND($F131&lt;&gt;"", $F131&gt;=BZ$5-4, $F131&lt;=BZ$5, COUNTIF($M131:BY131,"u")=0), "u", "")</f>
        <v/>
      </c>
      <c r="CA131" s="80" t="str">
        <f>IF(AND($F131&lt;&gt;"", $F131&gt;=CA$5-4, $F131&lt;=CA$5, COUNTIF($M131:BZ131,"u")=0), "u", "")</f>
        <v/>
      </c>
      <c r="CB131" s="80" t="str">
        <f>IF(AND($F131&lt;&gt;"", $F131&gt;=CB$5-4, $F131&lt;=CB$5, COUNTIF($M131:CA131,"u")=0), "u", "")</f>
        <v/>
      </c>
      <c r="CC131" s="80" t="str">
        <f>IF(AND($F131&lt;&gt;"", $F131&gt;=CC$5-4, $F131&lt;=CC$5, COUNTIF($M131:CB131,"u")=0), "u", "")</f>
        <v/>
      </c>
      <c r="CD131" s="80" t="str">
        <f>IF(AND($F131&lt;&gt;"", $F131&gt;=CD$5-4, $F131&lt;=CD$5, COUNTIF($M131:CC131,"u")=0), "u", "")</f>
        <v/>
      </c>
      <c r="CE131" s="80" t="str">
        <f>IF(AND($F131&lt;&gt;"", $F131&gt;=CE$5-4, $F131&lt;=CE$5, COUNTIF($M131:CD131,"u")=0), "u", "")</f>
        <v/>
      </c>
      <c r="CF131" s="80" t="str">
        <f>IF(AND($F131&lt;&gt;"", $F131&gt;=CF$5-4, $F131&lt;=CF$5, COUNTIF($M131:CE131,"u")=0), "u", "")</f>
        <v/>
      </c>
      <c r="CG131" s="80" t="str">
        <f>IF(AND($F131&lt;&gt;"", $F131&gt;=CG$5-4, $F131&lt;=CG$5, COUNTIF($M131:CF131,"u")=0), "u", "")</f>
        <v/>
      </c>
      <c r="CH131" s="80" t="str">
        <f>IF(AND($F131&lt;&gt;"", $F131&gt;=CH$5-4, $F131&lt;=CH$5, COUNTIF($M131:CG131,"u")=0), "u", "")</f>
        <v/>
      </c>
      <c r="CI131" s="80" t="str">
        <f>IF(AND($F131&lt;&gt;"", $F131&gt;=CI$5-4, $F131&lt;=CI$5, COUNTIF($M131:CH131,"u")=0), "u", "")</f>
        <v/>
      </c>
      <c r="CJ131" s="80" t="str">
        <f>IF(AND($F131&lt;&gt;"", $F131&gt;=CJ$5-4, $F131&lt;=CJ$5, COUNTIF($M131:CI131,"u")=0), "u", "")</f>
        <v/>
      </c>
      <c r="CK131" s="80" t="str">
        <f>IF(AND($F131&lt;&gt;"", $F131&gt;=CK$5-4, $F131&lt;=CK$5, COUNTIF($M131:CJ131,"u")=0), "u", "")</f>
        <v/>
      </c>
      <c r="CL131" s="80" t="str">
        <f>IF(AND($F131&lt;&gt;"", $F131&gt;=CL$5-4, $F131&lt;=CL$5, COUNTIF($M131:CK131,"u")=0), "u", "")</f>
        <v/>
      </c>
      <c r="CM131" s="80" t="str">
        <f>IF(AND($F131&lt;&gt;"", $F131&gt;=CM$5-4, $F131&lt;=CM$5, COUNTIF($M131:CL131,"u")=0), "u", "")</f>
        <v/>
      </c>
      <c r="CN131" s="80" t="str">
        <f>IF(AND($F131&lt;&gt;"", $F131&gt;=CN$5-4, $F131&lt;=CN$5, COUNTIF($M131:CM131,"u")=0), "u", "")</f>
        <v/>
      </c>
      <c r="CO131" s="80" t="str">
        <f>IF(AND($F131&lt;&gt;"", $F131&gt;=CO$5-4, $F131&lt;=CO$5, COUNTIF($M131:CN131,"u")=0), "u", "")</f>
        <v/>
      </c>
      <c r="CP131" s="80" t="str">
        <f>IF(AND($F131&lt;&gt;"", $F131&gt;=CP$5-4, $F131&lt;=CP$5, COUNTIF($M131:CO131,"u")=0), "u", "")</f>
        <v/>
      </c>
      <c r="CQ131" s="80" t="str">
        <f>IF(AND($F131&lt;&gt;"", $F131&gt;=CQ$5-4, $F131&lt;=CQ$5, COUNTIF($M131:CP131,"u")=0), "u", "")</f>
        <v/>
      </c>
      <c r="CR131" s="80" t="str">
        <f>IF(AND($F131&lt;&gt;"", $F131&gt;=CR$5-4, $F131&lt;=CR$5, COUNTIF($M131:CQ131,"u")=0), "u", "")</f>
        <v/>
      </c>
      <c r="CS131" s="80" t="str">
        <f>IF(AND($F131&lt;&gt;"", $F131&gt;=CS$5-4, $F131&lt;=CS$5, COUNTIF($M131:CR131,"u")=0), "u", "")</f>
        <v/>
      </c>
      <c r="CT131" s="80" t="str">
        <f>IF(AND($F131&lt;&gt;"", $F131&gt;=CT$5-4, $F131&lt;=CT$5, COUNTIF($M131:CS131,"u")=0), "u", "")</f>
        <v/>
      </c>
      <c r="CU131" s="80" t="str">
        <f>IF(AND($F131&lt;&gt;"", $F131&gt;=CU$5-4, $F131&lt;=CU$5, COUNTIF($M131:CT131,"u")=0), "u", "")</f>
        <v/>
      </c>
      <c r="CV131" s="80" t="str">
        <f>IF(AND($F131&lt;&gt;"", $F131&gt;=CV$5-4, $F131&lt;=CV$5, COUNTIF($M131:CU131,"u")=0), "u", "")</f>
        <v/>
      </c>
      <c r="CW131" s="80" t="str">
        <f>IF(AND($F131&lt;&gt;"", $F131&gt;=CW$5-4, $F131&lt;=CW$5, COUNTIF($M131:CV131,"u")=0), "u", "")</f>
        <v/>
      </c>
      <c r="CX131" s="80" t="str">
        <f>IF(AND($F131&lt;&gt;"", $F131&gt;=CX$5-4, $F131&lt;=CX$5, COUNTIF($M131:CW131,"u")=0), "u", "")</f>
        <v/>
      </c>
      <c r="CY131" s="80" t="str">
        <f>IF(AND($F131&lt;&gt;"", $F131&gt;=CY$5-4, $F131&lt;=CY$5, COUNTIF($M131:CX131,"u")=0), "u", "")</f>
        <v/>
      </c>
      <c r="CZ131" s="80" t="str">
        <f>IF(AND($F131&lt;&gt;"", $F131&gt;=CZ$5-4, $F131&lt;=CZ$5, COUNTIF($M131:CY131,"u")=0), "u", "")</f>
        <v/>
      </c>
      <c r="DA131" s="80" t="str">
        <f>IF(AND($F131&lt;&gt;"", $F131&gt;=DA$5-4, $F131&lt;=DA$5, COUNTIF($M131:CZ131,"u")=0), "u", "")</f>
        <v/>
      </c>
      <c r="DB131" s="80" t="str">
        <f>IF(AND($F131&lt;&gt;"", $F131&gt;=DB$5-4, $F131&lt;=DB$5, COUNTIF($M131:DA131,"u")=0), "u", "")</f>
        <v/>
      </c>
      <c r="DC131" s="80" t="str">
        <f>IF(AND($F131&lt;&gt;"", $F131&gt;=DC$5-4, $F131&lt;=DC$5, COUNTIF($M131:DB131,"u")=0), "u", "")</f>
        <v/>
      </c>
      <c r="DD131" s="80" t="str">
        <f>IF(AND($F131&lt;&gt;"", $F131&gt;=DD$5-4, $F131&lt;=DD$5, COUNTIF($M131:DC131,"u")=0), "u", "")</f>
        <v/>
      </c>
      <c r="DE131" s="80" t="str">
        <f>IF(AND($F131&lt;&gt;"", $F131&gt;=DE$5-4, $F131&lt;=DE$5, COUNTIF($M131:DD131,"u")=0), "u", "")</f>
        <v/>
      </c>
      <c r="DF131" s="80" t="str">
        <f>IF(AND($F131&lt;&gt;"", $F131&gt;=DF$5-4, $F131&lt;=DF$5, COUNTIF($M131:DE131,"u")=0), "u", "")</f>
        <v/>
      </c>
      <c r="DG131" s="80" t="str">
        <f>IF(AND($F131&lt;&gt;"", $F131&gt;=DG$5-4, $F131&lt;=DG$5, COUNTIF($M131:DF131,"u")=0), "u", "")</f>
        <v/>
      </c>
      <c r="DH131" s="80" t="str">
        <f>IF(AND($F131&lt;&gt;"", $F131&gt;=DH$5-4, $F131&lt;=DH$5, COUNTIF($M131:DG131,"u")=0), "u", "")</f>
        <v/>
      </c>
      <c r="DI131" s="80" t="str">
        <f>IF(AND($F131&lt;&gt;"", $F131&gt;=DI$5-4, $F131&lt;=DI$5, COUNTIF($M131:DH131,"u")=0), "u", "")</f>
        <v/>
      </c>
      <c r="DJ131" s="80" t="str">
        <f>IF(AND($F131&lt;&gt;"", $F131&gt;=DJ$5-4, $F131&lt;=DJ$5, COUNTIF($M131:DI131,"u")=0), "u", "")</f>
        <v/>
      </c>
      <c r="DK131" s="80" t="str">
        <f>IF(AND($F131&lt;&gt;"", $F131&gt;=DK$5-4, $F131&lt;=DK$5, COUNTIF($M131:DJ131,"u")=0), "u", "")</f>
        <v/>
      </c>
      <c r="DL131" s="80" t="str">
        <f>IF(AND($F131&lt;&gt;"", $F131&gt;=DL$5-4, $F131&lt;=DL$5, COUNTIF($M131:DK131,"u")=0), "u", "")</f>
        <v/>
      </c>
    </row>
    <row r="132" spans="1:116" ht="25.05" customHeight="1" x14ac:dyDescent="0.3">
      <c r="A132" s="39"/>
      <c r="B132" s="75">
        <v>127</v>
      </c>
      <c r="C132" s="97"/>
      <c r="D132" s="92"/>
      <c r="E132" s="53"/>
      <c r="F132" s="53"/>
      <c r="G132" s="83" t="str">
        <f t="shared" si="50"/>
        <v/>
      </c>
      <c r="H132" s="83" t="str">
        <f t="shared" si="50"/>
        <v/>
      </c>
      <c r="I132" s="77" t="str">
        <f t="shared" si="48"/>
        <v/>
      </c>
      <c r="J132" s="78"/>
      <c r="K132" s="86"/>
      <c r="L132" s="56"/>
      <c r="M132" s="80" t="str">
        <f t="shared" si="49"/>
        <v/>
      </c>
      <c r="N132" s="80" t="str">
        <f>IF(AND($F132&lt;&gt;"", $F132&gt;=N$5-4, $F132&lt;=N$5, COUNTIF($M132:M132,"u")=0), "u", "")</f>
        <v/>
      </c>
      <c r="O132" s="80" t="str">
        <f>IF(AND($F132&lt;&gt;"", $F132&gt;=O$5-4, $F132&lt;=O$5, COUNTIF($M132:N132,"u")=0), "u", "")</f>
        <v/>
      </c>
      <c r="P132" s="80" t="str">
        <f>IF(AND($F132&lt;&gt;"", $F132&gt;=P$5-4, $F132&lt;=P$5, COUNTIF($M132:O132,"u")=0), "u", "")</f>
        <v/>
      </c>
      <c r="Q132" s="80" t="str">
        <f>IF(AND($F132&lt;&gt;"", $F132&gt;=Q$5-4, $F132&lt;=Q$5, COUNTIF($M132:P132,"u")=0), "u", "")</f>
        <v/>
      </c>
      <c r="R132" s="80" t="str">
        <f>IF(AND($F132&lt;&gt;"", $F132&gt;=R$5-4, $F132&lt;=R$5, COUNTIF($M132:Q132,"u")=0), "u", "")</f>
        <v/>
      </c>
      <c r="S132" s="80" t="str">
        <f>IF(AND($F132&lt;&gt;"", $F132&gt;=S$5-4, $F132&lt;=S$5, COUNTIF($M132:R132,"u")=0), "u", "")</f>
        <v/>
      </c>
      <c r="T132" s="80" t="str">
        <f>IF(AND($F132&lt;&gt;"", $F132&gt;=T$5-4, $F132&lt;=T$5, COUNTIF($M132:S132,"u")=0), "u", "")</f>
        <v/>
      </c>
      <c r="U132" s="80" t="str">
        <f>IF(AND($F132&lt;&gt;"", $F132&gt;=U$5-4, $F132&lt;=U$5, COUNTIF($M132:T132,"u")=0), "u", "")</f>
        <v/>
      </c>
      <c r="V132" s="80" t="str">
        <f>IF(AND($F132&lt;&gt;"", $F132&gt;=V$5-4, $F132&lt;=V$5, COUNTIF($M132:U132,"u")=0), "u", "")</f>
        <v/>
      </c>
      <c r="W132" s="80" t="str">
        <f>IF(AND($F132&lt;&gt;"", $F132&gt;=W$5-4, $F132&lt;=W$5, COUNTIF($M132:V132,"u")=0), "u", "")</f>
        <v/>
      </c>
      <c r="X132" s="80" t="str">
        <f>IF(AND($F132&lt;&gt;"", $F132&gt;=X$5-4, $F132&lt;=X$5, COUNTIF($M132:W132,"u")=0), "u", "")</f>
        <v/>
      </c>
      <c r="Y132" s="80" t="str">
        <f>IF(AND($F132&lt;&gt;"", $F132&gt;=Y$5-4, $F132&lt;=Y$5, COUNTIF($M132:X132,"u")=0), "u", "")</f>
        <v/>
      </c>
      <c r="Z132" s="80" t="str">
        <f>IF(AND($F132&lt;&gt;"", $F132&gt;=Z$5-4, $F132&lt;=Z$5, COUNTIF($M132:Y132,"u")=0), "u", "")</f>
        <v/>
      </c>
      <c r="AA132" s="80" t="str">
        <f>IF(AND($F132&lt;&gt;"", $F132&gt;=AA$5-4, $F132&lt;=AA$5, COUNTIF($M132:Z132,"u")=0), "u", "")</f>
        <v/>
      </c>
      <c r="AB132" s="80" t="str">
        <f>IF(AND($F132&lt;&gt;"", $F132&gt;=AB$5-4, $F132&lt;=AB$5, COUNTIF($M132:AA132,"u")=0), "u", "")</f>
        <v/>
      </c>
      <c r="AC132" s="80" t="str">
        <f>IF(AND($F132&lt;&gt;"", $F132&gt;=AC$5-4, $F132&lt;=AC$5, COUNTIF($M132:AB132,"u")=0), "u", "")</f>
        <v/>
      </c>
      <c r="AD132" s="80" t="str">
        <f>IF(AND($F132&lt;&gt;"", $F132&gt;=AD$5-4, $F132&lt;=AD$5, COUNTIF($M132:AC132,"u")=0), "u", "")</f>
        <v/>
      </c>
      <c r="AE132" s="80" t="str">
        <f>IF(AND($F132&lt;&gt;"", $F132&gt;=AE$5-4, $F132&lt;=AE$5, COUNTIF($M132:AD132,"u")=0), "u", "")</f>
        <v/>
      </c>
      <c r="AF132" s="80" t="str">
        <f>IF(AND($F132&lt;&gt;"", $F132&gt;=AF$5-4, $F132&lt;=AF$5, COUNTIF($M132:AE132,"u")=0), "u", "")</f>
        <v/>
      </c>
      <c r="AG132" s="80" t="str">
        <f>IF(AND($F132&lt;&gt;"", $F132&gt;=AG$5-4, $F132&lt;=AG$5, COUNTIF($M132:AF132,"u")=0), "u", "")</f>
        <v/>
      </c>
      <c r="AH132" s="80" t="str">
        <f>IF(AND($F132&lt;&gt;"", $F132&gt;=AH$5-4, $F132&lt;=AH$5, COUNTIF($M132:AG132,"u")=0), "u", "")</f>
        <v/>
      </c>
      <c r="AI132" s="80" t="str">
        <f>IF(AND($F132&lt;&gt;"", $F132&gt;=AI$5-4, $F132&lt;=AI$5, COUNTIF($M132:AH132,"u")=0), "u", "")</f>
        <v/>
      </c>
      <c r="AJ132" s="80" t="str">
        <f>IF(AND($F132&lt;&gt;"", $F132&gt;=AJ$5-4, $F132&lt;=AJ$5, COUNTIF($M132:AI132,"u")=0), "u", "")</f>
        <v/>
      </c>
      <c r="AK132" s="80" t="str">
        <f>IF(AND($F132&lt;&gt;"", $F132&gt;=AK$5-4, $F132&lt;=AK$5, COUNTIF($M132:AJ132,"u")=0), "u", "")</f>
        <v/>
      </c>
      <c r="AL132" s="80" t="str">
        <f>IF(AND($F132&lt;&gt;"", $F132&gt;=AL$5-4, $F132&lt;=AL$5, COUNTIF($M132:AK132,"u")=0), "u", "")</f>
        <v/>
      </c>
      <c r="AM132" s="80" t="str">
        <f>IF(AND($F132&lt;&gt;"", $F132&gt;=AM$5-4, $F132&lt;=AM$5, COUNTIF($M132:AL132,"u")=0), "u", "")</f>
        <v/>
      </c>
      <c r="AN132" s="80" t="str">
        <f>IF(AND($F132&lt;&gt;"", $F132&gt;=AN$5-4, $F132&lt;=AN$5, COUNTIF($M132:AM132,"u")=0), "u", "")</f>
        <v/>
      </c>
      <c r="AO132" s="80" t="str">
        <f>IF(AND($F132&lt;&gt;"", $F132&gt;=AO$5-4, $F132&lt;=AO$5, COUNTIF($M132:AN132,"u")=0), "u", "")</f>
        <v/>
      </c>
      <c r="AP132" s="80" t="str">
        <f>IF(AND($F132&lt;&gt;"", $F132&gt;=AP$5-4, $F132&lt;=AP$5, COUNTIF($M132:AO132,"u")=0), "u", "")</f>
        <v/>
      </c>
      <c r="AQ132" s="80" t="str">
        <f>IF(AND($F132&lt;&gt;"", $F132&gt;=AQ$5-4, $F132&lt;=AQ$5, COUNTIF($M132:AP132,"u")=0), "u", "")</f>
        <v/>
      </c>
      <c r="AR132" s="80" t="str">
        <f>IF(AND($F132&lt;&gt;"", $F132&gt;=AR$5-4, $F132&lt;=AR$5, COUNTIF($M132:AQ132,"u")=0), "u", "")</f>
        <v/>
      </c>
      <c r="AS132" s="80" t="str">
        <f>IF(AND($F132&lt;&gt;"", $F132&gt;=AS$5-4, $F132&lt;=AS$5, COUNTIF($M132:AR132,"u")=0), "u", "")</f>
        <v/>
      </c>
      <c r="AT132" s="80" t="str">
        <f>IF(AND($F132&lt;&gt;"", $F132&gt;=AT$5-4, $F132&lt;=AT$5, COUNTIF($M132:AS132,"u")=0), "u", "")</f>
        <v/>
      </c>
      <c r="AU132" s="80" t="str">
        <f>IF(AND($F132&lt;&gt;"", $F132&gt;=AU$5-4, $F132&lt;=AU$5, COUNTIF($M132:AT132,"u")=0), "u", "")</f>
        <v/>
      </c>
      <c r="AV132" s="80" t="str">
        <f>IF(AND($F132&lt;&gt;"", $F132&gt;=AV$5-4, $F132&lt;=AV$5, COUNTIF($M132:AU132,"u")=0), "u", "")</f>
        <v/>
      </c>
      <c r="AW132" s="80" t="str">
        <f>IF(AND($F132&lt;&gt;"", $F132&gt;=AW$5-4, $F132&lt;=AW$5, COUNTIF($M132:AV132,"u")=0), "u", "")</f>
        <v/>
      </c>
      <c r="AX132" s="80" t="str">
        <f>IF(AND($F132&lt;&gt;"", $F132&gt;=AX$5-4, $F132&lt;=AX$5, COUNTIF($M132:AW132,"u")=0), "u", "")</f>
        <v/>
      </c>
      <c r="AY132" s="80" t="str">
        <f>IF(AND($F132&lt;&gt;"", $F132&gt;=AY$5-4, $F132&lt;=AY$5, COUNTIF($M132:AX132,"u")=0), "u", "")</f>
        <v/>
      </c>
      <c r="AZ132" s="80" t="str">
        <f>IF(AND($F132&lt;&gt;"", $F132&gt;=AZ$5-4, $F132&lt;=AZ$5, COUNTIF($M132:AY132,"u")=0), "u", "")</f>
        <v/>
      </c>
      <c r="BA132" s="80" t="str">
        <f>IF(AND($F132&lt;&gt;"", $F132&gt;=BA$5-4, $F132&lt;=BA$5, COUNTIF($M132:AZ132,"u")=0), "u", "")</f>
        <v/>
      </c>
      <c r="BB132" s="80" t="str">
        <f>IF(AND($F132&lt;&gt;"", $F132&gt;=BB$5-4, $F132&lt;=BB$5, COUNTIF($M132:BA132,"u")=0), "u", "")</f>
        <v/>
      </c>
      <c r="BC132" s="80" t="str">
        <f>IF(AND($F132&lt;&gt;"", $F132&gt;=BC$5-4, $F132&lt;=BC$5, COUNTIF($M132:BB132,"u")=0), "u", "")</f>
        <v/>
      </c>
      <c r="BD132" s="80" t="str">
        <f>IF(AND($F132&lt;&gt;"", $F132&gt;=BD$5-4, $F132&lt;=BD$5, COUNTIF($M132:BC132,"u")=0), "u", "")</f>
        <v/>
      </c>
      <c r="BE132" s="80" t="str">
        <f>IF(AND($F132&lt;&gt;"", $F132&gt;=BE$5-4, $F132&lt;=BE$5, COUNTIF($M132:BD132,"u")=0), "u", "")</f>
        <v/>
      </c>
      <c r="BF132" s="80" t="str">
        <f>IF(AND($F132&lt;&gt;"", $F132&gt;=BF$5-4, $F132&lt;=BF$5, COUNTIF($M132:BE132,"u")=0), "u", "")</f>
        <v/>
      </c>
      <c r="BG132" s="80" t="str">
        <f>IF(AND($F132&lt;&gt;"", $F132&gt;=BG$5-4, $F132&lt;=BG$5, COUNTIF($M132:BF132,"u")=0), "u", "")</f>
        <v/>
      </c>
      <c r="BH132" s="80" t="str">
        <f>IF(AND($F132&lt;&gt;"", $F132&gt;=BH$5-4, $F132&lt;=BH$5, COUNTIF($M132:BG132,"u")=0), "u", "")</f>
        <v/>
      </c>
      <c r="BI132" s="80" t="str">
        <f>IF(AND($F132&lt;&gt;"", $F132&gt;=BI$5-4, $F132&lt;=BI$5, COUNTIF($M132:BH132,"u")=0), "u", "")</f>
        <v/>
      </c>
      <c r="BJ132" s="80" t="str">
        <f>IF(AND($F132&lt;&gt;"", $F132&gt;=BJ$5-4, $F132&lt;=BJ$5, COUNTIF($M132:BI132,"u")=0), "u", "")</f>
        <v/>
      </c>
      <c r="BK132" s="80" t="str">
        <f>IF(AND($F132&lt;&gt;"", $F132&gt;=BK$5-4, $F132&lt;=BK$5, COUNTIF($M132:BJ132,"u")=0), "u", "")</f>
        <v/>
      </c>
      <c r="BL132" s="80" t="str">
        <f>IF(AND($F132&lt;&gt;"", $F132&gt;=BL$5-4, $F132&lt;=BL$5, COUNTIF($M132:BK132,"u")=0), "u", "")</f>
        <v/>
      </c>
      <c r="BM132" s="80" t="str">
        <f>IF(AND($F132&lt;&gt;"", $F132&gt;=BM$5-4, $F132&lt;=BM$5, COUNTIF($M132:BL132,"u")=0), "u", "")</f>
        <v/>
      </c>
      <c r="BN132" s="80" t="str">
        <f>IF(AND($F132&lt;&gt;"", $F132&gt;=BN$5-4, $F132&lt;=BN$5, COUNTIF($M132:BM132,"u")=0), "u", "")</f>
        <v/>
      </c>
      <c r="BO132" s="80" t="str">
        <f>IF(AND($F132&lt;&gt;"", $F132&gt;=BO$5-4, $F132&lt;=BO$5, COUNTIF($M132:BN132,"u")=0), "u", "")</f>
        <v/>
      </c>
      <c r="BP132" s="80" t="str">
        <f>IF(AND($F132&lt;&gt;"", $F132&gt;=BP$5-4, $F132&lt;=BP$5, COUNTIF($M132:BO132,"u")=0), "u", "")</f>
        <v/>
      </c>
      <c r="BQ132" s="80" t="str">
        <f>IF(AND($F132&lt;&gt;"", $F132&gt;=BQ$5-4, $F132&lt;=BQ$5, COUNTIF($M132:BP132,"u")=0), "u", "")</f>
        <v/>
      </c>
      <c r="BR132" s="80" t="str">
        <f>IF(AND($F132&lt;&gt;"", $F132&gt;=BR$5-4, $F132&lt;=BR$5, COUNTIF($M132:BQ132,"u")=0), "u", "")</f>
        <v/>
      </c>
      <c r="BS132" s="80" t="str">
        <f>IF(AND($F132&lt;&gt;"", $F132&gt;=BS$5-4, $F132&lt;=BS$5, COUNTIF($M132:BR132,"u")=0), "u", "")</f>
        <v/>
      </c>
      <c r="BT132" s="80" t="str">
        <f>IF(AND($F132&lt;&gt;"", $F132&gt;=BT$5-4, $F132&lt;=BT$5, COUNTIF($M132:BS132,"u")=0), "u", "")</f>
        <v/>
      </c>
      <c r="BU132" s="80" t="str">
        <f>IF(AND($F132&lt;&gt;"", $F132&gt;=BU$5-4, $F132&lt;=BU$5, COUNTIF($M132:BT132,"u")=0), "u", "")</f>
        <v/>
      </c>
      <c r="BV132" s="80" t="str">
        <f>IF(AND($F132&lt;&gt;"", $F132&gt;=BV$5-4, $F132&lt;=BV$5, COUNTIF($M132:BU132,"u")=0), "u", "")</f>
        <v/>
      </c>
      <c r="BW132" s="80" t="str">
        <f>IF(AND($F132&lt;&gt;"", $F132&gt;=BW$5-4, $F132&lt;=BW$5, COUNTIF($M132:BV132,"u")=0), "u", "")</f>
        <v/>
      </c>
      <c r="BX132" s="80" t="str">
        <f>IF(AND($F132&lt;&gt;"", $F132&gt;=BX$5-4, $F132&lt;=BX$5, COUNTIF($M132:BW132,"u")=0), "u", "")</f>
        <v/>
      </c>
      <c r="BY132" s="80" t="str">
        <f>IF(AND($F132&lt;&gt;"", $F132&gt;=BY$5-4, $F132&lt;=BY$5, COUNTIF($M132:BX132,"u")=0), "u", "")</f>
        <v/>
      </c>
      <c r="BZ132" s="80" t="str">
        <f>IF(AND($F132&lt;&gt;"", $F132&gt;=BZ$5-4, $F132&lt;=BZ$5, COUNTIF($M132:BY132,"u")=0), "u", "")</f>
        <v/>
      </c>
      <c r="CA132" s="80" t="str">
        <f>IF(AND($F132&lt;&gt;"", $F132&gt;=CA$5-4, $F132&lt;=CA$5, COUNTIF($M132:BZ132,"u")=0), "u", "")</f>
        <v/>
      </c>
      <c r="CB132" s="80" t="str">
        <f>IF(AND($F132&lt;&gt;"", $F132&gt;=CB$5-4, $F132&lt;=CB$5, COUNTIF($M132:CA132,"u")=0), "u", "")</f>
        <v/>
      </c>
      <c r="CC132" s="80" t="str">
        <f>IF(AND($F132&lt;&gt;"", $F132&gt;=CC$5-4, $F132&lt;=CC$5, COUNTIF($M132:CB132,"u")=0), "u", "")</f>
        <v/>
      </c>
      <c r="CD132" s="80" t="str">
        <f>IF(AND($F132&lt;&gt;"", $F132&gt;=CD$5-4, $F132&lt;=CD$5, COUNTIF($M132:CC132,"u")=0), "u", "")</f>
        <v/>
      </c>
      <c r="CE132" s="80" t="str">
        <f>IF(AND($F132&lt;&gt;"", $F132&gt;=CE$5-4, $F132&lt;=CE$5, COUNTIF($M132:CD132,"u")=0), "u", "")</f>
        <v/>
      </c>
      <c r="CF132" s="80" t="str">
        <f>IF(AND($F132&lt;&gt;"", $F132&gt;=CF$5-4, $F132&lt;=CF$5, COUNTIF($M132:CE132,"u")=0), "u", "")</f>
        <v/>
      </c>
      <c r="CG132" s="80" t="str">
        <f>IF(AND($F132&lt;&gt;"", $F132&gt;=CG$5-4, $F132&lt;=CG$5, COUNTIF($M132:CF132,"u")=0), "u", "")</f>
        <v/>
      </c>
      <c r="CH132" s="80" t="str">
        <f>IF(AND($F132&lt;&gt;"", $F132&gt;=CH$5-4, $F132&lt;=CH$5, COUNTIF($M132:CG132,"u")=0), "u", "")</f>
        <v/>
      </c>
      <c r="CI132" s="80" t="str">
        <f>IF(AND($F132&lt;&gt;"", $F132&gt;=CI$5-4, $F132&lt;=CI$5, COUNTIF($M132:CH132,"u")=0), "u", "")</f>
        <v/>
      </c>
      <c r="CJ132" s="80" t="str">
        <f>IF(AND($F132&lt;&gt;"", $F132&gt;=CJ$5-4, $F132&lt;=CJ$5, COUNTIF($M132:CI132,"u")=0), "u", "")</f>
        <v/>
      </c>
      <c r="CK132" s="80" t="str">
        <f>IF(AND($F132&lt;&gt;"", $F132&gt;=CK$5-4, $F132&lt;=CK$5, COUNTIF($M132:CJ132,"u")=0), "u", "")</f>
        <v/>
      </c>
      <c r="CL132" s="80" t="str">
        <f>IF(AND($F132&lt;&gt;"", $F132&gt;=CL$5-4, $F132&lt;=CL$5, COUNTIF($M132:CK132,"u")=0), "u", "")</f>
        <v/>
      </c>
      <c r="CM132" s="80" t="str">
        <f>IF(AND($F132&lt;&gt;"", $F132&gt;=CM$5-4, $F132&lt;=CM$5, COUNTIF($M132:CL132,"u")=0), "u", "")</f>
        <v/>
      </c>
      <c r="CN132" s="80" t="str">
        <f>IF(AND($F132&lt;&gt;"", $F132&gt;=CN$5-4, $F132&lt;=CN$5, COUNTIF($M132:CM132,"u")=0), "u", "")</f>
        <v/>
      </c>
      <c r="CO132" s="80" t="str">
        <f>IF(AND($F132&lt;&gt;"", $F132&gt;=CO$5-4, $F132&lt;=CO$5, COUNTIF($M132:CN132,"u")=0), "u", "")</f>
        <v/>
      </c>
      <c r="CP132" s="80" t="str">
        <f>IF(AND($F132&lt;&gt;"", $F132&gt;=CP$5-4, $F132&lt;=CP$5, COUNTIF($M132:CO132,"u")=0), "u", "")</f>
        <v/>
      </c>
      <c r="CQ132" s="80" t="str">
        <f>IF(AND($F132&lt;&gt;"", $F132&gt;=CQ$5-4, $F132&lt;=CQ$5, COUNTIF($M132:CP132,"u")=0), "u", "")</f>
        <v/>
      </c>
      <c r="CR132" s="80" t="str">
        <f>IF(AND($F132&lt;&gt;"", $F132&gt;=CR$5-4, $F132&lt;=CR$5, COUNTIF($M132:CQ132,"u")=0), "u", "")</f>
        <v/>
      </c>
      <c r="CS132" s="80" t="str">
        <f>IF(AND($F132&lt;&gt;"", $F132&gt;=CS$5-4, $F132&lt;=CS$5, COUNTIF($M132:CR132,"u")=0), "u", "")</f>
        <v/>
      </c>
      <c r="CT132" s="80" t="str">
        <f>IF(AND($F132&lt;&gt;"", $F132&gt;=CT$5-4, $F132&lt;=CT$5, COUNTIF($M132:CS132,"u")=0), "u", "")</f>
        <v/>
      </c>
      <c r="CU132" s="80" t="str">
        <f>IF(AND($F132&lt;&gt;"", $F132&gt;=CU$5-4, $F132&lt;=CU$5, COUNTIF($M132:CT132,"u")=0), "u", "")</f>
        <v/>
      </c>
      <c r="CV132" s="80" t="str">
        <f>IF(AND($F132&lt;&gt;"", $F132&gt;=CV$5-4, $F132&lt;=CV$5, COUNTIF($M132:CU132,"u")=0), "u", "")</f>
        <v/>
      </c>
      <c r="CW132" s="80" t="str">
        <f>IF(AND($F132&lt;&gt;"", $F132&gt;=CW$5-4, $F132&lt;=CW$5, COUNTIF($M132:CV132,"u")=0), "u", "")</f>
        <v/>
      </c>
      <c r="CX132" s="80" t="str">
        <f>IF(AND($F132&lt;&gt;"", $F132&gt;=CX$5-4, $F132&lt;=CX$5, COUNTIF($M132:CW132,"u")=0), "u", "")</f>
        <v/>
      </c>
      <c r="CY132" s="80" t="str">
        <f>IF(AND($F132&lt;&gt;"", $F132&gt;=CY$5-4, $F132&lt;=CY$5, COUNTIF($M132:CX132,"u")=0), "u", "")</f>
        <v/>
      </c>
      <c r="CZ132" s="80" t="str">
        <f>IF(AND($F132&lt;&gt;"", $F132&gt;=CZ$5-4, $F132&lt;=CZ$5, COUNTIF($M132:CY132,"u")=0), "u", "")</f>
        <v/>
      </c>
      <c r="DA132" s="80" t="str">
        <f>IF(AND($F132&lt;&gt;"", $F132&gt;=DA$5-4, $F132&lt;=DA$5, COUNTIF($M132:CZ132,"u")=0), "u", "")</f>
        <v/>
      </c>
      <c r="DB132" s="80" t="str">
        <f>IF(AND($F132&lt;&gt;"", $F132&gt;=DB$5-4, $F132&lt;=DB$5, COUNTIF($M132:DA132,"u")=0), "u", "")</f>
        <v/>
      </c>
      <c r="DC132" s="80" t="str">
        <f>IF(AND($F132&lt;&gt;"", $F132&gt;=DC$5-4, $F132&lt;=DC$5, COUNTIF($M132:DB132,"u")=0), "u", "")</f>
        <v/>
      </c>
      <c r="DD132" s="80" t="str">
        <f>IF(AND($F132&lt;&gt;"", $F132&gt;=DD$5-4, $F132&lt;=DD$5, COUNTIF($M132:DC132,"u")=0), "u", "")</f>
        <v/>
      </c>
      <c r="DE132" s="80" t="str">
        <f>IF(AND($F132&lt;&gt;"", $F132&gt;=DE$5-4, $F132&lt;=DE$5, COUNTIF($M132:DD132,"u")=0), "u", "")</f>
        <v/>
      </c>
      <c r="DF132" s="80" t="str">
        <f>IF(AND($F132&lt;&gt;"", $F132&gt;=DF$5-4, $F132&lt;=DF$5, COUNTIF($M132:DE132,"u")=0), "u", "")</f>
        <v/>
      </c>
      <c r="DG132" s="80" t="str">
        <f>IF(AND($F132&lt;&gt;"", $F132&gt;=DG$5-4, $F132&lt;=DG$5, COUNTIF($M132:DF132,"u")=0), "u", "")</f>
        <v/>
      </c>
      <c r="DH132" s="80" t="str">
        <f>IF(AND($F132&lt;&gt;"", $F132&gt;=DH$5-4, $F132&lt;=DH$5, COUNTIF($M132:DG132,"u")=0), "u", "")</f>
        <v/>
      </c>
      <c r="DI132" s="80" t="str">
        <f>IF(AND($F132&lt;&gt;"", $F132&gt;=DI$5-4, $F132&lt;=DI$5, COUNTIF($M132:DH132,"u")=0), "u", "")</f>
        <v/>
      </c>
      <c r="DJ132" s="80" t="str">
        <f>IF(AND($F132&lt;&gt;"", $F132&gt;=DJ$5-4, $F132&lt;=DJ$5, COUNTIF($M132:DI132,"u")=0), "u", "")</f>
        <v/>
      </c>
      <c r="DK132" s="80" t="str">
        <f>IF(AND($F132&lt;&gt;"", $F132&gt;=DK$5-4, $F132&lt;=DK$5, COUNTIF($M132:DJ132,"u")=0), "u", "")</f>
        <v/>
      </c>
      <c r="DL132" s="80" t="str">
        <f>IF(AND($F132&lt;&gt;"", $F132&gt;=DL$5-4, $F132&lt;=DL$5, COUNTIF($M132:DK132,"u")=0), "u", "")</f>
        <v/>
      </c>
    </row>
    <row r="133" spans="1:116" ht="25.05" customHeight="1" x14ac:dyDescent="0.3">
      <c r="A133" s="39"/>
      <c r="B133" s="75">
        <v>128</v>
      </c>
      <c r="C133" s="97"/>
      <c r="D133" s="92"/>
      <c r="E133" s="53"/>
      <c r="F133" s="53"/>
      <c r="G133" s="83" t="str">
        <f t="shared" si="50"/>
        <v/>
      </c>
      <c r="H133" s="83" t="str">
        <f t="shared" si="50"/>
        <v/>
      </c>
      <c r="I133" s="77" t="str">
        <f t="shared" si="48"/>
        <v/>
      </c>
      <c r="J133" s="78"/>
      <c r="K133" s="86"/>
      <c r="L133" s="56"/>
      <c r="M133" s="80" t="str">
        <f t="shared" si="49"/>
        <v/>
      </c>
      <c r="N133" s="80" t="str">
        <f>IF(AND($F133&lt;&gt;"", $F133&gt;=N$5-4, $F133&lt;=N$5, COUNTIF($M133:M133,"u")=0), "u", "")</f>
        <v/>
      </c>
      <c r="O133" s="80" t="str">
        <f>IF(AND($F133&lt;&gt;"", $F133&gt;=O$5-4, $F133&lt;=O$5, COUNTIF($M133:N133,"u")=0), "u", "")</f>
        <v/>
      </c>
      <c r="P133" s="80" t="str">
        <f>IF(AND($F133&lt;&gt;"", $F133&gt;=P$5-4, $F133&lt;=P$5, COUNTIF($M133:O133,"u")=0), "u", "")</f>
        <v/>
      </c>
      <c r="Q133" s="80" t="str">
        <f>IF(AND($F133&lt;&gt;"", $F133&gt;=Q$5-4, $F133&lt;=Q$5, COUNTIF($M133:P133,"u")=0), "u", "")</f>
        <v/>
      </c>
      <c r="R133" s="80" t="str">
        <f>IF(AND($F133&lt;&gt;"", $F133&gt;=R$5-4, $F133&lt;=R$5, COUNTIF($M133:Q133,"u")=0), "u", "")</f>
        <v/>
      </c>
      <c r="S133" s="80" t="str">
        <f>IF(AND($F133&lt;&gt;"", $F133&gt;=S$5-4, $F133&lt;=S$5, COUNTIF($M133:R133,"u")=0), "u", "")</f>
        <v/>
      </c>
      <c r="T133" s="80" t="str">
        <f>IF(AND($F133&lt;&gt;"", $F133&gt;=T$5-4, $F133&lt;=T$5, COUNTIF($M133:S133,"u")=0), "u", "")</f>
        <v/>
      </c>
      <c r="U133" s="80" t="str">
        <f>IF(AND($F133&lt;&gt;"", $F133&gt;=U$5-4, $F133&lt;=U$5, COUNTIF($M133:T133,"u")=0), "u", "")</f>
        <v/>
      </c>
      <c r="V133" s="80" t="str">
        <f>IF(AND($F133&lt;&gt;"", $F133&gt;=V$5-4, $F133&lt;=V$5, COUNTIF($M133:U133,"u")=0), "u", "")</f>
        <v/>
      </c>
      <c r="W133" s="80" t="str">
        <f>IF(AND($F133&lt;&gt;"", $F133&gt;=W$5-4, $F133&lt;=W$5, COUNTIF($M133:V133,"u")=0), "u", "")</f>
        <v/>
      </c>
      <c r="X133" s="80" t="str">
        <f>IF(AND($F133&lt;&gt;"", $F133&gt;=X$5-4, $F133&lt;=X$5, COUNTIF($M133:W133,"u")=0), "u", "")</f>
        <v/>
      </c>
      <c r="Y133" s="80" t="str">
        <f>IF(AND($F133&lt;&gt;"", $F133&gt;=Y$5-4, $F133&lt;=Y$5, COUNTIF($M133:X133,"u")=0), "u", "")</f>
        <v/>
      </c>
      <c r="Z133" s="80" t="str">
        <f>IF(AND($F133&lt;&gt;"", $F133&gt;=Z$5-4, $F133&lt;=Z$5, COUNTIF($M133:Y133,"u")=0), "u", "")</f>
        <v/>
      </c>
      <c r="AA133" s="80" t="str">
        <f>IF(AND($F133&lt;&gt;"", $F133&gt;=AA$5-4, $F133&lt;=AA$5, COUNTIF($M133:Z133,"u")=0), "u", "")</f>
        <v/>
      </c>
      <c r="AB133" s="80" t="str">
        <f>IF(AND($F133&lt;&gt;"", $F133&gt;=AB$5-4, $F133&lt;=AB$5, COUNTIF($M133:AA133,"u")=0), "u", "")</f>
        <v/>
      </c>
      <c r="AC133" s="80" t="str">
        <f>IF(AND($F133&lt;&gt;"", $F133&gt;=AC$5-4, $F133&lt;=AC$5, COUNTIF($M133:AB133,"u")=0), "u", "")</f>
        <v/>
      </c>
      <c r="AD133" s="80" t="str">
        <f>IF(AND($F133&lt;&gt;"", $F133&gt;=AD$5-4, $F133&lt;=AD$5, COUNTIF($M133:AC133,"u")=0), "u", "")</f>
        <v/>
      </c>
      <c r="AE133" s="80" t="str">
        <f>IF(AND($F133&lt;&gt;"", $F133&gt;=AE$5-4, $F133&lt;=AE$5, COUNTIF($M133:AD133,"u")=0), "u", "")</f>
        <v/>
      </c>
      <c r="AF133" s="80" t="str">
        <f>IF(AND($F133&lt;&gt;"", $F133&gt;=AF$5-4, $F133&lt;=AF$5, COUNTIF($M133:AE133,"u")=0), "u", "")</f>
        <v/>
      </c>
      <c r="AG133" s="80" t="str">
        <f>IF(AND($F133&lt;&gt;"", $F133&gt;=AG$5-4, $F133&lt;=AG$5, COUNTIF($M133:AF133,"u")=0), "u", "")</f>
        <v/>
      </c>
      <c r="AH133" s="80" t="str">
        <f>IF(AND($F133&lt;&gt;"", $F133&gt;=AH$5-4, $F133&lt;=AH$5, COUNTIF($M133:AG133,"u")=0), "u", "")</f>
        <v/>
      </c>
      <c r="AI133" s="80" t="str">
        <f>IF(AND($F133&lt;&gt;"", $F133&gt;=AI$5-4, $F133&lt;=AI$5, COUNTIF($M133:AH133,"u")=0), "u", "")</f>
        <v/>
      </c>
      <c r="AJ133" s="80" t="str">
        <f>IF(AND($F133&lt;&gt;"", $F133&gt;=AJ$5-4, $F133&lt;=AJ$5, COUNTIF($M133:AI133,"u")=0), "u", "")</f>
        <v/>
      </c>
      <c r="AK133" s="80" t="str">
        <f>IF(AND($F133&lt;&gt;"", $F133&gt;=AK$5-4, $F133&lt;=AK$5, COUNTIF($M133:AJ133,"u")=0), "u", "")</f>
        <v/>
      </c>
      <c r="AL133" s="80" t="str">
        <f>IF(AND($F133&lt;&gt;"", $F133&gt;=AL$5-4, $F133&lt;=AL$5, COUNTIF($M133:AK133,"u")=0), "u", "")</f>
        <v/>
      </c>
      <c r="AM133" s="80" t="str">
        <f>IF(AND($F133&lt;&gt;"", $F133&gt;=AM$5-4, $F133&lt;=AM$5, COUNTIF($M133:AL133,"u")=0), "u", "")</f>
        <v/>
      </c>
      <c r="AN133" s="80" t="str">
        <f>IF(AND($F133&lt;&gt;"", $F133&gt;=AN$5-4, $F133&lt;=AN$5, COUNTIF($M133:AM133,"u")=0), "u", "")</f>
        <v/>
      </c>
      <c r="AO133" s="80" t="str">
        <f>IF(AND($F133&lt;&gt;"", $F133&gt;=AO$5-4, $F133&lt;=AO$5, COUNTIF($M133:AN133,"u")=0), "u", "")</f>
        <v/>
      </c>
      <c r="AP133" s="80" t="str">
        <f>IF(AND($F133&lt;&gt;"", $F133&gt;=AP$5-4, $F133&lt;=AP$5, COUNTIF($M133:AO133,"u")=0), "u", "")</f>
        <v/>
      </c>
      <c r="AQ133" s="80" t="str">
        <f>IF(AND($F133&lt;&gt;"", $F133&gt;=AQ$5-4, $F133&lt;=AQ$5, COUNTIF($M133:AP133,"u")=0), "u", "")</f>
        <v/>
      </c>
      <c r="AR133" s="80" t="str">
        <f>IF(AND($F133&lt;&gt;"", $F133&gt;=AR$5-4, $F133&lt;=AR$5, COUNTIF($M133:AQ133,"u")=0), "u", "")</f>
        <v/>
      </c>
      <c r="AS133" s="80" t="str">
        <f>IF(AND($F133&lt;&gt;"", $F133&gt;=AS$5-4, $F133&lt;=AS$5, COUNTIF($M133:AR133,"u")=0), "u", "")</f>
        <v/>
      </c>
      <c r="AT133" s="80" t="str">
        <f>IF(AND($F133&lt;&gt;"", $F133&gt;=AT$5-4, $F133&lt;=AT$5, COUNTIF($M133:AS133,"u")=0), "u", "")</f>
        <v/>
      </c>
      <c r="AU133" s="80" t="str">
        <f>IF(AND($F133&lt;&gt;"", $F133&gt;=AU$5-4, $F133&lt;=AU$5, COUNTIF($M133:AT133,"u")=0), "u", "")</f>
        <v/>
      </c>
      <c r="AV133" s="80" t="str">
        <f>IF(AND($F133&lt;&gt;"", $F133&gt;=AV$5-4, $F133&lt;=AV$5, COUNTIF($M133:AU133,"u")=0), "u", "")</f>
        <v/>
      </c>
      <c r="AW133" s="80" t="str">
        <f>IF(AND($F133&lt;&gt;"", $F133&gt;=AW$5-4, $F133&lt;=AW$5, COUNTIF($M133:AV133,"u")=0), "u", "")</f>
        <v/>
      </c>
      <c r="AX133" s="80" t="str">
        <f>IF(AND($F133&lt;&gt;"", $F133&gt;=AX$5-4, $F133&lt;=AX$5, COUNTIF($M133:AW133,"u")=0), "u", "")</f>
        <v/>
      </c>
      <c r="AY133" s="80" t="str">
        <f>IF(AND($F133&lt;&gt;"", $F133&gt;=AY$5-4, $F133&lt;=AY$5, COUNTIF($M133:AX133,"u")=0), "u", "")</f>
        <v/>
      </c>
      <c r="AZ133" s="80" t="str">
        <f>IF(AND($F133&lt;&gt;"", $F133&gt;=AZ$5-4, $F133&lt;=AZ$5, COUNTIF($M133:AY133,"u")=0), "u", "")</f>
        <v/>
      </c>
      <c r="BA133" s="80" t="str">
        <f>IF(AND($F133&lt;&gt;"", $F133&gt;=BA$5-4, $F133&lt;=BA$5, COUNTIF($M133:AZ133,"u")=0), "u", "")</f>
        <v/>
      </c>
      <c r="BB133" s="80" t="str">
        <f>IF(AND($F133&lt;&gt;"", $F133&gt;=BB$5-4, $F133&lt;=BB$5, COUNTIF($M133:BA133,"u")=0), "u", "")</f>
        <v/>
      </c>
      <c r="BC133" s="80" t="str">
        <f>IF(AND($F133&lt;&gt;"", $F133&gt;=BC$5-4, $F133&lt;=BC$5, COUNTIF($M133:BB133,"u")=0), "u", "")</f>
        <v/>
      </c>
      <c r="BD133" s="80" t="str">
        <f>IF(AND($F133&lt;&gt;"", $F133&gt;=BD$5-4, $F133&lt;=BD$5, COUNTIF($M133:BC133,"u")=0), "u", "")</f>
        <v/>
      </c>
      <c r="BE133" s="80" t="str">
        <f>IF(AND($F133&lt;&gt;"", $F133&gt;=BE$5-4, $F133&lt;=BE$5, COUNTIF($M133:BD133,"u")=0), "u", "")</f>
        <v/>
      </c>
      <c r="BF133" s="80" t="str">
        <f>IF(AND($F133&lt;&gt;"", $F133&gt;=BF$5-4, $F133&lt;=BF$5, COUNTIF($M133:BE133,"u")=0), "u", "")</f>
        <v/>
      </c>
      <c r="BG133" s="80" t="str">
        <f>IF(AND($F133&lt;&gt;"", $F133&gt;=BG$5-4, $F133&lt;=BG$5, COUNTIF($M133:BF133,"u")=0), "u", "")</f>
        <v/>
      </c>
      <c r="BH133" s="80" t="str">
        <f>IF(AND($F133&lt;&gt;"", $F133&gt;=BH$5-4, $F133&lt;=BH$5, COUNTIF($M133:BG133,"u")=0), "u", "")</f>
        <v/>
      </c>
      <c r="BI133" s="80" t="str">
        <f>IF(AND($F133&lt;&gt;"", $F133&gt;=BI$5-4, $F133&lt;=BI$5, COUNTIF($M133:BH133,"u")=0), "u", "")</f>
        <v/>
      </c>
      <c r="BJ133" s="80" t="str">
        <f>IF(AND($F133&lt;&gt;"", $F133&gt;=BJ$5-4, $F133&lt;=BJ$5, COUNTIF($M133:BI133,"u")=0), "u", "")</f>
        <v/>
      </c>
      <c r="BK133" s="80" t="str">
        <f>IF(AND($F133&lt;&gt;"", $F133&gt;=BK$5-4, $F133&lt;=BK$5, COUNTIF($M133:BJ133,"u")=0), "u", "")</f>
        <v/>
      </c>
      <c r="BL133" s="80" t="str">
        <f>IF(AND($F133&lt;&gt;"", $F133&gt;=BL$5-4, $F133&lt;=BL$5, COUNTIF($M133:BK133,"u")=0), "u", "")</f>
        <v/>
      </c>
      <c r="BM133" s="80" t="str">
        <f>IF(AND($F133&lt;&gt;"", $F133&gt;=BM$5-4, $F133&lt;=BM$5, COUNTIF($M133:BL133,"u")=0), "u", "")</f>
        <v/>
      </c>
      <c r="BN133" s="80" t="str">
        <f>IF(AND($F133&lt;&gt;"", $F133&gt;=BN$5-4, $F133&lt;=BN$5, COUNTIF($M133:BM133,"u")=0), "u", "")</f>
        <v/>
      </c>
      <c r="BO133" s="80" t="str">
        <f>IF(AND($F133&lt;&gt;"", $F133&gt;=BO$5-4, $F133&lt;=BO$5, COUNTIF($M133:BN133,"u")=0), "u", "")</f>
        <v/>
      </c>
      <c r="BP133" s="80" t="str">
        <f>IF(AND($F133&lt;&gt;"", $F133&gt;=BP$5-4, $F133&lt;=BP$5, COUNTIF($M133:BO133,"u")=0), "u", "")</f>
        <v/>
      </c>
      <c r="BQ133" s="80" t="str">
        <f>IF(AND($F133&lt;&gt;"", $F133&gt;=BQ$5-4, $F133&lt;=BQ$5, COUNTIF($M133:BP133,"u")=0), "u", "")</f>
        <v/>
      </c>
      <c r="BR133" s="80" t="str">
        <f>IF(AND($F133&lt;&gt;"", $F133&gt;=BR$5-4, $F133&lt;=BR$5, COUNTIF($M133:BQ133,"u")=0), "u", "")</f>
        <v/>
      </c>
      <c r="BS133" s="80" t="str">
        <f>IF(AND($F133&lt;&gt;"", $F133&gt;=BS$5-4, $F133&lt;=BS$5, COUNTIF($M133:BR133,"u")=0), "u", "")</f>
        <v/>
      </c>
      <c r="BT133" s="80" t="str">
        <f>IF(AND($F133&lt;&gt;"", $F133&gt;=BT$5-4, $F133&lt;=BT$5, COUNTIF($M133:BS133,"u")=0), "u", "")</f>
        <v/>
      </c>
      <c r="BU133" s="80" t="str">
        <f>IF(AND($F133&lt;&gt;"", $F133&gt;=BU$5-4, $F133&lt;=BU$5, COUNTIF($M133:BT133,"u")=0), "u", "")</f>
        <v/>
      </c>
      <c r="BV133" s="80" t="str">
        <f>IF(AND($F133&lt;&gt;"", $F133&gt;=BV$5-4, $F133&lt;=BV$5, COUNTIF($M133:BU133,"u")=0), "u", "")</f>
        <v/>
      </c>
      <c r="BW133" s="80" t="str">
        <f>IF(AND($F133&lt;&gt;"", $F133&gt;=BW$5-4, $F133&lt;=BW$5, COUNTIF($M133:BV133,"u")=0), "u", "")</f>
        <v/>
      </c>
      <c r="BX133" s="80" t="str">
        <f>IF(AND($F133&lt;&gt;"", $F133&gt;=BX$5-4, $F133&lt;=BX$5, COUNTIF($M133:BW133,"u")=0), "u", "")</f>
        <v/>
      </c>
      <c r="BY133" s="80" t="str">
        <f>IF(AND($F133&lt;&gt;"", $F133&gt;=BY$5-4, $F133&lt;=BY$5, COUNTIF($M133:BX133,"u")=0), "u", "")</f>
        <v/>
      </c>
      <c r="BZ133" s="80" t="str">
        <f>IF(AND($F133&lt;&gt;"", $F133&gt;=BZ$5-4, $F133&lt;=BZ$5, COUNTIF($M133:BY133,"u")=0), "u", "")</f>
        <v/>
      </c>
      <c r="CA133" s="80" t="str">
        <f>IF(AND($F133&lt;&gt;"", $F133&gt;=CA$5-4, $F133&lt;=CA$5, COUNTIF($M133:BZ133,"u")=0), "u", "")</f>
        <v/>
      </c>
      <c r="CB133" s="80" t="str">
        <f>IF(AND($F133&lt;&gt;"", $F133&gt;=CB$5-4, $F133&lt;=CB$5, COUNTIF($M133:CA133,"u")=0), "u", "")</f>
        <v/>
      </c>
      <c r="CC133" s="80" t="str">
        <f>IF(AND($F133&lt;&gt;"", $F133&gt;=CC$5-4, $F133&lt;=CC$5, COUNTIF($M133:CB133,"u")=0), "u", "")</f>
        <v/>
      </c>
      <c r="CD133" s="80" t="str">
        <f>IF(AND($F133&lt;&gt;"", $F133&gt;=CD$5-4, $F133&lt;=CD$5, COUNTIF($M133:CC133,"u")=0), "u", "")</f>
        <v/>
      </c>
      <c r="CE133" s="80" t="str">
        <f>IF(AND($F133&lt;&gt;"", $F133&gt;=CE$5-4, $F133&lt;=CE$5, COUNTIF($M133:CD133,"u")=0), "u", "")</f>
        <v/>
      </c>
      <c r="CF133" s="80" t="str">
        <f>IF(AND($F133&lt;&gt;"", $F133&gt;=CF$5-4, $F133&lt;=CF$5, COUNTIF($M133:CE133,"u")=0), "u", "")</f>
        <v/>
      </c>
      <c r="CG133" s="80" t="str">
        <f>IF(AND($F133&lt;&gt;"", $F133&gt;=CG$5-4, $F133&lt;=CG$5, COUNTIF($M133:CF133,"u")=0), "u", "")</f>
        <v/>
      </c>
      <c r="CH133" s="80" t="str">
        <f>IF(AND($F133&lt;&gt;"", $F133&gt;=CH$5-4, $F133&lt;=CH$5, COUNTIF($M133:CG133,"u")=0), "u", "")</f>
        <v/>
      </c>
      <c r="CI133" s="80" t="str">
        <f>IF(AND($F133&lt;&gt;"", $F133&gt;=CI$5-4, $F133&lt;=CI$5, COUNTIF($M133:CH133,"u")=0), "u", "")</f>
        <v/>
      </c>
      <c r="CJ133" s="80" t="str">
        <f>IF(AND($F133&lt;&gt;"", $F133&gt;=CJ$5-4, $F133&lt;=CJ$5, COUNTIF($M133:CI133,"u")=0), "u", "")</f>
        <v/>
      </c>
      <c r="CK133" s="80" t="str">
        <f>IF(AND($F133&lt;&gt;"", $F133&gt;=CK$5-4, $F133&lt;=CK$5, COUNTIF($M133:CJ133,"u")=0), "u", "")</f>
        <v/>
      </c>
      <c r="CL133" s="80" t="str">
        <f>IF(AND($F133&lt;&gt;"", $F133&gt;=CL$5-4, $F133&lt;=CL$5, COUNTIF($M133:CK133,"u")=0), "u", "")</f>
        <v/>
      </c>
      <c r="CM133" s="80" t="str">
        <f>IF(AND($F133&lt;&gt;"", $F133&gt;=CM$5-4, $F133&lt;=CM$5, COUNTIF($M133:CL133,"u")=0), "u", "")</f>
        <v/>
      </c>
      <c r="CN133" s="80" t="str">
        <f>IF(AND($F133&lt;&gt;"", $F133&gt;=CN$5-4, $F133&lt;=CN$5, COUNTIF($M133:CM133,"u")=0), "u", "")</f>
        <v/>
      </c>
      <c r="CO133" s="80" t="str">
        <f>IF(AND($F133&lt;&gt;"", $F133&gt;=CO$5-4, $F133&lt;=CO$5, COUNTIF($M133:CN133,"u")=0), "u", "")</f>
        <v/>
      </c>
      <c r="CP133" s="80" t="str">
        <f>IF(AND($F133&lt;&gt;"", $F133&gt;=CP$5-4, $F133&lt;=CP$5, COUNTIF($M133:CO133,"u")=0), "u", "")</f>
        <v/>
      </c>
      <c r="CQ133" s="80" t="str">
        <f>IF(AND($F133&lt;&gt;"", $F133&gt;=CQ$5-4, $F133&lt;=CQ$5, COUNTIF($M133:CP133,"u")=0), "u", "")</f>
        <v/>
      </c>
      <c r="CR133" s="80" t="str">
        <f>IF(AND($F133&lt;&gt;"", $F133&gt;=CR$5-4, $F133&lt;=CR$5, COUNTIF($M133:CQ133,"u")=0), "u", "")</f>
        <v/>
      </c>
      <c r="CS133" s="80" t="str">
        <f>IF(AND($F133&lt;&gt;"", $F133&gt;=CS$5-4, $F133&lt;=CS$5, COUNTIF($M133:CR133,"u")=0), "u", "")</f>
        <v/>
      </c>
      <c r="CT133" s="80" t="str">
        <f>IF(AND($F133&lt;&gt;"", $F133&gt;=CT$5-4, $F133&lt;=CT$5, COUNTIF($M133:CS133,"u")=0), "u", "")</f>
        <v/>
      </c>
      <c r="CU133" s="80" t="str">
        <f>IF(AND($F133&lt;&gt;"", $F133&gt;=CU$5-4, $F133&lt;=CU$5, COUNTIF($M133:CT133,"u")=0), "u", "")</f>
        <v/>
      </c>
      <c r="CV133" s="80" t="str">
        <f>IF(AND($F133&lt;&gt;"", $F133&gt;=CV$5-4, $F133&lt;=CV$5, COUNTIF($M133:CU133,"u")=0), "u", "")</f>
        <v/>
      </c>
      <c r="CW133" s="80" t="str">
        <f>IF(AND($F133&lt;&gt;"", $F133&gt;=CW$5-4, $F133&lt;=CW$5, COUNTIF($M133:CV133,"u")=0), "u", "")</f>
        <v/>
      </c>
      <c r="CX133" s="80" t="str">
        <f>IF(AND($F133&lt;&gt;"", $F133&gt;=CX$5-4, $F133&lt;=CX$5, COUNTIF($M133:CW133,"u")=0), "u", "")</f>
        <v/>
      </c>
      <c r="CY133" s="80" t="str">
        <f>IF(AND($F133&lt;&gt;"", $F133&gt;=CY$5-4, $F133&lt;=CY$5, COUNTIF($M133:CX133,"u")=0), "u", "")</f>
        <v/>
      </c>
      <c r="CZ133" s="80" t="str">
        <f>IF(AND($F133&lt;&gt;"", $F133&gt;=CZ$5-4, $F133&lt;=CZ$5, COUNTIF($M133:CY133,"u")=0), "u", "")</f>
        <v/>
      </c>
      <c r="DA133" s="80" t="str">
        <f>IF(AND($F133&lt;&gt;"", $F133&gt;=DA$5-4, $F133&lt;=DA$5, COUNTIF($M133:CZ133,"u")=0), "u", "")</f>
        <v/>
      </c>
      <c r="DB133" s="80" t="str">
        <f>IF(AND($F133&lt;&gt;"", $F133&gt;=DB$5-4, $F133&lt;=DB$5, COUNTIF($M133:DA133,"u")=0), "u", "")</f>
        <v/>
      </c>
      <c r="DC133" s="80" t="str">
        <f>IF(AND($F133&lt;&gt;"", $F133&gt;=DC$5-4, $F133&lt;=DC$5, COUNTIF($M133:DB133,"u")=0), "u", "")</f>
        <v/>
      </c>
      <c r="DD133" s="80" t="str">
        <f>IF(AND($F133&lt;&gt;"", $F133&gt;=DD$5-4, $F133&lt;=DD$5, COUNTIF($M133:DC133,"u")=0), "u", "")</f>
        <v/>
      </c>
      <c r="DE133" s="80" t="str">
        <f>IF(AND($F133&lt;&gt;"", $F133&gt;=DE$5-4, $F133&lt;=DE$5, COUNTIF($M133:DD133,"u")=0), "u", "")</f>
        <v/>
      </c>
      <c r="DF133" s="80" t="str">
        <f>IF(AND($F133&lt;&gt;"", $F133&gt;=DF$5-4, $F133&lt;=DF$5, COUNTIF($M133:DE133,"u")=0), "u", "")</f>
        <v/>
      </c>
      <c r="DG133" s="80" t="str">
        <f>IF(AND($F133&lt;&gt;"", $F133&gt;=DG$5-4, $F133&lt;=DG$5, COUNTIF($M133:DF133,"u")=0), "u", "")</f>
        <v/>
      </c>
      <c r="DH133" s="80" t="str">
        <f>IF(AND($F133&lt;&gt;"", $F133&gt;=DH$5-4, $F133&lt;=DH$5, COUNTIF($M133:DG133,"u")=0), "u", "")</f>
        <v/>
      </c>
      <c r="DI133" s="80" t="str">
        <f>IF(AND($F133&lt;&gt;"", $F133&gt;=DI$5-4, $F133&lt;=DI$5, COUNTIF($M133:DH133,"u")=0), "u", "")</f>
        <v/>
      </c>
      <c r="DJ133" s="80" t="str">
        <f>IF(AND($F133&lt;&gt;"", $F133&gt;=DJ$5-4, $F133&lt;=DJ$5, COUNTIF($M133:DI133,"u")=0), "u", "")</f>
        <v/>
      </c>
      <c r="DK133" s="80" t="str">
        <f>IF(AND($F133&lt;&gt;"", $F133&gt;=DK$5-4, $F133&lt;=DK$5, COUNTIF($M133:DJ133,"u")=0), "u", "")</f>
        <v/>
      </c>
      <c r="DL133" s="80" t="str">
        <f>IF(AND($F133&lt;&gt;"", $F133&gt;=DL$5-4, $F133&lt;=DL$5, COUNTIF($M133:DK133,"u")=0), "u", "")</f>
        <v/>
      </c>
    </row>
    <row r="134" spans="1:116" ht="25.05" customHeight="1" x14ac:dyDescent="0.3">
      <c r="A134" s="39"/>
      <c r="B134" s="75">
        <v>129</v>
      </c>
      <c r="C134" s="97"/>
      <c r="D134" s="92"/>
      <c r="E134" s="53"/>
      <c r="F134" s="53"/>
      <c r="G134" s="83" t="str">
        <f t="shared" si="50"/>
        <v/>
      </c>
      <c r="H134" s="83" t="str">
        <f t="shared" si="50"/>
        <v/>
      </c>
      <c r="I134" s="77" t="str">
        <f t="shared" ref="I134:I197" si="51">IF(F134="","",NETWORKDAYS(E134,F134))</f>
        <v/>
      </c>
      <c r="J134" s="78"/>
      <c r="K134" s="86"/>
      <c r="L134" s="56"/>
      <c r="M134" s="80" t="str">
        <f t="shared" si="49"/>
        <v/>
      </c>
      <c r="N134" s="80" t="str">
        <f>IF(AND($F134&lt;&gt;"", $F134&gt;=N$5-4, $F134&lt;=N$5, COUNTIF($M134:M134,"u")=0), "u", "")</f>
        <v/>
      </c>
      <c r="O134" s="80" t="str">
        <f>IF(AND($F134&lt;&gt;"", $F134&gt;=O$5-4, $F134&lt;=O$5, COUNTIF($M134:N134,"u")=0), "u", "")</f>
        <v/>
      </c>
      <c r="P134" s="80" t="str">
        <f>IF(AND($F134&lt;&gt;"", $F134&gt;=P$5-4, $F134&lt;=P$5, COUNTIF($M134:O134,"u")=0), "u", "")</f>
        <v/>
      </c>
      <c r="Q134" s="80" t="str">
        <f>IF(AND($F134&lt;&gt;"", $F134&gt;=Q$5-4, $F134&lt;=Q$5, COUNTIF($M134:P134,"u")=0), "u", "")</f>
        <v/>
      </c>
      <c r="R134" s="80" t="str">
        <f>IF(AND($F134&lt;&gt;"", $F134&gt;=R$5-4, $F134&lt;=R$5, COUNTIF($M134:Q134,"u")=0), "u", "")</f>
        <v/>
      </c>
      <c r="S134" s="80" t="str">
        <f>IF(AND($F134&lt;&gt;"", $F134&gt;=S$5-4, $F134&lt;=S$5, COUNTIF($M134:R134,"u")=0), "u", "")</f>
        <v/>
      </c>
      <c r="T134" s="80" t="str">
        <f>IF(AND($F134&lt;&gt;"", $F134&gt;=T$5-4, $F134&lt;=T$5, COUNTIF($M134:S134,"u")=0), "u", "")</f>
        <v/>
      </c>
      <c r="U134" s="80" t="str">
        <f>IF(AND($F134&lt;&gt;"", $F134&gt;=U$5-4, $F134&lt;=U$5, COUNTIF($M134:T134,"u")=0), "u", "")</f>
        <v/>
      </c>
      <c r="V134" s="80" t="str">
        <f>IF(AND($F134&lt;&gt;"", $F134&gt;=V$5-4, $F134&lt;=V$5, COUNTIF($M134:U134,"u")=0), "u", "")</f>
        <v/>
      </c>
      <c r="W134" s="80" t="str">
        <f>IF(AND($F134&lt;&gt;"", $F134&gt;=W$5-4, $F134&lt;=W$5, COUNTIF($M134:V134,"u")=0), "u", "")</f>
        <v/>
      </c>
      <c r="X134" s="80" t="str">
        <f>IF(AND($F134&lt;&gt;"", $F134&gt;=X$5-4, $F134&lt;=X$5, COUNTIF($M134:W134,"u")=0), "u", "")</f>
        <v/>
      </c>
      <c r="Y134" s="80" t="str">
        <f>IF(AND($F134&lt;&gt;"", $F134&gt;=Y$5-4, $F134&lt;=Y$5, COUNTIF($M134:X134,"u")=0), "u", "")</f>
        <v/>
      </c>
      <c r="Z134" s="80" t="str">
        <f>IF(AND($F134&lt;&gt;"", $F134&gt;=Z$5-4, $F134&lt;=Z$5, COUNTIF($M134:Y134,"u")=0), "u", "")</f>
        <v/>
      </c>
      <c r="AA134" s="80" t="str">
        <f>IF(AND($F134&lt;&gt;"", $F134&gt;=AA$5-4, $F134&lt;=AA$5, COUNTIF($M134:Z134,"u")=0), "u", "")</f>
        <v/>
      </c>
      <c r="AB134" s="80" t="str">
        <f>IF(AND($F134&lt;&gt;"", $F134&gt;=AB$5-4, $F134&lt;=AB$5, COUNTIF($M134:AA134,"u")=0), "u", "")</f>
        <v/>
      </c>
      <c r="AC134" s="80" t="str">
        <f>IF(AND($F134&lt;&gt;"", $F134&gt;=AC$5-4, $F134&lt;=AC$5, COUNTIF($M134:AB134,"u")=0), "u", "")</f>
        <v/>
      </c>
      <c r="AD134" s="80" t="str">
        <f>IF(AND($F134&lt;&gt;"", $F134&gt;=AD$5-4, $F134&lt;=AD$5, COUNTIF($M134:AC134,"u")=0), "u", "")</f>
        <v/>
      </c>
      <c r="AE134" s="80" t="str">
        <f>IF(AND($F134&lt;&gt;"", $F134&gt;=AE$5-4, $F134&lt;=AE$5, COUNTIF($M134:AD134,"u")=0), "u", "")</f>
        <v/>
      </c>
      <c r="AF134" s="80" t="str">
        <f>IF(AND($F134&lt;&gt;"", $F134&gt;=AF$5-4, $F134&lt;=AF$5, COUNTIF($M134:AE134,"u")=0), "u", "")</f>
        <v/>
      </c>
      <c r="AG134" s="80" t="str">
        <f>IF(AND($F134&lt;&gt;"", $F134&gt;=AG$5-4, $F134&lt;=AG$5, COUNTIF($M134:AF134,"u")=0), "u", "")</f>
        <v/>
      </c>
      <c r="AH134" s="80" t="str">
        <f>IF(AND($F134&lt;&gt;"", $F134&gt;=AH$5-4, $F134&lt;=AH$5, COUNTIF($M134:AG134,"u")=0), "u", "")</f>
        <v/>
      </c>
      <c r="AI134" s="80" t="str">
        <f>IF(AND($F134&lt;&gt;"", $F134&gt;=AI$5-4, $F134&lt;=AI$5, COUNTIF($M134:AH134,"u")=0), "u", "")</f>
        <v/>
      </c>
      <c r="AJ134" s="80" t="str">
        <f>IF(AND($F134&lt;&gt;"", $F134&gt;=AJ$5-4, $F134&lt;=AJ$5, COUNTIF($M134:AI134,"u")=0), "u", "")</f>
        <v/>
      </c>
      <c r="AK134" s="80" t="str">
        <f>IF(AND($F134&lt;&gt;"", $F134&gt;=AK$5-4, $F134&lt;=AK$5, COUNTIF($M134:AJ134,"u")=0), "u", "")</f>
        <v/>
      </c>
      <c r="AL134" s="80" t="str">
        <f>IF(AND($F134&lt;&gt;"", $F134&gt;=AL$5-4, $F134&lt;=AL$5, COUNTIF($M134:AK134,"u")=0), "u", "")</f>
        <v/>
      </c>
      <c r="AM134" s="80" t="str">
        <f>IF(AND($F134&lt;&gt;"", $F134&gt;=AM$5-4, $F134&lt;=AM$5, COUNTIF($M134:AL134,"u")=0), "u", "")</f>
        <v/>
      </c>
      <c r="AN134" s="80" t="str">
        <f>IF(AND($F134&lt;&gt;"", $F134&gt;=AN$5-4, $F134&lt;=AN$5, COUNTIF($M134:AM134,"u")=0), "u", "")</f>
        <v/>
      </c>
      <c r="AO134" s="80" t="str">
        <f>IF(AND($F134&lt;&gt;"", $F134&gt;=AO$5-4, $F134&lt;=AO$5, COUNTIF($M134:AN134,"u")=0), "u", "")</f>
        <v/>
      </c>
      <c r="AP134" s="80" t="str">
        <f>IF(AND($F134&lt;&gt;"", $F134&gt;=AP$5-4, $F134&lt;=AP$5, COUNTIF($M134:AO134,"u")=0), "u", "")</f>
        <v/>
      </c>
      <c r="AQ134" s="80" t="str">
        <f>IF(AND($F134&lt;&gt;"", $F134&gt;=AQ$5-4, $F134&lt;=AQ$5, COUNTIF($M134:AP134,"u")=0), "u", "")</f>
        <v/>
      </c>
      <c r="AR134" s="80" t="str">
        <f>IF(AND($F134&lt;&gt;"", $F134&gt;=AR$5-4, $F134&lt;=AR$5, COUNTIF($M134:AQ134,"u")=0), "u", "")</f>
        <v/>
      </c>
      <c r="AS134" s="80" t="str">
        <f>IF(AND($F134&lt;&gt;"", $F134&gt;=AS$5-4, $F134&lt;=AS$5, COUNTIF($M134:AR134,"u")=0), "u", "")</f>
        <v/>
      </c>
      <c r="AT134" s="80" t="str">
        <f>IF(AND($F134&lt;&gt;"", $F134&gt;=AT$5-4, $F134&lt;=AT$5, COUNTIF($M134:AS134,"u")=0), "u", "")</f>
        <v/>
      </c>
      <c r="AU134" s="80" t="str">
        <f>IF(AND($F134&lt;&gt;"", $F134&gt;=AU$5-4, $F134&lt;=AU$5, COUNTIF($M134:AT134,"u")=0), "u", "")</f>
        <v/>
      </c>
      <c r="AV134" s="80" t="str">
        <f>IF(AND($F134&lt;&gt;"", $F134&gt;=AV$5-4, $F134&lt;=AV$5, COUNTIF($M134:AU134,"u")=0), "u", "")</f>
        <v/>
      </c>
      <c r="AW134" s="80" t="str">
        <f>IF(AND($F134&lt;&gt;"", $F134&gt;=AW$5-4, $F134&lt;=AW$5, COUNTIF($M134:AV134,"u")=0), "u", "")</f>
        <v/>
      </c>
      <c r="AX134" s="80" t="str">
        <f>IF(AND($F134&lt;&gt;"", $F134&gt;=AX$5-4, $F134&lt;=AX$5, COUNTIF($M134:AW134,"u")=0), "u", "")</f>
        <v/>
      </c>
      <c r="AY134" s="80" t="str">
        <f>IF(AND($F134&lt;&gt;"", $F134&gt;=AY$5-4, $F134&lt;=AY$5, COUNTIF($M134:AX134,"u")=0), "u", "")</f>
        <v/>
      </c>
      <c r="AZ134" s="80" t="str">
        <f>IF(AND($F134&lt;&gt;"", $F134&gt;=AZ$5-4, $F134&lt;=AZ$5, COUNTIF($M134:AY134,"u")=0), "u", "")</f>
        <v/>
      </c>
      <c r="BA134" s="80" t="str">
        <f>IF(AND($F134&lt;&gt;"", $F134&gt;=BA$5-4, $F134&lt;=BA$5, COUNTIF($M134:AZ134,"u")=0), "u", "")</f>
        <v/>
      </c>
      <c r="BB134" s="80" t="str">
        <f>IF(AND($F134&lt;&gt;"", $F134&gt;=BB$5-4, $F134&lt;=BB$5, COUNTIF($M134:BA134,"u")=0), "u", "")</f>
        <v/>
      </c>
      <c r="BC134" s="80" t="str">
        <f>IF(AND($F134&lt;&gt;"", $F134&gt;=BC$5-4, $F134&lt;=BC$5, COUNTIF($M134:BB134,"u")=0), "u", "")</f>
        <v/>
      </c>
      <c r="BD134" s="80" t="str">
        <f>IF(AND($F134&lt;&gt;"", $F134&gt;=BD$5-4, $F134&lt;=BD$5, COUNTIF($M134:BC134,"u")=0), "u", "")</f>
        <v/>
      </c>
      <c r="BE134" s="80" t="str">
        <f>IF(AND($F134&lt;&gt;"", $F134&gt;=BE$5-4, $F134&lt;=BE$5, COUNTIF($M134:BD134,"u")=0), "u", "")</f>
        <v/>
      </c>
      <c r="BF134" s="80" t="str">
        <f>IF(AND($F134&lt;&gt;"", $F134&gt;=BF$5-4, $F134&lt;=BF$5, COUNTIF($M134:BE134,"u")=0), "u", "")</f>
        <v/>
      </c>
      <c r="BG134" s="80" t="str">
        <f>IF(AND($F134&lt;&gt;"", $F134&gt;=BG$5-4, $F134&lt;=BG$5, COUNTIF($M134:BF134,"u")=0), "u", "")</f>
        <v/>
      </c>
      <c r="BH134" s="80" t="str">
        <f>IF(AND($F134&lt;&gt;"", $F134&gt;=BH$5-4, $F134&lt;=BH$5, COUNTIF($M134:BG134,"u")=0), "u", "")</f>
        <v/>
      </c>
      <c r="BI134" s="80" t="str">
        <f>IF(AND($F134&lt;&gt;"", $F134&gt;=BI$5-4, $F134&lt;=BI$5, COUNTIF($M134:BH134,"u")=0), "u", "")</f>
        <v/>
      </c>
      <c r="BJ134" s="80" t="str">
        <f>IF(AND($F134&lt;&gt;"", $F134&gt;=BJ$5-4, $F134&lt;=BJ$5, COUNTIF($M134:BI134,"u")=0), "u", "")</f>
        <v/>
      </c>
      <c r="BK134" s="80" t="str">
        <f>IF(AND($F134&lt;&gt;"", $F134&gt;=BK$5-4, $F134&lt;=BK$5, COUNTIF($M134:BJ134,"u")=0), "u", "")</f>
        <v/>
      </c>
      <c r="BL134" s="80" t="str">
        <f>IF(AND($F134&lt;&gt;"", $F134&gt;=BL$5-4, $F134&lt;=BL$5, COUNTIF($M134:BK134,"u")=0), "u", "")</f>
        <v/>
      </c>
      <c r="BM134" s="80" t="str">
        <f>IF(AND($F134&lt;&gt;"", $F134&gt;=BM$5-4, $F134&lt;=BM$5, COUNTIF($M134:BL134,"u")=0), "u", "")</f>
        <v/>
      </c>
      <c r="BN134" s="80" t="str">
        <f>IF(AND($F134&lt;&gt;"", $F134&gt;=BN$5-4, $F134&lt;=BN$5, COUNTIF($M134:BM134,"u")=0), "u", "")</f>
        <v/>
      </c>
      <c r="BO134" s="80" t="str">
        <f>IF(AND($F134&lt;&gt;"", $F134&gt;=BO$5-4, $F134&lt;=BO$5, COUNTIF($M134:BN134,"u")=0), "u", "")</f>
        <v/>
      </c>
      <c r="BP134" s="80" t="str">
        <f>IF(AND($F134&lt;&gt;"", $F134&gt;=BP$5-4, $F134&lt;=BP$5, COUNTIF($M134:BO134,"u")=0), "u", "")</f>
        <v/>
      </c>
      <c r="BQ134" s="80" t="str">
        <f>IF(AND($F134&lt;&gt;"", $F134&gt;=BQ$5-4, $F134&lt;=BQ$5, COUNTIF($M134:BP134,"u")=0), "u", "")</f>
        <v/>
      </c>
      <c r="BR134" s="80" t="str">
        <f>IF(AND($F134&lt;&gt;"", $F134&gt;=BR$5-4, $F134&lt;=BR$5, COUNTIF($M134:BQ134,"u")=0), "u", "")</f>
        <v/>
      </c>
      <c r="BS134" s="80" t="str">
        <f>IF(AND($F134&lt;&gt;"", $F134&gt;=BS$5-4, $F134&lt;=BS$5, COUNTIF($M134:BR134,"u")=0), "u", "")</f>
        <v/>
      </c>
      <c r="BT134" s="80" t="str">
        <f>IF(AND($F134&lt;&gt;"", $F134&gt;=BT$5-4, $F134&lt;=BT$5, COUNTIF($M134:BS134,"u")=0), "u", "")</f>
        <v/>
      </c>
      <c r="BU134" s="80" t="str">
        <f>IF(AND($F134&lt;&gt;"", $F134&gt;=BU$5-4, $F134&lt;=BU$5, COUNTIF($M134:BT134,"u")=0), "u", "")</f>
        <v/>
      </c>
      <c r="BV134" s="80" t="str">
        <f>IF(AND($F134&lt;&gt;"", $F134&gt;=BV$5-4, $F134&lt;=BV$5, COUNTIF($M134:BU134,"u")=0), "u", "")</f>
        <v/>
      </c>
      <c r="BW134" s="80" t="str">
        <f>IF(AND($F134&lt;&gt;"", $F134&gt;=BW$5-4, $F134&lt;=BW$5, COUNTIF($M134:BV134,"u")=0), "u", "")</f>
        <v/>
      </c>
      <c r="BX134" s="80" t="str">
        <f>IF(AND($F134&lt;&gt;"", $F134&gt;=BX$5-4, $F134&lt;=BX$5, COUNTIF($M134:BW134,"u")=0), "u", "")</f>
        <v/>
      </c>
      <c r="BY134" s="80" t="str">
        <f>IF(AND($F134&lt;&gt;"", $F134&gt;=BY$5-4, $F134&lt;=BY$5, COUNTIF($M134:BX134,"u")=0), "u", "")</f>
        <v/>
      </c>
      <c r="BZ134" s="80" t="str">
        <f>IF(AND($F134&lt;&gt;"", $F134&gt;=BZ$5-4, $F134&lt;=BZ$5, COUNTIF($M134:BY134,"u")=0), "u", "")</f>
        <v/>
      </c>
      <c r="CA134" s="80" t="str">
        <f>IF(AND($F134&lt;&gt;"", $F134&gt;=CA$5-4, $F134&lt;=CA$5, COUNTIF($M134:BZ134,"u")=0), "u", "")</f>
        <v/>
      </c>
      <c r="CB134" s="80" t="str">
        <f>IF(AND($F134&lt;&gt;"", $F134&gt;=CB$5-4, $F134&lt;=CB$5, COUNTIF($M134:CA134,"u")=0), "u", "")</f>
        <v/>
      </c>
      <c r="CC134" s="80" t="str">
        <f>IF(AND($F134&lt;&gt;"", $F134&gt;=CC$5-4, $F134&lt;=CC$5, COUNTIF($M134:CB134,"u")=0), "u", "")</f>
        <v/>
      </c>
      <c r="CD134" s="80" t="str">
        <f>IF(AND($F134&lt;&gt;"", $F134&gt;=CD$5-4, $F134&lt;=CD$5, COUNTIF($M134:CC134,"u")=0), "u", "")</f>
        <v/>
      </c>
      <c r="CE134" s="80" t="str">
        <f>IF(AND($F134&lt;&gt;"", $F134&gt;=CE$5-4, $F134&lt;=CE$5, COUNTIF($M134:CD134,"u")=0), "u", "")</f>
        <v/>
      </c>
      <c r="CF134" s="80" t="str">
        <f>IF(AND($F134&lt;&gt;"", $F134&gt;=CF$5-4, $F134&lt;=CF$5, COUNTIF($M134:CE134,"u")=0), "u", "")</f>
        <v/>
      </c>
      <c r="CG134" s="80" t="str">
        <f>IF(AND($F134&lt;&gt;"", $F134&gt;=CG$5-4, $F134&lt;=CG$5, COUNTIF($M134:CF134,"u")=0), "u", "")</f>
        <v/>
      </c>
      <c r="CH134" s="80" t="str">
        <f>IF(AND($F134&lt;&gt;"", $F134&gt;=CH$5-4, $F134&lt;=CH$5, COUNTIF($M134:CG134,"u")=0), "u", "")</f>
        <v/>
      </c>
      <c r="CI134" s="80" t="str">
        <f>IF(AND($F134&lt;&gt;"", $F134&gt;=CI$5-4, $F134&lt;=CI$5, COUNTIF($M134:CH134,"u")=0), "u", "")</f>
        <v/>
      </c>
      <c r="CJ134" s="80" t="str">
        <f>IF(AND($F134&lt;&gt;"", $F134&gt;=CJ$5-4, $F134&lt;=CJ$5, COUNTIF($M134:CI134,"u")=0), "u", "")</f>
        <v/>
      </c>
      <c r="CK134" s="80" t="str">
        <f>IF(AND($F134&lt;&gt;"", $F134&gt;=CK$5-4, $F134&lt;=CK$5, COUNTIF($M134:CJ134,"u")=0), "u", "")</f>
        <v/>
      </c>
      <c r="CL134" s="80" t="str">
        <f>IF(AND($F134&lt;&gt;"", $F134&gt;=CL$5-4, $F134&lt;=CL$5, COUNTIF($M134:CK134,"u")=0), "u", "")</f>
        <v/>
      </c>
      <c r="CM134" s="80" t="str">
        <f>IF(AND($F134&lt;&gt;"", $F134&gt;=CM$5-4, $F134&lt;=CM$5, COUNTIF($M134:CL134,"u")=0), "u", "")</f>
        <v/>
      </c>
      <c r="CN134" s="80" t="str">
        <f>IF(AND($F134&lt;&gt;"", $F134&gt;=CN$5-4, $F134&lt;=CN$5, COUNTIF($M134:CM134,"u")=0), "u", "")</f>
        <v/>
      </c>
      <c r="CO134" s="80" t="str">
        <f>IF(AND($F134&lt;&gt;"", $F134&gt;=CO$5-4, $F134&lt;=CO$5, COUNTIF($M134:CN134,"u")=0), "u", "")</f>
        <v/>
      </c>
      <c r="CP134" s="80" t="str">
        <f>IF(AND($F134&lt;&gt;"", $F134&gt;=CP$5-4, $F134&lt;=CP$5, COUNTIF($M134:CO134,"u")=0), "u", "")</f>
        <v/>
      </c>
      <c r="CQ134" s="80" t="str">
        <f>IF(AND($F134&lt;&gt;"", $F134&gt;=CQ$5-4, $F134&lt;=CQ$5, COUNTIF($M134:CP134,"u")=0), "u", "")</f>
        <v/>
      </c>
      <c r="CR134" s="80" t="str">
        <f>IF(AND($F134&lt;&gt;"", $F134&gt;=CR$5-4, $F134&lt;=CR$5, COUNTIF($M134:CQ134,"u")=0), "u", "")</f>
        <v/>
      </c>
      <c r="CS134" s="80" t="str">
        <f>IF(AND($F134&lt;&gt;"", $F134&gt;=CS$5-4, $F134&lt;=CS$5, COUNTIF($M134:CR134,"u")=0), "u", "")</f>
        <v/>
      </c>
      <c r="CT134" s="80" t="str">
        <f>IF(AND($F134&lt;&gt;"", $F134&gt;=CT$5-4, $F134&lt;=CT$5, COUNTIF($M134:CS134,"u")=0), "u", "")</f>
        <v/>
      </c>
      <c r="CU134" s="80" t="str">
        <f>IF(AND($F134&lt;&gt;"", $F134&gt;=CU$5-4, $F134&lt;=CU$5, COUNTIF($M134:CT134,"u")=0), "u", "")</f>
        <v/>
      </c>
      <c r="CV134" s="80" t="str">
        <f>IF(AND($F134&lt;&gt;"", $F134&gt;=CV$5-4, $F134&lt;=CV$5, COUNTIF($M134:CU134,"u")=0), "u", "")</f>
        <v/>
      </c>
      <c r="CW134" s="80" t="str">
        <f>IF(AND($F134&lt;&gt;"", $F134&gt;=CW$5-4, $F134&lt;=CW$5, COUNTIF($M134:CV134,"u")=0), "u", "")</f>
        <v/>
      </c>
      <c r="CX134" s="80" t="str">
        <f>IF(AND($F134&lt;&gt;"", $F134&gt;=CX$5-4, $F134&lt;=CX$5, COUNTIF($M134:CW134,"u")=0), "u", "")</f>
        <v/>
      </c>
      <c r="CY134" s="80" t="str">
        <f>IF(AND($F134&lt;&gt;"", $F134&gt;=CY$5-4, $F134&lt;=CY$5, COUNTIF($M134:CX134,"u")=0), "u", "")</f>
        <v/>
      </c>
      <c r="CZ134" s="80" t="str">
        <f>IF(AND($F134&lt;&gt;"", $F134&gt;=CZ$5-4, $F134&lt;=CZ$5, COUNTIF($M134:CY134,"u")=0), "u", "")</f>
        <v/>
      </c>
      <c r="DA134" s="80" t="str">
        <f>IF(AND($F134&lt;&gt;"", $F134&gt;=DA$5-4, $F134&lt;=DA$5, COUNTIF($M134:CZ134,"u")=0), "u", "")</f>
        <v/>
      </c>
      <c r="DB134" s="80" t="str">
        <f>IF(AND($F134&lt;&gt;"", $F134&gt;=DB$5-4, $F134&lt;=DB$5, COUNTIF($M134:DA134,"u")=0), "u", "")</f>
        <v/>
      </c>
      <c r="DC134" s="80" t="str">
        <f>IF(AND($F134&lt;&gt;"", $F134&gt;=DC$5-4, $F134&lt;=DC$5, COUNTIF($M134:DB134,"u")=0), "u", "")</f>
        <v/>
      </c>
      <c r="DD134" s="80" t="str">
        <f>IF(AND($F134&lt;&gt;"", $F134&gt;=DD$5-4, $F134&lt;=DD$5, COUNTIF($M134:DC134,"u")=0), "u", "")</f>
        <v/>
      </c>
      <c r="DE134" s="80" t="str">
        <f>IF(AND($F134&lt;&gt;"", $F134&gt;=DE$5-4, $F134&lt;=DE$5, COUNTIF($M134:DD134,"u")=0), "u", "")</f>
        <v/>
      </c>
      <c r="DF134" s="80" t="str">
        <f>IF(AND($F134&lt;&gt;"", $F134&gt;=DF$5-4, $F134&lt;=DF$5, COUNTIF($M134:DE134,"u")=0), "u", "")</f>
        <v/>
      </c>
      <c r="DG134" s="80" t="str">
        <f>IF(AND($F134&lt;&gt;"", $F134&gt;=DG$5-4, $F134&lt;=DG$5, COUNTIF($M134:DF134,"u")=0), "u", "")</f>
        <v/>
      </c>
      <c r="DH134" s="80" t="str">
        <f>IF(AND($F134&lt;&gt;"", $F134&gt;=DH$5-4, $F134&lt;=DH$5, COUNTIF($M134:DG134,"u")=0), "u", "")</f>
        <v/>
      </c>
      <c r="DI134" s="80" t="str">
        <f>IF(AND($F134&lt;&gt;"", $F134&gt;=DI$5-4, $F134&lt;=DI$5, COUNTIF($M134:DH134,"u")=0), "u", "")</f>
        <v/>
      </c>
      <c r="DJ134" s="80" t="str">
        <f>IF(AND($F134&lt;&gt;"", $F134&gt;=DJ$5-4, $F134&lt;=DJ$5, COUNTIF($M134:DI134,"u")=0), "u", "")</f>
        <v/>
      </c>
      <c r="DK134" s="80" t="str">
        <f>IF(AND($F134&lt;&gt;"", $F134&gt;=DK$5-4, $F134&lt;=DK$5, COUNTIF($M134:DJ134,"u")=0), "u", "")</f>
        <v/>
      </c>
      <c r="DL134" s="80" t="str">
        <f>IF(AND($F134&lt;&gt;"", $F134&gt;=DL$5-4, $F134&lt;=DL$5, COUNTIF($M134:DK134,"u")=0), "u", "")</f>
        <v/>
      </c>
    </row>
    <row r="135" spans="1:116" ht="25.05" customHeight="1" x14ac:dyDescent="0.3">
      <c r="A135" s="39"/>
      <c r="B135" s="75">
        <v>130</v>
      </c>
      <c r="C135" s="97"/>
      <c r="D135" s="92"/>
      <c r="E135" s="53"/>
      <c r="F135" s="53"/>
      <c r="G135" s="83" t="str">
        <f t="shared" si="50"/>
        <v/>
      </c>
      <c r="H135" s="83" t="str">
        <f t="shared" si="50"/>
        <v/>
      </c>
      <c r="I135" s="77" t="str">
        <f t="shared" si="51"/>
        <v/>
      </c>
      <c r="J135" s="78"/>
      <c r="K135" s="86"/>
      <c r="L135" s="56"/>
      <c r="M135" s="80" t="str">
        <f t="shared" ref="M135:M198" si="52">IF(AND($F135&lt;&gt;"", $F135&gt;=M$5-4, $F135&lt;=M$5), "u", "")</f>
        <v/>
      </c>
      <c r="N135" s="80" t="str">
        <f>IF(AND($F135&lt;&gt;"", $F135&gt;=N$5-4, $F135&lt;=N$5, COUNTIF($M135:M135,"u")=0), "u", "")</f>
        <v/>
      </c>
      <c r="O135" s="80" t="str">
        <f>IF(AND($F135&lt;&gt;"", $F135&gt;=O$5-4, $F135&lt;=O$5, COUNTIF($M135:N135,"u")=0), "u", "")</f>
        <v/>
      </c>
      <c r="P135" s="80" t="str">
        <f>IF(AND($F135&lt;&gt;"", $F135&gt;=P$5-4, $F135&lt;=P$5, COUNTIF($M135:O135,"u")=0), "u", "")</f>
        <v/>
      </c>
      <c r="Q135" s="80" t="str">
        <f>IF(AND($F135&lt;&gt;"", $F135&gt;=Q$5-4, $F135&lt;=Q$5, COUNTIF($M135:P135,"u")=0), "u", "")</f>
        <v/>
      </c>
      <c r="R135" s="80" t="str">
        <f>IF(AND($F135&lt;&gt;"", $F135&gt;=R$5-4, $F135&lt;=R$5, COUNTIF($M135:Q135,"u")=0), "u", "")</f>
        <v/>
      </c>
      <c r="S135" s="80" t="str">
        <f>IF(AND($F135&lt;&gt;"", $F135&gt;=S$5-4, $F135&lt;=S$5, COUNTIF($M135:R135,"u")=0), "u", "")</f>
        <v/>
      </c>
      <c r="T135" s="80" t="str">
        <f>IF(AND($F135&lt;&gt;"", $F135&gt;=T$5-4, $F135&lt;=T$5, COUNTIF($M135:S135,"u")=0), "u", "")</f>
        <v/>
      </c>
      <c r="U135" s="80" t="str">
        <f>IF(AND($F135&lt;&gt;"", $F135&gt;=U$5-4, $F135&lt;=U$5, COUNTIF($M135:T135,"u")=0), "u", "")</f>
        <v/>
      </c>
      <c r="V135" s="80" t="str">
        <f>IF(AND($F135&lt;&gt;"", $F135&gt;=V$5-4, $F135&lt;=V$5, COUNTIF($M135:U135,"u")=0), "u", "")</f>
        <v/>
      </c>
      <c r="W135" s="80" t="str">
        <f>IF(AND($F135&lt;&gt;"", $F135&gt;=W$5-4, $F135&lt;=W$5, COUNTIF($M135:V135,"u")=0), "u", "")</f>
        <v/>
      </c>
      <c r="X135" s="80" t="str">
        <f>IF(AND($F135&lt;&gt;"", $F135&gt;=X$5-4, $F135&lt;=X$5, COUNTIF($M135:W135,"u")=0), "u", "")</f>
        <v/>
      </c>
      <c r="Y135" s="80" t="str">
        <f>IF(AND($F135&lt;&gt;"", $F135&gt;=Y$5-4, $F135&lt;=Y$5, COUNTIF($M135:X135,"u")=0), "u", "")</f>
        <v/>
      </c>
      <c r="Z135" s="80" t="str">
        <f>IF(AND($F135&lt;&gt;"", $F135&gt;=Z$5-4, $F135&lt;=Z$5, COUNTIF($M135:Y135,"u")=0), "u", "")</f>
        <v/>
      </c>
      <c r="AA135" s="80" t="str">
        <f>IF(AND($F135&lt;&gt;"", $F135&gt;=AA$5-4, $F135&lt;=AA$5, COUNTIF($M135:Z135,"u")=0), "u", "")</f>
        <v/>
      </c>
      <c r="AB135" s="80" t="str">
        <f>IF(AND($F135&lt;&gt;"", $F135&gt;=AB$5-4, $F135&lt;=AB$5, COUNTIF($M135:AA135,"u")=0), "u", "")</f>
        <v/>
      </c>
      <c r="AC135" s="80" t="str">
        <f>IF(AND($F135&lt;&gt;"", $F135&gt;=AC$5-4, $F135&lt;=AC$5, COUNTIF($M135:AB135,"u")=0), "u", "")</f>
        <v/>
      </c>
      <c r="AD135" s="80" t="str">
        <f>IF(AND($F135&lt;&gt;"", $F135&gt;=AD$5-4, $F135&lt;=AD$5, COUNTIF($M135:AC135,"u")=0), "u", "")</f>
        <v/>
      </c>
      <c r="AE135" s="80" t="str">
        <f>IF(AND($F135&lt;&gt;"", $F135&gt;=AE$5-4, $F135&lt;=AE$5, COUNTIF($M135:AD135,"u")=0), "u", "")</f>
        <v/>
      </c>
      <c r="AF135" s="80" t="str">
        <f>IF(AND($F135&lt;&gt;"", $F135&gt;=AF$5-4, $F135&lt;=AF$5, COUNTIF($M135:AE135,"u")=0), "u", "")</f>
        <v/>
      </c>
      <c r="AG135" s="80" t="str">
        <f>IF(AND($F135&lt;&gt;"", $F135&gt;=AG$5-4, $F135&lt;=AG$5, COUNTIF($M135:AF135,"u")=0), "u", "")</f>
        <v/>
      </c>
      <c r="AH135" s="80" t="str">
        <f>IF(AND($F135&lt;&gt;"", $F135&gt;=AH$5-4, $F135&lt;=AH$5, COUNTIF($M135:AG135,"u")=0), "u", "")</f>
        <v/>
      </c>
      <c r="AI135" s="80" t="str">
        <f>IF(AND($F135&lt;&gt;"", $F135&gt;=AI$5-4, $F135&lt;=AI$5, COUNTIF($M135:AH135,"u")=0), "u", "")</f>
        <v/>
      </c>
      <c r="AJ135" s="80" t="str">
        <f>IF(AND($F135&lt;&gt;"", $F135&gt;=AJ$5-4, $F135&lt;=AJ$5, COUNTIF($M135:AI135,"u")=0), "u", "")</f>
        <v/>
      </c>
      <c r="AK135" s="80" t="str">
        <f>IF(AND($F135&lt;&gt;"", $F135&gt;=AK$5-4, $F135&lt;=AK$5, COUNTIF($M135:AJ135,"u")=0), "u", "")</f>
        <v/>
      </c>
      <c r="AL135" s="80" t="str">
        <f>IF(AND($F135&lt;&gt;"", $F135&gt;=AL$5-4, $F135&lt;=AL$5, COUNTIF($M135:AK135,"u")=0), "u", "")</f>
        <v/>
      </c>
      <c r="AM135" s="80" t="str">
        <f>IF(AND($F135&lt;&gt;"", $F135&gt;=AM$5-4, $F135&lt;=AM$5, COUNTIF($M135:AL135,"u")=0), "u", "")</f>
        <v/>
      </c>
      <c r="AN135" s="80" t="str">
        <f>IF(AND($F135&lt;&gt;"", $F135&gt;=AN$5-4, $F135&lt;=AN$5, COUNTIF($M135:AM135,"u")=0), "u", "")</f>
        <v/>
      </c>
      <c r="AO135" s="80" t="str">
        <f>IF(AND($F135&lt;&gt;"", $F135&gt;=AO$5-4, $F135&lt;=AO$5, COUNTIF($M135:AN135,"u")=0), "u", "")</f>
        <v/>
      </c>
      <c r="AP135" s="80" t="str">
        <f>IF(AND($F135&lt;&gt;"", $F135&gt;=AP$5-4, $F135&lt;=AP$5, COUNTIF($M135:AO135,"u")=0), "u", "")</f>
        <v/>
      </c>
      <c r="AQ135" s="80" t="str">
        <f>IF(AND($F135&lt;&gt;"", $F135&gt;=AQ$5-4, $F135&lt;=AQ$5, COUNTIF($M135:AP135,"u")=0), "u", "")</f>
        <v/>
      </c>
      <c r="AR135" s="80" t="str">
        <f>IF(AND($F135&lt;&gt;"", $F135&gt;=AR$5-4, $F135&lt;=AR$5, COUNTIF($M135:AQ135,"u")=0), "u", "")</f>
        <v/>
      </c>
      <c r="AS135" s="80" t="str">
        <f>IF(AND($F135&lt;&gt;"", $F135&gt;=AS$5-4, $F135&lt;=AS$5, COUNTIF($M135:AR135,"u")=0), "u", "")</f>
        <v/>
      </c>
      <c r="AT135" s="80" t="str">
        <f>IF(AND($F135&lt;&gt;"", $F135&gt;=AT$5-4, $F135&lt;=AT$5, COUNTIF($M135:AS135,"u")=0), "u", "")</f>
        <v/>
      </c>
      <c r="AU135" s="80" t="str">
        <f>IF(AND($F135&lt;&gt;"", $F135&gt;=AU$5-4, $F135&lt;=AU$5, COUNTIF($M135:AT135,"u")=0), "u", "")</f>
        <v/>
      </c>
      <c r="AV135" s="80" t="str">
        <f>IF(AND($F135&lt;&gt;"", $F135&gt;=AV$5-4, $F135&lt;=AV$5, COUNTIF($M135:AU135,"u")=0), "u", "")</f>
        <v/>
      </c>
      <c r="AW135" s="80" t="str">
        <f>IF(AND($F135&lt;&gt;"", $F135&gt;=AW$5-4, $F135&lt;=AW$5, COUNTIF($M135:AV135,"u")=0), "u", "")</f>
        <v/>
      </c>
      <c r="AX135" s="80" t="str">
        <f>IF(AND($F135&lt;&gt;"", $F135&gt;=AX$5-4, $F135&lt;=AX$5, COUNTIF($M135:AW135,"u")=0), "u", "")</f>
        <v/>
      </c>
      <c r="AY135" s="80" t="str">
        <f>IF(AND($F135&lt;&gt;"", $F135&gt;=AY$5-4, $F135&lt;=AY$5, COUNTIF($M135:AX135,"u")=0), "u", "")</f>
        <v/>
      </c>
      <c r="AZ135" s="80" t="str">
        <f>IF(AND($F135&lt;&gt;"", $F135&gt;=AZ$5-4, $F135&lt;=AZ$5, COUNTIF($M135:AY135,"u")=0), "u", "")</f>
        <v/>
      </c>
      <c r="BA135" s="80" t="str">
        <f>IF(AND($F135&lt;&gt;"", $F135&gt;=BA$5-4, $F135&lt;=BA$5, COUNTIF($M135:AZ135,"u")=0), "u", "")</f>
        <v/>
      </c>
      <c r="BB135" s="80" t="str">
        <f>IF(AND($F135&lt;&gt;"", $F135&gt;=BB$5-4, $F135&lt;=BB$5, COUNTIF($M135:BA135,"u")=0), "u", "")</f>
        <v/>
      </c>
      <c r="BC135" s="80" t="str">
        <f>IF(AND($F135&lt;&gt;"", $F135&gt;=BC$5-4, $F135&lt;=BC$5, COUNTIF($M135:BB135,"u")=0), "u", "")</f>
        <v/>
      </c>
      <c r="BD135" s="80" t="str">
        <f>IF(AND($F135&lt;&gt;"", $F135&gt;=BD$5-4, $F135&lt;=BD$5, COUNTIF($M135:BC135,"u")=0), "u", "")</f>
        <v/>
      </c>
      <c r="BE135" s="80" t="str">
        <f>IF(AND($F135&lt;&gt;"", $F135&gt;=BE$5-4, $F135&lt;=BE$5, COUNTIF($M135:BD135,"u")=0), "u", "")</f>
        <v/>
      </c>
      <c r="BF135" s="80" t="str">
        <f>IF(AND($F135&lt;&gt;"", $F135&gt;=BF$5-4, $F135&lt;=BF$5, COUNTIF($M135:BE135,"u")=0), "u", "")</f>
        <v/>
      </c>
      <c r="BG135" s="80" t="str">
        <f>IF(AND($F135&lt;&gt;"", $F135&gt;=BG$5-4, $F135&lt;=BG$5, COUNTIF($M135:BF135,"u")=0), "u", "")</f>
        <v/>
      </c>
      <c r="BH135" s="80" t="str">
        <f>IF(AND($F135&lt;&gt;"", $F135&gt;=BH$5-4, $F135&lt;=BH$5, COUNTIF($M135:BG135,"u")=0), "u", "")</f>
        <v/>
      </c>
      <c r="BI135" s="80" t="str">
        <f>IF(AND($F135&lt;&gt;"", $F135&gt;=BI$5-4, $F135&lt;=BI$5, COUNTIF($M135:BH135,"u")=0), "u", "")</f>
        <v/>
      </c>
      <c r="BJ135" s="80" t="str">
        <f>IF(AND($F135&lt;&gt;"", $F135&gt;=BJ$5-4, $F135&lt;=BJ$5, COUNTIF($M135:BI135,"u")=0), "u", "")</f>
        <v/>
      </c>
      <c r="BK135" s="80" t="str">
        <f>IF(AND($F135&lt;&gt;"", $F135&gt;=BK$5-4, $F135&lt;=BK$5, COUNTIF($M135:BJ135,"u")=0), "u", "")</f>
        <v/>
      </c>
      <c r="BL135" s="80" t="str">
        <f>IF(AND($F135&lt;&gt;"", $F135&gt;=BL$5-4, $F135&lt;=BL$5, COUNTIF($M135:BK135,"u")=0), "u", "")</f>
        <v/>
      </c>
      <c r="BM135" s="80" t="str">
        <f>IF(AND($F135&lt;&gt;"", $F135&gt;=BM$5-4, $F135&lt;=BM$5, COUNTIF($M135:BL135,"u")=0), "u", "")</f>
        <v/>
      </c>
      <c r="BN135" s="80" t="str">
        <f>IF(AND($F135&lt;&gt;"", $F135&gt;=BN$5-4, $F135&lt;=BN$5, COUNTIF($M135:BM135,"u")=0), "u", "")</f>
        <v/>
      </c>
      <c r="BO135" s="80" t="str">
        <f>IF(AND($F135&lt;&gt;"", $F135&gt;=BO$5-4, $F135&lt;=BO$5, COUNTIF($M135:BN135,"u")=0), "u", "")</f>
        <v/>
      </c>
      <c r="BP135" s="80" t="str">
        <f>IF(AND($F135&lt;&gt;"", $F135&gt;=BP$5-4, $F135&lt;=BP$5, COUNTIF($M135:BO135,"u")=0), "u", "")</f>
        <v/>
      </c>
      <c r="BQ135" s="80" t="str">
        <f>IF(AND($F135&lt;&gt;"", $F135&gt;=BQ$5-4, $F135&lt;=BQ$5, COUNTIF($M135:BP135,"u")=0), "u", "")</f>
        <v/>
      </c>
      <c r="BR135" s="80" t="str">
        <f>IF(AND($F135&lt;&gt;"", $F135&gt;=BR$5-4, $F135&lt;=BR$5, COUNTIF($M135:BQ135,"u")=0), "u", "")</f>
        <v/>
      </c>
      <c r="BS135" s="80" t="str">
        <f>IF(AND($F135&lt;&gt;"", $F135&gt;=BS$5-4, $F135&lt;=BS$5, COUNTIF($M135:BR135,"u")=0), "u", "")</f>
        <v/>
      </c>
      <c r="BT135" s="80" t="str">
        <f>IF(AND($F135&lt;&gt;"", $F135&gt;=BT$5-4, $F135&lt;=BT$5, COUNTIF($M135:BS135,"u")=0), "u", "")</f>
        <v/>
      </c>
      <c r="BU135" s="80" t="str">
        <f>IF(AND($F135&lt;&gt;"", $F135&gt;=BU$5-4, $F135&lt;=BU$5, COUNTIF($M135:BT135,"u")=0), "u", "")</f>
        <v/>
      </c>
      <c r="BV135" s="80" t="str">
        <f>IF(AND($F135&lt;&gt;"", $F135&gt;=BV$5-4, $F135&lt;=BV$5, COUNTIF($M135:BU135,"u")=0), "u", "")</f>
        <v/>
      </c>
      <c r="BW135" s="80" t="str">
        <f>IF(AND($F135&lt;&gt;"", $F135&gt;=BW$5-4, $F135&lt;=BW$5, COUNTIF($M135:BV135,"u")=0), "u", "")</f>
        <v/>
      </c>
      <c r="BX135" s="80" t="str">
        <f>IF(AND($F135&lt;&gt;"", $F135&gt;=BX$5-4, $F135&lt;=BX$5, COUNTIF($M135:BW135,"u")=0), "u", "")</f>
        <v/>
      </c>
      <c r="BY135" s="80" t="str">
        <f>IF(AND($F135&lt;&gt;"", $F135&gt;=BY$5-4, $F135&lt;=BY$5, COUNTIF($M135:BX135,"u")=0), "u", "")</f>
        <v/>
      </c>
      <c r="BZ135" s="80" t="str">
        <f>IF(AND($F135&lt;&gt;"", $F135&gt;=BZ$5-4, $F135&lt;=BZ$5, COUNTIF($M135:BY135,"u")=0), "u", "")</f>
        <v/>
      </c>
      <c r="CA135" s="80" t="str">
        <f>IF(AND($F135&lt;&gt;"", $F135&gt;=CA$5-4, $F135&lt;=CA$5, COUNTIF($M135:BZ135,"u")=0), "u", "")</f>
        <v/>
      </c>
      <c r="CB135" s="80" t="str">
        <f>IF(AND($F135&lt;&gt;"", $F135&gt;=CB$5-4, $F135&lt;=CB$5, COUNTIF($M135:CA135,"u")=0), "u", "")</f>
        <v/>
      </c>
      <c r="CC135" s="80" t="str">
        <f>IF(AND($F135&lt;&gt;"", $F135&gt;=CC$5-4, $F135&lt;=CC$5, COUNTIF($M135:CB135,"u")=0), "u", "")</f>
        <v/>
      </c>
      <c r="CD135" s="80" t="str">
        <f>IF(AND($F135&lt;&gt;"", $F135&gt;=CD$5-4, $F135&lt;=CD$5, COUNTIF($M135:CC135,"u")=0), "u", "")</f>
        <v/>
      </c>
      <c r="CE135" s="80" t="str">
        <f>IF(AND($F135&lt;&gt;"", $F135&gt;=CE$5-4, $F135&lt;=CE$5, COUNTIF($M135:CD135,"u")=0), "u", "")</f>
        <v/>
      </c>
      <c r="CF135" s="80" t="str">
        <f>IF(AND($F135&lt;&gt;"", $F135&gt;=CF$5-4, $F135&lt;=CF$5, COUNTIF($M135:CE135,"u")=0), "u", "")</f>
        <v/>
      </c>
      <c r="CG135" s="80" t="str">
        <f>IF(AND($F135&lt;&gt;"", $F135&gt;=CG$5-4, $F135&lt;=CG$5, COUNTIF($M135:CF135,"u")=0), "u", "")</f>
        <v/>
      </c>
      <c r="CH135" s="80" t="str">
        <f>IF(AND($F135&lt;&gt;"", $F135&gt;=CH$5-4, $F135&lt;=CH$5, COUNTIF($M135:CG135,"u")=0), "u", "")</f>
        <v/>
      </c>
      <c r="CI135" s="80" t="str">
        <f>IF(AND($F135&lt;&gt;"", $F135&gt;=CI$5-4, $F135&lt;=CI$5, COUNTIF($M135:CH135,"u")=0), "u", "")</f>
        <v/>
      </c>
      <c r="CJ135" s="80" t="str">
        <f>IF(AND($F135&lt;&gt;"", $F135&gt;=CJ$5-4, $F135&lt;=CJ$5, COUNTIF($M135:CI135,"u")=0), "u", "")</f>
        <v/>
      </c>
      <c r="CK135" s="80" t="str">
        <f>IF(AND($F135&lt;&gt;"", $F135&gt;=CK$5-4, $F135&lt;=CK$5, COUNTIF($M135:CJ135,"u")=0), "u", "")</f>
        <v/>
      </c>
      <c r="CL135" s="80" t="str">
        <f>IF(AND($F135&lt;&gt;"", $F135&gt;=CL$5-4, $F135&lt;=CL$5, COUNTIF($M135:CK135,"u")=0), "u", "")</f>
        <v/>
      </c>
      <c r="CM135" s="80" t="str">
        <f>IF(AND($F135&lt;&gt;"", $F135&gt;=CM$5-4, $F135&lt;=CM$5, COUNTIF($M135:CL135,"u")=0), "u", "")</f>
        <v/>
      </c>
      <c r="CN135" s="80" t="str">
        <f>IF(AND($F135&lt;&gt;"", $F135&gt;=CN$5-4, $F135&lt;=CN$5, COUNTIF($M135:CM135,"u")=0), "u", "")</f>
        <v/>
      </c>
      <c r="CO135" s="80" t="str">
        <f>IF(AND($F135&lt;&gt;"", $F135&gt;=CO$5-4, $F135&lt;=CO$5, COUNTIF($M135:CN135,"u")=0), "u", "")</f>
        <v/>
      </c>
      <c r="CP135" s="80" t="str">
        <f>IF(AND($F135&lt;&gt;"", $F135&gt;=CP$5-4, $F135&lt;=CP$5, COUNTIF($M135:CO135,"u")=0), "u", "")</f>
        <v/>
      </c>
      <c r="CQ135" s="80" t="str">
        <f>IF(AND($F135&lt;&gt;"", $F135&gt;=CQ$5-4, $F135&lt;=CQ$5, COUNTIF($M135:CP135,"u")=0), "u", "")</f>
        <v/>
      </c>
      <c r="CR135" s="80" t="str">
        <f>IF(AND($F135&lt;&gt;"", $F135&gt;=CR$5-4, $F135&lt;=CR$5, COUNTIF($M135:CQ135,"u")=0), "u", "")</f>
        <v/>
      </c>
      <c r="CS135" s="80" t="str">
        <f>IF(AND($F135&lt;&gt;"", $F135&gt;=CS$5-4, $F135&lt;=CS$5, COUNTIF($M135:CR135,"u")=0), "u", "")</f>
        <v/>
      </c>
      <c r="CT135" s="80" t="str">
        <f>IF(AND($F135&lt;&gt;"", $F135&gt;=CT$5-4, $F135&lt;=CT$5, COUNTIF($M135:CS135,"u")=0), "u", "")</f>
        <v/>
      </c>
      <c r="CU135" s="80" t="str">
        <f>IF(AND($F135&lt;&gt;"", $F135&gt;=CU$5-4, $F135&lt;=CU$5, COUNTIF($M135:CT135,"u")=0), "u", "")</f>
        <v/>
      </c>
      <c r="CV135" s="80" t="str">
        <f>IF(AND($F135&lt;&gt;"", $F135&gt;=CV$5-4, $F135&lt;=CV$5, COUNTIF($M135:CU135,"u")=0), "u", "")</f>
        <v/>
      </c>
      <c r="CW135" s="80" t="str">
        <f>IF(AND($F135&lt;&gt;"", $F135&gt;=CW$5-4, $F135&lt;=CW$5, COUNTIF($M135:CV135,"u")=0), "u", "")</f>
        <v/>
      </c>
      <c r="CX135" s="80" t="str">
        <f>IF(AND($F135&lt;&gt;"", $F135&gt;=CX$5-4, $F135&lt;=CX$5, COUNTIF($M135:CW135,"u")=0), "u", "")</f>
        <v/>
      </c>
      <c r="CY135" s="80" t="str">
        <f>IF(AND($F135&lt;&gt;"", $F135&gt;=CY$5-4, $F135&lt;=CY$5, COUNTIF($M135:CX135,"u")=0), "u", "")</f>
        <v/>
      </c>
      <c r="CZ135" s="80" t="str">
        <f>IF(AND($F135&lt;&gt;"", $F135&gt;=CZ$5-4, $F135&lt;=CZ$5, COUNTIF($M135:CY135,"u")=0), "u", "")</f>
        <v/>
      </c>
      <c r="DA135" s="80" t="str">
        <f>IF(AND($F135&lt;&gt;"", $F135&gt;=DA$5-4, $F135&lt;=DA$5, COUNTIF($M135:CZ135,"u")=0), "u", "")</f>
        <v/>
      </c>
      <c r="DB135" s="80" t="str">
        <f>IF(AND($F135&lt;&gt;"", $F135&gt;=DB$5-4, $F135&lt;=DB$5, COUNTIF($M135:DA135,"u")=0), "u", "")</f>
        <v/>
      </c>
      <c r="DC135" s="80" t="str">
        <f>IF(AND($F135&lt;&gt;"", $F135&gt;=DC$5-4, $F135&lt;=DC$5, COUNTIF($M135:DB135,"u")=0), "u", "")</f>
        <v/>
      </c>
      <c r="DD135" s="80" t="str">
        <f>IF(AND($F135&lt;&gt;"", $F135&gt;=DD$5-4, $F135&lt;=DD$5, COUNTIF($M135:DC135,"u")=0), "u", "")</f>
        <v/>
      </c>
      <c r="DE135" s="80" t="str">
        <f>IF(AND($F135&lt;&gt;"", $F135&gt;=DE$5-4, $F135&lt;=DE$5, COUNTIF($M135:DD135,"u")=0), "u", "")</f>
        <v/>
      </c>
      <c r="DF135" s="80" t="str">
        <f>IF(AND($F135&lt;&gt;"", $F135&gt;=DF$5-4, $F135&lt;=DF$5, COUNTIF($M135:DE135,"u")=0), "u", "")</f>
        <v/>
      </c>
      <c r="DG135" s="80" t="str">
        <f>IF(AND($F135&lt;&gt;"", $F135&gt;=DG$5-4, $F135&lt;=DG$5, COUNTIF($M135:DF135,"u")=0), "u", "")</f>
        <v/>
      </c>
      <c r="DH135" s="80" t="str">
        <f>IF(AND($F135&lt;&gt;"", $F135&gt;=DH$5-4, $F135&lt;=DH$5, COUNTIF($M135:DG135,"u")=0), "u", "")</f>
        <v/>
      </c>
      <c r="DI135" s="80" t="str">
        <f>IF(AND($F135&lt;&gt;"", $F135&gt;=DI$5-4, $F135&lt;=DI$5, COUNTIF($M135:DH135,"u")=0), "u", "")</f>
        <v/>
      </c>
      <c r="DJ135" s="80" t="str">
        <f>IF(AND($F135&lt;&gt;"", $F135&gt;=DJ$5-4, $F135&lt;=DJ$5, COUNTIF($M135:DI135,"u")=0), "u", "")</f>
        <v/>
      </c>
      <c r="DK135" s="80" t="str">
        <f>IF(AND($F135&lt;&gt;"", $F135&gt;=DK$5-4, $F135&lt;=DK$5, COUNTIF($M135:DJ135,"u")=0), "u", "")</f>
        <v/>
      </c>
      <c r="DL135" s="80" t="str">
        <f>IF(AND($F135&lt;&gt;"", $F135&gt;=DL$5-4, $F135&lt;=DL$5, COUNTIF($M135:DK135,"u")=0), "u", "")</f>
        <v/>
      </c>
    </row>
    <row r="136" spans="1:116" ht="25.05" customHeight="1" x14ac:dyDescent="0.3">
      <c r="A136" s="39"/>
      <c r="B136" s="75">
        <v>131</v>
      </c>
      <c r="C136" s="97"/>
      <c r="D136" s="92"/>
      <c r="E136" s="53"/>
      <c r="F136" s="53"/>
      <c r="G136" s="83" t="str">
        <f t="shared" si="50"/>
        <v/>
      </c>
      <c r="H136" s="83" t="str">
        <f t="shared" si="50"/>
        <v/>
      </c>
      <c r="I136" s="77" t="str">
        <f t="shared" si="51"/>
        <v/>
      </c>
      <c r="J136" s="78"/>
      <c r="K136" s="86"/>
      <c r="L136" s="56"/>
      <c r="M136" s="80" t="str">
        <f t="shared" si="52"/>
        <v/>
      </c>
      <c r="N136" s="80" t="str">
        <f>IF(AND($F136&lt;&gt;"", $F136&gt;=N$5-4, $F136&lt;=N$5, COUNTIF($M136:M136,"u")=0), "u", "")</f>
        <v/>
      </c>
      <c r="O136" s="80" t="str">
        <f>IF(AND($F136&lt;&gt;"", $F136&gt;=O$5-4, $F136&lt;=O$5, COUNTIF($M136:N136,"u")=0), "u", "")</f>
        <v/>
      </c>
      <c r="P136" s="80" t="str">
        <f>IF(AND($F136&lt;&gt;"", $F136&gt;=P$5-4, $F136&lt;=P$5, COUNTIF($M136:O136,"u")=0), "u", "")</f>
        <v/>
      </c>
      <c r="Q136" s="80" t="str">
        <f>IF(AND($F136&lt;&gt;"", $F136&gt;=Q$5-4, $F136&lt;=Q$5, COUNTIF($M136:P136,"u")=0), "u", "")</f>
        <v/>
      </c>
      <c r="R136" s="80" t="str">
        <f>IF(AND($F136&lt;&gt;"", $F136&gt;=R$5-4, $F136&lt;=R$5, COUNTIF($M136:Q136,"u")=0), "u", "")</f>
        <v/>
      </c>
      <c r="S136" s="80" t="str">
        <f>IF(AND($F136&lt;&gt;"", $F136&gt;=S$5-4, $F136&lt;=S$5, COUNTIF($M136:R136,"u")=0), "u", "")</f>
        <v/>
      </c>
      <c r="T136" s="80" t="str">
        <f>IF(AND($F136&lt;&gt;"", $F136&gt;=T$5-4, $F136&lt;=T$5, COUNTIF($M136:S136,"u")=0), "u", "")</f>
        <v/>
      </c>
      <c r="U136" s="80" t="str">
        <f>IF(AND($F136&lt;&gt;"", $F136&gt;=U$5-4, $F136&lt;=U$5, COUNTIF($M136:T136,"u")=0), "u", "")</f>
        <v/>
      </c>
      <c r="V136" s="80" t="str">
        <f>IF(AND($F136&lt;&gt;"", $F136&gt;=V$5-4, $F136&lt;=V$5, COUNTIF($M136:U136,"u")=0), "u", "")</f>
        <v/>
      </c>
      <c r="W136" s="80" t="str">
        <f>IF(AND($F136&lt;&gt;"", $F136&gt;=W$5-4, $F136&lt;=W$5, COUNTIF($M136:V136,"u")=0), "u", "")</f>
        <v/>
      </c>
      <c r="X136" s="80" t="str">
        <f>IF(AND($F136&lt;&gt;"", $F136&gt;=X$5-4, $F136&lt;=X$5, COUNTIF($M136:W136,"u")=0), "u", "")</f>
        <v/>
      </c>
      <c r="Y136" s="80" t="str">
        <f>IF(AND($F136&lt;&gt;"", $F136&gt;=Y$5-4, $F136&lt;=Y$5, COUNTIF($M136:X136,"u")=0), "u", "")</f>
        <v/>
      </c>
      <c r="Z136" s="80" t="str">
        <f>IF(AND($F136&lt;&gt;"", $F136&gt;=Z$5-4, $F136&lt;=Z$5, COUNTIF($M136:Y136,"u")=0), "u", "")</f>
        <v/>
      </c>
      <c r="AA136" s="80" t="str">
        <f>IF(AND($F136&lt;&gt;"", $F136&gt;=AA$5-4, $F136&lt;=AA$5, COUNTIF($M136:Z136,"u")=0), "u", "")</f>
        <v/>
      </c>
      <c r="AB136" s="80" t="str">
        <f>IF(AND($F136&lt;&gt;"", $F136&gt;=AB$5-4, $F136&lt;=AB$5, COUNTIF($M136:AA136,"u")=0), "u", "")</f>
        <v/>
      </c>
      <c r="AC136" s="80" t="str">
        <f>IF(AND($F136&lt;&gt;"", $F136&gt;=AC$5-4, $F136&lt;=AC$5, COUNTIF($M136:AB136,"u")=0), "u", "")</f>
        <v/>
      </c>
      <c r="AD136" s="80" t="str">
        <f>IF(AND($F136&lt;&gt;"", $F136&gt;=AD$5-4, $F136&lt;=AD$5, COUNTIF($M136:AC136,"u")=0), "u", "")</f>
        <v/>
      </c>
      <c r="AE136" s="80" t="str">
        <f>IF(AND($F136&lt;&gt;"", $F136&gt;=AE$5-4, $F136&lt;=AE$5, COUNTIF($M136:AD136,"u")=0), "u", "")</f>
        <v/>
      </c>
      <c r="AF136" s="80" t="str">
        <f>IF(AND($F136&lt;&gt;"", $F136&gt;=AF$5-4, $F136&lt;=AF$5, COUNTIF($M136:AE136,"u")=0), "u", "")</f>
        <v/>
      </c>
      <c r="AG136" s="80" t="str">
        <f>IF(AND($F136&lt;&gt;"", $F136&gt;=AG$5-4, $F136&lt;=AG$5, COUNTIF($M136:AF136,"u")=0), "u", "")</f>
        <v/>
      </c>
      <c r="AH136" s="80" t="str">
        <f>IF(AND($F136&lt;&gt;"", $F136&gt;=AH$5-4, $F136&lt;=AH$5, COUNTIF($M136:AG136,"u")=0), "u", "")</f>
        <v/>
      </c>
      <c r="AI136" s="80" t="str">
        <f>IF(AND($F136&lt;&gt;"", $F136&gt;=AI$5-4, $F136&lt;=AI$5, COUNTIF($M136:AH136,"u")=0), "u", "")</f>
        <v/>
      </c>
      <c r="AJ136" s="80" t="str">
        <f>IF(AND($F136&lt;&gt;"", $F136&gt;=AJ$5-4, $F136&lt;=AJ$5, COUNTIF($M136:AI136,"u")=0), "u", "")</f>
        <v/>
      </c>
      <c r="AK136" s="80" t="str">
        <f>IF(AND($F136&lt;&gt;"", $F136&gt;=AK$5-4, $F136&lt;=AK$5, COUNTIF($M136:AJ136,"u")=0), "u", "")</f>
        <v/>
      </c>
      <c r="AL136" s="80" t="str">
        <f>IF(AND($F136&lt;&gt;"", $F136&gt;=AL$5-4, $F136&lt;=AL$5, COUNTIF($M136:AK136,"u")=0), "u", "")</f>
        <v/>
      </c>
      <c r="AM136" s="80" t="str">
        <f>IF(AND($F136&lt;&gt;"", $F136&gt;=AM$5-4, $F136&lt;=AM$5, COUNTIF($M136:AL136,"u")=0), "u", "")</f>
        <v/>
      </c>
      <c r="AN136" s="80" t="str">
        <f>IF(AND($F136&lt;&gt;"", $F136&gt;=AN$5-4, $F136&lt;=AN$5, COUNTIF($M136:AM136,"u")=0), "u", "")</f>
        <v/>
      </c>
      <c r="AO136" s="80" t="str">
        <f>IF(AND($F136&lt;&gt;"", $F136&gt;=AO$5-4, $F136&lt;=AO$5, COUNTIF($M136:AN136,"u")=0), "u", "")</f>
        <v/>
      </c>
      <c r="AP136" s="80" t="str">
        <f>IF(AND($F136&lt;&gt;"", $F136&gt;=AP$5-4, $F136&lt;=AP$5, COUNTIF($M136:AO136,"u")=0), "u", "")</f>
        <v/>
      </c>
      <c r="AQ136" s="80" t="str">
        <f>IF(AND($F136&lt;&gt;"", $F136&gt;=AQ$5-4, $F136&lt;=AQ$5, COUNTIF($M136:AP136,"u")=0), "u", "")</f>
        <v/>
      </c>
      <c r="AR136" s="80" t="str">
        <f>IF(AND($F136&lt;&gt;"", $F136&gt;=AR$5-4, $F136&lt;=AR$5, COUNTIF($M136:AQ136,"u")=0), "u", "")</f>
        <v/>
      </c>
      <c r="AS136" s="80" t="str">
        <f>IF(AND($F136&lt;&gt;"", $F136&gt;=AS$5-4, $F136&lt;=AS$5, COUNTIF($M136:AR136,"u")=0), "u", "")</f>
        <v/>
      </c>
      <c r="AT136" s="80" t="str">
        <f>IF(AND($F136&lt;&gt;"", $F136&gt;=AT$5-4, $F136&lt;=AT$5, COUNTIF($M136:AS136,"u")=0), "u", "")</f>
        <v/>
      </c>
      <c r="AU136" s="80" t="str">
        <f>IF(AND($F136&lt;&gt;"", $F136&gt;=AU$5-4, $F136&lt;=AU$5, COUNTIF($M136:AT136,"u")=0), "u", "")</f>
        <v/>
      </c>
      <c r="AV136" s="80" t="str">
        <f>IF(AND($F136&lt;&gt;"", $F136&gt;=AV$5-4, $F136&lt;=AV$5, COUNTIF($M136:AU136,"u")=0), "u", "")</f>
        <v/>
      </c>
      <c r="AW136" s="80" t="str">
        <f>IF(AND($F136&lt;&gt;"", $F136&gt;=AW$5-4, $F136&lt;=AW$5, COUNTIF($M136:AV136,"u")=0), "u", "")</f>
        <v/>
      </c>
      <c r="AX136" s="80" t="str">
        <f>IF(AND($F136&lt;&gt;"", $F136&gt;=AX$5-4, $F136&lt;=AX$5, COUNTIF($M136:AW136,"u")=0), "u", "")</f>
        <v/>
      </c>
      <c r="AY136" s="80" t="str">
        <f>IF(AND($F136&lt;&gt;"", $F136&gt;=AY$5-4, $F136&lt;=AY$5, COUNTIF($M136:AX136,"u")=0), "u", "")</f>
        <v/>
      </c>
      <c r="AZ136" s="80" t="str">
        <f>IF(AND($F136&lt;&gt;"", $F136&gt;=AZ$5-4, $F136&lt;=AZ$5, COUNTIF($M136:AY136,"u")=0), "u", "")</f>
        <v/>
      </c>
      <c r="BA136" s="80" t="str">
        <f>IF(AND($F136&lt;&gt;"", $F136&gt;=BA$5-4, $F136&lt;=BA$5, COUNTIF($M136:AZ136,"u")=0), "u", "")</f>
        <v/>
      </c>
      <c r="BB136" s="80" t="str">
        <f>IF(AND($F136&lt;&gt;"", $F136&gt;=BB$5-4, $F136&lt;=BB$5, COUNTIF($M136:BA136,"u")=0), "u", "")</f>
        <v/>
      </c>
      <c r="BC136" s="80" t="str">
        <f>IF(AND($F136&lt;&gt;"", $F136&gt;=BC$5-4, $F136&lt;=BC$5, COUNTIF($M136:BB136,"u")=0), "u", "")</f>
        <v/>
      </c>
      <c r="BD136" s="80" t="str">
        <f>IF(AND($F136&lt;&gt;"", $F136&gt;=BD$5-4, $F136&lt;=BD$5, COUNTIF($M136:BC136,"u")=0), "u", "")</f>
        <v/>
      </c>
      <c r="BE136" s="80" t="str">
        <f>IF(AND($F136&lt;&gt;"", $F136&gt;=BE$5-4, $F136&lt;=BE$5, COUNTIF($M136:BD136,"u")=0), "u", "")</f>
        <v/>
      </c>
      <c r="BF136" s="80" t="str">
        <f>IF(AND($F136&lt;&gt;"", $F136&gt;=BF$5-4, $F136&lt;=BF$5, COUNTIF($M136:BE136,"u")=0), "u", "")</f>
        <v/>
      </c>
      <c r="BG136" s="80" t="str">
        <f>IF(AND($F136&lt;&gt;"", $F136&gt;=BG$5-4, $F136&lt;=BG$5, COUNTIF($M136:BF136,"u")=0), "u", "")</f>
        <v/>
      </c>
      <c r="BH136" s="80" t="str">
        <f>IF(AND($F136&lt;&gt;"", $F136&gt;=BH$5-4, $F136&lt;=BH$5, COUNTIF($M136:BG136,"u")=0), "u", "")</f>
        <v/>
      </c>
      <c r="BI136" s="80" t="str">
        <f>IF(AND($F136&lt;&gt;"", $F136&gt;=BI$5-4, $F136&lt;=BI$5, COUNTIF($M136:BH136,"u")=0), "u", "")</f>
        <v/>
      </c>
      <c r="BJ136" s="80" t="str">
        <f>IF(AND($F136&lt;&gt;"", $F136&gt;=BJ$5-4, $F136&lt;=BJ$5, COUNTIF($M136:BI136,"u")=0), "u", "")</f>
        <v/>
      </c>
      <c r="BK136" s="80" t="str">
        <f>IF(AND($F136&lt;&gt;"", $F136&gt;=BK$5-4, $F136&lt;=BK$5, COUNTIF($M136:BJ136,"u")=0), "u", "")</f>
        <v/>
      </c>
      <c r="BL136" s="80" t="str">
        <f>IF(AND($F136&lt;&gt;"", $F136&gt;=BL$5-4, $F136&lt;=BL$5, COUNTIF($M136:BK136,"u")=0), "u", "")</f>
        <v/>
      </c>
      <c r="BM136" s="80" t="str">
        <f>IF(AND($F136&lt;&gt;"", $F136&gt;=BM$5-4, $F136&lt;=BM$5, COUNTIF($M136:BL136,"u")=0), "u", "")</f>
        <v/>
      </c>
      <c r="BN136" s="80" t="str">
        <f>IF(AND($F136&lt;&gt;"", $F136&gt;=BN$5-4, $F136&lt;=BN$5, COUNTIF($M136:BM136,"u")=0), "u", "")</f>
        <v/>
      </c>
      <c r="BO136" s="80" t="str">
        <f>IF(AND($F136&lt;&gt;"", $F136&gt;=BO$5-4, $F136&lt;=BO$5, COUNTIF($M136:BN136,"u")=0), "u", "")</f>
        <v/>
      </c>
      <c r="BP136" s="80" t="str">
        <f>IF(AND($F136&lt;&gt;"", $F136&gt;=BP$5-4, $F136&lt;=BP$5, COUNTIF($M136:BO136,"u")=0), "u", "")</f>
        <v/>
      </c>
      <c r="BQ136" s="80" t="str">
        <f>IF(AND($F136&lt;&gt;"", $F136&gt;=BQ$5-4, $F136&lt;=BQ$5, COUNTIF($M136:BP136,"u")=0), "u", "")</f>
        <v/>
      </c>
      <c r="BR136" s="80" t="str">
        <f>IF(AND($F136&lt;&gt;"", $F136&gt;=BR$5-4, $F136&lt;=BR$5, COUNTIF($M136:BQ136,"u")=0), "u", "")</f>
        <v/>
      </c>
      <c r="BS136" s="80" t="str">
        <f>IF(AND($F136&lt;&gt;"", $F136&gt;=BS$5-4, $F136&lt;=BS$5, COUNTIF($M136:BR136,"u")=0), "u", "")</f>
        <v/>
      </c>
      <c r="BT136" s="80" t="str">
        <f>IF(AND($F136&lt;&gt;"", $F136&gt;=BT$5-4, $F136&lt;=BT$5, COUNTIF($M136:BS136,"u")=0), "u", "")</f>
        <v/>
      </c>
      <c r="BU136" s="80" t="str">
        <f>IF(AND($F136&lt;&gt;"", $F136&gt;=BU$5-4, $F136&lt;=BU$5, COUNTIF($M136:BT136,"u")=0), "u", "")</f>
        <v/>
      </c>
      <c r="BV136" s="80" t="str">
        <f>IF(AND($F136&lt;&gt;"", $F136&gt;=BV$5-4, $F136&lt;=BV$5, COUNTIF($M136:BU136,"u")=0), "u", "")</f>
        <v/>
      </c>
      <c r="BW136" s="80" t="str">
        <f>IF(AND($F136&lt;&gt;"", $F136&gt;=BW$5-4, $F136&lt;=BW$5, COUNTIF($M136:BV136,"u")=0), "u", "")</f>
        <v/>
      </c>
      <c r="BX136" s="80" t="str">
        <f>IF(AND($F136&lt;&gt;"", $F136&gt;=BX$5-4, $F136&lt;=BX$5, COUNTIF($M136:BW136,"u")=0), "u", "")</f>
        <v/>
      </c>
      <c r="BY136" s="80" t="str">
        <f>IF(AND($F136&lt;&gt;"", $F136&gt;=BY$5-4, $F136&lt;=BY$5, COUNTIF($M136:BX136,"u")=0), "u", "")</f>
        <v/>
      </c>
      <c r="BZ136" s="80" t="str">
        <f>IF(AND($F136&lt;&gt;"", $F136&gt;=BZ$5-4, $F136&lt;=BZ$5, COUNTIF($M136:BY136,"u")=0), "u", "")</f>
        <v/>
      </c>
      <c r="CA136" s="80" t="str">
        <f>IF(AND($F136&lt;&gt;"", $F136&gt;=CA$5-4, $F136&lt;=CA$5, COUNTIF($M136:BZ136,"u")=0), "u", "")</f>
        <v/>
      </c>
      <c r="CB136" s="80" t="str">
        <f>IF(AND($F136&lt;&gt;"", $F136&gt;=CB$5-4, $F136&lt;=CB$5, COUNTIF($M136:CA136,"u")=0), "u", "")</f>
        <v/>
      </c>
      <c r="CC136" s="80" t="str">
        <f>IF(AND($F136&lt;&gt;"", $F136&gt;=CC$5-4, $F136&lt;=CC$5, COUNTIF($M136:CB136,"u")=0), "u", "")</f>
        <v/>
      </c>
      <c r="CD136" s="80" t="str">
        <f>IF(AND($F136&lt;&gt;"", $F136&gt;=CD$5-4, $F136&lt;=CD$5, COUNTIF($M136:CC136,"u")=0), "u", "")</f>
        <v/>
      </c>
      <c r="CE136" s="80" t="str">
        <f>IF(AND($F136&lt;&gt;"", $F136&gt;=CE$5-4, $F136&lt;=CE$5, COUNTIF($M136:CD136,"u")=0), "u", "")</f>
        <v/>
      </c>
      <c r="CF136" s="80" t="str">
        <f>IF(AND($F136&lt;&gt;"", $F136&gt;=CF$5-4, $F136&lt;=CF$5, COUNTIF($M136:CE136,"u")=0), "u", "")</f>
        <v/>
      </c>
      <c r="CG136" s="80" t="str">
        <f>IF(AND($F136&lt;&gt;"", $F136&gt;=CG$5-4, $F136&lt;=CG$5, COUNTIF($M136:CF136,"u")=0), "u", "")</f>
        <v/>
      </c>
      <c r="CH136" s="80" t="str">
        <f>IF(AND($F136&lt;&gt;"", $F136&gt;=CH$5-4, $F136&lt;=CH$5, COUNTIF($M136:CG136,"u")=0), "u", "")</f>
        <v/>
      </c>
      <c r="CI136" s="80" t="str">
        <f>IF(AND($F136&lt;&gt;"", $F136&gt;=CI$5-4, $F136&lt;=CI$5, COUNTIF($M136:CH136,"u")=0), "u", "")</f>
        <v/>
      </c>
      <c r="CJ136" s="80" t="str">
        <f>IF(AND($F136&lt;&gt;"", $F136&gt;=CJ$5-4, $F136&lt;=CJ$5, COUNTIF($M136:CI136,"u")=0), "u", "")</f>
        <v/>
      </c>
      <c r="CK136" s="80" t="str">
        <f>IF(AND($F136&lt;&gt;"", $F136&gt;=CK$5-4, $F136&lt;=CK$5, COUNTIF($M136:CJ136,"u")=0), "u", "")</f>
        <v/>
      </c>
      <c r="CL136" s="80" t="str">
        <f>IF(AND($F136&lt;&gt;"", $F136&gt;=CL$5-4, $F136&lt;=CL$5, COUNTIF($M136:CK136,"u")=0), "u", "")</f>
        <v/>
      </c>
      <c r="CM136" s="80" t="str">
        <f>IF(AND($F136&lt;&gt;"", $F136&gt;=CM$5-4, $F136&lt;=CM$5, COUNTIF($M136:CL136,"u")=0), "u", "")</f>
        <v/>
      </c>
      <c r="CN136" s="80" t="str">
        <f>IF(AND($F136&lt;&gt;"", $F136&gt;=CN$5-4, $F136&lt;=CN$5, COUNTIF($M136:CM136,"u")=0), "u", "")</f>
        <v/>
      </c>
      <c r="CO136" s="80" t="str">
        <f>IF(AND($F136&lt;&gt;"", $F136&gt;=CO$5-4, $F136&lt;=CO$5, COUNTIF($M136:CN136,"u")=0), "u", "")</f>
        <v/>
      </c>
      <c r="CP136" s="80" t="str">
        <f>IF(AND($F136&lt;&gt;"", $F136&gt;=CP$5-4, $F136&lt;=CP$5, COUNTIF($M136:CO136,"u")=0), "u", "")</f>
        <v/>
      </c>
      <c r="CQ136" s="80" t="str">
        <f>IF(AND($F136&lt;&gt;"", $F136&gt;=CQ$5-4, $F136&lt;=CQ$5, COUNTIF($M136:CP136,"u")=0), "u", "")</f>
        <v/>
      </c>
      <c r="CR136" s="80" t="str">
        <f>IF(AND($F136&lt;&gt;"", $F136&gt;=CR$5-4, $F136&lt;=CR$5, COUNTIF($M136:CQ136,"u")=0), "u", "")</f>
        <v/>
      </c>
      <c r="CS136" s="80" t="str">
        <f>IF(AND($F136&lt;&gt;"", $F136&gt;=CS$5-4, $F136&lt;=CS$5, COUNTIF($M136:CR136,"u")=0), "u", "")</f>
        <v/>
      </c>
      <c r="CT136" s="80" t="str">
        <f>IF(AND($F136&lt;&gt;"", $F136&gt;=CT$5-4, $F136&lt;=CT$5, COUNTIF($M136:CS136,"u")=0), "u", "")</f>
        <v/>
      </c>
      <c r="CU136" s="80" t="str">
        <f>IF(AND($F136&lt;&gt;"", $F136&gt;=CU$5-4, $F136&lt;=CU$5, COUNTIF($M136:CT136,"u")=0), "u", "")</f>
        <v/>
      </c>
      <c r="CV136" s="80" t="str">
        <f>IF(AND($F136&lt;&gt;"", $F136&gt;=CV$5-4, $F136&lt;=CV$5, COUNTIF($M136:CU136,"u")=0), "u", "")</f>
        <v/>
      </c>
      <c r="CW136" s="80" t="str">
        <f>IF(AND($F136&lt;&gt;"", $F136&gt;=CW$5-4, $F136&lt;=CW$5, COUNTIF($M136:CV136,"u")=0), "u", "")</f>
        <v/>
      </c>
      <c r="CX136" s="80" t="str">
        <f>IF(AND($F136&lt;&gt;"", $F136&gt;=CX$5-4, $F136&lt;=CX$5, COUNTIF($M136:CW136,"u")=0), "u", "")</f>
        <v/>
      </c>
      <c r="CY136" s="80" t="str">
        <f>IF(AND($F136&lt;&gt;"", $F136&gt;=CY$5-4, $F136&lt;=CY$5, COUNTIF($M136:CX136,"u")=0), "u", "")</f>
        <v/>
      </c>
      <c r="CZ136" s="80" t="str">
        <f>IF(AND($F136&lt;&gt;"", $F136&gt;=CZ$5-4, $F136&lt;=CZ$5, COUNTIF($M136:CY136,"u")=0), "u", "")</f>
        <v/>
      </c>
      <c r="DA136" s="80" t="str">
        <f>IF(AND($F136&lt;&gt;"", $F136&gt;=DA$5-4, $F136&lt;=DA$5, COUNTIF($M136:CZ136,"u")=0), "u", "")</f>
        <v/>
      </c>
      <c r="DB136" s="80" t="str">
        <f>IF(AND($F136&lt;&gt;"", $F136&gt;=DB$5-4, $F136&lt;=DB$5, COUNTIF($M136:DA136,"u")=0), "u", "")</f>
        <v/>
      </c>
      <c r="DC136" s="80" t="str">
        <f>IF(AND($F136&lt;&gt;"", $F136&gt;=DC$5-4, $F136&lt;=DC$5, COUNTIF($M136:DB136,"u")=0), "u", "")</f>
        <v/>
      </c>
      <c r="DD136" s="80" t="str">
        <f>IF(AND($F136&lt;&gt;"", $F136&gt;=DD$5-4, $F136&lt;=DD$5, COUNTIF($M136:DC136,"u")=0), "u", "")</f>
        <v/>
      </c>
      <c r="DE136" s="80" t="str">
        <f>IF(AND($F136&lt;&gt;"", $F136&gt;=DE$5-4, $F136&lt;=DE$5, COUNTIF($M136:DD136,"u")=0), "u", "")</f>
        <v/>
      </c>
      <c r="DF136" s="80" t="str">
        <f>IF(AND($F136&lt;&gt;"", $F136&gt;=DF$5-4, $F136&lt;=DF$5, COUNTIF($M136:DE136,"u")=0), "u", "")</f>
        <v/>
      </c>
      <c r="DG136" s="80" t="str">
        <f>IF(AND($F136&lt;&gt;"", $F136&gt;=DG$5-4, $F136&lt;=DG$5, COUNTIF($M136:DF136,"u")=0), "u", "")</f>
        <v/>
      </c>
      <c r="DH136" s="80" t="str">
        <f>IF(AND($F136&lt;&gt;"", $F136&gt;=DH$5-4, $F136&lt;=DH$5, COUNTIF($M136:DG136,"u")=0), "u", "")</f>
        <v/>
      </c>
      <c r="DI136" s="80" t="str">
        <f>IF(AND($F136&lt;&gt;"", $F136&gt;=DI$5-4, $F136&lt;=DI$5, COUNTIF($M136:DH136,"u")=0), "u", "")</f>
        <v/>
      </c>
      <c r="DJ136" s="80" t="str">
        <f>IF(AND($F136&lt;&gt;"", $F136&gt;=DJ$5-4, $F136&lt;=DJ$5, COUNTIF($M136:DI136,"u")=0), "u", "")</f>
        <v/>
      </c>
      <c r="DK136" s="80" t="str">
        <f>IF(AND($F136&lt;&gt;"", $F136&gt;=DK$5-4, $F136&lt;=DK$5, COUNTIF($M136:DJ136,"u")=0), "u", "")</f>
        <v/>
      </c>
      <c r="DL136" s="80" t="str">
        <f>IF(AND($F136&lt;&gt;"", $F136&gt;=DL$5-4, $F136&lt;=DL$5, COUNTIF($M136:DK136,"u")=0), "u", "")</f>
        <v/>
      </c>
    </row>
    <row r="137" spans="1:116" ht="25.05" customHeight="1" x14ac:dyDescent="0.3">
      <c r="A137" s="39"/>
      <c r="B137" s="75">
        <v>132</v>
      </c>
      <c r="C137" s="97"/>
      <c r="D137" s="92"/>
      <c r="E137" s="53"/>
      <c r="F137" s="53"/>
      <c r="G137" s="83" t="str">
        <f t="shared" si="50"/>
        <v/>
      </c>
      <c r="H137" s="83" t="str">
        <f t="shared" si="50"/>
        <v/>
      </c>
      <c r="I137" s="77" t="str">
        <f t="shared" si="51"/>
        <v/>
      </c>
      <c r="J137" s="78"/>
      <c r="K137" s="86"/>
      <c r="L137" s="56"/>
      <c r="M137" s="80" t="str">
        <f t="shared" si="52"/>
        <v/>
      </c>
      <c r="N137" s="80" t="str">
        <f>IF(AND($F137&lt;&gt;"", $F137&gt;=N$5-4, $F137&lt;=N$5, COUNTIF($M137:M137,"u")=0), "u", "")</f>
        <v/>
      </c>
      <c r="O137" s="80" t="str">
        <f>IF(AND($F137&lt;&gt;"", $F137&gt;=O$5-4, $F137&lt;=O$5, COUNTIF($M137:N137,"u")=0), "u", "")</f>
        <v/>
      </c>
      <c r="P137" s="80" t="str">
        <f>IF(AND($F137&lt;&gt;"", $F137&gt;=P$5-4, $F137&lt;=P$5, COUNTIF($M137:O137,"u")=0), "u", "")</f>
        <v/>
      </c>
      <c r="Q137" s="80" t="str">
        <f>IF(AND($F137&lt;&gt;"", $F137&gt;=Q$5-4, $F137&lt;=Q$5, COUNTIF($M137:P137,"u")=0), "u", "")</f>
        <v/>
      </c>
      <c r="R137" s="80" t="str">
        <f>IF(AND($F137&lt;&gt;"", $F137&gt;=R$5-4, $F137&lt;=R$5, COUNTIF($M137:Q137,"u")=0), "u", "")</f>
        <v/>
      </c>
      <c r="S137" s="80" t="str">
        <f>IF(AND($F137&lt;&gt;"", $F137&gt;=S$5-4, $F137&lt;=S$5, COUNTIF($M137:R137,"u")=0), "u", "")</f>
        <v/>
      </c>
      <c r="T137" s="80" t="str">
        <f>IF(AND($F137&lt;&gt;"", $F137&gt;=T$5-4, $F137&lt;=T$5, COUNTIF($M137:S137,"u")=0), "u", "")</f>
        <v/>
      </c>
      <c r="U137" s="80" t="str">
        <f>IF(AND($F137&lt;&gt;"", $F137&gt;=U$5-4, $F137&lt;=U$5, COUNTIF($M137:T137,"u")=0), "u", "")</f>
        <v/>
      </c>
      <c r="V137" s="80" t="str">
        <f>IF(AND($F137&lt;&gt;"", $F137&gt;=V$5-4, $F137&lt;=V$5, COUNTIF($M137:U137,"u")=0), "u", "")</f>
        <v/>
      </c>
      <c r="W137" s="80" t="str">
        <f>IF(AND($F137&lt;&gt;"", $F137&gt;=W$5-4, $F137&lt;=W$5, COUNTIF($M137:V137,"u")=0), "u", "")</f>
        <v/>
      </c>
      <c r="X137" s="80" t="str">
        <f>IF(AND($F137&lt;&gt;"", $F137&gt;=X$5-4, $F137&lt;=X$5, COUNTIF($M137:W137,"u")=0), "u", "")</f>
        <v/>
      </c>
      <c r="Y137" s="80" t="str">
        <f>IF(AND($F137&lt;&gt;"", $F137&gt;=Y$5-4, $F137&lt;=Y$5, COUNTIF($M137:X137,"u")=0), "u", "")</f>
        <v/>
      </c>
      <c r="Z137" s="80" t="str">
        <f>IF(AND($F137&lt;&gt;"", $F137&gt;=Z$5-4, $F137&lt;=Z$5, COUNTIF($M137:Y137,"u")=0), "u", "")</f>
        <v/>
      </c>
      <c r="AA137" s="80" t="str">
        <f>IF(AND($F137&lt;&gt;"", $F137&gt;=AA$5-4, $F137&lt;=AA$5, COUNTIF($M137:Z137,"u")=0), "u", "")</f>
        <v/>
      </c>
      <c r="AB137" s="80" t="str">
        <f>IF(AND($F137&lt;&gt;"", $F137&gt;=AB$5-4, $F137&lt;=AB$5, COUNTIF($M137:AA137,"u")=0), "u", "")</f>
        <v/>
      </c>
      <c r="AC137" s="80" t="str">
        <f>IF(AND($F137&lt;&gt;"", $F137&gt;=AC$5-4, $F137&lt;=AC$5, COUNTIF($M137:AB137,"u")=0), "u", "")</f>
        <v/>
      </c>
      <c r="AD137" s="80" t="str">
        <f>IF(AND($F137&lt;&gt;"", $F137&gt;=AD$5-4, $F137&lt;=AD$5, COUNTIF($M137:AC137,"u")=0), "u", "")</f>
        <v/>
      </c>
      <c r="AE137" s="80" t="str">
        <f>IF(AND($F137&lt;&gt;"", $F137&gt;=AE$5-4, $F137&lt;=AE$5, COUNTIF($M137:AD137,"u")=0), "u", "")</f>
        <v/>
      </c>
      <c r="AF137" s="80" t="str">
        <f>IF(AND($F137&lt;&gt;"", $F137&gt;=AF$5-4, $F137&lt;=AF$5, COUNTIF($M137:AE137,"u")=0), "u", "")</f>
        <v/>
      </c>
      <c r="AG137" s="80" t="str">
        <f>IF(AND($F137&lt;&gt;"", $F137&gt;=AG$5-4, $F137&lt;=AG$5, COUNTIF($M137:AF137,"u")=0), "u", "")</f>
        <v/>
      </c>
      <c r="AH137" s="80" t="str">
        <f>IF(AND($F137&lt;&gt;"", $F137&gt;=AH$5-4, $F137&lt;=AH$5, COUNTIF($M137:AG137,"u")=0), "u", "")</f>
        <v/>
      </c>
      <c r="AI137" s="80" t="str">
        <f>IF(AND($F137&lt;&gt;"", $F137&gt;=AI$5-4, $F137&lt;=AI$5, COUNTIF($M137:AH137,"u")=0), "u", "")</f>
        <v/>
      </c>
      <c r="AJ137" s="80" t="str">
        <f>IF(AND($F137&lt;&gt;"", $F137&gt;=AJ$5-4, $F137&lt;=AJ$5, COUNTIF($M137:AI137,"u")=0), "u", "")</f>
        <v/>
      </c>
      <c r="AK137" s="80" t="str">
        <f>IF(AND($F137&lt;&gt;"", $F137&gt;=AK$5-4, $F137&lt;=AK$5, COUNTIF($M137:AJ137,"u")=0), "u", "")</f>
        <v/>
      </c>
      <c r="AL137" s="80" t="str">
        <f>IF(AND($F137&lt;&gt;"", $F137&gt;=AL$5-4, $F137&lt;=AL$5, COUNTIF($M137:AK137,"u")=0), "u", "")</f>
        <v/>
      </c>
      <c r="AM137" s="80" t="str">
        <f>IF(AND($F137&lt;&gt;"", $F137&gt;=AM$5-4, $F137&lt;=AM$5, COUNTIF($M137:AL137,"u")=0), "u", "")</f>
        <v/>
      </c>
      <c r="AN137" s="80" t="str">
        <f>IF(AND($F137&lt;&gt;"", $F137&gt;=AN$5-4, $F137&lt;=AN$5, COUNTIF($M137:AM137,"u")=0), "u", "")</f>
        <v/>
      </c>
      <c r="AO137" s="80" t="str">
        <f>IF(AND($F137&lt;&gt;"", $F137&gt;=AO$5-4, $F137&lt;=AO$5, COUNTIF($M137:AN137,"u")=0), "u", "")</f>
        <v/>
      </c>
      <c r="AP137" s="80" t="str">
        <f>IF(AND($F137&lt;&gt;"", $F137&gt;=AP$5-4, $F137&lt;=AP$5, COUNTIF($M137:AO137,"u")=0), "u", "")</f>
        <v/>
      </c>
      <c r="AQ137" s="80" t="str">
        <f>IF(AND($F137&lt;&gt;"", $F137&gt;=AQ$5-4, $F137&lt;=AQ$5, COUNTIF($M137:AP137,"u")=0), "u", "")</f>
        <v/>
      </c>
      <c r="AR137" s="80" t="str">
        <f>IF(AND($F137&lt;&gt;"", $F137&gt;=AR$5-4, $F137&lt;=AR$5, COUNTIF($M137:AQ137,"u")=0), "u", "")</f>
        <v/>
      </c>
      <c r="AS137" s="80" t="str">
        <f>IF(AND($F137&lt;&gt;"", $F137&gt;=AS$5-4, $F137&lt;=AS$5, COUNTIF($M137:AR137,"u")=0), "u", "")</f>
        <v/>
      </c>
      <c r="AT137" s="80" t="str">
        <f>IF(AND($F137&lt;&gt;"", $F137&gt;=AT$5-4, $F137&lt;=AT$5, COUNTIF($M137:AS137,"u")=0), "u", "")</f>
        <v/>
      </c>
      <c r="AU137" s="80" t="str">
        <f>IF(AND($F137&lt;&gt;"", $F137&gt;=AU$5-4, $F137&lt;=AU$5, COUNTIF($M137:AT137,"u")=0), "u", "")</f>
        <v/>
      </c>
      <c r="AV137" s="80" t="str">
        <f>IF(AND($F137&lt;&gt;"", $F137&gt;=AV$5-4, $F137&lt;=AV$5, COUNTIF($M137:AU137,"u")=0), "u", "")</f>
        <v/>
      </c>
      <c r="AW137" s="80" t="str">
        <f>IF(AND($F137&lt;&gt;"", $F137&gt;=AW$5-4, $F137&lt;=AW$5, COUNTIF($M137:AV137,"u")=0), "u", "")</f>
        <v/>
      </c>
      <c r="AX137" s="80" t="str">
        <f>IF(AND($F137&lt;&gt;"", $F137&gt;=AX$5-4, $F137&lt;=AX$5, COUNTIF($M137:AW137,"u")=0), "u", "")</f>
        <v/>
      </c>
      <c r="AY137" s="80" t="str">
        <f>IF(AND($F137&lt;&gt;"", $F137&gt;=AY$5-4, $F137&lt;=AY$5, COUNTIF($M137:AX137,"u")=0), "u", "")</f>
        <v/>
      </c>
      <c r="AZ137" s="80" t="str">
        <f>IF(AND($F137&lt;&gt;"", $F137&gt;=AZ$5-4, $F137&lt;=AZ$5, COUNTIF($M137:AY137,"u")=0), "u", "")</f>
        <v/>
      </c>
      <c r="BA137" s="80" t="str">
        <f>IF(AND($F137&lt;&gt;"", $F137&gt;=BA$5-4, $F137&lt;=BA$5, COUNTIF($M137:AZ137,"u")=0), "u", "")</f>
        <v/>
      </c>
      <c r="BB137" s="80" t="str">
        <f>IF(AND($F137&lt;&gt;"", $F137&gt;=BB$5-4, $F137&lt;=BB$5, COUNTIF($M137:BA137,"u")=0), "u", "")</f>
        <v/>
      </c>
      <c r="BC137" s="80" t="str">
        <f>IF(AND($F137&lt;&gt;"", $F137&gt;=BC$5-4, $F137&lt;=BC$5, COUNTIF($M137:BB137,"u")=0), "u", "")</f>
        <v/>
      </c>
      <c r="BD137" s="80" t="str">
        <f>IF(AND($F137&lt;&gt;"", $F137&gt;=BD$5-4, $F137&lt;=BD$5, COUNTIF($M137:BC137,"u")=0), "u", "")</f>
        <v/>
      </c>
      <c r="BE137" s="80" t="str">
        <f>IF(AND($F137&lt;&gt;"", $F137&gt;=BE$5-4, $F137&lt;=BE$5, COUNTIF($M137:BD137,"u")=0), "u", "")</f>
        <v/>
      </c>
      <c r="BF137" s="80" t="str">
        <f>IF(AND($F137&lt;&gt;"", $F137&gt;=BF$5-4, $F137&lt;=BF$5, COUNTIF($M137:BE137,"u")=0), "u", "")</f>
        <v/>
      </c>
      <c r="BG137" s="80" t="str">
        <f>IF(AND($F137&lt;&gt;"", $F137&gt;=BG$5-4, $F137&lt;=BG$5, COUNTIF($M137:BF137,"u")=0), "u", "")</f>
        <v/>
      </c>
      <c r="BH137" s="80" t="str">
        <f>IF(AND($F137&lt;&gt;"", $F137&gt;=BH$5-4, $F137&lt;=BH$5, COUNTIF($M137:BG137,"u")=0), "u", "")</f>
        <v/>
      </c>
      <c r="BI137" s="80" t="str">
        <f>IF(AND($F137&lt;&gt;"", $F137&gt;=BI$5-4, $F137&lt;=BI$5, COUNTIF($M137:BH137,"u")=0), "u", "")</f>
        <v/>
      </c>
      <c r="BJ137" s="80" t="str">
        <f>IF(AND($F137&lt;&gt;"", $F137&gt;=BJ$5-4, $F137&lt;=BJ$5, COUNTIF($M137:BI137,"u")=0), "u", "")</f>
        <v/>
      </c>
      <c r="BK137" s="80" t="str">
        <f>IF(AND($F137&lt;&gt;"", $F137&gt;=BK$5-4, $F137&lt;=BK$5, COUNTIF($M137:BJ137,"u")=0), "u", "")</f>
        <v/>
      </c>
      <c r="BL137" s="80" t="str">
        <f>IF(AND($F137&lt;&gt;"", $F137&gt;=BL$5-4, $F137&lt;=BL$5, COUNTIF($M137:BK137,"u")=0), "u", "")</f>
        <v/>
      </c>
      <c r="BM137" s="80" t="str">
        <f>IF(AND($F137&lt;&gt;"", $F137&gt;=BM$5-4, $F137&lt;=BM$5, COUNTIF($M137:BL137,"u")=0), "u", "")</f>
        <v/>
      </c>
      <c r="BN137" s="80" t="str">
        <f>IF(AND($F137&lt;&gt;"", $F137&gt;=BN$5-4, $F137&lt;=BN$5, COUNTIF($M137:BM137,"u")=0), "u", "")</f>
        <v/>
      </c>
      <c r="BO137" s="80" t="str">
        <f>IF(AND($F137&lt;&gt;"", $F137&gt;=BO$5-4, $F137&lt;=BO$5, COUNTIF($M137:BN137,"u")=0), "u", "")</f>
        <v/>
      </c>
      <c r="BP137" s="80" t="str">
        <f>IF(AND($F137&lt;&gt;"", $F137&gt;=BP$5-4, $F137&lt;=BP$5, COUNTIF($M137:BO137,"u")=0), "u", "")</f>
        <v/>
      </c>
      <c r="BQ137" s="80" t="str">
        <f>IF(AND($F137&lt;&gt;"", $F137&gt;=BQ$5-4, $F137&lt;=BQ$5, COUNTIF($M137:BP137,"u")=0), "u", "")</f>
        <v/>
      </c>
      <c r="BR137" s="80" t="str">
        <f>IF(AND($F137&lt;&gt;"", $F137&gt;=BR$5-4, $F137&lt;=BR$5, COUNTIF($M137:BQ137,"u")=0), "u", "")</f>
        <v/>
      </c>
      <c r="BS137" s="80" t="str">
        <f>IF(AND($F137&lt;&gt;"", $F137&gt;=BS$5-4, $F137&lt;=BS$5, COUNTIF($M137:BR137,"u")=0), "u", "")</f>
        <v/>
      </c>
      <c r="BT137" s="80" t="str">
        <f>IF(AND($F137&lt;&gt;"", $F137&gt;=BT$5-4, $F137&lt;=BT$5, COUNTIF($M137:BS137,"u")=0), "u", "")</f>
        <v/>
      </c>
      <c r="BU137" s="80" t="str">
        <f>IF(AND($F137&lt;&gt;"", $F137&gt;=BU$5-4, $F137&lt;=BU$5, COUNTIF($M137:BT137,"u")=0), "u", "")</f>
        <v/>
      </c>
      <c r="BV137" s="80" t="str">
        <f>IF(AND($F137&lt;&gt;"", $F137&gt;=BV$5-4, $F137&lt;=BV$5, COUNTIF($M137:BU137,"u")=0), "u", "")</f>
        <v/>
      </c>
      <c r="BW137" s="80" t="str">
        <f>IF(AND($F137&lt;&gt;"", $F137&gt;=BW$5-4, $F137&lt;=BW$5, COUNTIF($M137:BV137,"u")=0), "u", "")</f>
        <v/>
      </c>
      <c r="BX137" s="80" t="str">
        <f>IF(AND($F137&lt;&gt;"", $F137&gt;=BX$5-4, $F137&lt;=BX$5, COUNTIF($M137:BW137,"u")=0), "u", "")</f>
        <v/>
      </c>
      <c r="BY137" s="80" t="str">
        <f>IF(AND($F137&lt;&gt;"", $F137&gt;=BY$5-4, $F137&lt;=BY$5, COUNTIF($M137:BX137,"u")=0), "u", "")</f>
        <v/>
      </c>
      <c r="BZ137" s="80" t="str">
        <f>IF(AND($F137&lt;&gt;"", $F137&gt;=BZ$5-4, $F137&lt;=BZ$5, COUNTIF($M137:BY137,"u")=0), "u", "")</f>
        <v/>
      </c>
      <c r="CA137" s="80" t="str">
        <f>IF(AND($F137&lt;&gt;"", $F137&gt;=CA$5-4, $F137&lt;=CA$5, COUNTIF($M137:BZ137,"u")=0), "u", "")</f>
        <v/>
      </c>
      <c r="CB137" s="80" t="str">
        <f>IF(AND($F137&lt;&gt;"", $F137&gt;=CB$5-4, $F137&lt;=CB$5, COUNTIF($M137:CA137,"u")=0), "u", "")</f>
        <v/>
      </c>
      <c r="CC137" s="80" t="str">
        <f>IF(AND($F137&lt;&gt;"", $F137&gt;=CC$5-4, $F137&lt;=CC$5, COUNTIF($M137:CB137,"u")=0), "u", "")</f>
        <v/>
      </c>
      <c r="CD137" s="80" t="str">
        <f>IF(AND($F137&lt;&gt;"", $F137&gt;=CD$5-4, $F137&lt;=CD$5, COUNTIF($M137:CC137,"u")=0), "u", "")</f>
        <v/>
      </c>
      <c r="CE137" s="80" t="str">
        <f>IF(AND($F137&lt;&gt;"", $F137&gt;=CE$5-4, $F137&lt;=CE$5, COUNTIF($M137:CD137,"u")=0), "u", "")</f>
        <v/>
      </c>
      <c r="CF137" s="80" t="str">
        <f>IF(AND($F137&lt;&gt;"", $F137&gt;=CF$5-4, $F137&lt;=CF$5, COUNTIF($M137:CE137,"u")=0), "u", "")</f>
        <v/>
      </c>
      <c r="CG137" s="80" t="str">
        <f>IF(AND($F137&lt;&gt;"", $F137&gt;=CG$5-4, $F137&lt;=CG$5, COUNTIF($M137:CF137,"u")=0), "u", "")</f>
        <v/>
      </c>
      <c r="CH137" s="80" t="str">
        <f>IF(AND($F137&lt;&gt;"", $F137&gt;=CH$5-4, $F137&lt;=CH$5, COUNTIF($M137:CG137,"u")=0), "u", "")</f>
        <v/>
      </c>
      <c r="CI137" s="80" t="str">
        <f>IF(AND($F137&lt;&gt;"", $F137&gt;=CI$5-4, $F137&lt;=CI$5, COUNTIF($M137:CH137,"u")=0), "u", "")</f>
        <v/>
      </c>
      <c r="CJ137" s="80" t="str">
        <f>IF(AND($F137&lt;&gt;"", $F137&gt;=CJ$5-4, $F137&lt;=CJ$5, COUNTIF($M137:CI137,"u")=0), "u", "")</f>
        <v/>
      </c>
      <c r="CK137" s="80" t="str">
        <f>IF(AND($F137&lt;&gt;"", $F137&gt;=CK$5-4, $F137&lt;=CK$5, COUNTIF($M137:CJ137,"u")=0), "u", "")</f>
        <v/>
      </c>
      <c r="CL137" s="80" t="str">
        <f>IF(AND($F137&lt;&gt;"", $F137&gt;=CL$5-4, $F137&lt;=CL$5, COUNTIF($M137:CK137,"u")=0), "u", "")</f>
        <v/>
      </c>
      <c r="CM137" s="80" t="str">
        <f>IF(AND($F137&lt;&gt;"", $F137&gt;=CM$5-4, $F137&lt;=CM$5, COUNTIF($M137:CL137,"u")=0), "u", "")</f>
        <v/>
      </c>
      <c r="CN137" s="80" t="str">
        <f>IF(AND($F137&lt;&gt;"", $F137&gt;=CN$5-4, $F137&lt;=CN$5, COUNTIF($M137:CM137,"u")=0), "u", "")</f>
        <v/>
      </c>
      <c r="CO137" s="80" t="str">
        <f>IF(AND($F137&lt;&gt;"", $F137&gt;=CO$5-4, $F137&lt;=CO$5, COUNTIF($M137:CN137,"u")=0), "u", "")</f>
        <v/>
      </c>
      <c r="CP137" s="80" t="str">
        <f>IF(AND($F137&lt;&gt;"", $F137&gt;=CP$5-4, $F137&lt;=CP$5, COUNTIF($M137:CO137,"u")=0), "u", "")</f>
        <v/>
      </c>
      <c r="CQ137" s="80" t="str">
        <f>IF(AND($F137&lt;&gt;"", $F137&gt;=CQ$5-4, $F137&lt;=CQ$5, COUNTIF($M137:CP137,"u")=0), "u", "")</f>
        <v/>
      </c>
      <c r="CR137" s="80" t="str">
        <f>IF(AND($F137&lt;&gt;"", $F137&gt;=CR$5-4, $F137&lt;=CR$5, COUNTIF($M137:CQ137,"u")=0), "u", "")</f>
        <v/>
      </c>
      <c r="CS137" s="80" t="str">
        <f>IF(AND($F137&lt;&gt;"", $F137&gt;=CS$5-4, $F137&lt;=CS$5, COUNTIF($M137:CR137,"u")=0), "u", "")</f>
        <v/>
      </c>
      <c r="CT137" s="80" t="str">
        <f>IF(AND($F137&lt;&gt;"", $F137&gt;=CT$5-4, $F137&lt;=CT$5, COUNTIF($M137:CS137,"u")=0), "u", "")</f>
        <v/>
      </c>
      <c r="CU137" s="80" t="str">
        <f>IF(AND($F137&lt;&gt;"", $F137&gt;=CU$5-4, $F137&lt;=CU$5, COUNTIF($M137:CT137,"u")=0), "u", "")</f>
        <v/>
      </c>
      <c r="CV137" s="80" t="str">
        <f>IF(AND($F137&lt;&gt;"", $F137&gt;=CV$5-4, $F137&lt;=CV$5, COUNTIF($M137:CU137,"u")=0), "u", "")</f>
        <v/>
      </c>
      <c r="CW137" s="80" t="str">
        <f>IF(AND($F137&lt;&gt;"", $F137&gt;=CW$5-4, $F137&lt;=CW$5, COUNTIF($M137:CV137,"u")=0), "u", "")</f>
        <v/>
      </c>
      <c r="CX137" s="80" t="str">
        <f>IF(AND($F137&lt;&gt;"", $F137&gt;=CX$5-4, $F137&lt;=CX$5, COUNTIF($M137:CW137,"u")=0), "u", "")</f>
        <v/>
      </c>
      <c r="CY137" s="80" t="str">
        <f>IF(AND($F137&lt;&gt;"", $F137&gt;=CY$5-4, $F137&lt;=CY$5, COUNTIF($M137:CX137,"u")=0), "u", "")</f>
        <v/>
      </c>
      <c r="CZ137" s="80" t="str">
        <f>IF(AND($F137&lt;&gt;"", $F137&gt;=CZ$5-4, $F137&lt;=CZ$5, COUNTIF($M137:CY137,"u")=0), "u", "")</f>
        <v/>
      </c>
      <c r="DA137" s="80" t="str">
        <f>IF(AND($F137&lt;&gt;"", $F137&gt;=DA$5-4, $F137&lt;=DA$5, COUNTIF($M137:CZ137,"u")=0), "u", "")</f>
        <v/>
      </c>
      <c r="DB137" s="80" t="str">
        <f>IF(AND($F137&lt;&gt;"", $F137&gt;=DB$5-4, $F137&lt;=DB$5, COUNTIF($M137:DA137,"u")=0), "u", "")</f>
        <v/>
      </c>
      <c r="DC137" s="80" t="str">
        <f>IF(AND($F137&lt;&gt;"", $F137&gt;=DC$5-4, $F137&lt;=DC$5, COUNTIF($M137:DB137,"u")=0), "u", "")</f>
        <v/>
      </c>
      <c r="DD137" s="80" t="str">
        <f>IF(AND($F137&lt;&gt;"", $F137&gt;=DD$5-4, $F137&lt;=DD$5, COUNTIF($M137:DC137,"u")=0), "u", "")</f>
        <v/>
      </c>
      <c r="DE137" s="80" t="str">
        <f>IF(AND($F137&lt;&gt;"", $F137&gt;=DE$5-4, $F137&lt;=DE$5, COUNTIF($M137:DD137,"u")=0), "u", "")</f>
        <v/>
      </c>
      <c r="DF137" s="80" t="str">
        <f>IF(AND($F137&lt;&gt;"", $F137&gt;=DF$5-4, $F137&lt;=DF$5, COUNTIF($M137:DE137,"u")=0), "u", "")</f>
        <v/>
      </c>
      <c r="DG137" s="80" t="str">
        <f>IF(AND($F137&lt;&gt;"", $F137&gt;=DG$5-4, $F137&lt;=DG$5, COUNTIF($M137:DF137,"u")=0), "u", "")</f>
        <v/>
      </c>
      <c r="DH137" s="80" t="str">
        <f>IF(AND($F137&lt;&gt;"", $F137&gt;=DH$5-4, $F137&lt;=DH$5, COUNTIF($M137:DG137,"u")=0), "u", "")</f>
        <v/>
      </c>
      <c r="DI137" s="80" t="str">
        <f>IF(AND($F137&lt;&gt;"", $F137&gt;=DI$5-4, $F137&lt;=DI$5, COUNTIF($M137:DH137,"u")=0), "u", "")</f>
        <v/>
      </c>
      <c r="DJ137" s="80" t="str">
        <f>IF(AND($F137&lt;&gt;"", $F137&gt;=DJ$5-4, $F137&lt;=DJ$5, COUNTIF($M137:DI137,"u")=0), "u", "")</f>
        <v/>
      </c>
      <c r="DK137" s="80" t="str">
        <f>IF(AND($F137&lt;&gt;"", $F137&gt;=DK$5-4, $F137&lt;=DK$5, COUNTIF($M137:DJ137,"u")=0), "u", "")</f>
        <v/>
      </c>
      <c r="DL137" s="80" t="str">
        <f>IF(AND($F137&lt;&gt;"", $F137&gt;=DL$5-4, $F137&lt;=DL$5, COUNTIF($M137:DK137,"u")=0), "u", "")</f>
        <v/>
      </c>
    </row>
    <row r="138" spans="1:116" ht="25.05" customHeight="1" x14ac:dyDescent="0.3">
      <c r="A138" s="39"/>
      <c r="B138" s="75">
        <v>133</v>
      </c>
      <c r="C138" s="97"/>
      <c r="D138" s="92"/>
      <c r="E138" s="53"/>
      <c r="F138" s="53"/>
      <c r="G138" s="83" t="str">
        <f t="shared" si="50"/>
        <v/>
      </c>
      <c r="H138" s="83" t="str">
        <f t="shared" si="50"/>
        <v/>
      </c>
      <c r="I138" s="77" t="str">
        <f t="shared" si="51"/>
        <v/>
      </c>
      <c r="J138" s="78"/>
      <c r="K138" s="86"/>
      <c r="L138" s="56"/>
      <c r="M138" s="80" t="str">
        <f t="shared" si="52"/>
        <v/>
      </c>
      <c r="N138" s="80" t="str">
        <f>IF(AND($F138&lt;&gt;"", $F138&gt;=N$5-4, $F138&lt;=N$5, COUNTIF($M138:M138,"u")=0), "u", "")</f>
        <v/>
      </c>
      <c r="O138" s="80" t="str">
        <f>IF(AND($F138&lt;&gt;"", $F138&gt;=O$5-4, $F138&lt;=O$5, COUNTIF($M138:N138,"u")=0), "u", "")</f>
        <v/>
      </c>
      <c r="P138" s="80" t="str">
        <f>IF(AND($F138&lt;&gt;"", $F138&gt;=P$5-4, $F138&lt;=P$5, COUNTIF($M138:O138,"u")=0), "u", "")</f>
        <v/>
      </c>
      <c r="Q138" s="80" t="str">
        <f>IF(AND($F138&lt;&gt;"", $F138&gt;=Q$5-4, $F138&lt;=Q$5, COUNTIF($M138:P138,"u")=0), "u", "")</f>
        <v/>
      </c>
      <c r="R138" s="80" t="str">
        <f>IF(AND($F138&lt;&gt;"", $F138&gt;=R$5-4, $F138&lt;=R$5, COUNTIF($M138:Q138,"u")=0), "u", "")</f>
        <v/>
      </c>
      <c r="S138" s="80" t="str">
        <f>IF(AND($F138&lt;&gt;"", $F138&gt;=S$5-4, $F138&lt;=S$5, COUNTIF($M138:R138,"u")=0), "u", "")</f>
        <v/>
      </c>
      <c r="T138" s="80" t="str">
        <f>IF(AND($F138&lt;&gt;"", $F138&gt;=T$5-4, $F138&lt;=T$5, COUNTIF($M138:S138,"u")=0), "u", "")</f>
        <v/>
      </c>
      <c r="U138" s="80" t="str">
        <f>IF(AND($F138&lt;&gt;"", $F138&gt;=U$5-4, $F138&lt;=U$5, COUNTIF($M138:T138,"u")=0), "u", "")</f>
        <v/>
      </c>
      <c r="V138" s="80" t="str">
        <f>IF(AND($F138&lt;&gt;"", $F138&gt;=V$5-4, $F138&lt;=V$5, COUNTIF($M138:U138,"u")=0), "u", "")</f>
        <v/>
      </c>
      <c r="W138" s="80" t="str">
        <f>IF(AND($F138&lt;&gt;"", $F138&gt;=W$5-4, $F138&lt;=W$5, COUNTIF($M138:V138,"u")=0), "u", "")</f>
        <v/>
      </c>
      <c r="X138" s="80" t="str">
        <f>IF(AND($F138&lt;&gt;"", $F138&gt;=X$5-4, $F138&lt;=X$5, COUNTIF($M138:W138,"u")=0), "u", "")</f>
        <v/>
      </c>
      <c r="Y138" s="80" t="str">
        <f>IF(AND($F138&lt;&gt;"", $F138&gt;=Y$5-4, $F138&lt;=Y$5, COUNTIF($M138:X138,"u")=0), "u", "")</f>
        <v/>
      </c>
      <c r="Z138" s="80" t="str">
        <f>IF(AND($F138&lt;&gt;"", $F138&gt;=Z$5-4, $F138&lt;=Z$5, COUNTIF($M138:Y138,"u")=0), "u", "")</f>
        <v/>
      </c>
      <c r="AA138" s="80" t="str">
        <f>IF(AND($F138&lt;&gt;"", $F138&gt;=AA$5-4, $F138&lt;=AA$5, COUNTIF($M138:Z138,"u")=0), "u", "")</f>
        <v/>
      </c>
      <c r="AB138" s="80" t="str">
        <f>IF(AND($F138&lt;&gt;"", $F138&gt;=AB$5-4, $F138&lt;=AB$5, COUNTIF($M138:AA138,"u")=0), "u", "")</f>
        <v/>
      </c>
      <c r="AC138" s="80" t="str">
        <f>IF(AND($F138&lt;&gt;"", $F138&gt;=AC$5-4, $F138&lt;=AC$5, COUNTIF($M138:AB138,"u")=0), "u", "")</f>
        <v/>
      </c>
      <c r="AD138" s="80" t="str">
        <f>IF(AND($F138&lt;&gt;"", $F138&gt;=AD$5-4, $F138&lt;=AD$5, COUNTIF($M138:AC138,"u")=0), "u", "")</f>
        <v/>
      </c>
      <c r="AE138" s="80" t="str">
        <f>IF(AND($F138&lt;&gt;"", $F138&gt;=AE$5-4, $F138&lt;=AE$5, COUNTIF($M138:AD138,"u")=0), "u", "")</f>
        <v/>
      </c>
      <c r="AF138" s="80" t="str">
        <f>IF(AND($F138&lt;&gt;"", $F138&gt;=AF$5-4, $F138&lt;=AF$5, COUNTIF($M138:AE138,"u")=0), "u", "")</f>
        <v/>
      </c>
      <c r="AG138" s="80" t="str">
        <f>IF(AND($F138&lt;&gt;"", $F138&gt;=AG$5-4, $F138&lt;=AG$5, COUNTIF($M138:AF138,"u")=0), "u", "")</f>
        <v/>
      </c>
      <c r="AH138" s="80" t="str">
        <f>IF(AND($F138&lt;&gt;"", $F138&gt;=AH$5-4, $F138&lt;=AH$5, COUNTIF($M138:AG138,"u")=0), "u", "")</f>
        <v/>
      </c>
      <c r="AI138" s="80" t="str">
        <f>IF(AND($F138&lt;&gt;"", $F138&gt;=AI$5-4, $F138&lt;=AI$5, COUNTIF($M138:AH138,"u")=0), "u", "")</f>
        <v/>
      </c>
      <c r="AJ138" s="80" t="str">
        <f>IF(AND($F138&lt;&gt;"", $F138&gt;=AJ$5-4, $F138&lt;=AJ$5, COUNTIF($M138:AI138,"u")=0), "u", "")</f>
        <v/>
      </c>
      <c r="AK138" s="80" t="str">
        <f>IF(AND($F138&lt;&gt;"", $F138&gt;=AK$5-4, $F138&lt;=AK$5, COUNTIF($M138:AJ138,"u")=0), "u", "")</f>
        <v/>
      </c>
      <c r="AL138" s="80" t="str">
        <f>IF(AND($F138&lt;&gt;"", $F138&gt;=AL$5-4, $F138&lt;=AL$5, COUNTIF($M138:AK138,"u")=0), "u", "")</f>
        <v/>
      </c>
      <c r="AM138" s="80" t="str">
        <f>IF(AND($F138&lt;&gt;"", $F138&gt;=AM$5-4, $F138&lt;=AM$5, COUNTIF($M138:AL138,"u")=0), "u", "")</f>
        <v/>
      </c>
      <c r="AN138" s="80" t="str">
        <f>IF(AND($F138&lt;&gt;"", $F138&gt;=AN$5-4, $F138&lt;=AN$5, COUNTIF($M138:AM138,"u")=0), "u", "")</f>
        <v/>
      </c>
      <c r="AO138" s="80" t="str">
        <f>IF(AND($F138&lt;&gt;"", $F138&gt;=AO$5-4, $F138&lt;=AO$5, COUNTIF($M138:AN138,"u")=0), "u", "")</f>
        <v/>
      </c>
      <c r="AP138" s="80" t="str">
        <f>IF(AND($F138&lt;&gt;"", $F138&gt;=AP$5-4, $F138&lt;=AP$5, COUNTIF($M138:AO138,"u")=0), "u", "")</f>
        <v/>
      </c>
      <c r="AQ138" s="80" t="str">
        <f>IF(AND($F138&lt;&gt;"", $F138&gt;=AQ$5-4, $F138&lt;=AQ$5, COUNTIF($M138:AP138,"u")=0), "u", "")</f>
        <v/>
      </c>
      <c r="AR138" s="80" t="str">
        <f>IF(AND($F138&lt;&gt;"", $F138&gt;=AR$5-4, $F138&lt;=AR$5, COUNTIF($M138:AQ138,"u")=0), "u", "")</f>
        <v/>
      </c>
      <c r="AS138" s="80" t="str">
        <f>IF(AND($F138&lt;&gt;"", $F138&gt;=AS$5-4, $F138&lt;=AS$5, COUNTIF($M138:AR138,"u")=0), "u", "")</f>
        <v/>
      </c>
      <c r="AT138" s="80" t="str">
        <f>IF(AND($F138&lt;&gt;"", $F138&gt;=AT$5-4, $F138&lt;=AT$5, COUNTIF($M138:AS138,"u")=0), "u", "")</f>
        <v/>
      </c>
      <c r="AU138" s="80" t="str">
        <f>IF(AND($F138&lt;&gt;"", $F138&gt;=AU$5-4, $F138&lt;=AU$5, COUNTIF($M138:AT138,"u")=0), "u", "")</f>
        <v/>
      </c>
      <c r="AV138" s="80" t="str">
        <f>IF(AND($F138&lt;&gt;"", $F138&gt;=AV$5-4, $F138&lt;=AV$5, COUNTIF($M138:AU138,"u")=0), "u", "")</f>
        <v/>
      </c>
      <c r="AW138" s="80" t="str">
        <f>IF(AND($F138&lt;&gt;"", $F138&gt;=AW$5-4, $F138&lt;=AW$5, COUNTIF($M138:AV138,"u")=0), "u", "")</f>
        <v/>
      </c>
      <c r="AX138" s="80" t="str">
        <f>IF(AND($F138&lt;&gt;"", $F138&gt;=AX$5-4, $F138&lt;=AX$5, COUNTIF($M138:AW138,"u")=0), "u", "")</f>
        <v/>
      </c>
      <c r="AY138" s="80" t="str">
        <f>IF(AND($F138&lt;&gt;"", $F138&gt;=AY$5-4, $F138&lt;=AY$5, COUNTIF($M138:AX138,"u")=0), "u", "")</f>
        <v/>
      </c>
      <c r="AZ138" s="80" t="str">
        <f>IF(AND($F138&lt;&gt;"", $F138&gt;=AZ$5-4, $F138&lt;=AZ$5, COUNTIF($M138:AY138,"u")=0), "u", "")</f>
        <v/>
      </c>
      <c r="BA138" s="80" t="str">
        <f>IF(AND($F138&lt;&gt;"", $F138&gt;=BA$5-4, $F138&lt;=BA$5, COUNTIF($M138:AZ138,"u")=0), "u", "")</f>
        <v/>
      </c>
      <c r="BB138" s="80" t="str">
        <f>IF(AND($F138&lt;&gt;"", $F138&gt;=BB$5-4, $F138&lt;=BB$5, COUNTIF($M138:BA138,"u")=0), "u", "")</f>
        <v/>
      </c>
      <c r="BC138" s="80" t="str">
        <f>IF(AND($F138&lt;&gt;"", $F138&gt;=BC$5-4, $F138&lt;=BC$5, COUNTIF($M138:BB138,"u")=0), "u", "")</f>
        <v/>
      </c>
      <c r="BD138" s="80" t="str">
        <f>IF(AND($F138&lt;&gt;"", $F138&gt;=BD$5-4, $F138&lt;=BD$5, COUNTIF($M138:BC138,"u")=0), "u", "")</f>
        <v/>
      </c>
      <c r="BE138" s="80" t="str">
        <f>IF(AND($F138&lt;&gt;"", $F138&gt;=BE$5-4, $F138&lt;=BE$5, COUNTIF($M138:BD138,"u")=0), "u", "")</f>
        <v/>
      </c>
      <c r="BF138" s="80" t="str">
        <f>IF(AND($F138&lt;&gt;"", $F138&gt;=BF$5-4, $F138&lt;=BF$5, COUNTIF($M138:BE138,"u")=0), "u", "")</f>
        <v/>
      </c>
      <c r="BG138" s="80" t="str">
        <f>IF(AND($F138&lt;&gt;"", $F138&gt;=BG$5-4, $F138&lt;=BG$5, COUNTIF($M138:BF138,"u")=0), "u", "")</f>
        <v/>
      </c>
      <c r="BH138" s="80" t="str">
        <f>IF(AND($F138&lt;&gt;"", $F138&gt;=BH$5-4, $F138&lt;=BH$5, COUNTIF($M138:BG138,"u")=0), "u", "")</f>
        <v/>
      </c>
      <c r="BI138" s="80" t="str">
        <f>IF(AND($F138&lt;&gt;"", $F138&gt;=BI$5-4, $F138&lt;=BI$5, COUNTIF($M138:BH138,"u")=0), "u", "")</f>
        <v/>
      </c>
      <c r="BJ138" s="80" t="str">
        <f>IF(AND($F138&lt;&gt;"", $F138&gt;=BJ$5-4, $F138&lt;=BJ$5, COUNTIF($M138:BI138,"u")=0), "u", "")</f>
        <v/>
      </c>
      <c r="BK138" s="80" t="str">
        <f>IF(AND($F138&lt;&gt;"", $F138&gt;=BK$5-4, $F138&lt;=BK$5, COUNTIF($M138:BJ138,"u")=0), "u", "")</f>
        <v/>
      </c>
      <c r="BL138" s="80" t="str">
        <f>IF(AND($F138&lt;&gt;"", $F138&gt;=BL$5-4, $F138&lt;=BL$5, COUNTIF($M138:BK138,"u")=0), "u", "")</f>
        <v/>
      </c>
      <c r="BM138" s="80" t="str">
        <f>IF(AND($F138&lt;&gt;"", $F138&gt;=BM$5-4, $F138&lt;=BM$5, COUNTIF($M138:BL138,"u")=0), "u", "")</f>
        <v/>
      </c>
      <c r="BN138" s="80" t="str">
        <f>IF(AND($F138&lt;&gt;"", $F138&gt;=BN$5-4, $F138&lt;=BN$5, COUNTIF($M138:BM138,"u")=0), "u", "")</f>
        <v/>
      </c>
      <c r="BO138" s="80" t="str">
        <f>IF(AND($F138&lt;&gt;"", $F138&gt;=BO$5-4, $F138&lt;=BO$5, COUNTIF($M138:BN138,"u")=0), "u", "")</f>
        <v/>
      </c>
      <c r="BP138" s="80" t="str">
        <f>IF(AND($F138&lt;&gt;"", $F138&gt;=BP$5-4, $F138&lt;=BP$5, COUNTIF($M138:BO138,"u")=0), "u", "")</f>
        <v/>
      </c>
      <c r="BQ138" s="80" t="str">
        <f>IF(AND($F138&lt;&gt;"", $F138&gt;=BQ$5-4, $F138&lt;=BQ$5, COUNTIF($M138:BP138,"u")=0), "u", "")</f>
        <v/>
      </c>
      <c r="BR138" s="80" t="str">
        <f>IF(AND($F138&lt;&gt;"", $F138&gt;=BR$5-4, $F138&lt;=BR$5, COUNTIF($M138:BQ138,"u")=0), "u", "")</f>
        <v/>
      </c>
      <c r="BS138" s="80" t="str">
        <f>IF(AND($F138&lt;&gt;"", $F138&gt;=BS$5-4, $F138&lt;=BS$5, COUNTIF($M138:BR138,"u")=0), "u", "")</f>
        <v/>
      </c>
      <c r="BT138" s="80" t="str">
        <f>IF(AND($F138&lt;&gt;"", $F138&gt;=BT$5-4, $F138&lt;=BT$5, COUNTIF($M138:BS138,"u")=0), "u", "")</f>
        <v/>
      </c>
      <c r="BU138" s="80" t="str">
        <f>IF(AND($F138&lt;&gt;"", $F138&gt;=BU$5-4, $F138&lt;=BU$5, COUNTIF($M138:BT138,"u")=0), "u", "")</f>
        <v/>
      </c>
      <c r="BV138" s="80" t="str">
        <f>IF(AND($F138&lt;&gt;"", $F138&gt;=BV$5-4, $F138&lt;=BV$5, COUNTIF($M138:BU138,"u")=0), "u", "")</f>
        <v/>
      </c>
      <c r="BW138" s="80" t="str">
        <f>IF(AND($F138&lt;&gt;"", $F138&gt;=BW$5-4, $F138&lt;=BW$5, COUNTIF($M138:BV138,"u")=0), "u", "")</f>
        <v/>
      </c>
      <c r="BX138" s="80" t="str">
        <f>IF(AND($F138&lt;&gt;"", $F138&gt;=BX$5-4, $F138&lt;=BX$5, COUNTIF($M138:BW138,"u")=0), "u", "")</f>
        <v/>
      </c>
      <c r="BY138" s="80" t="str">
        <f>IF(AND($F138&lt;&gt;"", $F138&gt;=BY$5-4, $F138&lt;=BY$5, COUNTIF($M138:BX138,"u")=0), "u", "")</f>
        <v/>
      </c>
      <c r="BZ138" s="80" t="str">
        <f>IF(AND($F138&lt;&gt;"", $F138&gt;=BZ$5-4, $F138&lt;=BZ$5, COUNTIF($M138:BY138,"u")=0), "u", "")</f>
        <v/>
      </c>
      <c r="CA138" s="80" t="str">
        <f>IF(AND($F138&lt;&gt;"", $F138&gt;=CA$5-4, $F138&lt;=CA$5, COUNTIF($M138:BZ138,"u")=0), "u", "")</f>
        <v/>
      </c>
      <c r="CB138" s="80" t="str">
        <f>IF(AND($F138&lt;&gt;"", $F138&gt;=CB$5-4, $F138&lt;=CB$5, COUNTIF($M138:CA138,"u")=0), "u", "")</f>
        <v/>
      </c>
      <c r="CC138" s="80" t="str">
        <f>IF(AND($F138&lt;&gt;"", $F138&gt;=CC$5-4, $F138&lt;=CC$5, COUNTIF($M138:CB138,"u")=0), "u", "")</f>
        <v/>
      </c>
      <c r="CD138" s="80" t="str">
        <f>IF(AND($F138&lt;&gt;"", $F138&gt;=CD$5-4, $F138&lt;=CD$5, COUNTIF($M138:CC138,"u")=0), "u", "")</f>
        <v/>
      </c>
      <c r="CE138" s="80" t="str">
        <f>IF(AND($F138&lt;&gt;"", $F138&gt;=CE$5-4, $F138&lt;=CE$5, COUNTIF($M138:CD138,"u")=0), "u", "")</f>
        <v/>
      </c>
      <c r="CF138" s="80" t="str">
        <f>IF(AND($F138&lt;&gt;"", $F138&gt;=CF$5-4, $F138&lt;=CF$5, COUNTIF($M138:CE138,"u")=0), "u", "")</f>
        <v/>
      </c>
      <c r="CG138" s="80" t="str">
        <f>IF(AND($F138&lt;&gt;"", $F138&gt;=CG$5-4, $F138&lt;=CG$5, COUNTIF($M138:CF138,"u")=0), "u", "")</f>
        <v/>
      </c>
      <c r="CH138" s="80" t="str">
        <f>IF(AND($F138&lt;&gt;"", $F138&gt;=CH$5-4, $F138&lt;=CH$5, COUNTIF($M138:CG138,"u")=0), "u", "")</f>
        <v/>
      </c>
      <c r="CI138" s="80" t="str">
        <f>IF(AND($F138&lt;&gt;"", $F138&gt;=CI$5-4, $F138&lt;=CI$5, COUNTIF($M138:CH138,"u")=0), "u", "")</f>
        <v/>
      </c>
      <c r="CJ138" s="80" t="str">
        <f>IF(AND($F138&lt;&gt;"", $F138&gt;=CJ$5-4, $F138&lt;=CJ$5, COUNTIF($M138:CI138,"u")=0), "u", "")</f>
        <v/>
      </c>
      <c r="CK138" s="80" t="str">
        <f>IF(AND($F138&lt;&gt;"", $F138&gt;=CK$5-4, $F138&lt;=CK$5, COUNTIF($M138:CJ138,"u")=0), "u", "")</f>
        <v/>
      </c>
      <c r="CL138" s="80" t="str">
        <f>IF(AND($F138&lt;&gt;"", $F138&gt;=CL$5-4, $F138&lt;=CL$5, COUNTIF($M138:CK138,"u")=0), "u", "")</f>
        <v/>
      </c>
      <c r="CM138" s="80" t="str">
        <f>IF(AND($F138&lt;&gt;"", $F138&gt;=CM$5-4, $F138&lt;=CM$5, COUNTIF($M138:CL138,"u")=0), "u", "")</f>
        <v/>
      </c>
      <c r="CN138" s="80" t="str">
        <f>IF(AND($F138&lt;&gt;"", $F138&gt;=CN$5-4, $F138&lt;=CN$5, COUNTIF($M138:CM138,"u")=0), "u", "")</f>
        <v/>
      </c>
      <c r="CO138" s="80" t="str">
        <f>IF(AND($F138&lt;&gt;"", $F138&gt;=CO$5-4, $F138&lt;=CO$5, COUNTIF($M138:CN138,"u")=0), "u", "")</f>
        <v/>
      </c>
      <c r="CP138" s="80" t="str">
        <f>IF(AND($F138&lt;&gt;"", $F138&gt;=CP$5-4, $F138&lt;=CP$5, COUNTIF($M138:CO138,"u")=0), "u", "")</f>
        <v/>
      </c>
      <c r="CQ138" s="80" t="str">
        <f>IF(AND($F138&lt;&gt;"", $F138&gt;=CQ$5-4, $F138&lt;=CQ$5, COUNTIF($M138:CP138,"u")=0), "u", "")</f>
        <v/>
      </c>
      <c r="CR138" s="80" t="str">
        <f>IF(AND($F138&lt;&gt;"", $F138&gt;=CR$5-4, $F138&lt;=CR$5, COUNTIF($M138:CQ138,"u")=0), "u", "")</f>
        <v/>
      </c>
      <c r="CS138" s="80" t="str">
        <f>IF(AND($F138&lt;&gt;"", $F138&gt;=CS$5-4, $F138&lt;=CS$5, COUNTIF($M138:CR138,"u")=0), "u", "")</f>
        <v/>
      </c>
      <c r="CT138" s="80" t="str">
        <f>IF(AND($F138&lt;&gt;"", $F138&gt;=CT$5-4, $F138&lt;=CT$5, COUNTIF($M138:CS138,"u")=0), "u", "")</f>
        <v/>
      </c>
      <c r="CU138" s="80" t="str">
        <f>IF(AND($F138&lt;&gt;"", $F138&gt;=CU$5-4, $F138&lt;=CU$5, COUNTIF($M138:CT138,"u")=0), "u", "")</f>
        <v/>
      </c>
      <c r="CV138" s="80" t="str">
        <f>IF(AND($F138&lt;&gt;"", $F138&gt;=CV$5-4, $F138&lt;=CV$5, COUNTIF($M138:CU138,"u")=0), "u", "")</f>
        <v/>
      </c>
      <c r="CW138" s="80" t="str">
        <f>IF(AND($F138&lt;&gt;"", $F138&gt;=CW$5-4, $F138&lt;=CW$5, COUNTIF($M138:CV138,"u")=0), "u", "")</f>
        <v/>
      </c>
      <c r="CX138" s="80" t="str">
        <f>IF(AND($F138&lt;&gt;"", $F138&gt;=CX$5-4, $F138&lt;=CX$5, COUNTIF($M138:CW138,"u")=0), "u", "")</f>
        <v/>
      </c>
      <c r="CY138" s="80" t="str">
        <f>IF(AND($F138&lt;&gt;"", $F138&gt;=CY$5-4, $F138&lt;=CY$5, COUNTIF($M138:CX138,"u")=0), "u", "")</f>
        <v/>
      </c>
      <c r="CZ138" s="80" t="str">
        <f>IF(AND($F138&lt;&gt;"", $F138&gt;=CZ$5-4, $F138&lt;=CZ$5, COUNTIF($M138:CY138,"u")=0), "u", "")</f>
        <v/>
      </c>
      <c r="DA138" s="80" t="str">
        <f>IF(AND($F138&lt;&gt;"", $F138&gt;=DA$5-4, $F138&lt;=DA$5, COUNTIF($M138:CZ138,"u")=0), "u", "")</f>
        <v/>
      </c>
      <c r="DB138" s="80" t="str">
        <f>IF(AND($F138&lt;&gt;"", $F138&gt;=DB$5-4, $F138&lt;=DB$5, COUNTIF($M138:DA138,"u")=0), "u", "")</f>
        <v/>
      </c>
      <c r="DC138" s="80" t="str">
        <f>IF(AND($F138&lt;&gt;"", $F138&gt;=DC$5-4, $F138&lt;=DC$5, COUNTIF($M138:DB138,"u")=0), "u", "")</f>
        <v/>
      </c>
      <c r="DD138" s="80" t="str">
        <f>IF(AND($F138&lt;&gt;"", $F138&gt;=DD$5-4, $F138&lt;=DD$5, COUNTIF($M138:DC138,"u")=0), "u", "")</f>
        <v/>
      </c>
      <c r="DE138" s="80" t="str">
        <f>IF(AND($F138&lt;&gt;"", $F138&gt;=DE$5-4, $F138&lt;=DE$5, COUNTIF($M138:DD138,"u")=0), "u", "")</f>
        <v/>
      </c>
      <c r="DF138" s="80" t="str">
        <f>IF(AND($F138&lt;&gt;"", $F138&gt;=DF$5-4, $F138&lt;=DF$5, COUNTIF($M138:DE138,"u")=0), "u", "")</f>
        <v/>
      </c>
      <c r="DG138" s="80" t="str">
        <f>IF(AND($F138&lt;&gt;"", $F138&gt;=DG$5-4, $F138&lt;=DG$5, COUNTIF($M138:DF138,"u")=0), "u", "")</f>
        <v/>
      </c>
      <c r="DH138" s="80" t="str">
        <f>IF(AND($F138&lt;&gt;"", $F138&gt;=DH$5-4, $F138&lt;=DH$5, COUNTIF($M138:DG138,"u")=0), "u", "")</f>
        <v/>
      </c>
      <c r="DI138" s="80" t="str">
        <f>IF(AND($F138&lt;&gt;"", $F138&gt;=DI$5-4, $F138&lt;=DI$5, COUNTIF($M138:DH138,"u")=0), "u", "")</f>
        <v/>
      </c>
      <c r="DJ138" s="80" t="str">
        <f>IF(AND($F138&lt;&gt;"", $F138&gt;=DJ$5-4, $F138&lt;=DJ$5, COUNTIF($M138:DI138,"u")=0), "u", "")</f>
        <v/>
      </c>
      <c r="DK138" s="80" t="str">
        <f>IF(AND($F138&lt;&gt;"", $F138&gt;=DK$5-4, $F138&lt;=DK$5, COUNTIF($M138:DJ138,"u")=0), "u", "")</f>
        <v/>
      </c>
      <c r="DL138" s="80" t="str">
        <f>IF(AND($F138&lt;&gt;"", $F138&gt;=DL$5-4, $F138&lt;=DL$5, COUNTIF($M138:DK138,"u")=0), "u", "")</f>
        <v/>
      </c>
    </row>
    <row r="139" spans="1:116" ht="25.05" customHeight="1" x14ac:dyDescent="0.3">
      <c r="A139" s="39"/>
      <c r="B139" s="75">
        <v>134</v>
      </c>
      <c r="C139" s="97"/>
      <c r="D139" s="92"/>
      <c r="E139" s="53"/>
      <c r="F139" s="53"/>
      <c r="G139" s="83" t="str">
        <f t="shared" si="50"/>
        <v/>
      </c>
      <c r="H139" s="83" t="str">
        <f t="shared" si="50"/>
        <v/>
      </c>
      <c r="I139" s="77" t="str">
        <f t="shared" si="51"/>
        <v/>
      </c>
      <c r="J139" s="78"/>
      <c r="K139" s="86"/>
      <c r="L139" s="56"/>
      <c r="M139" s="80" t="str">
        <f t="shared" si="52"/>
        <v/>
      </c>
      <c r="N139" s="80" t="str">
        <f>IF(AND($F139&lt;&gt;"", $F139&gt;=N$5-4, $F139&lt;=N$5, COUNTIF($M139:M139,"u")=0), "u", "")</f>
        <v/>
      </c>
      <c r="O139" s="80" t="str">
        <f>IF(AND($F139&lt;&gt;"", $F139&gt;=O$5-4, $F139&lt;=O$5, COUNTIF($M139:N139,"u")=0), "u", "")</f>
        <v/>
      </c>
      <c r="P139" s="80" t="str">
        <f>IF(AND($F139&lt;&gt;"", $F139&gt;=P$5-4, $F139&lt;=P$5, COUNTIF($M139:O139,"u")=0), "u", "")</f>
        <v/>
      </c>
      <c r="Q139" s="80" t="str">
        <f>IF(AND($F139&lt;&gt;"", $F139&gt;=Q$5-4, $F139&lt;=Q$5, COUNTIF($M139:P139,"u")=0), "u", "")</f>
        <v/>
      </c>
      <c r="R139" s="80" t="str">
        <f>IF(AND($F139&lt;&gt;"", $F139&gt;=R$5-4, $F139&lt;=R$5, COUNTIF($M139:Q139,"u")=0), "u", "")</f>
        <v/>
      </c>
      <c r="S139" s="80" t="str">
        <f>IF(AND($F139&lt;&gt;"", $F139&gt;=S$5-4, $F139&lt;=S$5, COUNTIF($M139:R139,"u")=0), "u", "")</f>
        <v/>
      </c>
      <c r="T139" s="80" t="str">
        <f>IF(AND($F139&lt;&gt;"", $F139&gt;=T$5-4, $F139&lt;=T$5, COUNTIF($M139:S139,"u")=0), "u", "")</f>
        <v/>
      </c>
      <c r="U139" s="80" t="str">
        <f>IF(AND($F139&lt;&gt;"", $F139&gt;=U$5-4, $F139&lt;=U$5, COUNTIF($M139:T139,"u")=0), "u", "")</f>
        <v/>
      </c>
      <c r="V139" s="80" t="str">
        <f>IF(AND($F139&lt;&gt;"", $F139&gt;=V$5-4, $F139&lt;=V$5, COUNTIF($M139:U139,"u")=0), "u", "")</f>
        <v/>
      </c>
      <c r="W139" s="80" t="str">
        <f>IF(AND($F139&lt;&gt;"", $F139&gt;=W$5-4, $F139&lt;=W$5, COUNTIF($M139:V139,"u")=0), "u", "")</f>
        <v/>
      </c>
      <c r="X139" s="80" t="str">
        <f>IF(AND($F139&lt;&gt;"", $F139&gt;=X$5-4, $F139&lt;=X$5, COUNTIF($M139:W139,"u")=0), "u", "")</f>
        <v/>
      </c>
      <c r="Y139" s="80" t="str">
        <f>IF(AND($F139&lt;&gt;"", $F139&gt;=Y$5-4, $F139&lt;=Y$5, COUNTIF($M139:X139,"u")=0), "u", "")</f>
        <v/>
      </c>
      <c r="Z139" s="80" t="str">
        <f>IF(AND($F139&lt;&gt;"", $F139&gt;=Z$5-4, $F139&lt;=Z$5, COUNTIF($M139:Y139,"u")=0), "u", "")</f>
        <v/>
      </c>
      <c r="AA139" s="80" t="str">
        <f>IF(AND($F139&lt;&gt;"", $F139&gt;=AA$5-4, $F139&lt;=AA$5, COUNTIF($M139:Z139,"u")=0), "u", "")</f>
        <v/>
      </c>
      <c r="AB139" s="80" t="str">
        <f>IF(AND($F139&lt;&gt;"", $F139&gt;=AB$5-4, $F139&lt;=AB$5, COUNTIF($M139:AA139,"u")=0), "u", "")</f>
        <v/>
      </c>
      <c r="AC139" s="80" t="str">
        <f>IF(AND($F139&lt;&gt;"", $F139&gt;=AC$5-4, $F139&lt;=AC$5, COUNTIF($M139:AB139,"u")=0), "u", "")</f>
        <v/>
      </c>
      <c r="AD139" s="80" t="str">
        <f>IF(AND($F139&lt;&gt;"", $F139&gt;=AD$5-4, $F139&lt;=AD$5, COUNTIF($M139:AC139,"u")=0), "u", "")</f>
        <v/>
      </c>
      <c r="AE139" s="80" t="str">
        <f>IF(AND($F139&lt;&gt;"", $F139&gt;=AE$5-4, $F139&lt;=AE$5, COUNTIF($M139:AD139,"u")=0), "u", "")</f>
        <v/>
      </c>
      <c r="AF139" s="80" t="str">
        <f>IF(AND($F139&lt;&gt;"", $F139&gt;=AF$5-4, $F139&lt;=AF$5, COUNTIF($M139:AE139,"u")=0), "u", "")</f>
        <v/>
      </c>
      <c r="AG139" s="80" t="str">
        <f>IF(AND($F139&lt;&gt;"", $F139&gt;=AG$5-4, $F139&lt;=AG$5, COUNTIF($M139:AF139,"u")=0), "u", "")</f>
        <v/>
      </c>
      <c r="AH139" s="80" t="str">
        <f>IF(AND($F139&lt;&gt;"", $F139&gt;=AH$5-4, $F139&lt;=AH$5, COUNTIF($M139:AG139,"u")=0), "u", "")</f>
        <v/>
      </c>
      <c r="AI139" s="80" t="str">
        <f>IF(AND($F139&lt;&gt;"", $F139&gt;=AI$5-4, $F139&lt;=AI$5, COUNTIF($M139:AH139,"u")=0), "u", "")</f>
        <v/>
      </c>
      <c r="AJ139" s="80" t="str">
        <f>IF(AND($F139&lt;&gt;"", $F139&gt;=AJ$5-4, $F139&lt;=AJ$5, COUNTIF($M139:AI139,"u")=0), "u", "")</f>
        <v/>
      </c>
      <c r="AK139" s="80" t="str">
        <f>IF(AND($F139&lt;&gt;"", $F139&gt;=AK$5-4, $F139&lt;=AK$5, COUNTIF($M139:AJ139,"u")=0), "u", "")</f>
        <v/>
      </c>
      <c r="AL139" s="80" t="str">
        <f>IF(AND($F139&lt;&gt;"", $F139&gt;=AL$5-4, $F139&lt;=AL$5, COUNTIF($M139:AK139,"u")=0), "u", "")</f>
        <v/>
      </c>
      <c r="AM139" s="80" t="str">
        <f>IF(AND($F139&lt;&gt;"", $F139&gt;=AM$5-4, $F139&lt;=AM$5, COUNTIF($M139:AL139,"u")=0), "u", "")</f>
        <v/>
      </c>
      <c r="AN139" s="80" t="str">
        <f>IF(AND($F139&lt;&gt;"", $F139&gt;=AN$5-4, $F139&lt;=AN$5, COUNTIF($M139:AM139,"u")=0), "u", "")</f>
        <v/>
      </c>
      <c r="AO139" s="80" t="str">
        <f>IF(AND($F139&lt;&gt;"", $F139&gt;=AO$5-4, $F139&lt;=AO$5, COUNTIF($M139:AN139,"u")=0), "u", "")</f>
        <v/>
      </c>
      <c r="AP139" s="80" t="str">
        <f>IF(AND($F139&lt;&gt;"", $F139&gt;=AP$5-4, $F139&lt;=AP$5, COUNTIF($M139:AO139,"u")=0), "u", "")</f>
        <v/>
      </c>
      <c r="AQ139" s="80" t="str">
        <f>IF(AND($F139&lt;&gt;"", $F139&gt;=AQ$5-4, $F139&lt;=AQ$5, COUNTIF($M139:AP139,"u")=0), "u", "")</f>
        <v/>
      </c>
      <c r="AR139" s="80" t="str">
        <f>IF(AND($F139&lt;&gt;"", $F139&gt;=AR$5-4, $F139&lt;=AR$5, COUNTIF($M139:AQ139,"u")=0), "u", "")</f>
        <v/>
      </c>
      <c r="AS139" s="80" t="str">
        <f>IF(AND($F139&lt;&gt;"", $F139&gt;=AS$5-4, $F139&lt;=AS$5, COUNTIF($M139:AR139,"u")=0), "u", "")</f>
        <v/>
      </c>
      <c r="AT139" s="80" t="str">
        <f>IF(AND($F139&lt;&gt;"", $F139&gt;=AT$5-4, $F139&lt;=AT$5, COUNTIF($M139:AS139,"u")=0), "u", "")</f>
        <v/>
      </c>
      <c r="AU139" s="80" t="str">
        <f>IF(AND($F139&lt;&gt;"", $F139&gt;=AU$5-4, $F139&lt;=AU$5, COUNTIF($M139:AT139,"u")=0), "u", "")</f>
        <v/>
      </c>
      <c r="AV139" s="80" t="str">
        <f>IF(AND($F139&lt;&gt;"", $F139&gt;=AV$5-4, $F139&lt;=AV$5, COUNTIF($M139:AU139,"u")=0), "u", "")</f>
        <v/>
      </c>
      <c r="AW139" s="80" t="str">
        <f>IF(AND($F139&lt;&gt;"", $F139&gt;=AW$5-4, $F139&lt;=AW$5, COUNTIF($M139:AV139,"u")=0), "u", "")</f>
        <v/>
      </c>
      <c r="AX139" s="80" t="str">
        <f>IF(AND($F139&lt;&gt;"", $F139&gt;=AX$5-4, $F139&lt;=AX$5, COUNTIF($M139:AW139,"u")=0), "u", "")</f>
        <v/>
      </c>
      <c r="AY139" s="80" t="str">
        <f>IF(AND($F139&lt;&gt;"", $F139&gt;=AY$5-4, $F139&lt;=AY$5, COUNTIF($M139:AX139,"u")=0), "u", "")</f>
        <v/>
      </c>
      <c r="AZ139" s="80" t="str">
        <f>IF(AND($F139&lt;&gt;"", $F139&gt;=AZ$5-4, $F139&lt;=AZ$5, COUNTIF($M139:AY139,"u")=0), "u", "")</f>
        <v/>
      </c>
      <c r="BA139" s="80" t="str">
        <f>IF(AND($F139&lt;&gt;"", $F139&gt;=BA$5-4, $F139&lt;=BA$5, COUNTIF($M139:AZ139,"u")=0), "u", "")</f>
        <v/>
      </c>
      <c r="BB139" s="80" t="str">
        <f>IF(AND($F139&lt;&gt;"", $F139&gt;=BB$5-4, $F139&lt;=BB$5, COUNTIF($M139:BA139,"u")=0), "u", "")</f>
        <v/>
      </c>
      <c r="BC139" s="80" t="str">
        <f>IF(AND($F139&lt;&gt;"", $F139&gt;=BC$5-4, $F139&lt;=BC$5, COUNTIF($M139:BB139,"u")=0), "u", "")</f>
        <v/>
      </c>
      <c r="BD139" s="80" t="str">
        <f>IF(AND($F139&lt;&gt;"", $F139&gt;=BD$5-4, $F139&lt;=BD$5, COUNTIF($M139:BC139,"u")=0), "u", "")</f>
        <v/>
      </c>
      <c r="BE139" s="80" t="str">
        <f>IF(AND($F139&lt;&gt;"", $F139&gt;=BE$5-4, $F139&lt;=BE$5, COUNTIF($M139:BD139,"u")=0), "u", "")</f>
        <v/>
      </c>
      <c r="BF139" s="80" t="str">
        <f>IF(AND($F139&lt;&gt;"", $F139&gt;=BF$5-4, $F139&lt;=BF$5, COUNTIF($M139:BE139,"u")=0), "u", "")</f>
        <v/>
      </c>
      <c r="BG139" s="80" t="str">
        <f>IF(AND($F139&lt;&gt;"", $F139&gt;=BG$5-4, $F139&lt;=BG$5, COUNTIF($M139:BF139,"u")=0), "u", "")</f>
        <v/>
      </c>
      <c r="BH139" s="80" t="str">
        <f>IF(AND($F139&lt;&gt;"", $F139&gt;=BH$5-4, $F139&lt;=BH$5, COUNTIF($M139:BG139,"u")=0), "u", "")</f>
        <v/>
      </c>
      <c r="BI139" s="80" t="str">
        <f>IF(AND($F139&lt;&gt;"", $F139&gt;=BI$5-4, $F139&lt;=BI$5, COUNTIF($M139:BH139,"u")=0), "u", "")</f>
        <v/>
      </c>
      <c r="BJ139" s="80" t="str">
        <f>IF(AND($F139&lt;&gt;"", $F139&gt;=BJ$5-4, $F139&lt;=BJ$5, COUNTIF($M139:BI139,"u")=0), "u", "")</f>
        <v/>
      </c>
      <c r="BK139" s="80" t="str">
        <f>IF(AND($F139&lt;&gt;"", $F139&gt;=BK$5-4, $F139&lt;=BK$5, COUNTIF($M139:BJ139,"u")=0), "u", "")</f>
        <v/>
      </c>
      <c r="BL139" s="80" t="str">
        <f>IF(AND($F139&lt;&gt;"", $F139&gt;=BL$5-4, $F139&lt;=BL$5, COUNTIF($M139:BK139,"u")=0), "u", "")</f>
        <v/>
      </c>
      <c r="BM139" s="80" t="str">
        <f>IF(AND($F139&lt;&gt;"", $F139&gt;=BM$5-4, $F139&lt;=BM$5, COUNTIF($M139:BL139,"u")=0), "u", "")</f>
        <v/>
      </c>
      <c r="BN139" s="80" t="str">
        <f>IF(AND($F139&lt;&gt;"", $F139&gt;=BN$5-4, $F139&lt;=BN$5, COUNTIF($M139:BM139,"u")=0), "u", "")</f>
        <v/>
      </c>
      <c r="BO139" s="80" t="str">
        <f>IF(AND($F139&lt;&gt;"", $F139&gt;=BO$5-4, $F139&lt;=BO$5, COUNTIF($M139:BN139,"u")=0), "u", "")</f>
        <v/>
      </c>
      <c r="BP139" s="80" t="str">
        <f>IF(AND($F139&lt;&gt;"", $F139&gt;=BP$5-4, $F139&lt;=BP$5, COUNTIF($M139:BO139,"u")=0), "u", "")</f>
        <v/>
      </c>
      <c r="BQ139" s="80" t="str">
        <f>IF(AND($F139&lt;&gt;"", $F139&gt;=BQ$5-4, $F139&lt;=BQ$5, COUNTIF($M139:BP139,"u")=0), "u", "")</f>
        <v/>
      </c>
      <c r="BR139" s="80" t="str">
        <f>IF(AND($F139&lt;&gt;"", $F139&gt;=BR$5-4, $F139&lt;=BR$5, COUNTIF($M139:BQ139,"u")=0), "u", "")</f>
        <v/>
      </c>
      <c r="BS139" s="80" t="str">
        <f>IF(AND($F139&lt;&gt;"", $F139&gt;=BS$5-4, $F139&lt;=BS$5, COUNTIF($M139:BR139,"u")=0), "u", "")</f>
        <v/>
      </c>
      <c r="BT139" s="80" t="str">
        <f>IF(AND($F139&lt;&gt;"", $F139&gt;=BT$5-4, $F139&lt;=BT$5, COUNTIF($M139:BS139,"u")=0), "u", "")</f>
        <v/>
      </c>
      <c r="BU139" s="80" t="str">
        <f>IF(AND($F139&lt;&gt;"", $F139&gt;=BU$5-4, $F139&lt;=BU$5, COUNTIF($M139:BT139,"u")=0), "u", "")</f>
        <v/>
      </c>
      <c r="BV139" s="80" t="str">
        <f>IF(AND($F139&lt;&gt;"", $F139&gt;=BV$5-4, $F139&lt;=BV$5, COUNTIF($M139:BU139,"u")=0), "u", "")</f>
        <v/>
      </c>
      <c r="BW139" s="80" t="str">
        <f>IF(AND($F139&lt;&gt;"", $F139&gt;=BW$5-4, $F139&lt;=BW$5, COUNTIF($M139:BV139,"u")=0), "u", "")</f>
        <v/>
      </c>
      <c r="BX139" s="80" t="str">
        <f>IF(AND($F139&lt;&gt;"", $F139&gt;=BX$5-4, $F139&lt;=BX$5, COUNTIF($M139:BW139,"u")=0), "u", "")</f>
        <v/>
      </c>
      <c r="BY139" s="80" t="str">
        <f>IF(AND($F139&lt;&gt;"", $F139&gt;=BY$5-4, $F139&lt;=BY$5, COUNTIF($M139:BX139,"u")=0), "u", "")</f>
        <v/>
      </c>
      <c r="BZ139" s="80" t="str">
        <f>IF(AND($F139&lt;&gt;"", $F139&gt;=BZ$5-4, $F139&lt;=BZ$5, COUNTIF($M139:BY139,"u")=0), "u", "")</f>
        <v/>
      </c>
      <c r="CA139" s="80" t="str">
        <f>IF(AND($F139&lt;&gt;"", $F139&gt;=CA$5-4, $F139&lt;=CA$5, COUNTIF($M139:BZ139,"u")=0), "u", "")</f>
        <v/>
      </c>
      <c r="CB139" s="80" t="str">
        <f>IF(AND($F139&lt;&gt;"", $F139&gt;=CB$5-4, $F139&lt;=CB$5, COUNTIF($M139:CA139,"u")=0), "u", "")</f>
        <v/>
      </c>
      <c r="CC139" s="80" t="str">
        <f>IF(AND($F139&lt;&gt;"", $F139&gt;=CC$5-4, $F139&lt;=CC$5, COUNTIF($M139:CB139,"u")=0), "u", "")</f>
        <v/>
      </c>
      <c r="CD139" s="80" t="str">
        <f>IF(AND($F139&lt;&gt;"", $F139&gt;=CD$5-4, $F139&lt;=CD$5, COUNTIF($M139:CC139,"u")=0), "u", "")</f>
        <v/>
      </c>
      <c r="CE139" s="80" t="str">
        <f>IF(AND($F139&lt;&gt;"", $F139&gt;=CE$5-4, $F139&lt;=CE$5, COUNTIF($M139:CD139,"u")=0), "u", "")</f>
        <v/>
      </c>
      <c r="CF139" s="80" t="str">
        <f>IF(AND($F139&lt;&gt;"", $F139&gt;=CF$5-4, $F139&lt;=CF$5, COUNTIF($M139:CE139,"u")=0), "u", "")</f>
        <v/>
      </c>
      <c r="CG139" s="80" t="str">
        <f>IF(AND($F139&lt;&gt;"", $F139&gt;=CG$5-4, $F139&lt;=CG$5, COUNTIF($M139:CF139,"u")=0), "u", "")</f>
        <v/>
      </c>
      <c r="CH139" s="80" t="str">
        <f>IF(AND($F139&lt;&gt;"", $F139&gt;=CH$5-4, $F139&lt;=CH$5, COUNTIF($M139:CG139,"u")=0), "u", "")</f>
        <v/>
      </c>
      <c r="CI139" s="80" t="str">
        <f>IF(AND($F139&lt;&gt;"", $F139&gt;=CI$5-4, $F139&lt;=CI$5, COUNTIF($M139:CH139,"u")=0), "u", "")</f>
        <v/>
      </c>
      <c r="CJ139" s="80" t="str">
        <f>IF(AND($F139&lt;&gt;"", $F139&gt;=CJ$5-4, $F139&lt;=CJ$5, COUNTIF($M139:CI139,"u")=0), "u", "")</f>
        <v/>
      </c>
      <c r="CK139" s="80" t="str">
        <f>IF(AND($F139&lt;&gt;"", $F139&gt;=CK$5-4, $F139&lt;=CK$5, COUNTIF($M139:CJ139,"u")=0), "u", "")</f>
        <v/>
      </c>
      <c r="CL139" s="80" t="str">
        <f>IF(AND($F139&lt;&gt;"", $F139&gt;=CL$5-4, $F139&lt;=CL$5, COUNTIF($M139:CK139,"u")=0), "u", "")</f>
        <v/>
      </c>
      <c r="CM139" s="80" t="str">
        <f>IF(AND($F139&lt;&gt;"", $F139&gt;=CM$5-4, $F139&lt;=CM$5, COUNTIF($M139:CL139,"u")=0), "u", "")</f>
        <v/>
      </c>
      <c r="CN139" s="80" t="str">
        <f>IF(AND($F139&lt;&gt;"", $F139&gt;=CN$5-4, $F139&lt;=CN$5, COUNTIF($M139:CM139,"u")=0), "u", "")</f>
        <v/>
      </c>
      <c r="CO139" s="80" t="str">
        <f>IF(AND($F139&lt;&gt;"", $F139&gt;=CO$5-4, $F139&lt;=CO$5, COUNTIF($M139:CN139,"u")=0), "u", "")</f>
        <v/>
      </c>
      <c r="CP139" s="80" t="str">
        <f>IF(AND($F139&lt;&gt;"", $F139&gt;=CP$5-4, $F139&lt;=CP$5, COUNTIF($M139:CO139,"u")=0), "u", "")</f>
        <v/>
      </c>
      <c r="CQ139" s="80" t="str">
        <f>IF(AND($F139&lt;&gt;"", $F139&gt;=CQ$5-4, $F139&lt;=CQ$5, COUNTIF($M139:CP139,"u")=0), "u", "")</f>
        <v/>
      </c>
      <c r="CR139" s="80" t="str">
        <f>IF(AND($F139&lt;&gt;"", $F139&gt;=CR$5-4, $F139&lt;=CR$5, COUNTIF($M139:CQ139,"u")=0), "u", "")</f>
        <v/>
      </c>
      <c r="CS139" s="80" t="str">
        <f>IF(AND($F139&lt;&gt;"", $F139&gt;=CS$5-4, $F139&lt;=CS$5, COUNTIF($M139:CR139,"u")=0), "u", "")</f>
        <v/>
      </c>
      <c r="CT139" s="80" t="str">
        <f>IF(AND($F139&lt;&gt;"", $F139&gt;=CT$5-4, $F139&lt;=CT$5, COUNTIF($M139:CS139,"u")=0), "u", "")</f>
        <v/>
      </c>
      <c r="CU139" s="80" t="str">
        <f>IF(AND($F139&lt;&gt;"", $F139&gt;=CU$5-4, $F139&lt;=CU$5, COUNTIF($M139:CT139,"u")=0), "u", "")</f>
        <v/>
      </c>
      <c r="CV139" s="80" t="str">
        <f>IF(AND($F139&lt;&gt;"", $F139&gt;=CV$5-4, $F139&lt;=CV$5, COUNTIF($M139:CU139,"u")=0), "u", "")</f>
        <v/>
      </c>
      <c r="CW139" s="80" t="str">
        <f>IF(AND($F139&lt;&gt;"", $F139&gt;=CW$5-4, $F139&lt;=CW$5, COUNTIF($M139:CV139,"u")=0), "u", "")</f>
        <v/>
      </c>
      <c r="CX139" s="80" t="str">
        <f>IF(AND($F139&lt;&gt;"", $F139&gt;=CX$5-4, $F139&lt;=CX$5, COUNTIF($M139:CW139,"u")=0), "u", "")</f>
        <v/>
      </c>
      <c r="CY139" s="80" t="str">
        <f>IF(AND($F139&lt;&gt;"", $F139&gt;=CY$5-4, $F139&lt;=CY$5, COUNTIF($M139:CX139,"u")=0), "u", "")</f>
        <v/>
      </c>
      <c r="CZ139" s="80" t="str">
        <f>IF(AND($F139&lt;&gt;"", $F139&gt;=CZ$5-4, $F139&lt;=CZ$5, COUNTIF($M139:CY139,"u")=0), "u", "")</f>
        <v/>
      </c>
      <c r="DA139" s="80" t="str">
        <f>IF(AND($F139&lt;&gt;"", $F139&gt;=DA$5-4, $F139&lt;=DA$5, COUNTIF($M139:CZ139,"u")=0), "u", "")</f>
        <v/>
      </c>
      <c r="DB139" s="80" t="str">
        <f>IF(AND($F139&lt;&gt;"", $F139&gt;=DB$5-4, $F139&lt;=DB$5, COUNTIF($M139:DA139,"u")=0), "u", "")</f>
        <v/>
      </c>
      <c r="DC139" s="80" t="str">
        <f>IF(AND($F139&lt;&gt;"", $F139&gt;=DC$5-4, $F139&lt;=DC$5, COUNTIF($M139:DB139,"u")=0), "u", "")</f>
        <v/>
      </c>
      <c r="DD139" s="80" t="str">
        <f>IF(AND($F139&lt;&gt;"", $F139&gt;=DD$5-4, $F139&lt;=DD$5, COUNTIF($M139:DC139,"u")=0), "u", "")</f>
        <v/>
      </c>
      <c r="DE139" s="80" t="str">
        <f>IF(AND($F139&lt;&gt;"", $F139&gt;=DE$5-4, $F139&lt;=DE$5, COUNTIF($M139:DD139,"u")=0), "u", "")</f>
        <v/>
      </c>
      <c r="DF139" s="80" t="str">
        <f>IF(AND($F139&lt;&gt;"", $F139&gt;=DF$5-4, $F139&lt;=DF$5, COUNTIF($M139:DE139,"u")=0), "u", "")</f>
        <v/>
      </c>
      <c r="DG139" s="80" t="str">
        <f>IF(AND($F139&lt;&gt;"", $F139&gt;=DG$5-4, $F139&lt;=DG$5, COUNTIF($M139:DF139,"u")=0), "u", "")</f>
        <v/>
      </c>
      <c r="DH139" s="80" t="str">
        <f>IF(AND($F139&lt;&gt;"", $F139&gt;=DH$5-4, $F139&lt;=DH$5, COUNTIF($M139:DG139,"u")=0), "u", "")</f>
        <v/>
      </c>
      <c r="DI139" s="80" t="str">
        <f>IF(AND($F139&lt;&gt;"", $F139&gt;=DI$5-4, $F139&lt;=DI$5, COUNTIF($M139:DH139,"u")=0), "u", "")</f>
        <v/>
      </c>
      <c r="DJ139" s="80" t="str">
        <f>IF(AND($F139&lt;&gt;"", $F139&gt;=DJ$5-4, $F139&lt;=DJ$5, COUNTIF($M139:DI139,"u")=0), "u", "")</f>
        <v/>
      </c>
      <c r="DK139" s="80" t="str">
        <f>IF(AND($F139&lt;&gt;"", $F139&gt;=DK$5-4, $F139&lt;=DK$5, COUNTIF($M139:DJ139,"u")=0), "u", "")</f>
        <v/>
      </c>
      <c r="DL139" s="80" t="str">
        <f>IF(AND($F139&lt;&gt;"", $F139&gt;=DL$5-4, $F139&lt;=DL$5, COUNTIF($M139:DK139,"u")=0), "u", "")</f>
        <v/>
      </c>
    </row>
    <row r="140" spans="1:116" ht="25.05" customHeight="1" x14ac:dyDescent="0.3">
      <c r="A140" s="39"/>
      <c r="B140" s="75">
        <v>135</v>
      </c>
      <c r="C140" s="97"/>
      <c r="D140" s="92"/>
      <c r="E140" s="53"/>
      <c r="F140" s="53"/>
      <c r="G140" s="83" t="str">
        <f t="shared" si="50"/>
        <v/>
      </c>
      <c r="H140" s="83" t="str">
        <f t="shared" si="50"/>
        <v/>
      </c>
      <c r="I140" s="77" t="str">
        <f t="shared" si="51"/>
        <v/>
      </c>
      <c r="J140" s="78"/>
      <c r="K140" s="86"/>
      <c r="L140" s="56"/>
      <c r="M140" s="80" t="str">
        <f t="shared" si="52"/>
        <v/>
      </c>
      <c r="N140" s="80" t="str">
        <f>IF(AND($F140&lt;&gt;"", $F140&gt;=N$5-4, $F140&lt;=N$5, COUNTIF($M140:M140,"u")=0), "u", "")</f>
        <v/>
      </c>
      <c r="O140" s="80" t="str">
        <f>IF(AND($F140&lt;&gt;"", $F140&gt;=O$5-4, $F140&lt;=O$5, COUNTIF($M140:N140,"u")=0), "u", "")</f>
        <v/>
      </c>
      <c r="P140" s="80" t="str">
        <f>IF(AND($F140&lt;&gt;"", $F140&gt;=P$5-4, $F140&lt;=P$5, COUNTIF($M140:O140,"u")=0), "u", "")</f>
        <v/>
      </c>
      <c r="Q140" s="80" t="str">
        <f>IF(AND($F140&lt;&gt;"", $F140&gt;=Q$5-4, $F140&lt;=Q$5, COUNTIF($M140:P140,"u")=0), "u", "")</f>
        <v/>
      </c>
      <c r="R140" s="80" t="str">
        <f>IF(AND($F140&lt;&gt;"", $F140&gt;=R$5-4, $F140&lt;=R$5, COUNTIF($M140:Q140,"u")=0), "u", "")</f>
        <v/>
      </c>
      <c r="S140" s="80" t="str">
        <f>IF(AND($F140&lt;&gt;"", $F140&gt;=S$5-4, $F140&lt;=S$5, COUNTIF($M140:R140,"u")=0), "u", "")</f>
        <v/>
      </c>
      <c r="T140" s="80" t="str">
        <f>IF(AND($F140&lt;&gt;"", $F140&gt;=T$5-4, $F140&lt;=T$5, COUNTIF($M140:S140,"u")=0), "u", "")</f>
        <v/>
      </c>
      <c r="U140" s="80" t="str">
        <f>IF(AND($F140&lt;&gt;"", $F140&gt;=U$5-4, $F140&lt;=U$5, COUNTIF($M140:T140,"u")=0), "u", "")</f>
        <v/>
      </c>
      <c r="V140" s="80" t="str">
        <f>IF(AND($F140&lt;&gt;"", $F140&gt;=V$5-4, $F140&lt;=V$5, COUNTIF($M140:U140,"u")=0), "u", "")</f>
        <v/>
      </c>
      <c r="W140" s="80" t="str">
        <f>IF(AND($F140&lt;&gt;"", $F140&gt;=W$5-4, $F140&lt;=W$5, COUNTIF($M140:V140,"u")=0), "u", "")</f>
        <v/>
      </c>
      <c r="X140" s="80" t="str">
        <f>IF(AND($F140&lt;&gt;"", $F140&gt;=X$5-4, $F140&lt;=X$5, COUNTIF($M140:W140,"u")=0), "u", "")</f>
        <v/>
      </c>
      <c r="Y140" s="80" t="str">
        <f>IF(AND($F140&lt;&gt;"", $F140&gt;=Y$5-4, $F140&lt;=Y$5, COUNTIF($M140:X140,"u")=0), "u", "")</f>
        <v/>
      </c>
      <c r="Z140" s="80" t="str">
        <f>IF(AND($F140&lt;&gt;"", $F140&gt;=Z$5-4, $F140&lt;=Z$5, COUNTIF($M140:Y140,"u")=0), "u", "")</f>
        <v/>
      </c>
      <c r="AA140" s="80" t="str">
        <f>IF(AND($F140&lt;&gt;"", $F140&gt;=AA$5-4, $F140&lt;=AA$5, COUNTIF($M140:Z140,"u")=0), "u", "")</f>
        <v/>
      </c>
      <c r="AB140" s="80" t="str">
        <f>IF(AND($F140&lt;&gt;"", $F140&gt;=AB$5-4, $F140&lt;=AB$5, COUNTIF($M140:AA140,"u")=0), "u", "")</f>
        <v/>
      </c>
      <c r="AC140" s="80" t="str">
        <f>IF(AND($F140&lt;&gt;"", $F140&gt;=AC$5-4, $F140&lt;=AC$5, COUNTIF($M140:AB140,"u")=0), "u", "")</f>
        <v/>
      </c>
      <c r="AD140" s="80" t="str">
        <f>IF(AND($F140&lt;&gt;"", $F140&gt;=AD$5-4, $F140&lt;=AD$5, COUNTIF($M140:AC140,"u")=0), "u", "")</f>
        <v/>
      </c>
      <c r="AE140" s="80" t="str">
        <f>IF(AND($F140&lt;&gt;"", $F140&gt;=AE$5-4, $F140&lt;=AE$5, COUNTIF($M140:AD140,"u")=0), "u", "")</f>
        <v/>
      </c>
      <c r="AF140" s="80" t="str">
        <f>IF(AND($F140&lt;&gt;"", $F140&gt;=AF$5-4, $F140&lt;=AF$5, COUNTIF($M140:AE140,"u")=0), "u", "")</f>
        <v/>
      </c>
      <c r="AG140" s="80" t="str">
        <f>IF(AND($F140&lt;&gt;"", $F140&gt;=AG$5-4, $F140&lt;=AG$5, COUNTIF($M140:AF140,"u")=0), "u", "")</f>
        <v/>
      </c>
      <c r="AH140" s="80" t="str">
        <f>IF(AND($F140&lt;&gt;"", $F140&gt;=AH$5-4, $F140&lt;=AH$5, COUNTIF($M140:AG140,"u")=0), "u", "")</f>
        <v/>
      </c>
      <c r="AI140" s="80" t="str">
        <f>IF(AND($F140&lt;&gt;"", $F140&gt;=AI$5-4, $F140&lt;=AI$5, COUNTIF($M140:AH140,"u")=0), "u", "")</f>
        <v/>
      </c>
      <c r="AJ140" s="80" t="str">
        <f>IF(AND($F140&lt;&gt;"", $F140&gt;=AJ$5-4, $F140&lt;=AJ$5, COUNTIF($M140:AI140,"u")=0), "u", "")</f>
        <v/>
      </c>
      <c r="AK140" s="80" t="str">
        <f>IF(AND($F140&lt;&gt;"", $F140&gt;=AK$5-4, $F140&lt;=AK$5, COUNTIF($M140:AJ140,"u")=0), "u", "")</f>
        <v/>
      </c>
      <c r="AL140" s="80" t="str">
        <f>IF(AND($F140&lt;&gt;"", $F140&gt;=AL$5-4, $F140&lt;=AL$5, COUNTIF($M140:AK140,"u")=0), "u", "")</f>
        <v/>
      </c>
      <c r="AM140" s="80" t="str">
        <f>IF(AND($F140&lt;&gt;"", $F140&gt;=AM$5-4, $F140&lt;=AM$5, COUNTIF($M140:AL140,"u")=0), "u", "")</f>
        <v/>
      </c>
      <c r="AN140" s="80" t="str">
        <f>IF(AND($F140&lt;&gt;"", $F140&gt;=AN$5-4, $F140&lt;=AN$5, COUNTIF($M140:AM140,"u")=0), "u", "")</f>
        <v/>
      </c>
      <c r="AO140" s="80" t="str">
        <f>IF(AND($F140&lt;&gt;"", $F140&gt;=AO$5-4, $F140&lt;=AO$5, COUNTIF($M140:AN140,"u")=0), "u", "")</f>
        <v/>
      </c>
      <c r="AP140" s="80" t="str">
        <f>IF(AND($F140&lt;&gt;"", $F140&gt;=AP$5-4, $F140&lt;=AP$5, COUNTIF($M140:AO140,"u")=0), "u", "")</f>
        <v/>
      </c>
      <c r="AQ140" s="80" t="str">
        <f>IF(AND($F140&lt;&gt;"", $F140&gt;=AQ$5-4, $F140&lt;=AQ$5, COUNTIF($M140:AP140,"u")=0), "u", "")</f>
        <v/>
      </c>
      <c r="AR140" s="80" t="str">
        <f>IF(AND($F140&lt;&gt;"", $F140&gt;=AR$5-4, $F140&lt;=AR$5, COUNTIF($M140:AQ140,"u")=0), "u", "")</f>
        <v/>
      </c>
      <c r="AS140" s="80" t="str">
        <f>IF(AND($F140&lt;&gt;"", $F140&gt;=AS$5-4, $F140&lt;=AS$5, COUNTIF($M140:AR140,"u")=0), "u", "")</f>
        <v/>
      </c>
      <c r="AT140" s="80" t="str">
        <f>IF(AND($F140&lt;&gt;"", $F140&gt;=AT$5-4, $F140&lt;=AT$5, COUNTIF($M140:AS140,"u")=0), "u", "")</f>
        <v/>
      </c>
      <c r="AU140" s="80" t="str">
        <f>IF(AND($F140&lt;&gt;"", $F140&gt;=AU$5-4, $F140&lt;=AU$5, COUNTIF($M140:AT140,"u")=0), "u", "")</f>
        <v/>
      </c>
      <c r="AV140" s="80" t="str">
        <f>IF(AND($F140&lt;&gt;"", $F140&gt;=AV$5-4, $F140&lt;=AV$5, COUNTIF($M140:AU140,"u")=0), "u", "")</f>
        <v/>
      </c>
      <c r="AW140" s="80" t="str">
        <f>IF(AND($F140&lt;&gt;"", $F140&gt;=AW$5-4, $F140&lt;=AW$5, COUNTIF($M140:AV140,"u")=0), "u", "")</f>
        <v/>
      </c>
      <c r="AX140" s="80" t="str">
        <f>IF(AND($F140&lt;&gt;"", $F140&gt;=AX$5-4, $F140&lt;=AX$5, COUNTIF($M140:AW140,"u")=0), "u", "")</f>
        <v/>
      </c>
      <c r="AY140" s="80" t="str">
        <f>IF(AND($F140&lt;&gt;"", $F140&gt;=AY$5-4, $F140&lt;=AY$5, COUNTIF($M140:AX140,"u")=0), "u", "")</f>
        <v/>
      </c>
      <c r="AZ140" s="80" t="str">
        <f>IF(AND($F140&lt;&gt;"", $F140&gt;=AZ$5-4, $F140&lt;=AZ$5, COUNTIF($M140:AY140,"u")=0), "u", "")</f>
        <v/>
      </c>
      <c r="BA140" s="80" t="str">
        <f>IF(AND($F140&lt;&gt;"", $F140&gt;=BA$5-4, $F140&lt;=BA$5, COUNTIF($M140:AZ140,"u")=0), "u", "")</f>
        <v/>
      </c>
      <c r="BB140" s="80" t="str">
        <f>IF(AND($F140&lt;&gt;"", $F140&gt;=BB$5-4, $F140&lt;=BB$5, COUNTIF($M140:BA140,"u")=0), "u", "")</f>
        <v/>
      </c>
      <c r="BC140" s="80" t="str">
        <f>IF(AND($F140&lt;&gt;"", $F140&gt;=BC$5-4, $F140&lt;=BC$5, COUNTIF($M140:BB140,"u")=0), "u", "")</f>
        <v/>
      </c>
      <c r="BD140" s="80" t="str">
        <f>IF(AND($F140&lt;&gt;"", $F140&gt;=BD$5-4, $F140&lt;=BD$5, COUNTIF($M140:BC140,"u")=0), "u", "")</f>
        <v/>
      </c>
      <c r="BE140" s="80" t="str">
        <f>IF(AND($F140&lt;&gt;"", $F140&gt;=BE$5-4, $F140&lt;=BE$5, COUNTIF($M140:BD140,"u")=0), "u", "")</f>
        <v/>
      </c>
      <c r="BF140" s="80" t="str">
        <f>IF(AND($F140&lt;&gt;"", $F140&gt;=BF$5-4, $F140&lt;=BF$5, COUNTIF($M140:BE140,"u")=0), "u", "")</f>
        <v/>
      </c>
      <c r="BG140" s="80" t="str">
        <f>IF(AND($F140&lt;&gt;"", $F140&gt;=BG$5-4, $F140&lt;=BG$5, COUNTIF($M140:BF140,"u")=0), "u", "")</f>
        <v/>
      </c>
      <c r="BH140" s="80" t="str">
        <f>IF(AND($F140&lt;&gt;"", $F140&gt;=BH$5-4, $F140&lt;=BH$5, COUNTIF($M140:BG140,"u")=0), "u", "")</f>
        <v/>
      </c>
      <c r="BI140" s="80" t="str">
        <f>IF(AND($F140&lt;&gt;"", $F140&gt;=BI$5-4, $F140&lt;=BI$5, COUNTIF($M140:BH140,"u")=0), "u", "")</f>
        <v/>
      </c>
      <c r="BJ140" s="80" t="str">
        <f>IF(AND($F140&lt;&gt;"", $F140&gt;=BJ$5-4, $F140&lt;=BJ$5, COUNTIF($M140:BI140,"u")=0), "u", "")</f>
        <v/>
      </c>
      <c r="BK140" s="80" t="str">
        <f>IF(AND($F140&lt;&gt;"", $F140&gt;=BK$5-4, $F140&lt;=BK$5, COUNTIF($M140:BJ140,"u")=0), "u", "")</f>
        <v/>
      </c>
      <c r="BL140" s="80" t="str">
        <f>IF(AND($F140&lt;&gt;"", $F140&gt;=BL$5-4, $F140&lt;=BL$5, COUNTIF($M140:BK140,"u")=0), "u", "")</f>
        <v/>
      </c>
      <c r="BM140" s="80" t="str">
        <f>IF(AND($F140&lt;&gt;"", $F140&gt;=BM$5-4, $F140&lt;=BM$5, COUNTIF($M140:BL140,"u")=0), "u", "")</f>
        <v/>
      </c>
      <c r="BN140" s="80" t="str">
        <f>IF(AND($F140&lt;&gt;"", $F140&gt;=BN$5-4, $F140&lt;=BN$5, COUNTIF($M140:BM140,"u")=0), "u", "")</f>
        <v/>
      </c>
      <c r="BO140" s="80" t="str">
        <f>IF(AND($F140&lt;&gt;"", $F140&gt;=BO$5-4, $F140&lt;=BO$5, COUNTIF($M140:BN140,"u")=0), "u", "")</f>
        <v/>
      </c>
      <c r="BP140" s="80" t="str">
        <f>IF(AND($F140&lt;&gt;"", $F140&gt;=BP$5-4, $F140&lt;=BP$5, COUNTIF($M140:BO140,"u")=0), "u", "")</f>
        <v/>
      </c>
      <c r="BQ140" s="80" t="str">
        <f>IF(AND($F140&lt;&gt;"", $F140&gt;=BQ$5-4, $F140&lt;=BQ$5, COUNTIF($M140:BP140,"u")=0), "u", "")</f>
        <v/>
      </c>
      <c r="BR140" s="80" t="str">
        <f>IF(AND($F140&lt;&gt;"", $F140&gt;=BR$5-4, $F140&lt;=BR$5, COUNTIF($M140:BQ140,"u")=0), "u", "")</f>
        <v/>
      </c>
      <c r="BS140" s="80" t="str">
        <f>IF(AND($F140&lt;&gt;"", $F140&gt;=BS$5-4, $F140&lt;=BS$5, COUNTIF($M140:BR140,"u")=0), "u", "")</f>
        <v/>
      </c>
      <c r="BT140" s="80" t="str">
        <f>IF(AND($F140&lt;&gt;"", $F140&gt;=BT$5-4, $F140&lt;=BT$5, COUNTIF($M140:BS140,"u")=0), "u", "")</f>
        <v/>
      </c>
      <c r="BU140" s="80" t="str">
        <f>IF(AND($F140&lt;&gt;"", $F140&gt;=BU$5-4, $F140&lt;=BU$5, COUNTIF($M140:BT140,"u")=0), "u", "")</f>
        <v/>
      </c>
      <c r="BV140" s="80" t="str">
        <f>IF(AND($F140&lt;&gt;"", $F140&gt;=BV$5-4, $F140&lt;=BV$5, COUNTIF($M140:BU140,"u")=0), "u", "")</f>
        <v/>
      </c>
      <c r="BW140" s="80" t="str">
        <f>IF(AND($F140&lt;&gt;"", $F140&gt;=BW$5-4, $F140&lt;=BW$5, COUNTIF($M140:BV140,"u")=0), "u", "")</f>
        <v/>
      </c>
      <c r="BX140" s="80" t="str">
        <f>IF(AND($F140&lt;&gt;"", $F140&gt;=BX$5-4, $F140&lt;=BX$5, COUNTIF($M140:BW140,"u")=0), "u", "")</f>
        <v/>
      </c>
      <c r="BY140" s="80" t="str">
        <f>IF(AND($F140&lt;&gt;"", $F140&gt;=BY$5-4, $F140&lt;=BY$5, COUNTIF($M140:BX140,"u")=0), "u", "")</f>
        <v/>
      </c>
      <c r="BZ140" s="80" t="str">
        <f>IF(AND($F140&lt;&gt;"", $F140&gt;=BZ$5-4, $F140&lt;=BZ$5, COUNTIF($M140:BY140,"u")=0), "u", "")</f>
        <v/>
      </c>
      <c r="CA140" s="80" t="str">
        <f>IF(AND($F140&lt;&gt;"", $F140&gt;=CA$5-4, $F140&lt;=CA$5, COUNTIF($M140:BZ140,"u")=0), "u", "")</f>
        <v/>
      </c>
      <c r="CB140" s="80" t="str">
        <f>IF(AND($F140&lt;&gt;"", $F140&gt;=CB$5-4, $F140&lt;=CB$5, COUNTIF($M140:CA140,"u")=0), "u", "")</f>
        <v/>
      </c>
      <c r="CC140" s="80" t="str">
        <f>IF(AND($F140&lt;&gt;"", $F140&gt;=CC$5-4, $F140&lt;=CC$5, COUNTIF($M140:CB140,"u")=0), "u", "")</f>
        <v/>
      </c>
      <c r="CD140" s="80" t="str">
        <f>IF(AND($F140&lt;&gt;"", $F140&gt;=CD$5-4, $F140&lt;=CD$5, COUNTIF($M140:CC140,"u")=0), "u", "")</f>
        <v/>
      </c>
      <c r="CE140" s="80" t="str">
        <f>IF(AND($F140&lt;&gt;"", $F140&gt;=CE$5-4, $F140&lt;=CE$5, COUNTIF($M140:CD140,"u")=0), "u", "")</f>
        <v/>
      </c>
      <c r="CF140" s="80" t="str">
        <f>IF(AND($F140&lt;&gt;"", $F140&gt;=CF$5-4, $F140&lt;=CF$5, COUNTIF($M140:CE140,"u")=0), "u", "")</f>
        <v/>
      </c>
      <c r="CG140" s="80" t="str">
        <f>IF(AND($F140&lt;&gt;"", $F140&gt;=CG$5-4, $F140&lt;=CG$5, COUNTIF($M140:CF140,"u")=0), "u", "")</f>
        <v/>
      </c>
      <c r="CH140" s="80" t="str">
        <f>IF(AND($F140&lt;&gt;"", $F140&gt;=CH$5-4, $F140&lt;=CH$5, COUNTIF($M140:CG140,"u")=0), "u", "")</f>
        <v/>
      </c>
      <c r="CI140" s="80" t="str">
        <f>IF(AND($F140&lt;&gt;"", $F140&gt;=CI$5-4, $F140&lt;=CI$5, COUNTIF($M140:CH140,"u")=0), "u", "")</f>
        <v/>
      </c>
      <c r="CJ140" s="80" t="str">
        <f>IF(AND($F140&lt;&gt;"", $F140&gt;=CJ$5-4, $F140&lt;=CJ$5, COUNTIF($M140:CI140,"u")=0), "u", "")</f>
        <v/>
      </c>
      <c r="CK140" s="80" t="str">
        <f>IF(AND($F140&lt;&gt;"", $F140&gt;=CK$5-4, $F140&lt;=CK$5, COUNTIF($M140:CJ140,"u")=0), "u", "")</f>
        <v/>
      </c>
      <c r="CL140" s="80" t="str">
        <f>IF(AND($F140&lt;&gt;"", $F140&gt;=CL$5-4, $F140&lt;=CL$5, COUNTIF($M140:CK140,"u")=0), "u", "")</f>
        <v/>
      </c>
      <c r="CM140" s="80" t="str">
        <f>IF(AND($F140&lt;&gt;"", $F140&gt;=CM$5-4, $F140&lt;=CM$5, COUNTIF($M140:CL140,"u")=0), "u", "")</f>
        <v/>
      </c>
      <c r="CN140" s="80" t="str">
        <f>IF(AND($F140&lt;&gt;"", $F140&gt;=CN$5-4, $F140&lt;=CN$5, COUNTIF($M140:CM140,"u")=0), "u", "")</f>
        <v/>
      </c>
      <c r="CO140" s="80" t="str">
        <f>IF(AND($F140&lt;&gt;"", $F140&gt;=CO$5-4, $F140&lt;=CO$5, COUNTIF($M140:CN140,"u")=0), "u", "")</f>
        <v/>
      </c>
      <c r="CP140" s="80" t="str">
        <f>IF(AND($F140&lt;&gt;"", $F140&gt;=CP$5-4, $F140&lt;=CP$5, COUNTIF($M140:CO140,"u")=0), "u", "")</f>
        <v/>
      </c>
      <c r="CQ140" s="80" t="str">
        <f>IF(AND($F140&lt;&gt;"", $F140&gt;=CQ$5-4, $F140&lt;=CQ$5, COUNTIF($M140:CP140,"u")=0), "u", "")</f>
        <v/>
      </c>
      <c r="CR140" s="80" t="str">
        <f>IF(AND($F140&lt;&gt;"", $F140&gt;=CR$5-4, $F140&lt;=CR$5, COUNTIF($M140:CQ140,"u")=0), "u", "")</f>
        <v/>
      </c>
      <c r="CS140" s="80" t="str">
        <f>IF(AND($F140&lt;&gt;"", $F140&gt;=CS$5-4, $F140&lt;=CS$5, COUNTIF($M140:CR140,"u")=0), "u", "")</f>
        <v/>
      </c>
      <c r="CT140" s="80" t="str">
        <f>IF(AND($F140&lt;&gt;"", $F140&gt;=CT$5-4, $F140&lt;=CT$5, COUNTIF($M140:CS140,"u")=0), "u", "")</f>
        <v/>
      </c>
      <c r="CU140" s="80" t="str">
        <f>IF(AND($F140&lt;&gt;"", $F140&gt;=CU$5-4, $F140&lt;=CU$5, COUNTIF($M140:CT140,"u")=0), "u", "")</f>
        <v/>
      </c>
      <c r="CV140" s="80" t="str">
        <f>IF(AND($F140&lt;&gt;"", $F140&gt;=CV$5-4, $F140&lt;=CV$5, COUNTIF($M140:CU140,"u")=0), "u", "")</f>
        <v/>
      </c>
      <c r="CW140" s="80" t="str">
        <f>IF(AND($F140&lt;&gt;"", $F140&gt;=CW$5-4, $F140&lt;=CW$5, COUNTIF($M140:CV140,"u")=0), "u", "")</f>
        <v/>
      </c>
      <c r="CX140" s="80" t="str">
        <f>IF(AND($F140&lt;&gt;"", $F140&gt;=CX$5-4, $F140&lt;=CX$5, COUNTIF($M140:CW140,"u")=0), "u", "")</f>
        <v/>
      </c>
      <c r="CY140" s="80" t="str">
        <f>IF(AND($F140&lt;&gt;"", $F140&gt;=CY$5-4, $F140&lt;=CY$5, COUNTIF($M140:CX140,"u")=0), "u", "")</f>
        <v/>
      </c>
      <c r="CZ140" s="80" t="str">
        <f>IF(AND($F140&lt;&gt;"", $F140&gt;=CZ$5-4, $F140&lt;=CZ$5, COUNTIF($M140:CY140,"u")=0), "u", "")</f>
        <v/>
      </c>
      <c r="DA140" s="80" t="str">
        <f>IF(AND($F140&lt;&gt;"", $F140&gt;=DA$5-4, $F140&lt;=DA$5, COUNTIF($M140:CZ140,"u")=0), "u", "")</f>
        <v/>
      </c>
      <c r="DB140" s="80" t="str">
        <f>IF(AND($F140&lt;&gt;"", $F140&gt;=DB$5-4, $F140&lt;=DB$5, COUNTIF($M140:DA140,"u")=0), "u", "")</f>
        <v/>
      </c>
      <c r="DC140" s="80" t="str">
        <f>IF(AND($F140&lt;&gt;"", $F140&gt;=DC$5-4, $F140&lt;=DC$5, COUNTIF($M140:DB140,"u")=0), "u", "")</f>
        <v/>
      </c>
      <c r="DD140" s="80" t="str">
        <f>IF(AND($F140&lt;&gt;"", $F140&gt;=DD$5-4, $F140&lt;=DD$5, COUNTIF($M140:DC140,"u")=0), "u", "")</f>
        <v/>
      </c>
      <c r="DE140" s="80" t="str">
        <f>IF(AND($F140&lt;&gt;"", $F140&gt;=DE$5-4, $F140&lt;=DE$5, COUNTIF($M140:DD140,"u")=0), "u", "")</f>
        <v/>
      </c>
      <c r="DF140" s="80" t="str">
        <f>IF(AND($F140&lt;&gt;"", $F140&gt;=DF$5-4, $F140&lt;=DF$5, COUNTIF($M140:DE140,"u")=0), "u", "")</f>
        <v/>
      </c>
      <c r="DG140" s="80" t="str">
        <f>IF(AND($F140&lt;&gt;"", $F140&gt;=DG$5-4, $F140&lt;=DG$5, COUNTIF($M140:DF140,"u")=0), "u", "")</f>
        <v/>
      </c>
      <c r="DH140" s="80" t="str">
        <f>IF(AND($F140&lt;&gt;"", $F140&gt;=DH$5-4, $F140&lt;=DH$5, COUNTIF($M140:DG140,"u")=0), "u", "")</f>
        <v/>
      </c>
      <c r="DI140" s="80" t="str">
        <f>IF(AND($F140&lt;&gt;"", $F140&gt;=DI$5-4, $F140&lt;=DI$5, COUNTIF($M140:DH140,"u")=0), "u", "")</f>
        <v/>
      </c>
      <c r="DJ140" s="80" t="str">
        <f>IF(AND($F140&lt;&gt;"", $F140&gt;=DJ$5-4, $F140&lt;=DJ$5, COUNTIF($M140:DI140,"u")=0), "u", "")</f>
        <v/>
      </c>
      <c r="DK140" s="80" t="str">
        <f>IF(AND($F140&lt;&gt;"", $F140&gt;=DK$5-4, $F140&lt;=DK$5, COUNTIF($M140:DJ140,"u")=0), "u", "")</f>
        <v/>
      </c>
      <c r="DL140" s="80" t="str">
        <f>IF(AND($F140&lt;&gt;"", $F140&gt;=DL$5-4, $F140&lt;=DL$5, COUNTIF($M140:DK140,"u")=0), "u", "")</f>
        <v/>
      </c>
    </row>
    <row r="141" spans="1:116" ht="25.05" customHeight="1" x14ac:dyDescent="0.3">
      <c r="A141" s="39"/>
      <c r="B141" s="75">
        <v>136</v>
      </c>
      <c r="C141" s="97"/>
      <c r="D141" s="92"/>
      <c r="E141" s="53"/>
      <c r="F141" s="53"/>
      <c r="G141" s="83" t="str">
        <f t="shared" si="50"/>
        <v/>
      </c>
      <c r="H141" s="83" t="str">
        <f t="shared" si="50"/>
        <v/>
      </c>
      <c r="I141" s="77" t="str">
        <f t="shared" si="51"/>
        <v/>
      </c>
      <c r="J141" s="78"/>
      <c r="K141" s="86"/>
      <c r="L141" s="56"/>
      <c r="M141" s="80" t="str">
        <f t="shared" si="52"/>
        <v/>
      </c>
      <c r="N141" s="80" t="str">
        <f>IF(AND($F141&lt;&gt;"", $F141&gt;=N$5-4, $F141&lt;=N$5, COUNTIF($M141:M141,"u")=0), "u", "")</f>
        <v/>
      </c>
      <c r="O141" s="80" t="str">
        <f>IF(AND($F141&lt;&gt;"", $F141&gt;=O$5-4, $F141&lt;=O$5, COUNTIF($M141:N141,"u")=0), "u", "")</f>
        <v/>
      </c>
      <c r="P141" s="80" t="str">
        <f>IF(AND($F141&lt;&gt;"", $F141&gt;=P$5-4, $F141&lt;=P$5, COUNTIF($M141:O141,"u")=0), "u", "")</f>
        <v/>
      </c>
      <c r="Q141" s="80" t="str">
        <f>IF(AND($F141&lt;&gt;"", $F141&gt;=Q$5-4, $F141&lt;=Q$5, COUNTIF($M141:P141,"u")=0), "u", "")</f>
        <v/>
      </c>
      <c r="R141" s="80" t="str">
        <f>IF(AND($F141&lt;&gt;"", $F141&gt;=R$5-4, $F141&lt;=R$5, COUNTIF($M141:Q141,"u")=0), "u", "")</f>
        <v/>
      </c>
      <c r="S141" s="80" t="str">
        <f>IF(AND($F141&lt;&gt;"", $F141&gt;=S$5-4, $F141&lt;=S$5, COUNTIF($M141:R141,"u")=0), "u", "")</f>
        <v/>
      </c>
      <c r="T141" s="80" t="str">
        <f>IF(AND($F141&lt;&gt;"", $F141&gt;=T$5-4, $F141&lt;=T$5, COUNTIF($M141:S141,"u")=0), "u", "")</f>
        <v/>
      </c>
      <c r="U141" s="80" t="str">
        <f>IF(AND($F141&lt;&gt;"", $F141&gt;=U$5-4, $F141&lt;=U$5, COUNTIF($M141:T141,"u")=0), "u", "")</f>
        <v/>
      </c>
      <c r="V141" s="80" t="str">
        <f>IF(AND($F141&lt;&gt;"", $F141&gt;=V$5-4, $F141&lt;=V$5, COUNTIF($M141:U141,"u")=0), "u", "")</f>
        <v/>
      </c>
      <c r="W141" s="80" t="str">
        <f>IF(AND($F141&lt;&gt;"", $F141&gt;=W$5-4, $F141&lt;=W$5, COUNTIF($M141:V141,"u")=0), "u", "")</f>
        <v/>
      </c>
      <c r="X141" s="80" t="str">
        <f>IF(AND($F141&lt;&gt;"", $F141&gt;=X$5-4, $F141&lt;=X$5, COUNTIF($M141:W141,"u")=0), "u", "")</f>
        <v/>
      </c>
      <c r="Y141" s="80" t="str">
        <f>IF(AND($F141&lt;&gt;"", $F141&gt;=Y$5-4, $F141&lt;=Y$5, COUNTIF($M141:X141,"u")=0), "u", "")</f>
        <v/>
      </c>
      <c r="Z141" s="80" t="str">
        <f>IF(AND($F141&lt;&gt;"", $F141&gt;=Z$5-4, $F141&lt;=Z$5, COUNTIF($M141:Y141,"u")=0), "u", "")</f>
        <v/>
      </c>
      <c r="AA141" s="80" t="str">
        <f>IF(AND($F141&lt;&gt;"", $F141&gt;=AA$5-4, $F141&lt;=AA$5, COUNTIF($M141:Z141,"u")=0), "u", "")</f>
        <v/>
      </c>
      <c r="AB141" s="80" t="str">
        <f>IF(AND($F141&lt;&gt;"", $F141&gt;=AB$5-4, $F141&lt;=AB$5, COUNTIF($M141:AA141,"u")=0), "u", "")</f>
        <v/>
      </c>
      <c r="AC141" s="80" t="str">
        <f>IF(AND($F141&lt;&gt;"", $F141&gt;=AC$5-4, $F141&lt;=AC$5, COUNTIF($M141:AB141,"u")=0), "u", "")</f>
        <v/>
      </c>
      <c r="AD141" s="80" t="str">
        <f>IF(AND($F141&lt;&gt;"", $F141&gt;=AD$5-4, $F141&lt;=AD$5, COUNTIF($M141:AC141,"u")=0), "u", "")</f>
        <v/>
      </c>
      <c r="AE141" s="80" t="str">
        <f>IF(AND($F141&lt;&gt;"", $F141&gt;=AE$5-4, $F141&lt;=AE$5, COUNTIF($M141:AD141,"u")=0), "u", "")</f>
        <v/>
      </c>
      <c r="AF141" s="80" t="str">
        <f>IF(AND($F141&lt;&gt;"", $F141&gt;=AF$5-4, $F141&lt;=AF$5, COUNTIF($M141:AE141,"u")=0), "u", "")</f>
        <v/>
      </c>
      <c r="AG141" s="80" t="str">
        <f>IF(AND($F141&lt;&gt;"", $F141&gt;=AG$5-4, $F141&lt;=AG$5, COUNTIF($M141:AF141,"u")=0), "u", "")</f>
        <v/>
      </c>
      <c r="AH141" s="80" t="str">
        <f>IF(AND($F141&lt;&gt;"", $F141&gt;=AH$5-4, $F141&lt;=AH$5, COUNTIF($M141:AG141,"u")=0), "u", "")</f>
        <v/>
      </c>
      <c r="AI141" s="80" t="str">
        <f>IF(AND($F141&lt;&gt;"", $F141&gt;=AI$5-4, $F141&lt;=AI$5, COUNTIF($M141:AH141,"u")=0), "u", "")</f>
        <v/>
      </c>
      <c r="AJ141" s="80" t="str">
        <f>IF(AND($F141&lt;&gt;"", $F141&gt;=AJ$5-4, $F141&lt;=AJ$5, COUNTIF($M141:AI141,"u")=0), "u", "")</f>
        <v/>
      </c>
      <c r="AK141" s="80" t="str">
        <f>IF(AND($F141&lt;&gt;"", $F141&gt;=AK$5-4, $F141&lt;=AK$5, COUNTIF($M141:AJ141,"u")=0), "u", "")</f>
        <v/>
      </c>
      <c r="AL141" s="80" t="str">
        <f>IF(AND($F141&lt;&gt;"", $F141&gt;=AL$5-4, $F141&lt;=AL$5, COUNTIF($M141:AK141,"u")=0), "u", "")</f>
        <v/>
      </c>
      <c r="AM141" s="80" t="str">
        <f>IF(AND($F141&lt;&gt;"", $F141&gt;=AM$5-4, $F141&lt;=AM$5, COUNTIF($M141:AL141,"u")=0), "u", "")</f>
        <v/>
      </c>
      <c r="AN141" s="80" t="str">
        <f>IF(AND($F141&lt;&gt;"", $F141&gt;=AN$5-4, $F141&lt;=AN$5, COUNTIF($M141:AM141,"u")=0), "u", "")</f>
        <v/>
      </c>
      <c r="AO141" s="80" t="str">
        <f>IF(AND($F141&lt;&gt;"", $F141&gt;=AO$5-4, $F141&lt;=AO$5, COUNTIF($M141:AN141,"u")=0), "u", "")</f>
        <v/>
      </c>
      <c r="AP141" s="80" t="str">
        <f>IF(AND($F141&lt;&gt;"", $F141&gt;=AP$5-4, $F141&lt;=AP$5, COUNTIF($M141:AO141,"u")=0), "u", "")</f>
        <v/>
      </c>
      <c r="AQ141" s="80" t="str">
        <f>IF(AND($F141&lt;&gt;"", $F141&gt;=AQ$5-4, $F141&lt;=AQ$5, COUNTIF($M141:AP141,"u")=0), "u", "")</f>
        <v/>
      </c>
      <c r="AR141" s="80" t="str">
        <f>IF(AND($F141&lt;&gt;"", $F141&gt;=AR$5-4, $F141&lt;=AR$5, COUNTIF($M141:AQ141,"u")=0), "u", "")</f>
        <v/>
      </c>
      <c r="AS141" s="80" t="str">
        <f>IF(AND($F141&lt;&gt;"", $F141&gt;=AS$5-4, $F141&lt;=AS$5, COUNTIF($M141:AR141,"u")=0), "u", "")</f>
        <v/>
      </c>
      <c r="AT141" s="80" t="str">
        <f>IF(AND($F141&lt;&gt;"", $F141&gt;=AT$5-4, $F141&lt;=AT$5, COUNTIF($M141:AS141,"u")=0), "u", "")</f>
        <v/>
      </c>
      <c r="AU141" s="80" t="str">
        <f>IF(AND($F141&lt;&gt;"", $F141&gt;=AU$5-4, $F141&lt;=AU$5, COUNTIF($M141:AT141,"u")=0), "u", "")</f>
        <v/>
      </c>
      <c r="AV141" s="80" t="str">
        <f>IF(AND($F141&lt;&gt;"", $F141&gt;=AV$5-4, $F141&lt;=AV$5, COUNTIF($M141:AU141,"u")=0), "u", "")</f>
        <v/>
      </c>
      <c r="AW141" s="80" t="str">
        <f>IF(AND($F141&lt;&gt;"", $F141&gt;=AW$5-4, $F141&lt;=AW$5, COUNTIF($M141:AV141,"u")=0), "u", "")</f>
        <v/>
      </c>
      <c r="AX141" s="80" t="str">
        <f>IF(AND($F141&lt;&gt;"", $F141&gt;=AX$5-4, $F141&lt;=AX$5, COUNTIF($M141:AW141,"u")=0), "u", "")</f>
        <v/>
      </c>
      <c r="AY141" s="80" t="str">
        <f>IF(AND($F141&lt;&gt;"", $F141&gt;=AY$5-4, $F141&lt;=AY$5, COUNTIF($M141:AX141,"u")=0), "u", "")</f>
        <v/>
      </c>
      <c r="AZ141" s="80" t="str">
        <f>IF(AND($F141&lt;&gt;"", $F141&gt;=AZ$5-4, $F141&lt;=AZ$5, COUNTIF($M141:AY141,"u")=0), "u", "")</f>
        <v/>
      </c>
      <c r="BA141" s="80" t="str">
        <f>IF(AND($F141&lt;&gt;"", $F141&gt;=BA$5-4, $F141&lt;=BA$5, COUNTIF($M141:AZ141,"u")=0), "u", "")</f>
        <v/>
      </c>
      <c r="BB141" s="80" t="str">
        <f>IF(AND($F141&lt;&gt;"", $F141&gt;=BB$5-4, $F141&lt;=BB$5, COUNTIF($M141:BA141,"u")=0), "u", "")</f>
        <v/>
      </c>
      <c r="BC141" s="80" t="str">
        <f>IF(AND($F141&lt;&gt;"", $F141&gt;=BC$5-4, $F141&lt;=BC$5, COUNTIF($M141:BB141,"u")=0), "u", "")</f>
        <v/>
      </c>
      <c r="BD141" s="80" t="str">
        <f>IF(AND($F141&lt;&gt;"", $F141&gt;=BD$5-4, $F141&lt;=BD$5, COUNTIF($M141:BC141,"u")=0), "u", "")</f>
        <v/>
      </c>
      <c r="BE141" s="80" t="str">
        <f>IF(AND($F141&lt;&gt;"", $F141&gt;=BE$5-4, $F141&lt;=BE$5, COUNTIF($M141:BD141,"u")=0), "u", "")</f>
        <v/>
      </c>
      <c r="BF141" s="80" t="str">
        <f>IF(AND($F141&lt;&gt;"", $F141&gt;=BF$5-4, $F141&lt;=BF$5, COUNTIF($M141:BE141,"u")=0), "u", "")</f>
        <v/>
      </c>
      <c r="BG141" s="80" t="str">
        <f>IF(AND($F141&lt;&gt;"", $F141&gt;=BG$5-4, $F141&lt;=BG$5, COUNTIF($M141:BF141,"u")=0), "u", "")</f>
        <v/>
      </c>
      <c r="BH141" s="80" t="str">
        <f>IF(AND($F141&lt;&gt;"", $F141&gt;=BH$5-4, $F141&lt;=BH$5, COUNTIF($M141:BG141,"u")=0), "u", "")</f>
        <v/>
      </c>
      <c r="BI141" s="80" t="str">
        <f>IF(AND($F141&lt;&gt;"", $F141&gt;=BI$5-4, $F141&lt;=BI$5, COUNTIF($M141:BH141,"u")=0), "u", "")</f>
        <v/>
      </c>
      <c r="BJ141" s="80" t="str">
        <f>IF(AND($F141&lt;&gt;"", $F141&gt;=BJ$5-4, $F141&lt;=BJ$5, COUNTIF($M141:BI141,"u")=0), "u", "")</f>
        <v/>
      </c>
      <c r="BK141" s="80" t="str">
        <f>IF(AND($F141&lt;&gt;"", $F141&gt;=BK$5-4, $F141&lt;=BK$5, COUNTIF($M141:BJ141,"u")=0), "u", "")</f>
        <v/>
      </c>
      <c r="BL141" s="80" t="str">
        <f>IF(AND($F141&lt;&gt;"", $F141&gt;=BL$5-4, $F141&lt;=BL$5, COUNTIF($M141:BK141,"u")=0), "u", "")</f>
        <v/>
      </c>
      <c r="BM141" s="80" t="str">
        <f>IF(AND($F141&lt;&gt;"", $F141&gt;=BM$5-4, $F141&lt;=BM$5, COUNTIF($M141:BL141,"u")=0), "u", "")</f>
        <v/>
      </c>
      <c r="BN141" s="80" t="str">
        <f>IF(AND($F141&lt;&gt;"", $F141&gt;=BN$5-4, $F141&lt;=BN$5, COUNTIF($M141:BM141,"u")=0), "u", "")</f>
        <v/>
      </c>
      <c r="BO141" s="80" t="str">
        <f>IF(AND($F141&lt;&gt;"", $F141&gt;=BO$5-4, $F141&lt;=BO$5, COUNTIF($M141:BN141,"u")=0), "u", "")</f>
        <v/>
      </c>
      <c r="BP141" s="80" t="str">
        <f>IF(AND($F141&lt;&gt;"", $F141&gt;=BP$5-4, $F141&lt;=BP$5, COUNTIF($M141:BO141,"u")=0), "u", "")</f>
        <v/>
      </c>
      <c r="BQ141" s="80" t="str">
        <f>IF(AND($F141&lt;&gt;"", $F141&gt;=BQ$5-4, $F141&lt;=BQ$5, COUNTIF($M141:BP141,"u")=0), "u", "")</f>
        <v/>
      </c>
      <c r="BR141" s="80" t="str">
        <f>IF(AND($F141&lt;&gt;"", $F141&gt;=BR$5-4, $F141&lt;=BR$5, COUNTIF($M141:BQ141,"u")=0), "u", "")</f>
        <v/>
      </c>
      <c r="BS141" s="80" t="str">
        <f>IF(AND($F141&lt;&gt;"", $F141&gt;=BS$5-4, $F141&lt;=BS$5, COUNTIF($M141:BR141,"u")=0), "u", "")</f>
        <v/>
      </c>
      <c r="BT141" s="80" t="str">
        <f>IF(AND($F141&lt;&gt;"", $F141&gt;=BT$5-4, $F141&lt;=BT$5, COUNTIF($M141:BS141,"u")=0), "u", "")</f>
        <v/>
      </c>
      <c r="BU141" s="80" t="str">
        <f>IF(AND($F141&lt;&gt;"", $F141&gt;=BU$5-4, $F141&lt;=BU$5, COUNTIF($M141:BT141,"u")=0), "u", "")</f>
        <v/>
      </c>
      <c r="BV141" s="80" t="str">
        <f>IF(AND($F141&lt;&gt;"", $F141&gt;=BV$5-4, $F141&lt;=BV$5, COUNTIF($M141:BU141,"u")=0), "u", "")</f>
        <v/>
      </c>
      <c r="BW141" s="80" t="str">
        <f>IF(AND($F141&lt;&gt;"", $F141&gt;=BW$5-4, $F141&lt;=BW$5, COUNTIF($M141:BV141,"u")=0), "u", "")</f>
        <v/>
      </c>
      <c r="BX141" s="80" t="str">
        <f>IF(AND($F141&lt;&gt;"", $F141&gt;=BX$5-4, $F141&lt;=BX$5, COUNTIF($M141:BW141,"u")=0), "u", "")</f>
        <v/>
      </c>
      <c r="BY141" s="80" t="str">
        <f>IF(AND($F141&lt;&gt;"", $F141&gt;=BY$5-4, $F141&lt;=BY$5, COUNTIF($M141:BX141,"u")=0), "u", "")</f>
        <v/>
      </c>
      <c r="BZ141" s="80" t="str">
        <f>IF(AND($F141&lt;&gt;"", $F141&gt;=BZ$5-4, $F141&lt;=BZ$5, COUNTIF($M141:BY141,"u")=0), "u", "")</f>
        <v/>
      </c>
      <c r="CA141" s="80" t="str">
        <f>IF(AND($F141&lt;&gt;"", $F141&gt;=CA$5-4, $F141&lt;=CA$5, COUNTIF($M141:BZ141,"u")=0), "u", "")</f>
        <v/>
      </c>
      <c r="CB141" s="80" t="str">
        <f>IF(AND($F141&lt;&gt;"", $F141&gt;=CB$5-4, $F141&lt;=CB$5, COUNTIF($M141:CA141,"u")=0), "u", "")</f>
        <v/>
      </c>
      <c r="CC141" s="80" t="str">
        <f>IF(AND($F141&lt;&gt;"", $F141&gt;=CC$5-4, $F141&lt;=CC$5, COUNTIF($M141:CB141,"u")=0), "u", "")</f>
        <v/>
      </c>
      <c r="CD141" s="80" t="str">
        <f>IF(AND($F141&lt;&gt;"", $F141&gt;=CD$5-4, $F141&lt;=CD$5, COUNTIF($M141:CC141,"u")=0), "u", "")</f>
        <v/>
      </c>
      <c r="CE141" s="80" t="str">
        <f>IF(AND($F141&lt;&gt;"", $F141&gt;=CE$5-4, $F141&lt;=CE$5, COUNTIF($M141:CD141,"u")=0), "u", "")</f>
        <v/>
      </c>
      <c r="CF141" s="80" t="str">
        <f>IF(AND($F141&lt;&gt;"", $F141&gt;=CF$5-4, $F141&lt;=CF$5, COUNTIF($M141:CE141,"u")=0), "u", "")</f>
        <v/>
      </c>
      <c r="CG141" s="80" t="str">
        <f>IF(AND($F141&lt;&gt;"", $F141&gt;=CG$5-4, $F141&lt;=CG$5, COUNTIF($M141:CF141,"u")=0), "u", "")</f>
        <v/>
      </c>
      <c r="CH141" s="80" t="str">
        <f>IF(AND($F141&lt;&gt;"", $F141&gt;=CH$5-4, $F141&lt;=CH$5, COUNTIF($M141:CG141,"u")=0), "u", "")</f>
        <v/>
      </c>
      <c r="CI141" s="80" t="str">
        <f>IF(AND($F141&lt;&gt;"", $F141&gt;=CI$5-4, $F141&lt;=CI$5, COUNTIF($M141:CH141,"u")=0), "u", "")</f>
        <v/>
      </c>
      <c r="CJ141" s="80" t="str">
        <f>IF(AND($F141&lt;&gt;"", $F141&gt;=CJ$5-4, $F141&lt;=CJ$5, COUNTIF($M141:CI141,"u")=0), "u", "")</f>
        <v/>
      </c>
      <c r="CK141" s="80" t="str">
        <f>IF(AND($F141&lt;&gt;"", $F141&gt;=CK$5-4, $F141&lt;=CK$5, COUNTIF($M141:CJ141,"u")=0), "u", "")</f>
        <v/>
      </c>
      <c r="CL141" s="80" t="str">
        <f>IF(AND($F141&lt;&gt;"", $F141&gt;=CL$5-4, $F141&lt;=CL$5, COUNTIF($M141:CK141,"u")=0), "u", "")</f>
        <v/>
      </c>
      <c r="CM141" s="80" t="str">
        <f>IF(AND($F141&lt;&gt;"", $F141&gt;=CM$5-4, $F141&lt;=CM$5, COUNTIF($M141:CL141,"u")=0), "u", "")</f>
        <v/>
      </c>
      <c r="CN141" s="80" t="str">
        <f>IF(AND($F141&lt;&gt;"", $F141&gt;=CN$5-4, $F141&lt;=CN$5, COUNTIF($M141:CM141,"u")=0), "u", "")</f>
        <v/>
      </c>
      <c r="CO141" s="80" t="str">
        <f>IF(AND($F141&lt;&gt;"", $F141&gt;=CO$5-4, $F141&lt;=CO$5, COUNTIF($M141:CN141,"u")=0), "u", "")</f>
        <v/>
      </c>
      <c r="CP141" s="80" t="str">
        <f>IF(AND($F141&lt;&gt;"", $F141&gt;=CP$5-4, $F141&lt;=CP$5, COUNTIF($M141:CO141,"u")=0), "u", "")</f>
        <v/>
      </c>
      <c r="CQ141" s="80" t="str">
        <f>IF(AND($F141&lt;&gt;"", $F141&gt;=CQ$5-4, $F141&lt;=CQ$5, COUNTIF($M141:CP141,"u")=0), "u", "")</f>
        <v/>
      </c>
      <c r="CR141" s="80" t="str">
        <f>IF(AND($F141&lt;&gt;"", $F141&gt;=CR$5-4, $F141&lt;=CR$5, COUNTIF($M141:CQ141,"u")=0), "u", "")</f>
        <v/>
      </c>
      <c r="CS141" s="80" t="str">
        <f>IF(AND($F141&lt;&gt;"", $F141&gt;=CS$5-4, $F141&lt;=CS$5, COUNTIF($M141:CR141,"u")=0), "u", "")</f>
        <v/>
      </c>
      <c r="CT141" s="80" t="str">
        <f>IF(AND($F141&lt;&gt;"", $F141&gt;=CT$5-4, $F141&lt;=CT$5, COUNTIF($M141:CS141,"u")=0), "u", "")</f>
        <v/>
      </c>
      <c r="CU141" s="80" t="str">
        <f>IF(AND($F141&lt;&gt;"", $F141&gt;=CU$5-4, $F141&lt;=CU$5, COUNTIF($M141:CT141,"u")=0), "u", "")</f>
        <v/>
      </c>
      <c r="CV141" s="80" t="str">
        <f>IF(AND($F141&lt;&gt;"", $F141&gt;=CV$5-4, $F141&lt;=CV$5, COUNTIF($M141:CU141,"u")=0), "u", "")</f>
        <v/>
      </c>
      <c r="CW141" s="80" t="str">
        <f>IF(AND($F141&lt;&gt;"", $F141&gt;=CW$5-4, $F141&lt;=CW$5, COUNTIF($M141:CV141,"u")=0), "u", "")</f>
        <v/>
      </c>
      <c r="CX141" s="80" t="str">
        <f>IF(AND($F141&lt;&gt;"", $F141&gt;=CX$5-4, $F141&lt;=CX$5, COUNTIF($M141:CW141,"u")=0), "u", "")</f>
        <v/>
      </c>
      <c r="CY141" s="80" t="str">
        <f>IF(AND($F141&lt;&gt;"", $F141&gt;=CY$5-4, $F141&lt;=CY$5, COUNTIF($M141:CX141,"u")=0), "u", "")</f>
        <v/>
      </c>
      <c r="CZ141" s="80" t="str">
        <f>IF(AND($F141&lt;&gt;"", $F141&gt;=CZ$5-4, $F141&lt;=CZ$5, COUNTIF($M141:CY141,"u")=0), "u", "")</f>
        <v/>
      </c>
      <c r="DA141" s="80" t="str">
        <f>IF(AND($F141&lt;&gt;"", $F141&gt;=DA$5-4, $F141&lt;=DA$5, COUNTIF($M141:CZ141,"u")=0), "u", "")</f>
        <v/>
      </c>
      <c r="DB141" s="80" t="str">
        <f>IF(AND($F141&lt;&gt;"", $F141&gt;=DB$5-4, $F141&lt;=DB$5, COUNTIF($M141:DA141,"u")=0), "u", "")</f>
        <v/>
      </c>
      <c r="DC141" s="80" t="str">
        <f>IF(AND($F141&lt;&gt;"", $F141&gt;=DC$5-4, $F141&lt;=DC$5, COUNTIF($M141:DB141,"u")=0), "u", "")</f>
        <v/>
      </c>
      <c r="DD141" s="80" t="str">
        <f>IF(AND($F141&lt;&gt;"", $F141&gt;=DD$5-4, $F141&lt;=DD$5, COUNTIF($M141:DC141,"u")=0), "u", "")</f>
        <v/>
      </c>
      <c r="DE141" s="80" t="str">
        <f>IF(AND($F141&lt;&gt;"", $F141&gt;=DE$5-4, $F141&lt;=DE$5, COUNTIF($M141:DD141,"u")=0), "u", "")</f>
        <v/>
      </c>
      <c r="DF141" s="80" t="str">
        <f>IF(AND($F141&lt;&gt;"", $F141&gt;=DF$5-4, $F141&lt;=DF$5, COUNTIF($M141:DE141,"u")=0), "u", "")</f>
        <v/>
      </c>
      <c r="DG141" s="80" t="str">
        <f>IF(AND($F141&lt;&gt;"", $F141&gt;=DG$5-4, $F141&lt;=DG$5, COUNTIF($M141:DF141,"u")=0), "u", "")</f>
        <v/>
      </c>
      <c r="DH141" s="80" t="str">
        <f>IF(AND($F141&lt;&gt;"", $F141&gt;=DH$5-4, $F141&lt;=DH$5, COUNTIF($M141:DG141,"u")=0), "u", "")</f>
        <v/>
      </c>
      <c r="DI141" s="80" t="str">
        <f>IF(AND($F141&lt;&gt;"", $F141&gt;=DI$5-4, $F141&lt;=DI$5, COUNTIF($M141:DH141,"u")=0), "u", "")</f>
        <v/>
      </c>
      <c r="DJ141" s="80" t="str">
        <f>IF(AND($F141&lt;&gt;"", $F141&gt;=DJ$5-4, $F141&lt;=DJ$5, COUNTIF($M141:DI141,"u")=0), "u", "")</f>
        <v/>
      </c>
      <c r="DK141" s="80" t="str">
        <f>IF(AND($F141&lt;&gt;"", $F141&gt;=DK$5-4, $F141&lt;=DK$5, COUNTIF($M141:DJ141,"u")=0), "u", "")</f>
        <v/>
      </c>
      <c r="DL141" s="80" t="str">
        <f>IF(AND($F141&lt;&gt;"", $F141&gt;=DL$5-4, $F141&lt;=DL$5, COUNTIF($M141:DK141,"u")=0), "u", "")</f>
        <v/>
      </c>
    </row>
    <row r="142" spans="1:116" ht="25.05" customHeight="1" x14ac:dyDescent="0.3">
      <c r="A142" s="39"/>
      <c r="B142" s="75">
        <v>137</v>
      </c>
      <c r="C142" s="97"/>
      <c r="D142" s="92"/>
      <c r="E142" s="53"/>
      <c r="F142" s="53"/>
      <c r="G142" s="83" t="str">
        <f t="shared" si="50"/>
        <v/>
      </c>
      <c r="H142" s="83" t="str">
        <f t="shared" si="50"/>
        <v/>
      </c>
      <c r="I142" s="77" t="str">
        <f t="shared" si="51"/>
        <v/>
      </c>
      <c r="J142" s="78"/>
      <c r="K142" s="86"/>
      <c r="L142" s="56"/>
      <c r="M142" s="80" t="str">
        <f t="shared" si="52"/>
        <v/>
      </c>
      <c r="N142" s="80" t="str">
        <f>IF(AND($F142&lt;&gt;"", $F142&gt;=N$5-4, $F142&lt;=N$5, COUNTIF($M142:M142,"u")=0), "u", "")</f>
        <v/>
      </c>
      <c r="O142" s="80" t="str">
        <f>IF(AND($F142&lt;&gt;"", $F142&gt;=O$5-4, $F142&lt;=O$5, COUNTIF($M142:N142,"u")=0), "u", "")</f>
        <v/>
      </c>
      <c r="P142" s="80" t="str">
        <f>IF(AND($F142&lt;&gt;"", $F142&gt;=P$5-4, $F142&lt;=P$5, COUNTIF($M142:O142,"u")=0), "u", "")</f>
        <v/>
      </c>
      <c r="Q142" s="80" t="str">
        <f>IF(AND($F142&lt;&gt;"", $F142&gt;=Q$5-4, $F142&lt;=Q$5, COUNTIF($M142:P142,"u")=0), "u", "")</f>
        <v/>
      </c>
      <c r="R142" s="80" t="str">
        <f>IF(AND($F142&lt;&gt;"", $F142&gt;=R$5-4, $F142&lt;=R$5, COUNTIF($M142:Q142,"u")=0), "u", "")</f>
        <v/>
      </c>
      <c r="S142" s="80" t="str">
        <f>IF(AND($F142&lt;&gt;"", $F142&gt;=S$5-4, $F142&lt;=S$5, COUNTIF($M142:R142,"u")=0), "u", "")</f>
        <v/>
      </c>
      <c r="T142" s="80" t="str">
        <f>IF(AND($F142&lt;&gt;"", $F142&gt;=T$5-4, $F142&lt;=T$5, COUNTIF($M142:S142,"u")=0), "u", "")</f>
        <v/>
      </c>
      <c r="U142" s="80" t="str">
        <f>IF(AND($F142&lt;&gt;"", $F142&gt;=U$5-4, $F142&lt;=U$5, COUNTIF($M142:T142,"u")=0), "u", "")</f>
        <v/>
      </c>
      <c r="V142" s="80" t="str">
        <f>IF(AND($F142&lt;&gt;"", $F142&gt;=V$5-4, $F142&lt;=V$5, COUNTIF($M142:U142,"u")=0), "u", "")</f>
        <v/>
      </c>
      <c r="W142" s="80" t="str">
        <f>IF(AND($F142&lt;&gt;"", $F142&gt;=W$5-4, $F142&lt;=W$5, COUNTIF($M142:V142,"u")=0), "u", "")</f>
        <v/>
      </c>
      <c r="X142" s="80" t="str">
        <f>IF(AND($F142&lt;&gt;"", $F142&gt;=X$5-4, $F142&lt;=X$5, COUNTIF($M142:W142,"u")=0), "u", "")</f>
        <v/>
      </c>
      <c r="Y142" s="80" t="str">
        <f>IF(AND($F142&lt;&gt;"", $F142&gt;=Y$5-4, $F142&lt;=Y$5, COUNTIF($M142:X142,"u")=0), "u", "")</f>
        <v/>
      </c>
      <c r="Z142" s="80" t="str">
        <f>IF(AND($F142&lt;&gt;"", $F142&gt;=Z$5-4, $F142&lt;=Z$5, COUNTIF($M142:Y142,"u")=0), "u", "")</f>
        <v/>
      </c>
      <c r="AA142" s="80" t="str">
        <f>IF(AND($F142&lt;&gt;"", $F142&gt;=AA$5-4, $F142&lt;=AA$5, COUNTIF($M142:Z142,"u")=0), "u", "")</f>
        <v/>
      </c>
      <c r="AB142" s="80" t="str">
        <f>IF(AND($F142&lt;&gt;"", $F142&gt;=AB$5-4, $F142&lt;=AB$5, COUNTIF($M142:AA142,"u")=0), "u", "")</f>
        <v/>
      </c>
      <c r="AC142" s="80" t="str">
        <f>IF(AND($F142&lt;&gt;"", $F142&gt;=AC$5-4, $F142&lt;=AC$5, COUNTIF($M142:AB142,"u")=0), "u", "")</f>
        <v/>
      </c>
      <c r="AD142" s="80" t="str">
        <f>IF(AND($F142&lt;&gt;"", $F142&gt;=AD$5-4, $F142&lt;=AD$5, COUNTIF($M142:AC142,"u")=0), "u", "")</f>
        <v/>
      </c>
      <c r="AE142" s="80" t="str">
        <f>IF(AND($F142&lt;&gt;"", $F142&gt;=AE$5-4, $F142&lt;=AE$5, COUNTIF($M142:AD142,"u")=0), "u", "")</f>
        <v/>
      </c>
      <c r="AF142" s="80" t="str">
        <f>IF(AND($F142&lt;&gt;"", $F142&gt;=AF$5-4, $F142&lt;=AF$5, COUNTIF($M142:AE142,"u")=0), "u", "")</f>
        <v/>
      </c>
      <c r="AG142" s="80" t="str">
        <f>IF(AND($F142&lt;&gt;"", $F142&gt;=AG$5-4, $F142&lt;=AG$5, COUNTIF($M142:AF142,"u")=0), "u", "")</f>
        <v/>
      </c>
      <c r="AH142" s="80" t="str">
        <f>IF(AND($F142&lt;&gt;"", $F142&gt;=AH$5-4, $F142&lt;=AH$5, COUNTIF($M142:AG142,"u")=0), "u", "")</f>
        <v/>
      </c>
      <c r="AI142" s="80" t="str">
        <f>IF(AND($F142&lt;&gt;"", $F142&gt;=AI$5-4, $F142&lt;=AI$5, COUNTIF($M142:AH142,"u")=0), "u", "")</f>
        <v/>
      </c>
      <c r="AJ142" s="80" t="str">
        <f>IF(AND($F142&lt;&gt;"", $F142&gt;=AJ$5-4, $F142&lt;=AJ$5, COUNTIF($M142:AI142,"u")=0), "u", "")</f>
        <v/>
      </c>
      <c r="AK142" s="80" t="str">
        <f>IF(AND($F142&lt;&gt;"", $F142&gt;=AK$5-4, $F142&lt;=AK$5, COUNTIF($M142:AJ142,"u")=0), "u", "")</f>
        <v/>
      </c>
      <c r="AL142" s="80" t="str">
        <f>IF(AND($F142&lt;&gt;"", $F142&gt;=AL$5-4, $F142&lt;=AL$5, COUNTIF($M142:AK142,"u")=0), "u", "")</f>
        <v/>
      </c>
      <c r="AM142" s="80" t="str">
        <f>IF(AND($F142&lt;&gt;"", $F142&gt;=AM$5-4, $F142&lt;=AM$5, COUNTIF($M142:AL142,"u")=0), "u", "")</f>
        <v/>
      </c>
      <c r="AN142" s="80" t="str">
        <f>IF(AND($F142&lt;&gt;"", $F142&gt;=AN$5-4, $F142&lt;=AN$5, COUNTIF($M142:AM142,"u")=0), "u", "")</f>
        <v/>
      </c>
      <c r="AO142" s="80" t="str">
        <f>IF(AND($F142&lt;&gt;"", $F142&gt;=AO$5-4, $F142&lt;=AO$5, COUNTIF($M142:AN142,"u")=0), "u", "")</f>
        <v/>
      </c>
      <c r="AP142" s="80" t="str">
        <f>IF(AND($F142&lt;&gt;"", $F142&gt;=AP$5-4, $F142&lt;=AP$5, COUNTIF($M142:AO142,"u")=0), "u", "")</f>
        <v/>
      </c>
      <c r="AQ142" s="80" t="str">
        <f>IF(AND($F142&lt;&gt;"", $F142&gt;=AQ$5-4, $F142&lt;=AQ$5, COUNTIF($M142:AP142,"u")=0), "u", "")</f>
        <v/>
      </c>
      <c r="AR142" s="80" t="str">
        <f>IF(AND($F142&lt;&gt;"", $F142&gt;=AR$5-4, $F142&lt;=AR$5, COUNTIF($M142:AQ142,"u")=0), "u", "")</f>
        <v/>
      </c>
      <c r="AS142" s="80" t="str">
        <f>IF(AND($F142&lt;&gt;"", $F142&gt;=AS$5-4, $F142&lt;=AS$5, COUNTIF($M142:AR142,"u")=0), "u", "")</f>
        <v/>
      </c>
      <c r="AT142" s="80" t="str">
        <f>IF(AND($F142&lt;&gt;"", $F142&gt;=AT$5-4, $F142&lt;=AT$5, COUNTIF($M142:AS142,"u")=0), "u", "")</f>
        <v/>
      </c>
      <c r="AU142" s="80" t="str">
        <f>IF(AND($F142&lt;&gt;"", $F142&gt;=AU$5-4, $F142&lt;=AU$5, COUNTIF($M142:AT142,"u")=0), "u", "")</f>
        <v/>
      </c>
      <c r="AV142" s="80" t="str">
        <f>IF(AND($F142&lt;&gt;"", $F142&gt;=AV$5-4, $F142&lt;=AV$5, COUNTIF($M142:AU142,"u")=0), "u", "")</f>
        <v/>
      </c>
      <c r="AW142" s="80" t="str">
        <f>IF(AND($F142&lt;&gt;"", $F142&gt;=AW$5-4, $F142&lt;=AW$5, COUNTIF($M142:AV142,"u")=0), "u", "")</f>
        <v/>
      </c>
      <c r="AX142" s="80" t="str">
        <f>IF(AND($F142&lt;&gt;"", $F142&gt;=AX$5-4, $F142&lt;=AX$5, COUNTIF($M142:AW142,"u")=0), "u", "")</f>
        <v/>
      </c>
      <c r="AY142" s="80" t="str">
        <f>IF(AND($F142&lt;&gt;"", $F142&gt;=AY$5-4, $F142&lt;=AY$5, COUNTIF($M142:AX142,"u")=0), "u", "")</f>
        <v/>
      </c>
      <c r="AZ142" s="80" t="str">
        <f>IF(AND($F142&lt;&gt;"", $F142&gt;=AZ$5-4, $F142&lt;=AZ$5, COUNTIF($M142:AY142,"u")=0), "u", "")</f>
        <v/>
      </c>
      <c r="BA142" s="80" t="str">
        <f>IF(AND($F142&lt;&gt;"", $F142&gt;=BA$5-4, $F142&lt;=BA$5, COUNTIF($M142:AZ142,"u")=0), "u", "")</f>
        <v/>
      </c>
      <c r="BB142" s="80" t="str">
        <f>IF(AND($F142&lt;&gt;"", $F142&gt;=BB$5-4, $F142&lt;=BB$5, COUNTIF($M142:BA142,"u")=0), "u", "")</f>
        <v/>
      </c>
      <c r="BC142" s="80" t="str">
        <f>IF(AND($F142&lt;&gt;"", $F142&gt;=BC$5-4, $F142&lt;=BC$5, COUNTIF($M142:BB142,"u")=0), "u", "")</f>
        <v/>
      </c>
      <c r="BD142" s="80" t="str">
        <f>IF(AND($F142&lt;&gt;"", $F142&gt;=BD$5-4, $F142&lt;=BD$5, COUNTIF($M142:BC142,"u")=0), "u", "")</f>
        <v/>
      </c>
      <c r="BE142" s="80" t="str">
        <f>IF(AND($F142&lt;&gt;"", $F142&gt;=BE$5-4, $F142&lt;=BE$5, COUNTIF($M142:BD142,"u")=0), "u", "")</f>
        <v/>
      </c>
      <c r="BF142" s="80" t="str">
        <f>IF(AND($F142&lt;&gt;"", $F142&gt;=BF$5-4, $F142&lt;=BF$5, COUNTIF($M142:BE142,"u")=0), "u", "")</f>
        <v/>
      </c>
      <c r="BG142" s="80" t="str">
        <f>IF(AND($F142&lt;&gt;"", $F142&gt;=BG$5-4, $F142&lt;=BG$5, COUNTIF($M142:BF142,"u")=0), "u", "")</f>
        <v/>
      </c>
      <c r="BH142" s="80" t="str">
        <f>IF(AND($F142&lt;&gt;"", $F142&gt;=BH$5-4, $F142&lt;=BH$5, COUNTIF($M142:BG142,"u")=0), "u", "")</f>
        <v/>
      </c>
      <c r="BI142" s="80" t="str">
        <f>IF(AND($F142&lt;&gt;"", $F142&gt;=BI$5-4, $F142&lt;=BI$5, COUNTIF($M142:BH142,"u")=0), "u", "")</f>
        <v/>
      </c>
      <c r="BJ142" s="80" t="str">
        <f>IF(AND($F142&lt;&gt;"", $F142&gt;=BJ$5-4, $F142&lt;=BJ$5, COUNTIF($M142:BI142,"u")=0), "u", "")</f>
        <v/>
      </c>
      <c r="BK142" s="80" t="str">
        <f>IF(AND($F142&lt;&gt;"", $F142&gt;=BK$5-4, $F142&lt;=BK$5, COUNTIF($M142:BJ142,"u")=0), "u", "")</f>
        <v/>
      </c>
      <c r="BL142" s="80" t="str">
        <f>IF(AND($F142&lt;&gt;"", $F142&gt;=BL$5-4, $F142&lt;=BL$5, COUNTIF($M142:BK142,"u")=0), "u", "")</f>
        <v/>
      </c>
      <c r="BM142" s="80" t="str">
        <f>IF(AND($F142&lt;&gt;"", $F142&gt;=BM$5-4, $F142&lt;=BM$5, COUNTIF($M142:BL142,"u")=0), "u", "")</f>
        <v/>
      </c>
      <c r="BN142" s="80" t="str">
        <f>IF(AND($F142&lt;&gt;"", $F142&gt;=BN$5-4, $F142&lt;=BN$5, COUNTIF($M142:BM142,"u")=0), "u", "")</f>
        <v/>
      </c>
      <c r="BO142" s="80" t="str">
        <f>IF(AND($F142&lt;&gt;"", $F142&gt;=BO$5-4, $F142&lt;=BO$5, COUNTIF($M142:BN142,"u")=0), "u", "")</f>
        <v/>
      </c>
      <c r="BP142" s="80" t="str">
        <f>IF(AND($F142&lt;&gt;"", $F142&gt;=BP$5-4, $F142&lt;=BP$5, COUNTIF($M142:BO142,"u")=0), "u", "")</f>
        <v/>
      </c>
      <c r="BQ142" s="80" t="str">
        <f>IF(AND($F142&lt;&gt;"", $F142&gt;=BQ$5-4, $F142&lt;=BQ$5, COUNTIF($M142:BP142,"u")=0), "u", "")</f>
        <v/>
      </c>
      <c r="BR142" s="80" t="str">
        <f>IF(AND($F142&lt;&gt;"", $F142&gt;=BR$5-4, $F142&lt;=BR$5, COUNTIF($M142:BQ142,"u")=0), "u", "")</f>
        <v/>
      </c>
      <c r="BS142" s="80" t="str">
        <f>IF(AND($F142&lt;&gt;"", $F142&gt;=BS$5-4, $F142&lt;=BS$5, COUNTIF($M142:BR142,"u")=0), "u", "")</f>
        <v/>
      </c>
      <c r="BT142" s="80" t="str">
        <f>IF(AND($F142&lt;&gt;"", $F142&gt;=BT$5-4, $F142&lt;=BT$5, COUNTIF($M142:BS142,"u")=0), "u", "")</f>
        <v/>
      </c>
      <c r="BU142" s="80" t="str">
        <f>IF(AND($F142&lt;&gt;"", $F142&gt;=BU$5-4, $F142&lt;=BU$5, COUNTIF($M142:BT142,"u")=0), "u", "")</f>
        <v/>
      </c>
      <c r="BV142" s="80" t="str">
        <f>IF(AND($F142&lt;&gt;"", $F142&gt;=BV$5-4, $F142&lt;=BV$5, COUNTIF($M142:BU142,"u")=0), "u", "")</f>
        <v/>
      </c>
      <c r="BW142" s="80" t="str">
        <f>IF(AND($F142&lt;&gt;"", $F142&gt;=BW$5-4, $F142&lt;=BW$5, COUNTIF($M142:BV142,"u")=0), "u", "")</f>
        <v/>
      </c>
      <c r="BX142" s="80" t="str">
        <f>IF(AND($F142&lt;&gt;"", $F142&gt;=BX$5-4, $F142&lt;=BX$5, COUNTIF($M142:BW142,"u")=0), "u", "")</f>
        <v/>
      </c>
      <c r="BY142" s="80" t="str">
        <f>IF(AND($F142&lt;&gt;"", $F142&gt;=BY$5-4, $F142&lt;=BY$5, COUNTIF($M142:BX142,"u")=0), "u", "")</f>
        <v/>
      </c>
      <c r="BZ142" s="80" t="str">
        <f>IF(AND($F142&lt;&gt;"", $F142&gt;=BZ$5-4, $F142&lt;=BZ$5, COUNTIF($M142:BY142,"u")=0), "u", "")</f>
        <v/>
      </c>
      <c r="CA142" s="80" t="str">
        <f>IF(AND($F142&lt;&gt;"", $F142&gt;=CA$5-4, $F142&lt;=CA$5, COUNTIF($M142:BZ142,"u")=0), "u", "")</f>
        <v/>
      </c>
      <c r="CB142" s="80" t="str">
        <f>IF(AND($F142&lt;&gt;"", $F142&gt;=CB$5-4, $F142&lt;=CB$5, COUNTIF($M142:CA142,"u")=0), "u", "")</f>
        <v/>
      </c>
      <c r="CC142" s="80" t="str">
        <f>IF(AND($F142&lt;&gt;"", $F142&gt;=CC$5-4, $F142&lt;=CC$5, COUNTIF($M142:CB142,"u")=0), "u", "")</f>
        <v/>
      </c>
      <c r="CD142" s="80" t="str">
        <f>IF(AND($F142&lt;&gt;"", $F142&gt;=CD$5-4, $F142&lt;=CD$5, COUNTIF($M142:CC142,"u")=0), "u", "")</f>
        <v/>
      </c>
      <c r="CE142" s="80" t="str">
        <f>IF(AND($F142&lt;&gt;"", $F142&gt;=CE$5-4, $F142&lt;=CE$5, COUNTIF($M142:CD142,"u")=0), "u", "")</f>
        <v/>
      </c>
      <c r="CF142" s="80" t="str">
        <f>IF(AND($F142&lt;&gt;"", $F142&gt;=CF$5-4, $F142&lt;=CF$5, COUNTIF($M142:CE142,"u")=0), "u", "")</f>
        <v/>
      </c>
      <c r="CG142" s="80" t="str">
        <f>IF(AND($F142&lt;&gt;"", $F142&gt;=CG$5-4, $F142&lt;=CG$5, COUNTIF($M142:CF142,"u")=0), "u", "")</f>
        <v/>
      </c>
      <c r="CH142" s="80" t="str">
        <f>IF(AND($F142&lt;&gt;"", $F142&gt;=CH$5-4, $F142&lt;=CH$5, COUNTIF($M142:CG142,"u")=0), "u", "")</f>
        <v/>
      </c>
      <c r="CI142" s="80" t="str">
        <f>IF(AND($F142&lt;&gt;"", $F142&gt;=CI$5-4, $F142&lt;=CI$5, COUNTIF($M142:CH142,"u")=0), "u", "")</f>
        <v/>
      </c>
      <c r="CJ142" s="80" t="str">
        <f>IF(AND($F142&lt;&gt;"", $F142&gt;=CJ$5-4, $F142&lt;=CJ$5, COUNTIF($M142:CI142,"u")=0), "u", "")</f>
        <v/>
      </c>
      <c r="CK142" s="80" t="str">
        <f>IF(AND($F142&lt;&gt;"", $F142&gt;=CK$5-4, $F142&lt;=CK$5, COUNTIF($M142:CJ142,"u")=0), "u", "")</f>
        <v/>
      </c>
      <c r="CL142" s="80" t="str">
        <f>IF(AND($F142&lt;&gt;"", $F142&gt;=CL$5-4, $F142&lt;=CL$5, COUNTIF($M142:CK142,"u")=0), "u", "")</f>
        <v/>
      </c>
      <c r="CM142" s="80" t="str">
        <f>IF(AND($F142&lt;&gt;"", $F142&gt;=CM$5-4, $F142&lt;=CM$5, COUNTIF($M142:CL142,"u")=0), "u", "")</f>
        <v/>
      </c>
      <c r="CN142" s="80" t="str">
        <f>IF(AND($F142&lt;&gt;"", $F142&gt;=CN$5-4, $F142&lt;=CN$5, COUNTIF($M142:CM142,"u")=0), "u", "")</f>
        <v/>
      </c>
      <c r="CO142" s="80" t="str">
        <f>IF(AND($F142&lt;&gt;"", $F142&gt;=CO$5-4, $F142&lt;=CO$5, COUNTIF($M142:CN142,"u")=0), "u", "")</f>
        <v/>
      </c>
      <c r="CP142" s="80" t="str">
        <f>IF(AND($F142&lt;&gt;"", $F142&gt;=CP$5-4, $F142&lt;=CP$5, COUNTIF($M142:CO142,"u")=0), "u", "")</f>
        <v/>
      </c>
      <c r="CQ142" s="80" t="str">
        <f>IF(AND($F142&lt;&gt;"", $F142&gt;=CQ$5-4, $F142&lt;=CQ$5, COUNTIF($M142:CP142,"u")=0), "u", "")</f>
        <v/>
      </c>
      <c r="CR142" s="80" t="str">
        <f>IF(AND($F142&lt;&gt;"", $F142&gt;=CR$5-4, $F142&lt;=CR$5, COUNTIF($M142:CQ142,"u")=0), "u", "")</f>
        <v/>
      </c>
      <c r="CS142" s="80" t="str">
        <f>IF(AND($F142&lt;&gt;"", $F142&gt;=CS$5-4, $F142&lt;=CS$5, COUNTIF($M142:CR142,"u")=0), "u", "")</f>
        <v/>
      </c>
      <c r="CT142" s="80" t="str">
        <f>IF(AND($F142&lt;&gt;"", $F142&gt;=CT$5-4, $F142&lt;=CT$5, COUNTIF($M142:CS142,"u")=0), "u", "")</f>
        <v/>
      </c>
      <c r="CU142" s="80" t="str">
        <f>IF(AND($F142&lt;&gt;"", $F142&gt;=CU$5-4, $F142&lt;=CU$5, COUNTIF($M142:CT142,"u")=0), "u", "")</f>
        <v/>
      </c>
      <c r="CV142" s="80" t="str">
        <f>IF(AND($F142&lt;&gt;"", $F142&gt;=CV$5-4, $F142&lt;=CV$5, COUNTIF($M142:CU142,"u")=0), "u", "")</f>
        <v/>
      </c>
      <c r="CW142" s="80" t="str">
        <f>IF(AND($F142&lt;&gt;"", $F142&gt;=CW$5-4, $F142&lt;=CW$5, COUNTIF($M142:CV142,"u")=0), "u", "")</f>
        <v/>
      </c>
      <c r="CX142" s="80" t="str">
        <f>IF(AND($F142&lt;&gt;"", $F142&gt;=CX$5-4, $F142&lt;=CX$5, COUNTIF($M142:CW142,"u")=0), "u", "")</f>
        <v/>
      </c>
      <c r="CY142" s="80" t="str">
        <f>IF(AND($F142&lt;&gt;"", $F142&gt;=CY$5-4, $F142&lt;=CY$5, COUNTIF($M142:CX142,"u")=0), "u", "")</f>
        <v/>
      </c>
      <c r="CZ142" s="80" t="str">
        <f>IF(AND($F142&lt;&gt;"", $F142&gt;=CZ$5-4, $F142&lt;=CZ$5, COUNTIF($M142:CY142,"u")=0), "u", "")</f>
        <v/>
      </c>
      <c r="DA142" s="80" t="str">
        <f>IF(AND($F142&lt;&gt;"", $F142&gt;=DA$5-4, $F142&lt;=DA$5, COUNTIF($M142:CZ142,"u")=0), "u", "")</f>
        <v/>
      </c>
      <c r="DB142" s="80" t="str">
        <f>IF(AND($F142&lt;&gt;"", $F142&gt;=DB$5-4, $F142&lt;=DB$5, COUNTIF($M142:DA142,"u")=0), "u", "")</f>
        <v/>
      </c>
      <c r="DC142" s="80" t="str">
        <f>IF(AND($F142&lt;&gt;"", $F142&gt;=DC$5-4, $F142&lt;=DC$5, COUNTIF($M142:DB142,"u")=0), "u", "")</f>
        <v/>
      </c>
      <c r="DD142" s="80" t="str">
        <f>IF(AND($F142&lt;&gt;"", $F142&gt;=DD$5-4, $F142&lt;=DD$5, COUNTIF($M142:DC142,"u")=0), "u", "")</f>
        <v/>
      </c>
      <c r="DE142" s="80" t="str">
        <f>IF(AND($F142&lt;&gt;"", $F142&gt;=DE$5-4, $F142&lt;=DE$5, COUNTIF($M142:DD142,"u")=0), "u", "")</f>
        <v/>
      </c>
      <c r="DF142" s="80" t="str">
        <f>IF(AND($F142&lt;&gt;"", $F142&gt;=DF$5-4, $F142&lt;=DF$5, COUNTIF($M142:DE142,"u")=0), "u", "")</f>
        <v/>
      </c>
      <c r="DG142" s="80" t="str">
        <f>IF(AND($F142&lt;&gt;"", $F142&gt;=DG$5-4, $F142&lt;=DG$5, COUNTIF($M142:DF142,"u")=0), "u", "")</f>
        <v/>
      </c>
      <c r="DH142" s="80" t="str">
        <f>IF(AND($F142&lt;&gt;"", $F142&gt;=DH$5-4, $F142&lt;=DH$5, COUNTIF($M142:DG142,"u")=0), "u", "")</f>
        <v/>
      </c>
      <c r="DI142" s="80" t="str">
        <f>IF(AND($F142&lt;&gt;"", $F142&gt;=DI$5-4, $F142&lt;=DI$5, COUNTIF($M142:DH142,"u")=0), "u", "")</f>
        <v/>
      </c>
      <c r="DJ142" s="80" t="str">
        <f>IF(AND($F142&lt;&gt;"", $F142&gt;=DJ$5-4, $F142&lt;=DJ$5, COUNTIF($M142:DI142,"u")=0), "u", "")</f>
        <v/>
      </c>
      <c r="DK142" s="80" t="str">
        <f>IF(AND($F142&lt;&gt;"", $F142&gt;=DK$5-4, $F142&lt;=DK$5, COUNTIF($M142:DJ142,"u")=0), "u", "")</f>
        <v/>
      </c>
      <c r="DL142" s="80" t="str">
        <f>IF(AND($F142&lt;&gt;"", $F142&gt;=DL$5-4, $F142&lt;=DL$5, COUNTIF($M142:DK142,"u")=0), "u", "")</f>
        <v/>
      </c>
    </row>
    <row r="143" spans="1:116" ht="25.05" customHeight="1" x14ac:dyDescent="0.3">
      <c r="A143" s="39"/>
      <c r="B143" s="75">
        <v>138</v>
      </c>
      <c r="C143" s="97"/>
      <c r="D143" s="92"/>
      <c r="E143" s="53"/>
      <c r="F143" s="53"/>
      <c r="G143" s="83" t="str">
        <f t="shared" si="50"/>
        <v/>
      </c>
      <c r="H143" s="83" t="str">
        <f t="shared" si="50"/>
        <v/>
      </c>
      <c r="I143" s="77" t="str">
        <f t="shared" si="51"/>
        <v/>
      </c>
      <c r="J143" s="78"/>
      <c r="K143" s="86"/>
      <c r="L143" s="56"/>
      <c r="M143" s="80" t="str">
        <f t="shared" si="52"/>
        <v/>
      </c>
      <c r="N143" s="80" t="str">
        <f>IF(AND($F143&lt;&gt;"", $F143&gt;=N$5-4, $F143&lt;=N$5, COUNTIF($M143:M143,"u")=0), "u", "")</f>
        <v/>
      </c>
      <c r="O143" s="80" t="str">
        <f>IF(AND($F143&lt;&gt;"", $F143&gt;=O$5-4, $F143&lt;=O$5, COUNTIF($M143:N143,"u")=0), "u", "")</f>
        <v/>
      </c>
      <c r="P143" s="80" t="str">
        <f>IF(AND($F143&lt;&gt;"", $F143&gt;=P$5-4, $F143&lt;=P$5, COUNTIF($M143:O143,"u")=0), "u", "")</f>
        <v/>
      </c>
      <c r="Q143" s="80" t="str">
        <f>IF(AND($F143&lt;&gt;"", $F143&gt;=Q$5-4, $F143&lt;=Q$5, COUNTIF($M143:P143,"u")=0), "u", "")</f>
        <v/>
      </c>
      <c r="R143" s="80" t="str">
        <f>IF(AND($F143&lt;&gt;"", $F143&gt;=R$5-4, $F143&lt;=R$5, COUNTIF($M143:Q143,"u")=0), "u", "")</f>
        <v/>
      </c>
      <c r="S143" s="80" t="str">
        <f>IF(AND($F143&lt;&gt;"", $F143&gt;=S$5-4, $F143&lt;=S$5, COUNTIF($M143:R143,"u")=0), "u", "")</f>
        <v/>
      </c>
      <c r="T143" s="80" t="str">
        <f>IF(AND($F143&lt;&gt;"", $F143&gt;=T$5-4, $F143&lt;=T$5, COUNTIF($M143:S143,"u")=0), "u", "")</f>
        <v/>
      </c>
      <c r="U143" s="80" t="str">
        <f>IF(AND($F143&lt;&gt;"", $F143&gt;=U$5-4, $F143&lt;=U$5, COUNTIF($M143:T143,"u")=0), "u", "")</f>
        <v/>
      </c>
      <c r="V143" s="80" t="str">
        <f>IF(AND($F143&lt;&gt;"", $F143&gt;=V$5-4, $F143&lt;=V$5, COUNTIF($M143:U143,"u")=0), "u", "")</f>
        <v/>
      </c>
      <c r="W143" s="80" t="str">
        <f>IF(AND($F143&lt;&gt;"", $F143&gt;=W$5-4, $F143&lt;=W$5, COUNTIF($M143:V143,"u")=0), "u", "")</f>
        <v/>
      </c>
      <c r="X143" s="80" t="str">
        <f>IF(AND($F143&lt;&gt;"", $F143&gt;=X$5-4, $F143&lt;=X$5, COUNTIF($M143:W143,"u")=0), "u", "")</f>
        <v/>
      </c>
      <c r="Y143" s="80" t="str">
        <f>IF(AND($F143&lt;&gt;"", $F143&gt;=Y$5-4, $F143&lt;=Y$5, COUNTIF($M143:X143,"u")=0), "u", "")</f>
        <v/>
      </c>
      <c r="Z143" s="80" t="str">
        <f>IF(AND($F143&lt;&gt;"", $F143&gt;=Z$5-4, $F143&lt;=Z$5, COUNTIF($M143:Y143,"u")=0), "u", "")</f>
        <v/>
      </c>
      <c r="AA143" s="80" t="str">
        <f>IF(AND($F143&lt;&gt;"", $F143&gt;=AA$5-4, $F143&lt;=AA$5, COUNTIF($M143:Z143,"u")=0), "u", "")</f>
        <v/>
      </c>
      <c r="AB143" s="80" t="str">
        <f>IF(AND($F143&lt;&gt;"", $F143&gt;=AB$5-4, $F143&lt;=AB$5, COUNTIF($M143:AA143,"u")=0), "u", "")</f>
        <v/>
      </c>
      <c r="AC143" s="80" t="str">
        <f>IF(AND($F143&lt;&gt;"", $F143&gt;=AC$5-4, $F143&lt;=AC$5, COUNTIF($M143:AB143,"u")=0), "u", "")</f>
        <v/>
      </c>
      <c r="AD143" s="80" t="str">
        <f>IF(AND($F143&lt;&gt;"", $F143&gt;=AD$5-4, $F143&lt;=AD$5, COUNTIF($M143:AC143,"u")=0), "u", "")</f>
        <v/>
      </c>
      <c r="AE143" s="80" t="str">
        <f>IF(AND($F143&lt;&gt;"", $F143&gt;=AE$5-4, $F143&lt;=AE$5, COUNTIF($M143:AD143,"u")=0), "u", "")</f>
        <v/>
      </c>
      <c r="AF143" s="80" t="str">
        <f>IF(AND($F143&lt;&gt;"", $F143&gt;=AF$5-4, $F143&lt;=AF$5, COUNTIF($M143:AE143,"u")=0), "u", "")</f>
        <v/>
      </c>
      <c r="AG143" s="80" t="str">
        <f>IF(AND($F143&lt;&gt;"", $F143&gt;=AG$5-4, $F143&lt;=AG$5, COUNTIF($M143:AF143,"u")=0), "u", "")</f>
        <v/>
      </c>
      <c r="AH143" s="80" t="str">
        <f>IF(AND($F143&lt;&gt;"", $F143&gt;=AH$5-4, $F143&lt;=AH$5, COUNTIF($M143:AG143,"u")=0), "u", "")</f>
        <v/>
      </c>
      <c r="AI143" s="80" t="str">
        <f>IF(AND($F143&lt;&gt;"", $F143&gt;=AI$5-4, $F143&lt;=AI$5, COUNTIF($M143:AH143,"u")=0), "u", "")</f>
        <v/>
      </c>
      <c r="AJ143" s="80" t="str">
        <f>IF(AND($F143&lt;&gt;"", $F143&gt;=AJ$5-4, $F143&lt;=AJ$5, COUNTIF($M143:AI143,"u")=0), "u", "")</f>
        <v/>
      </c>
      <c r="AK143" s="80" t="str">
        <f>IF(AND($F143&lt;&gt;"", $F143&gt;=AK$5-4, $F143&lt;=AK$5, COUNTIF($M143:AJ143,"u")=0), "u", "")</f>
        <v/>
      </c>
      <c r="AL143" s="80" t="str">
        <f>IF(AND($F143&lt;&gt;"", $F143&gt;=AL$5-4, $F143&lt;=AL$5, COUNTIF($M143:AK143,"u")=0), "u", "")</f>
        <v/>
      </c>
      <c r="AM143" s="80" t="str">
        <f>IF(AND($F143&lt;&gt;"", $F143&gt;=AM$5-4, $F143&lt;=AM$5, COUNTIF($M143:AL143,"u")=0), "u", "")</f>
        <v/>
      </c>
      <c r="AN143" s="80" t="str">
        <f>IF(AND($F143&lt;&gt;"", $F143&gt;=AN$5-4, $F143&lt;=AN$5, COUNTIF($M143:AM143,"u")=0), "u", "")</f>
        <v/>
      </c>
      <c r="AO143" s="80" t="str">
        <f>IF(AND($F143&lt;&gt;"", $F143&gt;=AO$5-4, $F143&lt;=AO$5, COUNTIF($M143:AN143,"u")=0), "u", "")</f>
        <v/>
      </c>
      <c r="AP143" s="80" t="str">
        <f>IF(AND($F143&lt;&gt;"", $F143&gt;=AP$5-4, $F143&lt;=AP$5, COUNTIF($M143:AO143,"u")=0), "u", "")</f>
        <v/>
      </c>
      <c r="AQ143" s="80" t="str">
        <f>IF(AND($F143&lt;&gt;"", $F143&gt;=AQ$5-4, $F143&lt;=AQ$5, COUNTIF($M143:AP143,"u")=0), "u", "")</f>
        <v/>
      </c>
      <c r="AR143" s="80" t="str">
        <f>IF(AND($F143&lt;&gt;"", $F143&gt;=AR$5-4, $F143&lt;=AR$5, COUNTIF($M143:AQ143,"u")=0), "u", "")</f>
        <v/>
      </c>
      <c r="AS143" s="80" t="str">
        <f>IF(AND($F143&lt;&gt;"", $F143&gt;=AS$5-4, $F143&lt;=AS$5, COUNTIF($M143:AR143,"u")=0), "u", "")</f>
        <v/>
      </c>
      <c r="AT143" s="80" t="str">
        <f>IF(AND($F143&lt;&gt;"", $F143&gt;=AT$5-4, $F143&lt;=AT$5, COUNTIF($M143:AS143,"u")=0), "u", "")</f>
        <v/>
      </c>
      <c r="AU143" s="80" t="str">
        <f>IF(AND($F143&lt;&gt;"", $F143&gt;=AU$5-4, $F143&lt;=AU$5, COUNTIF($M143:AT143,"u")=0), "u", "")</f>
        <v/>
      </c>
      <c r="AV143" s="80" t="str">
        <f>IF(AND($F143&lt;&gt;"", $F143&gt;=AV$5-4, $F143&lt;=AV$5, COUNTIF($M143:AU143,"u")=0), "u", "")</f>
        <v/>
      </c>
      <c r="AW143" s="80" t="str">
        <f>IF(AND($F143&lt;&gt;"", $F143&gt;=AW$5-4, $F143&lt;=AW$5, COUNTIF($M143:AV143,"u")=0), "u", "")</f>
        <v/>
      </c>
      <c r="AX143" s="80" t="str">
        <f>IF(AND($F143&lt;&gt;"", $F143&gt;=AX$5-4, $F143&lt;=AX$5, COUNTIF($M143:AW143,"u")=0), "u", "")</f>
        <v/>
      </c>
      <c r="AY143" s="80" t="str">
        <f>IF(AND($F143&lt;&gt;"", $F143&gt;=AY$5-4, $F143&lt;=AY$5, COUNTIF($M143:AX143,"u")=0), "u", "")</f>
        <v/>
      </c>
      <c r="AZ143" s="80" t="str">
        <f>IF(AND($F143&lt;&gt;"", $F143&gt;=AZ$5-4, $F143&lt;=AZ$5, COUNTIF($M143:AY143,"u")=0), "u", "")</f>
        <v/>
      </c>
      <c r="BA143" s="80" t="str">
        <f>IF(AND($F143&lt;&gt;"", $F143&gt;=BA$5-4, $F143&lt;=BA$5, COUNTIF($M143:AZ143,"u")=0), "u", "")</f>
        <v/>
      </c>
      <c r="BB143" s="80" t="str">
        <f>IF(AND($F143&lt;&gt;"", $F143&gt;=BB$5-4, $F143&lt;=BB$5, COUNTIF($M143:BA143,"u")=0), "u", "")</f>
        <v/>
      </c>
      <c r="BC143" s="80" t="str">
        <f>IF(AND($F143&lt;&gt;"", $F143&gt;=BC$5-4, $F143&lt;=BC$5, COUNTIF($M143:BB143,"u")=0), "u", "")</f>
        <v/>
      </c>
      <c r="BD143" s="80" t="str">
        <f>IF(AND($F143&lt;&gt;"", $F143&gt;=BD$5-4, $F143&lt;=BD$5, COUNTIF($M143:BC143,"u")=0), "u", "")</f>
        <v/>
      </c>
      <c r="BE143" s="80" t="str">
        <f>IF(AND($F143&lt;&gt;"", $F143&gt;=BE$5-4, $F143&lt;=BE$5, COUNTIF($M143:BD143,"u")=0), "u", "")</f>
        <v/>
      </c>
      <c r="BF143" s="80" t="str">
        <f>IF(AND($F143&lt;&gt;"", $F143&gt;=BF$5-4, $F143&lt;=BF$5, COUNTIF($M143:BE143,"u")=0), "u", "")</f>
        <v/>
      </c>
      <c r="BG143" s="80" t="str">
        <f>IF(AND($F143&lt;&gt;"", $F143&gt;=BG$5-4, $F143&lt;=BG$5, COUNTIF($M143:BF143,"u")=0), "u", "")</f>
        <v/>
      </c>
      <c r="BH143" s="80" t="str">
        <f>IF(AND($F143&lt;&gt;"", $F143&gt;=BH$5-4, $F143&lt;=BH$5, COUNTIF($M143:BG143,"u")=0), "u", "")</f>
        <v/>
      </c>
      <c r="BI143" s="80" t="str">
        <f>IF(AND($F143&lt;&gt;"", $F143&gt;=BI$5-4, $F143&lt;=BI$5, COUNTIF($M143:BH143,"u")=0), "u", "")</f>
        <v/>
      </c>
      <c r="BJ143" s="80" t="str">
        <f>IF(AND($F143&lt;&gt;"", $F143&gt;=BJ$5-4, $F143&lt;=BJ$5, COUNTIF($M143:BI143,"u")=0), "u", "")</f>
        <v/>
      </c>
      <c r="BK143" s="80" t="str">
        <f>IF(AND($F143&lt;&gt;"", $F143&gt;=BK$5-4, $F143&lt;=BK$5, COUNTIF($M143:BJ143,"u")=0), "u", "")</f>
        <v/>
      </c>
      <c r="BL143" s="80" t="str">
        <f>IF(AND($F143&lt;&gt;"", $F143&gt;=BL$5-4, $F143&lt;=BL$5, COUNTIF($M143:BK143,"u")=0), "u", "")</f>
        <v/>
      </c>
      <c r="BM143" s="80" t="str">
        <f>IF(AND($F143&lt;&gt;"", $F143&gt;=BM$5-4, $F143&lt;=BM$5, COUNTIF($M143:BL143,"u")=0), "u", "")</f>
        <v/>
      </c>
      <c r="BN143" s="80" t="str">
        <f>IF(AND($F143&lt;&gt;"", $F143&gt;=BN$5-4, $F143&lt;=BN$5, COUNTIF($M143:BM143,"u")=0), "u", "")</f>
        <v/>
      </c>
      <c r="BO143" s="80" t="str">
        <f>IF(AND($F143&lt;&gt;"", $F143&gt;=BO$5-4, $F143&lt;=BO$5, COUNTIF($M143:BN143,"u")=0), "u", "")</f>
        <v/>
      </c>
      <c r="BP143" s="80" t="str">
        <f>IF(AND($F143&lt;&gt;"", $F143&gt;=BP$5-4, $F143&lt;=BP$5, COUNTIF($M143:BO143,"u")=0), "u", "")</f>
        <v/>
      </c>
      <c r="BQ143" s="80" t="str">
        <f>IF(AND($F143&lt;&gt;"", $F143&gt;=BQ$5-4, $F143&lt;=BQ$5, COUNTIF($M143:BP143,"u")=0), "u", "")</f>
        <v/>
      </c>
      <c r="BR143" s="80" t="str">
        <f>IF(AND($F143&lt;&gt;"", $F143&gt;=BR$5-4, $F143&lt;=BR$5, COUNTIF($M143:BQ143,"u")=0), "u", "")</f>
        <v/>
      </c>
      <c r="BS143" s="80" t="str">
        <f>IF(AND($F143&lt;&gt;"", $F143&gt;=BS$5-4, $F143&lt;=BS$5, COUNTIF($M143:BR143,"u")=0), "u", "")</f>
        <v/>
      </c>
      <c r="BT143" s="80" t="str">
        <f>IF(AND($F143&lt;&gt;"", $F143&gt;=BT$5-4, $F143&lt;=BT$5, COUNTIF($M143:BS143,"u")=0), "u", "")</f>
        <v/>
      </c>
      <c r="BU143" s="80" t="str">
        <f>IF(AND($F143&lt;&gt;"", $F143&gt;=BU$5-4, $F143&lt;=BU$5, COUNTIF($M143:BT143,"u")=0), "u", "")</f>
        <v/>
      </c>
      <c r="BV143" s="80" t="str">
        <f>IF(AND($F143&lt;&gt;"", $F143&gt;=BV$5-4, $F143&lt;=BV$5, COUNTIF($M143:BU143,"u")=0), "u", "")</f>
        <v/>
      </c>
      <c r="BW143" s="80" t="str">
        <f>IF(AND($F143&lt;&gt;"", $F143&gt;=BW$5-4, $F143&lt;=BW$5, COUNTIF($M143:BV143,"u")=0), "u", "")</f>
        <v/>
      </c>
      <c r="BX143" s="80" t="str">
        <f>IF(AND($F143&lt;&gt;"", $F143&gt;=BX$5-4, $F143&lt;=BX$5, COUNTIF($M143:BW143,"u")=0), "u", "")</f>
        <v/>
      </c>
      <c r="BY143" s="80" t="str">
        <f>IF(AND($F143&lt;&gt;"", $F143&gt;=BY$5-4, $F143&lt;=BY$5, COUNTIF($M143:BX143,"u")=0), "u", "")</f>
        <v/>
      </c>
      <c r="BZ143" s="80" t="str">
        <f>IF(AND($F143&lt;&gt;"", $F143&gt;=BZ$5-4, $F143&lt;=BZ$5, COUNTIF($M143:BY143,"u")=0), "u", "")</f>
        <v/>
      </c>
      <c r="CA143" s="80" t="str">
        <f>IF(AND($F143&lt;&gt;"", $F143&gt;=CA$5-4, $F143&lt;=CA$5, COUNTIF($M143:BZ143,"u")=0), "u", "")</f>
        <v/>
      </c>
      <c r="CB143" s="80" t="str">
        <f>IF(AND($F143&lt;&gt;"", $F143&gt;=CB$5-4, $F143&lt;=CB$5, COUNTIF($M143:CA143,"u")=0), "u", "")</f>
        <v/>
      </c>
      <c r="CC143" s="80" t="str">
        <f>IF(AND($F143&lt;&gt;"", $F143&gt;=CC$5-4, $F143&lt;=CC$5, COUNTIF($M143:CB143,"u")=0), "u", "")</f>
        <v/>
      </c>
      <c r="CD143" s="80" t="str">
        <f>IF(AND($F143&lt;&gt;"", $F143&gt;=CD$5-4, $F143&lt;=CD$5, COUNTIF($M143:CC143,"u")=0), "u", "")</f>
        <v/>
      </c>
      <c r="CE143" s="80" t="str">
        <f>IF(AND($F143&lt;&gt;"", $F143&gt;=CE$5-4, $F143&lt;=CE$5, COUNTIF($M143:CD143,"u")=0), "u", "")</f>
        <v/>
      </c>
      <c r="CF143" s="80" t="str">
        <f>IF(AND($F143&lt;&gt;"", $F143&gt;=CF$5-4, $F143&lt;=CF$5, COUNTIF($M143:CE143,"u")=0), "u", "")</f>
        <v/>
      </c>
      <c r="CG143" s="80" t="str">
        <f>IF(AND($F143&lt;&gt;"", $F143&gt;=CG$5-4, $F143&lt;=CG$5, COUNTIF($M143:CF143,"u")=0), "u", "")</f>
        <v/>
      </c>
      <c r="CH143" s="80" t="str">
        <f>IF(AND($F143&lt;&gt;"", $F143&gt;=CH$5-4, $F143&lt;=CH$5, COUNTIF($M143:CG143,"u")=0), "u", "")</f>
        <v/>
      </c>
      <c r="CI143" s="80" t="str">
        <f>IF(AND($F143&lt;&gt;"", $F143&gt;=CI$5-4, $F143&lt;=CI$5, COUNTIF($M143:CH143,"u")=0), "u", "")</f>
        <v/>
      </c>
      <c r="CJ143" s="80" t="str">
        <f>IF(AND($F143&lt;&gt;"", $F143&gt;=CJ$5-4, $F143&lt;=CJ$5, COUNTIF($M143:CI143,"u")=0), "u", "")</f>
        <v/>
      </c>
      <c r="CK143" s="80" t="str">
        <f>IF(AND($F143&lt;&gt;"", $F143&gt;=CK$5-4, $F143&lt;=CK$5, COUNTIF($M143:CJ143,"u")=0), "u", "")</f>
        <v/>
      </c>
      <c r="CL143" s="80" t="str">
        <f>IF(AND($F143&lt;&gt;"", $F143&gt;=CL$5-4, $F143&lt;=CL$5, COUNTIF($M143:CK143,"u")=0), "u", "")</f>
        <v/>
      </c>
      <c r="CM143" s="80" t="str">
        <f>IF(AND($F143&lt;&gt;"", $F143&gt;=CM$5-4, $F143&lt;=CM$5, COUNTIF($M143:CL143,"u")=0), "u", "")</f>
        <v/>
      </c>
      <c r="CN143" s="80" t="str">
        <f>IF(AND($F143&lt;&gt;"", $F143&gt;=CN$5-4, $F143&lt;=CN$5, COUNTIF($M143:CM143,"u")=0), "u", "")</f>
        <v/>
      </c>
      <c r="CO143" s="80" t="str">
        <f>IF(AND($F143&lt;&gt;"", $F143&gt;=CO$5-4, $F143&lt;=CO$5, COUNTIF($M143:CN143,"u")=0), "u", "")</f>
        <v/>
      </c>
      <c r="CP143" s="80" t="str">
        <f>IF(AND($F143&lt;&gt;"", $F143&gt;=CP$5-4, $F143&lt;=CP$5, COUNTIF($M143:CO143,"u")=0), "u", "")</f>
        <v/>
      </c>
      <c r="CQ143" s="80" t="str">
        <f>IF(AND($F143&lt;&gt;"", $F143&gt;=CQ$5-4, $F143&lt;=CQ$5, COUNTIF($M143:CP143,"u")=0), "u", "")</f>
        <v/>
      </c>
      <c r="CR143" s="80" t="str">
        <f>IF(AND($F143&lt;&gt;"", $F143&gt;=CR$5-4, $F143&lt;=CR$5, COUNTIF($M143:CQ143,"u")=0), "u", "")</f>
        <v/>
      </c>
      <c r="CS143" s="80" t="str">
        <f>IF(AND($F143&lt;&gt;"", $F143&gt;=CS$5-4, $F143&lt;=CS$5, COUNTIF($M143:CR143,"u")=0), "u", "")</f>
        <v/>
      </c>
      <c r="CT143" s="80" t="str">
        <f>IF(AND($F143&lt;&gt;"", $F143&gt;=CT$5-4, $F143&lt;=CT$5, COUNTIF($M143:CS143,"u")=0), "u", "")</f>
        <v/>
      </c>
      <c r="CU143" s="80" t="str">
        <f>IF(AND($F143&lt;&gt;"", $F143&gt;=CU$5-4, $F143&lt;=CU$5, COUNTIF($M143:CT143,"u")=0), "u", "")</f>
        <v/>
      </c>
      <c r="CV143" s="80" t="str">
        <f>IF(AND($F143&lt;&gt;"", $F143&gt;=CV$5-4, $F143&lt;=CV$5, COUNTIF($M143:CU143,"u")=0), "u", "")</f>
        <v/>
      </c>
      <c r="CW143" s="80" t="str">
        <f>IF(AND($F143&lt;&gt;"", $F143&gt;=CW$5-4, $F143&lt;=CW$5, COUNTIF($M143:CV143,"u")=0), "u", "")</f>
        <v/>
      </c>
      <c r="CX143" s="80" t="str">
        <f>IF(AND($F143&lt;&gt;"", $F143&gt;=CX$5-4, $F143&lt;=CX$5, COUNTIF($M143:CW143,"u")=0), "u", "")</f>
        <v/>
      </c>
      <c r="CY143" s="80" t="str">
        <f>IF(AND($F143&lt;&gt;"", $F143&gt;=CY$5-4, $F143&lt;=CY$5, COUNTIF($M143:CX143,"u")=0), "u", "")</f>
        <v/>
      </c>
      <c r="CZ143" s="80" t="str">
        <f>IF(AND($F143&lt;&gt;"", $F143&gt;=CZ$5-4, $F143&lt;=CZ$5, COUNTIF($M143:CY143,"u")=0), "u", "")</f>
        <v/>
      </c>
      <c r="DA143" s="80" t="str">
        <f>IF(AND($F143&lt;&gt;"", $F143&gt;=DA$5-4, $F143&lt;=DA$5, COUNTIF($M143:CZ143,"u")=0), "u", "")</f>
        <v/>
      </c>
      <c r="DB143" s="80" t="str">
        <f>IF(AND($F143&lt;&gt;"", $F143&gt;=DB$5-4, $F143&lt;=DB$5, COUNTIF($M143:DA143,"u")=0), "u", "")</f>
        <v/>
      </c>
      <c r="DC143" s="80" t="str">
        <f>IF(AND($F143&lt;&gt;"", $F143&gt;=DC$5-4, $F143&lt;=DC$5, COUNTIF($M143:DB143,"u")=0), "u", "")</f>
        <v/>
      </c>
      <c r="DD143" s="80" t="str">
        <f>IF(AND($F143&lt;&gt;"", $F143&gt;=DD$5-4, $F143&lt;=DD$5, COUNTIF($M143:DC143,"u")=0), "u", "")</f>
        <v/>
      </c>
      <c r="DE143" s="80" t="str">
        <f>IF(AND($F143&lt;&gt;"", $F143&gt;=DE$5-4, $F143&lt;=DE$5, COUNTIF($M143:DD143,"u")=0), "u", "")</f>
        <v/>
      </c>
      <c r="DF143" s="80" t="str">
        <f>IF(AND($F143&lt;&gt;"", $F143&gt;=DF$5-4, $F143&lt;=DF$5, COUNTIF($M143:DE143,"u")=0), "u", "")</f>
        <v/>
      </c>
      <c r="DG143" s="80" t="str">
        <f>IF(AND($F143&lt;&gt;"", $F143&gt;=DG$5-4, $F143&lt;=DG$5, COUNTIF($M143:DF143,"u")=0), "u", "")</f>
        <v/>
      </c>
      <c r="DH143" s="80" t="str">
        <f>IF(AND($F143&lt;&gt;"", $F143&gt;=DH$5-4, $F143&lt;=DH$5, COUNTIF($M143:DG143,"u")=0), "u", "")</f>
        <v/>
      </c>
      <c r="DI143" s="80" t="str">
        <f>IF(AND($F143&lt;&gt;"", $F143&gt;=DI$5-4, $F143&lt;=DI$5, COUNTIF($M143:DH143,"u")=0), "u", "")</f>
        <v/>
      </c>
      <c r="DJ143" s="80" t="str">
        <f>IF(AND($F143&lt;&gt;"", $F143&gt;=DJ$5-4, $F143&lt;=DJ$5, COUNTIF($M143:DI143,"u")=0), "u", "")</f>
        <v/>
      </c>
      <c r="DK143" s="80" t="str">
        <f>IF(AND($F143&lt;&gt;"", $F143&gt;=DK$5-4, $F143&lt;=DK$5, COUNTIF($M143:DJ143,"u")=0), "u", "")</f>
        <v/>
      </c>
      <c r="DL143" s="80" t="str">
        <f>IF(AND($F143&lt;&gt;"", $F143&gt;=DL$5-4, $F143&lt;=DL$5, COUNTIF($M143:DK143,"u")=0), "u", "")</f>
        <v/>
      </c>
    </row>
    <row r="144" spans="1:116" ht="25.05" customHeight="1" x14ac:dyDescent="0.3">
      <c r="A144" s="39"/>
      <c r="B144" s="75">
        <v>139</v>
      </c>
      <c r="C144" s="97"/>
      <c r="D144" s="92"/>
      <c r="E144" s="53"/>
      <c r="F144" s="53"/>
      <c r="G144" s="83" t="str">
        <f t="shared" si="50"/>
        <v/>
      </c>
      <c r="H144" s="83" t="str">
        <f t="shared" si="50"/>
        <v/>
      </c>
      <c r="I144" s="77" t="str">
        <f t="shared" si="51"/>
        <v/>
      </c>
      <c r="J144" s="78"/>
      <c r="K144" s="86"/>
      <c r="L144" s="56"/>
      <c r="M144" s="80" t="str">
        <f t="shared" si="52"/>
        <v/>
      </c>
      <c r="N144" s="80" t="str">
        <f>IF(AND($F144&lt;&gt;"", $F144&gt;=N$5-4, $F144&lt;=N$5, COUNTIF($M144:M144,"u")=0), "u", "")</f>
        <v/>
      </c>
      <c r="O144" s="80" t="str">
        <f>IF(AND($F144&lt;&gt;"", $F144&gt;=O$5-4, $F144&lt;=O$5, COUNTIF($M144:N144,"u")=0), "u", "")</f>
        <v/>
      </c>
      <c r="P144" s="80" t="str">
        <f>IF(AND($F144&lt;&gt;"", $F144&gt;=P$5-4, $F144&lt;=P$5, COUNTIF($M144:O144,"u")=0), "u", "")</f>
        <v/>
      </c>
      <c r="Q144" s="80" t="str">
        <f>IF(AND($F144&lt;&gt;"", $F144&gt;=Q$5-4, $F144&lt;=Q$5, COUNTIF($M144:P144,"u")=0), "u", "")</f>
        <v/>
      </c>
      <c r="R144" s="80" t="str">
        <f>IF(AND($F144&lt;&gt;"", $F144&gt;=R$5-4, $F144&lt;=R$5, COUNTIF($M144:Q144,"u")=0), "u", "")</f>
        <v/>
      </c>
      <c r="S144" s="80" t="str">
        <f>IF(AND($F144&lt;&gt;"", $F144&gt;=S$5-4, $F144&lt;=S$5, COUNTIF($M144:R144,"u")=0), "u", "")</f>
        <v/>
      </c>
      <c r="T144" s="80" t="str">
        <f>IF(AND($F144&lt;&gt;"", $F144&gt;=T$5-4, $F144&lt;=T$5, COUNTIF($M144:S144,"u")=0), "u", "")</f>
        <v/>
      </c>
      <c r="U144" s="80" t="str">
        <f>IF(AND($F144&lt;&gt;"", $F144&gt;=U$5-4, $F144&lt;=U$5, COUNTIF($M144:T144,"u")=0), "u", "")</f>
        <v/>
      </c>
      <c r="V144" s="80" t="str">
        <f>IF(AND($F144&lt;&gt;"", $F144&gt;=V$5-4, $F144&lt;=V$5, COUNTIF($M144:U144,"u")=0), "u", "")</f>
        <v/>
      </c>
      <c r="W144" s="80" t="str">
        <f>IF(AND($F144&lt;&gt;"", $F144&gt;=W$5-4, $F144&lt;=W$5, COUNTIF($M144:V144,"u")=0), "u", "")</f>
        <v/>
      </c>
      <c r="X144" s="80" t="str">
        <f>IF(AND($F144&lt;&gt;"", $F144&gt;=X$5-4, $F144&lt;=X$5, COUNTIF($M144:W144,"u")=0), "u", "")</f>
        <v/>
      </c>
      <c r="Y144" s="80" t="str">
        <f>IF(AND($F144&lt;&gt;"", $F144&gt;=Y$5-4, $F144&lt;=Y$5, COUNTIF($M144:X144,"u")=0), "u", "")</f>
        <v/>
      </c>
      <c r="Z144" s="80" t="str">
        <f>IF(AND($F144&lt;&gt;"", $F144&gt;=Z$5-4, $F144&lt;=Z$5, COUNTIF($M144:Y144,"u")=0), "u", "")</f>
        <v/>
      </c>
      <c r="AA144" s="80" t="str">
        <f>IF(AND($F144&lt;&gt;"", $F144&gt;=AA$5-4, $F144&lt;=AA$5, COUNTIF($M144:Z144,"u")=0), "u", "")</f>
        <v/>
      </c>
      <c r="AB144" s="80" t="str">
        <f>IF(AND($F144&lt;&gt;"", $F144&gt;=AB$5-4, $F144&lt;=AB$5, COUNTIF($M144:AA144,"u")=0), "u", "")</f>
        <v/>
      </c>
      <c r="AC144" s="80" t="str">
        <f>IF(AND($F144&lt;&gt;"", $F144&gt;=AC$5-4, $F144&lt;=AC$5, COUNTIF($M144:AB144,"u")=0), "u", "")</f>
        <v/>
      </c>
      <c r="AD144" s="80" t="str">
        <f>IF(AND($F144&lt;&gt;"", $F144&gt;=AD$5-4, $F144&lt;=AD$5, COUNTIF($M144:AC144,"u")=0), "u", "")</f>
        <v/>
      </c>
      <c r="AE144" s="80" t="str">
        <f>IF(AND($F144&lt;&gt;"", $F144&gt;=AE$5-4, $F144&lt;=AE$5, COUNTIF($M144:AD144,"u")=0), "u", "")</f>
        <v/>
      </c>
      <c r="AF144" s="80" t="str">
        <f>IF(AND($F144&lt;&gt;"", $F144&gt;=AF$5-4, $F144&lt;=AF$5, COUNTIF($M144:AE144,"u")=0), "u", "")</f>
        <v/>
      </c>
      <c r="AG144" s="80" t="str">
        <f>IF(AND($F144&lt;&gt;"", $F144&gt;=AG$5-4, $F144&lt;=AG$5, COUNTIF($M144:AF144,"u")=0), "u", "")</f>
        <v/>
      </c>
      <c r="AH144" s="80" t="str">
        <f>IF(AND($F144&lt;&gt;"", $F144&gt;=AH$5-4, $F144&lt;=AH$5, COUNTIF($M144:AG144,"u")=0), "u", "")</f>
        <v/>
      </c>
      <c r="AI144" s="80" t="str">
        <f>IF(AND($F144&lt;&gt;"", $F144&gt;=AI$5-4, $F144&lt;=AI$5, COUNTIF($M144:AH144,"u")=0), "u", "")</f>
        <v/>
      </c>
      <c r="AJ144" s="80" t="str">
        <f>IF(AND($F144&lt;&gt;"", $F144&gt;=AJ$5-4, $F144&lt;=AJ$5, COUNTIF($M144:AI144,"u")=0), "u", "")</f>
        <v/>
      </c>
      <c r="AK144" s="80" t="str">
        <f>IF(AND($F144&lt;&gt;"", $F144&gt;=AK$5-4, $F144&lt;=AK$5, COUNTIF($M144:AJ144,"u")=0), "u", "")</f>
        <v/>
      </c>
      <c r="AL144" s="80" t="str">
        <f>IF(AND($F144&lt;&gt;"", $F144&gt;=AL$5-4, $F144&lt;=AL$5, COUNTIF($M144:AK144,"u")=0), "u", "")</f>
        <v/>
      </c>
      <c r="AM144" s="80" t="str">
        <f>IF(AND($F144&lt;&gt;"", $F144&gt;=AM$5-4, $F144&lt;=AM$5, COUNTIF($M144:AL144,"u")=0), "u", "")</f>
        <v/>
      </c>
      <c r="AN144" s="80" t="str">
        <f>IF(AND($F144&lt;&gt;"", $F144&gt;=AN$5-4, $F144&lt;=AN$5, COUNTIF($M144:AM144,"u")=0), "u", "")</f>
        <v/>
      </c>
      <c r="AO144" s="80" t="str">
        <f>IF(AND($F144&lt;&gt;"", $F144&gt;=AO$5-4, $F144&lt;=AO$5, COUNTIF($M144:AN144,"u")=0), "u", "")</f>
        <v/>
      </c>
      <c r="AP144" s="80" t="str">
        <f>IF(AND($F144&lt;&gt;"", $F144&gt;=AP$5-4, $F144&lt;=AP$5, COUNTIF($M144:AO144,"u")=0), "u", "")</f>
        <v/>
      </c>
      <c r="AQ144" s="80" t="str">
        <f>IF(AND($F144&lt;&gt;"", $F144&gt;=AQ$5-4, $F144&lt;=AQ$5, COUNTIF($M144:AP144,"u")=0), "u", "")</f>
        <v/>
      </c>
      <c r="AR144" s="80" t="str">
        <f>IF(AND($F144&lt;&gt;"", $F144&gt;=AR$5-4, $F144&lt;=AR$5, COUNTIF($M144:AQ144,"u")=0), "u", "")</f>
        <v/>
      </c>
      <c r="AS144" s="80" t="str">
        <f>IF(AND($F144&lt;&gt;"", $F144&gt;=AS$5-4, $F144&lt;=AS$5, COUNTIF($M144:AR144,"u")=0), "u", "")</f>
        <v/>
      </c>
      <c r="AT144" s="80" t="str">
        <f>IF(AND($F144&lt;&gt;"", $F144&gt;=AT$5-4, $F144&lt;=AT$5, COUNTIF($M144:AS144,"u")=0), "u", "")</f>
        <v/>
      </c>
      <c r="AU144" s="80" t="str">
        <f>IF(AND($F144&lt;&gt;"", $F144&gt;=AU$5-4, $F144&lt;=AU$5, COUNTIF($M144:AT144,"u")=0), "u", "")</f>
        <v/>
      </c>
      <c r="AV144" s="80" t="str">
        <f>IF(AND($F144&lt;&gt;"", $F144&gt;=AV$5-4, $F144&lt;=AV$5, COUNTIF($M144:AU144,"u")=0), "u", "")</f>
        <v/>
      </c>
      <c r="AW144" s="80" t="str">
        <f>IF(AND($F144&lt;&gt;"", $F144&gt;=AW$5-4, $F144&lt;=AW$5, COUNTIF($M144:AV144,"u")=0), "u", "")</f>
        <v/>
      </c>
      <c r="AX144" s="80" t="str">
        <f>IF(AND($F144&lt;&gt;"", $F144&gt;=AX$5-4, $F144&lt;=AX$5, COUNTIF($M144:AW144,"u")=0), "u", "")</f>
        <v/>
      </c>
      <c r="AY144" s="80" t="str">
        <f>IF(AND($F144&lt;&gt;"", $F144&gt;=AY$5-4, $F144&lt;=AY$5, COUNTIF($M144:AX144,"u")=0), "u", "")</f>
        <v/>
      </c>
      <c r="AZ144" s="80" t="str">
        <f>IF(AND($F144&lt;&gt;"", $F144&gt;=AZ$5-4, $F144&lt;=AZ$5, COUNTIF($M144:AY144,"u")=0), "u", "")</f>
        <v/>
      </c>
      <c r="BA144" s="80" t="str">
        <f>IF(AND($F144&lt;&gt;"", $F144&gt;=BA$5-4, $F144&lt;=BA$5, COUNTIF($M144:AZ144,"u")=0), "u", "")</f>
        <v/>
      </c>
      <c r="BB144" s="80" t="str">
        <f>IF(AND($F144&lt;&gt;"", $F144&gt;=BB$5-4, $F144&lt;=BB$5, COUNTIF($M144:BA144,"u")=0), "u", "")</f>
        <v/>
      </c>
      <c r="BC144" s="80" t="str">
        <f>IF(AND($F144&lt;&gt;"", $F144&gt;=BC$5-4, $F144&lt;=BC$5, COUNTIF($M144:BB144,"u")=0), "u", "")</f>
        <v/>
      </c>
      <c r="BD144" s="80" t="str">
        <f>IF(AND($F144&lt;&gt;"", $F144&gt;=BD$5-4, $F144&lt;=BD$5, COUNTIF($M144:BC144,"u")=0), "u", "")</f>
        <v/>
      </c>
      <c r="BE144" s="80" t="str">
        <f>IF(AND($F144&lt;&gt;"", $F144&gt;=BE$5-4, $F144&lt;=BE$5, COUNTIF($M144:BD144,"u")=0), "u", "")</f>
        <v/>
      </c>
      <c r="BF144" s="80" t="str">
        <f>IF(AND($F144&lt;&gt;"", $F144&gt;=BF$5-4, $F144&lt;=BF$5, COUNTIF($M144:BE144,"u")=0), "u", "")</f>
        <v/>
      </c>
      <c r="BG144" s="80" t="str">
        <f>IF(AND($F144&lt;&gt;"", $F144&gt;=BG$5-4, $F144&lt;=BG$5, COUNTIF($M144:BF144,"u")=0), "u", "")</f>
        <v/>
      </c>
      <c r="BH144" s="80" t="str">
        <f>IF(AND($F144&lt;&gt;"", $F144&gt;=BH$5-4, $F144&lt;=BH$5, COUNTIF($M144:BG144,"u")=0), "u", "")</f>
        <v/>
      </c>
      <c r="BI144" s="80" t="str">
        <f>IF(AND($F144&lt;&gt;"", $F144&gt;=BI$5-4, $F144&lt;=BI$5, COUNTIF($M144:BH144,"u")=0), "u", "")</f>
        <v/>
      </c>
      <c r="BJ144" s="80" t="str">
        <f>IF(AND($F144&lt;&gt;"", $F144&gt;=BJ$5-4, $F144&lt;=BJ$5, COUNTIF($M144:BI144,"u")=0), "u", "")</f>
        <v/>
      </c>
      <c r="BK144" s="80" t="str">
        <f>IF(AND($F144&lt;&gt;"", $F144&gt;=BK$5-4, $F144&lt;=BK$5, COUNTIF($M144:BJ144,"u")=0), "u", "")</f>
        <v/>
      </c>
      <c r="BL144" s="80" t="str">
        <f>IF(AND($F144&lt;&gt;"", $F144&gt;=BL$5-4, $F144&lt;=BL$5, COUNTIF($M144:BK144,"u")=0), "u", "")</f>
        <v/>
      </c>
      <c r="BM144" s="80" t="str">
        <f>IF(AND($F144&lt;&gt;"", $F144&gt;=BM$5-4, $F144&lt;=BM$5, COUNTIF($M144:BL144,"u")=0), "u", "")</f>
        <v/>
      </c>
      <c r="BN144" s="80" t="str">
        <f>IF(AND($F144&lt;&gt;"", $F144&gt;=BN$5-4, $F144&lt;=BN$5, COUNTIF($M144:BM144,"u")=0), "u", "")</f>
        <v/>
      </c>
      <c r="BO144" s="80" t="str">
        <f>IF(AND($F144&lt;&gt;"", $F144&gt;=BO$5-4, $F144&lt;=BO$5, COUNTIF($M144:BN144,"u")=0), "u", "")</f>
        <v/>
      </c>
      <c r="BP144" s="80" t="str">
        <f>IF(AND($F144&lt;&gt;"", $F144&gt;=BP$5-4, $F144&lt;=BP$5, COUNTIF($M144:BO144,"u")=0), "u", "")</f>
        <v/>
      </c>
      <c r="BQ144" s="80" t="str">
        <f>IF(AND($F144&lt;&gt;"", $F144&gt;=BQ$5-4, $F144&lt;=BQ$5, COUNTIF($M144:BP144,"u")=0), "u", "")</f>
        <v/>
      </c>
      <c r="BR144" s="80" t="str">
        <f>IF(AND($F144&lt;&gt;"", $F144&gt;=BR$5-4, $F144&lt;=BR$5, COUNTIF($M144:BQ144,"u")=0), "u", "")</f>
        <v/>
      </c>
      <c r="BS144" s="80" t="str">
        <f>IF(AND($F144&lt;&gt;"", $F144&gt;=BS$5-4, $F144&lt;=BS$5, COUNTIF($M144:BR144,"u")=0), "u", "")</f>
        <v/>
      </c>
      <c r="BT144" s="80" t="str">
        <f>IF(AND($F144&lt;&gt;"", $F144&gt;=BT$5-4, $F144&lt;=BT$5, COUNTIF($M144:BS144,"u")=0), "u", "")</f>
        <v/>
      </c>
      <c r="BU144" s="80" t="str">
        <f>IF(AND($F144&lt;&gt;"", $F144&gt;=BU$5-4, $F144&lt;=BU$5, COUNTIF($M144:BT144,"u")=0), "u", "")</f>
        <v/>
      </c>
      <c r="BV144" s="80" t="str">
        <f>IF(AND($F144&lt;&gt;"", $F144&gt;=BV$5-4, $F144&lt;=BV$5, COUNTIF($M144:BU144,"u")=0), "u", "")</f>
        <v/>
      </c>
      <c r="BW144" s="80" t="str">
        <f>IF(AND($F144&lt;&gt;"", $F144&gt;=BW$5-4, $F144&lt;=BW$5, COUNTIF($M144:BV144,"u")=0), "u", "")</f>
        <v/>
      </c>
      <c r="BX144" s="80" t="str">
        <f>IF(AND($F144&lt;&gt;"", $F144&gt;=BX$5-4, $F144&lt;=BX$5, COUNTIF($M144:BW144,"u")=0), "u", "")</f>
        <v/>
      </c>
      <c r="BY144" s="80" t="str">
        <f>IF(AND($F144&lt;&gt;"", $F144&gt;=BY$5-4, $F144&lt;=BY$5, COUNTIF($M144:BX144,"u")=0), "u", "")</f>
        <v/>
      </c>
      <c r="BZ144" s="80" t="str">
        <f>IF(AND($F144&lt;&gt;"", $F144&gt;=BZ$5-4, $F144&lt;=BZ$5, COUNTIF($M144:BY144,"u")=0), "u", "")</f>
        <v/>
      </c>
      <c r="CA144" s="80" t="str">
        <f>IF(AND($F144&lt;&gt;"", $F144&gt;=CA$5-4, $F144&lt;=CA$5, COUNTIF($M144:BZ144,"u")=0), "u", "")</f>
        <v/>
      </c>
      <c r="CB144" s="80" t="str">
        <f>IF(AND($F144&lt;&gt;"", $F144&gt;=CB$5-4, $F144&lt;=CB$5, COUNTIF($M144:CA144,"u")=0), "u", "")</f>
        <v/>
      </c>
      <c r="CC144" s="80" t="str">
        <f>IF(AND($F144&lt;&gt;"", $F144&gt;=CC$5-4, $F144&lt;=CC$5, COUNTIF($M144:CB144,"u")=0), "u", "")</f>
        <v/>
      </c>
      <c r="CD144" s="80" t="str">
        <f>IF(AND($F144&lt;&gt;"", $F144&gt;=CD$5-4, $F144&lt;=CD$5, COUNTIF($M144:CC144,"u")=0), "u", "")</f>
        <v/>
      </c>
      <c r="CE144" s="80" t="str">
        <f>IF(AND($F144&lt;&gt;"", $F144&gt;=CE$5-4, $F144&lt;=CE$5, COUNTIF($M144:CD144,"u")=0), "u", "")</f>
        <v/>
      </c>
      <c r="CF144" s="80" t="str">
        <f>IF(AND($F144&lt;&gt;"", $F144&gt;=CF$5-4, $F144&lt;=CF$5, COUNTIF($M144:CE144,"u")=0), "u", "")</f>
        <v/>
      </c>
      <c r="CG144" s="80" t="str">
        <f>IF(AND($F144&lt;&gt;"", $F144&gt;=CG$5-4, $F144&lt;=CG$5, COUNTIF($M144:CF144,"u")=0), "u", "")</f>
        <v/>
      </c>
      <c r="CH144" s="80" t="str">
        <f>IF(AND($F144&lt;&gt;"", $F144&gt;=CH$5-4, $F144&lt;=CH$5, COUNTIF($M144:CG144,"u")=0), "u", "")</f>
        <v/>
      </c>
      <c r="CI144" s="80" t="str">
        <f>IF(AND($F144&lt;&gt;"", $F144&gt;=CI$5-4, $F144&lt;=CI$5, COUNTIF($M144:CH144,"u")=0), "u", "")</f>
        <v/>
      </c>
      <c r="CJ144" s="80" t="str">
        <f>IF(AND($F144&lt;&gt;"", $F144&gt;=CJ$5-4, $F144&lt;=CJ$5, COUNTIF($M144:CI144,"u")=0), "u", "")</f>
        <v/>
      </c>
      <c r="CK144" s="80" t="str">
        <f>IF(AND($F144&lt;&gt;"", $F144&gt;=CK$5-4, $F144&lt;=CK$5, COUNTIF($M144:CJ144,"u")=0), "u", "")</f>
        <v/>
      </c>
      <c r="CL144" s="80" t="str">
        <f>IF(AND($F144&lt;&gt;"", $F144&gt;=CL$5-4, $F144&lt;=CL$5, COUNTIF($M144:CK144,"u")=0), "u", "")</f>
        <v/>
      </c>
      <c r="CM144" s="80" t="str">
        <f>IF(AND($F144&lt;&gt;"", $F144&gt;=CM$5-4, $F144&lt;=CM$5, COUNTIF($M144:CL144,"u")=0), "u", "")</f>
        <v/>
      </c>
      <c r="CN144" s="80" t="str">
        <f>IF(AND($F144&lt;&gt;"", $F144&gt;=CN$5-4, $F144&lt;=CN$5, COUNTIF($M144:CM144,"u")=0), "u", "")</f>
        <v/>
      </c>
      <c r="CO144" s="80" t="str">
        <f>IF(AND($F144&lt;&gt;"", $F144&gt;=CO$5-4, $F144&lt;=CO$5, COUNTIF($M144:CN144,"u")=0), "u", "")</f>
        <v/>
      </c>
      <c r="CP144" s="80" t="str">
        <f>IF(AND($F144&lt;&gt;"", $F144&gt;=CP$5-4, $F144&lt;=CP$5, COUNTIF($M144:CO144,"u")=0), "u", "")</f>
        <v/>
      </c>
      <c r="CQ144" s="80" t="str">
        <f>IF(AND($F144&lt;&gt;"", $F144&gt;=CQ$5-4, $F144&lt;=CQ$5, COUNTIF($M144:CP144,"u")=0), "u", "")</f>
        <v/>
      </c>
      <c r="CR144" s="80" t="str">
        <f>IF(AND($F144&lt;&gt;"", $F144&gt;=CR$5-4, $F144&lt;=CR$5, COUNTIF($M144:CQ144,"u")=0), "u", "")</f>
        <v/>
      </c>
      <c r="CS144" s="80" t="str">
        <f>IF(AND($F144&lt;&gt;"", $F144&gt;=CS$5-4, $F144&lt;=CS$5, COUNTIF($M144:CR144,"u")=0), "u", "")</f>
        <v/>
      </c>
      <c r="CT144" s="80" t="str">
        <f>IF(AND($F144&lt;&gt;"", $F144&gt;=CT$5-4, $F144&lt;=CT$5, COUNTIF($M144:CS144,"u")=0), "u", "")</f>
        <v/>
      </c>
      <c r="CU144" s="80" t="str">
        <f>IF(AND($F144&lt;&gt;"", $F144&gt;=CU$5-4, $F144&lt;=CU$5, COUNTIF($M144:CT144,"u")=0), "u", "")</f>
        <v/>
      </c>
      <c r="CV144" s="80" t="str">
        <f>IF(AND($F144&lt;&gt;"", $F144&gt;=CV$5-4, $F144&lt;=CV$5, COUNTIF($M144:CU144,"u")=0), "u", "")</f>
        <v/>
      </c>
      <c r="CW144" s="80" t="str">
        <f>IF(AND($F144&lt;&gt;"", $F144&gt;=CW$5-4, $F144&lt;=CW$5, COUNTIF($M144:CV144,"u")=0), "u", "")</f>
        <v/>
      </c>
      <c r="CX144" s="80" t="str">
        <f>IF(AND($F144&lt;&gt;"", $F144&gt;=CX$5-4, $F144&lt;=CX$5, COUNTIF($M144:CW144,"u")=0), "u", "")</f>
        <v/>
      </c>
      <c r="CY144" s="80" t="str">
        <f>IF(AND($F144&lt;&gt;"", $F144&gt;=CY$5-4, $F144&lt;=CY$5, COUNTIF($M144:CX144,"u")=0), "u", "")</f>
        <v/>
      </c>
      <c r="CZ144" s="80" t="str">
        <f>IF(AND($F144&lt;&gt;"", $F144&gt;=CZ$5-4, $F144&lt;=CZ$5, COUNTIF($M144:CY144,"u")=0), "u", "")</f>
        <v/>
      </c>
      <c r="DA144" s="80" t="str">
        <f>IF(AND($F144&lt;&gt;"", $F144&gt;=DA$5-4, $F144&lt;=DA$5, COUNTIF($M144:CZ144,"u")=0), "u", "")</f>
        <v/>
      </c>
      <c r="DB144" s="80" t="str">
        <f>IF(AND($F144&lt;&gt;"", $F144&gt;=DB$5-4, $F144&lt;=DB$5, COUNTIF($M144:DA144,"u")=0), "u", "")</f>
        <v/>
      </c>
      <c r="DC144" s="80" t="str">
        <f>IF(AND($F144&lt;&gt;"", $F144&gt;=DC$5-4, $F144&lt;=DC$5, COUNTIF($M144:DB144,"u")=0), "u", "")</f>
        <v/>
      </c>
      <c r="DD144" s="80" t="str">
        <f>IF(AND($F144&lt;&gt;"", $F144&gt;=DD$5-4, $F144&lt;=DD$5, COUNTIF($M144:DC144,"u")=0), "u", "")</f>
        <v/>
      </c>
      <c r="DE144" s="80" t="str">
        <f>IF(AND($F144&lt;&gt;"", $F144&gt;=DE$5-4, $F144&lt;=DE$5, COUNTIF($M144:DD144,"u")=0), "u", "")</f>
        <v/>
      </c>
      <c r="DF144" s="80" t="str">
        <f>IF(AND($F144&lt;&gt;"", $F144&gt;=DF$5-4, $F144&lt;=DF$5, COUNTIF($M144:DE144,"u")=0), "u", "")</f>
        <v/>
      </c>
      <c r="DG144" s="80" t="str">
        <f>IF(AND($F144&lt;&gt;"", $F144&gt;=DG$5-4, $F144&lt;=DG$5, COUNTIF($M144:DF144,"u")=0), "u", "")</f>
        <v/>
      </c>
      <c r="DH144" s="80" t="str">
        <f>IF(AND($F144&lt;&gt;"", $F144&gt;=DH$5-4, $F144&lt;=DH$5, COUNTIF($M144:DG144,"u")=0), "u", "")</f>
        <v/>
      </c>
      <c r="DI144" s="80" t="str">
        <f>IF(AND($F144&lt;&gt;"", $F144&gt;=DI$5-4, $F144&lt;=DI$5, COUNTIF($M144:DH144,"u")=0), "u", "")</f>
        <v/>
      </c>
      <c r="DJ144" s="80" t="str">
        <f>IF(AND($F144&lt;&gt;"", $F144&gt;=DJ$5-4, $F144&lt;=DJ$5, COUNTIF($M144:DI144,"u")=0), "u", "")</f>
        <v/>
      </c>
      <c r="DK144" s="80" t="str">
        <f>IF(AND($F144&lt;&gt;"", $F144&gt;=DK$5-4, $F144&lt;=DK$5, COUNTIF($M144:DJ144,"u")=0), "u", "")</f>
        <v/>
      </c>
      <c r="DL144" s="80" t="str">
        <f>IF(AND($F144&lt;&gt;"", $F144&gt;=DL$5-4, $F144&lt;=DL$5, COUNTIF($M144:DK144,"u")=0), "u", "")</f>
        <v/>
      </c>
    </row>
    <row r="145" spans="1:116" ht="25.05" customHeight="1" x14ac:dyDescent="0.3">
      <c r="A145" s="39"/>
      <c r="B145" s="75">
        <v>140</v>
      </c>
      <c r="C145" s="97"/>
      <c r="D145" s="92"/>
      <c r="E145" s="53"/>
      <c r="F145" s="53"/>
      <c r="G145" s="83" t="str">
        <f t="shared" si="50"/>
        <v/>
      </c>
      <c r="H145" s="83" t="str">
        <f t="shared" si="50"/>
        <v/>
      </c>
      <c r="I145" s="77" t="str">
        <f t="shared" si="51"/>
        <v/>
      </c>
      <c r="J145" s="78"/>
      <c r="K145" s="86"/>
      <c r="L145" s="56"/>
      <c r="M145" s="80" t="str">
        <f t="shared" si="52"/>
        <v/>
      </c>
      <c r="N145" s="80" t="str">
        <f>IF(AND($F145&lt;&gt;"", $F145&gt;=N$5-4, $F145&lt;=N$5, COUNTIF($M145:M145,"u")=0), "u", "")</f>
        <v/>
      </c>
      <c r="O145" s="80" t="str">
        <f>IF(AND($F145&lt;&gt;"", $F145&gt;=O$5-4, $F145&lt;=O$5, COUNTIF($M145:N145,"u")=0), "u", "")</f>
        <v/>
      </c>
      <c r="P145" s="80" t="str">
        <f>IF(AND($F145&lt;&gt;"", $F145&gt;=P$5-4, $F145&lt;=P$5, COUNTIF($M145:O145,"u")=0), "u", "")</f>
        <v/>
      </c>
      <c r="Q145" s="80" t="str">
        <f>IF(AND($F145&lt;&gt;"", $F145&gt;=Q$5-4, $F145&lt;=Q$5, COUNTIF($M145:P145,"u")=0), "u", "")</f>
        <v/>
      </c>
      <c r="R145" s="80" t="str">
        <f>IF(AND($F145&lt;&gt;"", $F145&gt;=R$5-4, $F145&lt;=R$5, COUNTIF($M145:Q145,"u")=0), "u", "")</f>
        <v/>
      </c>
      <c r="S145" s="80" t="str">
        <f>IF(AND($F145&lt;&gt;"", $F145&gt;=S$5-4, $F145&lt;=S$5, COUNTIF($M145:R145,"u")=0), "u", "")</f>
        <v/>
      </c>
      <c r="T145" s="80" t="str">
        <f>IF(AND($F145&lt;&gt;"", $F145&gt;=T$5-4, $F145&lt;=T$5, COUNTIF($M145:S145,"u")=0), "u", "")</f>
        <v/>
      </c>
      <c r="U145" s="80" t="str">
        <f>IF(AND($F145&lt;&gt;"", $F145&gt;=U$5-4, $F145&lt;=U$5, COUNTIF($M145:T145,"u")=0), "u", "")</f>
        <v/>
      </c>
      <c r="V145" s="80" t="str">
        <f>IF(AND($F145&lt;&gt;"", $F145&gt;=V$5-4, $F145&lt;=V$5, COUNTIF($M145:U145,"u")=0), "u", "")</f>
        <v/>
      </c>
      <c r="W145" s="80" t="str">
        <f>IF(AND($F145&lt;&gt;"", $F145&gt;=W$5-4, $F145&lt;=W$5, COUNTIF($M145:V145,"u")=0), "u", "")</f>
        <v/>
      </c>
      <c r="X145" s="80" t="str">
        <f>IF(AND($F145&lt;&gt;"", $F145&gt;=X$5-4, $F145&lt;=X$5, COUNTIF($M145:W145,"u")=0), "u", "")</f>
        <v/>
      </c>
      <c r="Y145" s="80" t="str">
        <f>IF(AND($F145&lt;&gt;"", $F145&gt;=Y$5-4, $F145&lt;=Y$5, COUNTIF($M145:X145,"u")=0), "u", "")</f>
        <v/>
      </c>
      <c r="Z145" s="80" t="str">
        <f>IF(AND($F145&lt;&gt;"", $F145&gt;=Z$5-4, $F145&lt;=Z$5, COUNTIF($M145:Y145,"u")=0), "u", "")</f>
        <v/>
      </c>
      <c r="AA145" s="80" t="str">
        <f>IF(AND($F145&lt;&gt;"", $F145&gt;=AA$5-4, $F145&lt;=AA$5, COUNTIF($M145:Z145,"u")=0), "u", "")</f>
        <v/>
      </c>
      <c r="AB145" s="80" t="str">
        <f>IF(AND($F145&lt;&gt;"", $F145&gt;=AB$5-4, $F145&lt;=AB$5, COUNTIF($M145:AA145,"u")=0), "u", "")</f>
        <v/>
      </c>
      <c r="AC145" s="80" t="str">
        <f>IF(AND($F145&lt;&gt;"", $F145&gt;=AC$5-4, $F145&lt;=AC$5, COUNTIF($M145:AB145,"u")=0), "u", "")</f>
        <v/>
      </c>
      <c r="AD145" s="80" t="str">
        <f>IF(AND($F145&lt;&gt;"", $F145&gt;=AD$5-4, $F145&lt;=AD$5, COUNTIF($M145:AC145,"u")=0), "u", "")</f>
        <v/>
      </c>
      <c r="AE145" s="80" t="str">
        <f>IF(AND($F145&lt;&gt;"", $F145&gt;=AE$5-4, $F145&lt;=AE$5, COUNTIF($M145:AD145,"u")=0), "u", "")</f>
        <v/>
      </c>
      <c r="AF145" s="80" t="str">
        <f>IF(AND($F145&lt;&gt;"", $F145&gt;=AF$5-4, $F145&lt;=AF$5, COUNTIF($M145:AE145,"u")=0), "u", "")</f>
        <v/>
      </c>
      <c r="AG145" s="80" t="str">
        <f>IF(AND($F145&lt;&gt;"", $F145&gt;=AG$5-4, $F145&lt;=AG$5, COUNTIF($M145:AF145,"u")=0), "u", "")</f>
        <v/>
      </c>
      <c r="AH145" s="80" t="str">
        <f>IF(AND($F145&lt;&gt;"", $F145&gt;=AH$5-4, $F145&lt;=AH$5, COUNTIF($M145:AG145,"u")=0), "u", "")</f>
        <v/>
      </c>
      <c r="AI145" s="80" t="str">
        <f>IF(AND($F145&lt;&gt;"", $F145&gt;=AI$5-4, $F145&lt;=AI$5, COUNTIF($M145:AH145,"u")=0), "u", "")</f>
        <v/>
      </c>
      <c r="AJ145" s="80" t="str">
        <f>IF(AND($F145&lt;&gt;"", $F145&gt;=AJ$5-4, $F145&lt;=AJ$5, COUNTIF($M145:AI145,"u")=0), "u", "")</f>
        <v/>
      </c>
      <c r="AK145" s="80" t="str">
        <f>IF(AND($F145&lt;&gt;"", $F145&gt;=AK$5-4, $F145&lt;=AK$5, COUNTIF($M145:AJ145,"u")=0), "u", "")</f>
        <v/>
      </c>
      <c r="AL145" s="80" t="str">
        <f>IF(AND($F145&lt;&gt;"", $F145&gt;=AL$5-4, $F145&lt;=AL$5, COUNTIF($M145:AK145,"u")=0), "u", "")</f>
        <v/>
      </c>
      <c r="AM145" s="80" t="str">
        <f>IF(AND($F145&lt;&gt;"", $F145&gt;=AM$5-4, $F145&lt;=AM$5, COUNTIF($M145:AL145,"u")=0), "u", "")</f>
        <v/>
      </c>
      <c r="AN145" s="80" t="str">
        <f>IF(AND($F145&lt;&gt;"", $F145&gt;=AN$5-4, $F145&lt;=AN$5, COUNTIF($M145:AM145,"u")=0), "u", "")</f>
        <v/>
      </c>
      <c r="AO145" s="80" t="str">
        <f>IF(AND($F145&lt;&gt;"", $F145&gt;=AO$5-4, $F145&lt;=AO$5, COUNTIF($M145:AN145,"u")=0), "u", "")</f>
        <v/>
      </c>
      <c r="AP145" s="80" t="str">
        <f>IF(AND($F145&lt;&gt;"", $F145&gt;=AP$5-4, $F145&lt;=AP$5, COUNTIF($M145:AO145,"u")=0), "u", "")</f>
        <v/>
      </c>
      <c r="AQ145" s="80" t="str">
        <f>IF(AND($F145&lt;&gt;"", $F145&gt;=AQ$5-4, $F145&lt;=AQ$5, COUNTIF($M145:AP145,"u")=0), "u", "")</f>
        <v/>
      </c>
      <c r="AR145" s="80" t="str">
        <f>IF(AND($F145&lt;&gt;"", $F145&gt;=AR$5-4, $F145&lt;=AR$5, COUNTIF($M145:AQ145,"u")=0), "u", "")</f>
        <v/>
      </c>
      <c r="AS145" s="80" t="str">
        <f>IF(AND($F145&lt;&gt;"", $F145&gt;=AS$5-4, $F145&lt;=AS$5, COUNTIF($M145:AR145,"u")=0), "u", "")</f>
        <v/>
      </c>
      <c r="AT145" s="80" t="str">
        <f>IF(AND($F145&lt;&gt;"", $F145&gt;=AT$5-4, $F145&lt;=AT$5, COUNTIF($M145:AS145,"u")=0), "u", "")</f>
        <v/>
      </c>
      <c r="AU145" s="80" t="str">
        <f>IF(AND($F145&lt;&gt;"", $F145&gt;=AU$5-4, $F145&lt;=AU$5, COUNTIF($M145:AT145,"u")=0), "u", "")</f>
        <v/>
      </c>
      <c r="AV145" s="80" t="str">
        <f>IF(AND($F145&lt;&gt;"", $F145&gt;=AV$5-4, $F145&lt;=AV$5, COUNTIF($M145:AU145,"u")=0), "u", "")</f>
        <v/>
      </c>
      <c r="AW145" s="80" t="str">
        <f>IF(AND($F145&lt;&gt;"", $F145&gt;=AW$5-4, $F145&lt;=AW$5, COUNTIF($M145:AV145,"u")=0), "u", "")</f>
        <v/>
      </c>
      <c r="AX145" s="80" t="str">
        <f>IF(AND($F145&lt;&gt;"", $F145&gt;=AX$5-4, $F145&lt;=AX$5, COUNTIF($M145:AW145,"u")=0), "u", "")</f>
        <v/>
      </c>
      <c r="AY145" s="80" t="str">
        <f>IF(AND($F145&lt;&gt;"", $F145&gt;=AY$5-4, $F145&lt;=AY$5, COUNTIF($M145:AX145,"u")=0), "u", "")</f>
        <v/>
      </c>
      <c r="AZ145" s="80" t="str">
        <f>IF(AND($F145&lt;&gt;"", $F145&gt;=AZ$5-4, $F145&lt;=AZ$5, COUNTIF($M145:AY145,"u")=0), "u", "")</f>
        <v/>
      </c>
      <c r="BA145" s="80" t="str">
        <f>IF(AND($F145&lt;&gt;"", $F145&gt;=BA$5-4, $F145&lt;=BA$5, COUNTIF($M145:AZ145,"u")=0), "u", "")</f>
        <v/>
      </c>
      <c r="BB145" s="80" t="str">
        <f>IF(AND($F145&lt;&gt;"", $F145&gt;=BB$5-4, $F145&lt;=BB$5, COUNTIF($M145:BA145,"u")=0), "u", "")</f>
        <v/>
      </c>
      <c r="BC145" s="80" t="str">
        <f>IF(AND($F145&lt;&gt;"", $F145&gt;=BC$5-4, $F145&lt;=BC$5, COUNTIF($M145:BB145,"u")=0), "u", "")</f>
        <v/>
      </c>
      <c r="BD145" s="80" t="str">
        <f>IF(AND($F145&lt;&gt;"", $F145&gt;=BD$5-4, $F145&lt;=BD$5, COUNTIF($M145:BC145,"u")=0), "u", "")</f>
        <v/>
      </c>
      <c r="BE145" s="80" t="str">
        <f>IF(AND($F145&lt;&gt;"", $F145&gt;=BE$5-4, $F145&lt;=BE$5, COUNTIF($M145:BD145,"u")=0), "u", "")</f>
        <v/>
      </c>
      <c r="BF145" s="80" t="str">
        <f>IF(AND($F145&lt;&gt;"", $F145&gt;=BF$5-4, $F145&lt;=BF$5, COUNTIF($M145:BE145,"u")=0), "u", "")</f>
        <v/>
      </c>
      <c r="BG145" s="80" t="str">
        <f>IF(AND($F145&lt;&gt;"", $F145&gt;=BG$5-4, $F145&lt;=BG$5, COUNTIF($M145:BF145,"u")=0), "u", "")</f>
        <v/>
      </c>
      <c r="BH145" s="80" t="str">
        <f>IF(AND($F145&lt;&gt;"", $F145&gt;=BH$5-4, $F145&lt;=BH$5, COUNTIF($M145:BG145,"u")=0), "u", "")</f>
        <v/>
      </c>
      <c r="BI145" s="80" t="str">
        <f>IF(AND($F145&lt;&gt;"", $F145&gt;=BI$5-4, $F145&lt;=BI$5, COUNTIF($M145:BH145,"u")=0), "u", "")</f>
        <v/>
      </c>
      <c r="BJ145" s="80" t="str">
        <f>IF(AND($F145&lt;&gt;"", $F145&gt;=BJ$5-4, $F145&lt;=BJ$5, COUNTIF($M145:BI145,"u")=0), "u", "")</f>
        <v/>
      </c>
      <c r="BK145" s="80" t="str">
        <f>IF(AND($F145&lt;&gt;"", $F145&gt;=BK$5-4, $F145&lt;=BK$5, COUNTIF($M145:BJ145,"u")=0), "u", "")</f>
        <v/>
      </c>
      <c r="BL145" s="80" t="str">
        <f>IF(AND($F145&lt;&gt;"", $F145&gt;=BL$5-4, $F145&lt;=BL$5, COUNTIF($M145:BK145,"u")=0), "u", "")</f>
        <v/>
      </c>
      <c r="BM145" s="80" t="str">
        <f>IF(AND($F145&lt;&gt;"", $F145&gt;=BM$5-4, $F145&lt;=BM$5, COUNTIF($M145:BL145,"u")=0), "u", "")</f>
        <v/>
      </c>
      <c r="BN145" s="80" t="str">
        <f>IF(AND($F145&lt;&gt;"", $F145&gt;=BN$5-4, $F145&lt;=BN$5, COUNTIF($M145:BM145,"u")=0), "u", "")</f>
        <v/>
      </c>
      <c r="BO145" s="80" t="str">
        <f>IF(AND($F145&lt;&gt;"", $F145&gt;=BO$5-4, $F145&lt;=BO$5, COUNTIF($M145:BN145,"u")=0), "u", "")</f>
        <v/>
      </c>
      <c r="BP145" s="80" t="str">
        <f>IF(AND($F145&lt;&gt;"", $F145&gt;=BP$5-4, $F145&lt;=BP$5, COUNTIF($M145:BO145,"u")=0), "u", "")</f>
        <v/>
      </c>
      <c r="BQ145" s="80" t="str">
        <f>IF(AND($F145&lt;&gt;"", $F145&gt;=BQ$5-4, $F145&lt;=BQ$5, COUNTIF($M145:BP145,"u")=0), "u", "")</f>
        <v/>
      </c>
      <c r="BR145" s="80" t="str">
        <f>IF(AND($F145&lt;&gt;"", $F145&gt;=BR$5-4, $F145&lt;=BR$5, COUNTIF($M145:BQ145,"u")=0), "u", "")</f>
        <v/>
      </c>
      <c r="BS145" s="80" t="str">
        <f>IF(AND($F145&lt;&gt;"", $F145&gt;=BS$5-4, $F145&lt;=BS$5, COUNTIF($M145:BR145,"u")=0), "u", "")</f>
        <v/>
      </c>
      <c r="BT145" s="80" t="str">
        <f>IF(AND($F145&lt;&gt;"", $F145&gt;=BT$5-4, $F145&lt;=BT$5, COUNTIF($M145:BS145,"u")=0), "u", "")</f>
        <v/>
      </c>
      <c r="BU145" s="80" t="str">
        <f>IF(AND($F145&lt;&gt;"", $F145&gt;=BU$5-4, $F145&lt;=BU$5, COUNTIF($M145:BT145,"u")=0), "u", "")</f>
        <v/>
      </c>
      <c r="BV145" s="80" t="str">
        <f>IF(AND($F145&lt;&gt;"", $F145&gt;=BV$5-4, $F145&lt;=BV$5, COUNTIF($M145:BU145,"u")=0), "u", "")</f>
        <v/>
      </c>
      <c r="BW145" s="80" t="str">
        <f>IF(AND($F145&lt;&gt;"", $F145&gt;=BW$5-4, $F145&lt;=BW$5, COUNTIF($M145:BV145,"u")=0), "u", "")</f>
        <v/>
      </c>
      <c r="BX145" s="80" t="str">
        <f>IF(AND($F145&lt;&gt;"", $F145&gt;=BX$5-4, $F145&lt;=BX$5, COUNTIF($M145:BW145,"u")=0), "u", "")</f>
        <v/>
      </c>
      <c r="BY145" s="80" t="str">
        <f>IF(AND($F145&lt;&gt;"", $F145&gt;=BY$5-4, $F145&lt;=BY$5, COUNTIF($M145:BX145,"u")=0), "u", "")</f>
        <v/>
      </c>
      <c r="BZ145" s="80" t="str">
        <f>IF(AND($F145&lt;&gt;"", $F145&gt;=BZ$5-4, $F145&lt;=BZ$5, COUNTIF($M145:BY145,"u")=0), "u", "")</f>
        <v/>
      </c>
      <c r="CA145" s="80" t="str">
        <f>IF(AND($F145&lt;&gt;"", $F145&gt;=CA$5-4, $F145&lt;=CA$5, COUNTIF($M145:BZ145,"u")=0), "u", "")</f>
        <v/>
      </c>
      <c r="CB145" s="80" t="str">
        <f>IF(AND($F145&lt;&gt;"", $F145&gt;=CB$5-4, $F145&lt;=CB$5, COUNTIF($M145:CA145,"u")=0), "u", "")</f>
        <v/>
      </c>
      <c r="CC145" s="80" t="str">
        <f>IF(AND($F145&lt;&gt;"", $F145&gt;=CC$5-4, $F145&lt;=CC$5, COUNTIF($M145:CB145,"u")=0), "u", "")</f>
        <v/>
      </c>
      <c r="CD145" s="80" t="str">
        <f>IF(AND($F145&lt;&gt;"", $F145&gt;=CD$5-4, $F145&lt;=CD$5, COUNTIF($M145:CC145,"u")=0), "u", "")</f>
        <v/>
      </c>
      <c r="CE145" s="80" t="str">
        <f>IF(AND($F145&lt;&gt;"", $F145&gt;=CE$5-4, $F145&lt;=CE$5, COUNTIF($M145:CD145,"u")=0), "u", "")</f>
        <v/>
      </c>
      <c r="CF145" s="80" t="str">
        <f>IF(AND($F145&lt;&gt;"", $F145&gt;=CF$5-4, $F145&lt;=CF$5, COUNTIF($M145:CE145,"u")=0), "u", "")</f>
        <v/>
      </c>
      <c r="CG145" s="80" t="str">
        <f>IF(AND($F145&lt;&gt;"", $F145&gt;=CG$5-4, $F145&lt;=CG$5, COUNTIF($M145:CF145,"u")=0), "u", "")</f>
        <v/>
      </c>
      <c r="CH145" s="80" t="str">
        <f>IF(AND($F145&lt;&gt;"", $F145&gt;=CH$5-4, $F145&lt;=CH$5, COUNTIF($M145:CG145,"u")=0), "u", "")</f>
        <v/>
      </c>
      <c r="CI145" s="80" t="str">
        <f>IF(AND($F145&lt;&gt;"", $F145&gt;=CI$5-4, $F145&lt;=CI$5, COUNTIF($M145:CH145,"u")=0), "u", "")</f>
        <v/>
      </c>
      <c r="CJ145" s="80" t="str">
        <f>IF(AND($F145&lt;&gt;"", $F145&gt;=CJ$5-4, $F145&lt;=CJ$5, COUNTIF($M145:CI145,"u")=0), "u", "")</f>
        <v/>
      </c>
      <c r="CK145" s="80" t="str">
        <f>IF(AND($F145&lt;&gt;"", $F145&gt;=CK$5-4, $F145&lt;=CK$5, COUNTIF($M145:CJ145,"u")=0), "u", "")</f>
        <v/>
      </c>
      <c r="CL145" s="80" t="str">
        <f>IF(AND($F145&lt;&gt;"", $F145&gt;=CL$5-4, $F145&lt;=CL$5, COUNTIF($M145:CK145,"u")=0), "u", "")</f>
        <v/>
      </c>
      <c r="CM145" s="80" t="str">
        <f>IF(AND($F145&lt;&gt;"", $F145&gt;=CM$5-4, $F145&lt;=CM$5, COUNTIF($M145:CL145,"u")=0), "u", "")</f>
        <v/>
      </c>
      <c r="CN145" s="80" t="str">
        <f>IF(AND($F145&lt;&gt;"", $F145&gt;=CN$5-4, $F145&lt;=CN$5, COUNTIF($M145:CM145,"u")=0), "u", "")</f>
        <v/>
      </c>
      <c r="CO145" s="80" t="str">
        <f>IF(AND($F145&lt;&gt;"", $F145&gt;=CO$5-4, $F145&lt;=CO$5, COUNTIF($M145:CN145,"u")=0), "u", "")</f>
        <v/>
      </c>
      <c r="CP145" s="80" t="str">
        <f>IF(AND($F145&lt;&gt;"", $F145&gt;=CP$5-4, $F145&lt;=CP$5, COUNTIF($M145:CO145,"u")=0), "u", "")</f>
        <v/>
      </c>
      <c r="CQ145" s="80" t="str">
        <f>IF(AND($F145&lt;&gt;"", $F145&gt;=CQ$5-4, $F145&lt;=CQ$5, COUNTIF($M145:CP145,"u")=0), "u", "")</f>
        <v/>
      </c>
      <c r="CR145" s="80" t="str">
        <f>IF(AND($F145&lt;&gt;"", $F145&gt;=CR$5-4, $F145&lt;=CR$5, COUNTIF($M145:CQ145,"u")=0), "u", "")</f>
        <v/>
      </c>
      <c r="CS145" s="80" t="str">
        <f>IF(AND($F145&lt;&gt;"", $F145&gt;=CS$5-4, $F145&lt;=CS$5, COUNTIF($M145:CR145,"u")=0), "u", "")</f>
        <v/>
      </c>
      <c r="CT145" s="80" t="str">
        <f>IF(AND($F145&lt;&gt;"", $F145&gt;=CT$5-4, $F145&lt;=CT$5, COUNTIF($M145:CS145,"u")=0), "u", "")</f>
        <v/>
      </c>
      <c r="CU145" s="80" t="str">
        <f>IF(AND($F145&lt;&gt;"", $F145&gt;=CU$5-4, $F145&lt;=CU$5, COUNTIF($M145:CT145,"u")=0), "u", "")</f>
        <v/>
      </c>
      <c r="CV145" s="80" t="str">
        <f>IF(AND($F145&lt;&gt;"", $F145&gt;=CV$5-4, $F145&lt;=CV$5, COUNTIF($M145:CU145,"u")=0), "u", "")</f>
        <v/>
      </c>
      <c r="CW145" s="80" t="str">
        <f>IF(AND($F145&lt;&gt;"", $F145&gt;=CW$5-4, $F145&lt;=CW$5, COUNTIF($M145:CV145,"u")=0), "u", "")</f>
        <v/>
      </c>
      <c r="CX145" s="80" t="str">
        <f>IF(AND($F145&lt;&gt;"", $F145&gt;=CX$5-4, $F145&lt;=CX$5, COUNTIF($M145:CW145,"u")=0), "u", "")</f>
        <v/>
      </c>
      <c r="CY145" s="80" t="str">
        <f>IF(AND($F145&lt;&gt;"", $F145&gt;=CY$5-4, $F145&lt;=CY$5, COUNTIF($M145:CX145,"u")=0), "u", "")</f>
        <v/>
      </c>
      <c r="CZ145" s="80" t="str">
        <f>IF(AND($F145&lt;&gt;"", $F145&gt;=CZ$5-4, $F145&lt;=CZ$5, COUNTIF($M145:CY145,"u")=0), "u", "")</f>
        <v/>
      </c>
      <c r="DA145" s="80" t="str">
        <f>IF(AND($F145&lt;&gt;"", $F145&gt;=DA$5-4, $F145&lt;=DA$5, COUNTIF($M145:CZ145,"u")=0), "u", "")</f>
        <v/>
      </c>
      <c r="DB145" s="80" t="str">
        <f>IF(AND($F145&lt;&gt;"", $F145&gt;=DB$5-4, $F145&lt;=DB$5, COUNTIF($M145:DA145,"u")=0), "u", "")</f>
        <v/>
      </c>
      <c r="DC145" s="80" t="str">
        <f>IF(AND($F145&lt;&gt;"", $F145&gt;=DC$5-4, $F145&lt;=DC$5, COUNTIF($M145:DB145,"u")=0), "u", "")</f>
        <v/>
      </c>
      <c r="DD145" s="80" t="str">
        <f>IF(AND($F145&lt;&gt;"", $F145&gt;=DD$5-4, $F145&lt;=DD$5, COUNTIF($M145:DC145,"u")=0), "u", "")</f>
        <v/>
      </c>
      <c r="DE145" s="80" t="str">
        <f>IF(AND($F145&lt;&gt;"", $F145&gt;=DE$5-4, $F145&lt;=DE$5, COUNTIF($M145:DD145,"u")=0), "u", "")</f>
        <v/>
      </c>
      <c r="DF145" s="80" t="str">
        <f>IF(AND($F145&lt;&gt;"", $F145&gt;=DF$5-4, $F145&lt;=DF$5, COUNTIF($M145:DE145,"u")=0), "u", "")</f>
        <v/>
      </c>
      <c r="DG145" s="80" t="str">
        <f>IF(AND($F145&lt;&gt;"", $F145&gt;=DG$5-4, $F145&lt;=DG$5, COUNTIF($M145:DF145,"u")=0), "u", "")</f>
        <v/>
      </c>
      <c r="DH145" s="80" t="str">
        <f>IF(AND($F145&lt;&gt;"", $F145&gt;=DH$5-4, $F145&lt;=DH$5, COUNTIF($M145:DG145,"u")=0), "u", "")</f>
        <v/>
      </c>
      <c r="DI145" s="80" t="str">
        <f>IF(AND($F145&lt;&gt;"", $F145&gt;=DI$5-4, $F145&lt;=DI$5, COUNTIF($M145:DH145,"u")=0), "u", "")</f>
        <v/>
      </c>
      <c r="DJ145" s="80" t="str">
        <f>IF(AND($F145&lt;&gt;"", $F145&gt;=DJ$5-4, $F145&lt;=DJ$5, COUNTIF($M145:DI145,"u")=0), "u", "")</f>
        <v/>
      </c>
      <c r="DK145" s="80" t="str">
        <f>IF(AND($F145&lt;&gt;"", $F145&gt;=DK$5-4, $F145&lt;=DK$5, COUNTIF($M145:DJ145,"u")=0), "u", "")</f>
        <v/>
      </c>
      <c r="DL145" s="80" t="str">
        <f>IF(AND($F145&lt;&gt;"", $F145&gt;=DL$5-4, $F145&lt;=DL$5, COUNTIF($M145:DK145,"u")=0), "u", "")</f>
        <v/>
      </c>
    </row>
    <row r="146" spans="1:116" ht="25.05" customHeight="1" x14ac:dyDescent="0.3">
      <c r="A146" s="39"/>
      <c r="B146" s="75">
        <v>141</v>
      </c>
      <c r="C146" s="97"/>
      <c r="D146" s="92"/>
      <c r="E146" s="53"/>
      <c r="F146" s="53"/>
      <c r="G146" s="83" t="str">
        <f t="shared" si="50"/>
        <v/>
      </c>
      <c r="H146" s="83" t="str">
        <f t="shared" si="50"/>
        <v/>
      </c>
      <c r="I146" s="77" t="str">
        <f t="shared" si="51"/>
        <v/>
      </c>
      <c r="J146" s="78"/>
      <c r="K146" s="86"/>
      <c r="L146" s="56"/>
      <c r="M146" s="80" t="str">
        <f t="shared" si="52"/>
        <v/>
      </c>
      <c r="N146" s="80" t="str">
        <f>IF(AND($F146&lt;&gt;"", $F146&gt;=N$5-4, $F146&lt;=N$5, COUNTIF($M146:M146,"u")=0), "u", "")</f>
        <v/>
      </c>
      <c r="O146" s="80" t="str">
        <f>IF(AND($F146&lt;&gt;"", $F146&gt;=O$5-4, $F146&lt;=O$5, COUNTIF($M146:N146,"u")=0), "u", "")</f>
        <v/>
      </c>
      <c r="P146" s="80" t="str">
        <f>IF(AND($F146&lt;&gt;"", $F146&gt;=P$5-4, $F146&lt;=P$5, COUNTIF($M146:O146,"u")=0), "u", "")</f>
        <v/>
      </c>
      <c r="Q146" s="80" t="str">
        <f>IF(AND($F146&lt;&gt;"", $F146&gt;=Q$5-4, $F146&lt;=Q$5, COUNTIF($M146:P146,"u")=0), "u", "")</f>
        <v/>
      </c>
      <c r="R146" s="80" t="str">
        <f>IF(AND($F146&lt;&gt;"", $F146&gt;=R$5-4, $F146&lt;=R$5, COUNTIF($M146:Q146,"u")=0), "u", "")</f>
        <v/>
      </c>
      <c r="S146" s="80" t="str">
        <f>IF(AND($F146&lt;&gt;"", $F146&gt;=S$5-4, $F146&lt;=S$5, COUNTIF($M146:R146,"u")=0), "u", "")</f>
        <v/>
      </c>
      <c r="T146" s="80" t="str">
        <f>IF(AND($F146&lt;&gt;"", $F146&gt;=T$5-4, $F146&lt;=T$5, COUNTIF($M146:S146,"u")=0), "u", "")</f>
        <v/>
      </c>
      <c r="U146" s="80" t="str">
        <f>IF(AND($F146&lt;&gt;"", $F146&gt;=U$5-4, $F146&lt;=U$5, COUNTIF($M146:T146,"u")=0), "u", "")</f>
        <v/>
      </c>
      <c r="V146" s="80" t="str">
        <f>IF(AND($F146&lt;&gt;"", $F146&gt;=V$5-4, $F146&lt;=V$5, COUNTIF($M146:U146,"u")=0), "u", "")</f>
        <v/>
      </c>
      <c r="W146" s="80" t="str">
        <f>IF(AND($F146&lt;&gt;"", $F146&gt;=W$5-4, $F146&lt;=W$5, COUNTIF($M146:V146,"u")=0), "u", "")</f>
        <v/>
      </c>
      <c r="X146" s="80" t="str">
        <f>IF(AND($F146&lt;&gt;"", $F146&gt;=X$5-4, $F146&lt;=X$5, COUNTIF($M146:W146,"u")=0), "u", "")</f>
        <v/>
      </c>
      <c r="Y146" s="80" t="str">
        <f>IF(AND($F146&lt;&gt;"", $F146&gt;=Y$5-4, $F146&lt;=Y$5, COUNTIF($M146:X146,"u")=0), "u", "")</f>
        <v/>
      </c>
      <c r="Z146" s="80" t="str">
        <f>IF(AND($F146&lt;&gt;"", $F146&gt;=Z$5-4, $F146&lt;=Z$5, COUNTIF($M146:Y146,"u")=0), "u", "")</f>
        <v/>
      </c>
      <c r="AA146" s="80" t="str">
        <f>IF(AND($F146&lt;&gt;"", $F146&gt;=AA$5-4, $F146&lt;=AA$5, COUNTIF($M146:Z146,"u")=0), "u", "")</f>
        <v/>
      </c>
      <c r="AB146" s="80" t="str">
        <f>IF(AND($F146&lt;&gt;"", $F146&gt;=AB$5-4, $F146&lt;=AB$5, COUNTIF($M146:AA146,"u")=0), "u", "")</f>
        <v/>
      </c>
      <c r="AC146" s="80" t="str">
        <f>IF(AND($F146&lt;&gt;"", $F146&gt;=AC$5-4, $F146&lt;=AC$5, COUNTIF($M146:AB146,"u")=0), "u", "")</f>
        <v/>
      </c>
      <c r="AD146" s="80" t="str">
        <f>IF(AND($F146&lt;&gt;"", $F146&gt;=AD$5-4, $F146&lt;=AD$5, COUNTIF($M146:AC146,"u")=0), "u", "")</f>
        <v/>
      </c>
      <c r="AE146" s="80" t="str">
        <f>IF(AND($F146&lt;&gt;"", $F146&gt;=AE$5-4, $F146&lt;=AE$5, COUNTIF($M146:AD146,"u")=0), "u", "")</f>
        <v/>
      </c>
      <c r="AF146" s="80" t="str">
        <f>IF(AND($F146&lt;&gt;"", $F146&gt;=AF$5-4, $F146&lt;=AF$5, COUNTIF($M146:AE146,"u")=0), "u", "")</f>
        <v/>
      </c>
      <c r="AG146" s="80" t="str">
        <f>IF(AND($F146&lt;&gt;"", $F146&gt;=AG$5-4, $F146&lt;=AG$5, COUNTIF($M146:AF146,"u")=0), "u", "")</f>
        <v/>
      </c>
      <c r="AH146" s="80" t="str">
        <f>IF(AND($F146&lt;&gt;"", $F146&gt;=AH$5-4, $F146&lt;=AH$5, COUNTIF($M146:AG146,"u")=0), "u", "")</f>
        <v/>
      </c>
      <c r="AI146" s="80" t="str">
        <f>IF(AND($F146&lt;&gt;"", $F146&gt;=AI$5-4, $F146&lt;=AI$5, COUNTIF($M146:AH146,"u")=0), "u", "")</f>
        <v/>
      </c>
      <c r="AJ146" s="80" t="str">
        <f>IF(AND($F146&lt;&gt;"", $F146&gt;=AJ$5-4, $F146&lt;=AJ$5, COUNTIF($M146:AI146,"u")=0), "u", "")</f>
        <v/>
      </c>
      <c r="AK146" s="80" t="str">
        <f>IF(AND($F146&lt;&gt;"", $F146&gt;=AK$5-4, $F146&lt;=AK$5, COUNTIF($M146:AJ146,"u")=0), "u", "")</f>
        <v/>
      </c>
      <c r="AL146" s="80" t="str">
        <f>IF(AND($F146&lt;&gt;"", $F146&gt;=AL$5-4, $F146&lt;=AL$5, COUNTIF($M146:AK146,"u")=0), "u", "")</f>
        <v/>
      </c>
      <c r="AM146" s="80" t="str">
        <f>IF(AND($F146&lt;&gt;"", $F146&gt;=AM$5-4, $F146&lt;=AM$5, COUNTIF($M146:AL146,"u")=0), "u", "")</f>
        <v/>
      </c>
      <c r="AN146" s="80" t="str">
        <f>IF(AND($F146&lt;&gt;"", $F146&gt;=AN$5-4, $F146&lt;=AN$5, COUNTIF($M146:AM146,"u")=0), "u", "")</f>
        <v/>
      </c>
      <c r="AO146" s="80" t="str">
        <f>IF(AND($F146&lt;&gt;"", $F146&gt;=AO$5-4, $F146&lt;=AO$5, COUNTIF($M146:AN146,"u")=0), "u", "")</f>
        <v/>
      </c>
      <c r="AP146" s="80" t="str">
        <f>IF(AND($F146&lt;&gt;"", $F146&gt;=AP$5-4, $F146&lt;=AP$5, COUNTIF($M146:AO146,"u")=0), "u", "")</f>
        <v/>
      </c>
      <c r="AQ146" s="80" t="str">
        <f>IF(AND($F146&lt;&gt;"", $F146&gt;=AQ$5-4, $F146&lt;=AQ$5, COUNTIF($M146:AP146,"u")=0), "u", "")</f>
        <v/>
      </c>
      <c r="AR146" s="80" t="str">
        <f>IF(AND($F146&lt;&gt;"", $F146&gt;=AR$5-4, $F146&lt;=AR$5, COUNTIF($M146:AQ146,"u")=0), "u", "")</f>
        <v/>
      </c>
      <c r="AS146" s="80" t="str">
        <f>IF(AND($F146&lt;&gt;"", $F146&gt;=AS$5-4, $F146&lt;=AS$5, COUNTIF($M146:AR146,"u")=0), "u", "")</f>
        <v/>
      </c>
      <c r="AT146" s="80" t="str">
        <f>IF(AND($F146&lt;&gt;"", $F146&gt;=AT$5-4, $F146&lt;=AT$5, COUNTIF($M146:AS146,"u")=0), "u", "")</f>
        <v/>
      </c>
      <c r="AU146" s="80" t="str">
        <f>IF(AND($F146&lt;&gt;"", $F146&gt;=AU$5-4, $F146&lt;=AU$5, COUNTIF($M146:AT146,"u")=0), "u", "")</f>
        <v/>
      </c>
      <c r="AV146" s="80" t="str">
        <f>IF(AND($F146&lt;&gt;"", $F146&gt;=AV$5-4, $F146&lt;=AV$5, COUNTIF($M146:AU146,"u")=0), "u", "")</f>
        <v/>
      </c>
      <c r="AW146" s="80" t="str">
        <f>IF(AND($F146&lt;&gt;"", $F146&gt;=AW$5-4, $F146&lt;=AW$5, COUNTIF($M146:AV146,"u")=0), "u", "")</f>
        <v/>
      </c>
      <c r="AX146" s="80" t="str">
        <f>IF(AND($F146&lt;&gt;"", $F146&gt;=AX$5-4, $F146&lt;=AX$5, COUNTIF($M146:AW146,"u")=0), "u", "")</f>
        <v/>
      </c>
      <c r="AY146" s="80" t="str">
        <f>IF(AND($F146&lt;&gt;"", $F146&gt;=AY$5-4, $F146&lt;=AY$5, COUNTIF($M146:AX146,"u")=0), "u", "")</f>
        <v/>
      </c>
      <c r="AZ146" s="80" t="str">
        <f>IF(AND($F146&lt;&gt;"", $F146&gt;=AZ$5-4, $F146&lt;=AZ$5, COUNTIF($M146:AY146,"u")=0), "u", "")</f>
        <v/>
      </c>
      <c r="BA146" s="80" t="str">
        <f>IF(AND($F146&lt;&gt;"", $F146&gt;=BA$5-4, $F146&lt;=BA$5, COUNTIF($M146:AZ146,"u")=0), "u", "")</f>
        <v/>
      </c>
      <c r="BB146" s="80" t="str">
        <f>IF(AND($F146&lt;&gt;"", $F146&gt;=BB$5-4, $F146&lt;=BB$5, COUNTIF($M146:BA146,"u")=0), "u", "")</f>
        <v/>
      </c>
      <c r="BC146" s="80" t="str">
        <f>IF(AND($F146&lt;&gt;"", $F146&gt;=BC$5-4, $F146&lt;=BC$5, COUNTIF($M146:BB146,"u")=0), "u", "")</f>
        <v/>
      </c>
      <c r="BD146" s="80" t="str">
        <f>IF(AND($F146&lt;&gt;"", $F146&gt;=BD$5-4, $F146&lt;=BD$5, COUNTIF($M146:BC146,"u")=0), "u", "")</f>
        <v/>
      </c>
      <c r="BE146" s="80" t="str">
        <f>IF(AND($F146&lt;&gt;"", $F146&gt;=BE$5-4, $F146&lt;=BE$5, COUNTIF($M146:BD146,"u")=0), "u", "")</f>
        <v/>
      </c>
      <c r="BF146" s="80" t="str">
        <f>IF(AND($F146&lt;&gt;"", $F146&gt;=BF$5-4, $F146&lt;=BF$5, COUNTIF($M146:BE146,"u")=0), "u", "")</f>
        <v/>
      </c>
      <c r="BG146" s="80" t="str">
        <f>IF(AND($F146&lt;&gt;"", $F146&gt;=BG$5-4, $F146&lt;=BG$5, COUNTIF($M146:BF146,"u")=0), "u", "")</f>
        <v/>
      </c>
      <c r="BH146" s="80" t="str">
        <f>IF(AND($F146&lt;&gt;"", $F146&gt;=BH$5-4, $F146&lt;=BH$5, COUNTIF($M146:BG146,"u")=0), "u", "")</f>
        <v/>
      </c>
      <c r="BI146" s="80" t="str">
        <f>IF(AND($F146&lt;&gt;"", $F146&gt;=BI$5-4, $F146&lt;=BI$5, COUNTIF($M146:BH146,"u")=0), "u", "")</f>
        <v/>
      </c>
      <c r="BJ146" s="80" t="str">
        <f>IF(AND($F146&lt;&gt;"", $F146&gt;=BJ$5-4, $F146&lt;=BJ$5, COUNTIF($M146:BI146,"u")=0), "u", "")</f>
        <v/>
      </c>
      <c r="BK146" s="80" t="str">
        <f>IF(AND($F146&lt;&gt;"", $F146&gt;=BK$5-4, $F146&lt;=BK$5, COUNTIF($M146:BJ146,"u")=0), "u", "")</f>
        <v/>
      </c>
      <c r="BL146" s="80" t="str">
        <f>IF(AND($F146&lt;&gt;"", $F146&gt;=BL$5-4, $F146&lt;=BL$5, COUNTIF($M146:BK146,"u")=0), "u", "")</f>
        <v/>
      </c>
      <c r="BM146" s="80" t="str">
        <f>IF(AND($F146&lt;&gt;"", $F146&gt;=BM$5-4, $F146&lt;=BM$5, COUNTIF($M146:BL146,"u")=0), "u", "")</f>
        <v/>
      </c>
      <c r="BN146" s="80" t="str">
        <f>IF(AND($F146&lt;&gt;"", $F146&gt;=BN$5-4, $F146&lt;=BN$5, COUNTIF($M146:BM146,"u")=0), "u", "")</f>
        <v/>
      </c>
      <c r="BO146" s="80" t="str">
        <f>IF(AND($F146&lt;&gt;"", $F146&gt;=BO$5-4, $F146&lt;=BO$5, COUNTIF($M146:BN146,"u")=0), "u", "")</f>
        <v/>
      </c>
      <c r="BP146" s="80" t="str">
        <f>IF(AND($F146&lt;&gt;"", $F146&gt;=BP$5-4, $F146&lt;=BP$5, COUNTIF($M146:BO146,"u")=0), "u", "")</f>
        <v/>
      </c>
      <c r="BQ146" s="80" t="str">
        <f>IF(AND($F146&lt;&gt;"", $F146&gt;=BQ$5-4, $F146&lt;=BQ$5, COUNTIF($M146:BP146,"u")=0), "u", "")</f>
        <v/>
      </c>
      <c r="BR146" s="80" t="str">
        <f>IF(AND($F146&lt;&gt;"", $F146&gt;=BR$5-4, $F146&lt;=BR$5, COUNTIF($M146:BQ146,"u")=0), "u", "")</f>
        <v/>
      </c>
      <c r="BS146" s="80" t="str">
        <f>IF(AND($F146&lt;&gt;"", $F146&gt;=BS$5-4, $F146&lt;=BS$5, COUNTIF($M146:BR146,"u")=0), "u", "")</f>
        <v/>
      </c>
      <c r="BT146" s="80" t="str">
        <f>IF(AND($F146&lt;&gt;"", $F146&gt;=BT$5-4, $F146&lt;=BT$5, COUNTIF($M146:BS146,"u")=0), "u", "")</f>
        <v/>
      </c>
      <c r="BU146" s="80" t="str">
        <f>IF(AND($F146&lt;&gt;"", $F146&gt;=BU$5-4, $F146&lt;=BU$5, COUNTIF($M146:BT146,"u")=0), "u", "")</f>
        <v/>
      </c>
      <c r="BV146" s="80" t="str">
        <f>IF(AND($F146&lt;&gt;"", $F146&gt;=BV$5-4, $F146&lt;=BV$5, COUNTIF($M146:BU146,"u")=0), "u", "")</f>
        <v/>
      </c>
      <c r="BW146" s="80" t="str">
        <f>IF(AND($F146&lt;&gt;"", $F146&gt;=BW$5-4, $F146&lt;=BW$5, COUNTIF($M146:BV146,"u")=0), "u", "")</f>
        <v/>
      </c>
      <c r="BX146" s="80" t="str">
        <f>IF(AND($F146&lt;&gt;"", $F146&gt;=BX$5-4, $F146&lt;=BX$5, COUNTIF($M146:BW146,"u")=0), "u", "")</f>
        <v/>
      </c>
      <c r="BY146" s="80" t="str">
        <f>IF(AND($F146&lt;&gt;"", $F146&gt;=BY$5-4, $F146&lt;=BY$5, COUNTIF($M146:BX146,"u")=0), "u", "")</f>
        <v/>
      </c>
      <c r="BZ146" s="80" t="str">
        <f>IF(AND($F146&lt;&gt;"", $F146&gt;=BZ$5-4, $F146&lt;=BZ$5, COUNTIF($M146:BY146,"u")=0), "u", "")</f>
        <v/>
      </c>
      <c r="CA146" s="80" t="str">
        <f>IF(AND($F146&lt;&gt;"", $F146&gt;=CA$5-4, $F146&lt;=CA$5, COUNTIF($M146:BZ146,"u")=0), "u", "")</f>
        <v/>
      </c>
      <c r="CB146" s="80" t="str">
        <f>IF(AND($F146&lt;&gt;"", $F146&gt;=CB$5-4, $F146&lt;=CB$5, COUNTIF($M146:CA146,"u")=0), "u", "")</f>
        <v/>
      </c>
      <c r="CC146" s="80" t="str">
        <f>IF(AND($F146&lt;&gt;"", $F146&gt;=CC$5-4, $F146&lt;=CC$5, COUNTIF($M146:CB146,"u")=0), "u", "")</f>
        <v/>
      </c>
      <c r="CD146" s="80" t="str">
        <f>IF(AND($F146&lt;&gt;"", $F146&gt;=CD$5-4, $F146&lt;=CD$5, COUNTIF($M146:CC146,"u")=0), "u", "")</f>
        <v/>
      </c>
      <c r="CE146" s="80" t="str">
        <f>IF(AND($F146&lt;&gt;"", $F146&gt;=CE$5-4, $F146&lt;=CE$5, COUNTIF($M146:CD146,"u")=0), "u", "")</f>
        <v/>
      </c>
      <c r="CF146" s="80" t="str">
        <f>IF(AND($F146&lt;&gt;"", $F146&gt;=CF$5-4, $F146&lt;=CF$5, COUNTIF($M146:CE146,"u")=0), "u", "")</f>
        <v/>
      </c>
      <c r="CG146" s="80" t="str">
        <f>IF(AND($F146&lt;&gt;"", $F146&gt;=CG$5-4, $F146&lt;=CG$5, COUNTIF($M146:CF146,"u")=0), "u", "")</f>
        <v/>
      </c>
      <c r="CH146" s="80" t="str">
        <f>IF(AND($F146&lt;&gt;"", $F146&gt;=CH$5-4, $F146&lt;=CH$5, COUNTIF($M146:CG146,"u")=0), "u", "")</f>
        <v/>
      </c>
      <c r="CI146" s="80" t="str">
        <f>IF(AND($F146&lt;&gt;"", $F146&gt;=CI$5-4, $F146&lt;=CI$5, COUNTIF($M146:CH146,"u")=0), "u", "")</f>
        <v/>
      </c>
      <c r="CJ146" s="80" t="str">
        <f>IF(AND($F146&lt;&gt;"", $F146&gt;=CJ$5-4, $F146&lt;=CJ$5, COUNTIF($M146:CI146,"u")=0), "u", "")</f>
        <v/>
      </c>
      <c r="CK146" s="80" t="str">
        <f>IF(AND($F146&lt;&gt;"", $F146&gt;=CK$5-4, $F146&lt;=CK$5, COUNTIF($M146:CJ146,"u")=0), "u", "")</f>
        <v/>
      </c>
      <c r="CL146" s="80" t="str">
        <f>IF(AND($F146&lt;&gt;"", $F146&gt;=CL$5-4, $F146&lt;=CL$5, COUNTIF($M146:CK146,"u")=0), "u", "")</f>
        <v/>
      </c>
      <c r="CM146" s="80" t="str">
        <f>IF(AND($F146&lt;&gt;"", $F146&gt;=CM$5-4, $F146&lt;=CM$5, COUNTIF($M146:CL146,"u")=0), "u", "")</f>
        <v/>
      </c>
      <c r="CN146" s="80" t="str">
        <f>IF(AND($F146&lt;&gt;"", $F146&gt;=CN$5-4, $F146&lt;=CN$5, COUNTIF($M146:CM146,"u")=0), "u", "")</f>
        <v/>
      </c>
      <c r="CO146" s="80" t="str">
        <f>IF(AND($F146&lt;&gt;"", $F146&gt;=CO$5-4, $F146&lt;=CO$5, COUNTIF($M146:CN146,"u")=0), "u", "")</f>
        <v/>
      </c>
      <c r="CP146" s="80" t="str">
        <f>IF(AND($F146&lt;&gt;"", $F146&gt;=CP$5-4, $F146&lt;=CP$5, COUNTIF($M146:CO146,"u")=0), "u", "")</f>
        <v/>
      </c>
      <c r="CQ146" s="80" t="str">
        <f>IF(AND($F146&lt;&gt;"", $F146&gt;=CQ$5-4, $F146&lt;=CQ$5, COUNTIF($M146:CP146,"u")=0), "u", "")</f>
        <v/>
      </c>
      <c r="CR146" s="80" t="str">
        <f>IF(AND($F146&lt;&gt;"", $F146&gt;=CR$5-4, $F146&lt;=CR$5, COUNTIF($M146:CQ146,"u")=0), "u", "")</f>
        <v/>
      </c>
      <c r="CS146" s="80" t="str">
        <f>IF(AND($F146&lt;&gt;"", $F146&gt;=CS$5-4, $F146&lt;=CS$5, COUNTIF($M146:CR146,"u")=0), "u", "")</f>
        <v/>
      </c>
      <c r="CT146" s="80" t="str">
        <f>IF(AND($F146&lt;&gt;"", $F146&gt;=CT$5-4, $F146&lt;=CT$5, COUNTIF($M146:CS146,"u")=0), "u", "")</f>
        <v/>
      </c>
      <c r="CU146" s="80" t="str">
        <f>IF(AND($F146&lt;&gt;"", $F146&gt;=CU$5-4, $F146&lt;=CU$5, COUNTIF($M146:CT146,"u")=0), "u", "")</f>
        <v/>
      </c>
      <c r="CV146" s="80" t="str">
        <f>IF(AND($F146&lt;&gt;"", $F146&gt;=CV$5-4, $F146&lt;=CV$5, COUNTIF($M146:CU146,"u")=0), "u", "")</f>
        <v/>
      </c>
      <c r="CW146" s="80" t="str">
        <f>IF(AND($F146&lt;&gt;"", $F146&gt;=CW$5-4, $F146&lt;=CW$5, COUNTIF($M146:CV146,"u")=0), "u", "")</f>
        <v/>
      </c>
      <c r="CX146" s="80" t="str">
        <f>IF(AND($F146&lt;&gt;"", $F146&gt;=CX$5-4, $F146&lt;=CX$5, COUNTIF($M146:CW146,"u")=0), "u", "")</f>
        <v/>
      </c>
      <c r="CY146" s="80" t="str">
        <f>IF(AND($F146&lt;&gt;"", $F146&gt;=CY$5-4, $F146&lt;=CY$5, COUNTIF($M146:CX146,"u")=0), "u", "")</f>
        <v/>
      </c>
      <c r="CZ146" s="80" t="str">
        <f>IF(AND($F146&lt;&gt;"", $F146&gt;=CZ$5-4, $F146&lt;=CZ$5, COUNTIF($M146:CY146,"u")=0), "u", "")</f>
        <v/>
      </c>
      <c r="DA146" s="80" t="str">
        <f>IF(AND($F146&lt;&gt;"", $F146&gt;=DA$5-4, $F146&lt;=DA$5, COUNTIF($M146:CZ146,"u")=0), "u", "")</f>
        <v/>
      </c>
      <c r="DB146" s="80" t="str">
        <f>IF(AND($F146&lt;&gt;"", $F146&gt;=DB$5-4, $F146&lt;=DB$5, COUNTIF($M146:DA146,"u")=0), "u", "")</f>
        <v/>
      </c>
      <c r="DC146" s="80" t="str">
        <f>IF(AND($F146&lt;&gt;"", $F146&gt;=DC$5-4, $F146&lt;=DC$5, COUNTIF($M146:DB146,"u")=0), "u", "")</f>
        <v/>
      </c>
      <c r="DD146" s="80" t="str">
        <f>IF(AND($F146&lt;&gt;"", $F146&gt;=DD$5-4, $F146&lt;=DD$5, COUNTIF($M146:DC146,"u")=0), "u", "")</f>
        <v/>
      </c>
      <c r="DE146" s="80" t="str">
        <f>IF(AND($F146&lt;&gt;"", $F146&gt;=DE$5-4, $F146&lt;=DE$5, COUNTIF($M146:DD146,"u")=0), "u", "")</f>
        <v/>
      </c>
      <c r="DF146" s="80" t="str">
        <f>IF(AND($F146&lt;&gt;"", $F146&gt;=DF$5-4, $F146&lt;=DF$5, COUNTIF($M146:DE146,"u")=0), "u", "")</f>
        <v/>
      </c>
      <c r="DG146" s="80" t="str">
        <f>IF(AND($F146&lt;&gt;"", $F146&gt;=DG$5-4, $F146&lt;=DG$5, COUNTIF($M146:DF146,"u")=0), "u", "")</f>
        <v/>
      </c>
      <c r="DH146" s="80" t="str">
        <f>IF(AND($F146&lt;&gt;"", $F146&gt;=DH$5-4, $F146&lt;=DH$5, COUNTIF($M146:DG146,"u")=0), "u", "")</f>
        <v/>
      </c>
      <c r="DI146" s="80" t="str">
        <f>IF(AND($F146&lt;&gt;"", $F146&gt;=DI$5-4, $F146&lt;=DI$5, COUNTIF($M146:DH146,"u")=0), "u", "")</f>
        <v/>
      </c>
      <c r="DJ146" s="80" t="str">
        <f>IF(AND($F146&lt;&gt;"", $F146&gt;=DJ$5-4, $F146&lt;=DJ$5, COUNTIF($M146:DI146,"u")=0), "u", "")</f>
        <v/>
      </c>
      <c r="DK146" s="80" t="str">
        <f>IF(AND($F146&lt;&gt;"", $F146&gt;=DK$5-4, $F146&lt;=DK$5, COUNTIF($M146:DJ146,"u")=0), "u", "")</f>
        <v/>
      </c>
      <c r="DL146" s="80" t="str">
        <f>IF(AND($F146&lt;&gt;"", $F146&gt;=DL$5-4, $F146&lt;=DL$5, COUNTIF($M146:DK146,"u")=0), "u", "")</f>
        <v/>
      </c>
    </row>
    <row r="147" spans="1:116" ht="25.05" customHeight="1" x14ac:dyDescent="0.3">
      <c r="A147" s="39"/>
      <c r="B147" s="75">
        <v>142</v>
      </c>
      <c r="C147" s="97"/>
      <c r="D147" s="92"/>
      <c r="E147" s="53"/>
      <c r="F147" s="53"/>
      <c r="G147" s="83" t="str">
        <f t="shared" si="50"/>
        <v/>
      </c>
      <c r="H147" s="83" t="str">
        <f t="shared" si="50"/>
        <v/>
      </c>
      <c r="I147" s="77" t="str">
        <f t="shared" si="51"/>
        <v/>
      </c>
      <c r="J147" s="78"/>
      <c r="K147" s="86"/>
      <c r="L147" s="56"/>
      <c r="M147" s="80" t="str">
        <f t="shared" si="52"/>
        <v/>
      </c>
      <c r="N147" s="80" t="str">
        <f>IF(AND($F147&lt;&gt;"", $F147&gt;=N$5-4, $F147&lt;=N$5, COUNTIF($M147:M147,"u")=0), "u", "")</f>
        <v/>
      </c>
      <c r="O147" s="80" t="str">
        <f>IF(AND($F147&lt;&gt;"", $F147&gt;=O$5-4, $F147&lt;=O$5, COUNTIF($M147:N147,"u")=0), "u", "")</f>
        <v/>
      </c>
      <c r="P147" s="80" t="str">
        <f>IF(AND($F147&lt;&gt;"", $F147&gt;=P$5-4, $F147&lt;=P$5, COUNTIF($M147:O147,"u")=0), "u", "")</f>
        <v/>
      </c>
      <c r="Q147" s="80" t="str">
        <f>IF(AND($F147&lt;&gt;"", $F147&gt;=Q$5-4, $F147&lt;=Q$5, COUNTIF($M147:P147,"u")=0), "u", "")</f>
        <v/>
      </c>
      <c r="R147" s="80" t="str">
        <f>IF(AND($F147&lt;&gt;"", $F147&gt;=R$5-4, $F147&lt;=R$5, COUNTIF($M147:Q147,"u")=0), "u", "")</f>
        <v/>
      </c>
      <c r="S147" s="80" t="str">
        <f>IF(AND($F147&lt;&gt;"", $F147&gt;=S$5-4, $F147&lt;=S$5, COUNTIF($M147:R147,"u")=0), "u", "")</f>
        <v/>
      </c>
      <c r="T147" s="80" t="str">
        <f>IF(AND($F147&lt;&gt;"", $F147&gt;=T$5-4, $F147&lt;=T$5, COUNTIF($M147:S147,"u")=0), "u", "")</f>
        <v/>
      </c>
      <c r="U147" s="80" t="str">
        <f>IF(AND($F147&lt;&gt;"", $F147&gt;=U$5-4, $F147&lt;=U$5, COUNTIF($M147:T147,"u")=0), "u", "")</f>
        <v/>
      </c>
      <c r="V147" s="80" t="str">
        <f>IF(AND($F147&lt;&gt;"", $F147&gt;=V$5-4, $F147&lt;=V$5, COUNTIF($M147:U147,"u")=0), "u", "")</f>
        <v/>
      </c>
      <c r="W147" s="80" t="str">
        <f>IF(AND($F147&lt;&gt;"", $F147&gt;=W$5-4, $F147&lt;=W$5, COUNTIF($M147:V147,"u")=0), "u", "")</f>
        <v/>
      </c>
      <c r="X147" s="80" t="str">
        <f>IF(AND($F147&lt;&gt;"", $F147&gt;=X$5-4, $F147&lt;=X$5, COUNTIF($M147:W147,"u")=0), "u", "")</f>
        <v/>
      </c>
      <c r="Y147" s="80" t="str">
        <f>IF(AND($F147&lt;&gt;"", $F147&gt;=Y$5-4, $F147&lt;=Y$5, COUNTIF($M147:X147,"u")=0), "u", "")</f>
        <v/>
      </c>
      <c r="Z147" s="80" t="str">
        <f>IF(AND($F147&lt;&gt;"", $F147&gt;=Z$5-4, $F147&lt;=Z$5, COUNTIF($M147:Y147,"u")=0), "u", "")</f>
        <v/>
      </c>
      <c r="AA147" s="80" t="str">
        <f>IF(AND($F147&lt;&gt;"", $F147&gt;=AA$5-4, $F147&lt;=AA$5, COUNTIF($M147:Z147,"u")=0), "u", "")</f>
        <v/>
      </c>
      <c r="AB147" s="80" t="str">
        <f>IF(AND($F147&lt;&gt;"", $F147&gt;=AB$5-4, $F147&lt;=AB$5, COUNTIF($M147:AA147,"u")=0), "u", "")</f>
        <v/>
      </c>
      <c r="AC147" s="80" t="str">
        <f>IF(AND($F147&lt;&gt;"", $F147&gt;=AC$5-4, $F147&lt;=AC$5, COUNTIF($M147:AB147,"u")=0), "u", "")</f>
        <v/>
      </c>
      <c r="AD147" s="80" t="str">
        <f>IF(AND($F147&lt;&gt;"", $F147&gt;=AD$5-4, $F147&lt;=AD$5, COUNTIF($M147:AC147,"u")=0), "u", "")</f>
        <v/>
      </c>
      <c r="AE147" s="80" t="str">
        <f>IF(AND($F147&lt;&gt;"", $F147&gt;=AE$5-4, $F147&lt;=AE$5, COUNTIF($M147:AD147,"u")=0), "u", "")</f>
        <v/>
      </c>
      <c r="AF147" s="80" t="str">
        <f>IF(AND($F147&lt;&gt;"", $F147&gt;=AF$5-4, $F147&lt;=AF$5, COUNTIF($M147:AE147,"u")=0), "u", "")</f>
        <v/>
      </c>
      <c r="AG147" s="80" t="str">
        <f>IF(AND($F147&lt;&gt;"", $F147&gt;=AG$5-4, $F147&lt;=AG$5, COUNTIF($M147:AF147,"u")=0), "u", "")</f>
        <v/>
      </c>
      <c r="AH147" s="80" t="str">
        <f>IF(AND($F147&lt;&gt;"", $F147&gt;=AH$5-4, $F147&lt;=AH$5, COUNTIF($M147:AG147,"u")=0), "u", "")</f>
        <v/>
      </c>
      <c r="AI147" s="80" t="str">
        <f>IF(AND($F147&lt;&gt;"", $F147&gt;=AI$5-4, $F147&lt;=AI$5, COUNTIF($M147:AH147,"u")=0), "u", "")</f>
        <v/>
      </c>
      <c r="AJ147" s="80" t="str">
        <f>IF(AND($F147&lt;&gt;"", $F147&gt;=AJ$5-4, $F147&lt;=AJ$5, COUNTIF($M147:AI147,"u")=0), "u", "")</f>
        <v/>
      </c>
      <c r="AK147" s="80" t="str">
        <f>IF(AND($F147&lt;&gt;"", $F147&gt;=AK$5-4, $F147&lt;=AK$5, COUNTIF($M147:AJ147,"u")=0), "u", "")</f>
        <v/>
      </c>
      <c r="AL147" s="80" t="str">
        <f>IF(AND($F147&lt;&gt;"", $F147&gt;=AL$5-4, $F147&lt;=AL$5, COUNTIF($M147:AK147,"u")=0), "u", "")</f>
        <v/>
      </c>
      <c r="AM147" s="80" t="str">
        <f>IF(AND($F147&lt;&gt;"", $F147&gt;=AM$5-4, $F147&lt;=AM$5, COUNTIF($M147:AL147,"u")=0), "u", "")</f>
        <v/>
      </c>
      <c r="AN147" s="80" t="str">
        <f>IF(AND($F147&lt;&gt;"", $F147&gt;=AN$5-4, $F147&lt;=AN$5, COUNTIF($M147:AM147,"u")=0), "u", "")</f>
        <v/>
      </c>
      <c r="AO147" s="80" t="str">
        <f>IF(AND($F147&lt;&gt;"", $F147&gt;=AO$5-4, $F147&lt;=AO$5, COUNTIF($M147:AN147,"u")=0), "u", "")</f>
        <v/>
      </c>
      <c r="AP147" s="80" t="str">
        <f>IF(AND($F147&lt;&gt;"", $F147&gt;=AP$5-4, $F147&lt;=AP$5, COUNTIF($M147:AO147,"u")=0), "u", "")</f>
        <v/>
      </c>
      <c r="AQ147" s="80" t="str">
        <f>IF(AND($F147&lt;&gt;"", $F147&gt;=AQ$5-4, $F147&lt;=AQ$5, COUNTIF($M147:AP147,"u")=0), "u", "")</f>
        <v/>
      </c>
      <c r="AR147" s="80" t="str">
        <f>IF(AND($F147&lt;&gt;"", $F147&gt;=AR$5-4, $F147&lt;=AR$5, COUNTIF($M147:AQ147,"u")=0), "u", "")</f>
        <v/>
      </c>
      <c r="AS147" s="80" t="str">
        <f>IF(AND($F147&lt;&gt;"", $F147&gt;=AS$5-4, $F147&lt;=AS$5, COUNTIF($M147:AR147,"u")=0), "u", "")</f>
        <v/>
      </c>
      <c r="AT147" s="80" t="str">
        <f>IF(AND($F147&lt;&gt;"", $F147&gt;=AT$5-4, $F147&lt;=AT$5, COUNTIF($M147:AS147,"u")=0), "u", "")</f>
        <v/>
      </c>
      <c r="AU147" s="80" t="str">
        <f>IF(AND($F147&lt;&gt;"", $F147&gt;=AU$5-4, $F147&lt;=AU$5, COUNTIF($M147:AT147,"u")=0), "u", "")</f>
        <v/>
      </c>
      <c r="AV147" s="80" t="str">
        <f>IF(AND($F147&lt;&gt;"", $F147&gt;=AV$5-4, $F147&lt;=AV$5, COUNTIF($M147:AU147,"u")=0), "u", "")</f>
        <v/>
      </c>
      <c r="AW147" s="80" t="str">
        <f>IF(AND($F147&lt;&gt;"", $F147&gt;=AW$5-4, $F147&lt;=AW$5, COUNTIF($M147:AV147,"u")=0), "u", "")</f>
        <v/>
      </c>
      <c r="AX147" s="80" t="str">
        <f>IF(AND($F147&lt;&gt;"", $F147&gt;=AX$5-4, $F147&lt;=AX$5, COUNTIF($M147:AW147,"u")=0), "u", "")</f>
        <v/>
      </c>
      <c r="AY147" s="80" t="str">
        <f>IF(AND($F147&lt;&gt;"", $F147&gt;=AY$5-4, $F147&lt;=AY$5, COUNTIF($M147:AX147,"u")=0), "u", "")</f>
        <v/>
      </c>
      <c r="AZ147" s="80" t="str">
        <f>IF(AND($F147&lt;&gt;"", $F147&gt;=AZ$5-4, $F147&lt;=AZ$5, COUNTIF($M147:AY147,"u")=0), "u", "")</f>
        <v/>
      </c>
      <c r="BA147" s="80" t="str">
        <f>IF(AND($F147&lt;&gt;"", $F147&gt;=BA$5-4, $F147&lt;=BA$5, COUNTIF($M147:AZ147,"u")=0), "u", "")</f>
        <v/>
      </c>
      <c r="BB147" s="80" t="str">
        <f>IF(AND($F147&lt;&gt;"", $F147&gt;=BB$5-4, $F147&lt;=BB$5, COUNTIF($M147:BA147,"u")=0), "u", "")</f>
        <v/>
      </c>
      <c r="BC147" s="80" t="str">
        <f>IF(AND($F147&lt;&gt;"", $F147&gt;=BC$5-4, $F147&lt;=BC$5, COUNTIF($M147:BB147,"u")=0), "u", "")</f>
        <v/>
      </c>
      <c r="BD147" s="80" t="str">
        <f>IF(AND($F147&lt;&gt;"", $F147&gt;=BD$5-4, $F147&lt;=BD$5, COUNTIF($M147:BC147,"u")=0), "u", "")</f>
        <v/>
      </c>
      <c r="BE147" s="80" t="str">
        <f>IF(AND($F147&lt;&gt;"", $F147&gt;=BE$5-4, $F147&lt;=BE$5, COUNTIF($M147:BD147,"u")=0), "u", "")</f>
        <v/>
      </c>
      <c r="BF147" s="80" t="str">
        <f>IF(AND($F147&lt;&gt;"", $F147&gt;=BF$5-4, $F147&lt;=BF$5, COUNTIF($M147:BE147,"u")=0), "u", "")</f>
        <v/>
      </c>
      <c r="BG147" s="80" t="str">
        <f>IF(AND($F147&lt;&gt;"", $F147&gt;=BG$5-4, $F147&lt;=BG$5, COUNTIF($M147:BF147,"u")=0), "u", "")</f>
        <v/>
      </c>
      <c r="BH147" s="80" t="str">
        <f>IF(AND($F147&lt;&gt;"", $F147&gt;=BH$5-4, $F147&lt;=BH$5, COUNTIF($M147:BG147,"u")=0), "u", "")</f>
        <v/>
      </c>
      <c r="BI147" s="80" t="str">
        <f>IF(AND($F147&lt;&gt;"", $F147&gt;=BI$5-4, $F147&lt;=BI$5, COUNTIF($M147:BH147,"u")=0), "u", "")</f>
        <v/>
      </c>
      <c r="BJ147" s="80" t="str">
        <f>IF(AND($F147&lt;&gt;"", $F147&gt;=BJ$5-4, $F147&lt;=BJ$5, COUNTIF($M147:BI147,"u")=0), "u", "")</f>
        <v/>
      </c>
      <c r="BK147" s="80" t="str">
        <f>IF(AND($F147&lt;&gt;"", $F147&gt;=BK$5-4, $F147&lt;=BK$5, COUNTIF($M147:BJ147,"u")=0), "u", "")</f>
        <v/>
      </c>
      <c r="BL147" s="80" t="str">
        <f>IF(AND($F147&lt;&gt;"", $F147&gt;=BL$5-4, $F147&lt;=BL$5, COUNTIF($M147:BK147,"u")=0), "u", "")</f>
        <v/>
      </c>
      <c r="BM147" s="80" t="str">
        <f>IF(AND($F147&lt;&gt;"", $F147&gt;=BM$5-4, $F147&lt;=BM$5, COUNTIF($M147:BL147,"u")=0), "u", "")</f>
        <v/>
      </c>
      <c r="BN147" s="80" t="str">
        <f>IF(AND($F147&lt;&gt;"", $F147&gt;=BN$5-4, $F147&lt;=BN$5, COUNTIF($M147:BM147,"u")=0), "u", "")</f>
        <v/>
      </c>
      <c r="BO147" s="80" t="str">
        <f>IF(AND($F147&lt;&gt;"", $F147&gt;=BO$5-4, $F147&lt;=BO$5, COUNTIF($M147:BN147,"u")=0), "u", "")</f>
        <v/>
      </c>
      <c r="BP147" s="80" t="str">
        <f>IF(AND($F147&lt;&gt;"", $F147&gt;=BP$5-4, $F147&lt;=BP$5, COUNTIF($M147:BO147,"u")=0), "u", "")</f>
        <v/>
      </c>
      <c r="BQ147" s="80" t="str">
        <f>IF(AND($F147&lt;&gt;"", $F147&gt;=BQ$5-4, $F147&lt;=BQ$5, COUNTIF($M147:BP147,"u")=0), "u", "")</f>
        <v/>
      </c>
      <c r="BR147" s="80" t="str">
        <f>IF(AND($F147&lt;&gt;"", $F147&gt;=BR$5-4, $F147&lt;=BR$5, COUNTIF($M147:BQ147,"u")=0), "u", "")</f>
        <v/>
      </c>
      <c r="BS147" s="80" t="str">
        <f>IF(AND($F147&lt;&gt;"", $F147&gt;=BS$5-4, $F147&lt;=BS$5, COUNTIF($M147:BR147,"u")=0), "u", "")</f>
        <v/>
      </c>
      <c r="BT147" s="80" t="str">
        <f>IF(AND($F147&lt;&gt;"", $F147&gt;=BT$5-4, $F147&lt;=BT$5, COUNTIF($M147:BS147,"u")=0), "u", "")</f>
        <v/>
      </c>
      <c r="BU147" s="80" t="str">
        <f>IF(AND($F147&lt;&gt;"", $F147&gt;=BU$5-4, $F147&lt;=BU$5, COUNTIF($M147:BT147,"u")=0), "u", "")</f>
        <v/>
      </c>
      <c r="BV147" s="80" t="str">
        <f>IF(AND($F147&lt;&gt;"", $F147&gt;=BV$5-4, $F147&lt;=BV$5, COUNTIF($M147:BU147,"u")=0), "u", "")</f>
        <v/>
      </c>
      <c r="BW147" s="80" t="str">
        <f>IF(AND($F147&lt;&gt;"", $F147&gt;=BW$5-4, $F147&lt;=BW$5, COUNTIF($M147:BV147,"u")=0), "u", "")</f>
        <v/>
      </c>
      <c r="BX147" s="80" t="str">
        <f>IF(AND($F147&lt;&gt;"", $F147&gt;=BX$5-4, $F147&lt;=BX$5, COUNTIF($M147:BW147,"u")=0), "u", "")</f>
        <v/>
      </c>
      <c r="BY147" s="80" t="str">
        <f>IF(AND($F147&lt;&gt;"", $F147&gt;=BY$5-4, $F147&lt;=BY$5, COUNTIF($M147:BX147,"u")=0), "u", "")</f>
        <v/>
      </c>
      <c r="BZ147" s="80" t="str">
        <f>IF(AND($F147&lt;&gt;"", $F147&gt;=BZ$5-4, $F147&lt;=BZ$5, COUNTIF($M147:BY147,"u")=0), "u", "")</f>
        <v/>
      </c>
      <c r="CA147" s="80" t="str">
        <f>IF(AND($F147&lt;&gt;"", $F147&gt;=CA$5-4, $F147&lt;=CA$5, COUNTIF($M147:BZ147,"u")=0), "u", "")</f>
        <v/>
      </c>
      <c r="CB147" s="80" t="str">
        <f>IF(AND($F147&lt;&gt;"", $F147&gt;=CB$5-4, $F147&lt;=CB$5, COUNTIF($M147:CA147,"u")=0), "u", "")</f>
        <v/>
      </c>
      <c r="CC147" s="80" t="str">
        <f>IF(AND($F147&lt;&gt;"", $F147&gt;=CC$5-4, $F147&lt;=CC$5, COUNTIF($M147:CB147,"u")=0), "u", "")</f>
        <v/>
      </c>
      <c r="CD147" s="80" t="str">
        <f>IF(AND($F147&lt;&gt;"", $F147&gt;=CD$5-4, $F147&lt;=CD$5, COUNTIF($M147:CC147,"u")=0), "u", "")</f>
        <v/>
      </c>
      <c r="CE147" s="80" t="str">
        <f>IF(AND($F147&lt;&gt;"", $F147&gt;=CE$5-4, $F147&lt;=CE$5, COUNTIF($M147:CD147,"u")=0), "u", "")</f>
        <v/>
      </c>
      <c r="CF147" s="80" t="str">
        <f>IF(AND($F147&lt;&gt;"", $F147&gt;=CF$5-4, $F147&lt;=CF$5, COUNTIF($M147:CE147,"u")=0), "u", "")</f>
        <v/>
      </c>
      <c r="CG147" s="80" t="str">
        <f>IF(AND($F147&lt;&gt;"", $F147&gt;=CG$5-4, $F147&lt;=CG$5, COUNTIF($M147:CF147,"u")=0), "u", "")</f>
        <v/>
      </c>
      <c r="CH147" s="80" t="str">
        <f>IF(AND($F147&lt;&gt;"", $F147&gt;=CH$5-4, $F147&lt;=CH$5, COUNTIF($M147:CG147,"u")=0), "u", "")</f>
        <v/>
      </c>
      <c r="CI147" s="80" t="str">
        <f>IF(AND($F147&lt;&gt;"", $F147&gt;=CI$5-4, $F147&lt;=CI$5, COUNTIF($M147:CH147,"u")=0), "u", "")</f>
        <v/>
      </c>
      <c r="CJ147" s="80" t="str">
        <f>IF(AND($F147&lt;&gt;"", $F147&gt;=CJ$5-4, $F147&lt;=CJ$5, COUNTIF($M147:CI147,"u")=0), "u", "")</f>
        <v/>
      </c>
      <c r="CK147" s="80" t="str">
        <f>IF(AND($F147&lt;&gt;"", $F147&gt;=CK$5-4, $F147&lt;=CK$5, COUNTIF($M147:CJ147,"u")=0), "u", "")</f>
        <v/>
      </c>
      <c r="CL147" s="80" t="str">
        <f>IF(AND($F147&lt;&gt;"", $F147&gt;=CL$5-4, $F147&lt;=CL$5, COUNTIF($M147:CK147,"u")=0), "u", "")</f>
        <v/>
      </c>
      <c r="CM147" s="80" t="str">
        <f>IF(AND($F147&lt;&gt;"", $F147&gt;=CM$5-4, $F147&lt;=CM$5, COUNTIF($M147:CL147,"u")=0), "u", "")</f>
        <v/>
      </c>
      <c r="CN147" s="80" t="str">
        <f>IF(AND($F147&lt;&gt;"", $F147&gt;=CN$5-4, $F147&lt;=CN$5, COUNTIF($M147:CM147,"u")=0), "u", "")</f>
        <v/>
      </c>
      <c r="CO147" s="80" t="str">
        <f>IF(AND($F147&lt;&gt;"", $F147&gt;=CO$5-4, $F147&lt;=CO$5, COUNTIF($M147:CN147,"u")=0), "u", "")</f>
        <v/>
      </c>
      <c r="CP147" s="80" t="str">
        <f>IF(AND($F147&lt;&gt;"", $F147&gt;=CP$5-4, $F147&lt;=CP$5, COUNTIF($M147:CO147,"u")=0), "u", "")</f>
        <v/>
      </c>
      <c r="CQ147" s="80" t="str">
        <f>IF(AND($F147&lt;&gt;"", $F147&gt;=CQ$5-4, $F147&lt;=CQ$5, COUNTIF($M147:CP147,"u")=0), "u", "")</f>
        <v/>
      </c>
      <c r="CR147" s="80" t="str">
        <f>IF(AND($F147&lt;&gt;"", $F147&gt;=CR$5-4, $F147&lt;=CR$5, COUNTIF($M147:CQ147,"u")=0), "u", "")</f>
        <v/>
      </c>
      <c r="CS147" s="80" t="str">
        <f>IF(AND($F147&lt;&gt;"", $F147&gt;=CS$5-4, $F147&lt;=CS$5, COUNTIF($M147:CR147,"u")=0), "u", "")</f>
        <v/>
      </c>
      <c r="CT147" s="80" t="str">
        <f>IF(AND($F147&lt;&gt;"", $F147&gt;=CT$5-4, $F147&lt;=CT$5, COUNTIF($M147:CS147,"u")=0), "u", "")</f>
        <v/>
      </c>
      <c r="CU147" s="80" t="str">
        <f>IF(AND($F147&lt;&gt;"", $F147&gt;=CU$5-4, $F147&lt;=CU$5, COUNTIF($M147:CT147,"u")=0), "u", "")</f>
        <v/>
      </c>
      <c r="CV147" s="80" t="str">
        <f>IF(AND($F147&lt;&gt;"", $F147&gt;=CV$5-4, $F147&lt;=CV$5, COUNTIF($M147:CU147,"u")=0), "u", "")</f>
        <v/>
      </c>
      <c r="CW147" s="80" t="str">
        <f>IF(AND($F147&lt;&gt;"", $F147&gt;=CW$5-4, $F147&lt;=CW$5, COUNTIF($M147:CV147,"u")=0), "u", "")</f>
        <v/>
      </c>
      <c r="CX147" s="80" t="str">
        <f>IF(AND($F147&lt;&gt;"", $F147&gt;=CX$5-4, $F147&lt;=CX$5, COUNTIF($M147:CW147,"u")=0), "u", "")</f>
        <v/>
      </c>
      <c r="CY147" s="80" t="str">
        <f>IF(AND($F147&lt;&gt;"", $F147&gt;=CY$5-4, $F147&lt;=CY$5, COUNTIF($M147:CX147,"u")=0), "u", "")</f>
        <v/>
      </c>
      <c r="CZ147" s="80" t="str">
        <f>IF(AND($F147&lt;&gt;"", $F147&gt;=CZ$5-4, $F147&lt;=CZ$5, COUNTIF($M147:CY147,"u")=0), "u", "")</f>
        <v/>
      </c>
      <c r="DA147" s="80" t="str">
        <f>IF(AND($F147&lt;&gt;"", $F147&gt;=DA$5-4, $F147&lt;=DA$5, COUNTIF($M147:CZ147,"u")=0), "u", "")</f>
        <v/>
      </c>
      <c r="DB147" s="80" t="str">
        <f>IF(AND($F147&lt;&gt;"", $F147&gt;=DB$5-4, $F147&lt;=DB$5, COUNTIF($M147:DA147,"u")=0), "u", "")</f>
        <v/>
      </c>
      <c r="DC147" s="80" t="str">
        <f>IF(AND($F147&lt;&gt;"", $F147&gt;=DC$5-4, $F147&lt;=DC$5, COUNTIF($M147:DB147,"u")=0), "u", "")</f>
        <v/>
      </c>
      <c r="DD147" s="80" t="str">
        <f>IF(AND($F147&lt;&gt;"", $F147&gt;=DD$5-4, $F147&lt;=DD$5, COUNTIF($M147:DC147,"u")=0), "u", "")</f>
        <v/>
      </c>
      <c r="DE147" s="80" t="str">
        <f>IF(AND($F147&lt;&gt;"", $F147&gt;=DE$5-4, $F147&lt;=DE$5, COUNTIF($M147:DD147,"u")=0), "u", "")</f>
        <v/>
      </c>
      <c r="DF147" s="80" t="str">
        <f>IF(AND($F147&lt;&gt;"", $F147&gt;=DF$5-4, $F147&lt;=DF$5, COUNTIF($M147:DE147,"u")=0), "u", "")</f>
        <v/>
      </c>
      <c r="DG147" s="80" t="str">
        <f>IF(AND($F147&lt;&gt;"", $F147&gt;=DG$5-4, $F147&lt;=DG$5, COUNTIF($M147:DF147,"u")=0), "u", "")</f>
        <v/>
      </c>
      <c r="DH147" s="80" t="str">
        <f>IF(AND($F147&lt;&gt;"", $F147&gt;=DH$5-4, $F147&lt;=DH$5, COUNTIF($M147:DG147,"u")=0), "u", "")</f>
        <v/>
      </c>
      <c r="DI147" s="80" t="str">
        <f>IF(AND($F147&lt;&gt;"", $F147&gt;=DI$5-4, $F147&lt;=DI$5, COUNTIF($M147:DH147,"u")=0), "u", "")</f>
        <v/>
      </c>
      <c r="DJ147" s="80" t="str">
        <f>IF(AND($F147&lt;&gt;"", $F147&gt;=DJ$5-4, $F147&lt;=DJ$5, COUNTIF($M147:DI147,"u")=0), "u", "")</f>
        <v/>
      </c>
      <c r="DK147" s="80" t="str">
        <f>IF(AND($F147&lt;&gt;"", $F147&gt;=DK$5-4, $F147&lt;=DK$5, COUNTIF($M147:DJ147,"u")=0), "u", "")</f>
        <v/>
      </c>
      <c r="DL147" s="80" t="str">
        <f>IF(AND($F147&lt;&gt;"", $F147&gt;=DL$5-4, $F147&lt;=DL$5, COUNTIF($M147:DK147,"u")=0), "u", "")</f>
        <v/>
      </c>
    </row>
    <row r="148" spans="1:116" ht="25.05" customHeight="1" x14ac:dyDescent="0.3">
      <c r="A148" s="39"/>
      <c r="B148" s="75">
        <v>143</v>
      </c>
      <c r="C148" s="97"/>
      <c r="D148" s="92"/>
      <c r="E148" s="53"/>
      <c r="F148" s="53"/>
      <c r="G148" s="83" t="str">
        <f t="shared" si="50"/>
        <v/>
      </c>
      <c r="H148" s="83" t="str">
        <f t="shared" si="50"/>
        <v/>
      </c>
      <c r="I148" s="77" t="str">
        <f t="shared" si="51"/>
        <v/>
      </c>
      <c r="J148" s="78"/>
      <c r="K148" s="86"/>
      <c r="L148" s="56"/>
      <c r="M148" s="80" t="str">
        <f t="shared" si="52"/>
        <v/>
      </c>
      <c r="N148" s="80" t="str">
        <f>IF(AND($F148&lt;&gt;"", $F148&gt;=N$5-4, $F148&lt;=N$5, COUNTIF($M148:M148,"u")=0), "u", "")</f>
        <v/>
      </c>
      <c r="O148" s="80" t="str">
        <f>IF(AND($F148&lt;&gt;"", $F148&gt;=O$5-4, $F148&lt;=O$5, COUNTIF($M148:N148,"u")=0), "u", "")</f>
        <v/>
      </c>
      <c r="P148" s="80" t="str">
        <f>IF(AND($F148&lt;&gt;"", $F148&gt;=P$5-4, $F148&lt;=P$5, COUNTIF($M148:O148,"u")=0), "u", "")</f>
        <v/>
      </c>
      <c r="Q148" s="80" t="str">
        <f>IF(AND($F148&lt;&gt;"", $F148&gt;=Q$5-4, $F148&lt;=Q$5, COUNTIF($M148:P148,"u")=0), "u", "")</f>
        <v/>
      </c>
      <c r="R148" s="80" t="str">
        <f>IF(AND($F148&lt;&gt;"", $F148&gt;=R$5-4, $F148&lt;=R$5, COUNTIF($M148:Q148,"u")=0), "u", "")</f>
        <v/>
      </c>
      <c r="S148" s="80" t="str">
        <f>IF(AND($F148&lt;&gt;"", $F148&gt;=S$5-4, $F148&lt;=S$5, COUNTIF($M148:R148,"u")=0), "u", "")</f>
        <v/>
      </c>
      <c r="T148" s="80" t="str">
        <f>IF(AND($F148&lt;&gt;"", $F148&gt;=T$5-4, $F148&lt;=T$5, COUNTIF($M148:S148,"u")=0), "u", "")</f>
        <v/>
      </c>
      <c r="U148" s="80" t="str">
        <f>IF(AND($F148&lt;&gt;"", $F148&gt;=U$5-4, $F148&lt;=U$5, COUNTIF($M148:T148,"u")=0), "u", "")</f>
        <v/>
      </c>
      <c r="V148" s="80" t="str">
        <f>IF(AND($F148&lt;&gt;"", $F148&gt;=V$5-4, $F148&lt;=V$5, COUNTIF($M148:U148,"u")=0), "u", "")</f>
        <v/>
      </c>
      <c r="W148" s="80" t="str">
        <f>IF(AND($F148&lt;&gt;"", $F148&gt;=W$5-4, $F148&lt;=W$5, COUNTIF($M148:V148,"u")=0), "u", "")</f>
        <v/>
      </c>
      <c r="X148" s="80" t="str">
        <f>IF(AND($F148&lt;&gt;"", $F148&gt;=X$5-4, $F148&lt;=X$5, COUNTIF($M148:W148,"u")=0), "u", "")</f>
        <v/>
      </c>
      <c r="Y148" s="80" t="str">
        <f>IF(AND($F148&lt;&gt;"", $F148&gt;=Y$5-4, $F148&lt;=Y$5, COUNTIF($M148:X148,"u")=0), "u", "")</f>
        <v/>
      </c>
      <c r="Z148" s="80" t="str">
        <f>IF(AND($F148&lt;&gt;"", $F148&gt;=Z$5-4, $F148&lt;=Z$5, COUNTIF($M148:Y148,"u")=0), "u", "")</f>
        <v/>
      </c>
      <c r="AA148" s="80" t="str">
        <f>IF(AND($F148&lt;&gt;"", $F148&gt;=AA$5-4, $F148&lt;=AA$5, COUNTIF($M148:Z148,"u")=0), "u", "")</f>
        <v/>
      </c>
      <c r="AB148" s="80" t="str">
        <f>IF(AND($F148&lt;&gt;"", $F148&gt;=AB$5-4, $F148&lt;=AB$5, COUNTIF($M148:AA148,"u")=0), "u", "")</f>
        <v/>
      </c>
      <c r="AC148" s="80" t="str">
        <f>IF(AND($F148&lt;&gt;"", $F148&gt;=AC$5-4, $F148&lt;=AC$5, COUNTIF($M148:AB148,"u")=0), "u", "")</f>
        <v/>
      </c>
      <c r="AD148" s="80" t="str">
        <f>IF(AND($F148&lt;&gt;"", $F148&gt;=AD$5-4, $F148&lt;=AD$5, COUNTIF($M148:AC148,"u")=0), "u", "")</f>
        <v/>
      </c>
      <c r="AE148" s="80" t="str">
        <f>IF(AND($F148&lt;&gt;"", $F148&gt;=AE$5-4, $F148&lt;=AE$5, COUNTIF($M148:AD148,"u")=0), "u", "")</f>
        <v/>
      </c>
      <c r="AF148" s="80" t="str">
        <f>IF(AND($F148&lt;&gt;"", $F148&gt;=AF$5-4, $F148&lt;=AF$5, COUNTIF($M148:AE148,"u")=0), "u", "")</f>
        <v/>
      </c>
      <c r="AG148" s="80" t="str">
        <f>IF(AND($F148&lt;&gt;"", $F148&gt;=AG$5-4, $F148&lt;=AG$5, COUNTIF($M148:AF148,"u")=0), "u", "")</f>
        <v/>
      </c>
      <c r="AH148" s="80" t="str">
        <f>IF(AND($F148&lt;&gt;"", $F148&gt;=AH$5-4, $F148&lt;=AH$5, COUNTIF($M148:AG148,"u")=0), "u", "")</f>
        <v/>
      </c>
      <c r="AI148" s="80" t="str">
        <f>IF(AND($F148&lt;&gt;"", $F148&gt;=AI$5-4, $F148&lt;=AI$5, COUNTIF($M148:AH148,"u")=0), "u", "")</f>
        <v/>
      </c>
      <c r="AJ148" s="80" t="str">
        <f>IF(AND($F148&lt;&gt;"", $F148&gt;=AJ$5-4, $F148&lt;=AJ$5, COUNTIF($M148:AI148,"u")=0), "u", "")</f>
        <v/>
      </c>
      <c r="AK148" s="80" t="str">
        <f>IF(AND($F148&lt;&gt;"", $F148&gt;=AK$5-4, $F148&lt;=AK$5, COUNTIF($M148:AJ148,"u")=0), "u", "")</f>
        <v/>
      </c>
      <c r="AL148" s="80" t="str">
        <f>IF(AND($F148&lt;&gt;"", $F148&gt;=AL$5-4, $F148&lt;=AL$5, COUNTIF($M148:AK148,"u")=0), "u", "")</f>
        <v/>
      </c>
      <c r="AM148" s="80" t="str">
        <f>IF(AND($F148&lt;&gt;"", $F148&gt;=AM$5-4, $F148&lt;=AM$5, COUNTIF($M148:AL148,"u")=0), "u", "")</f>
        <v/>
      </c>
      <c r="AN148" s="80" t="str">
        <f>IF(AND($F148&lt;&gt;"", $F148&gt;=AN$5-4, $F148&lt;=AN$5, COUNTIF($M148:AM148,"u")=0), "u", "")</f>
        <v/>
      </c>
      <c r="AO148" s="80" t="str">
        <f>IF(AND($F148&lt;&gt;"", $F148&gt;=AO$5-4, $F148&lt;=AO$5, COUNTIF($M148:AN148,"u")=0), "u", "")</f>
        <v/>
      </c>
      <c r="AP148" s="80" t="str">
        <f>IF(AND($F148&lt;&gt;"", $F148&gt;=AP$5-4, $F148&lt;=AP$5, COUNTIF($M148:AO148,"u")=0), "u", "")</f>
        <v/>
      </c>
      <c r="AQ148" s="80" t="str">
        <f>IF(AND($F148&lt;&gt;"", $F148&gt;=AQ$5-4, $F148&lt;=AQ$5, COUNTIF($M148:AP148,"u")=0), "u", "")</f>
        <v/>
      </c>
      <c r="AR148" s="80" t="str">
        <f>IF(AND($F148&lt;&gt;"", $F148&gt;=AR$5-4, $F148&lt;=AR$5, COUNTIF($M148:AQ148,"u")=0), "u", "")</f>
        <v/>
      </c>
      <c r="AS148" s="80" t="str">
        <f>IF(AND($F148&lt;&gt;"", $F148&gt;=AS$5-4, $F148&lt;=AS$5, COUNTIF($M148:AR148,"u")=0), "u", "")</f>
        <v/>
      </c>
      <c r="AT148" s="80" t="str">
        <f>IF(AND($F148&lt;&gt;"", $F148&gt;=AT$5-4, $F148&lt;=AT$5, COUNTIF($M148:AS148,"u")=0), "u", "")</f>
        <v/>
      </c>
      <c r="AU148" s="80" t="str">
        <f>IF(AND($F148&lt;&gt;"", $F148&gt;=AU$5-4, $F148&lt;=AU$5, COUNTIF($M148:AT148,"u")=0), "u", "")</f>
        <v/>
      </c>
      <c r="AV148" s="80" t="str">
        <f>IF(AND($F148&lt;&gt;"", $F148&gt;=AV$5-4, $F148&lt;=AV$5, COUNTIF($M148:AU148,"u")=0), "u", "")</f>
        <v/>
      </c>
      <c r="AW148" s="80" t="str">
        <f>IF(AND($F148&lt;&gt;"", $F148&gt;=AW$5-4, $F148&lt;=AW$5, COUNTIF($M148:AV148,"u")=0), "u", "")</f>
        <v/>
      </c>
      <c r="AX148" s="80" t="str">
        <f>IF(AND($F148&lt;&gt;"", $F148&gt;=AX$5-4, $F148&lt;=AX$5, COUNTIF($M148:AW148,"u")=0), "u", "")</f>
        <v/>
      </c>
      <c r="AY148" s="80" t="str">
        <f>IF(AND($F148&lt;&gt;"", $F148&gt;=AY$5-4, $F148&lt;=AY$5, COUNTIF($M148:AX148,"u")=0), "u", "")</f>
        <v/>
      </c>
      <c r="AZ148" s="80" t="str">
        <f>IF(AND($F148&lt;&gt;"", $F148&gt;=AZ$5-4, $F148&lt;=AZ$5, COUNTIF($M148:AY148,"u")=0), "u", "")</f>
        <v/>
      </c>
      <c r="BA148" s="80" t="str">
        <f>IF(AND($F148&lt;&gt;"", $F148&gt;=BA$5-4, $F148&lt;=BA$5, COUNTIF($M148:AZ148,"u")=0), "u", "")</f>
        <v/>
      </c>
      <c r="BB148" s="80" t="str">
        <f>IF(AND($F148&lt;&gt;"", $F148&gt;=BB$5-4, $F148&lt;=BB$5, COUNTIF($M148:BA148,"u")=0), "u", "")</f>
        <v/>
      </c>
      <c r="BC148" s="80" t="str">
        <f>IF(AND($F148&lt;&gt;"", $F148&gt;=BC$5-4, $F148&lt;=BC$5, COUNTIF($M148:BB148,"u")=0), "u", "")</f>
        <v/>
      </c>
      <c r="BD148" s="80" t="str">
        <f>IF(AND($F148&lt;&gt;"", $F148&gt;=BD$5-4, $F148&lt;=BD$5, COUNTIF($M148:BC148,"u")=0), "u", "")</f>
        <v/>
      </c>
      <c r="BE148" s="80" t="str">
        <f>IF(AND($F148&lt;&gt;"", $F148&gt;=BE$5-4, $F148&lt;=BE$5, COUNTIF($M148:BD148,"u")=0), "u", "")</f>
        <v/>
      </c>
      <c r="BF148" s="80" t="str">
        <f>IF(AND($F148&lt;&gt;"", $F148&gt;=BF$5-4, $F148&lt;=BF$5, COUNTIF($M148:BE148,"u")=0), "u", "")</f>
        <v/>
      </c>
      <c r="BG148" s="80" t="str">
        <f>IF(AND($F148&lt;&gt;"", $F148&gt;=BG$5-4, $F148&lt;=BG$5, COUNTIF($M148:BF148,"u")=0), "u", "")</f>
        <v/>
      </c>
      <c r="BH148" s="80" t="str">
        <f>IF(AND($F148&lt;&gt;"", $F148&gt;=BH$5-4, $F148&lt;=BH$5, COUNTIF($M148:BG148,"u")=0), "u", "")</f>
        <v/>
      </c>
      <c r="BI148" s="80" t="str">
        <f>IF(AND($F148&lt;&gt;"", $F148&gt;=BI$5-4, $F148&lt;=BI$5, COUNTIF($M148:BH148,"u")=0), "u", "")</f>
        <v/>
      </c>
      <c r="BJ148" s="80" t="str">
        <f>IF(AND($F148&lt;&gt;"", $F148&gt;=BJ$5-4, $F148&lt;=BJ$5, COUNTIF($M148:BI148,"u")=0), "u", "")</f>
        <v/>
      </c>
      <c r="BK148" s="80" t="str">
        <f>IF(AND($F148&lt;&gt;"", $F148&gt;=BK$5-4, $F148&lt;=BK$5, COUNTIF($M148:BJ148,"u")=0), "u", "")</f>
        <v/>
      </c>
      <c r="BL148" s="80" t="str">
        <f>IF(AND($F148&lt;&gt;"", $F148&gt;=BL$5-4, $F148&lt;=BL$5, COUNTIF($M148:BK148,"u")=0), "u", "")</f>
        <v/>
      </c>
      <c r="BM148" s="80" t="str">
        <f>IF(AND($F148&lt;&gt;"", $F148&gt;=BM$5-4, $F148&lt;=BM$5, COUNTIF($M148:BL148,"u")=0), "u", "")</f>
        <v/>
      </c>
      <c r="BN148" s="80" t="str">
        <f>IF(AND($F148&lt;&gt;"", $F148&gt;=BN$5-4, $F148&lt;=BN$5, COUNTIF($M148:BM148,"u")=0), "u", "")</f>
        <v/>
      </c>
      <c r="BO148" s="80" t="str">
        <f>IF(AND($F148&lt;&gt;"", $F148&gt;=BO$5-4, $F148&lt;=BO$5, COUNTIF($M148:BN148,"u")=0), "u", "")</f>
        <v/>
      </c>
      <c r="BP148" s="80" t="str">
        <f>IF(AND($F148&lt;&gt;"", $F148&gt;=BP$5-4, $F148&lt;=BP$5, COUNTIF($M148:BO148,"u")=0), "u", "")</f>
        <v/>
      </c>
      <c r="BQ148" s="80" t="str">
        <f>IF(AND($F148&lt;&gt;"", $F148&gt;=BQ$5-4, $F148&lt;=BQ$5, COUNTIF($M148:BP148,"u")=0), "u", "")</f>
        <v/>
      </c>
      <c r="BR148" s="80" t="str">
        <f>IF(AND($F148&lt;&gt;"", $F148&gt;=BR$5-4, $F148&lt;=BR$5, COUNTIF($M148:BQ148,"u")=0), "u", "")</f>
        <v/>
      </c>
      <c r="BS148" s="80" t="str">
        <f>IF(AND($F148&lt;&gt;"", $F148&gt;=BS$5-4, $F148&lt;=BS$5, COUNTIF($M148:BR148,"u")=0), "u", "")</f>
        <v/>
      </c>
      <c r="BT148" s="80" t="str">
        <f>IF(AND($F148&lt;&gt;"", $F148&gt;=BT$5-4, $F148&lt;=BT$5, COUNTIF($M148:BS148,"u")=0), "u", "")</f>
        <v/>
      </c>
      <c r="BU148" s="80" t="str">
        <f>IF(AND($F148&lt;&gt;"", $F148&gt;=BU$5-4, $F148&lt;=BU$5, COUNTIF($M148:BT148,"u")=0), "u", "")</f>
        <v/>
      </c>
      <c r="BV148" s="80" t="str">
        <f>IF(AND($F148&lt;&gt;"", $F148&gt;=BV$5-4, $F148&lt;=BV$5, COUNTIF($M148:BU148,"u")=0), "u", "")</f>
        <v/>
      </c>
      <c r="BW148" s="80" t="str">
        <f>IF(AND($F148&lt;&gt;"", $F148&gt;=BW$5-4, $F148&lt;=BW$5, COUNTIF($M148:BV148,"u")=0), "u", "")</f>
        <v/>
      </c>
      <c r="BX148" s="80" t="str">
        <f>IF(AND($F148&lt;&gt;"", $F148&gt;=BX$5-4, $F148&lt;=BX$5, COUNTIF($M148:BW148,"u")=0), "u", "")</f>
        <v/>
      </c>
      <c r="BY148" s="80" t="str">
        <f>IF(AND($F148&lt;&gt;"", $F148&gt;=BY$5-4, $F148&lt;=BY$5, COUNTIF($M148:BX148,"u")=0), "u", "")</f>
        <v/>
      </c>
      <c r="BZ148" s="80" t="str">
        <f>IF(AND($F148&lt;&gt;"", $F148&gt;=BZ$5-4, $F148&lt;=BZ$5, COUNTIF($M148:BY148,"u")=0), "u", "")</f>
        <v/>
      </c>
      <c r="CA148" s="80" t="str">
        <f>IF(AND($F148&lt;&gt;"", $F148&gt;=CA$5-4, $F148&lt;=CA$5, COUNTIF($M148:BZ148,"u")=0), "u", "")</f>
        <v/>
      </c>
      <c r="CB148" s="80" t="str">
        <f>IF(AND($F148&lt;&gt;"", $F148&gt;=CB$5-4, $F148&lt;=CB$5, COUNTIF($M148:CA148,"u")=0), "u", "")</f>
        <v/>
      </c>
      <c r="CC148" s="80" t="str">
        <f>IF(AND($F148&lt;&gt;"", $F148&gt;=CC$5-4, $F148&lt;=CC$5, COUNTIF($M148:CB148,"u")=0), "u", "")</f>
        <v/>
      </c>
      <c r="CD148" s="80" t="str">
        <f>IF(AND($F148&lt;&gt;"", $F148&gt;=CD$5-4, $F148&lt;=CD$5, COUNTIF($M148:CC148,"u")=0), "u", "")</f>
        <v/>
      </c>
      <c r="CE148" s="80" t="str">
        <f>IF(AND($F148&lt;&gt;"", $F148&gt;=CE$5-4, $F148&lt;=CE$5, COUNTIF($M148:CD148,"u")=0), "u", "")</f>
        <v/>
      </c>
      <c r="CF148" s="80" t="str">
        <f>IF(AND($F148&lt;&gt;"", $F148&gt;=CF$5-4, $F148&lt;=CF$5, COUNTIF($M148:CE148,"u")=0), "u", "")</f>
        <v/>
      </c>
      <c r="CG148" s="80" t="str">
        <f>IF(AND($F148&lt;&gt;"", $F148&gt;=CG$5-4, $F148&lt;=CG$5, COUNTIF($M148:CF148,"u")=0), "u", "")</f>
        <v/>
      </c>
      <c r="CH148" s="80" t="str">
        <f>IF(AND($F148&lt;&gt;"", $F148&gt;=CH$5-4, $F148&lt;=CH$5, COUNTIF($M148:CG148,"u")=0), "u", "")</f>
        <v/>
      </c>
      <c r="CI148" s="80" t="str">
        <f>IF(AND($F148&lt;&gt;"", $F148&gt;=CI$5-4, $F148&lt;=CI$5, COUNTIF($M148:CH148,"u")=0), "u", "")</f>
        <v/>
      </c>
      <c r="CJ148" s="80" t="str">
        <f>IF(AND($F148&lt;&gt;"", $F148&gt;=CJ$5-4, $F148&lt;=CJ$5, COUNTIF($M148:CI148,"u")=0), "u", "")</f>
        <v/>
      </c>
      <c r="CK148" s="80" t="str">
        <f>IF(AND($F148&lt;&gt;"", $F148&gt;=CK$5-4, $F148&lt;=CK$5, COUNTIF($M148:CJ148,"u")=0), "u", "")</f>
        <v/>
      </c>
      <c r="CL148" s="80" t="str">
        <f>IF(AND($F148&lt;&gt;"", $F148&gt;=CL$5-4, $F148&lt;=CL$5, COUNTIF($M148:CK148,"u")=0), "u", "")</f>
        <v/>
      </c>
      <c r="CM148" s="80" t="str">
        <f>IF(AND($F148&lt;&gt;"", $F148&gt;=CM$5-4, $F148&lt;=CM$5, COUNTIF($M148:CL148,"u")=0), "u", "")</f>
        <v/>
      </c>
      <c r="CN148" s="80" t="str">
        <f>IF(AND($F148&lt;&gt;"", $F148&gt;=CN$5-4, $F148&lt;=CN$5, COUNTIF($M148:CM148,"u")=0), "u", "")</f>
        <v/>
      </c>
      <c r="CO148" s="80" t="str">
        <f>IF(AND($F148&lt;&gt;"", $F148&gt;=CO$5-4, $F148&lt;=CO$5, COUNTIF($M148:CN148,"u")=0), "u", "")</f>
        <v/>
      </c>
      <c r="CP148" s="80" t="str">
        <f>IF(AND($F148&lt;&gt;"", $F148&gt;=CP$5-4, $F148&lt;=CP$5, COUNTIF($M148:CO148,"u")=0), "u", "")</f>
        <v/>
      </c>
      <c r="CQ148" s="80" t="str">
        <f>IF(AND($F148&lt;&gt;"", $F148&gt;=CQ$5-4, $F148&lt;=CQ$5, COUNTIF($M148:CP148,"u")=0), "u", "")</f>
        <v/>
      </c>
      <c r="CR148" s="80" t="str">
        <f>IF(AND($F148&lt;&gt;"", $F148&gt;=CR$5-4, $F148&lt;=CR$5, COUNTIF($M148:CQ148,"u")=0), "u", "")</f>
        <v/>
      </c>
      <c r="CS148" s="80" t="str">
        <f>IF(AND($F148&lt;&gt;"", $F148&gt;=CS$5-4, $F148&lt;=CS$5, COUNTIF($M148:CR148,"u")=0), "u", "")</f>
        <v/>
      </c>
      <c r="CT148" s="80" t="str">
        <f>IF(AND($F148&lt;&gt;"", $F148&gt;=CT$5-4, $F148&lt;=CT$5, COUNTIF($M148:CS148,"u")=0), "u", "")</f>
        <v/>
      </c>
      <c r="CU148" s="80" t="str">
        <f>IF(AND($F148&lt;&gt;"", $F148&gt;=CU$5-4, $F148&lt;=CU$5, COUNTIF($M148:CT148,"u")=0), "u", "")</f>
        <v/>
      </c>
      <c r="CV148" s="80" t="str">
        <f>IF(AND($F148&lt;&gt;"", $F148&gt;=CV$5-4, $F148&lt;=CV$5, COUNTIF($M148:CU148,"u")=0), "u", "")</f>
        <v/>
      </c>
      <c r="CW148" s="80" t="str">
        <f>IF(AND($F148&lt;&gt;"", $F148&gt;=CW$5-4, $F148&lt;=CW$5, COUNTIF($M148:CV148,"u")=0), "u", "")</f>
        <v/>
      </c>
      <c r="CX148" s="80" t="str">
        <f>IF(AND($F148&lt;&gt;"", $F148&gt;=CX$5-4, $F148&lt;=CX$5, COUNTIF($M148:CW148,"u")=0), "u", "")</f>
        <v/>
      </c>
      <c r="CY148" s="80" t="str">
        <f>IF(AND($F148&lt;&gt;"", $F148&gt;=CY$5-4, $F148&lt;=CY$5, COUNTIF($M148:CX148,"u")=0), "u", "")</f>
        <v/>
      </c>
      <c r="CZ148" s="80" t="str">
        <f>IF(AND($F148&lt;&gt;"", $F148&gt;=CZ$5-4, $F148&lt;=CZ$5, COUNTIF($M148:CY148,"u")=0), "u", "")</f>
        <v/>
      </c>
      <c r="DA148" s="80" t="str">
        <f>IF(AND($F148&lt;&gt;"", $F148&gt;=DA$5-4, $F148&lt;=DA$5, COUNTIF($M148:CZ148,"u")=0), "u", "")</f>
        <v/>
      </c>
      <c r="DB148" s="80" t="str">
        <f>IF(AND($F148&lt;&gt;"", $F148&gt;=DB$5-4, $F148&lt;=DB$5, COUNTIF($M148:DA148,"u")=0), "u", "")</f>
        <v/>
      </c>
      <c r="DC148" s="80" t="str">
        <f>IF(AND($F148&lt;&gt;"", $F148&gt;=DC$5-4, $F148&lt;=DC$5, COUNTIF($M148:DB148,"u")=0), "u", "")</f>
        <v/>
      </c>
      <c r="DD148" s="80" t="str">
        <f>IF(AND($F148&lt;&gt;"", $F148&gt;=DD$5-4, $F148&lt;=DD$5, COUNTIF($M148:DC148,"u")=0), "u", "")</f>
        <v/>
      </c>
      <c r="DE148" s="80" t="str">
        <f>IF(AND($F148&lt;&gt;"", $F148&gt;=DE$5-4, $F148&lt;=DE$5, COUNTIF($M148:DD148,"u")=0), "u", "")</f>
        <v/>
      </c>
      <c r="DF148" s="80" t="str">
        <f>IF(AND($F148&lt;&gt;"", $F148&gt;=DF$5-4, $F148&lt;=DF$5, COUNTIF($M148:DE148,"u")=0), "u", "")</f>
        <v/>
      </c>
      <c r="DG148" s="80" t="str">
        <f>IF(AND($F148&lt;&gt;"", $F148&gt;=DG$5-4, $F148&lt;=DG$5, COUNTIF($M148:DF148,"u")=0), "u", "")</f>
        <v/>
      </c>
      <c r="DH148" s="80" t="str">
        <f>IF(AND($F148&lt;&gt;"", $F148&gt;=DH$5-4, $F148&lt;=DH$5, COUNTIF($M148:DG148,"u")=0), "u", "")</f>
        <v/>
      </c>
      <c r="DI148" s="80" t="str">
        <f>IF(AND($F148&lt;&gt;"", $F148&gt;=DI$5-4, $F148&lt;=DI$5, COUNTIF($M148:DH148,"u")=0), "u", "")</f>
        <v/>
      </c>
      <c r="DJ148" s="80" t="str">
        <f>IF(AND($F148&lt;&gt;"", $F148&gt;=DJ$5-4, $F148&lt;=DJ$5, COUNTIF($M148:DI148,"u")=0), "u", "")</f>
        <v/>
      </c>
      <c r="DK148" s="80" t="str">
        <f>IF(AND($F148&lt;&gt;"", $F148&gt;=DK$5-4, $F148&lt;=DK$5, COUNTIF($M148:DJ148,"u")=0), "u", "")</f>
        <v/>
      </c>
      <c r="DL148" s="80" t="str">
        <f>IF(AND($F148&lt;&gt;"", $F148&gt;=DL$5-4, $F148&lt;=DL$5, COUNTIF($M148:DK148,"u")=0), "u", "")</f>
        <v/>
      </c>
    </row>
    <row r="149" spans="1:116" ht="25.05" customHeight="1" x14ac:dyDescent="0.3">
      <c r="A149" s="39"/>
      <c r="B149" s="75">
        <v>144</v>
      </c>
      <c r="C149" s="97"/>
      <c r="D149" s="92"/>
      <c r="E149" s="53"/>
      <c r="F149" s="53"/>
      <c r="G149" s="83" t="str">
        <f t="shared" si="50"/>
        <v/>
      </c>
      <c r="H149" s="83" t="str">
        <f t="shared" si="50"/>
        <v/>
      </c>
      <c r="I149" s="77" t="str">
        <f t="shared" si="51"/>
        <v/>
      </c>
      <c r="J149" s="78"/>
      <c r="K149" s="86"/>
      <c r="L149" s="56"/>
      <c r="M149" s="80" t="str">
        <f t="shared" si="52"/>
        <v/>
      </c>
      <c r="N149" s="80" t="str">
        <f>IF(AND($F149&lt;&gt;"", $F149&gt;=N$5-4, $F149&lt;=N$5, COUNTIF($M149:M149,"u")=0), "u", "")</f>
        <v/>
      </c>
      <c r="O149" s="80" t="str">
        <f>IF(AND($F149&lt;&gt;"", $F149&gt;=O$5-4, $F149&lt;=O$5, COUNTIF($M149:N149,"u")=0), "u", "")</f>
        <v/>
      </c>
      <c r="P149" s="80" t="str">
        <f>IF(AND($F149&lt;&gt;"", $F149&gt;=P$5-4, $F149&lt;=P$5, COUNTIF($M149:O149,"u")=0), "u", "")</f>
        <v/>
      </c>
      <c r="Q149" s="80" t="str">
        <f>IF(AND($F149&lt;&gt;"", $F149&gt;=Q$5-4, $F149&lt;=Q$5, COUNTIF($M149:P149,"u")=0), "u", "")</f>
        <v/>
      </c>
      <c r="R149" s="80" t="str">
        <f>IF(AND($F149&lt;&gt;"", $F149&gt;=R$5-4, $F149&lt;=R$5, COUNTIF($M149:Q149,"u")=0), "u", "")</f>
        <v/>
      </c>
      <c r="S149" s="80" t="str">
        <f>IF(AND($F149&lt;&gt;"", $F149&gt;=S$5-4, $F149&lt;=S$5, COUNTIF($M149:R149,"u")=0), "u", "")</f>
        <v/>
      </c>
      <c r="T149" s="80" t="str">
        <f>IF(AND($F149&lt;&gt;"", $F149&gt;=T$5-4, $F149&lt;=T$5, COUNTIF($M149:S149,"u")=0), "u", "")</f>
        <v/>
      </c>
      <c r="U149" s="80" t="str">
        <f>IF(AND($F149&lt;&gt;"", $F149&gt;=U$5-4, $F149&lt;=U$5, COUNTIF($M149:T149,"u")=0), "u", "")</f>
        <v/>
      </c>
      <c r="V149" s="80" t="str">
        <f>IF(AND($F149&lt;&gt;"", $F149&gt;=V$5-4, $F149&lt;=V$5, COUNTIF($M149:U149,"u")=0), "u", "")</f>
        <v/>
      </c>
      <c r="W149" s="80" t="str">
        <f>IF(AND($F149&lt;&gt;"", $F149&gt;=W$5-4, $F149&lt;=W$5, COUNTIF($M149:V149,"u")=0), "u", "")</f>
        <v/>
      </c>
      <c r="X149" s="80" t="str">
        <f>IF(AND($F149&lt;&gt;"", $F149&gt;=X$5-4, $F149&lt;=X$5, COUNTIF($M149:W149,"u")=0), "u", "")</f>
        <v/>
      </c>
      <c r="Y149" s="80" t="str">
        <f>IF(AND($F149&lt;&gt;"", $F149&gt;=Y$5-4, $F149&lt;=Y$5, COUNTIF($M149:X149,"u")=0), "u", "")</f>
        <v/>
      </c>
      <c r="Z149" s="80" t="str">
        <f>IF(AND($F149&lt;&gt;"", $F149&gt;=Z$5-4, $F149&lt;=Z$5, COUNTIF($M149:Y149,"u")=0), "u", "")</f>
        <v/>
      </c>
      <c r="AA149" s="80" t="str">
        <f>IF(AND($F149&lt;&gt;"", $F149&gt;=AA$5-4, $F149&lt;=AA$5, COUNTIF($M149:Z149,"u")=0), "u", "")</f>
        <v/>
      </c>
      <c r="AB149" s="80" t="str">
        <f>IF(AND($F149&lt;&gt;"", $F149&gt;=AB$5-4, $F149&lt;=AB$5, COUNTIF($M149:AA149,"u")=0), "u", "")</f>
        <v/>
      </c>
      <c r="AC149" s="80" t="str">
        <f>IF(AND($F149&lt;&gt;"", $F149&gt;=AC$5-4, $F149&lt;=AC$5, COUNTIF($M149:AB149,"u")=0), "u", "")</f>
        <v/>
      </c>
      <c r="AD149" s="80" t="str">
        <f>IF(AND($F149&lt;&gt;"", $F149&gt;=AD$5-4, $F149&lt;=AD$5, COUNTIF($M149:AC149,"u")=0), "u", "")</f>
        <v/>
      </c>
      <c r="AE149" s="80" t="str">
        <f>IF(AND($F149&lt;&gt;"", $F149&gt;=AE$5-4, $F149&lt;=AE$5, COUNTIF($M149:AD149,"u")=0), "u", "")</f>
        <v/>
      </c>
      <c r="AF149" s="80" t="str">
        <f>IF(AND($F149&lt;&gt;"", $F149&gt;=AF$5-4, $F149&lt;=AF$5, COUNTIF($M149:AE149,"u")=0), "u", "")</f>
        <v/>
      </c>
      <c r="AG149" s="80" t="str">
        <f>IF(AND($F149&lt;&gt;"", $F149&gt;=AG$5-4, $F149&lt;=AG$5, COUNTIF($M149:AF149,"u")=0), "u", "")</f>
        <v/>
      </c>
      <c r="AH149" s="80" t="str">
        <f>IF(AND($F149&lt;&gt;"", $F149&gt;=AH$5-4, $F149&lt;=AH$5, COUNTIF($M149:AG149,"u")=0), "u", "")</f>
        <v/>
      </c>
      <c r="AI149" s="80" t="str">
        <f>IF(AND($F149&lt;&gt;"", $F149&gt;=AI$5-4, $F149&lt;=AI$5, COUNTIF($M149:AH149,"u")=0), "u", "")</f>
        <v/>
      </c>
      <c r="AJ149" s="80" t="str">
        <f>IF(AND($F149&lt;&gt;"", $F149&gt;=AJ$5-4, $F149&lt;=AJ$5, COUNTIF($M149:AI149,"u")=0), "u", "")</f>
        <v/>
      </c>
      <c r="AK149" s="80" t="str">
        <f>IF(AND($F149&lt;&gt;"", $F149&gt;=AK$5-4, $F149&lt;=AK$5, COUNTIF($M149:AJ149,"u")=0), "u", "")</f>
        <v/>
      </c>
      <c r="AL149" s="80" t="str">
        <f>IF(AND($F149&lt;&gt;"", $F149&gt;=AL$5-4, $F149&lt;=AL$5, COUNTIF($M149:AK149,"u")=0), "u", "")</f>
        <v/>
      </c>
      <c r="AM149" s="80" t="str">
        <f>IF(AND($F149&lt;&gt;"", $F149&gt;=AM$5-4, $F149&lt;=AM$5, COUNTIF($M149:AL149,"u")=0), "u", "")</f>
        <v/>
      </c>
      <c r="AN149" s="80" t="str">
        <f>IF(AND($F149&lt;&gt;"", $F149&gt;=AN$5-4, $F149&lt;=AN$5, COUNTIF($M149:AM149,"u")=0), "u", "")</f>
        <v/>
      </c>
      <c r="AO149" s="80" t="str">
        <f>IF(AND($F149&lt;&gt;"", $F149&gt;=AO$5-4, $F149&lt;=AO$5, COUNTIF($M149:AN149,"u")=0), "u", "")</f>
        <v/>
      </c>
      <c r="AP149" s="80" t="str">
        <f>IF(AND($F149&lt;&gt;"", $F149&gt;=AP$5-4, $F149&lt;=AP$5, COUNTIF($M149:AO149,"u")=0), "u", "")</f>
        <v/>
      </c>
      <c r="AQ149" s="80" t="str">
        <f>IF(AND($F149&lt;&gt;"", $F149&gt;=AQ$5-4, $F149&lt;=AQ$5, COUNTIF($M149:AP149,"u")=0), "u", "")</f>
        <v/>
      </c>
      <c r="AR149" s="80" t="str">
        <f>IF(AND($F149&lt;&gt;"", $F149&gt;=AR$5-4, $F149&lt;=AR$5, COUNTIF($M149:AQ149,"u")=0), "u", "")</f>
        <v/>
      </c>
      <c r="AS149" s="80" t="str">
        <f>IF(AND($F149&lt;&gt;"", $F149&gt;=AS$5-4, $F149&lt;=AS$5, COUNTIF($M149:AR149,"u")=0), "u", "")</f>
        <v/>
      </c>
      <c r="AT149" s="80" t="str">
        <f>IF(AND($F149&lt;&gt;"", $F149&gt;=AT$5-4, $F149&lt;=AT$5, COUNTIF($M149:AS149,"u")=0), "u", "")</f>
        <v/>
      </c>
      <c r="AU149" s="80" t="str">
        <f>IF(AND($F149&lt;&gt;"", $F149&gt;=AU$5-4, $F149&lt;=AU$5, COUNTIF($M149:AT149,"u")=0), "u", "")</f>
        <v/>
      </c>
      <c r="AV149" s="80" t="str">
        <f>IF(AND($F149&lt;&gt;"", $F149&gt;=AV$5-4, $F149&lt;=AV$5, COUNTIF($M149:AU149,"u")=0), "u", "")</f>
        <v/>
      </c>
      <c r="AW149" s="80" t="str">
        <f>IF(AND($F149&lt;&gt;"", $F149&gt;=AW$5-4, $F149&lt;=AW$5, COUNTIF($M149:AV149,"u")=0), "u", "")</f>
        <v/>
      </c>
      <c r="AX149" s="80" t="str">
        <f>IF(AND($F149&lt;&gt;"", $F149&gt;=AX$5-4, $F149&lt;=AX$5, COUNTIF($M149:AW149,"u")=0), "u", "")</f>
        <v/>
      </c>
      <c r="AY149" s="80" t="str">
        <f>IF(AND($F149&lt;&gt;"", $F149&gt;=AY$5-4, $F149&lt;=AY$5, COUNTIF($M149:AX149,"u")=0), "u", "")</f>
        <v/>
      </c>
      <c r="AZ149" s="80" t="str">
        <f>IF(AND($F149&lt;&gt;"", $F149&gt;=AZ$5-4, $F149&lt;=AZ$5, COUNTIF($M149:AY149,"u")=0), "u", "")</f>
        <v/>
      </c>
      <c r="BA149" s="80" t="str">
        <f>IF(AND($F149&lt;&gt;"", $F149&gt;=BA$5-4, $F149&lt;=BA$5, COUNTIF($M149:AZ149,"u")=0), "u", "")</f>
        <v/>
      </c>
      <c r="BB149" s="80" t="str">
        <f>IF(AND($F149&lt;&gt;"", $F149&gt;=BB$5-4, $F149&lt;=BB$5, COUNTIF($M149:BA149,"u")=0), "u", "")</f>
        <v/>
      </c>
      <c r="BC149" s="80" t="str">
        <f>IF(AND($F149&lt;&gt;"", $F149&gt;=BC$5-4, $F149&lt;=BC$5, COUNTIF($M149:BB149,"u")=0), "u", "")</f>
        <v/>
      </c>
      <c r="BD149" s="80" t="str">
        <f>IF(AND($F149&lt;&gt;"", $F149&gt;=BD$5-4, $F149&lt;=BD$5, COUNTIF($M149:BC149,"u")=0), "u", "")</f>
        <v/>
      </c>
      <c r="BE149" s="80" t="str">
        <f>IF(AND($F149&lt;&gt;"", $F149&gt;=BE$5-4, $F149&lt;=BE$5, COUNTIF($M149:BD149,"u")=0), "u", "")</f>
        <v/>
      </c>
      <c r="BF149" s="80" t="str">
        <f>IF(AND($F149&lt;&gt;"", $F149&gt;=BF$5-4, $F149&lt;=BF$5, COUNTIF($M149:BE149,"u")=0), "u", "")</f>
        <v/>
      </c>
      <c r="BG149" s="80" t="str">
        <f>IF(AND($F149&lt;&gt;"", $F149&gt;=BG$5-4, $F149&lt;=BG$5, COUNTIF($M149:BF149,"u")=0), "u", "")</f>
        <v/>
      </c>
      <c r="BH149" s="80" t="str">
        <f>IF(AND($F149&lt;&gt;"", $F149&gt;=BH$5-4, $F149&lt;=BH$5, COUNTIF($M149:BG149,"u")=0), "u", "")</f>
        <v/>
      </c>
      <c r="BI149" s="80" t="str">
        <f>IF(AND($F149&lt;&gt;"", $F149&gt;=BI$5-4, $F149&lt;=BI$5, COUNTIF($M149:BH149,"u")=0), "u", "")</f>
        <v/>
      </c>
      <c r="BJ149" s="80" t="str">
        <f>IF(AND($F149&lt;&gt;"", $F149&gt;=BJ$5-4, $F149&lt;=BJ$5, COUNTIF($M149:BI149,"u")=0), "u", "")</f>
        <v/>
      </c>
      <c r="BK149" s="80" t="str">
        <f>IF(AND($F149&lt;&gt;"", $F149&gt;=BK$5-4, $F149&lt;=BK$5, COUNTIF($M149:BJ149,"u")=0), "u", "")</f>
        <v/>
      </c>
      <c r="BL149" s="80" t="str">
        <f>IF(AND($F149&lt;&gt;"", $F149&gt;=BL$5-4, $F149&lt;=BL$5, COUNTIF($M149:BK149,"u")=0), "u", "")</f>
        <v/>
      </c>
      <c r="BM149" s="80" t="str">
        <f>IF(AND($F149&lt;&gt;"", $F149&gt;=BM$5-4, $F149&lt;=BM$5, COUNTIF($M149:BL149,"u")=0), "u", "")</f>
        <v/>
      </c>
      <c r="BN149" s="80" t="str">
        <f>IF(AND($F149&lt;&gt;"", $F149&gt;=BN$5-4, $F149&lt;=BN$5, COUNTIF($M149:BM149,"u")=0), "u", "")</f>
        <v/>
      </c>
      <c r="BO149" s="80" t="str">
        <f>IF(AND($F149&lt;&gt;"", $F149&gt;=BO$5-4, $F149&lt;=BO$5, COUNTIF($M149:BN149,"u")=0), "u", "")</f>
        <v/>
      </c>
      <c r="BP149" s="80" t="str">
        <f>IF(AND($F149&lt;&gt;"", $F149&gt;=BP$5-4, $F149&lt;=BP$5, COUNTIF($M149:BO149,"u")=0), "u", "")</f>
        <v/>
      </c>
      <c r="BQ149" s="80" t="str">
        <f>IF(AND($F149&lt;&gt;"", $F149&gt;=BQ$5-4, $F149&lt;=BQ$5, COUNTIF($M149:BP149,"u")=0), "u", "")</f>
        <v/>
      </c>
      <c r="BR149" s="80" t="str">
        <f>IF(AND($F149&lt;&gt;"", $F149&gt;=BR$5-4, $F149&lt;=BR$5, COUNTIF($M149:BQ149,"u")=0), "u", "")</f>
        <v/>
      </c>
      <c r="BS149" s="80" t="str">
        <f>IF(AND($F149&lt;&gt;"", $F149&gt;=BS$5-4, $F149&lt;=BS$5, COUNTIF($M149:BR149,"u")=0), "u", "")</f>
        <v/>
      </c>
      <c r="BT149" s="80" t="str">
        <f>IF(AND($F149&lt;&gt;"", $F149&gt;=BT$5-4, $F149&lt;=BT$5, COUNTIF($M149:BS149,"u")=0), "u", "")</f>
        <v/>
      </c>
      <c r="BU149" s="80" t="str">
        <f>IF(AND($F149&lt;&gt;"", $F149&gt;=BU$5-4, $F149&lt;=BU$5, COUNTIF($M149:BT149,"u")=0), "u", "")</f>
        <v/>
      </c>
      <c r="BV149" s="80" t="str">
        <f>IF(AND($F149&lt;&gt;"", $F149&gt;=BV$5-4, $F149&lt;=BV$5, COUNTIF($M149:BU149,"u")=0), "u", "")</f>
        <v/>
      </c>
      <c r="BW149" s="80" t="str">
        <f>IF(AND($F149&lt;&gt;"", $F149&gt;=BW$5-4, $F149&lt;=BW$5, COUNTIF($M149:BV149,"u")=0), "u", "")</f>
        <v/>
      </c>
      <c r="BX149" s="80" t="str">
        <f>IF(AND($F149&lt;&gt;"", $F149&gt;=BX$5-4, $F149&lt;=BX$5, COUNTIF($M149:BW149,"u")=0), "u", "")</f>
        <v/>
      </c>
      <c r="BY149" s="80" t="str">
        <f>IF(AND($F149&lt;&gt;"", $F149&gt;=BY$5-4, $F149&lt;=BY$5, COUNTIF($M149:BX149,"u")=0), "u", "")</f>
        <v/>
      </c>
      <c r="BZ149" s="80" t="str">
        <f>IF(AND($F149&lt;&gt;"", $F149&gt;=BZ$5-4, $F149&lt;=BZ$5, COUNTIF($M149:BY149,"u")=0), "u", "")</f>
        <v/>
      </c>
      <c r="CA149" s="80" t="str">
        <f>IF(AND($F149&lt;&gt;"", $F149&gt;=CA$5-4, $F149&lt;=CA$5, COUNTIF($M149:BZ149,"u")=0), "u", "")</f>
        <v/>
      </c>
      <c r="CB149" s="80" t="str">
        <f>IF(AND($F149&lt;&gt;"", $F149&gt;=CB$5-4, $F149&lt;=CB$5, COUNTIF($M149:CA149,"u")=0), "u", "")</f>
        <v/>
      </c>
      <c r="CC149" s="80" t="str">
        <f>IF(AND($F149&lt;&gt;"", $F149&gt;=CC$5-4, $F149&lt;=CC$5, COUNTIF($M149:CB149,"u")=0), "u", "")</f>
        <v/>
      </c>
      <c r="CD149" s="80" t="str">
        <f>IF(AND($F149&lt;&gt;"", $F149&gt;=CD$5-4, $F149&lt;=CD$5, COUNTIF($M149:CC149,"u")=0), "u", "")</f>
        <v/>
      </c>
      <c r="CE149" s="80" t="str">
        <f>IF(AND($F149&lt;&gt;"", $F149&gt;=CE$5-4, $F149&lt;=CE$5, COUNTIF($M149:CD149,"u")=0), "u", "")</f>
        <v/>
      </c>
      <c r="CF149" s="80" t="str">
        <f>IF(AND($F149&lt;&gt;"", $F149&gt;=CF$5-4, $F149&lt;=CF$5, COUNTIF($M149:CE149,"u")=0), "u", "")</f>
        <v/>
      </c>
      <c r="CG149" s="80" t="str">
        <f>IF(AND($F149&lt;&gt;"", $F149&gt;=CG$5-4, $F149&lt;=CG$5, COUNTIF($M149:CF149,"u")=0), "u", "")</f>
        <v/>
      </c>
      <c r="CH149" s="80" t="str">
        <f>IF(AND($F149&lt;&gt;"", $F149&gt;=CH$5-4, $F149&lt;=CH$5, COUNTIF($M149:CG149,"u")=0), "u", "")</f>
        <v/>
      </c>
      <c r="CI149" s="80" t="str">
        <f>IF(AND($F149&lt;&gt;"", $F149&gt;=CI$5-4, $F149&lt;=CI$5, COUNTIF($M149:CH149,"u")=0), "u", "")</f>
        <v/>
      </c>
      <c r="CJ149" s="80" t="str">
        <f>IF(AND($F149&lt;&gt;"", $F149&gt;=CJ$5-4, $F149&lt;=CJ$5, COUNTIF($M149:CI149,"u")=0), "u", "")</f>
        <v/>
      </c>
      <c r="CK149" s="80" t="str">
        <f>IF(AND($F149&lt;&gt;"", $F149&gt;=CK$5-4, $F149&lt;=CK$5, COUNTIF($M149:CJ149,"u")=0), "u", "")</f>
        <v/>
      </c>
      <c r="CL149" s="80" t="str">
        <f>IF(AND($F149&lt;&gt;"", $F149&gt;=CL$5-4, $F149&lt;=CL$5, COUNTIF($M149:CK149,"u")=0), "u", "")</f>
        <v/>
      </c>
      <c r="CM149" s="80" t="str">
        <f>IF(AND($F149&lt;&gt;"", $F149&gt;=CM$5-4, $F149&lt;=CM$5, COUNTIF($M149:CL149,"u")=0), "u", "")</f>
        <v/>
      </c>
      <c r="CN149" s="80" t="str">
        <f>IF(AND($F149&lt;&gt;"", $F149&gt;=CN$5-4, $F149&lt;=CN$5, COUNTIF($M149:CM149,"u")=0), "u", "")</f>
        <v/>
      </c>
      <c r="CO149" s="80" t="str">
        <f>IF(AND($F149&lt;&gt;"", $F149&gt;=CO$5-4, $F149&lt;=CO$5, COUNTIF($M149:CN149,"u")=0), "u", "")</f>
        <v/>
      </c>
      <c r="CP149" s="80" t="str">
        <f>IF(AND($F149&lt;&gt;"", $F149&gt;=CP$5-4, $F149&lt;=CP$5, COUNTIF($M149:CO149,"u")=0), "u", "")</f>
        <v/>
      </c>
      <c r="CQ149" s="80" t="str">
        <f>IF(AND($F149&lt;&gt;"", $F149&gt;=CQ$5-4, $F149&lt;=CQ$5, COUNTIF($M149:CP149,"u")=0), "u", "")</f>
        <v/>
      </c>
      <c r="CR149" s="80" t="str">
        <f>IF(AND($F149&lt;&gt;"", $F149&gt;=CR$5-4, $F149&lt;=CR$5, COUNTIF($M149:CQ149,"u")=0), "u", "")</f>
        <v/>
      </c>
      <c r="CS149" s="80" t="str">
        <f>IF(AND($F149&lt;&gt;"", $F149&gt;=CS$5-4, $F149&lt;=CS$5, COUNTIF($M149:CR149,"u")=0), "u", "")</f>
        <v/>
      </c>
      <c r="CT149" s="80" t="str">
        <f>IF(AND($F149&lt;&gt;"", $F149&gt;=CT$5-4, $F149&lt;=CT$5, COUNTIF($M149:CS149,"u")=0), "u", "")</f>
        <v/>
      </c>
      <c r="CU149" s="80" t="str">
        <f>IF(AND($F149&lt;&gt;"", $F149&gt;=CU$5-4, $F149&lt;=CU$5, COUNTIF($M149:CT149,"u")=0), "u", "")</f>
        <v/>
      </c>
      <c r="CV149" s="80" t="str">
        <f>IF(AND($F149&lt;&gt;"", $F149&gt;=CV$5-4, $F149&lt;=CV$5, COUNTIF($M149:CU149,"u")=0), "u", "")</f>
        <v/>
      </c>
      <c r="CW149" s="80" t="str">
        <f>IF(AND($F149&lt;&gt;"", $F149&gt;=CW$5-4, $F149&lt;=CW$5, COUNTIF($M149:CV149,"u")=0), "u", "")</f>
        <v/>
      </c>
      <c r="CX149" s="80" t="str">
        <f>IF(AND($F149&lt;&gt;"", $F149&gt;=CX$5-4, $F149&lt;=CX$5, COUNTIF($M149:CW149,"u")=0), "u", "")</f>
        <v/>
      </c>
      <c r="CY149" s="80" t="str">
        <f>IF(AND($F149&lt;&gt;"", $F149&gt;=CY$5-4, $F149&lt;=CY$5, COUNTIF($M149:CX149,"u")=0), "u", "")</f>
        <v/>
      </c>
      <c r="CZ149" s="80" t="str">
        <f>IF(AND($F149&lt;&gt;"", $F149&gt;=CZ$5-4, $F149&lt;=CZ$5, COUNTIF($M149:CY149,"u")=0), "u", "")</f>
        <v/>
      </c>
      <c r="DA149" s="80" t="str">
        <f>IF(AND($F149&lt;&gt;"", $F149&gt;=DA$5-4, $F149&lt;=DA$5, COUNTIF($M149:CZ149,"u")=0), "u", "")</f>
        <v/>
      </c>
      <c r="DB149" s="80" t="str">
        <f>IF(AND($F149&lt;&gt;"", $F149&gt;=DB$5-4, $F149&lt;=DB$5, COUNTIF($M149:DA149,"u")=0), "u", "")</f>
        <v/>
      </c>
      <c r="DC149" s="80" t="str">
        <f>IF(AND($F149&lt;&gt;"", $F149&gt;=DC$5-4, $F149&lt;=DC$5, COUNTIF($M149:DB149,"u")=0), "u", "")</f>
        <v/>
      </c>
      <c r="DD149" s="80" t="str">
        <f>IF(AND($F149&lt;&gt;"", $F149&gt;=DD$5-4, $F149&lt;=DD$5, COUNTIF($M149:DC149,"u")=0), "u", "")</f>
        <v/>
      </c>
      <c r="DE149" s="80" t="str">
        <f>IF(AND($F149&lt;&gt;"", $F149&gt;=DE$5-4, $F149&lt;=DE$5, COUNTIF($M149:DD149,"u")=0), "u", "")</f>
        <v/>
      </c>
      <c r="DF149" s="80" t="str">
        <f>IF(AND($F149&lt;&gt;"", $F149&gt;=DF$5-4, $F149&lt;=DF$5, COUNTIF($M149:DE149,"u")=0), "u", "")</f>
        <v/>
      </c>
      <c r="DG149" s="80" t="str">
        <f>IF(AND($F149&lt;&gt;"", $F149&gt;=DG$5-4, $F149&lt;=DG$5, COUNTIF($M149:DF149,"u")=0), "u", "")</f>
        <v/>
      </c>
      <c r="DH149" s="80" t="str">
        <f>IF(AND($F149&lt;&gt;"", $F149&gt;=DH$5-4, $F149&lt;=DH$5, COUNTIF($M149:DG149,"u")=0), "u", "")</f>
        <v/>
      </c>
      <c r="DI149" s="80" t="str">
        <f>IF(AND($F149&lt;&gt;"", $F149&gt;=DI$5-4, $F149&lt;=DI$5, COUNTIF($M149:DH149,"u")=0), "u", "")</f>
        <v/>
      </c>
      <c r="DJ149" s="80" t="str">
        <f>IF(AND($F149&lt;&gt;"", $F149&gt;=DJ$5-4, $F149&lt;=DJ$5, COUNTIF($M149:DI149,"u")=0), "u", "")</f>
        <v/>
      </c>
      <c r="DK149" s="80" t="str">
        <f>IF(AND($F149&lt;&gt;"", $F149&gt;=DK$5-4, $F149&lt;=DK$5, COUNTIF($M149:DJ149,"u")=0), "u", "")</f>
        <v/>
      </c>
      <c r="DL149" s="80" t="str">
        <f>IF(AND($F149&lt;&gt;"", $F149&gt;=DL$5-4, $F149&lt;=DL$5, COUNTIF($M149:DK149,"u")=0), "u", "")</f>
        <v/>
      </c>
    </row>
    <row r="150" spans="1:116" ht="25.05" customHeight="1" x14ac:dyDescent="0.3">
      <c r="A150" s="39"/>
      <c r="B150" s="75">
        <v>145</v>
      </c>
      <c r="C150" s="97"/>
      <c r="D150" s="92"/>
      <c r="E150" s="53"/>
      <c r="F150" s="53"/>
      <c r="G150" s="83" t="str">
        <f t="shared" ref="G150:H213" si="53">IF(E150="","",IF(WEEKDAY($D$3, 2) - WEEKDAY(E150, 2) &lt;= 0, E150 + (WEEKDAY($D$3,2) - WEEKDAY(E150,2)), E150 - (7 - (WEEKDAY($D$3,2) - WEEKDAY(E150,2)))))</f>
        <v/>
      </c>
      <c r="H150" s="83" t="str">
        <f t="shared" si="53"/>
        <v/>
      </c>
      <c r="I150" s="77" t="str">
        <f t="shared" si="51"/>
        <v/>
      </c>
      <c r="J150" s="78"/>
      <c r="K150" s="86"/>
      <c r="L150" s="56"/>
      <c r="M150" s="80" t="str">
        <f t="shared" si="52"/>
        <v/>
      </c>
      <c r="N150" s="80" t="str">
        <f>IF(AND($F150&lt;&gt;"", $F150&gt;=N$5-4, $F150&lt;=N$5, COUNTIF($M150:M150,"u")=0), "u", "")</f>
        <v/>
      </c>
      <c r="O150" s="80" t="str">
        <f>IF(AND($F150&lt;&gt;"", $F150&gt;=O$5-4, $F150&lt;=O$5, COUNTIF($M150:N150,"u")=0), "u", "")</f>
        <v/>
      </c>
      <c r="P150" s="80" t="str">
        <f>IF(AND($F150&lt;&gt;"", $F150&gt;=P$5-4, $F150&lt;=P$5, COUNTIF($M150:O150,"u")=0), "u", "")</f>
        <v/>
      </c>
      <c r="Q150" s="80" t="str">
        <f>IF(AND($F150&lt;&gt;"", $F150&gt;=Q$5-4, $F150&lt;=Q$5, COUNTIF($M150:P150,"u")=0), "u", "")</f>
        <v/>
      </c>
      <c r="R150" s="80" t="str">
        <f>IF(AND($F150&lt;&gt;"", $F150&gt;=R$5-4, $F150&lt;=R$5, COUNTIF($M150:Q150,"u")=0), "u", "")</f>
        <v/>
      </c>
      <c r="S150" s="80" t="str">
        <f>IF(AND($F150&lt;&gt;"", $F150&gt;=S$5-4, $F150&lt;=S$5, COUNTIF($M150:R150,"u")=0), "u", "")</f>
        <v/>
      </c>
      <c r="T150" s="80" t="str">
        <f>IF(AND($F150&lt;&gt;"", $F150&gt;=T$5-4, $F150&lt;=T$5, COUNTIF($M150:S150,"u")=0), "u", "")</f>
        <v/>
      </c>
      <c r="U150" s="80" t="str">
        <f>IF(AND($F150&lt;&gt;"", $F150&gt;=U$5-4, $F150&lt;=U$5, COUNTIF($M150:T150,"u")=0), "u", "")</f>
        <v/>
      </c>
      <c r="V150" s="80" t="str">
        <f>IF(AND($F150&lt;&gt;"", $F150&gt;=V$5-4, $F150&lt;=V$5, COUNTIF($M150:U150,"u")=0), "u", "")</f>
        <v/>
      </c>
      <c r="W150" s="80" t="str">
        <f>IF(AND($F150&lt;&gt;"", $F150&gt;=W$5-4, $F150&lt;=W$5, COUNTIF($M150:V150,"u")=0), "u", "")</f>
        <v/>
      </c>
      <c r="X150" s="80" t="str">
        <f>IF(AND($F150&lt;&gt;"", $F150&gt;=X$5-4, $F150&lt;=X$5, COUNTIF($M150:W150,"u")=0), "u", "")</f>
        <v/>
      </c>
      <c r="Y150" s="80" t="str">
        <f>IF(AND($F150&lt;&gt;"", $F150&gt;=Y$5-4, $F150&lt;=Y$5, COUNTIF($M150:X150,"u")=0), "u", "")</f>
        <v/>
      </c>
      <c r="Z150" s="80" t="str">
        <f>IF(AND($F150&lt;&gt;"", $F150&gt;=Z$5-4, $F150&lt;=Z$5, COUNTIF($M150:Y150,"u")=0), "u", "")</f>
        <v/>
      </c>
      <c r="AA150" s="80" t="str">
        <f>IF(AND($F150&lt;&gt;"", $F150&gt;=AA$5-4, $F150&lt;=AA$5, COUNTIF($M150:Z150,"u")=0), "u", "")</f>
        <v/>
      </c>
      <c r="AB150" s="80" t="str">
        <f>IF(AND($F150&lt;&gt;"", $F150&gt;=AB$5-4, $F150&lt;=AB$5, COUNTIF($M150:AA150,"u")=0), "u", "")</f>
        <v/>
      </c>
      <c r="AC150" s="80" t="str">
        <f>IF(AND($F150&lt;&gt;"", $F150&gt;=AC$5-4, $F150&lt;=AC$5, COUNTIF($M150:AB150,"u")=0), "u", "")</f>
        <v/>
      </c>
      <c r="AD150" s="80" t="str">
        <f>IF(AND($F150&lt;&gt;"", $F150&gt;=AD$5-4, $F150&lt;=AD$5, COUNTIF($M150:AC150,"u")=0), "u", "")</f>
        <v/>
      </c>
      <c r="AE150" s="80" t="str">
        <f>IF(AND($F150&lt;&gt;"", $F150&gt;=AE$5-4, $F150&lt;=AE$5, COUNTIF($M150:AD150,"u")=0), "u", "")</f>
        <v/>
      </c>
      <c r="AF150" s="80" t="str">
        <f>IF(AND($F150&lt;&gt;"", $F150&gt;=AF$5-4, $F150&lt;=AF$5, COUNTIF($M150:AE150,"u")=0), "u", "")</f>
        <v/>
      </c>
      <c r="AG150" s="80" t="str">
        <f>IF(AND($F150&lt;&gt;"", $F150&gt;=AG$5-4, $F150&lt;=AG$5, COUNTIF($M150:AF150,"u")=0), "u", "")</f>
        <v/>
      </c>
      <c r="AH150" s="80" t="str">
        <f>IF(AND($F150&lt;&gt;"", $F150&gt;=AH$5-4, $F150&lt;=AH$5, COUNTIF($M150:AG150,"u")=0), "u", "")</f>
        <v/>
      </c>
      <c r="AI150" s="80" t="str">
        <f>IF(AND($F150&lt;&gt;"", $F150&gt;=AI$5-4, $F150&lt;=AI$5, COUNTIF($M150:AH150,"u")=0), "u", "")</f>
        <v/>
      </c>
      <c r="AJ150" s="80" t="str">
        <f>IF(AND($F150&lt;&gt;"", $F150&gt;=AJ$5-4, $F150&lt;=AJ$5, COUNTIF($M150:AI150,"u")=0), "u", "")</f>
        <v/>
      </c>
      <c r="AK150" s="80" t="str">
        <f>IF(AND($F150&lt;&gt;"", $F150&gt;=AK$5-4, $F150&lt;=AK$5, COUNTIF($M150:AJ150,"u")=0), "u", "")</f>
        <v/>
      </c>
      <c r="AL150" s="80" t="str">
        <f>IF(AND($F150&lt;&gt;"", $F150&gt;=AL$5-4, $F150&lt;=AL$5, COUNTIF($M150:AK150,"u")=0), "u", "")</f>
        <v/>
      </c>
      <c r="AM150" s="80" t="str">
        <f>IF(AND($F150&lt;&gt;"", $F150&gt;=AM$5-4, $F150&lt;=AM$5, COUNTIF($M150:AL150,"u")=0), "u", "")</f>
        <v/>
      </c>
      <c r="AN150" s="80" t="str">
        <f>IF(AND($F150&lt;&gt;"", $F150&gt;=AN$5-4, $F150&lt;=AN$5, COUNTIF($M150:AM150,"u")=0), "u", "")</f>
        <v/>
      </c>
      <c r="AO150" s="80" t="str">
        <f>IF(AND($F150&lt;&gt;"", $F150&gt;=AO$5-4, $F150&lt;=AO$5, COUNTIF($M150:AN150,"u")=0), "u", "")</f>
        <v/>
      </c>
      <c r="AP150" s="80" t="str">
        <f>IF(AND($F150&lt;&gt;"", $F150&gt;=AP$5-4, $F150&lt;=AP$5, COUNTIF($M150:AO150,"u")=0), "u", "")</f>
        <v/>
      </c>
      <c r="AQ150" s="80" t="str">
        <f>IF(AND($F150&lt;&gt;"", $F150&gt;=AQ$5-4, $F150&lt;=AQ$5, COUNTIF($M150:AP150,"u")=0), "u", "")</f>
        <v/>
      </c>
      <c r="AR150" s="80" t="str">
        <f>IF(AND($F150&lt;&gt;"", $F150&gt;=AR$5-4, $F150&lt;=AR$5, COUNTIF($M150:AQ150,"u")=0), "u", "")</f>
        <v/>
      </c>
      <c r="AS150" s="80" t="str">
        <f>IF(AND($F150&lt;&gt;"", $F150&gt;=AS$5-4, $F150&lt;=AS$5, COUNTIF($M150:AR150,"u")=0), "u", "")</f>
        <v/>
      </c>
      <c r="AT150" s="80" t="str">
        <f>IF(AND($F150&lt;&gt;"", $F150&gt;=AT$5-4, $F150&lt;=AT$5, COUNTIF($M150:AS150,"u")=0), "u", "")</f>
        <v/>
      </c>
      <c r="AU150" s="80" t="str">
        <f>IF(AND($F150&lt;&gt;"", $F150&gt;=AU$5-4, $F150&lt;=AU$5, COUNTIF($M150:AT150,"u")=0), "u", "")</f>
        <v/>
      </c>
      <c r="AV150" s="80" t="str">
        <f>IF(AND($F150&lt;&gt;"", $F150&gt;=AV$5-4, $F150&lt;=AV$5, COUNTIF($M150:AU150,"u")=0), "u", "")</f>
        <v/>
      </c>
      <c r="AW150" s="80" t="str">
        <f>IF(AND($F150&lt;&gt;"", $F150&gt;=AW$5-4, $F150&lt;=AW$5, COUNTIF($M150:AV150,"u")=0), "u", "")</f>
        <v/>
      </c>
      <c r="AX150" s="80" t="str">
        <f>IF(AND($F150&lt;&gt;"", $F150&gt;=AX$5-4, $F150&lt;=AX$5, COUNTIF($M150:AW150,"u")=0), "u", "")</f>
        <v/>
      </c>
      <c r="AY150" s="80" t="str">
        <f>IF(AND($F150&lt;&gt;"", $F150&gt;=AY$5-4, $F150&lt;=AY$5, COUNTIF($M150:AX150,"u")=0), "u", "")</f>
        <v/>
      </c>
      <c r="AZ150" s="80" t="str">
        <f>IF(AND($F150&lt;&gt;"", $F150&gt;=AZ$5-4, $F150&lt;=AZ$5, COUNTIF($M150:AY150,"u")=0), "u", "")</f>
        <v/>
      </c>
      <c r="BA150" s="80" t="str">
        <f>IF(AND($F150&lt;&gt;"", $F150&gt;=BA$5-4, $F150&lt;=BA$5, COUNTIF($M150:AZ150,"u")=0), "u", "")</f>
        <v/>
      </c>
      <c r="BB150" s="80" t="str">
        <f>IF(AND($F150&lt;&gt;"", $F150&gt;=BB$5-4, $F150&lt;=BB$5, COUNTIF($M150:BA150,"u")=0), "u", "")</f>
        <v/>
      </c>
      <c r="BC150" s="80" t="str">
        <f>IF(AND($F150&lt;&gt;"", $F150&gt;=BC$5-4, $F150&lt;=BC$5, COUNTIF($M150:BB150,"u")=0), "u", "")</f>
        <v/>
      </c>
      <c r="BD150" s="80" t="str">
        <f>IF(AND($F150&lt;&gt;"", $F150&gt;=BD$5-4, $F150&lt;=BD$5, COUNTIF($M150:BC150,"u")=0), "u", "")</f>
        <v/>
      </c>
      <c r="BE150" s="80" t="str">
        <f>IF(AND($F150&lt;&gt;"", $F150&gt;=BE$5-4, $F150&lt;=BE$5, COUNTIF($M150:BD150,"u")=0), "u", "")</f>
        <v/>
      </c>
      <c r="BF150" s="80" t="str">
        <f>IF(AND($F150&lt;&gt;"", $F150&gt;=BF$5-4, $F150&lt;=BF$5, COUNTIF($M150:BE150,"u")=0), "u", "")</f>
        <v/>
      </c>
      <c r="BG150" s="80" t="str">
        <f>IF(AND($F150&lt;&gt;"", $F150&gt;=BG$5-4, $F150&lt;=BG$5, COUNTIF($M150:BF150,"u")=0), "u", "")</f>
        <v/>
      </c>
      <c r="BH150" s="80" t="str">
        <f>IF(AND($F150&lt;&gt;"", $F150&gt;=BH$5-4, $F150&lt;=BH$5, COUNTIF($M150:BG150,"u")=0), "u", "")</f>
        <v/>
      </c>
      <c r="BI150" s="80" t="str">
        <f>IF(AND($F150&lt;&gt;"", $F150&gt;=BI$5-4, $F150&lt;=BI$5, COUNTIF($M150:BH150,"u")=0), "u", "")</f>
        <v/>
      </c>
      <c r="BJ150" s="80" t="str">
        <f>IF(AND($F150&lt;&gt;"", $F150&gt;=BJ$5-4, $F150&lt;=BJ$5, COUNTIF($M150:BI150,"u")=0), "u", "")</f>
        <v/>
      </c>
      <c r="BK150" s="80" t="str">
        <f>IF(AND($F150&lt;&gt;"", $F150&gt;=BK$5-4, $F150&lt;=BK$5, COUNTIF($M150:BJ150,"u")=0), "u", "")</f>
        <v/>
      </c>
      <c r="BL150" s="80" t="str">
        <f>IF(AND($F150&lt;&gt;"", $F150&gt;=BL$5-4, $F150&lt;=BL$5, COUNTIF($M150:BK150,"u")=0), "u", "")</f>
        <v/>
      </c>
      <c r="BM150" s="80" t="str">
        <f>IF(AND($F150&lt;&gt;"", $F150&gt;=BM$5-4, $F150&lt;=BM$5, COUNTIF($M150:BL150,"u")=0), "u", "")</f>
        <v/>
      </c>
      <c r="BN150" s="80" t="str">
        <f>IF(AND($F150&lt;&gt;"", $F150&gt;=BN$5-4, $F150&lt;=BN$5, COUNTIF($M150:BM150,"u")=0), "u", "")</f>
        <v/>
      </c>
      <c r="BO150" s="80" t="str">
        <f>IF(AND($F150&lt;&gt;"", $F150&gt;=BO$5-4, $F150&lt;=BO$5, COUNTIF($M150:BN150,"u")=0), "u", "")</f>
        <v/>
      </c>
      <c r="BP150" s="80" t="str">
        <f>IF(AND($F150&lt;&gt;"", $F150&gt;=BP$5-4, $F150&lt;=BP$5, COUNTIF($M150:BO150,"u")=0), "u", "")</f>
        <v/>
      </c>
      <c r="BQ150" s="80" t="str">
        <f>IF(AND($F150&lt;&gt;"", $F150&gt;=BQ$5-4, $F150&lt;=BQ$5, COUNTIF($M150:BP150,"u")=0), "u", "")</f>
        <v/>
      </c>
      <c r="BR150" s="80" t="str">
        <f>IF(AND($F150&lt;&gt;"", $F150&gt;=BR$5-4, $F150&lt;=BR$5, COUNTIF($M150:BQ150,"u")=0), "u", "")</f>
        <v/>
      </c>
      <c r="BS150" s="80" t="str">
        <f>IF(AND($F150&lt;&gt;"", $F150&gt;=BS$5-4, $F150&lt;=BS$5, COUNTIF($M150:BR150,"u")=0), "u", "")</f>
        <v/>
      </c>
      <c r="BT150" s="80" t="str">
        <f>IF(AND($F150&lt;&gt;"", $F150&gt;=BT$5-4, $F150&lt;=BT$5, COUNTIF($M150:BS150,"u")=0), "u", "")</f>
        <v/>
      </c>
      <c r="BU150" s="80" t="str">
        <f>IF(AND($F150&lt;&gt;"", $F150&gt;=BU$5-4, $F150&lt;=BU$5, COUNTIF($M150:BT150,"u")=0), "u", "")</f>
        <v/>
      </c>
      <c r="BV150" s="80" t="str">
        <f>IF(AND($F150&lt;&gt;"", $F150&gt;=BV$5-4, $F150&lt;=BV$5, COUNTIF($M150:BU150,"u")=0), "u", "")</f>
        <v/>
      </c>
      <c r="BW150" s="80" t="str">
        <f>IF(AND($F150&lt;&gt;"", $F150&gt;=BW$5-4, $F150&lt;=BW$5, COUNTIF($M150:BV150,"u")=0), "u", "")</f>
        <v/>
      </c>
      <c r="BX150" s="80" t="str">
        <f>IF(AND($F150&lt;&gt;"", $F150&gt;=BX$5-4, $F150&lt;=BX$5, COUNTIF($M150:BW150,"u")=0), "u", "")</f>
        <v/>
      </c>
      <c r="BY150" s="80" t="str">
        <f>IF(AND($F150&lt;&gt;"", $F150&gt;=BY$5-4, $F150&lt;=BY$5, COUNTIF($M150:BX150,"u")=0), "u", "")</f>
        <v/>
      </c>
      <c r="BZ150" s="80" t="str">
        <f>IF(AND($F150&lt;&gt;"", $F150&gt;=BZ$5-4, $F150&lt;=BZ$5, COUNTIF($M150:BY150,"u")=0), "u", "")</f>
        <v/>
      </c>
      <c r="CA150" s="80" t="str">
        <f>IF(AND($F150&lt;&gt;"", $F150&gt;=CA$5-4, $F150&lt;=CA$5, COUNTIF($M150:BZ150,"u")=0), "u", "")</f>
        <v/>
      </c>
      <c r="CB150" s="80" t="str">
        <f>IF(AND($F150&lt;&gt;"", $F150&gt;=CB$5-4, $F150&lt;=CB$5, COUNTIF($M150:CA150,"u")=0), "u", "")</f>
        <v/>
      </c>
      <c r="CC150" s="80" t="str">
        <f>IF(AND($F150&lt;&gt;"", $F150&gt;=CC$5-4, $F150&lt;=CC$5, COUNTIF($M150:CB150,"u")=0), "u", "")</f>
        <v/>
      </c>
      <c r="CD150" s="80" t="str">
        <f>IF(AND($F150&lt;&gt;"", $F150&gt;=CD$5-4, $F150&lt;=CD$5, COUNTIF($M150:CC150,"u")=0), "u", "")</f>
        <v/>
      </c>
      <c r="CE150" s="80" t="str">
        <f>IF(AND($F150&lt;&gt;"", $F150&gt;=CE$5-4, $F150&lt;=CE$5, COUNTIF($M150:CD150,"u")=0), "u", "")</f>
        <v/>
      </c>
      <c r="CF150" s="80" t="str">
        <f>IF(AND($F150&lt;&gt;"", $F150&gt;=CF$5-4, $F150&lt;=CF$5, COUNTIF($M150:CE150,"u")=0), "u", "")</f>
        <v/>
      </c>
      <c r="CG150" s="80" t="str">
        <f>IF(AND($F150&lt;&gt;"", $F150&gt;=CG$5-4, $F150&lt;=CG$5, COUNTIF($M150:CF150,"u")=0), "u", "")</f>
        <v/>
      </c>
      <c r="CH150" s="80" t="str">
        <f>IF(AND($F150&lt;&gt;"", $F150&gt;=CH$5-4, $F150&lt;=CH$5, COUNTIF($M150:CG150,"u")=0), "u", "")</f>
        <v/>
      </c>
      <c r="CI150" s="80" t="str">
        <f>IF(AND($F150&lt;&gt;"", $F150&gt;=CI$5-4, $F150&lt;=CI$5, COUNTIF($M150:CH150,"u")=0), "u", "")</f>
        <v/>
      </c>
      <c r="CJ150" s="80" t="str">
        <f>IF(AND($F150&lt;&gt;"", $F150&gt;=CJ$5-4, $F150&lt;=CJ$5, COUNTIF($M150:CI150,"u")=0), "u", "")</f>
        <v/>
      </c>
      <c r="CK150" s="80" t="str">
        <f>IF(AND($F150&lt;&gt;"", $F150&gt;=CK$5-4, $F150&lt;=CK$5, COUNTIF($M150:CJ150,"u")=0), "u", "")</f>
        <v/>
      </c>
      <c r="CL150" s="80" t="str">
        <f>IF(AND($F150&lt;&gt;"", $F150&gt;=CL$5-4, $F150&lt;=CL$5, COUNTIF($M150:CK150,"u")=0), "u", "")</f>
        <v/>
      </c>
      <c r="CM150" s="80" t="str">
        <f>IF(AND($F150&lt;&gt;"", $F150&gt;=CM$5-4, $F150&lt;=CM$5, COUNTIF($M150:CL150,"u")=0), "u", "")</f>
        <v/>
      </c>
      <c r="CN150" s="80" t="str">
        <f>IF(AND($F150&lt;&gt;"", $F150&gt;=CN$5-4, $F150&lt;=CN$5, COUNTIF($M150:CM150,"u")=0), "u", "")</f>
        <v/>
      </c>
      <c r="CO150" s="80" t="str">
        <f>IF(AND($F150&lt;&gt;"", $F150&gt;=CO$5-4, $F150&lt;=CO$5, COUNTIF($M150:CN150,"u")=0), "u", "")</f>
        <v/>
      </c>
      <c r="CP150" s="80" t="str">
        <f>IF(AND($F150&lt;&gt;"", $F150&gt;=CP$5-4, $F150&lt;=CP$5, COUNTIF($M150:CO150,"u")=0), "u", "")</f>
        <v/>
      </c>
      <c r="CQ150" s="80" t="str">
        <f>IF(AND($F150&lt;&gt;"", $F150&gt;=CQ$5-4, $F150&lt;=CQ$5, COUNTIF($M150:CP150,"u")=0), "u", "")</f>
        <v/>
      </c>
      <c r="CR150" s="80" t="str">
        <f>IF(AND($F150&lt;&gt;"", $F150&gt;=CR$5-4, $F150&lt;=CR$5, COUNTIF($M150:CQ150,"u")=0), "u", "")</f>
        <v/>
      </c>
      <c r="CS150" s="80" t="str">
        <f>IF(AND($F150&lt;&gt;"", $F150&gt;=CS$5-4, $F150&lt;=CS$5, COUNTIF($M150:CR150,"u")=0), "u", "")</f>
        <v/>
      </c>
      <c r="CT150" s="80" t="str">
        <f>IF(AND($F150&lt;&gt;"", $F150&gt;=CT$5-4, $F150&lt;=CT$5, COUNTIF($M150:CS150,"u")=0), "u", "")</f>
        <v/>
      </c>
      <c r="CU150" s="80" t="str">
        <f>IF(AND($F150&lt;&gt;"", $F150&gt;=CU$5-4, $F150&lt;=CU$5, COUNTIF($M150:CT150,"u")=0), "u", "")</f>
        <v/>
      </c>
      <c r="CV150" s="80" t="str">
        <f>IF(AND($F150&lt;&gt;"", $F150&gt;=CV$5-4, $F150&lt;=CV$5, COUNTIF($M150:CU150,"u")=0), "u", "")</f>
        <v/>
      </c>
      <c r="CW150" s="80" t="str">
        <f>IF(AND($F150&lt;&gt;"", $F150&gt;=CW$5-4, $F150&lt;=CW$5, COUNTIF($M150:CV150,"u")=0), "u", "")</f>
        <v/>
      </c>
      <c r="CX150" s="80" t="str">
        <f>IF(AND($F150&lt;&gt;"", $F150&gt;=CX$5-4, $F150&lt;=CX$5, COUNTIF($M150:CW150,"u")=0), "u", "")</f>
        <v/>
      </c>
      <c r="CY150" s="80" t="str">
        <f>IF(AND($F150&lt;&gt;"", $F150&gt;=CY$5-4, $F150&lt;=CY$5, COUNTIF($M150:CX150,"u")=0), "u", "")</f>
        <v/>
      </c>
      <c r="CZ150" s="80" t="str">
        <f>IF(AND($F150&lt;&gt;"", $F150&gt;=CZ$5-4, $F150&lt;=CZ$5, COUNTIF($M150:CY150,"u")=0), "u", "")</f>
        <v/>
      </c>
      <c r="DA150" s="80" t="str">
        <f>IF(AND($F150&lt;&gt;"", $F150&gt;=DA$5-4, $F150&lt;=DA$5, COUNTIF($M150:CZ150,"u")=0), "u", "")</f>
        <v/>
      </c>
      <c r="DB150" s="80" t="str">
        <f>IF(AND($F150&lt;&gt;"", $F150&gt;=DB$5-4, $F150&lt;=DB$5, COUNTIF($M150:DA150,"u")=0), "u", "")</f>
        <v/>
      </c>
      <c r="DC150" s="80" t="str">
        <f>IF(AND($F150&lt;&gt;"", $F150&gt;=DC$5-4, $F150&lt;=DC$5, COUNTIF($M150:DB150,"u")=0), "u", "")</f>
        <v/>
      </c>
      <c r="DD150" s="80" t="str">
        <f>IF(AND($F150&lt;&gt;"", $F150&gt;=DD$5-4, $F150&lt;=DD$5, COUNTIF($M150:DC150,"u")=0), "u", "")</f>
        <v/>
      </c>
      <c r="DE150" s="80" t="str">
        <f>IF(AND($F150&lt;&gt;"", $F150&gt;=DE$5-4, $F150&lt;=DE$5, COUNTIF($M150:DD150,"u")=0), "u", "")</f>
        <v/>
      </c>
      <c r="DF150" s="80" t="str">
        <f>IF(AND($F150&lt;&gt;"", $F150&gt;=DF$5-4, $F150&lt;=DF$5, COUNTIF($M150:DE150,"u")=0), "u", "")</f>
        <v/>
      </c>
      <c r="DG150" s="80" t="str">
        <f>IF(AND($F150&lt;&gt;"", $F150&gt;=DG$5-4, $F150&lt;=DG$5, COUNTIF($M150:DF150,"u")=0), "u", "")</f>
        <v/>
      </c>
      <c r="DH150" s="80" t="str">
        <f>IF(AND($F150&lt;&gt;"", $F150&gt;=DH$5-4, $F150&lt;=DH$5, COUNTIF($M150:DG150,"u")=0), "u", "")</f>
        <v/>
      </c>
      <c r="DI150" s="80" t="str">
        <f>IF(AND($F150&lt;&gt;"", $F150&gt;=DI$5-4, $F150&lt;=DI$5, COUNTIF($M150:DH150,"u")=0), "u", "")</f>
        <v/>
      </c>
      <c r="DJ150" s="80" t="str">
        <f>IF(AND($F150&lt;&gt;"", $F150&gt;=DJ$5-4, $F150&lt;=DJ$5, COUNTIF($M150:DI150,"u")=0), "u", "")</f>
        <v/>
      </c>
      <c r="DK150" s="80" t="str">
        <f>IF(AND($F150&lt;&gt;"", $F150&gt;=DK$5-4, $F150&lt;=DK$5, COUNTIF($M150:DJ150,"u")=0), "u", "")</f>
        <v/>
      </c>
      <c r="DL150" s="80" t="str">
        <f>IF(AND($F150&lt;&gt;"", $F150&gt;=DL$5-4, $F150&lt;=DL$5, COUNTIF($M150:DK150,"u")=0), "u", "")</f>
        <v/>
      </c>
    </row>
    <row r="151" spans="1:116" ht="25.05" customHeight="1" x14ac:dyDescent="0.3">
      <c r="A151" s="39"/>
      <c r="B151" s="75">
        <v>146</v>
      </c>
      <c r="C151" s="97"/>
      <c r="D151" s="92"/>
      <c r="E151" s="53"/>
      <c r="F151" s="53"/>
      <c r="G151" s="83" t="str">
        <f t="shared" si="53"/>
        <v/>
      </c>
      <c r="H151" s="83" t="str">
        <f t="shared" si="53"/>
        <v/>
      </c>
      <c r="I151" s="77" t="str">
        <f t="shared" si="51"/>
        <v/>
      </c>
      <c r="J151" s="78"/>
      <c r="K151" s="86"/>
      <c r="L151" s="56"/>
      <c r="M151" s="80" t="str">
        <f t="shared" si="52"/>
        <v/>
      </c>
      <c r="N151" s="80" t="str">
        <f>IF(AND($F151&lt;&gt;"", $F151&gt;=N$5-4, $F151&lt;=N$5, COUNTIF($M151:M151,"u")=0), "u", "")</f>
        <v/>
      </c>
      <c r="O151" s="80" t="str">
        <f>IF(AND($F151&lt;&gt;"", $F151&gt;=O$5-4, $F151&lt;=O$5, COUNTIF($M151:N151,"u")=0), "u", "")</f>
        <v/>
      </c>
      <c r="P151" s="80" t="str">
        <f>IF(AND($F151&lt;&gt;"", $F151&gt;=P$5-4, $F151&lt;=P$5, COUNTIF($M151:O151,"u")=0), "u", "")</f>
        <v/>
      </c>
      <c r="Q151" s="80" t="str">
        <f>IF(AND($F151&lt;&gt;"", $F151&gt;=Q$5-4, $F151&lt;=Q$5, COUNTIF($M151:P151,"u")=0), "u", "")</f>
        <v/>
      </c>
      <c r="R151" s="80" t="str">
        <f>IF(AND($F151&lt;&gt;"", $F151&gt;=R$5-4, $F151&lt;=R$5, COUNTIF($M151:Q151,"u")=0), "u", "")</f>
        <v/>
      </c>
      <c r="S151" s="80" t="str">
        <f>IF(AND($F151&lt;&gt;"", $F151&gt;=S$5-4, $F151&lt;=S$5, COUNTIF($M151:R151,"u")=0), "u", "")</f>
        <v/>
      </c>
      <c r="T151" s="80" t="str">
        <f>IF(AND($F151&lt;&gt;"", $F151&gt;=T$5-4, $F151&lt;=T$5, COUNTIF($M151:S151,"u")=0), "u", "")</f>
        <v/>
      </c>
      <c r="U151" s="80" t="str">
        <f>IF(AND($F151&lt;&gt;"", $F151&gt;=U$5-4, $F151&lt;=U$5, COUNTIF($M151:T151,"u")=0), "u", "")</f>
        <v/>
      </c>
      <c r="V151" s="80" t="str">
        <f>IF(AND($F151&lt;&gt;"", $F151&gt;=V$5-4, $F151&lt;=V$5, COUNTIF($M151:U151,"u")=0), "u", "")</f>
        <v/>
      </c>
      <c r="W151" s="80" t="str">
        <f>IF(AND($F151&lt;&gt;"", $F151&gt;=W$5-4, $F151&lt;=W$5, COUNTIF($M151:V151,"u")=0), "u", "")</f>
        <v/>
      </c>
      <c r="X151" s="80" t="str">
        <f>IF(AND($F151&lt;&gt;"", $F151&gt;=X$5-4, $F151&lt;=X$5, COUNTIF($M151:W151,"u")=0), "u", "")</f>
        <v/>
      </c>
      <c r="Y151" s="80" t="str">
        <f>IF(AND($F151&lt;&gt;"", $F151&gt;=Y$5-4, $F151&lt;=Y$5, COUNTIF($M151:X151,"u")=0), "u", "")</f>
        <v/>
      </c>
      <c r="Z151" s="80" t="str">
        <f>IF(AND($F151&lt;&gt;"", $F151&gt;=Z$5-4, $F151&lt;=Z$5, COUNTIF($M151:Y151,"u")=0), "u", "")</f>
        <v/>
      </c>
      <c r="AA151" s="80" t="str">
        <f>IF(AND($F151&lt;&gt;"", $F151&gt;=AA$5-4, $F151&lt;=AA$5, COUNTIF($M151:Z151,"u")=0), "u", "")</f>
        <v/>
      </c>
      <c r="AB151" s="80" t="str">
        <f>IF(AND($F151&lt;&gt;"", $F151&gt;=AB$5-4, $F151&lt;=AB$5, COUNTIF($M151:AA151,"u")=0), "u", "")</f>
        <v/>
      </c>
      <c r="AC151" s="80" t="str">
        <f>IF(AND($F151&lt;&gt;"", $F151&gt;=AC$5-4, $F151&lt;=AC$5, COUNTIF($M151:AB151,"u")=0), "u", "")</f>
        <v/>
      </c>
      <c r="AD151" s="80" t="str">
        <f>IF(AND($F151&lt;&gt;"", $F151&gt;=AD$5-4, $F151&lt;=AD$5, COUNTIF($M151:AC151,"u")=0), "u", "")</f>
        <v/>
      </c>
      <c r="AE151" s="80" t="str">
        <f>IF(AND($F151&lt;&gt;"", $F151&gt;=AE$5-4, $F151&lt;=AE$5, COUNTIF($M151:AD151,"u")=0), "u", "")</f>
        <v/>
      </c>
      <c r="AF151" s="80" t="str">
        <f>IF(AND($F151&lt;&gt;"", $F151&gt;=AF$5-4, $F151&lt;=AF$5, COUNTIF($M151:AE151,"u")=0), "u", "")</f>
        <v/>
      </c>
      <c r="AG151" s="80" t="str">
        <f>IF(AND($F151&lt;&gt;"", $F151&gt;=AG$5-4, $F151&lt;=AG$5, COUNTIF($M151:AF151,"u")=0), "u", "")</f>
        <v/>
      </c>
      <c r="AH151" s="80" t="str">
        <f>IF(AND($F151&lt;&gt;"", $F151&gt;=AH$5-4, $F151&lt;=AH$5, COUNTIF($M151:AG151,"u")=0), "u", "")</f>
        <v/>
      </c>
      <c r="AI151" s="80" t="str">
        <f>IF(AND($F151&lt;&gt;"", $F151&gt;=AI$5-4, $F151&lt;=AI$5, COUNTIF($M151:AH151,"u")=0), "u", "")</f>
        <v/>
      </c>
      <c r="AJ151" s="80" t="str">
        <f>IF(AND($F151&lt;&gt;"", $F151&gt;=AJ$5-4, $F151&lt;=AJ$5, COUNTIF($M151:AI151,"u")=0), "u", "")</f>
        <v/>
      </c>
      <c r="AK151" s="80" t="str">
        <f>IF(AND($F151&lt;&gt;"", $F151&gt;=AK$5-4, $F151&lt;=AK$5, COUNTIF($M151:AJ151,"u")=0), "u", "")</f>
        <v/>
      </c>
      <c r="AL151" s="80" t="str">
        <f>IF(AND($F151&lt;&gt;"", $F151&gt;=AL$5-4, $F151&lt;=AL$5, COUNTIF($M151:AK151,"u")=0), "u", "")</f>
        <v/>
      </c>
      <c r="AM151" s="80" t="str">
        <f>IF(AND($F151&lt;&gt;"", $F151&gt;=AM$5-4, $F151&lt;=AM$5, COUNTIF($M151:AL151,"u")=0), "u", "")</f>
        <v/>
      </c>
      <c r="AN151" s="80" t="str">
        <f>IF(AND($F151&lt;&gt;"", $F151&gt;=AN$5-4, $F151&lt;=AN$5, COUNTIF($M151:AM151,"u")=0), "u", "")</f>
        <v/>
      </c>
      <c r="AO151" s="80" t="str">
        <f>IF(AND($F151&lt;&gt;"", $F151&gt;=AO$5-4, $F151&lt;=AO$5, COUNTIF($M151:AN151,"u")=0), "u", "")</f>
        <v/>
      </c>
      <c r="AP151" s="80" t="str">
        <f>IF(AND($F151&lt;&gt;"", $F151&gt;=AP$5-4, $F151&lt;=AP$5, COUNTIF($M151:AO151,"u")=0), "u", "")</f>
        <v/>
      </c>
      <c r="AQ151" s="80" t="str">
        <f>IF(AND($F151&lt;&gt;"", $F151&gt;=AQ$5-4, $F151&lt;=AQ$5, COUNTIF($M151:AP151,"u")=0), "u", "")</f>
        <v/>
      </c>
      <c r="AR151" s="80" t="str">
        <f>IF(AND($F151&lt;&gt;"", $F151&gt;=AR$5-4, $F151&lt;=AR$5, COUNTIF($M151:AQ151,"u")=0), "u", "")</f>
        <v/>
      </c>
      <c r="AS151" s="80" t="str">
        <f>IF(AND($F151&lt;&gt;"", $F151&gt;=AS$5-4, $F151&lt;=AS$5, COUNTIF($M151:AR151,"u")=0), "u", "")</f>
        <v/>
      </c>
      <c r="AT151" s="80" t="str">
        <f>IF(AND($F151&lt;&gt;"", $F151&gt;=AT$5-4, $F151&lt;=AT$5, COUNTIF($M151:AS151,"u")=0), "u", "")</f>
        <v/>
      </c>
      <c r="AU151" s="80" t="str">
        <f>IF(AND($F151&lt;&gt;"", $F151&gt;=AU$5-4, $F151&lt;=AU$5, COUNTIF($M151:AT151,"u")=0), "u", "")</f>
        <v/>
      </c>
      <c r="AV151" s="80" t="str">
        <f>IF(AND($F151&lt;&gt;"", $F151&gt;=AV$5-4, $F151&lt;=AV$5, COUNTIF($M151:AU151,"u")=0), "u", "")</f>
        <v/>
      </c>
      <c r="AW151" s="80" t="str">
        <f>IF(AND($F151&lt;&gt;"", $F151&gt;=AW$5-4, $F151&lt;=AW$5, COUNTIF($M151:AV151,"u")=0), "u", "")</f>
        <v/>
      </c>
      <c r="AX151" s="80" t="str">
        <f>IF(AND($F151&lt;&gt;"", $F151&gt;=AX$5-4, $F151&lt;=AX$5, COUNTIF($M151:AW151,"u")=0), "u", "")</f>
        <v/>
      </c>
      <c r="AY151" s="80" t="str">
        <f>IF(AND($F151&lt;&gt;"", $F151&gt;=AY$5-4, $F151&lt;=AY$5, COUNTIF($M151:AX151,"u")=0), "u", "")</f>
        <v/>
      </c>
      <c r="AZ151" s="80" t="str">
        <f>IF(AND($F151&lt;&gt;"", $F151&gt;=AZ$5-4, $F151&lt;=AZ$5, COUNTIF($M151:AY151,"u")=0), "u", "")</f>
        <v/>
      </c>
      <c r="BA151" s="80" t="str">
        <f>IF(AND($F151&lt;&gt;"", $F151&gt;=BA$5-4, $F151&lt;=BA$5, COUNTIF($M151:AZ151,"u")=0), "u", "")</f>
        <v/>
      </c>
      <c r="BB151" s="80" t="str">
        <f>IF(AND($F151&lt;&gt;"", $F151&gt;=BB$5-4, $F151&lt;=BB$5, COUNTIF($M151:BA151,"u")=0), "u", "")</f>
        <v/>
      </c>
      <c r="BC151" s="80" t="str">
        <f>IF(AND($F151&lt;&gt;"", $F151&gt;=BC$5-4, $F151&lt;=BC$5, COUNTIF($M151:BB151,"u")=0), "u", "")</f>
        <v/>
      </c>
      <c r="BD151" s="80" t="str">
        <f>IF(AND($F151&lt;&gt;"", $F151&gt;=BD$5-4, $F151&lt;=BD$5, COUNTIF($M151:BC151,"u")=0), "u", "")</f>
        <v/>
      </c>
      <c r="BE151" s="80" t="str">
        <f>IF(AND($F151&lt;&gt;"", $F151&gt;=BE$5-4, $F151&lt;=BE$5, COUNTIF($M151:BD151,"u")=0), "u", "")</f>
        <v/>
      </c>
      <c r="BF151" s="80" t="str">
        <f>IF(AND($F151&lt;&gt;"", $F151&gt;=BF$5-4, $F151&lt;=BF$5, COUNTIF($M151:BE151,"u")=0), "u", "")</f>
        <v/>
      </c>
      <c r="BG151" s="80" t="str">
        <f>IF(AND($F151&lt;&gt;"", $F151&gt;=BG$5-4, $F151&lt;=BG$5, COUNTIF($M151:BF151,"u")=0), "u", "")</f>
        <v/>
      </c>
      <c r="BH151" s="80" t="str">
        <f>IF(AND($F151&lt;&gt;"", $F151&gt;=BH$5-4, $F151&lt;=BH$5, COUNTIF($M151:BG151,"u")=0), "u", "")</f>
        <v/>
      </c>
      <c r="BI151" s="80" t="str">
        <f>IF(AND($F151&lt;&gt;"", $F151&gt;=BI$5-4, $F151&lt;=BI$5, COUNTIF($M151:BH151,"u")=0), "u", "")</f>
        <v/>
      </c>
      <c r="BJ151" s="80" t="str">
        <f>IF(AND($F151&lt;&gt;"", $F151&gt;=BJ$5-4, $F151&lt;=BJ$5, COUNTIF($M151:BI151,"u")=0), "u", "")</f>
        <v/>
      </c>
      <c r="BK151" s="80" t="str">
        <f>IF(AND($F151&lt;&gt;"", $F151&gt;=BK$5-4, $F151&lt;=BK$5, COUNTIF($M151:BJ151,"u")=0), "u", "")</f>
        <v/>
      </c>
      <c r="BL151" s="80" t="str">
        <f>IF(AND($F151&lt;&gt;"", $F151&gt;=BL$5-4, $F151&lt;=BL$5, COUNTIF($M151:BK151,"u")=0), "u", "")</f>
        <v/>
      </c>
      <c r="BM151" s="80" t="str">
        <f>IF(AND($F151&lt;&gt;"", $F151&gt;=BM$5-4, $F151&lt;=BM$5, COUNTIF($M151:BL151,"u")=0), "u", "")</f>
        <v/>
      </c>
      <c r="BN151" s="80" t="str">
        <f>IF(AND($F151&lt;&gt;"", $F151&gt;=BN$5-4, $F151&lt;=BN$5, COUNTIF($M151:BM151,"u")=0), "u", "")</f>
        <v/>
      </c>
      <c r="BO151" s="80" t="str">
        <f>IF(AND($F151&lt;&gt;"", $F151&gt;=BO$5-4, $F151&lt;=BO$5, COUNTIF($M151:BN151,"u")=0), "u", "")</f>
        <v/>
      </c>
      <c r="BP151" s="80" t="str">
        <f>IF(AND($F151&lt;&gt;"", $F151&gt;=BP$5-4, $F151&lt;=BP$5, COUNTIF($M151:BO151,"u")=0), "u", "")</f>
        <v/>
      </c>
      <c r="BQ151" s="80" t="str">
        <f>IF(AND($F151&lt;&gt;"", $F151&gt;=BQ$5-4, $F151&lt;=BQ$5, COUNTIF($M151:BP151,"u")=0), "u", "")</f>
        <v/>
      </c>
      <c r="BR151" s="80" t="str">
        <f>IF(AND($F151&lt;&gt;"", $F151&gt;=BR$5-4, $F151&lt;=BR$5, COUNTIF($M151:BQ151,"u")=0), "u", "")</f>
        <v/>
      </c>
      <c r="BS151" s="80" t="str">
        <f>IF(AND($F151&lt;&gt;"", $F151&gt;=BS$5-4, $F151&lt;=BS$5, COUNTIF($M151:BR151,"u")=0), "u", "")</f>
        <v/>
      </c>
      <c r="BT151" s="80" t="str">
        <f>IF(AND($F151&lt;&gt;"", $F151&gt;=BT$5-4, $F151&lt;=BT$5, COUNTIF($M151:BS151,"u")=0), "u", "")</f>
        <v/>
      </c>
      <c r="BU151" s="80" t="str">
        <f>IF(AND($F151&lt;&gt;"", $F151&gt;=BU$5-4, $F151&lt;=BU$5, COUNTIF($M151:BT151,"u")=0), "u", "")</f>
        <v/>
      </c>
      <c r="BV151" s="80" t="str">
        <f>IF(AND($F151&lt;&gt;"", $F151&gt;=BV$5-4, $F151&lt;=BV$5, COUNTIF($M151:BU151,"u")=0), "u", "")</f>
        <v/>
      </c>
      <c r="BW151" s="80" t="str">
        <f>IF(AND($F151&lt;&gt;"", $F151&gt;=BW$5-4, $F151&lt;=BW$5, COUNTIF($M151:BV151,"u")=0), "u", "")</f>
        <v/>
      </c>
      <c r="BX151" s="80" t="str">
        <f>IF(AND($F151&lt;&gt;"", $F151&gt;=BX$5-4, $F151&lt;=BX$5, COUNTIF($M151:BW151,"u")=0), "u", "")</f>
        <v/>
      </c>
      <c r="BY151" s="80" t="str">
        <f>IF(AND($F151&lt;&gt;"", $F151&gt;=BY$5-4, $F151&lt;=BY$5, COUNTIF($M151:BX151,"u")=0), "u", "")</f>
        <v/>
      </c>
      <c r="BZ151" s="80" t="str">
        <f>IF(AND($F151&lt;&gt;"", $F151&gt;=BZ$5-4, $F151&lt;=BZ$5, COUNTIF($M151:BY151,"u")=0), "u", "")</f>
        <v/>
      </c>
      <c r="CA151" s="80" t="str">
        <f>IF(AND($F151&lt;&gt;"", $F151&gt;=CA$5-4, $F151&lt;=CA$5, COUNTIF($M151:BZ151,"u")=0), "u", "")</f>
        <v/>
      </c>
      <c r="CB151" s="80" t="str">
        <f>IF(AND($F151&lt;&gt;"", $F151&gt;=CB$5-4, $F151&lt;=CB$5, COUNTIF($M151:CA151,"u")=0), "u", "")</f>
        <v/>
      </c>
      <c r="CC151" s="80" t="str">
        <f>IF(AND($F151&lt;&gt;"", $F151&gt;=CC$5-4, $F151&lt;=CC$5, COUNTIF($M151:CB151,"u")=0), "u", "")</f>
        <v/>
      </c>
      <c r="CD151" s="80" t="str">
        <f>IF(AND($F151&lt;&gt;"", $F151&gt;=CD$5-4, $F151&lt;=CD$5, COUNTIF($M151:CC151,"u")=0), "u", "")</f>
        <v/>
      </c>
      <c r="CE151" s="80" t="str">
        <f>IF(AND($F151&lt;&gt;"", $F151&gt;=CE$5-4, $F151&lt;=CE$5, COUNTIF($M151:CD151,"u")=0), "u", "")</f>
        <v/>
      </c>
      <c r="CF151" s="80" t="str">
        <f>IF(AND($F151&lt;&gt;"", $F151&gt;=CF$5-4, $F151&lt;=CF$5, COUNTIF($M151:CE151,"u")=0), "u", "")</f>
        <v/>
      </c>
      <c r="CG151" s="80" t="str">
        <f>IF(AND($F151&lt;&gt;"", $F151&gt;=CG$5-4, $F151&lt;=CG$5, COUNTIF($M151:CF151,"u")=0), "u", "")</f>
        <v/>
      </c>
      <c r="CH151" s="80" t="str">
        <f>IF(AND($F151&lt;&gt;"", $F151&gt;=CH$5-4, $F151&lt;=CH$5, COUNTIF($M151:CG151,"u")=0), "u", "")</f>
        <v/>
      </c>
      <c r="CI151" s="80" t="str">
        <f>IF(AND($F151&lt;&gt;"", $F151&gt;=CI$5-4, $F151&lt;=CI$5, COUNTIF($M151:CH151,"u")=0), "u", "")</f>
        <v/>
      </c>
      <c r="CJ151" s="80" t="str">
        <f>IF(AND($F151&lt;&gt;"", $F151&gt;=CJ$5-4, $F151&lt;=CJ$5, COUNTIF($M151:CI151,"u")=0), "u", "")</f>
        <v/>
      </c>
      <c r="CK151" s="80" t="str">
        <f>IF(AND($F151&lt;&gt;"", $F151&gt;=CK$5-4, $F151&lt;=CK$5, COUNTIF($M151:CJ151,"u")=0), "u", "")</f>
        <v/>
      </c>
      <c r="CL151" s="80" t="str">
        <f>IF(AND($F151&lt;&gt;"", $F151&gt;=CL$5-4, $F151&lt;=CL$5, COUNTIF($M151:CK151,"u")=0), "u", "")</f>
        <v/>
      </c>
      <c r="CM151" s="80" t="str">
        <f>IF(AND($F151&lt;&gt;"", $F151&gt;=CM$5-4, $F151&lt;=CM$5, COUNTIF($M151:CL151,"u")=0), "u", "")</f>
        <v/>
      </c>
      <c r="CN151" s="80" t="str">
        <f>IF(AND($F151&lt;&gt;"", $F151&gt;=CN$5-4, $F151&lt;=CN$5, COUNTIF($M151:CM151,"u")=0), "u", "")</f>
        <v/>
      </c>
      <c r="CO151" s="80" t="str">
        <f>IF(AND($F151&lt;&gt;"", $F151&gt;=CO$5-4, $F151&lt;=CO$5, COUNTIF($M151:CN151,"u")=0), "u", "")</f>
        <v/>
      </c>
      <c r="CP151" s="80" t="str">
        <f>IF(AND($F151&lt;&gt;"", $F151&gt;=CP$5-4, $F151&lt;=CP$5, COUNTIF($M151:CO151,"u")=0), "u", "")</f>
        <v/>
      </c>
      <c r="CQ151" s="80" t="str">
        <f>IF(AND($F151&lt;&gt;"", $F151&gt;=CQ$5-4, $F151&lt;=CQ$5, COUNTIF($M151:CP151,"u")=0), "u", "")</f>
        <v/>
      </c>
      <c r="CR151" s="80" t="str">
        <f>IF(AND($F151&lt;&gt;"", $F151&gt;=CR$5-4, $F151&lt;=CR$5, COUNTIF($M151:CQ151,"u")=0), "u", "")</f>
        <v/>
      </c>
      <c r="CS151" s="80" t="str">
        <f>IF(AND($F151&lt;&gt;"", $F151&gt;=CS$5-4, $F151&lt;=CS$5, COUNTIF($M151:CR151,"u")=0), "u", "")</f>
        <v/>
      </c>
      <c r="CT151" s="80" t="str">
        <f>IF(AND($F151&lt;&gt;"", $F151&gt;=CT$5-4, $F151&lt;=CT$5, COUNTIF($M151:CS151,"u")=0), "u", "")</f>
        <v/>
      </c>
      <c r="CU151" s="80" t="str">
        <f>IF(AND($F151&lt;&gt;"", $F151&gt;=CU$5-4, $F151&lt;=CU$5, COUNTIF($M151:CT151,"u")=0), "u", "")</f>
        <v/>
      </c>
      <c r="CV151" s="80" t="str">
        <f>IF(AND($F151&lt;&gt;"", $F151&gt;=CV$5-4, $F151&lt;=CV$5, COUNTIF($M151:CU151,"u")=0), "u", "")</f>
        <v/>
      </c>
      <c r="CW151" s="80" t="str">
        <f>IF(AND($F151&lt;&gt;"", $F151&gt;=CW$5-4, $F151&lt;=CW$5, COUNTIF($M151:CV151,"u")=0), "u", "")</f>
        <v/>
      </c>
      <c r="CX151" s="80" t="str">
        <f>IF(AND($F151&lt;&gt;"", $F151&gt;=CX$5-4, $F151&lt;=CX$5, COUNTIF($M151:CW151,"u")=0), "u", "")</f>
        <v/>
      </c>
      <c r="CY151" s="80" t="str">
        <f>IF(AND($F151&lt;&gt;"", $F151&gt;=CY$5-4, $F151&lt;=CY$5, COUNTIF($M151:CX151,"u")=0), "u", "")</f>
        <v/>
      </c>
      <c r="CZ151" s="80" t="str">
        <f>IF(AND($F151&lt;&gt;"", $F151&gt;=CZ$5-4, $F151&lt;=CZ$5, COUNTIF($M151:CY151,"u")=0), "u", "")</f>
        <v/>
      </c>
      <c r="DA151" s="80" t="str">
        <f>IF(AND($F151&lt;&gt;"", $F151&gt;=DA$5-4, $F151&lt;=DA$5, COUNTIF($M151:CZ151,"u")=0), "u", "")</f>
        <v/>
      </c>
      <c r="DB151" s="80" t="str">
        <f>IF(AND($F151&lt;&gt;"", $F151&gt;=DB$5-4, $F151&lt;=DB$5, COUNTIF($M151:DA151,"u")=0), "u", "")</f>
        <v/>
      </c>
      <c r="DC151" s="80" t="str">
        <f>IF(AND($F151&lt;&gt;"", $F151&gt;=DC$5-4, $F151&lt;=DC$5, COUNTIF($M151:DB151,"u")=0), "u", "")</f>
        <v/>
      </c>
      <c r="DD151" s="80" t="str">
        <f>IF(AND($F151&lt;&gt;"", $F151&gt;=DD$5-4, $F151&lt;=DD$5, COUNTIF($M151:DC151,"u")=0), "u", "")</f>
        <v/>
      </c>
      <c r="DE151" s="80" t="str">
        <f>IF(AND($F151&lt;&gt;"", $F151&gt;=DE$5-4, $F151&lt;=DE$5, COUNTIF($M151:DD151,"u")=0), "u", "")</f>
        <v/>
      </c>
      <c r="DF151" s="80" t="str">
        <f>IF(AND($F151&lt;&gt;"", $F151&gt;=DF$5-4, $F151&lt;=DF$5, COUNTIF($M151:DE151,"u")=0), "u", "")</f>
        <v/>
      </c>
      <c r="DG151" s="80" t="str">
        <f>IF(AND($F151&lt;&gt;"", $F151&gt;=DG$5-4, $F151&lt;=DG$5, COUNTIF($M151:DF151,"u")=0), "u", "")</f>
        <v/>
      </c>
      <c r="DH151" s="80" t="str">
        <f>IF(AND($F151&lt;&gt;"", $F151&gt;=DH$5-4, $F151&lt;=DH$5, COUNTIF($M151:DG151,"u")=0), "u", "")</f>
        <v/>
      </c>
      <c r="DI151" s="80" t="str">
        <f>IF(AND($F151&lt;&gt;"", $F151&gt;=DI$5-4, $F151&lt;=DI$5, COUNTIF($M151:DH151,"u")=0), "u", "")</f>
        <v/>
      </c>
      <c r="DJ151" s="80" t="str">
        <f>IF(AND($F151&lt;&gt;"", $F151&gt;=DJ$5-4, $F151&lt;=DJ$5, COUNTIF($M151:DI151,"u")=0), "u", "")</f>
        <v/>
      </c>
      <c r="DK151" s="80" t="str">
        <f>IF(AND($F151&lt;&gt;"", $F151&gt;=DK$5-4, $F151&lt;=DK$5, COUNTIF($M151:DJ151,"u")=0), "u", "")</f>
        <v/>
      </c>
      <c r="DL151" s="80" t="str">
        <f>IF(AND($F151&lt;&gt;"", $F151&gt;=DL$5-4, $F151&lt;=DL$5, COUNTIF($M151:DK151,"u")=0), "u", "")</f>
        <v/>
      </c>
    </row>
    <row r="152" spans="1:116" ht="25.05" customHeight="1" x14ac:dyDescent="0.3">
      <c r="A152" s="39"/>
      <c r="B152" s="75">
        <v>147</v>
      </c>
      <c r="C152" s="97"/>
      <c r="D152" s="92"/>
      <c r="E152" s="53"/>
      <c r="F152" s="53"/>
      <c r="G152" s="83" t="str">
        <f t="shared" si="53"/>
        <v/>
      </c>
      <c r="H152" s="83" t="str">
        <f t="shared" si="53"/>
        <v/>
      </c>
      <c r="I152" s="77" t="str">
        <f t="shared" si="51"/>
        <v/>
      </c>
      <c r="J152" s="78"/>
      <c r="K152" s="86"/>
      <c r="L152" s="56"/>
      <c r="M152" s="80" t="str">
        <f t="shared" si="52"/>
        <v/>
      </c>
      <c r="N152" s="80" t="str">
        <f>IF(AND($F152&lt;&gt;"", $F152&gt;=N$5-4, $F152&lt;=N$5, COUNTIF($M152:M152,"u")=0), "u", "")</f>
        <v/>
      </c>
      <c r="O152" s="80" t="str">
        <f>IF(AND($F152&lt;&gt;"", $F152&gt;=O$5-4, $F152&lt;=O$5, COUNTIF($M152:N152,"u")=0), "u", "")</f>
        <v/>
      </c>
      <c r="P152" s="80" t="str">
        <f>IF(AND($F152&lt;&gt;"", $F152&gt;=P$5-4, $F152&lt;=P$5, COUNTIF($M152:O152,"u")=0), "u", "")</f>
        <v/>
      </c>
      <c r="Q152" s="80" t="str">
        <f>IF(AND($F152&lt;&gt;"", $F152&gt;=Q$5-4, $F152&lt;=Q$5, COUNTIF($M152:P152,"u")=0), "u", "")</f>
        <v/>
      </c>
      <c r="R152" s="80" t="str">
        <f>IF(AND($F152&lt;&gt;"", $F152&gt;=R$5-4, $F152&lt;=R$5, COUNTIF($M152:Q152,"u")=0), "u", "")</f>
        <v/>
      </c>
      <c r="S152" s="80" t="str">
        <f>IF(AND($F152&lt;&gt;"", $F152&gt;=S$5-4, $F152&lt;=S$5, COUNTIF($M152:R152,"u")=0), "u", "")</f>
        <v/>
      </c>
      <c r="T152" s="80" t="str">
        <f>IF(AND($F152&lt;&gt;"", $F152&gt;=T$5-4, $F152&lt;=T$5, COUNTIF($M152:S152,"u")=0), "u", "")</f>
        <v/>
      </c>
      <c r="U152" s="80" t="str">
        <f>IF(AND($F152&lt;&gt;"", $F152&gt;=U$5-4, $F152&lt;=U$5, COUNTIF($M152:T152,"u")=0), "u", "")</f>
        <v/>
      </c>
      <c r="V152" s="80" t="str">
        <f>IF(AND($F152&lt;&gt;"", $F152&gt;=V$5-4, $F152&lt;=V$5, COUNTIF($M152:U152,"u")=0), "u", "")</f>
        <v/>
      </c>
      <c r="W152" s="80" t="str">
        <f>IF(AND($F152&lt;&gt;"", $F152&gt;=W$5-4, $F152&lt;=W$5, COUNTIF($M152:V152,"u")=0), "u", "")</f>
        <v/>
      </c>
      <c r="X152" s="80" t="str">
        <f>IF(AND($F152&lt;&gt;"", $F152&gt;=X$5-4, $F152&lt;=X$5, COUNTIF($M152:W152,"u")=0), "u", "")</f>
        <v/>
      </c>
      <c r="Y152" s="80" t="str">
        <f>IF(AND($F152&lt;&gt;"", $F152&gt;=Y$5-4, $F152&lt;=Y$5, COUNTIF($M152:X152,"u")=0), "u", "")</f>
        <v/>
      </c>
      <c r="Z152" s="80" t="str">
        <f>IF(AND($F152&lt;&gt;"", $F152&gt;=Z$5-4, $F152&lt;=Z$5, COUNTIF($M152:Y152,"u")=0), "u", "")</f>
        <v/>
      </c>
      <c r="AA152" s="80" t="str">
        <f>IF(AND($F152&lt;&gt;"", $F152&gt;=AA$5-4, $F152&lt;=AA$5, COUNTIF($M152:Z152,"u")=0), "u", "")</f>
        <v/>
      </c>
      <c r="AB152" s="80" t="str">
        <f>IF(AND($F152&lt;&gt;"", $F152&gt;=AB$5-4, $F152&lt;=AB$5, COUNTIF($M152:AA152,"u")=0), "u", "")</f>
        <v/>
      </c>
      <c r="AC152" s="80" t="str">
        <f>IF(AND($F152&lt;&gt;"", $F152&gt;=AC$5-4, $F152&lt;=AC$5, COUNTIF($M152:AB152,"u")=0), "u", "")</f>
        <v/>
      </c>
      <c r="AD152" s="80" t="str">
        <f>IF(AND($F152&lt;&gt;"", $F152&gt;=AD$5-4, $F152&lt;=AD$5, COUNTIF($M152:AC152,"u")=0), "u", "")</f>
        <v/>
      </c>
      <c r="AE152" s="80" t="str">
        <f>IF(AND($F152&lt;&gt;"", $F152&gt;=AE$5-4, $F152&lt;=AE$5, COUNTIF($M152:AD152,"u")=0), "u", "")</f>
        <v/>
      </c>
      <c r="AF152" s="80" t="str">
        <f>IF(AND($F152&lt;&gt;"", $F152&gt;=AF$5-4, $F152&lt;=AF$5, COUNTIF($M152:AE152,"u")=0), "u", "")</f>
        <v/>
      </c>
      <c r="AG152" s="80" t="str">
        <f>IF(AND($F152&lt;&gt;"", $F152&gt;=AG$5-4, $F152&lt;=AG$5, COUNTIF($M152:AF152,"u")=0), "u", "")</f>
        <v/>
      </c>
      <c r="AH152" s="80" t="str">
        <f>IF(AND($F152&lt;&gt;"", $F152&gt;=AH$5-4, $F152&lt;=AH$5, COUNTIF($M152:AG152,"u")=0), "u", "")</f>
        <v/>
      </c>
      <c r="AI152" s="80" t="str">
        <f>IF(AND($F152&lt;&gt;"", $F152&gt;=AI$5-4, $F152&lt;=AI$5, COUNTIF($M152:AH152,"u")=0), "u", "")</f>
        <v/>
      </c>
      <c r="AJ152" s="80" t="str">
        <f>IF(AND($F152&lt;&gt;"", $F152&gt;=AJ$5-4, $F152&lt;=AJ$5, COUNTIF($M152:AI152,"u")=0), "u", "")</f>
        <v/>
      </c>
      <c r="AK152" s="80" t="str">
        <f>IF(AND($F152&lt;&gt;"", $F152&gt;=AK$5-4, $F152&lt;=AK$5, COUNTIF($M152:AJ152,"u")=0), "u", "")</f>
        <v/>
      </c>
      <c r="AL152" s="80" t="str">
        <f>IF(AND($F152&lt;&gt;"", $F152&gt;=AL$5-4, $F152&lt;=AL$5, COUNTIF($M152:AK152,"u")=0), "u", "")</f>
        <v/>
      </c>
      <c r="AM152" s="80" t="str">
        <f>IF(AND($F152&lt;&gt;"", $F152&gt;=AM$5-4, $F152&lt;=AM$5, COUNTIF($M152:AL152,"u")=0), "u", "")</f>
        <v/>
      </c>
      <c r="AN152" s="80" t="str">
        <f>IF(AND($F152&lt;&gt;"", $F152&gt;=AN$5-4, $F152&lt;=AN$5, COUNTIF($M152:AM152,"u")=0), "u", "")</f>
        <v/>
      </c>
      <c r="AO152" s="80" t="str">
        <f>IF(AND($F152&lt;&gt;"", $F152&gt;=AO$5-4, $F152&lt;=AO$5, COUNTIF($M152:AN152,"u")=0), "u", "")</f>
        <v/>
      </c>
      <c r="AP152" s="80" t="str">
        <f>IF(AND($F152&lt;&gt;"", $F152&gt;=AP$5-4, $F152&lt;=AP$5, COUNTIF($M152:AO152,"u")=0), "u", "")</f>
        <v/>
      </c>
      <c r="AQ152" s="80" t="str">
        <f>IF(AND($F152&lt;&gt;"", $F152&gt;=AQ$5-4, $F152&lt;=AQ$5, COUNTIF($M152:AP152,"u")=0), "u", "")</f>
        <v/>
      </c>
      <c r="AR152" s="80" t="str">
        <f>IF(AND($F152&lt;&gt;"", $F152&gt;=AR$5-4, $F152&lt;=AR$5, COUNTIF($M152:AQ152,"u")=0), "u", "")</f>
        <v/>
      </c>
      <c r="AS152" s="80" t="str">
        <f>IF(AND($F152&lt;&gt;"", $F152&gt;=AS$5-4, $F152&lt;=AS$5, COUNTIF($M152:AR152,"u")=0), "u", "")</f>
        <v/>
      </c>
      <c r="AT152" s="80" t="str">
        <f>IF(AND($F152&lt;&gt;"", $F152&gt;=AT$5-4, $F152&lt;=AT$5, COUNTIF($M152:AS152,"u")=0), "u", "")</f>
        <v/>
      </c>
      <c r="AU152" s="80" t="str">
        <f>IF(AND($F152&lt;&gt;"", $F152&gt;=AU$5-4, $F152&lt;=AU$5, COUNTIF($M152:AT152,"u")=0), "u", "")</f>
        <v/>
      </c>
      <c r="AV152" s="80" t="str">
        <f>IF(AND($F152&lt;&gt;"", $F152&gt;=AV$5-4, $F152&lt;=AV$5, COUNTIF($M152:AU152,"u")=0), "u", "")</f>
        <v/>
      </c>
      <c r="AW152" s="80" t="str">
        <f>IF(AND($F152&lt;&gt;"", $F152&gt;=AW$5-4, $F152&lt;=AW$5, COUNTIF($M152:AV152,"u")=0), "u", "")</f>
        <v/>
      </c>
      <c r="AX152" s="80" t="str">
        <f>IF(AND($F152&lt;&gt;"", $F152&gt;=AX$5-4, $F152&lt;=AX$5, COUNTIF($M152:AW152,"u")=0), "u", "")</f>
        <v/>
      </c>
      <c r="AY152" s="80" t="str">
        <f>IF(AND($F152&lt;&gt;"", $F152&gt;=AY$5-4, $F152&lt;=AY$5, COUNTIF($M152:AX152,"u")=0), "u", "")</f>
        <v/>
      </c>
      <c r="AZ152" s="80" t="str">
        <f>IF(AND($F152&lt;&gt;"", $F152&gt;=AZ$5-4, $F152&lt;=AZ$5, COUNTIF($M152:AY152,"u")=0), "u", "")</f>
        <v/>
      </c>
      <c r="BA152" s="80" t="str">
        <f>IF(AND($F152&lt;&gt;"", $F152&gt;=BA$5-4, $F152&lt;=BA$5, COUNTIF($M152:AZ152,"u")=0), "u", "")</f>
        <v/>
      </c>
      <c r="BB152" s="80" t="str">
        <f>IF(AND($F152&lt;&gt;"", $F152&gt;=BB$5-4, $F152&lt;=BB$5, COUNTIF($M152:BA152,"u")=0), "u", "")</f>
        <v/>
      </c>
      <c r="BC152" s="80" t="str">
        <f>IF(AND($F152&lt;&gt;"", $F152&gt;=BC$5-4, $F152&lt;=BC$5, COUNTIF($M152:BB152,"u")=0), "u", "")</f>
        <v/>
      </c>
      <c r="BD152" s="80" t="str">
        <f>IF(AND($F152&lt;&gt;"", $F152&gt;=BD$5-4, $F152&lt;=BD$5, COUNTIF($M152:BC152,"u")=0), "u", "")</f>
        <v/>
      </c>
      <c r="BE152" s="80" t="str">
        <f>IF(AND($F152&lt;&gt;"", $F152&gt;=BE$5-4, $F152&lt;=BE$5, COUNTIF($M152:BD152,"u")=0), "u", "")</f>
        <v/>
      </c>
      <c r="BF152" s="80" t="str">
        <f>IF(AND($F152&lt;&gt;"", $F152&gt;=BF$5-4, $F152&lt;=BF$5, COUNTIF($M152:BE152,"u")=0), "u", "")</f>
        <v/>
      </c>
      <c r="BG152" s="80" t="str">
        <f>IF(AND($F152&lt;&gt;"", $F152&gt;=BG$5-4, $F152&lt;=BG$5, COUNTIF($M152:BF152,"u")=0), "u", "")</f>
        <v/>
      </c>
      <c r="BH152" s="80" t="str">
        <f>IF(AND($F152&lt;&gt;"", $F152&gt;=BH$5-4, $F152&lt;=BH$5, COUNTIF($M152:BG152,"u")=0), "u", "")</f>
        <v/>
      </c>
      <c r="BI152" s="80" t="str">
        <f>IF(AND($F152&lt;&gt;"", $F152&gt;=BI$5-4, $F152&lt;=BI$5, COUNTIF($M152:BH152,"u")=0), "u", "")</f>
        <v/>
      </c>
      <c r="BJ152" s="80" t="str">
        <f>IF(AND($F152&lt;&gt;"", $F152&gt;=BJ$5-4, $F152&lt;=BJ$5, COUNTIF($M152:BI152,"u")=0), "u", "")</f>
        <v/>
      </c>
      <c r="BK152" s="80" t="str">
        <f>IF(AND($F152&lt;&gt;"", $F152&gt;=BK$5-4, $F152&lt;=BK$5, COUNTIF($M152:BJ152,"u")=0), "u", "")</f>
        <v/>
      </c>
      <c r="BL152" s="80" t="str">
        <f>IF(AND($F152&lt;&gt;"", $F152&gt;=BL$5-4, $F152&lt;=BL$5, COUNTIF($M152:BK152,"u")=0), "u", "")</f>
        <v/>
      </c>
      <c r="BM152" s="80" t="str">
        <f>IF(AND($F152&lt;&gt;"", $F152&gt;=BM$5-4, $F152&lt;=BM$5, COUNTIF($M152:BL152,"u")=0), "u", "")</f>
        <v/>
      </c>
      <c r="BN152" s="80" t="str">
        <f>IF(AND($F152&lt;&gt;"", $F152&gt;=BN$5-4, $F152&lt;=BN$5, COUNTIF($M152:BM152,"u")=0), "u", "")</f>
        <v/>
      </c>
      <c r="BO152" s="80" t="str">
        <f>IF(AND($F152&lt;&gt;"", $F152&gt;=BO$5-4, $F152&lt;=BO$5, COUNTIF($M152:BN152,"u")=0), "u", "")</f>
        <v/>
      </c>
      <c r="BP152" s="80" t="str">
        <f>IF(AND($F152&lt;&gt;"", $F152&gt;=BP$5-4, $F152&lt;=BP$5, COUNTIF($M152:BO152,"u")=0), "u", "")</f>
        <v/>
      </c>
      <c r="BQ152" s="80" t="str">
        <f>IF(AND($F152&lt;&gt;"", $F152&gt;=BQ$5-4, $F152&lt;=BQ$5, COUNTIF($M152:BP152,"u")=0), "u", "")</f>
        <v/>
      </c>
      <c r="BR152" s="80" t="str">
        <f>IF(AND($F152&lt;&gt;"", $F152&gt;=BR$5-4, $F152&lt;=BR$5, COUNTIF($M152:BQ152,"u")=0), "u", "")</f>
        <v/>
      </c>
      <c r="BS152" s="80" t="str">
        <f>IF(AND($F152&lt;&gt;"", $F152&gt;=BS$5-4, $F152&lt;=BS$5, COUNTIF($M152:BR152,"u")=0), "u", "")</f>
        <v/>
      </c>
      <c r="BT152" s="80" t="str">
        <f>IF(AND($F152&lt;&gt;"", $F152&gt;=BT$5-4, $F152&lt;=BT$5, COUNTIF($M152:BS152,"u")=0), "u", "")</f>
        <v/>
      </c>
      <c r="BU152" s="80" t="str">
        <f>IF(AND($F152&lt;&gt;"", $F152&gt;=BU$5-4, $F152&lt;=BU$5, COUNTIF($M152:BT152,"u")=0), "u", "")</f>
        <v/>
      </c>
      <c r="BV152" s="80" t="str">
        <f>IF(AND($F152&lt;&gt;"", $F152&gt;=BV$5-4, $F152&lt;=BV$5, COUNTIF($M152:BU152,"u")=0), "u", "")</f>
        <v/>
      </c>
      <c r="BW152" s="80" t="str">
        <f>IF(AND($F152&lt;&gt;"", $F152&gt;=BW$5-4, $F152&lt;=BW$5, COUNTIF($M152:BV152,"u")=0), "u", "")</f>
        <v/>
      </c>
      <c r="BX152" s="80" t="str">
        <f>IF(AND($F152&lt;&gt;"", $F152&gt;=BX$5-4, $F152&lt;=BX$5, COUNTIF($M152:BW152,"u")=0), "u", "")</f>
        <v/>
      </c>
      <c r="BY152" s="80" t="str">
        <f>IF(AND($F152&lt;&gt;"", $F152&gt;=BY$5-4, $F152&lt;=BY$5, COUNTIF($M152:BX152,"u")=0), "u", "")</f>
        <v/>
      </c>
      <c r="BZ152" s="80" t="str">
        <f>IF(AND($F152&lt;&gt;"", $F152&gt;=BZ$5-4, $F152&lt;=BZ$5, COUNTIF($M152:BY152,"u")=0), "u", "")</f>
        <v/>
      </c>
      <c r="CA152" s="80" t="str">
        <f>IF(AND($F152&lt;&gt;"", $F152&gt;=CA$5-4, $F152&lt;=CA$5, COUNTIF($M152:BZ152,"u")=0), "u", "")</f>
        <v/>
      </c>
      <c r="CB152" s="80" t="str">
        <f>IF(AND($F152&lt;&gt;"", $F152&gt;=CB$5-4, $F152&lt;=CB$5, COUNTIF($M152:CA152,"u")=0), "u", "")</f>
        <v/>
      </c>
      <c r="CC152" s="80" t="str">
        <f>IF(AND($F152&lt;&gt;"", $F152&gt;=CC$5-4, $F152&lt;=CC$5, COUNTIF($M152:CB152,"u")=0), "u", "")</f>
        <v/>
      </c>
      <c r="CD152" s="80" t="str">
        <f>IF(AND($F152&lt;&gt;"", $F152&gt;=CD$5-4, $F152&lt;=CD$5, COUNTIF($M152:CC152,"u")=0), "u", "")</f>
        <v/>
      </c>
      <c r="CE152" s="80" t="str">
        <f>IF(AND($F152&lt;&gt;"", $F152&gt;=CE$5-4, $F152&lt;=CE$5, COUNTIF($M152:CD152,"u")=0), "u", "")</f>
        <v/>
      </c>
      <c r="CF152" s="80" t="str">
        <f>IF(AND($F152&lt;&gt;"", $F152&gt;=CF$5-4, $F152&lt;=CF$5, COUNTIF($M152:CE152,"u")=0), "u", "")</f>
        <v/>
      </c>
      <c r="CG152" s="80" t="str">
        <f>IF(AND($F152&lt;&gt;"", $F152&gt;=CG$5-4, $F152&lt;=CG$5, COUNTIF($M152:CF152,"u")=0), "u", "")</f>
        <v/>
      </c>
      <c r="CH152" s="80" t="str">
        <f>IF(AND($F152&lt;&gt;"", $F152&gt;=CH$5-4, $F152&lt;=CH$5, COUNTIF($M152:CG152,"u")=0), "u", "")</f>
        <v/>
      </c>
      <c r="CI152" s="80" t="str">
        <f>IF(AND($F152&lt;&gt;"", $F152&gt;=CI$5-4, $F152&lt;=CI$5, COUNTIF($M152:CH152,"u")=0), "u", "")</f>
        <v/>
      </c>
      <c r="CJ152" s="80" t="str">
        <f>IF(AND($F152&lt;&gt;"", $F152&gt;=CJ$5-4, $F152&lt;=CJ$5, COUNTIF($M152:CI152,"u")=0), "u", "")</f>
        <v/>
      </c>
      <c r="CK152" s="80" t="str">
        <f>IF(AND($F152&lt;&gt;"", $F152&gt;=CK$5-4, $F152&lt;=CK$5, COUNTIF($M152:CJ152,"u")=0), "u", "")</f>
        <v/>
      </c>
      <c r="CL152" s="80" t="str">
        <f>IF(AND($F152&lt;&gt;"", $F152&gt;=CL$5-4, $F152&lt;=CL$5, COUNTIF($M152:CK152,"u")=0), "u", "")</f>
        <v/>
      </c>
      <c r="CM152" s="80" t="str">
        <f>IF(AND($F152&lt;&gt;"", $F152&gt;=CM$5-4, $F152&lt;=CM$5, COUNTIF($M152:CL152,"u")=0), "u", "")</f>
        <v/>
      </c>
      <c r="CN152" s="80" t="str">
        <f>IF(AND($F152&lt;&gt;"", $F152&gt;=CN$5-4, $F152&lt;=CN$5, COUNTIF($M152:CM152,"u")=0), "u", "")</f>
        <v/>
      </c>
      <c r="CO152" s="80" t="str">
        <f>IF(AND($F152&lt;&gt;"", $F152&gt;=CO$5-4, $F152&lt;=CO$5, COUNTIF($M152:CN152,"u")=0), "u", "")</f>
        <v/>
      </c>
      <c r="CP152" s="80" t="str">
        <f>IF(AND($F152&lt;&gt;"", $F152&gt;=CP$5-4, $F152&lt;=CP$5, COUNTIF($M152:CO152,"u")=0), "u", "")</f>
        <v/>
      </c>
      <c r="CQ152" s="80" t="str">
        <f>IF(AND($F152&lt;&gt;"", $F152&gt;=CQ$5-4, $F152&lt;=CQ$5, COUNTIF($M152:CP152,"u")=0), "u", "")</f>
        <v/>
      </c>
      <c r="CR152" s="80" t="str">
        <f>IF(AND($F152&lt;&gt;"", $F152&gt;=CR$5-4, $F152&lt;=CR$5, COUNTIF($M152:CQ152,"u")=0), "u", "")</f>
        <v/>
      </c>
      <c r="CS152" s="80" t="str">
        <f>IF(AND($F152&lt;&gt;"", $F152&gt;=CS$5-4, $F152&lt;=CS$5, COUNTIF($M152:CR152,"u")=0), "u", "")</f>
        <v/>
      </c>
      <c r="CT152" s="80" t="str">
        <f>IF(AND($F152&lt;&gt;"", $F152&gt;=CT$5-4, $F152&lt;=CT$5, COUNTIF($M152:CS152,"u")=0), "u", "")</f>
        <v/>
      </c>
      <c r="CU152" s="80" t="str">
        <f>IF(AND($F152&lt;&gt;"", $F152&gt;=CU$5-4, $F152&lt;=CU$5, COUNTIF($M152:CT152,"u")=0), "u", "")</f>
        <v/>
      </c>
      <c r="CV152" s="80" t="str">
        <f>IF(AND($F152&lt;&gt;"", $F152&gt;=CV$5-4, $F152&lt;=CV$5, COUNTIF($M152:CU152,"u")=0), "u", "")</f>
        <v/>
      </c>
      <c r="CW152" s="80" t="str">
        <f>IF(AND($F152&lt;&gt;"", $F152&gt;=CW$5-4, $F152&lt;=CW$5, COUNTIF($M152:CV152,"u")=0), "u", "")</f>
        <v/>
      </c>
      <c r="CX152" s="80" t="str">
        <f>IF(AND($F152&lt;&gt;"", $F152&gt;=CX$5-4, $F152&lt;=CX$5, COUNTIF($M152:CW152,"u")=0), "u", "")</f>
        <v/>
      </c>
      <c r="CY152" s="80" t="str">
        <f>IF(AND($F152&lt;&gt;"", $F152&gt;=CY$5-4, $F152&lt;=CY$5, COUNTIF($M152:CX152,"u")=0), "u", "")</f>
        <v/>
      </c>
      <c r="CZ152" s="80" t="str">
        <f>IF(AND($F152&lt;&gt;"", $F152&gt;=CZ$5-4, $F152&lt;=CZ$5, COUNTIF($M152:CY152,"u")=0), "u", "")</f>
        <v/>
      </c>
      <c r="DA152" s="80" t="str">
        <f>IF(AND($F152&lt;&gt;"", $F152&gt;=DA$5-4, $F152&lt;=DA$5, COUNTIF($M152:CZ152,"u")=0), "u", "")</f>
        <v/>
      </c>
      <c r="DB152" s="80" t="str">
        <f>IF(AND($F152&lt;&gt;"", $F152&gt;=DB$5-4, $F152&lt;=DB$5, COUNTIF($M152:DA152,"u")=0), "u", "")</f>
        <v/>
      </c>
      <c r="DC152" s="80" t="str">
        <f>IF(AND($F152&lt;&gt;"", $F152&gt;=DC$5-4, $F152&lt;=DC$5, COUNTIF($M152:DB152,"u")=0), "u", "")</f>
        <v/>
      </c>
      <c r="DD152" s="80" t="str">
        <f>IF(AND($F152&lt;&gt;"", $F152&gt;=DD$5-4, $F152&lt;=DD$5, COUNTIF($M152:DC152,"u")=0), "u", "")</f>
        <v/>
      </c>
      <c r="DE152" s="80" t="str">
        <f>IF(AND($F152&lt;&gt;"", $F152&gt;=DE$5-4, $F152&lt;=DE$5, COUNTIF($M152:DD152,"u")=0), "u", "")</f>
        <v/>
      </c>
      <c r="DF152" s="80" t="str">
        <f>IF(AND($F152&lt;&gt;"", $F152&gt;=DF$5-4, $F152&lt;=DF$5, COUNTIF($M152:DE152,"u")=0), "u", "")</f>
        <v/>
      </c>
      <c r="DG152" s="80" t="str">
        <f>IF(AND($F152&lt;&gt;"", $F152&gt;=DG$5-4, $F152&lt;=DG$5, COUNTIF($M152:DF152,"u")=0), "u", "")</f>
        <v/>
      </c>
      <c r="DH152" s="80" t="str">
        <f>IF(AND($F152&lt;&gt;"", $F152&gt;=DH$5-4, $F152&lt;=DH$5, COUNTIF($M152:DG152,"u")=0), "u", "")</f>
        <v/>
      </c>
      <c r="DI152" s="80" t="str">
        <f>IF(AND($F152&lt;&gt;"", $F152&gt;=DI$5-4, $F152&lt;=DI$5, COUNTIF($M152:DH152,"u")=0), "u", "")</f>
        <v/>
      </c>
      <c r="DJ152" s="80" t="str">
        <f>IF(AND($F152&lt;&gt;"", $F152&gt;=DJ$5-4, $F152&lt;=DJ$5, COUNTIF($M152:DI152,"u")=0), "u", "")</f>
        <v/>
      </c>
      <c r="DK152" s="80" t="str">
        <f>IF(AND($F152&lt;&gt;"", $F152&gt;=DK$5-4, $F152&lt;=DK$5, COUNTIF($M152:DJ152,"u")=0), "u", "")</f>
        <v/>
      </c>
      <c r="DL152" s="80" t="str">
        <f>IF(AND($F152&lt;&gt;"", $F152&gt;=DL$5-4, $F152&lt;=DL$5, COUNTIF($M152:DK152,"u")=0), "u", "")</f>
        <v/>
      </c>
    </row>
    <row r="153" spans="1:116" ht="25.05" customHeight="1" x14ac:dyDescent="0.3">
      <c r="A153" s="39"/>
      <c r="B153" s="75">
        <v>148</v>
      </c>
      <c r="C153" s="97"/>
      <c r="D153" s="92"/>
      <c r="E153" s="53"/>
      <c r="F153" s="53"/>
      <c r="G153" s="83" t="str">
        <f t="shared" si="53"/>
        <v/>
      </c>
      <c r="H153" s="83" t="str">
        <f t="shared" si="53"/>
        <v/>
      </c>
      <c r="I153" s="77" t="str">
        <f t="shared" si="51"/>
        <v/>
      </c>
      <c r="J153" s="78"/>
      <c r="K153" s="86"/>
      <c r="L153" s="56"/>
      <c r="M153" s="80" t="str">
        <f t="shared" si="52"/>
        <v/>
      </c>
      <c r="N153" s="80" t="str">
        <f>IF(AND($F153&lt;&gt;"", $F153&gt;=N$5-4, $F153&lt;=N$5, COUNTIF($M153:M153,"u")=0), "u", "")</f>
        <v/>
      </c>
      <c r="O153" s="80" t="str">
        <f>IF(AND($F153&lt;&gt;"", $F153&gt;=O$5-4, $F153&lt;=O$5, COUNTIF($M153:N153,"u")=0), "u", "")</f>
        <v/>
      </c>
      <c r="P153" s="80" t="str">
        <f>IF(AND($F153&lt;&gt;"", $F153&gt;=P$5-4, $F153&lt;=P$5, COUNTIF($M153:O153,"u")=0), "u", "")</f>
        <v/>
      </c>
      <c r="Q153" s="80" t="str">
        <f>IF(AND($F153&lt;&gt;"", $F153&gt;=Q$5-4, $F153&lt;=Q$5, COUNTIF($M153:P153,"u")=0), "u", "")</f>
        <v/>
      </c>
      <c r="R153" s="80" t="str">
        <f>IF(AND($F153&lt;&gt;"", $F153&gt;=R$5-4, $F153&lt;=R$5, COUNTIF($M153:Q153,"u")=0), "u", "")</f>
        <v/>
      </c>
      <c r="S153" s="80" t="str">
        <f>IF(AND($F153&lt;&gt;"", $F153&gt;=S$5-4, $F153&lt;=S$5, COUNTIF($M153:R153,"u")=0), "u", "")</f>
        <v/>
      </c>
      <c r="T153" s="80" t="str">
        <f>IF(AND($F153&lt;&gt;"", $F153&gt;=T$5-4, $F153&lt;=T$5, COUNTIF($M153:S153,"u")=0), "u", "")</f>
        <v/>
      </c>
      <c r="U153" s="80" t="str">
        <f>IF(AND($F153&lt;&gt;"", $F153&gt;=U$5-4, $F153&lt;=U$5, COUNTIF($M153:T153,"u")=0), "u", "")</f>
        <v/>
      </c>
      <c r="V153" s="80" t="str">
        <f>IF(AND($F153&lt;&gt;"", $F153&gt;=V$5-4, $F153&lt;=V$5, COUNTIF($M153:U153,"u")=0), "u", "")</f>
        <v/>
      </c>
      <c r="W153" s="80" t="str">
        <f>IF(AND($F153&lt;&gt;"", $F153&gt;=W$5-4, $F153&lt;=W$5, COUNTIF($M153:V153,"u")=0), "u", "")</f>
        <v/>
      </c>
      <c r="X153" s="80" t="str">
        <f>IF(AND($F153&lt;&gt;"", $F153&gt;=X$5-4, $F153&lt;=X$5, COUNTIF($M153:W153,"u")=0), "u", "")</f>
        <v/>
      </c>
      <c r="Y153" s="80" t="str">
        <f>IF(AND($F153&lt;&gt;"", $F153&gt;=Y$5-4, $F153&lt;=Y$5, COUNTIF($M153:X153,"u")=0), "u", "")</f>
        <v/>
      </c>
      <c r="Z153" s="80" t="str">
        <f>IF(AND($F153&lt;&gt;"", $F153&gt;=Z$5-4, $F153&lt;=Z$5, COUNTIF($M153:Y153,"u")=0), "u", "")</f>
        <v/>
      </c>
      <c r="AA153" s="80" t="str">
        <f>IF(AND($F153&lt;&gt;"", $F153&gt;=AA$5-4, $F153&lt;=AA$5, COUNTIF($M153:Z153,"u")=0), "u", "")</f>
        <v/>
      </c>
      <c r="AB153" s="80" t="str">
        <f>IF(AND($F153&lt;&gt;"", $F153&gt;=AB$5-4, $F153&lt;=AB$5, COUNTIF($M153:AA153,"u")=0), "u", "")</f>
        <v/>
      </c>
      <c r="AC153" s="80" t="str">
        <f>IF(AND($F153&lt;&gt;"", $F153&gt;=AC$5-4, $F153&lt;=AC$5, COUNTIF($M153:AB153,"u")=0), "u", "")</f>
        <v/>
      </c>
      <c r="AD153" s="80" t="str">
        <f>IF(AND($F153&lt;&gt;"", $F153&gt;=AD$5-4, $F153&lt;=AD$5, COUNTIF($M153:AC153,"u")=0), "u", "")</f>
        <v/>
      </c>
      <c r="AE153" s="80" t="str">
        <f>IF(AND($F153&lt;&gt;"", $F153&gt;=AE$5-4, $F153&lt;=AE$5, COUNTIF($M153:AD153,"u")=0), "u", "")</f>
        <v/>
      </c>
      <c r="AF153" s="80" t="str">
        <f>IF(AND($F153&lt;&gt;"", $F153&gt;=AF$5-4, $F153&lt;=AF$5, COUNTIF($M153:AE153,"u")=0), "u", "")</f>
        <v/>
      </c>
      <c r="AG153" s="80" t="str">
        <f>IF(AND($F153&lt;&gt;"", $F153&gt;=AG$5-4, $F153&lt;=AG$5, COUNTIF($M153:AF153,"u")=0), "u", "")</f>
        <v/>
      </c>
      <c r="AH153" s="80" t="str">
        <f>IF(AND($F153&lt;&gt;"", $F153&gt;=AH$5-4, $F153&lt;=AH$5, COUNTIF($M153:AG153,"u")=0), "u", "")</f>
        <v/>
      </c>
      <c r="AI153" s="80" t="str">
        <f>IF(AND($F153&lt;&gt;"", $F153&gt;=AI$5-4, $F153&lt;=AI$5, COUNTIF($M153:AH153,"u")=0), "u", "")</f>
        <v/>
      </c>
      <c r="AJ153" s="80" t="str">
        <f>IF(AND($F153&lt;&gt;"", $F153&gt;=AJ$5-4, $F153&lt;=AJ$5, COUNTIF($M153:AI153,"u")=0), "u", "")</f>
        <v/>
      </c>
      <c r="AK153" s="80" t="str">
        <f>IF(AND($F153&lt;&gt;"", $F153&gt;=AK$5-4, $F153&lt;=AK$5, COUNTIF($M153:AJ153,"u")=0), "u", "")</f>
        <v/>
      </c>
      <c r="AL153" s="80" t="str">
        <f>IF(AND($F153&lt;&gt;"", $F153&gt;=AL$5-4, $F153&lt;=AL$5, COUNTIF($M153:AK153,"u")=0), "u", "")</f>
        <v/>
      </c>
      <c r="AM153" s="80" t="str">
        <f>IF(AND($F153&lt;&gt;"", $F153&gt;=AM$5-4, $F153&lt;=AM$5, COUNTIF($M153:AL153,"u")=0), "u", "")</f>
        <v/>
      </c>
      <c r="AN153" s="80" t="str">
        <f>IF(AND($F153&lt;&gt;"", $F153&gt;=AN$5-4, $F153&lt;=AN$5, COUNTIF($M153:AM153,"u")=0), "u", "")</f>
        <v/>
      </c>
      <c r="AO153" s="80" t="str">
        <f>IF(AND($F153&lt;&gt;"", $F153&gt;=AO$5-4, $F153&lt;=AO$5, COUNTIF($M153:AN153,"u")=0), "u", "")</f>
        <v/>
      </c>
      <c r="AP153" s="80" t="str">
        <f>IF(AND($F153&lt;&gt;"", $F153&gt;=AP$5-4, $F153&lt;=AP$5, COUNTIF($M153:AO153,"u")=0), "u", "")</f>
        <v/>
      </c>
      <c r="AQ153" s="80" t="str">
        <f>IF(AND($F153&lt;&gt;"", $F153&gt;=AQ$5-4, $F153&lt;=AQ$5, COUNTIF($M153:AP153,"u")=0), "u", "")</f>
        <v/>
      </c>
      <c r="AR153" s="80" t="str">
        <f>IF(AND($F153&lt;&gt;"", $F153&gt;=AR$5-4, $F153&lt;=AR$5, COUNTIF($M153:AQ153,"u")=0), "u", "")</f>
        <v/>
      </c>
      <c r="AS153" s="80" t="str">
        <f>IF(AND($F153&lt;&gt;"", $F153&gt;=AS$5-4, $F153&lt;=AS$5, COUNTIF($M153:AR153,"u")=0), "u", "")</f>
        <v/>
      </c>
      <c r="AT153" s="80" t="str">
        <f>IF(AND($F153&lt;&gt;"", $F153&gt;=AT$5-4, $F153&lt;=AT$5, COUNTIF($M153:AS153,"u")=0), "u", "")</f>
        <v/>
      </c>
      <c r="AU153" s="80" t="str">
        <f>IF(AND($F153&lt;&gt;"", $F153&gt;=AU$5-4, $F153&lt;=AU$5, COUNTIF($M153:AT153,"u")=0), "u", "")</f>
        <v/>
      </c>
      <c r="AV153" s="80" t="str">
        <f>IF(AND($F153&lt;&gt;"", $F153&gt;=AV$5-4, $F153&lt;=AV$5, COUNTIF($M153:AU153,"u")=0), "u", "")</f>
        <v/>
      </c>
      <c r="AW153" s="80" t="str">
        <f>IF(AND($F153&lt;&gt;"", $F153&gt;=AW$5-4, $F153&lt;=AW$5, COUNTIF($M153:AV153,"u")=0), "u", "")</f>
        <v/>
      </c>
      <c r="AX153" s="80" t="str">
        <f>IF(AND($F153&lt;&gt;"", $F153&gt;=AX$5-4, $F153&lt;=AX$5, COUNTIF($M153:AW153,"u")=0), "u", "")</f>
        <v/>
      </c>
      <c r="AY153" s="80" t="str">
        <f>IF(AND($F153&lt;&gt;"", $F153&gt;=AY$5-4, $F153&lt;=AY$5, COUNTIF($M153:AX153,"u")=0), "u", "")</f>
        <v/>
      </c>
      <c r="AZ153" s="80" t="str">
        <f>IF(AND($F153&lt;&gt;"", $F153&gt;=AZ$5-4, $F153&lt;=AZ$5, COUNTIF($M153:AY153,"u")=0), "u", "")</f>
        <v/>
      </c>
      <c r="BA153" s="80" t="str">
        <f>IF(AND($F153&lt;&gt;"", $F153&gt;=BA$5-4, $F153&lt;=BA$5, COUNTIF($M153:AZ153,"u")=0), "u", "")</f>
        <v/>
      </c>
      <c r="BB153" s="80" t="str">
        <f>IF(AND($F153&lt;&gt;"", $F153&gt;=BB$5-4, $F153&lt;=BB$5, COUNTIF($M153:BA153,"u")=0), "u", "")</f>
        <v/>
      </c>
      <c r="BC153" s="80" t="str">
        <f>IF(AND($F153&lt;&gt;"", $F153&gt;=BC$5-4, $F153&lt;=BC$5, COUNTIF($M153:BB153,"u")=0), "u", "")</f>
        <v/>
      </c>
      <c r="BD153" s="80" t="str">
        <f>IF(AND($F153&lt;&gt;"", $F153&gt;=BD$5-4, $F153&lt;=BD$5, COUNTIF($M153:BC153,"u")=0), "u", "")</f>
        <v/>
      </c>
      <c r="BE153" s="80" t="str">
        <f>IF(AND($F153&lt;&gt;"", $F153&gt;=BE$5-4, $F153&lt;=BE$5, COUNTIF($M153:BD153,"u")=0), "u", "")</f>
        <v/>
      </c>
      <c r="BF153" s="80" t="str">
        <f>IF(AND($F153&lt;&gt;"", $F153&gt;=BF$5-4, $F153&lt;=BF$5, COUNTIF($M153:BE153,"u")=0), "u", "")</f>
        <v/>
      </c>
      <c r="BG153" s="80" t="str">
        <f>IF(AND($F153&lt;&gt;"", $F153&gt;=BG$5-4, $F153&lt;=BG$5, COUNTIF($M153:BF153,"u")=0), "u", "")</f>
        <v/>
      </c>
      <c r="BH153" s="80" t="str">
        <f>IF(AND($F153&lt;&gt;"", $F153&gt;=BH$5-4, $F153&lt;=BH$5, COUNTIF($M153:BG153,"u")=0), "u", "")</f>
        <v/>
      </c>
      <c r="BI153" s="80" t="str">
        <f>IF(AND($F153&lt;&gt;"", $F153&gt;=BI$5-4, $F153&lt;=BI$5, COUNTIF($M153:BH153,"u")=0), "u", "")</f>
        <v/>
      </c>
      <c r="BJ153" s="80" t="str">
        <f>IF(AND($F153&lt;&gt;"", $F153&gt;=BJ$5-4, $F153&lt;=BJ$5, COUNTIF($M153:BI153,"u")=0), "u", "")</f>
        <v/>
      </c>
      <c r="BK153" s="80" t="str">
        <f>IF(AND($F153&lt;&gt;"", $F153&gt;=BK$5-4, $F153&lt;=BK$5, COUNTIF($M153:BJ153,"u")=0), "u", "")</f>
        <v/>
      </c>
      <c r="BL153" s="80" t="str">
        <f>IF(AND($F153&lt;&gt;"", $F153&gt;=BL$5-4, $F153&lt;=BL$5, COUNTIF($M153:BK153,"u")=0), "u", "")</f>
        <v/>
      </c>
      <c r="BM153" s="80" t="str">
        <f>IF(AND($F153&lt;&gt;"", $F153&gt;=BM$5-4, $F153&lt;=BM$5, COUNTIF($M153:BL153,"u")=0), "u", "")</f>
        <v/>
      </c>
      <c r="BN153" s="80" t="str">
        <f>IF(AND($F153&lt;&gt;"", $F153&gt;=BN$5-4, $F153&lt;=BN$5, COUNTIF($M153:BM153,"u")=0), "u", "")</f>
        <v/>
      </c>
      <c r="BO153" s="80" t="str">
        <f>IF(AND($F153&lt;&gt;"", $F153&gt;=BO$5-4, $F153&lt;=BO$5, COUNTIF($M153:BN153,"u")=0), "u", "")</f>
        <v/>
      </c>
      <c r="BP153" s="80" t="str">
        <f>IF(AND($F153&lt;&gt;"", $F153&gt;=BP$5-4, $F153&lt;=BP$5, COUNTIF($M153:BO153,"u")=0), "u", "")</f>
        <v/>
      </c>
      <c r="BQ153" s="80" t="str">
        <f>IF(AND($F153&lt;&gt;"", $F153&gt;=BQ$5-4, $F153&lt;=BQ$5, COUNTIF($M153:BP153,"u")=0), "u", "")</f>
        <v/>
      </c>
      <c r="BR153" s="80" t="str">
        <f>IF(AND($F153&lt;&gt;"", $F153&gt;=BR$5-4, $F153&lt;=BR$5, COUNTIF($M153:BQ153,"u")=0), "u", "")</f>
        <v/>
      </c>
      <c r="BS153" s="80" t="str">
        <f>IF(AND($F153&lt;&gt;"", $F153&gt;=BS$5-4, $F153&lt;=BS$5, COUNTIF($M153:BR153,"u")=0), "u", "")</f>
        <v/>
      </c>
      <c r="BT153" s="80" t="str">
        <f>IF(AND($F153&lt;&gt;"", $F153&gt;=BT$5-4, $F153&lt;=BT$5, COUNTIF($M153:BS153,"u")=0), "u", "")</f>
        <v/>
      </c>
      <c r="BU153" s="80" t="str">
        <f>IF(AND($F153&lt;&gt;"", $F153&gt;=BU$5-4, $F153&lt;=BU$5, COUNTIF($M153:BT153,"u")=0), "u", "")</f>
        <v/>
      </c>
      <c r="BV153" s="80" t="str">
        <f>IF(AND($F153&lt;&gt;"", $F153&gt;=BV$5-4, $F153&lt;=BV$5, COUNTIF($M153:BU153,"u")=0), "u", "")</f>
        <v/>
      </c>
      <c r="BW153" s="80" t="str">
        <f>IF(AND($F153&lt;&gt;"", $F153&gt;=BW$5-4, $F153&lt;=BW$5, COUNTIF($M153:BV153,"u")=0), "u", "")</f>
        <v/>
      </c>
      <c r="BX153" s="80" t="str">
        <f>IF(AND($F153&lt;&gt;"", $F153&gt;=BX$5-4, $F153&lt;=BX$5, COUNTIF($M153:BW153,"u")=0), "u", "")</f>
        <v/>
      </c>
      <c r="BY153" s="80" t="str">
        <f>IF(AND($F153&lt;&gt;"", $F153&gt;=BY$5-4, $F153&lt;=BY$5, COUNTIF($M153:BX153,"u")=0), "u", "")</f>
        <v/>
      </c>
      <c r="BZ153" s="80" t="str">
        <f>IF(AND($F153&lt;&gt;"", $F153&gt;=BZ$5-4, $F153&lt;=BZ$5, COUNTIF($M153:BY153,"u")=0), "u", "")</f>
        <v/>
      </c>
      <c r="CA153" s="80" t="str">
        <f>IF(AND($F153&lt;&gt;"", $F153&gt;=CA$5-4, $F153&lt;=CA$5, COUNTIF($M153:BZ153,"u")=0), "u", "")</f>
        <v/>
      </c>
      <c r="CB153" s="80" t="str">
        <f>IF(AND($F153&lt;&gt;"", $F153&gt;=CB$5-4, $F153&lt;=CB$5, COUNTIF($M153:CA153,"u")=0), "u", "")</f>
        <v/>
      </c>
      <c r="CC153" s="80" t="str">
        <f>IF(AND($F153&lt;&gt;"", $F153&gt;=CC$5-4, $F153&lt;=CC$5, COUNTIF($M153:CB153,"u")=0), "u", "")</f>
        <v/>
      </c>
      <c r="CD153" s="80" t="str">
        <f>IF(AND($F153&lt;&gt;"", $F153&gt;=CD$5-4, $F153&lt;=CD$5, COUNTIF($M153:CC153,"u")=0), "u", "")</f>
        <v/>
      </c>
      <c r="CE153" s="80" t="str">
        <f>IF(AND($F153&lt;&gt;"", $F153&gt;=CE$5-4, $F153&lt;=CE$5, COUNTIF($M153:CD153,"u")=0), "u", "")</f>
        <v/>
      </c>
      <c r="CF153" s="80" t="str">
        <f>IF(AND($F153&lt;&gt;"", $F153&gt;=CF$5-4, $F153&lt;=CF$5, COUNTIF($M153:CE153,"u")=0), "u", "")</f>
        <v/>
      </c>
      <c r="CG153" s="80" t="str">
        <f>IF(AND($F153&lt;&gt;"", $F153&gt;=CG$5-4, $F153&lt;=CG$5, COUNTIF($M153:CF153,"u")=0), "u", "")</f>
        <v/>
      </c>
      <c r="CH153" s="80" t="str">
        <f>IF(AND($F153&lt;&gt;"", $F153&gt;=CH$5-4, $F153&lt;=CH$5, COUNTIF($M153:CG153,"u")=0), "u", "")</f>
        <v/>
      </c>
      <c r="CI153" s="80" t="str">
        <f>IF(AND($F153&lt;&gt;"", $F153&gt;=CI$5-4, $F153&lt;=CI$5, COUNTIF($M153:CH153,"u")=0), "u", "")</f>
        <v/>
      </c>
      <c r="CJ153" s="80" t="str">
        <f>IF(AND($F153&lt;&gt;"", $F153&gt;=CJ$5-4, $F153&lt;=CJ$5, COUNTIF($M153:CI153,"u")=0), "u", "")</f>
        <v/>
      </c>
      <c r="CK153" s="80" t="str">
        <f>IF(AND($F153&lt;&gt;"", $F153&gt;=CK$5-4, $F153&lt;=CK$5, COUNTIF($M153:CJ153,"u")=0), "u", "")</f>
        <v/>
      </c>
      <c r="CL153" s="80" t="str">
        <f>IF(AND($F153&lt;&gt;"", $F153&gt;=CL$5-4, $F153&lt;=CL$5, COUNTIF($M153:CK153,"u")=0), "u", "")</f>
        <v/>
      </c>
      <c r="CM153" s="80" t="str">
        <f>IF(AND($F153&lt;&gt;"", $F153&gt;=CM$5-4, $F153&lt;=CM$5, COUNTIF($M153:CL153,"u")=0), "u", "")</f>
        <v/>
      </c>
      <c r="CN153" s="80" t="str">
        <f>IF(AND($F153&lt;&gt;"", $F153&gt;=CN$5-4, $F153&lt;=CN$5, COUNTIF($M153:CM153,"u")=0), "u", "")</f>
        <v/>
      </c>
      <c r="CO153" s="80" t="str">
        <f>IF(AND($F153&lt;&gt;"", $F153&gt;=CO$5-4, $F153&lt;=CO$5, COUNTIF($M153:CN153,"u")=0), "u", "")</f>
        <v/>
      </c>
      <c r="CP153" s="80" t="str">
        <f>IF(AND($F153&lt;&gt;"", $F153&gt;=CP$5-4, $F153&lt;=CP$5, COUNTIF($M153:CO153,"u")=0), "u", "")</f>
        <v/>
      </c>
      <c r="CQ153" s="80" t="str">
        <f>IF(AND($F153&lt;&gt;"", $F153&gt;=CQ$5-4, $F153&lt;=CQ$5, COUNTIF($M153:CP153,"u")=0), "u", "")</f>
        <v/>
      </c>
      <c r="CR153" s="80" t="str">
        <f>IF(AND($F153&lt;&gt;"", $F153&gt;=CR$5-4, $F153&lt;=CR$5, COUNTIF($M153:CQ153,"u")=0), "u", "")</f>
        <v/>
      </c>
      <c r="CS153" s="80" t="str">
        <f>IF(AND($F153&lt;&gt;"", $F153&gt;=CS$5-4, $F153&lt;=CS$5, COUNTIF($M153:CR153,"u")=0), "u", "")</f>
        <v/>
      </c>
      <c r="CT153" s="80" t="str">
        <f>IF(AND($F153&lt;&gt;"", $F153&gt;=CT$5-4, $F153&lt;=CT$5, COUNTIF($M153:CS153,"u")=0), "u", "")</f>
        <v/>
      </c>
      <c r="CU153" s="80" t="str">
        <f>IF(AND($F153&lt;&gt;"", $F153&gt;=CU$5-4, $F153&lt;=CU$5, COUNTIF($M153:CT153,"u")=0), "u", "")</f>
        <v/>
      </c>
      <c r="CV153" s="80" t="str">
        <f>IF(AND($F153&lt;&gt;"", $F153&gt;=CV$5-4, $F153&lt;=CV$5, COUNTIF($M153:CU153,"u")=0), "u", "")</f>
        <v/>
      </c>
      <c r="CW153" s="80" t="str">
        <f>IF(AND($F153&lt;&gt;"", $F153&gt;=CW$5-4, $F153&lt;=CW$5, COUNTIF($M153:CV153,"u")=0), "u", "")</f>
        <v/>
      </c>
      <c r="CX153" s="80" t="str">
        <f>IF(AND($F153&lt;&gt;"", $F153&gt;=CX$5-4, $F153&lt;=CX$5, COUNTIF($M153:CW153,"u")=0), "u", "")</f>
        <v/>
      </c>
      <c r="CY153" s="80" t="str">
        <f>IF(AND($F153&lt;&gt;"", $F153&gt;=CY$5-4, $F153&lt;=CY$5, COUNTIF($M153:CX153,"u")=0), "u", "")</f>
        <v/>
      </c>
      <c r="CZ153" s="80" t="str">
        <f>IF(AND($F153&lt;&gt;"", $F153&gt;=CZ$5-4, $F153&lt;=CZ$5, COUNTIF($M153:CY153,"u")=0), "u", "")</f>
        <v/>
      </c>
      <c r="DA153" s="80" t="str">
        <f>IF(AND($F153&lt;&gt;"", $F153&gt;=DA$5-4, $F153&lt;=DA$5, COUNTIF($M153:CZ153,"u")=0), "u", "")</f>
        <v/>
      </c>
      <c r="DB153" s="80" t="str">
        <f>IF(AND($F153&lt;&gt;"", $F153&gt;=DB$5-4, $F153&lt;=DB$5, COUNTIF($M153:DA153,"u")=0), "u", "")</f>
        <v/>
      </c>
      <c r="DC153" s="80" t="str">
        <f>IF(AND($F153&lt;&gt;"", $F153&gt;=DC$5-4, $F153&lt;=DC$5, COUNTIF($M153:DB153,"u")=0), "u", "")</f>
        <v/>
      </c>
      <c r="DD153" s="80" t="str">
        <f>IF(AND($F153&lt;&gt;"", $F153&gt;=DD$5-4, $F153&lt;=DD$5, COUNTIF($M153:DC153,"u")=0), "u", "")</f>
        <v/>
      </c>
      <c r="DE153" s="80" t="str">
        <f>IF(AND($F153&lt;&gt;"", $F153&gt;=DE$5-4, $F153&lt;=DE$5, COUNTIF($M153:DD153,"u")=0), "u", "")</f>
        <v/>
      </c>
      <c r="DF153" s="80" t="str">
        <f>IF(AND($F153&lt;&gt;"", $F153&gt;=DF$5-4, $F153&lt;=DF$5, COUNTIF($M153:DE153,"u")=0), "u", "")</f>
        <v/>
      </c>
      <c r="DG153" s="80" t="str">
        <f>IF(AND($F153&lt;&gt;"", $F153&gt;=DG$5-4, $F153&lt;=DG$5, COUNTIF($M153:DF153,"u")=0), "u", "")</f>
        <v/>
      </c>
      <c r="DH153" s="80" t="str">
        <f>IF(AND($F153&lt;&gt;"", $F153&gt;=DH$5-4, $F153&lt;=DH$5, COUNTIF($M153:DG153,"u")=0), "u", "")</f>
        <v/>
      </c>
      <c r="DI153" s="80" t="str">
        <f>IF(AND($F153&lt;&gt;"", $F153&gt;=DI$5-4, $F153&lt;=DI$5, COUNTIF($M153:DH153,"u")=0), "u", "")</f>
        <v/>
      </c>
      <c r="DJ153" s="80" t="str">
        <f>IF(AND($F153&lt;&gt;"", $F153&gt;=DJ$5-4, $F153&lt;=DJ$5, COUNTIF($M153:DI153,"u")=0), "u", "")</f>
        <v/>
      </c>
      <c r="DK153" s="80" t="str">
        <f>IF(AND($F153&lt;&gt;"", $F153&gt;=DK$5-4, $F153&lt;=DK$5, COUNTIF($M153:DJ153,"u")=0), "u", "")</f>
        <v/>
      </c>
      <c r="DL153" s="80" t="str">
        <f>IF(AND($F153&lt;&gt;"", $F153&gt;=DL$5-4, $F153&lt;=DL$5, COUNTIF($M153:DK153,"u")=0), "u", "")</f>
        <v/>
      </c>
    </row>
    <row r="154" spans="1:116" ht="25.05" customHeight="1" x14ac:dyDescent="0.3">
      <c r="A154" s="39"/>
      <c r="B154" s="75">
        <v>149</v>
      </c>
      <c r="C154" s="97"/>
      <c r="D154" s="92"/>
      <c r="E154" s="53"/>
      <c r="F154" s="53"/>
      <c r="G154" s="83" t="str">
        <f t="shared" si="53"/>
        <v/>
      </c>
      <c r="H154" s="83" t="str">
        <f t="shared" si="53"/>
        <v/>
      </c>
      <c r="I154" s="77" t="str">
        <f t="shared" si="51"/>
        <v/>
      </c>
      <c r="J154" s="78"/>
      <c r="K154" s="86"/>
      <c r="L154" s="56"/>
      <c r="M154" s="80" t="str">
        <f t="shared" si="52"/>
        <v/>
      </c>
      <c r="N154" s="80" t="str">
        <f>IF(AND($F154&lt;&gt;"", $F154&gt;=N$5-4, $F154&lt;=N$5, COUNTIF($M154:M154,"u")=0), "u", "")</f>
        <v/>
      </c>
      <c r="O154" s="80" t="str">
        <f>IF(AND($F154&lt;&gt;"", $F154&gt;=O$5-4, $F154&lt;=O$5, COUNTIF($M154:N154,"u")=0), "u", "")</f>
        <v/>
      </c>
      <c r="P154" s="80" t="str">
        <f>IF(AND($F154&lt;&gt;"", $F154&gt;=P$5-4, $F154&lt;=P$5, COUNTIF($M154:O154,"u")=0), "u", "")</f>
        <v/>
      </c>
      <c r="Q154" s="80" t="str">
        <f>IF(AND($F154&lt;&gt;"", $F154&gt;=Q$5-4, $F154&lt;=Q$5, COUNTIF($M154:P154,"u")=0), "u", "")</f>
        <v/>
      </c>
      <c r="R154" s="80" t="str">
        <f>IF(AND($F154&lt;&gt;"", $F154&gt;=R$5-4, $F154&lt;=R$5, COUNTIF($M154:Q154,"u")=0), "u", "")</f>
        <v/>
      </c>
      <c r="S154" s="80" t="str">
        <f>IF(AND($F154&lt;&gt;"", $F154&gt;=S$5-4, $F154&lt;=S$5, COUNTIF($M154:R154,"u")=0), "u", "")</f>
        <v/>
      </c>
      <c r="T154" s="80" t="str">
        <f>IF(AND($F154&lt;&gt;"", $F154&gt;=T$5-4, $F154&lt;=T$5, COUNTIF($M154:S154,"u")=0), "u", "")</f>
        <v/>
      </c>
      <c r="U154" s="80" t="str">
        <f>IF(AND($F154&lt;&gt;"", $F154&gt;=U$5-4, $F154&lt;=U$5, COUNTIF($M154:T154,"u")=0), "u", "")</f>
        <v/>
      </c>
      <c r="V154" s="80" t="str">
        <f>IF(AND($F154&lt;&gt;"", $F154&gt;=V$5-4, $F154&lt;=V$5, COUNTIF($M154:U154,"u")=0), "u", "")</f>
        <v/>
      </c>
      <c r="W154" s="80" t="str">
        <f>IF(AND($F154&lt;&gt;"", $F154&gt;=W$5-4, $F154&lt;=W$5, COUNTIF($M154:V154,"u")=0), "u", "")</f>
        <v/>
      </c>
      <c r="X154" s="80" t="str">
        <f>IF(AND($F154&lt;&gt;"", $F154&gt;=X$5-4, $F154&lt;=X$5, COUNTIF($M154:W154,"u")=0), "u", "")</f>
        <v/>
      </c>
      <c r="Y154" s="80" t="str">
        <f>IF(AND($F154&lt;&gt;"", $F154&gt;=Y$5-4, $F154&lt;=Y$5, COUNTIF($M154:X154,"u")=0), "u", "")</f>
        <v/>
      </c>
      <c r="Z154" s="80" t="str">
        <f>IF(AND($F154&lt;&gt;"", $F154&gt;=Z$5-4, $F154&lt;=Z$5, COUNTIF($M154:Y154,"u")=0), "u", "")</f>
        <v/>
      </c>
      <c r="AA154" s="80" t="str">
        <f>IF(AND($F154&lt;&gt;"", $F154&gt;=AA$5-4, $F154&lt;=AA$5, COUNTIF($M154:Z154,"u")=0), "u", "")</f>
        <v/>
      </c>
      <c r="AB154" s="80" t="str">
        <f>IF(AND($F154&lt;&gt;"", $F154&gt;=AB$5-4, $F154&lt;=AB$5, COUNTIF($M154:AA154,"u")=0), "u", "")</f>
        <v/>
      </c>
      <c r="AC154" s="80" t="str">
        <f>IF(AND($F154&lt;&gt;"", $F154&gt;=AC$5-4, $F154&lt;=AC$5, COUNTIF($M154:AB154,"u")=0), "u", "")</f>
        <v/>
      </c>
      <c r="AD154" s="80" t="str">
        <f>IF(AND($F154&lt;&gt;"", $F154&gt;=AD$5-4, $F154&lt;=AD$5, COUNTIF($M154:AC154,"u")=0), "u", "")</f>
        <v/>
      </c>
      <c r="AE154" s="80" t="str">
        <f>IF(AND($F154&lt;&gt;"", $F154&gt;=AE$5-4, $F154&lt;=AE$5, COUNTIF($M154:AD154,"u")=0), "u", "")</f>
        <v/>
      </c>
      <c r="AF154" s="80" t="str">
        <f>IF(AND($F154&lt;&gt;"", $F154&gt;=AF$5-4, $F154&lt;=AF$5, COUNTIF($M154:AE154,"u")=0), "u", "")</f>
        <v/>
      </c>
      <c r="AG154" s="80" t="str">
        <f>IF(AND($F154&lt;&gt;"", $F154&gt;=AG$5-4, $F154&lt;=AG$5, COUNTIF($M154:AF154,"u")=0), "u", "")</f>
        <v/>
      </c>
      <c r="AH154" s="80" t="str">
        <f>IF(AND($F154&lt;&gt;"", $F154&gt;=AH$5-4, $F154&lt;=AH$5, COUNTIF($M154:AG154,"u")=0), "u", "")</f>
        <v/>
      </c>
      <c r="AI154" s="80" t="str">
        <f>IF(AND($F154&lt;&gt;"", $F154&gt;=AI$5-4, $F154&lt;=AI$5, COUNTIF($M154:AH154,"u")=0), "u", "")</f>
        <v/>
      </c>
      <c r="AJ154" s="80" t="str">
        <f>IF(AND($F154&lt;&gt;"", $F154&gt;=AJ$5-4, $F154&lt;=AJ$5, COUNTIF($M154:AI154,"u")=0), "u", "")</f>
        <v/>
      </c>
      <c r="AK154" s="80" t="str">
        <f>IF(AND($F154&lt;&gt;"", $F154&gt;=AK$5-4, $F154&lt;=AK$5, COUNTIF($M154:AJ154,"u")=0), "u", "")</f>
        <v/>
      </c>
      <c r="AL154" s="80" t="str">
        <f>IF(AND($F154&lt;&gt;"", $F154&gt;=AL$5-4, $F154&lt;=AL$5, COUNTIF($M154:AK154,"u")=0), "u", "")</f>
        <v/>
      </c>
      <c r="AM154" s="80" t="str">
        <f>IF(AND($F154&lt;&gt;"", $F154&gt;=AM$5-4, $F154&lt;=AM$5, COUNTIF($M154:AL154,"u")=0), "u", "")</f>
        <v/>
      </c>
      <c r="AN154" s="80" t="str">
        <f>IF(AND($F154&lt;&gt;"", $F154&gt;=AN$5-4, $F154&lt;=AN$5, COUNTIF($M154:AM154,"u")=0), "u", "")</f>
        <v/>
      </c>
      <c r="AO154" s="80" t="str">
        <f>IF(AND($F154&lt;&gt;"", $F154&gt;=AO$5-4, $F154&lt;=AO$5, COUNTIF($M154:AN154,"u")=0), "u", "")</f>
        <v/>
      </c>
      <c r="AP154" s="80" t="str">
        <f>IF(AND($F154&lt;&gt;"", $F154&gt;=AP$5-4, $F154&lt;=AP$5, COUNTIF($M154:AO154,"u")=0), "u", "")</f>
        <v/>
      </c>
      <c r="AQ154" s="80" t="str">
        <f>IF(AND($F154&lt;&gt;"", $F154&gt;=AQ$5-4, $F154&lt;=AQ$5, COUNTIF($M154:AP154,"u")=0), "u", "")</f>
        <v/>
      </c>
      <c r="AR154" s="80" t="str">
        <f>IF(AND($F154&lt;&gt;"", $F154&gt;=AR$5-4, $F154&lt;=AR$5, COUNTIF($M154:AQ154,"u")=0), "u", "")</f>
        <v/>
      </c>
      <c r="AS154" s="80" t="str">
        <f>IF(AND($F154&lt;&gt;"", $F154&gt;=AS$5-4, $F154&lt;=AS$5, COUNTIF($M154:AR154,"u")=0), "u", "")</f>
        <v/>
      </c>
      <c r="AT154" s="80" t="str">
        <f>IF(AND($F154&lt;&gt;"", $F154&gt;=AT$5-4, $F154&lt;=AT$5, COUNTIF($M154:AS154,"u")=0), "u", "")</f>
        <v/>
      </c>
      <c r="AU154" s="80" t="str">
        <f>IF(AND($F154&lt;&gt;"", $F154&gt;=AU$5-4, $F154&lt;=AU$5, COUNTIF($M154:AT154,"u")=0), "u", "")</f>
        <v/>
      </c>
      <c r="AV154" s="80" t="str">
        <f>IF(AND($F154&lt;&gt;"", $F154&gt;=AV$5-4, $F154&lt;=AV$5, COUNTIF($M154:AU154,"u")=0), "u", "")</f>
        <v/>
      </c>
      <c r="AW154" s="80" t="str">
        <f>IF(AND($F154&lt;&gt;"", $F154&gt;=AW$5-4, $F154&lt;=AW$5, COUNTIF($M154:AV154,"u")=0), "u", "")</f>
        <v/>
      </c>
      <c r="AX154" s="80" t="str">
        <f>IF(AND($F154&lt;&gt;"", $F154&gt;=AX$5-4, $F154&lt;=AX$5, COUNTIF($M154:AW154,"u")=0), "u", "")</f>
        <v/>
      </c>
      <c r="AY154" s="80" t="str">
        <f>IF(AND($F154&lt;&gt;"", $F154&gt;=AY$5-4, $F154&lt;=AY$5, COUNTIF($M154:AX154,"u")=0), "u", "")</f>
        <v/>
      </c>
      <c r="AZ154" s="80" t="str">
        <f>IF(AND($F154&lt;&gt;"", $F154&gt;=AZ$5-4, $F154&lt;=AZ$5, COUNTIF($M154:AY154,"u")=0), "u", "")</f>
        <v/>
      </c>
      <c r="BA154" s="80" t="str">
        <f>IF(AND($F154&lt;&gt;"", $F154&gt;=BA$5-4, $F154&lt;=BA$5, COUNTIF($M154:AZ154,"u")=0), "u", "")</f>
        <v/>
      </c>
      <c r="BB154" s="80" t="str">
        <f>IF(AND($F154&lt;&gt;"", $F154&gt;=BB$5-4, $F154&lt;=BB$5, COUNTIF($M154:BA154,"u")=0), "u", "")</f>
        <v/>
      </c>
      <c r="BC154" s="80" t="str">
        <f>IF(AND($F154&lt;&gt;"", $F154&gt;=BC$5-4, $F154&lt;=BC$5, COUNTIF($M154:BB154,"u")=0), "u", "")</f>
        <v/>
      </c>
      <c r="BD154" s="80" t="str">
        <f>IF(AND($F154&lt;&gt;"", $F154&gt;=BD$5-4, $F154&lt;=BD$5, COUNTIF($M154:BC154,"u")=0), "u", "")</f>
        <v/>
      </c>
      <c r="BE154" s="80" t="str">
        <f>IF(AND($F154&lt;&gt;"", $F154&gt;=BE$5-4, $F154&lt;=BE$5, COUNTIF($M154:BD154,"u")=0), "u", "")</f>
        <v/>
      </c>
      <c r="BF154" s="80" t="str">
        <f>IF(AND($F154&lt;&gt;"", $F154&gt;=BF$5-4, $F154&lt;=BF$5, COUNTIF($M154:BE154,"u")=0), "u", "")</f>
        <v/>
      </c>
      <c r="BG154" s="80" t="str">
        <f>IF(AND($F154&lt;&gt;"", $F154&gt;=BG$5-4, $F154&lt;=BG$5, COUNTIF($M154:BF154,"u")=0), "u", "")</f>
        <v/>
      </c>
      <c r="BH154" s="80" t="str">
        <f>IF(AND($F154&lt;&gt;"", $F154&gt;=BH$5-4, $F154&lt;=BH$5, COUNTIF($M154:BG154,"u")=0), "u", "")</f>
        <v/>
      </c>
      <c r="BI154" s="80" t="str">
        <f>IF(AND($F154&lt;&gt;"", $F154&gt;=BI$5-4, $F154&lt;=BI$5, COUNTIF($M154:BH154,"u")=0), "u", "")</f>
        <v/>
      </c>
      <c r="BJ154" s="80" t="str">
        <f>IF(AND($F154&lt;&gt;"", $F154&gt;=BJ$5-4, $F154&lt;=BJ$5, COUNTIF($M154:BI154,"u")=0), "u", "")</f>
        <v/>
      </c>
      <c r="BK154" s="80" t="str">
        <f>IF(AND($F154&lt;&gt;"", $F154&gt;=BK$5-4, $F154&lt;=BK$5, COUNTIF($M154:BJ154,"u")=0), "u", "")</f>
        <v/>
      </c>
      <c r="BL154" s="80" t="str">
        <f>IF(AND($F154&lt;&gt;"", $F154&gt;=BL$5-4, $F154&lt;=BL$5, COUNTIF($M154:BK154,"u")=0), "u", "")</f>
        <v/>
      </c>
      <c r="BM154" s="80" t="str">
        <f>IF(AND($F154&lt;&gt;"", $F154&gt;=BM$5-4, $F154&lt;=BM$5, COUNTIF($M154:BL154,"u")=0), "u", "")</f>
        <v/>
      </c>
      <c r="BN154" s="80" t="str">
        <f>IF(AND($F154&lt;&gt;"", $F154&gt;=BN$5-4, $F154&lt;=BN$5, COUNTIF($M154:BM154,"u")=0), "u", "")</f>
        <v/>
      </c>
      <c r="BO154" s="80" t="str">
        <f>IF(AND($F154&lt;&gt;"", $F154&gt;=BO$5-4, $F154&lt;=BO$5, COUNTIF($M154:BN154,"u")=0), "u", "")</f>
        <v/>
      </c>
      <c r="BP154" s="80" t="str">
        <f>IF(AND($F154&lt;&gt;"", $F154&gt;=BP$5-4, $F154&lt;=BP$5, COUNTIF($M154:BO154,"u")=0), "u", "")</f>
        <v/>
      </c>
      <c r="BQ154" s="80" t="str">
        <f>IF(AND($F154&lt;&gt;"", $F154&gt;=BQ$5-4, $F154&lt;=BQ$5, COUNTIF($M154:BP154,"u")=0), "u", "")</f>
        <v/>
      </c>
      <c r="BR154" s="80" t="str">
        <f>IF(AND($F154&lt;&gt;"", $F154&gt;=BR$5-4, $F154&lt;=BR$5, COUNTIF($M154:BQ154,"u")=0), "u", "")</f>
        <v/>
      </c>
      <c r="BS154" s="80" t="str">
        <f>IF(AND($F154&lt;&gt;"", $F154&gt;=BS$5-4, $F154&lt;=BS$5, COUNTIF($M154:BR154,"u")=0), "u", "")</f>
        <v/>
      </c>
      <c r="BT154" s="80" t="str">
        <f>IF(AND($F154&lt;&gt;"", $F154&gt;=BT$5-4, $F154&lt;=BT$5, COUNTIF($M154:BS154,"u")=0), "u", "")</f>
        <v/>
      </c>
      <c r="BU154" s="80" t="str">
        <f>IF(AND($F154&lt;&gt;"", $F154&gt;=BU$5-4, $F154&lt;=BU$5, COUNTIF($M154:BT154,"u")=0), "u", "")</f>
        <v/>
      </c>
      <c r="BV154" s="80" t="str">
        <f>IF(AND($F154&lt;&gt;"", $F154&gt;=BV$5-4, $F154&lt;=BV$5, COUNTIF($M154:BU154,"u")=0), "u", "")</f>
        <v/>
      </c>
      <c r="BW154" s="80" t="str">
        <f>IF(AND($F154&lt;&gt;"", $F154&gt;=BW$5-4, $F154&lt;=BW$5, COUNTIF($M154:BV154,"u")=0), "u", "")</f>
        <v/>
      </c>
      <c r="BX154" s="80" t="str">
        <f>IF(AND($F154&lt;&gt;"", $F154&gt;=BX$5-4, $F154&lt;=BX$5, COUNTIF($M154:BW154,"u")=0), "u", "")</f>
        <v/>
      </c>
      <c r="BY154" s="80" t="str">
        <f>IF(AND($F154&lt;&gt;"", $F154&gt;=BY$5-4, $F154&lt;=BY$5, COUNTIF($M154:BX154,"u")=0), "u", "")</f>
        <v/>
      </c>
      <c r="BZ154" s="80" t="str">
        <f>IF(AND($F154&lt;&gt;"", $F154&gt;=BZ$5-4, $F154&lt;=BZ$5, COUNTIF($M154:BY154,"u")=0), "u", "")</f>
        <v/>
      </c>
      <c r="CA154" s="80" t="str">
        <f>IF(AND($F154&lt;&gt;"", $F154&gt;=CA$5-4, $F154&lt;=CA$5, COUNTIF($M154:BZ154,"u")=0), "u", "")</f>
        <v/>
      </c>
      <c r="CB154" s="80" t="str">
        <f>IF(AND($F154&lt;&gt;"", $F154&gt;=CB$5-4, $F154&lt;=CB$5, COUNTIF($M154:CA154,"u")=0), "u", "")</f>
        <v/>
      </c>
      <c r="CC154" s="80" t="str">
        <f>IF(AND($F154&lt;&gt;"", $F154&gt;=CC$5-4, $F154&lt;=CC$5, COUNTIF($M154:CB154,"u")=0), "u", "")</f>
        <v/>
      </c>
      <c r="CD154" s="80" t="str">
        <f>IF(AND($F154&lt;&gt;"", $F154&gt;=CD$5-4, $F154&lt;=CD$5, COUNTIF($M154:CC154,"u")=0), "u", "")</f>
        <v/>
      </c>
      <c r="CE154" s="80" t="str">
        <f>IF(AND($F154&lt;&gt;"", $F154&gt;=CE$5-4, $F154&lt;=CE$5, COUNTIF($M154:CD154,"u")=0), "u", "")</f>
        <v/>
      </c>
      <c r="CF154" s="80" t="str">
        <f>IF(AND($F154&lt;&gt;"", $F154&gt;=CF$5-4, $F154&lt;=CF$5, COUNTIF($M154:CE154,"u")=0), "u", "")</f>
        <v/>
      </c>
      <c r="CG154" s="80" t="str">
        <f>IF(AND($F154&lt;&gt;"", $F154&gt;=CG$5-4, $F154&lt;=CG$5, COUNTIF($M154:CF154,"u")=0), "u", "")</f>
        <v/>
      </c>
      <c r="CH154" s="80" t="str">
        <f>IF(AND($F154&lt;&gt;"", $F154&gt;=CH$5-4, $F154&lt;=CH$5, COUNTIF($M154:CG154,"u")=0), "u", "")</f>
        <v/>
      </c>
      <c r="CI154" s="80" t="str">
        <f>IF(AND($F154&lt;&gt;"", $F154&gt;=CI$5-4, $F154&lt;=CI$5, COUNTIF($M154:CH154,"u")=0), "u", "")</f>
        <v/>
      </c>
      <c r="CJ154" s="80" t="str">
        <f>IF(AND($F154&lt;&gt;"", $F154&gt;=CJ$5-4, $F154&lt;=CJ$5, COUNTIF($M154:CI154,"u")=0), "u", "")</f>
        <v/>
      </c>
      <c r="CK154" s="80" t="str">
        <f>IF(AND($F154&lt;&gt;"", $F154&gt;=CK$5-4, $F154&lt;=CK$5, COUNTIF($M154:CJ154,"u")=0), "u", "")</f>
        <v/>
      </c>
      <c r="CL154" s="80" t="str">
        <f>IF(AND($F154&lt;&gt;"", $F154&gt;=CL$5-4, $F154&lt;=CL$5, COUNTIF($M154:CK154,"u")=0), "u", "")</f>
        <v/>
      </c>
      <c r="CM154" s="80" t="str">
        <f>IF(AND($F154&lt;&gt;"", $F154&gt;=CM$5-4, $F154&lt;=CM$5, COUNTIF($M154:CL154,"u")=0), "u", "")</f>
        <v/>
      </c>
      <c r="CN154" s="80" t="str">
        <f>IF(AND($F154&lt;&gt;"", $F154&gt;=CN$5-4, $F154&lt;=CN$5, COUNTIF($M154:CM154,"u")=0), "u", "")</f>
        <v/>
      </c>
      <c r="CO154" s="80" t="str">
        <f>IF(AND($F154&lt;&gt;"", $F154&gt;=CO$5-4, $F154&lt;=CO$5, COUNTIF($M154:CN154,"u")=0), "u", "")</f>
        <v/>
      </c>
      <c r="CP154" s="80" t="str">
        <f>IF(AND($F154&lt;&gt;"", $F154&gt;=CP$5-4, $F154&lt;=CP$5, COUNTIF($M154:CO154,"u")=0), "u", "")</f>
        <v/>
      </c>
      <c r="CQ154" s="80" t="str">
        <f>IF(AND($F154&lt;&gt;"", $F154&gt;=CQ$5-4, $F154&lt;=CQ$5, COUNTIF($M154:CP154,"u")=0), "u", "")</f>
        <v/>
      </c>
      <c r="CR154" s="80" t="str">
        <f>IF(AND($F154&lt;&gt;"", $F154&gt;=CR$5-4, $F154&lt;=CR$5, COUNTIF($M154:CQ154,"u")=0), "u", "")</f>
        <v/>
      </c>
      <c r="CS154" s="80" t="str">
        <f>IF(AND($F154&lt;&gt;"", $F154&gt;=CS$5-4, $F154&lt;=CS$5, COUNTIF($M154:CR154,"u")=0), "u", "")</f>
        <v/>
      </c>
      <c r="CT154" s="80" t="str">
        <f>IF(AND($F154&lt;&gt;"", $F154&gt;=CT$5-4, $F154&lt;=CT$5, COUNTIF($M154:CS154,"u")=0), "u", "")</f>
        <v/>
      </c>
      <c r="CU154" s="80" t="str">
        <f>IF(AND($F154&lt;&gt;"", $F154&gt;=CU$5-4, $F154&lt;=CU$5, COUNTIF($M154:CT154,"u")=0), "u", "")</f>
        <v/>
      </c>
      <c r="CV154" s="80" t="str">
        <f>IF(AND($F154&lt;&gt;"", $F154&gt;=CV$5-4, $F154&lt;=CV$5, COUNTIF($M154:CU154,"u")=0), "u", "")</f>
        <v/>
      </c>
      <c r="CW154" s="80" t="str">
        <f>IF(AND($F154&lt;&gt;"", $F154&gt;=CW$5-4, $F154&lt;=CW$5, COUNTIF($M154:CV154,"u")=0), "u", "")</f>
        <v/>
      </c>
      <c r="CX154" s="80" t="str">
        <f>IF(AND($F154&lt;&gt;"", $F154&gt;=CX$5-4, $F154&lt;=CX$5, COUNTIF($M154:CW154,"u")=0), "u", "")</f>
        <v/>
      </c>
      <c r="CY154" s="80" t="str">
        <f>IF(AND($F154&lt;&gt;"", $F154&gt;=CY$5-4, $F154&lt;=CY$5, COUNTIF($M154:CX154,"u")=0), "u", "")</f>
        <v/>
      </c>
      <c r="CZ154" s="80" t="str">
        <f>IF(AND($F154&lt;&gt;"", $F154&gt;=CZ$5-4, $F154&lt;=CZ$5, COUNTIF($M154:CY154,"u")=0), "u", "")</f>
        <v/>
      </c>
      <c r="DA154" s="80" t="str">
        <f>IF(AND($F154&lt;&gt;"", $F154&gt;=DA$5-4, $F154&lt;=DA$5, COUNTIF($M154:CZ154,"u")=0), "u", "")</f>
        <v/>
      </c>
      <c r="DB154" s="80" t="str">
        <f>IF(AND($F154&lt;&gt;"", $F154&gt;=DB$5-4, $F154&lt;=DB$5, COUNTIF($M154:DA154,"u")=0), "u", "")</f>
        <v/>
      </c>
      <c r="DC154" s="80" t="str">
        <f>IF(AND($F154&lt;&gt;"", $F154&gt;=DC$5-4, $F154&lt;=DC$5, COUNTIF($M154:DB154,"u")=0), "u", "")</f>
        <v/>
      </c>
      <c r="DD154" s="80" t="str">
        <f>IF(AND($F154&lt;&gt;"", $F154&gt;=DD$5-4, $F154&lt;=DD$5, COUNTIF($M154:DC154,"u")=0), "u", "")</f>
        <v/>
      </c>
      <c r="DE154" s="80" t="str">
        <f>IF(AND($F154&lt;&gt;"", $F154&gt;=DE$5-4, $F154&lt;=DE$5, COUNTIF($M154:DD154,"u")=0), "u", "")</f>
        <v/>
      </c>
      <c r="DF154" s="80" t="str">
        <f>IF(AND($F154&lt;&gt;"", $F154&gt;=DF$5-4, $F154&lt;=DF$5, COUNTIF($M154:DE154,"u")=0), "u", "")</f>
        <v/>
      </c>
      <c r="DG154" s="80" t="str">
        <f>IF(AND($F154&lt;&gt;"", $F154&gt;=DG$5-4, $F154&lt;=DG$5, COUNTIF($M154:DF154,"u")=0), "u", "")</f>
        <v/>
      </c>
      <c r="DH154" s="80" t="str">
        <f>IF(AND($F154&lt;&gt;"", $F154&gt;=DH$5-4, $F154&lt;=DH$5, COUNTIF($M154:DG154,"u")=0), "u", "")</f>
        <v/>
      </c>
      <c r="DI154" s="80" t="str">
        <f>IF(AND($F154&lt;&gt;"", $F154&gt;=DI$5-4, $F154&lt;=DI$5, COUNTIF($M154:DH154,"u")=0), "u", "")</f>
        <v/>
      </c>
      <c r="DJ154" s="80" t="str">
        <f>IF(AND($F154&lt;&gt;"", $F154&gt;=DJ$5-4, $F154&lt;=DJ$5, COUNTIF($M154:DI154,"u")=0), "u", "")</f>
        <v/>
      </c>
      <c r="DK154" s="80" t="str">
        <f>IF(AND($F154&lt;&gt;"", $F154&gt;=DK$5-4, $F154&lt;=DK$5, COUNTIF($M154:DJ154,"u")=0), "u", "")</f>
        <v/>
      </c>
      <c r="DL154" s="80" t="str">
        <f>IF(AND($F154&lt;&gt;"", $F154&gt;=DL$5-4, $F154&lt;=DL$5, COUNTIF($M154:DK154,"u")=0), "u", "")</f>
        <v/>
      </c>
    </row>
    <row r="155" spans="1:116" ht="25.05" customHeight="1" x14ac:dyDescent="0.3">
      <c r="A155" s="39"/>
      <c r="B155" s="75">
        <v>150</v>
      </c>
      <c r="C155" s="97"/>
      <c r="D155" s="92"/>
      <c r="E155" s="53"/>
      <c r="F155" s="53"/>
      <c r="G155" s="83" t="str">
        <f t="shared" si="53"/>
        <v/>
      </c>
      <c r="H155" s="83" t="str">
        <f t="shared" si="53"/>
        <v/>
      </c>
      <c r="I155" s="77" t="str">
        <f t="shared" si="51"/>
        <v/>
      </c>
      <c r="J155" s="78"/>
      <c r="K155" s="86"/>
      <c r="L155" s="56"/>
      <c r="M155" s="80" t="str">
        <f t="shared" si="52"/>
        <v/>
      </c>
      <c r="N155" s="80" t="str">
        <f>IF(AND($F155&lt;&gt;"", $F155&gt;=N$5-4, $F155&lt;=N$5, COUNTIF($M155:M155,"u")=0), "u", "")</f>
        <v/>
      </c>
      <c r="O155" s="80" t="str">
        <f>IF(AND($F155&lt;&gt;"", $F155&gt;=O$5-4, $F155&lt;=O$5, COUNTIF($M155:N155,"u")=0), "u", "")</f>
        <v/>
      </c>
      <c r="P155" s="80" t="str">
        <f>IF(AND($F155&lt;&gt;"", $F155&gt;=P$5-4, $F155&lt;=P$5, COUNTIF($M155:O155,"u")=0), "u", "")</f>
        <v/>
      </c>
      <c r="Q155" s="80" t="str">
        <f>IF(AND($F155&lt;&gt;"", $F155&gt;=Q$5-4, $F155&lt;=Q$5, COUNTIF($M155:P155,"u")=0), "u", "")</f>
        <v/>
      </c>
      <c r="R155" s="80" t="str">
        <f>IF(AND($F155&lt;&gt;"", $F155&gt;=R$5-4, $F155&lt;=R$5, COUNTIF($M155:Q155,"u")=0), "u", "")</f>
        <v/>
      </c>
      <c r="S155" s="80" t="str">
        <f>IF(AND($F155&lt;&gt;"", $F155&gt;=S$5-4, $F155&lt;=S$5, COUNTIF($M155:R155,"u")=0), "u", "")</f>
        <v/>
      </c>
      <c r="T155" s="80" t="str">
        <f>IF(AND($F155&lt;&gt;"", $F155&gt;=T$5-4, $F155&lt;=T$5, COUNTIF($M155:S155,"u")=0), "u", "")</f>
        <v/>
      </c>
      <c r="U155" s="80" t="str">
        <f>IF(AND($F155&lt;&gt;"", $F155&gt;=U$5-4, $F155&lt;=U$5, COUNTIF($M155:T155,"u")=0), "u", "")</f>
        <v/>
      </c>
      <c r="V155" s="80" t="str">
        <f>IF(AND($F155&lt;&gt;"", $F155&gt;=V$5-4, $F155&lt;=V$5, COUNTIF($M155:U155,"u")=0), "u", "")</f>
        <v/>
      </c>
      <c r="W155" s="80" t="str">
        <f>IF(AND($F155&lt;&gt;"", $F155&gt;=W$5-4, $F155&lt;=W$5, COUNTIF($M155:V155,"u")=0), "u", "")</f>
        <v/>
      </c>
      <c r="X155" s="80" t="str">
        <f>IF(AND($F155&lt;&gt;"", $F155&gt;=X$5-4, $F155&lt;=X$5, COUNTIF($M155:W155,"u")=0), "u", "")</f>
        <v/>
      </c>
      <c r="Y155" s="80" t="str">
        <f>IF(AND($F155&lt;&gt;"", $F155&gt;=Y$5-4, $F155&lt;=Y$5, COUNTIF($M155:X155,"u")=0), "u", "")</f>
        <v/>
      </c>
      <c r="Z155" s="80" t="str">
        <f>IF(AND($F155&lt;&gt;"", $F155&gt;=Z$5-4, $F155&lt;=Z$5, COUNTIF($M155:Y155,"u")=0), "u", "")</f>
        <v/>
      </c>
      <c r="AA155" s="80" t="str">
        <f>IF(AND($F155&lt;&gt;"", $F155&gt;=AA$5-4, $F155&lt;=AA$5, COUNTIF($M155:Z155,"u")=0), "u", "")</f>
        <v/>
      </c>
      <c r="AB155" s="80" t="str">
        <f>IF(AND($F155&lt;&gt;"", $F155&gt;=AB$5-4, $F155&lt;=AB$5, COUNTIF($M155:AA155,"u")=0), "u", "")</f>
        <v/>
      </c>
      <c r="AC155" s="80" t="str">
        <f>IF(AND($F155&lt;&gt;"", $F155&gt;=AC$5-4, $F155&lt;=AC$5, COUNTIF($M155:AB155,"u")=0), "u", "")</f>
        <v/>
      </c>
      <c r="AD155" s="80" t="str">
        <f>IF(AND($F155&lt;&gt;"", $F155&gt;=AD$5-4, $F155&lt;=AD$5, COUNTIF($M155:AC155,"u")=0), "u", "")</f>
        <v/>
      </c>
      <c r="AE155" s="80" t="str">
        <f>IF(AND($F155&lt;&gt;"", $F155&gt;=AE$5-4, $F155&lt;=AE$5, COUNTIF($M155:AD155,"u")=0), "u", "")</f>
        <v/>
      </c>
      <c r="AF155" s="80" t="str">
        <f>IF(AND($F155&lt;&gt;"", $F155&gt;=AF$5-4, $F155&lt;=AF$5, COUNTIF($M155:AE155,"u")=0), "u", "")</f>
        <v/>
      </c>
      <c r="AG155" s="80" t="str">
        <f>IF(AND($F155&lt;&gt;"", $F155&gt;=AG$5-4, $F155&lt;=AG$5, COUNTIF($M155:AF155,"u")=0), "u", "")</f>
        <v/>
      </c>
      <c r="AH155" s="80" t="str">
        <f>IF(AND($F155&lt;&gt;"", $F155&gt;=AH$5-4, $F155&lt;=AH$5, COUNTIF($M155:AG155,"u")=0), "u", "")</f>
        <v/>
      </c>
      <c r="AI155" s="80" t="str">
        <f>IF(AND($F155&lt;&gt;"", $F155&gt;=AI$5-4, $F155&lt;=AI$5, COUNTIF($M155:AH155,"u")=0), "u", "")</f>
        <v/>
      </c>
      <c r="AJ155" s="80" t="str">
        <f>IF(AND($F155&lt;&gt;"", $F155&gt;=AJ$5-4, $F155&lt;=AJ$5, COUNTIF($M155:AI155,"u")=0), "u", "")</f>
        <v/>
      </c>
      <c r="AK155" s="80" t="str">
        <f>IF(AND($F155&lt;&gt;"", $F155&gt;=AK$5-4, $F155&lt;=AK$5, COUNTIF($M155:AJ155,"u")=0), "u", "")</f>
        <v/>
      </c>
      <c r="AL155" s="80" t="str">
        <f>IF(AND($F155&lt;&gt;"", $F155&gt;=AL$5-4, $F155&lt;=AL$5, COUNTIF($M155:AK155,"u")=0), "u", "")</f>
        <v/>
      </c>
      <c r="AM155" s="80" t="str">
        <f>IF(AND($F155&lt;&gt;"", $F155&gt;=AM$5-4, $F155&lt;=AM$5, COUNTIF($M155:AL155,"u")=0), "u", "")</f>
        <v/>
      </c>
      <c r="AN155" s="80" t="str">
        <f>IF(AND($F155&lt;&gt;"", $F155&gt;=AN$5-4, $F155&lt;=AN$5, COUNTIF($M155:AM155,"u")=0), "u", "")</f>
        <v/>
      </c>
      <c r="AO155" s="80" t="str">
        <f>IF(AND($F155&lt;&gt;"", $F155&gt;=AO$5-4, $F155&lt;=AO$5, COUNTIF($M155:AN155,"u")=0), "u", "")</f>
        <v/>
      </c>
      <c r="AP155" s="80" t="str">
        <f>IF(AND($F155&lt;&gt;"", $F155&gt;=AP$5-4, $F155&lt;=AP$5, COUNTIF($M155:AO155,"u")=0), "u", "")</f>
        <v/>
      </c>
      <c r="AQ155" s="80" t="str">
        <f>IF(AND($F155&lt;&gt;"", $F155&gt;=AQ$5-4, $F155&lt;=AQ$5, COUNTIF($M155:AP155,"u")=0), "u", "")</f>
        <v/>
      </c>
      <c r="AR155" s="80" t="str">
        <f>IF(AND($F155&lt;&gt;"", $F155&gt;=AR$5-4, $F155&lt;=AR$5, COUNTIF($M155:AQ155,"u")=0), "u", "")</f>
        <v/>
      </c>
      <c r="AS155" s="80" t="str">
        <f>IF(AND($F155&lt;&gt;"", $F155&gt;=AS$5-4, $F155&lt;=AS$5, COUNTIF($M155:AR155,"u")=0), "u", "")</f>
        <v/>
      </c>
      <c r="AT155" s="80" t="str">
        <f>IF(AND($F155&lt;&gt;"", $F155&gt;=AT$5-4, $F155&lt;=AT$5, COUNTIF($M155:AS155,"u")=0), "u", "")</f>
        <v/>
      </c>
      <c r="AU155" s="80" t="str">
        <f>IF(AND($F155&lt;&gt;"", $F155&gt;=AU$5-4, $F155&lt;=AU$5, COUNTIF($M155:AT155,"u")=0), "u", "")</f>
        <v/>
      </c>
      <c r="AV155" s="80" t="str">
        <f>IF(AND($F155&lt;&gt;"", $F155&gt;=AV$5-4, $F155&lt;=AV$5, COUNTIF($M155:AU155,"u")=0), "u", "")</f>
        <v/>
      </c>
      <c r="AW155" s="80" t="str">
        <f>IF(AND($F155&lt;&gt;"", $F155&gt;=AW$5-4, $F155&lt;=AW$5, COUNTIF($M155:AV155,"u")=0), "u", "")</f>
        <v/>
      </c>
      <c r="AX155" s="80" t="str">
        <f>IF(AND($F155&lt;&gt;"", $F155&gt;=AX$5-4, $F155&lt;=AX$5, COUNTIF($M155:AW155,"u")=0), "u", "")</f>
        <v/>
      </c>
      <c r="AY155" s="80" t="str">
        <f>IF(AND($F155&lt;&gt;"", $F155&gt;=AY$5-4, $F155&lt;=AY$5, COUNTIF($M155:AX155,"u")=0), "u", "")</f>
        <v/>
      </c>
      <c r="AZ155" s="80" t="str">
        <f>IF(AND($F155&lt;&gt;"", $F155&gt;=AZ$5-4, $F155&lt;=AZ$5, COUNTIF($M155:AY155,"u")=0), "u", "")</f>
        <v/>
      </c>
      <c r="BA155" s="80" t="str">
        <f>IF(AND($F155&lt;&gt;"", $F155&gt;=BA$5-4, $F155&lt;=BA$5, COUNTIF($M155:AZ155,"u")=0), "u", "")</f>
        <v/>
      </c>
      <c r="BB155" s="80" t="str">
        <f>IF(AND($F155&lt;&gt;"", $F155&gt;=BB$5-4, $F155&lt;=BB$5, COUNTIF($M155:BA155,"u")=0), "u", "")</f>
        <v/>
      </c>
      <c r="BC155" s="80" t="str">
        <f>IF(AND($F155&lt;&gt;"", $F155&gt;=BC$5-4, $F155&lt;=BC$5, COUNTIF($M155:BB155,"u")=0), "u", "")</f>
        <v/>
      </c>
      <c r="BD155" s="80" t="str">
        <f>IF(AND($F155&lt;&gt;"", $F155&gt;=BD$5-4, $F155&lt;=BD$5, COUNTIF($M155:BC155,"u")=0), "u", "")</f>
        <v/>
      </c>
      <c r="BE155" s="80" t="str">
        <f>IF(AND($F155&lt;&gt;"", $F155&gt;=BE$5-4, $F155&lt;=BE$5, COUNTIF($M155:BD155,"u")=0), "u", "")</f>
        <v/>
      </c>
      <c r="BF155" s="80" t="str">
        <f>IF(AND($F155&lt;&gt;"", $F155&gt;=BF$5-4, $F155&lt;=BF$5, COUNTIF($M155:BE155,"u")=0), "u", "")</f>
        <v/>
      </c>
      <c r="BG155" s="80" t="str">
        <f>IF(AND($F155&lt;&gt;"", $F155&gt;=BG$5-4, $F155&lt;=BG$5, COUNTIF($M155:BF155,"u")=0), "u", "")</f>
        <v/>
      </c>
      <c r="BH155" s="80" t="str">
        <f>IF(AND($F155&lt;&gt;"", $F155&gt;=BH$5-4, $F155&lt;=BH$5, COUNTIF($M155:BG155,"u")=0), "u", "")</f>
        <v/>
      </c>
      <c r="BI155" s="80" t="str">
        <f>IF(AND($F155&lt;&gt;"", $F155&gt;=BI$5-4, $F155&lt;=BI$5, COUNTIF($M155:BH155,"u")=0), "u", "")</f>
        <v/>
      </c>
      <c r="BJ155" s="80" t="str">
        <f>IF(AND($F155&lt;&gt;"", $F155&gt;=BJ$5-4, $F155&lt;=BJ$5, COUNTIF($M155:BI155,"u")=0), "u", "")</f>
        <v/>
      </c>
      <c r="BK155" s="80" t="str">
        <f>IF(AND($F155&lt;&gt;"", $F155&gt;=BK$5-4, $F155&lt;=BK$5, COUNTIF($M155:BJ155,"u")=0), "u", "")</f>
        <v/>
      </c>
      <c r="BL155" s="80" t="str">
        <f>IF(AND($F155&lt;&gt;"", $F155&gt;=BL$5-4, $F155&lt;=BL$5, COUNTIF($M155:BK155,"u")=0), "u", "")</f>
        <v/>
      </c>
      <c r="BM155" s="80" t="str">
        <f>IF(AND($F155&lt;&gt;"", $F155&gt;=BM$5-4, $F155&lt;=BM$5, COUNTIF($M155:BL155,"u")=0), "u", "")</f>
        <v/>
      </c>
      <c r="BN155" s="80" t="str">
        <f>IF(AND($F155&lt;&gt;"", $F155&gt;=BN$5-4, $F155&lt;=BN$5, COUNTIF($M155:BM155,"u")=0), "u", "")</f>
        <v/>
      </c>
      <c r="BO155" s="80" t="str">
        <f>IF(AND($F155&lt;&gt;"", $F155&gt;=BO$5-4, $F155&lt;=BO$5, COUNTIF($M155:BN155,"u")=0), "u", "")</f>
        <v/>
      </c>
      <c r="BP155" s="80" t="str">
        <f>IF(AND($F155&lt;&gt;"", $F155&gt;=BP$5-4, $F155&lt;=BP$5, COUNTIF($M155:BO155,"u")=0), "u", "")</f>
        <v/>
      </c>
      <c r="BQ155" s="80" t="str">
        <f>IF(AND($F155&lt;&gt;"", $F155&gt;=BQ$5-4, $F155&lt;=BQ$5, COUNTIF($M155:BP155,"u")=0), "u", "")</f>
        <v/>
      </c>
      <c r="BR155" s="80" t="str">
        <f>IF(AND($F155&lt;&gt;"", $F155&gt;=BR$5-4, $F155&lt;=BR$5, COUNTIF($M155:BQ155,"u")=0), "u", "")</f>
        <v/>
      </c>
      <c r="BS155" s="80" t="str">
        <f>IF(AND($F155&lt;&gt;"", $F155&gt;=BS$5-4, $F155&lt;=BS$5, COUNTIF($M155:BR155,"u")=0), "u", "")</f>
        <v/>
      </c>
      <c r="BT155" s="80" t="str">
        <f>IF(AND($F155&lt;&gt;"", $F155&gt;=BT$5-4, $F155&lt;=BT$5, COUNTIF($M155:BS155,"u")=0), "u", "")</f>
        <v/>
      </c>
      <c r="BU155" s="80" t="str">
        <f>IF(AND($F155&lt;&gt;"", $F155&gt;=BU$5-4, $F155&lt;=BU$5, COUNTIF($M155:BT155,"u")=0), "u", "")</f>
        <v/>
      </c>
      <c r="BV155" s="80" t="str">
        <f>IF(AND($F155&lt;&gt;"", $F155&gt;=BV$5-4, $F155&lt;=BV$5, COUNTIF($M155:BU155,"u")=0), "u", "")</f>
        <v/>
      </c>
      <c r="BW155" s="80" t="str">
        <f>IF(AND($F155&lt;&gt;"", $F155&gt;=BW$5-4, $F155&lt;=BW$5, COUNTIF($M155:BV155,"u")=0), "u", "")</f>
        <v/>
      </c>
      <c r="BX155" s="80" t="str">
        <f>IF(AND($F155&lt;&gt;"", $F155&gt;=BX$5-4, $F155&lt;=BX$5, COUNTIF($M155:BW155,"u")=0), "u", "")</f>
        <v/>
      </c>
      <c r="BY155" s="80" t="str">
        <f>IF(AND($F155&lt;&gt;"", $F155&gt;=BY$5-4, $F155&lt;=BY$5, COUNTIF($M155:BX155,"u")=0), "u", "")</f>
        <v/>
      </c>
      <c r="BZ155" s="80" t="str">
        <f>IF(AND($F155&lt;&gt;"", $F155&gt;=BZ$5-4, $F155&lt;=BZ$5, COUNTIF($M155:BY155,"u")=0), "u", "")</f>
        <v/>
      </c>
      <c r="CA155" s="80" t="str">
        <f>IF(AND($F155&lt;&gt;"", $F155&gt;=CA$5-4, $F155&lt;=CA$5, COUNTIF($M155:BZ155,"u")=0), "u", "")</f>
        <v/>
      </c>
      <c r="CB155" s="80" t="str">
        <f>IF(AND($F155&lt;&gt;"", $F155&gt;=CB$5-4, $F155&lt;=CB$5, COUNTIF($M155:CA155,"u")=0), "u", "")</f>
        <v/>
      </c>
      <c r="CC155" s="80" t="str">
        <f>IF(AND($F155&lt;&gt;"", $F155&gt;=CC$5-4, $F155&lt;=CC$5, COUNTIF($M155:CB155,"u")=0), "u", "")</f>
        <v/>
      </c>
      <c r="CD155" s="80" t="str">
        <f>IF(AND($F155&lt;&gt;"", $F155&gt;=CD$5-4, $F155&lt;=CD$5, COUNTIF($M155:CC155,"u")=0), "u", "")</f>
        <v/>
      </c>
      <c r="CE155" s="80" t="str">
        <f>IF(AND($F155&lt;&gt;"", $F155&gt;=CE$5-4, $F155&lt;=CE$5, COUNTIF($M155:CD155,"u")=0), "u", "")</f>
        <v/>
      </c>
      <c r="CF155" s="80" t="str">
        <f>IF(AND($F155&lt;&gt;"", $F155&gt;=CF$5-4, $F155&lt;=CF$5, COUNTIF($M155:CE155,"u")=0), "u", "")</f>
        <v/>
      </c>
      <c r="CG155" s="80" t="str">
        <f>IF(AND($F155&lt;&gt;"", $F155&gt;=CG$5-4, $F155&lt;=CG$5, COUNTIF($M155:CF155,"u")=0), "u", "")</f>
        <v/>
      </c>
      <c r="CH155" s="80" t="str">
        <f>IF(AND($F155&lt;&gt;"", $F155&gt;=CH$5-4, $F155&lt;=CH$5, COUNTIF($M155:CG155,"u")=0), "u", "")</f>
        <v/>
      </c>
      <c r="CI155" s="80" t="str">
        <f>IF(AND($F155&lt;&gt;"", $F155&gt;=CI$5-4, $F155&lt;=CI$5, COUNTIF($M155:CH155,"u")=0), "u", "")</f>
        <v/>
      </c>
      <c r="CJ155" s="80" t="str">
        <f>IF(AND($F155&lt;&gt;"", $F155&gt;=CJ$5-4, $F155&lt;=CJ$5, COUNTIF($M155:CI155,"u")=0), "u", "")</f>
        <v/>
      </c>
      <c r="CK155" s="80" t="str">
        <f>IF(AND($F155&lt;&gt;"", $F155&gt;=CK$5-4, $F155&lt;=CK$5, COUNTIF($M155:CJ155,"u")=0), "u", "")</f>
        <v/>
      </c>
      <c r="CL155" s="80" t="str">
        <f>IF(AND($F155&lt;&gt;"", $F155&gt;=CL$5-4, $F155&lt;=CL$5, COUNTIF($M155:CK155,"u")=0), "u", "")</f>
        <v/>
      </c>
      <c r="CM155" s="80" t="str">
        <f>IF(AND($F155&lt;&gt;"", $F155&gt;=CM$5-4, $F155&lt;=CM$5, COUNTIF($M155:CL155,"u")=0), "u", "")</f>
        <v/>
      </c>
      <c r="CN155" s="80" t="str">
        <f>IF(AND($F155&lt;&gt;"", $F155&gt;=CN$5-4, $F155&lt;=CN$5, COUNTIF($M155:CM155,"u")=0), "u", "")</f>
        <v/>
      </c>
      <c r="CO155" s="80" t="str">
        <f>IF(AND($F155&lt;&gt;"", $F155&gt;=CO$5-4, $F155&lt;=CO$5, COUNTIF($M155:CN155,"u")=0), "u", "")</f>
        <v/>
      </c>
      <c r="CP155" s="80" t="str">
        <f>IF(AND($F155&lt;&gt;"", $F155&gt;=CP$5-4, $F155&lt;=CP$5, COUNTIF($M155:CO155,"u")=0), "u", "")</f>
        <v/>
      </c>
      <c r="CQ155" s="80" t="str">
        <f>IF(AND($F155&lt;&gt;"", $F155&gt;=CQ$5-4, $F155&lt;=CQ$5, COUNTIF($M155:CP155,"u")=0), "u", "")</f>
        <v/>
      </c>
      <c r="CR155" s="80" t="str">
        <f>IF(AND($F155&lt;&gt;"", $F155&gt;=CR$5-4, $F155&lt;=CR$5, COUNTIF($M155:CQ155,"u")=0), "u", "")</f>
        <v/>
      </c>
      <c r="CS155" s="80" t="str">
        <f>IF(AND($F155&lt;&gt;"", $F155&gt;=CS$5-4, $F155&lt;=CS$5, COUNTIF($M155:CR155,"u")=0), "u", "")</f>
        <v/>
      </c>
      <c r="CT155" s="80" t="str">
        <f>IF(AND($F155&lt;&gt;"", $F155&gt;=CT$5-4, $F155&lt;=CT$5, COUNTIF($M155:CS155,"u")=0), "u", "")</f>
        <v/>
      </c>
      <c r="CU155" s="80" t="str">
        <f>IF(AND($F155&lt;&gt;"", $F155&gt;=CU$5-4, $F155&lt;=CU$5, COUNTIF($M155:CT155,"u")=0), "u", "")</f>
        <v/>
      </c>
      <c r="CV155" s="80" t="str">
        <f>IF(AND($F155&lt;&gt;"", $F155&gt;=CV$5-4, $F155&lt;=CV$5, COUNTIF($M155:CU155,"u")=0), "u", "")</f>
        <v/>
      </c>
      <c r="CW155" s="80" t="str">
        <f>IF(AND($F155&lt;&gt;"", $F155&gt;=CW$5-4, $F155&lt;=CW$5, COUNTIF($M155:CV155,"u")=0), "u", "")</f>
        <v/>
      </c>
      <c r="CX155" s="80" t="str">
        <f>IF(AND($F155&lt;&gt;"", $F155&gt;=CX$5-4, $F155&lt;=CX$5, COUNTIF($M155:CW155,"u")=0), "u", "")</f>
        <v/>
      </c>
      <c r="CY155" s="80" t="str">
        <f>IF(AND($F155&lt;&gt;"", $F155&gt;=CY$5-4, $F155&lt;=CY$5, COUNTIF($M155:CX155,"u")=0), "u", "")</f>
        <v/>
      </c>
      <c r="CZ155" s="80" t="str">
        <f>IF(AND($F155&lt;&gt;"", $F155&gt;=CZ$5-4, $F155&lt;=CZ$5, COUNTIF($M155:CY155,"u")=0), "u", "")</f>
        <v/>
      </c>
      <c r="DA155" s="80" t="str">
        <f>IF(AND($F155&lt;&gt;"", $F155&gt;=DA$5-4, $F155&lt;=DA$5, COUNTIF($M155:CZ155,"u")=0), "u", "")</f>
        <v/>
      </c>
      <c r="DB155" s="80" t="str">
        <f>IF(AND($F155&lt;&gt;"", $F155&gt;=DB$5-4, $F155&lt;=DB$5, COUNTIF($M155:DA155,"u")=0), "u", "")</f>
        <v/>
      </c>
      <c r="DC155" s="80" t="str">
        <f>IF(AND($F155&lt;&gt;"", $F155&gt;=DC$5-4, $F155&lt;=DC$5, COUNTIF($M155:DB155,"u")=0), "u", "")</f>
        <v/>
      </c>
      <c r="DD155" s="80" t="str">
        <f>IF(AND($F155&lt;&gt;"", $F155&gt;=DD$5-4, $F155&lt;=DD$5, COUNTIF($M155:DC155,"u")=0), "u", "")</f>
        <v/>
      </c>
      <c r="DE155" s="80" t="str">
        <f>IF(AND($F155&lt;&gt;"", $F155&gt;=DE$5-4, $F155&lt;=DE$5, COUNTIF($M155:DD155,"u")=0), "u", "")</f>
        <v/>
      </c>
      <c r="DF155" s="80" t="str">
        <f>IF(AND($F155&lt;&gt;"", $F155&gt;=DF$5-4, $F155&lt;=DF$5, COUNTIF($M155:DE155,"u")=0), "u", "")</f>
        <v/>
      </c>
      <c r="DG155" s="80" t="str">
        <f>IF(AND($F155&lt;&gt;"", $F155&gt;=DG$5-4, $F155&lt;=DG$5, COUNTIF($M155:DF155,"u")=0), "u", "")</f>
        <v/>
      </c>
      <c r="DH155" s="80" t="str">
        <f>IF(AND($F155&lt;&gt;"", $F155&gt;=DH$5-4, $F155&lt;=DH$5, COUNTIF($M155:DG155,"u")=0), "u", "")</f>
        <v/>
      </c>
      <c r="DI155" s="80" t="str">
        <f>IF(AND($F155&lt;&gt;"", $F155&gt;=DI$5-4, $F155&lt;=DI$5, COUNTIF($M155:DH155,"u")=0), "u", "")</f>
        <v/>
      </c>
      <c r="DJ155" s="80" t="str">
        <f>IF(AND($F155&lt;&gt;"", $F155&gt;=DJ$5-4, $F155&lt;=DJ$5, COUNTIF($M155:DI155,"u")=0), "u", "")</f>
        <v/>
      </c>
      <c r="DK155" s="80" t="str">
        <f>IF(AND($F155&lt;&gt;"", $F155&gt;=DK$5-4, $F155&lt;=DK$5, COUNTIF($M155:DJ155,"u")=0), "u", "")</f>
        <v/>
      </c>
      <c r="DL155" s="80" t="str">
        <f>IF(AND($F155&lt;&gt;"", $F155&gt;=DL$5-4, $F155&lt;=DL$5, COUNTIF($M155:DK155,"u")=0), "u", "")</f>
        <v/>
      </c>
    </row>
    <row r="156" spans="1:116" ht="25.05" customHeight="1" x14ac:dyDescent="0.3">
      <c r="A156" s="39"/>
      <c r="B156" s="75">
        <v>151</v>
      </c>
      <c r="C156" s="97"/>
      <c r="D156" s="92"/>
      <c r="E156" s="53"/>
      <c r="F156" s="53"/>
      <c r="G156" s="83" t="str">
        <f t="shared" si="53"/>
        <v/>
      </c>
      <c r="H156" s="83" t="str">
        <f t="shared" si="53"/>
        <v/>
      </c>
      <c r="I156" s="77" t="str">
        <f t="shared" si="51"/>
        <v/>
      </c>
      <c r="J156" s="78"/>
      <c r="K156" s="86"/>
      <c r="L156" s="56"/>
      <c r="M156" s="80" t="str">
        <f t="shared" si="52"/>
        <v/>
      </c>
      <c r="N156" s="80" t="str">
        <f>IF(AND($F156&lt;&gt;"", $F156&gt;=N$5-4, $F156&lt;=N$5, COUNTIF($M156:M156,"u")=0), "u", "")</f>
        <v/>
      </c>
      <c r="O156" s="80" t="str">
        <f>IF(AND($F156&lt;&gt;"", $F156&gt;=O$5-4, $F156&lt;=O$5, COUNTIF($M156:N156,"u")=0), "u", "")</f>
        <v/>
      </c>
      <c r="P156" s="80" t="str">
        <f>IF(AND($F156&lt;&gt;"", $F156&gt;=P$5-4, $F156&lt;=P$5, COUNTIF($M156:O156,"u")=0), "u", "")</f>
        <v/>
      </c>
      <c r="Q156" s="80" t="str">
        <f>IF(AND($F156&lt;&gt;"", $F156&gt;=Q$5-4, $F156&lt;=Q$5, COUNTIF($M156:P156,"u")=0), "u", "")</f>
        <v/>
      </c>
      <c r="R156" s="80" t="str">
        <f>IF(AND($F156&lt;&gt;"", $F156&gt;=R$5-4, $F156&lt;=R$5, COUNTIF($M156:Q156,"u")=0), "u", "")</f>
        <v/>
      </c>
      <c r="S156" s="80" t="str">
        <f>IF(AND($F156&lt;&gt;"", $F156&gt;=S$5-4, $F156&lt;=S$5, COUNTIF($M156:R156,"u")=0), "u", "")</f>
        <v/>
      </c>
      <c r="T156" s="80" t="str">
        <f>IF(AND($F156&lt;&gt;"", $F156&gt;=T$5-4, $F156&lt;=T$5, COUNTIF($M156:S156,"u")=0), "u", "")</f>
        <v/>
      </c>
      <c r="U156" s="80" t="str">
        <f>IF(AND($F156&lt;&gt;"", $F156&gt;=U$5-4, $F156&lt;=U$5, COUNTIF($M156:T156,"u")=0), "u", "")</f>
        <v/>
      </c>
      <c r="V156" s="80" t="str">
        <f>IF(AND($F156&lt;&gt;"", $F156&gt;=V$5-4, $F156&lt;=V$5, COUNTIF($M156:U156,"u")=0), "u", "")</f>
        <v/>
      </c>
      <c r="W156" s="80" t="str">
        <f>IF(AND($F156&lt;&gt;"", $F156&gt;=W$5-4, $F156&lt;=W$5, COUNTIF($M156:V156,"u")=0), "u", "")</f>
        <v/>
      </c>
      <c r="X156" s="80" t="str">
        <f>IF(AND($F156&lt;&gt;"", $F156&gt;=X$5-4, $F156&lt;=X$5, COUNTIF($M156:W156,"u")=0), "u", "")</f>
        <v/>
      </c>
      <c r="Y156" s="80" t="str">
        <f>IF(AND($F156&lt;&gt;"", $F156&gt;=Y$5-4, $F156&lt;=Y$5, COUNTIF($M156:X156,"u")=0), "u", "")</f>
        <v/>
      </c>
      <c r="Z156" s="80" t="str">
        <f>IF(AND($F156&lt;&gt;"", $F156&gt;=Z$5-4, $F156&lt;=Z$5, COUNTIF($M156:Y156,"u")=0), "u", "")</f>
        <v/>
      </c>
      <c r="AA156" s="80" t="str">
        <f>IF(AND($F156&lt;&gt;"", $F156&gt;=AA$5-4, $F156&lt;=AA$5, COUNTIF($M156:Z156,"u")=0), "u", "")</f>
        <v/>
      </c>
      <c r="AB156" s="80" t="str">
        <f>IF(AND($F156&lt;&gt;"", $F156&gt;=AB$5-4, $F156&lt;=AB$5, COUNTIF($M156:AA156,"u")=0), "u", "")</f>
        <v/>
      </c>
      <c r="AC156" s="80" t="str">
        <f>IF(AND($F156&lt;&gt;"", $F156&gt;=AC$5-4, $F156&lt;=AC$5, COUNTIF($M156:AB156,"u")=0), "u", "")</f>
        <v/>
      </c>
      <c r="AD156" s="80" t="str">
        <f>IF(AND($F156&lt;&gt;"", $F156&gt;=AD$5-4, $F156&lt;=AD$5, COUNTIF($M156:AC156,"u")=0), "u", "")</f>
        <v/>
      </c>
      <c r="AE156" s="80" t="str">
        <f>IF(AND($F156&lt;&gt;"", $F156&gt;=AE$5-4, $F156&lt;=AE$5, COUNTIF($M156:AD156,"u")=0), "u", "")</f>
        <v/>
      </c>
      <c r="AF156" s="80" t="str">
        <f>IF(AND($F156&lt;&gt;"", $F156&gt;=AF$5-4, $F156&lt;=AF$5, COUNTIF($M156:AE156,"u")=0), "u", "")</f>
        <v/>
      </c>
      <c r="AG156" s="80" t="str">
        <f>IF(AND($F156&lt;&gt;"", $F156&gt;=AG$5-4, $F156&lt;=AG$5, COUNTIF($M156:AF156,"u")=0), "u", "")</f>
        <v/>
      </c>
      <c r="AH156" s="80" t="str">
        <f>IF(AND($F156&lt;&gt;"", $F156&gt;=AH$5-4, $F156&lt;=AH$5, COUNTIF($M156:AG156,"u")=0), "u", "")</f>
        <v/>
      </c>
      <c r="AI156" s="80" t="str">
        <f>IF(AND($F156&lt;&gt;"", $F156&gt;=AI$5-4, $F156&lt;=AI$5, COUNTIF($M156:AH156,"u")=0), "u", "")</f>
        <v/>
      </c>
      <c r="AJ156" s="80" t="str">
        <f>IF(AND($F156&lt;&gt;"", $F156&gt;=AJ$5-4, $F156&lt;=AJ$5, COUNTIF($M156:AI156,"u")=0), "u", "")</f>
        <v/>
      </c>
      <c r="AK156" s="80" t="str">
        <f>IF(AND($F156&lt;&gt;"", $F156&gt;=AK$5-4, $F156&lt;=AK$5, COUNTIF($M156:AJ156,"u")=0), "u", "")</f>
        <v/>
      </c>
      <c r="AL156" s="80" t="str">
        <f>IF(AND($F156&lt;&gt;"", $F156&gt;=AL$5-4, $F156&lt;=AL$5, COUNTIF($M156:AK156,"u")=0), "u", "")</f>
        <v/>
      </c>
      <c r="AM156" s="80" t="str">
        <f>IF(AND($F156&lt;&gt;"", $F156&gt;=AM$5-4, $F156&lt;=AM$5, COUNTIF($M156:AL156,"u")=0), "u", "")</f>
        <v/>
      </c>
      <c r="AN156" s="80" t="str">
        <f>IF(AND($F156&lt;&gt;"", $F156&gt;=AN$5-4, $F156&lt;=AN$5, COUNTIF($M156:AM156,"u")=0), "u", "")</f>
        <v/>
      </c>
      <c r="AO156" s="80" t="str">
        <f>IF(AND($F156&lt;&gt;"", $F156&gt;=AO$5-4, $F156&lt;=AO$5, COUNTIF($M156:AN156,"u")=0), "u", "")</f>
        <v/>
      </c>
      <c r="AP156" s="80" t="str">
        <f>IF(AND($F156&lt;&gt;"", $F156&gt;=AP$5-4, $F156&lt;=AP$5, COUNTIF($M156:AO156,"u")=0), "u", "")</f>
        <v/>
      </c>
      <c r="AQ156" s="80" t="str">
        <f>IF(AND($F156&lt;&gt;"", $F156&gt;=AQ$5-4, $F156&lt;=AQ$5, COUNTIF($M156:AP156,"u")=0), "u", "")</f>
        <v/>
      </c>
      <c r="AR156" s="80" t="str">
        <f>IF(AND($F156&lt;&gt;"", $F156&gt;=AR$5-4, $F156&lt;=AR$5, COUNTIF($M156:AQ156,"u")=0), "u", "")</f>
        <v/>
      </c>
      <c r="AS156" s="80" t="str">
        <f>IF(AND($F156&lt;&gt;"", $F156&gt;=AS$5-4, $F156&lt;=AS$5, COUNTIF($M156:AR156,"u")=0), "u", "")</f>
        <v/>
      </c>
      <c r="AT156" s="80" t="str">
        <f>IF(AND($F156&lt;&gt;"", $F156&gt;=AT$5-4, $F156&lt;=AT$5, COUNTIF($M156:AS156,"u")=0), "u", "")</f>
        <v/>
      </c>
      <c r="AU156" s="80" t="str">
        <f>IF(AND($F156&lt;&gt;"", $F156&gt;=AU$5-4, $F156&lt;=AU$5, COUNTIF($M156:AT156,"u")=0), "u", "")</f>
        <v/>
      </c>
      <c r="AV156" s="80" t="str">
        <f>IF(AND($F156&lt;&gt;"", $F156&gt;=AV$5-4, $F156&lt;=AV$5, COUNTIF($M156:AU156,"u")=0), "u", "")</f>
        <v/>
      </c>
      <c r="AW156" s="80" t="str">
        <f>IF(AND($F156&lt;&gt;"", $F156&gt;=AW$5-4, $F156&lt;=AW$5, COUNTIF($M156:AV156,"u")=0), "u", "")</f>
        <v/>
      </c>
      <c r="AX156" s="80" t="str">
        <f>IF(AND($F156&lt;&gt;"", $F156&gt;=AX$5-4, $F156&lt;=AX$5, COUNTIF($M156:AW156,"u")=0), "u", "")</f>
        <v/>
      </c>
      <c r="AY156" s="80" t="str">
        <f>IF(AND($F156&lt;&gt;"", $F156&gt;=AY$5-4, $F156&lt;=AY$5, COUNTIF($M156:AX156,"u")=0), "u", "")</f>
        <v/>
      </c>
      <c r="AZ156" s="80" t="str">
        <f>IF(AND($F156&lt;&gt;"", $F156&gt;=AZ$5-4, $F156&lt;=AZ$5, COUNTIF($M156:AY156,"u")=0), "u", "")</f>
        <v/>
      </c>
      <c r="BA156" s="80" t="str">
        <f>IF(AND($F156&lt;&gt;"", $F156&gt;=BA$5-4, $F156&lt;=BA$5, COUNTIF($M156:AZ156,"u")=0), "u", "")</f>
        <v/>
      </c>
      <c r="BB156" s="80" t="str">
        <f>IF(AND($F156&lt;&gt;"", $F156&gt;=BB$5-4, $F156&lt;=BB$5, COUNTIF($M156:BA156,"u")=0), "u", "")</f>
        <v/>
      </c>
      <c r="BC156" s="80" t="str">
        <f>IF(AND($F156&lt;&gt;"", $F156&gt;=BC$5-4, $F156&lt;=BC$5, COUNTIF($M156:BB156,"u")=0), "u", "")</f>
        <v/>
      </c>
      <c r="BD156" s="80" t="str">
        <f>IF(AND($F156&lt;&gt;"", $F156&gt;=BD$5-4, $F156&lt;=BD$5, COUNTIF($M156:BC156,"u")=0), "u", "")</f>
        <v/>
      </c>
      <c r="BE156" s="80" t="str">
        <f>IF(AND($F156&lt;&gt;"", $F156&gt;=BE$5-4, $F156&lt;=BE$5, COUNTIF($M156:BD156,"u")=0), "u", "")</f>
        <v/>
      </c>
      <c r="BF156" s="80" t="str">
        <f>IF(AND($F156&lt;&gt;"", $F156&gt;=BF$5-4, $F156&lt;=BF$5, COUNTIF($M156:BE156,"u")=0), "u", "")</f>
        <v/>
      </c>
      <c r="BG156" s="80" t="str">
        <f>IF(AND($F156&lt;&gt;"", $F156&gt;=BG$5-4, $F156&lt;=BG$5, COUNTIF($M156:BF156,"u")=0), "u", "")</f>
        <v/>
      </c>
      <c r="BH156" s="80" t="str">
        <f>IF(AND($F156&lt;&gt;"", $F156&gt;=BH$5-4, $F156&lt;=BH$5, COUNTIF($M156:BG156,"u")=0), "u", "")</f>
        <v/>
      </c>
      <c r="BI156" s="80" t="str">
        <f>IF(AND($F156&lt;&gt;"", $F156&gt;=BI$5-4, $F156&lt;=BI$5, COUNTIF($M156:BH156,"u")=0), "u", "")</f>
        <v/>
      </c>
      <c r="BJ156" s="80" t="str">
        <f>IF(AND($F156&lt;&gt;"", $F156&gt;=BJ$5-4, $F156&lt;=BJ$5, COUNTIF($M156:BI156,"u")=0), "u", "")</f>
        <v/>
      </c>
      <c r="BK156" s="80" t="str">
        <f>IF(AND($F156&lt;&gt;"", $F156&gt;=BK$5-4, $F156&lt;=BK$5, COUNTIF($M156:BJ156,"u")=0), "u", "")</f>
        <v/>
      </c>
      <c r="BL156" s="80" t="str">
        <f>IF(AND($F156&lt;&gt;"", $F156&gt;=BL$5-4, $F156&lt;=BL$5, COUNTIF($M156:BK156,"u")=0), "u", "")</f>
        <v/>
      </c>
      <c r="BM156" s="80" t="str">
        <f>IF(AND($F156&lt;&gt;"", $F156&gt;=BM$5-4, $F156&lt;=BM$5, COUNTIF($M156:BL156,"u")=0), "u", "")</f>
        <v/>
      </c>
      <c r="BN156" s="80" t="str">
        <f>IF(AND($F156&lt;&gt;"", $F156&gt;=BN$5-4, $F156&lt;=BN$5, COUNTIF($M156:BM156,"u")=0), "u", "")</f>
        <v/>
      </c>
      <c r="BO156" s="80" t="str">
        <f>IF(AND($F156&lt;&gt;"", $F156&gt;=BO$5-4, $F156&lt;=BO$5, COUNTIF($M156:BN156,"u")=0), "u", "")</f>
        <v/>
      </c>
      <c r="BP156" s="80" t="str">
        <f>IF(AND($F156&lt;&gt;"", $F156&gt;=BP$5-4, $F156&lt;=BP$5, COUNTIF($M156:BO156,"u")=0), "u", "")</f>
        <v/>
      </c>
      <c r="BQ156" s="80" t="str">
        <f>IF(AND($F156&lt;&gt;"", $F156&gt;=BQ$5-4, $F156&lt;=BQ$5, COUNTIF($M156:BP156,"u")=0), "u", "")</f>
        <v/>
      </c>
      <c r="BR156" s="80" t="str">
        <f>IF(AND($F156&lt;&gt;"", $F156&gt;=BR$5-4, $F156&lt;=BR$5, COUNTIF($M156:BQ156,"u")=0), "u", "")</f>
        <v/>
      </c>
      <c r="BS156" s="80" t="str">
        <f>IF(AND($F156&lt;&gt;"", $F156&gt;=BS$5-4, $F156&lt;=BS$5, COUNTIF($M156:BR156,"u")=0), "u", "")</f>
        <v/>
      </c>
      <c r="BT156" s="80" t="str">
        <f>IF(AND($F156&lt;&gt;"", $F156&gt;=BT$5-4, $F156&lt;=BT$5, COUNTIF($M156:BS156,"u")=0), "u", "")</f>
        <v/>
      </c>
      <c r="BU156" s="80" t="str">
        <f>IF(AND($F156&lt;&gt;"", $F156&gt;=BU$5-4, $F156&lt;=BU$5, COUNTIF($M156:BT156,"u")=0), "u", "")</f>
        <v/>
      </c>
      <c r="BV156" s="80" t="str">
        <f>IF(AND($F156&lt;&gt;"", $F156&gt;=BV$5-4, $F156&lt;=BV$5, COUNTIF($M156:BU156,"u")=0), "u", "")</f>
        <v/>
      </c>
      <c r="BW156" s="80" t="str">
        <f>IF(AND($F156&lt;&gt;"", $F156&gt;=BW$5-4, $F156&lt;=BW$5, COUNTIF($M156:BV156,"u")=0), "u", "")</f>
        <v/>
      </c>
      <c r="BX156" s="80" t="str">
        <f>IF(AND($F156&lt;&gt;"", $F156&gt;=BX$5-4, $F156&lt;=BX$5, COUNTIF($M156:BW156,"u")=0), "u", "")</f>
        <v/>
      </c>
      <c r="BY156" s="80" t="str">
        <f>IF(AND($F156&lt;&gt;"", $F156&gt;=BY$5-4, $F156&lt;=BY$5, COUNTIF($M156:BX156,"u")=0), "u", "")</f>
        <v/>
      </c>
      <c r="BZ156" s="80" t="str">
        <f>IF(AND($F156&lt;&gt;"", $F156&gt;=BZ$5-4, $F156&lt;=BZ$5, COUNTIF($M156:BY156,"u")=0), "u", "")</f>
        <v/>
      </c>
      <c r="CA156" s="80" t="str">
        <f>IF(AND($F156&lt;&gt;"", $F156&gt;=CA$5-4, $F156&lt;=CA$5, COUNTIF($M156:BZ156,"u")=0), "u", "")</f>
        <v/>
      </c>
      <c r="CB156" s="80" t="str">
        <f>IF(AND($F156&lt;&gt;"", $F156&gt;=CB$5-4, $F156&lt;=CB$5, COUNTIF($M156:CA156,"u")=0), "u", "")</f>
        <v/>
      </c>
      <c r="CC156" s="80" t="str">
        <f>IF(AND($F156&lt;&gt;"", $F156&gt;=CC$5-4, $F156&lt;=CC$5, COUNTIF($M156:CB156,"u")=0), "u", "")</f>
        <v/>
      </c>
      <c r="CD156" s="80" t="str">
        <f>IF(AND($F156&lt;&gt;"", $F156&gt;=CD$5-4, $F156&lt;=CD$5, COUNTIF($M156:CC156,"u")=0), "u", "")</f>
        <v/>
      </c>
      <c r="CE156" s="80" t="str">
        <f>IF(AND($F156&lt;&gt;"", $F156&gt;=CE$5-4, $F156&lt;=CE$5, COUNTIF($M156:CD156,"u")=0), "u", "")</f>
        <v/>
      </c>
      <c r="CF156" s="80" t="str">
        <f>IF(AND($F156&lt;&gt;"", $F156&gt;=CF$5-4, $F156&lt;=CF$5, COUNTIF($M156:CE156,"u")=0), "u", "")</f>
        <v/>
      </c>
      <c r="CG156" s="80" t="str">
        <f>IF(AND($F156&lt;&gt;"", $F156&gt;=CG$5-4, $F156&lt;=CG$5, COUNTIF($M156:CF156,"u")=0), "u", "")</f>
        <v/>
      </c>
      <c r="CH156" s="80" t="str">
        <f>IF(AND($F156&lt;&gt;"", $F156&gt;=CH$5-4, $F156&lt;=CH$5, COUNTIF($M156:CG156,"u")=0), "u", "")</f>
        <v/>
      </c>
      <c r="CI156" s="80" t="str">
        <f>IF(AND($F156&lt;&gt;"", $F156&gt;=CI$5-4, $F156&lt;=CI$5, COUNTIF($M156:CH156,"u")=0), "u", "")</f>
        <v/>
      </c>
      <c r="CJ156" s="80" t="str">
        <f>IF(AND($F156&lt;&gt;"", $F156&gt;=CJ$5-4, $F156&lt;=CJ$5, COUNTIF($M156:CI156,"u")=0), "u", "")</f>
        <v/>
      </c>
      <c r="CK156" s="80" t="str">
        <f>IF(AND($F156&lt;&gt;"", $F156&gt;=CK$5-4, $F156&lt;=CK$5, COUNTIF($M156:CJ156,"u")=0), "u", "")</f>
        <v/>
      </c>
      <c r="CL156" s="80" t="str">
        <f>IF(AND($F156&lt;&gt;"", $F156&gt;=CL$5-4, $F156&lt;=CL$5, COUNTIF($M156:CK156,"u")=0), "u", "")</f>
        <v/>
      </c>
      <c r="CM156" s="80" t="str">
        <f>IF(AND($F156&lt;&gt;"", $F156&gt;=CM$5-4, $F156&lt;=CM$5, COUNTIF($M156:CL156,"u")=0), "u", "")</f>
        <v/>
      </c>
      <c r="CN156" s="80" t="str">
        <f>IF(AND($F156&lt;&gt;"", $F156&gt;=CN$5-4, $F156&lt;=CN$5, COUNTIF($M156:CM156,"u")=0), "u", "")</f>
        <v/>
      </c>
      <c r="CO156" s="80" t="str">
        <f>IF(AND($F156&lt;&gt;"", $F156&gt;=CO$5-4, $F156&lt;=CO$5, COUNTIF($M156:CN156,"u")=0), "u", "")</f>
        <v/>
      </c>
      <c r="CP156" s="80" t="str">
        <f>IF(AND($F156&lt;&gt;"", $F156&gt;=CP$5-4, $F156&lt;=CP$5, COUNTIF($M156:CO156,"u")=0), "u", "")</f>
        <v/>
      </c>
      <c r="CQ156" s="80" t="str">
        <f>IF(AND($F156&lt;&gt;"", $F156&gt;=CQ$5-4, $F156&lt;=CQ$5, COUNTIF($M156:CP156,"u")=0), "u", "")</f>
        <v/>
      </c>
      <c r="CR156" s="80" t="str">
        <f>IF(AND($F156&lt;&gt;"", $F156&gt;=CR$5-4, $F156&lt;=CR$5, COUNTIF($M156:CQ156,"u")=0), "u", "")</f>
        <v/>
      </c>
      <c r="CS156" s="80" t="str">
        <f>IF(AND($F156&lt;&gt;"", $F156&gt;=CS$5-4, $F156&lt;=CS$5, COUNTIF($M156:CR156,"u")=0), "u", "")</f>
        <v/>
      </c>
      <c r="CT156" s="80" t="str">
        <f>IF(AND($F156&lt;&gt;"", $F156&gt;=CT$5-4, $F156&lt;=CT$5, COUNTIF($M156:CS156,"u")=0), "u", "")</f>
        <v/>
      </c>
      <c r="CU156" s="80" t="str">
        <f>IF(AND($F156&lt;&gt;"", $F156&gt;=CU$5-4, $F156&lt;=CU$5, COUNTIF($M156:CT156,"u")=0), "u", "")</f>
        <v/>
      </c>
      <c r="CV156" s="80" t="str">
        <f>IF(AND($F156&lt;&gt;"", $F156&gt;=CV$5-4, $F156&lt;=CV$5, COUNTIF($M156:CU156,"u")=0), "u", "")</f>
        <v/>
      </c>
      <c r="CW156" s="80" t="str">
        <f>IF(AND($F156&lt;&gt;"", $F156&gt;=CW$5-4, $F156&lt;=CW$5, COUNTIF($M156:CV156,"u")=0), "u", "")</f>
        <v/>
      </c>
      <c r="CX156" s="80" t="str">
        <f>IF(AND($F156&lt;&gt;"", $F156&gt;=CX$5-4, $F156&lt;=CX$5, COUNTIF($M156:CW156,"u")=0), "u", "")</f>
        <v/>
      </c>
      <c r="CY156" s="80" t="str">
        <f>IF(AND($F156&lt;&gt;"", $F156&gt;=CY$5-4, $F156&lt;=CY$5, COUNTIF($M156:CX156,"u")=0), "u", "")</f>
        <v/>
      </c>
      <c r="CZ156" s="80" t="str">
        <f>IF(AND($F156&lt;&gt;"", $F156&gt;=CZ$5-4, $F156&lt;=CZ$5, COUNTIF($M156:CY156,"u")=0), "u", "")</f>
        <v/>
      </c>
      <c r="DA156" s="80" t="str">
        <f>IF(AND($F156&lt;&gt;"", $F156&gt;=DA$5-4, $F156&lt;=DA$5, COUNTIF($M156:CZ156,"u")=0), "u", "")</f>
        <v/>
      </c>
      <c r="DB156" s="80" t="str">
        <f>IF(AND($F156&lt;&gt;"", $F156&gt;=DB$5-4, $F156&lt;=DB$5, COUNTIF($M156:DA156,"u")=0), "u", "")</f>
        <v/>
      </c>
      <c r="DC156" s="80" t="str">
        <f>IF(AND($F156&lt;&gt;"", $F156&gt;=DC$5-4, $F156&lt;=DC$5, COUNTIF($M156:DB156,"u")=0), "u", "")</f>
        <v/>
      </c>
      <c r="DD156" s="80" t="str">
        <f>IF(AND($F156&lt;&gt;"", $F156&gt;=DD$5-4, $F156&lt;=DD$5, COUNTIF($M156:DC156,"u")=0), "u", "")</f>
        <v/>
      </c>
      <c r="DE156" s="80" t="str">
        <f>IF(AND($F156&lt;&gt;"", $F156&gt;=DE$5-4, $F156&lt;=DE$5, COUNTIF($M156:DD156,"u")=0), "u", "")</f>
        <v/>
      </c>
      <c r="DF156" s="80" t="str">
        <f>IF(AND($F156&lt;&gt;"", $F156&gt;=DF$5-4, $F156&lt;=DF$5, COUNTIF($M156:DE156,"u")=0), "u", "")</f>
        <v/>
      </c>
      <c r="DG156" s="80" t="str">
        <f>IF(AND($F156&lt;&gt;"", $F156&gt;=DG$5-4, $F156&lt;=DG$5, COUNTIF($M156:DF156,"u")=0), "u", "")</f>
        <v/>
      </c>
      <c r="DH156" s="80" t="str">
        <f>IF(AND($F156&lt;&gt;"", $F156&gt;=DH$5-4, $F156&lt;=DH$5, COUNTIF($M156:DG156,"u")=0), "u", "")</f>
        <v/>
      </c>
      <c r="DI156" s="80" t="str">
        <f>IF(AND($F156&lt;&gt;"", $F156&gt;=DI$5-4, $F156&lt;=DI$5, COUNTIF($M156:DH156,"u")=0), "u", "")</f>
        <v/>
      </c>
      <c r="DJ156" s="80" t="str">
        <f>IF(AND($F156&lt;&gt;"", $F156&gt;=DJ$5-4, $F156&lt;=DJ$5, COUNTIF($M156:DI156,"u")=0), "u", "")</f>
        <v/>
      </c>
      <c r="DK156" s="80" t="str">
        <f>IF(AND($F156&lt;&gt;"", $F156&gt;=DK$5-4, $F156&lt;=DK$5, COUNTIF($M156:DJ156,"u")=0), "u", "")</f>
        <v/>
      </c>
      <c r="DL156" s="80" t="str">
        <f>IF(AND($F156&lt;&gt;"", $F156&gt;=DL$5-4, $F156&lt;=DL$5, COUNTIF($M156:DK156,"u")=0), "u", "")</f>
        <v/>
      </c>
    </row>
    <row r="157" spans="1:116" ht="25.05" customHeight="1" x14ac:dyDescent="0.3">
      <c r="A157" s="39"/>
      <c r="B157" s="75">
        <v>152</v>
      </c>
      <c r="C157" s="97"/>
      <c r="D157" s="92"/>
      <c r="E157" s="53"/>
      <c r="F157" s="53"/>
      <c r="G157" s="83" t="str">
        <f t="shared" si="53"/>
        <v/>
      </c>
      <c r="H157" s="83" t="str">
        <f t="shared" si="53"/>
        <v/>
      </c>
      <c r="I157" s="77" t="str">
        <f t="shared" si="51"/>
        <v/>
      </c>
      <c r="J157" s="78"/>
      <c r="K157" s="86"/>
      <c r="L157" s="56"/>
      <c r="M157" s="80" t="str">
        <f t="shared" si="52"/>
        <v/>
      </c>
      <c r="N157" s="80" t="str">
        <f>IF(AND($F157&lt;&gt;"", $F157&gt;=N$5-4, $F157&lt;=N$5, COUNTIF($M157:M157,"u")=0), "u", "")</f>
        <v/>
      </c>
      <c r="O157" s="80" t="str">
        <f>IF(AND($F157&lt;&gt;"", $F157&gt;=O$5-4, $F157&lt;=O$5, COUNTIF($M157:N157,"u")=0), "u", "")</f>
        <v/>
      </c>
      <c r="P157" s="80" t="str">
        <f>IF(AND($F157&lt;&gt;"", $F157&gt;=P$5-4, $F157&lt;=P$5, COUNTIF($M157:O157,"u")=0), "u", "")</f>
        <v/>
      </c>
      <c r="Q157" s="80" t="str">
        <f>IF(AND($F157&lt;&gt;"", $F157&gt;=Q$5-4, $F157&lt;=Q$5, COUNTIF($M157:P157,"u")=0), "u", "")</f>
        <v/>
      </c>
      <c r="R157" s="80" t="str">
        <f>IF(AND($F157&lt;&gt;"", $F157&gt;=R$5-4, $F157&lt;=R$5, COUNTIF($M157:Q157,"u")=0), "u", "")</f>
        <v/>
      </c>
      <c r="S157" s="80" t="str">
        <f>IF(AND($F157&lt;&gt;"", $F157&gt;=S$5-4, $F157&lt;=S$5, COUNTIF($M157:R157,"u")=0), "u", "")</f>
        <v/>
      </c>
      <c r="T157" s="80" t="str">
        <f>IF(AND($F157&lt;&gt;"", $F157&gt;=T$5-4, $F157&lt;=T$5, COUNTIF($M157:S157,"u")=0), "u", "")</f>
        <v/>
      </c>
      <c r="U157" s="80" t="str">
        <f>IF(AND($F157&lt;&gt;"", $F157&gt;=U$5-4, $F157&lt;=U$5, COUNTIF($M157:T157,"u")=0), "u", "")</f>
        <v/>
      </c>
      <c r="V157" s="80" t="str">
        <f>IF(AND($F157&lt;&gt;"", $F157&gt;=V$5-4, $F157&lt;=V$5, COUNTIF($M157:U157,"u")=0), "u", "")</f>
        <v/>
      </c>
      <c r="W157" s="80" t="str">
        <f>IF(AND($F157&lt;&gt;"", $F157&gt;=W$5-4, $F157&lt;=W$5, COUNTIF($M157:V157,"u")=0), "u", "")</f>
        <v/>
      </c>
      <c r="X157" s="80" t="str">
        <f>IF(AND($F157&lt;&gt;"", $F157&gt;=X$5-4, $F157&lt;=X$5, COUNTIF($M157:W157,"u")=0), "u", "")</f>
        <v/>
      </c>
      <c r="Y157" s="80" t="str">
        <f>IF(AND($F157&lt;&gt;"", $F157&gt;=Y$5-4, $F157&lt;=Y$5, COUNTIF($M157:X157,"u")=0), "u", "")</f>
        <v/>
      </c>
      <c r="Z157" s="80" t="str">
        <f>IF(AND($F157&lt;&gt;"", $F157&gt;=Z$5-4, $F157&lt;=Z$5, COUNTIF($M157:Y157,"u")=0), "u", "")</f>
        <v/>
      </c>
      <c r="AA157" s="80" t="str">
        <f>IF(AND($F157&lt;&gt;"", $F157&gt;=AA$5-4, $F157&lt;=AA$5, COUNTIF($M157:Z157,"u")=0), "u", "")</f>
        <v/>
      </c>
      <c r="AB157" s="80" t="str">
        <f>IF(AND($F157&lt;&gt;"", $F157&gt;=AB$5-4, $F157&lt;=AB$5, COUNTIF($M157:AA157,"u")=0), "u", "")</f>
        <v/>
      </c>
      <c r="AC157" s="80" t="str">
        <f>IF(AND($F157&lt;&gt;"", $F157&gt;=AC$5-4, $F157&lt;=AC$5, COUNTIF($M157:AB157,"u")=0), "u", "")</f>
        <v/>
      </c>
      <c r="AD157" s="80" t="str">
        <f>IF(AND($F157&lt;&gt;"", $F157&gt;=AD$5-4, $F157&lt;=AD$5, COUNTIF($M157:AC157,"u")=0), "u", "")</f>
        <v/>
      </c>
      <c r="AE157" s="80" t="str">
        <f>IF(AND($F157&lt;&gt;"", $F157&gt;=AE$5-4, $F157&lt;=AE$5, COUNTIF($M157:AD157,"u")=0), "u", "")</f>
        <v/>
      </c>
      <c r="AF157" s="80" t="str">
        <f>IF(AND($F157&lt;&gt;"", $F157&gt;=AF$5-4, $F157&lt;=AF$5, COUNTIF($M157:AE157,"u")=0), "u", "")</f>
        <v/>
      </c>
      <c r="AG157" s="80" t="str">
        <f>IF(AND($F157&lt;&gt;"", $F157&gt;=AG$5-4, $F157&lt;=AG$5, COUNTIF($M157:AF157,"u")=0), "u", "")</f>
        <v/>
      </c>
      <c r="AH157" s="80" t="str">
        <f>IF(AND($F157&lt;&gt;"", $F157&gt;=AH$5-4, $F157&lt;=AH$5, COUNTIF($M157:AG157,"u")=0), "u", "")</f>
        <v/>
      </c>
      <c r="AI157" s="80" t="str">
        <f>IF(AND($F157&lt;&gt;"", $F157&gt;=AI$5-4, $F157&lt;=AI$5, COUNTIF($M157:AH157,"u")=0), "u", "")</f>
        <v/>
      </c>
      <c r="AJ157" s="80" t="str">
        <f>IF(AND($F157&lt;&gt;"", $F157&gt;=AJ$5-4, $F157&lt;=AJ$5, COUNTIF($M157:AI157,"u")=0), "u", "")</f>
        <v/>
      </c>
      <c r="AK157" s="80" t="str">
        <f>IF(AND($F157&lt;&gt;"", $F157&gt;=AK$5-4, $F157&lt;=AK$5, COUNTIF($M157:AJ157,"u")=0), "u", "")</f>
        <v/>
      </c>
      <c r="AL157" s="80" t="str">
        <f>IF(AND($F157&lt;&gt;"", $F157&gt;=AL$5-4, $F157&lt;=AL$5, COUNTIF($M157:AK157,"u")=0), "u", "")</f>
        <v/>
      </c>
      <c r="AM157" s="80" t="str">
        <f>IF(AND($F157&lt;&gt;"", $F157&gt;=AM$5-4, $F157&lt;=AM$5, COUNTIF($M157:AL157,"u")=0), "u", "")</f>
        <v/>
      </c>
      <c r="AN157" s="80" t="str">
        <f>IF(AND($F157&lt;&gt;"", $F157&gt;=AN$5-4, $F157&lt;=AN$5, COUNTIF($M157:AM157,"u")=0), "u", "")</f>
        <v/>
      </c>
      <c r="AO157" s="80" t="str">
        <f>IF(AND($F157&lt;&gt;"", $F157&gt;=AO$5-4, $F157&lt;=AO$5, COUNTIF($M157:AN157,"u")=0), "u", "")</f>
        <v/>
      </c>
      <c r="AP157" s="80" t="str">
        <f>IF(AND($F157&lt;&gt;"", $F157&gt;=AP$5-4, $F157&lt;=AP$5, COUNTIF($M157:AO157,"u")=0), "u", "")</f>
        <v/>
      </c>
      <c r="AQ157" s="80" t="str">
        <f>IF(AND($F157&lt;&gt;"", $F157&gt;=AQ$5-4, $F157&lt;=AQ$5, COUNTIF($M157:AP157,"u")=0), "u", "")</f>
        <v/>
      </c>
      <c r="AR157" s="80" t="str">
        <f>IF(AND($F157&lt;&gt;"", $F157&gt;=AR$5-4, $F157&lt;=AR$5, COUNTIF($M157:AQ157,"u")=0), "u", "")</f>
        <v/>
      </c>
      <c r="AS157" s="80" t="str">
        <f>IF(AND($F157&lt;&gt;"", $F157&gt;=AS$5-4, $F157&lt;=AS$5, COUNTIF($M157:AR157,"u")=0), "u", "")</f>
        <v/>
      </c>
      <c r="AT157" s="80" t="str">
        <f>IF(AND($F157&lt;&gt;"", $F157&gt;=AT$5-4, $F157&lt;=AT$5, COUNTIF($M157:AS157,"u")=0), "u", "")</f>
        <v/>
      </c>
      <c r="AU157" s="80" t="str">
        <f>IF(AND($F157&lt;&gt;"", $F157&gt;=AU$5-4, $F157&lt;=AU$5, COUNTIF($M157:AT157,"u")=0), "u", "")</f>
        <v/>
      </c>
      <c r="AV157" s="80" t="str">
        <f>IF(AND($F157&lt;&gt;"", $F157&gt;=AV$5-4, $F157&lt;=AV$5, COUNTIF($M157:AU157,"u")=0), "u", "")</f>
        <v/>
      </c>
      <c r="AW157" s="80" t="str">
        <f>IF(AND($F157&lt;&gt;"", $F157&gt;=AW$5-4, $F157&lt;=AW$5, COUNTIF($M157:AV157,"u")=0), "u", "")</f>
        <v/>
      </c>
      <c r="AX157" s="80" t="str">
        <f>IF(AND($F157&lt;&gt;"", $F157&gt;=AX$5-4, $F157&lt;=AX$5, COUNTIF($M157:AW157,"u")=0), "u", "")</f>
        <v/>
      </c>
      <c r="AY157" s="80" t="str">
        <f>IF(AND($F157&lt;&gt;"", $F157&gt;=AY$5-4, $F157&lt;=AY$5, COUNTIF($M157:AX157,"u")=0), "u", "")</f>
        <v/>
      </c>
      <c r="AZ157" s="80" t="str">
        <f>IF(AND($F157&lt;&gt;"", $F157&gt;=AZ$5-4, $F157&lt;=AZ$5, COUNTIF($M157:AY157,"u")=0), "u", "")</f>
        <v/>
      </c>
      <c r="BA157" s="80" t="str">
        <f>IF(AND($F157&lt;&gt;"", $F157&gt;=BA$5-4, $F157&lt;=BA$5, COUNTIF($M157:AZ157,"u")=0), "u", "")</f>
        <v/>
      </c>
      <c r="BB157" s="80" t="str">
        <f>IF(AND($F157&lt;&gt;"", $F157&gt;=BB$5-4, $F157&lt;=BB$5, COUNTIF($M157:BA157,"u")=0), "u", "")</f>
        <v/>
      </c>
      <c r="BC157" s="80" t="str">
        <f>IF(AND($F157&lt;&gt;"", $F157&gt;=BC$5-4, $F157&lt;=BC$5, COUNTIF($M157:BB157,"u")=0), "u", "")</f>
        <v/>
      </c>
      <c r="BD157" s="80" t="str">
        <f>IF(AND($F157&lt;&gt;"", $F157&gt;=BD$5-4, $F157&lt;=BD$5, COUNTIF($M157:BC157,"u")=0), "u", "")</f>
        <v/>
      </c>
      <c r="BE157" s="80" t="str">
        <f>IF(AND($F157&lt;&gt;"", $F157&gt;=BE$5-4, $F157&lt;=BE$5, COUNTIF($M157:BD157,"u")=0), "u", "")</f>
        <v/>
      </c>
      <c r="BF157" s="80" t="str">
        <f>IF(AND($F157&lt;&gt;"", $F157&gt;=BF$5-4, $F157&lt;=BF$5, COUNTIF($M157:BE157,"u")=0), "u", "")</f>
        <v/>
      </c>
      <c r="BG157" s="80" t="str">
        <f>IF(AND($F157&lt;&gt;"", $F157&gt;=BG$5-4, $F157&lt;=BG$5, COUNTIF($M157:BF157,"u")=0), "u", "")</f>
        <v/>
      </c>
      <c r="BH157" s="80" t="str">
        <f>IF(AND($F157&lt;&gt;"", $F157&gt;=BH$5-4, $F157&lt;=BH$5, COUNTIF($M157:BG157,"u")=0), "u", "")</f>
        <v/>
      </c>
      <c r="BI157" s="80" t="str">
        <f>IF(AND($F157&lt;&gt;"", $F157&gt;=BI$5-4, $F157&lt;=BI$5, COUNTIF($M157:BH157,"u")=0), "u", "")</f>
        <v/>
      </c>
      <c r="BJ157" s="80" t="str">
        <f>IF(AND($F157&lt;&gt;"", $F157&gt;=BJ$5-4, $F157&lt;=BJ$5, COUNTIF($M157:BI157,"u")=0), "u", "")</f>
        <v/>
      </c>
      <c r="BK157" s="80" t="str">
        <f>IF(AND($F157&lt;&gt;"", $F157&gt;=BK$5-4, $F157&lt;=BK$5, COUNTIF($M157:BJ157,"u")=0), "u", "")</f>
        <v/>
      </c>
      <c r="BL157" s="80" t="str">
        <f>IF(AND($F157&lt;&gt;"", $F157&gt;=BL$5-4, $F157&lt;=BL$5, COUNTIF($M157:BK157,"u")=0), "u", "")</f>
        <v/>
      </c>
      <c r="BM157" s="80" t="str">
        <f>IF(AND($F157&lt;&gt;"", $F157&gt;=BM$5-4, $F157&lt;=BM$5, COUNTIF($M157:BL157,"u")=0), "u", "")</f>
        <v/>
      </c>
      <c r="BN157" s="80" t="str">
        <f>IF(AND($F157&lt;&gt;"", $F157&gt;=BN$5-4, $F157&lt;=BN$5, COUNTIF($M157:BM157,"u")=0), "u", "")</f>
        <v/>
      </c>
      <c r="BO157" s="80" t="str">
        <f>IF(AND($F157&lt;&gt;"", $F157&gt;=BO$5-4, $F157&lt;=BO$5, COUNTIF($M157:BN157,"u")=0), "u", "")</f>
        <v/>
      </c>
      <c r="BP157" s="80" t="str">
        <f>IF(AND($F157&lt;&gt;"", $F157&gt;=BP$5-4, $F157&lt;=BP$5, COUNTIF($M157:BO157,"u")=0), "u", "")</f>
        <v/>
      </c>
      <c r="BQ157" s="80" t="str">
        <f>IF(AND($F157&lt;&gt;"", $F157&gt;=BQ$5-4, $F157&lt;=BQ$5, COUNTIF($M157:BP157,"u")=0), "u", "")</f>
        <v/>
      </c>
      <c r="BR157" s="80" t="str">
        <f>IF(AND($F157&lt;&gt;"", $F157&gt;=BR$5-4, $F157&lt;=BR$5, COUNTIF($M157:BQ157,"u")=0), "u", "")</f>
        <v/>
      </c>
      <c r="BS157" s="80" t="str">
        <f>IF(AND($F157&lt;&gt;"", $F157&gt;=BS$5-4, $F157&lt;=BS$5, COUNTIF($M157:BR157,"u")=0), "u", "")</f>
        <v/>
      </c>
      <c r="BT157" s="80" t="str">
        <f>IF(AND($F157&lt;&gt;"", $F157&gt;=BT$5-4, $F157&lt;=BT$5, COUNTIF($M157:BS157,"u")=0), "u", "")</f>
        <v/>
      </c>
      <c r="BU157" s="80" t="str">
        <f>IF(AND($F157&lt;&gt;"", $F157&gt;=BU$5-4, $F157&lt;=BU$5, COUNTIF($M157:BT157,"u")=0), "u", "")</f>
        <v/>
      </c>
      <c r="BV157" s="80" t="str">
        <f>IF(AND($F157&lt;&gt;"", $F157&gt;=BV$5-4, $F157&lt;=BV$5, COUNTIF($M157:BU157,"u")=0), "u", "")</f>
        <v/>
      </c>
      <c r="BW157" s="80" t="str">
        <f>IF(AND($F157&lt;&gt;"", $F157&gt;=BW$5-4, $F157&lt;=BW$5, COUNTIF($M157:BV157,"u")=0), "u", "")</f>
        <v/>
      </c>
      <c r="BX157" s="80" t="str">
        <f>IF(AND($F157&lt;&gt;"", $F157&gt;=BX$5-4, $F157&lt;=BX$5, COUNTIF($M157:BW157,"u")=0), "u", "")</f>
        <v/>
      </c>
      <c r="BY157" s="80" t="str">
        <f>IF(AND($F157&lt;&gt;"", $F157&gt;=BY$5-4, $F157&lt;=BY$5, COUNTIF($M157:BX157,"u")=0), "u", "")</f>
        <v/>
      </c>
      <c r="BZ157" s="80" t="str">
        <f>IF(AND($F157&lt;&gt;"", $F157&gt;=BZ$5-4, $F157&lt;=BZ$5, COUNTIF($M157:BY157,"u")=0), "u", "")</f>
        <v/>
      </c>
      <c r="CA157" s="80" t="str">
        <f>IF(AND($F157&lt;&gt;"", $F157&gt;=CA$5-4, $F157&lt;=CA$5, COUNTIF($M157:BZ157,"u")=0), "u", "")</f>
        <v/>
      </c>
      <c r="CB157" s="80" t="str">
        <f>IF(AND($F157&lt;&gt;"", $F157&gt;=CB$5-4, $F157&lt;=CB$5, COUNTIF($M157:CA157,"u")=0), "u", "")</f>
        <v/>
      </c>
      <c r="CC157" s="80" t="str">
        <f>IF(AND($F157&lt;&gt;"", $F157&gt;=CC$5-4, $F157&lt;=CC$5, COUNTIF($M157:CB157,"u")=0), "u", "")</f>
        <v/>
      </c>
      <c r="CD157" s="80" t="str">
        <f>IF(AND($F157&lt;&gt;"", $F157&gt;=CD$5-4, $F157&lt;=CD$5, COUNTIF($M157:CC157,"u")=0), "u", "")</f>
        <v/>
      </c>
      <c r="CE157" s="80" t="str">
        <f>IF(AND($F157&lt;&gt;"", $F157&gt;=CE$5-4, $F157&lt;=CE$5, COUNTIF($M157:CD157,"u")=0), "u", "")</f>
        <v/>
      </c>
      <c r="CF157" s="80" t="str">
        <f>IF(AND($F157&lt;&gt;"", $F157&gt;=CF$5-4, $F157&lt;=CF$5, COUNTIF($M157:CE157,"u")=0), "u", "")</f>
        <v/>
      </c>
      <c r="CG157" s="80" t="str">
        <f>IF(AND($F157&lt;&gt;"", $F157&gt;=CG$5-4, $F157&lt;=CG$5, COUNTIF($M157:CF157,"u")=0), "u", "")</f>
        <v/>
      </c>
      <c r="CH157" s="80" t="str">
        <f>IF(AND($F157&lt;&gt;"", $F157&gt;=CH$5-4, $F157&lt;=CH$5, COUNTIF($M157:CG157,"u")=0), "u", "")</f>
        <v/>
      </c>
      <c r="CI157" s="80" t="str">
        <f>IF(AND($F157&lt;&gt;"", $F157&gt;=CI$5-4, $F157&lt;=CI$5, COUNTIF($M157:CH157,"u")=0), "u", "")</f>
        <v/>
      </c>
      <c r="CJ157" s="80" t="str">
        <f>IF(AND($F157&lt;&gt;"", $F157&gt;=CJ$5-4, $F157&lt;=CJ$5, COUNTIF($M157:CI157,"u")=0), "u", "")</f>
        <v/>
      </c>
      <c r="CK157" s="80" t="str">
        <f>IF(AND($F157&lt;&gt;"", $F157&gt;=CK$5-4, $F157&lt;=CK$5, COUNTIF($M157:CJ157,"u")=0), "u", "")</f>
        <v/>
      </c>
      <c r="CL157" s="80" t="str">
        <f>IF(AND($F157&lt;&gt;"", $F157&gt;=CL$5-4, $F157&lt;=CL$5, COUNTIF($M157:CK157,"u")=0), "u", "")</f>
        <v/>
      </c>
      <c r="CM157" s="80" t="str">
        <f>IF(AND($F157&lt;&gt;"", $F157&gt;=CM$5-4, $F157&lt;=CM$5, COUNTIF($M157:CL157,"u")=0), "u", "")</f>
        <v/>
      </c>
      <c r="CN157" s="80" t="str">
        <f>IF(AND($F157&lt;&gt;"", $F157&gt;=CN$5-4, $F157&lt;=CN$5, COUNTIF($M157:CM157,"u")=0), "u", "")</f>
        <v/>
      </c>
      <c r="CO157" s="80" t="str">
        <f>IF(AND($F157&lt;&gt;"", $F157&gt;=CO$5-4, $F157&lt;=CO$5, COUNTIF($M157:CN157,"u")=0), "u", "")</f>
        <v/>
      </c>
      <c r="CP157" s="80" t="str">
        <f>IF(AND($F157&lt;&gt;"", $F157&gt;=CP$5-4, $F157&lt;=CP$5, COUNTIF($M157:CO157,"u")=0), "u", "")</f>
        <v/>
      </c>
      <c r="CQ157" s="80" t="str">
        <f>IF(AND($F157&lt;&gt;"", $F157&gt;=CQ$5-4, $F157&lt;=CQ$5, COUNTIF($M157:CP157,"u")=0), "u", "")</f>
        <v/>
      </c>
      <c r="CR157" s="80" t="str">
        <f>IF(AND($F157&lt;&gt;"", $F157&gt;=CR$5-4, $F157&lt;=CR$5, COUNTIF($M157:CQ157,"u")=0), "u", "")</f>
        <v/>
      </c>
      <c r="CS157" s="80" t="str">
        <f>IF(AND($F157&lt;&gt;"", $F157&gt;=CS$5-4, $F157&lt;=CS$5, COUNTIF($M157:CR157,"u")=0), "u", "")</f>
        <v/>
      </c>
      <c r="CT157" s="80" t="str">
        <f>IF(AND($F157&lt;&gt;"", $F157&gt;=CT$5-4, $F157&lt;=CT$5, COUNTIF($M157:CS157,"u")=0), "u", "")</f>
        <v/>
      </c>
      <c r="CU157" s="80" t="str">
        <f>IF(AND($F157&lt;&gt;"", $F157&gt;=CU$5-4, $F157&lt;=CU$5, COUNTIF($M157:CT157,"u")=0), "u", "")</f>
        <v/>
      </c>
      <c r="CV157" s="80" t="str">
        <f>IF(AND($F157&lt;&gt;"", $F157&gt;=CV$5-4, $F157&lt;=CV$5, COUNTIF($M157:CU157,"u")=0), "u", "")</f>
        <v/>
      </c>
      <c r="CW157" s="80" t="str">
        <f>IF(AND($F157&lt;&gt;"", $F157&gt;=CW$5-4, $F157&lt;=CW$5, COUNTIF($M157:CV157,"u")=0), "u", "")</f>
        <v/>
      </c>
      <c r="CX157" s="80" t="str">
        <f>IF(AND($F157&lt;&gt;"", $F157&gt;=CX$5-4, $F157&lt;=CX$5, COUNTIF($M157:CW157,"u")=0), "u", "")</f>
        <v/>
      </c>
      <c r="CY157" s="80" t="str">
        <f>IF(AND($F157&lt;&gt;"", $F157&gt;=CY$5-4, $F157&lt;=CY$5, COUNTIF($M157:CX157,"u")=0), "u", "")</f>
        <v/>
      </c>
      <c r="CZ157" s="80" t="str">
        <f>IF(AND($F157&lt;&gt;"", $F157&gt;=CZ$5-4, $F157&lt;=CZ$5, COUNTIF($M157:CY157,"u")=0), "u", "")</f>
        <v/>
      </c>
      <c r="DA157" s="80" t="str">
        <f>IF(AND($F157&lt;&gt;"", $F157&gt;=DA$5-4, $F157&lt;=DA$5, COUNTIF($M157:CZ157,"u")=0), "u", "")</f>
        <v/>
      </c>
      <c r="DB157" s="80" t="str">
        <f>IF(AND($F157&lt;&gt;"", $F157&gt;=DB$5-4, $F157&lt;=DB$5, COUNTIF($M157:DA157,"u")=0), "u", "")</f>
        <v/>
      </c>
      <c r="DC157" s="80" t="str">
        <f>IF(AND($F157&lt;&gt;"", $F157&gt;=DC$5-4, $F157&lt;=DC$5, COUNTIF($M157:DB157,"u")=0), "u", "")</f>
        <v/>
      </c>
      <c r="DD157" s="80" t="str">
        <f>IF(AND($F157&lt;&gt;"", $F157&gt;=DD$5-4, $F157&lt;=DD$5, COUNTIF($M157:DC157,"u")=0), "u", "")</f>
        <v/>
      </c>
      <c r="DE157" s="80" t="str">
        <f>IF(AND($F157&lt;&gt;"", $F157&gt;=DE$5-4, $F157&lt;=DE$5, COUNTIF($M157:DD157,"u")=0), "u", "")</f>
        <v/>
      </c>
      <c r="DF157" s="80" t="str">
        <f>IF(AND($F157&lt;&gt;"", $F157&gt;=DF$5-4, $F157&lt;=DF$5, COUNTIF($M157:DE157,"u")=0), "u", "")</f>
        <v/>
      </c>
      <c r="DG157" s="80" t="str">
        <f>IF(AND($F157&lt;&gt;"", $F157&gt;=DG$5-4, $F157&lt;=DG$5, COUNTIF($M157:DF157,"u")=0), "u", "")</f>
        <v/>
      </c>
      <c r="DH157" s="80" t="str">
        <f>IF(AND($F157&lt;&gt;"", $F157&gt;=DH$5-4, $F157&lt;=DH$5, COUNTIF($M157:DG157,"u")=0), "u", "")</f>
        <v/>
      </c>
      <c r="DI157" s="80" t="str">
        <f>IF(AND($F157&lt;&gt;"", $F157&gt;=DI$5-4, $F157&lt;=DI$5, COUNTIF($M157:DH157,"u")=0), "u", "")</f>
        <v/>
      </c>
      <c r="DJ157" s="80" t="str">
        <f>IF(AND($F157&lt;&gt;"", $F157&gt;=DJ$5-4, $F157&lt;=DJ$5, COUNTIF($M157:DI157,"u")=0), "u", "")</f>
        <v/>
      </c>
      <c r="DK157" s="80" t="str">
        <f>IF(AND($F157&lt;&gt;"", $F157&gt;=DK$5-4, $F157&lt;=DK$5, COUNTIF($M157:DJ157,"u")=0), "u", "")</f>
        <v/>
      </c>
      <c r="DL157" s="80" t="str">
        <f>IF(AND($F157&lt;&gt;"", $F157&gt;=DL$5-4, $F157&lt;=DL$5, COUNTIF($M157:DK157,"u")=0), "u", "")</f>
        <v/>
      </c>
    </row>
    <row r="158" spans="1:116" ht="25.05" customHeight="1" x14ac:dyDescent="0.3">
      <c r="A158" s="39"/>
      <c r="B158" s="75">
        <v>153</v>
      </c>
      <c r="C158" s="97"/>
      <c r="D158" s="92"/>
      <c r="E158" s="53"/>
      <c r="F158" s="53"/>
      <c r="G158" s="83" t="str">
        <f t="shared" si="53"/>
        <v/>
      </c>
      <c r="H158" s="83" t="str">
        <f t="shared" si="53"/>
        <v/>
      </c>
      <c r="I158" s="77" t="str">
        <f t="shared" si="51"/>
        <v/>
      </c>
      <c r="J158" s="78"/>
      <c r="K158" s="86"/>
      <c r="L158" s="56"/>
      <c r="M158" s="80" t="str">
        <f t="shared" si="52"/>
        <v/>
      </c>
      <c r="N158" s="80" t="str">
        <f>IF(AND($F158&lt;&gt;"", $F158&gt;=N$5-4, $F158&lt;=N$5, COUNTIF($M158:M158,"u")=0), "u", "")</f>
        <v/>
      </c>
      <c r="O158" s="80" t="str">
        <f>IF(AND($F158&lt;&gt;"", $F158&gt;=O$5-4, $F158&lt;=O$5, COUNTIF($M158:N158,"u")=0), "u", "")</f>
        <v/>
      </c>
      <c r="P158" s="80" t="str">
        <f>IF(AND($F158&lt;&gt;"", $F158&gt;=P$5-4, $F158&lt;=P$5, COUNTIF($M158:O158,"u")=0), "u", "")</f>
        <v/>
      </c>
      <c r="Q158" s="80" t="str">
        <f>IF(AND($F158&lt;&gt;"", $F158&gt;=Q$5-4, $F158&lt;=Q$5, COUNTIF($M158:P158,"u")=0), "u", "")</f>
        <v/>
      </c>
      <c r="R158" s="80" t="str">
        <f>IF(AND($F158&lt;&gt;"", $F158&gt;=R$5-4, $F158&lt;=R$5, COUNTIF($M158:Q158,"u")=0), "u", "")</f>
        <v/>
      </c>
      <c r="S158" s="80" t="str">
        <f>IF(AND($F158&lt;&gt;"", $F158&gt;=S$5-4, $F158&lt;=S$5, COUNTIF($M158:R158,"u")=0), "u", "")</f>
        <v/>
      </c>
      <c r="T158" s="80" t="str">
        <f>IF(AND($F158&lt;&gt;"", $F158&gt;=T$5-4, $F158&lt;=T$5, COUNTIF($M158:S158,"u")=0), "u", "")</f>
        <v/>
      </c>
      <c r="U158" s="80" t="str">
        <f>IF(AND($F158&lt;&gt;"", $F158&gt;=U$5-4, $F158&lt;=U$5, COUNTIF($M158:T158,"u")=0), "u", "")</f>
        <v/>
      </c>
      <c r="V158" s="80" t="str">
        <f>IF(AND($F158&lt;&gt;"", $F158&gt;=V$5-4, $F158&lt;=V$5, COUNTIF($M158:U158,"u")=0), "u", "")</f>
        <v/>
      </c>
      <c r="W158" s="80" t="str">
        <f>IF(AND($F158&lt;&gt;"", $F158&gt;=W$5-4, $F158&lt;=W$5, COUNTIF($M158:V158,"u")=0), "u", "")</f>
        <v/>
      </c>
      <c r="X158" s="80" t="str">
        <f>IF(AND($F158&lt;&gt;"", $F158&gt;=X$5-4, $F158&lt;=X$5, COUNTIF($M158:W158,"u")=0), "u", "")</f>
        <v/>
      </c>
      <c r="Y158" s="80" t="str">
        <f>IF(AND($F158&lt;&gt;"", $F158&gt;=Y$5-4, $F158&lt;=Y$5, COUNTIF($M158:X158,"u")=0), "u", "")</f>
        <v/>
      </c>
      <c r="Z158" s="80" t="str">
        <f>IF(AND($F158&lt;&gt;"", $F158&gt;=Z$5-4, $F158&lt;=Z$5, COUNTIF($M158:Y158,"u")=0), "u", "")</f>
        <v/>
      </c>
      <c r="AA158" s="80" t="str">
        <f>IF(AND($F158&lt;&gt;"", $F158&gt;=AA$5-4, $F158&lt;=AA$5, COUNTIF($M158:Z158,"u")=0), "u", "")</f>
        <v/>
      </c>
      <c r="AB158" s="80" t="str">
        <f>IF(AND($F158&lt;&gt;"", $F158&gt;=AB$5-4, $F158&lt;=AB$5, COUNTIF($M158:AA158,"u")=0), "u", "")</f>
        <v/>
      </c>
      <c r="AC158" s="80" t="str">
        <f>IF(AND($F158&lt;&gt;"", $F158&gt;=AC$5-4, $F158&lt;=AC$5, COUNTIF($M158:AB158,"u")=0), "u", "")</f>
        <v/>
      </c>
      <c r="AD158" s="80" t="str">
        <f>IF(AND($F158&lt;&gt;"", $F158&gt;=AD$5-4, $F158&lt;=AD$5, COUNTIF($M158:AC158,"u")=0), "u", "")</f>
        <v/>
      </c>
      <c r="AE158" s="80" t="str">
        <f>IF(AND($F158&lt;&gt;"", $F158&gt;=AE$5-4, $F158&lt;=AE$5, COUNTIF($M158:AD158,"u")=0), "u", "")</f>
        <v/>
      </c>
      <c r="AF158" s="80" t="str">
        <f>IF(AND($F158&lt;&gt;"", $F158&gt;=AF$5-4, $F158&lt;=AF$5, COUNTIF($M158:AE158,"u")=0), "u", "")</f>
        <v/>
      </c>
      <c r="AG158" s="80" t="str">
        <f>IF(AND($F158&lt;&gt;"", $F158&gt;=AG$5-4, $F158&lt;=AG$5, COUNTIF($M158:AF158,"u")=0), "u", "")</f>
        <v/>
      </c>
      <c r="AH158" s="80" t="str">
        <f>IF(AND($F158&lt;&gt;"", $F158&gt;=AH$5-4, $F158&lt;=AH$5, COUNTIF($M158:AG158,"u")=0), "u", "")</f>
        <v/>
      </c>
      <c r="AI158" s="80" t="str">
        <f>IF(AND($F158&lt;&gt;"", $F158&gt;=AI$5-4, $F158&lt;=AI$5, COUNTIF($M158:AH158,"u")=0), "u", "")</f>
        <v/>
      </c>
      <c r="AJ158" s="80" t="str">
        <f>IF(AND($F158&lt;&gt;"", $F158&gt;=AJ$5-4, $F158&lt;=AJ$5, COUNTIF($M158:AI158,"u")=0), "u", "")</f>
        <v/>
      </c>
      <c r="AK158" s="80" t="str">
        <f>IF(AND($F158&lt;&gt;"", $F158&gt;=AK$5-4, $F158&lt;=AK$5, COUNTIF($M158:AJ158,"u")=0), "u", "")</f>
        <v/>
      </c>
      <c r="AL158" s="80" t="str">
        <f>IF(AND($F158&lt;&gt;"", $F158&gt;=AL$5-4, $F158&lt;=AL$5, COUNTIF($M158:AK158,"u")=0), "u", "")</f>
        <v/>
      </c>
      <c r="AM158" s="80" t="str">
        <f>IF(AND($F158&lt;&gt;"", $F158&gt;=AM$5-4, $F158&lt;=AM$5, COUNTIF($M158:AL158,"u")=0), "u", "")</f>
        <v/>
      </c>
      <c r="AN158" s="80" t="str">
        <f>IF(AND($F158&lt;&gt;"", $F158&gt;=AN$5-4, $F158&lt;=AN$5, COUNTIF($M158:AM158,"u")=0), "u", "")</f>
        <v/>
      </c>
      <c r="AO158" s="80" t="str">
        <f>IF(AND($F158&lt;&gt;"", $F158&gt;=AO$5-4, $F158&lt;=AO$5, COUNTIF($M158:AN158,"u")=0), "u", "")</f>
        <v/>
      </c>
      <c r="AP158" s="80" t="str">
        <f>IF(AND($F158&lt;&gt;"", $F158&gt;=AP$5-4, $F158&lt;=AP$5, COUNTIF($M158:AO158,"u")=0), "u", "")</f>
        <v/>
      </c>
      <c r="AQ158" s="80" t="str">
        <f>IF(AND($F158&lt;&gt;"", $F158&gt;=AQ$5-4, $F158&lt;=AQ$5, COUNTIF($M158:AP158,"u")=0), "u", "")</f>
        <v/>
      </c>
      <c r="AR158" s="80" t="str">
        <f>IF(AND($F158&lt;&gt;"", $F158&gt;=AR$5-4, $F158&lt;=AR$5, COUNTIF($M158:AQ158,"u")=0), "u", "")</f>
        <v/>
      </c>
      <c r="AS158" s="80" t="str">
        <f>IF(AND($F158&lt;&gt;"", $F158&gt;=AS$5-4, $F158&lt;=AS$5, COUNTIF($M158:AR158,"u")=0), "u", "")</f>
        <v/>
      </c>
      <c r="AT158" s="80" t="str">
        <f>IF(AND($F158&lt;&gt;"", $F158&gt;=AT$5-4, $F158&lt;=AT$5, COUNTIF($M158:AS158,"u")=0), "u", "")</f>
        <v/>
      </c>
      <c r="AU158" s="80" t="str">
        <f>IF(AND($F158&lt;&gt;"", $F158&gt;=AU$5-4, $F158&lt;=AU$5, COUNTIF($M158:AT158,"u")=0), "u", "")</f>
        <v/>
      </c>
      <c r="AV158" s="80" t="str">
        <f>IF(AND($F158&lt;&gt;"", $F158&gt;=AV$5-4, $F158&lt;=AV$5, COUNTIF($M158:AU158,"u")=0), "u", "")</f>
        <v/>
      </c>
      <c r="AW158" s="80" t="str">
        <f>IF(AND($F158&lt;&gt;"", $F158&gt;=AW$5-4, $F158&lt;=AW$5, COUNTIF($M158:AV158,"u")=0), "u", "")</f>
        <v/>
      </c>
      <c r="AX158" s="80" t="str">
        <f>IF(AND($F158&lt;&gt;"", $F158&gt;=AX$5-4, $F158&lt;=AX$5, COUNTIF($M158:AW158,"u")=0), "u", "")</f>
        <v/>
      </c>
      <c r="AY158" s="80" t="str">
        <f>IF(AND($F158&lt;&gt;"", $F158&gt;=AY$5-4, $F158&lt;=AY$5, COUNTIF($M158:AX158,"u")=0), "u", "")</f>
        <v/>
      </c>
      <c r="AZ158" s="80" t="str">
        <f>IF(AND($F158&lt;&gt;"", $F158&gt;=AZ$5-4, $F158&lt;=AZ$5, COUNTIF($M158:AY158,"u")=0), "u", "")</f>
        <v/>
      </c>
      <c r="BA158" s="80" t="str">
        <f>IF(AND($F158&lt;&gt;"", $F158&gt;=BA$5-4, $F158&lt;=BA$5, COUNTIF($M158:AZ158,"u")=0), "u", "")</f>
        <v/>
      </c>
      <c r="BB158" s="80" t="str">
        <f>IF(AND($F158&lt;&gt;"", $F158&gt;=BB$5-4, $F158&lt;=BB$5, COUNTIF($M158:BA158,"u")=0), "u", "")</f>
        <v/>
      </c>
      <c r="BC158" s="80" t="str">
        <f>IF(AND($F158&lt;&gt;"", $F158&gt;=BC$5-4, $F158&lt;=BC$5, COUNTIF($M158:BB158,"u")=0), "u", "")</f>
        <v/>
      </c>
      <c r="BD158" s="80" t="str">
        <f>IF(AND($F158&lt;&gt;"", $F158&gt;=BD$5-4, $F158&lt;=BD$5, COUNTIF($M158:BC158,"u")=0), "u", "")</f>
        <v/>
      </c>
      <c r="BE158" s="80" t="str">
        <f>IF(AND($F158&lt;&gt;"", $F158&gt;=BE$5-4, $F158&lt;=BE$5, COUNTIF($M158:BD158,"u")=0), "u", "")</f>
        <v/>
      </c>
      <c r="BF158" s="80" t="str">
        <f>IF(AND($F158&lt;&gt;"", $F158&gt;=BF$5-4, $F158&lt;=BF$5, COUNTIF($M158:BE158,"u")=0), "u", "")</f>
        <v/>
      </c>
      <c r="BG158" s="80" t="str">
        <f>IF(AND($F158&lt;&gt;"", $F158&gt;=BG$5-4, $F158&lt;=BG$5, COUNTIF($M158:BF158,"u")=0), "u", "")</f>
        <v/>
      </c>
      <c r="BH158" s="80" t="str">
        <f>IF(AND($F158&lt;&gt;"", $F158&gt;=BH$5-4, $F158&lt;=BH$5, COUNTIF($M158:BG158,"u")=0), "u", "")</f>
        <v/>
      </c>
      <c r="BI158" s="80" t="str">
        <f>IF(AND($F158&lt;&gt;"", $F158&gt;=BI$5-4, $F158&lt;=BI$5, COUNTIF($M158:BH158,"u")=0), "u", "")</f>
        <v/>
      </c>
      <c r="BJ158" s="80" t="str">
        <f>IF(AND($F158&lt;&gt;"", $F158&gt;=BJ$5-4, $F158&lt;=BJ$5, COUNTIF($M158:BI158,"u")=0), "u", "")</f>
        <v/>
      </c>
      <c r="BK158" s="80" t="str">
        <f>IF(AND($F158&lt;&gt;"", $F158&gt;=BK$5-4, $F158&lt;=BK$5, COUNTIF($M158:BJ158,"u")=0), "u", "")</f>
        <v/>
      </c>
      <c r="BL158" s="80" t="str">
        <f>IF(AND($F158&lt;&gt;"", $F158&gt;=BL$5-4, $F158&lt;=BL$5, COUNTIF($M158:BK158,"u")=0), "u", "")</f>
        <v/>
      </c>
      <c r="BM158" s="80" t="str">
        <f>IF(AND($F158&lt;&gt;"", $F158&gt;=BM$5-4, $F158&lt;=BM$5, COUNTIF($M158:BL158,"u")=0), "u", "")</f>
        <v/>
      </c>
      <c r="BN158" s="80" t="str">
        <f>IF(AND($F158&lt;&gt;"", $F158&gt;=BN$5-4, $F158&lt;=BN$5, COUNTIF($M158:BM158,"u")=0), "u", "")</f>
        <v/>
      </c>
      <c r="BO158" s="80" t="str">
        <f>IF(AND($F158&lt;&gt;"", $F158&gt;=BO$5-4, $F158&lt;=BO$5, COUNTIF($M158:BN158,"u")=0), "u", "")</f>
        <v/>
      </c>
      <c r="BP158" s="80" t="str">
        <f>IF(AND($F158&lt;&gt;"", $F158&gt;=BP$5-4, $F158&lt;=BP$5, COUNTIF($M158:BO158,"u")=0), "u", "")</f>
        <v/>
      </c>
      <c r="BQ158" s="80" t="str">
        <f>IF(AND($F158&lt;&gt;"", $F158&gt;=BQ$5-4, $F158&lt;=BQ$5, COUNTIF($M158:BP158,"u")=0), "u", "")</f>
        <v/>
      </c>
      <c r="BR158" s="80" t="str">
        <f>IF(AND($F158&lt;&gt;"", $F158&gt;=BR$5-4, $F158&lt;=BR$5, COUNTIF($M158:BQ158,"u")=0), "u", "")</f>
        <v/>
      </c>
      <c r="BS158" s="80" t="str">
        <f>IF(AND($F158&lt;&gt;"", $F158&gt;=BS$5-4, $F158&lt;=BS$5, COUNTIF($M158:BR158,"u")=0), "u", "")</f>
        <v/>
      </c>
      <c r="BT158" s="80" t="str">
        <f>IF(AND($F158&lt;&gt;"", $F158&gt;=BT$5-4, $F158&lt;=BT$5, COUNTIF($M158:BS158,"u")=0), "u", "")</f>
        <v/>
      </c>
      <c r="BU158" s="80" t="str">
        <f>IF(AND($F158&lt;&gt;"", $F158&gt;=BU$5-4, $F158&lt;=BU$5, COUNTIF($M158:BT158,"u")=0), "u", "")</f>
        <v/>
      </c>
      <c r="BV158" s="80" t="str">
        <f>IF(AND($F158&lt;&gt;"", $F158&gt;=BV$5-4, $F158&lt;=BV$5, COUNTIF($M158:BU158,"u")=0), "u", "")</f>
        <v/>
      </c>
      <c r="BW158" s="80" t="str">
        <f>IF(AND($F158&lt;&gt;"", $F158&gt;=BW$5-4, $F158&lt;=BW$5, COUNTIF($M158:BV158,"u")=0), "u", "")</f>
        <v/>
      </c>
      <c r="BX158" s="80" t="str">
        <f>IF(AND($F158&lt;&gt;"", $F158&gt;=BX$5-4, $F158&lt;=BX$5, COUNTIF($M158:BW158,"u")=0), "u", "")</f>
        <v/>
      </c>
      <c r="BY158" s="80" t="str">
        <f>IF(AND($F158&lt;&gt;"", $F158&gt;=BY$5-4, $F158&lt;=BY$5, COUNTIF($M158:BX158,"u")=0), "u", "")</f>
        <v/>
      </c>
      <c r="BZ158" s="80" t="str">
        <f>IF(AND($F158&lt;&gt;"", $F158&gt;=BZ$5-4, $F158&lt;=BZ$5, COUNTIF($M158:BY158,"u")=0), "u", "")</f>
        <v/>
      </c>
      <c r="CA158" s="80" t="str">
        <f>IF(AND($F158&lt;&gt;"", $F158&gt;=CA$5-4, $F158&lt;=CA$5, COUNTIF($M158:BZ158,"u")=0), "u", "")</f>
        <v/>
      </c>
      <c r="CB158" s="80" t="str">
        <f>IF(AND($F158&lt;&gt;"", $F158&gt;=CB$5-4, $F158&lt;=CB$5, COUNTIF($M158:CA158,"u")=0), "u", "")</f>
        <v/>
      </c>
      <c r="CC158" s="80" t="str">
        <f>IF(AND($F158&lt;&gt;"", $F158&gt;=CC$5-4, $F158&lt;=CC$5, COUNTIF($M158:CB158,"u")=0), "u", "")</f>
        <v/>
      </c>
      <c r="CD158" s="80" t="str">
        <f>IF(AND($F158&lt;&gt;"", $F158&gt;=CD$5-4, $F158&lt;=CD$5, COUNTIF($M158:CC158,"u")=0), "u", "")</f>
        <v/>
      </c>
      <c r="CE158" s="80" t="str">
        <f>IF(AND($F158&lt;&gt;"", $F158&gt;=CE$5-4, $F158&lt;=CE$5, COUNTIF($M158:CD158,"u")=0), "u", "")</f>
        <v/>
      </c>
      <c r="CF158" s="80" t="str">
        <f>IF(AND($F158&lt;&gt;"", $F158&gt;=CF$5-4, $F158&lt;=CF$5, COUNTIF($M158:CE158,"u")=0), "u", "")</f>
        <v/>
      </c>
      <c r="CG158" s="80" t="str">
        <f>IF(AND($F158&lt;&gt;"", $F158&gt;=CG$5-4, $F158&lt;=CG$5, COUNTIF($M158:CF158,"u")=0), "u", "")</f>
        <v/>
      </c>
      <c r="CH158" s="80" t="str">
        <f>IF(AND($F158&lt;&gt;"", $F158&gt;=CH$5-4, $F158&lt;=CH$5, COUNTIF($M158:CG158,"u")=0), "u", "")</f>
        <v/>
      </c>
      <c r="CI158" s="80" t="str">
        <f>IF(AND($F158&lt;&gt;"", $F158&gt;=CI$5-4, $F158&lt;=CI$5, COUNTIF($M158:CH158,"u")=0), "u", "")</f>
        <v/>
      </c>
      <c r="CJ158" s="80" t="str">
        <f>IF(AND($F158&lt;&gt;"", $F158&gt;=CJ$5-4, $F158&lt;=CJ$5, COUNTIF($M158:CI158,"u")=0), "u", "")</f>
        <v/>
      </c>
      <c r="CK158" s="80" t="str">
        <f>IF(AND($F158&lt;&gt;"", $F158&gt;=CK$5-4, $F158&lt;=CK$5, COUNTIF($M158:CJ158,"u")=0), "u", "")</f>
        <v/>
      </c>
      <c r="CL158" s="80" t="str">
        <f>IF(AND($F158&lt;&gt;"", $F158&gt;=CL$5-4, $F158&lt;=CL$5, COUNTIF($M158:CK158,"u")=0), "u", "")</f>
        <v/>
      </c>
      <c r="CM158" s="80" t="str">
        <f>IF(AND($F158&lt;&gt;"", $F158&gt;=CM$5-4, $F158&lt;=CM$5, COUNTIF($M158:CL158,"u")=0), "u", "")</f>
        <v/>
      </c>
      <c r="CN158" s="80" t="str">
        <f>IF(AND($F158&lt;&gt;"", $F158&gt;=CN$5-4, $F158&lt;=CN$5, COUNTIF($M158:CM158,"u")=0), "u", "")</f>
        <v/>
      </c>
      <c r="CO158" s="80" t="str">
        <f>IF(AND($F158&lt;&gt;"", $F158&gt;=CO$5-4, $F158&lt;=CO$5, COUNTIF($M158:CN158,"u")=0), "u", "")</f>
        <v/>
      </c>
      <c r="CP158" s="80" t="str">
        <f>IF(AND($F158&lt;&gt;"", $F158&gt;=CP$5-4, $F158&lt;=CP$5, COUNTIF($M158:CO158,"u")=0), "u", "")</f>
        <v/>
      </c>
      <c r="CQ158" s="80" t="str">
        <f>IF(AND($F158&lt;&gt;"", $F158&gt;=CQ$5-4, $F158&lt;=CQ$5, COUNTIF($M158:CP158,"u")=0), "u", "")</f>
        <v/>
      </c>
      <c r="CR158" s="80" t="str">
        <f>IF(AND($F158&lt;&gt;"", $F158&gt;=CR$5-4, $F158&lt;=CR$5, COUNTIF($M158:CQ158,"u")=0), "u", "")</f>
        <v/>
      </c>
      <c r="CS158" s="80" t="str">
        <f>IF(AND($F158&lt;&gt;"", $F158&gt;=CS$5-4, $F158&lt;=CS$5, COUNTIF($M158:CR158,"u")=0), "u", "")</f>
        <v/>
      </c>
      <c r="CT158" s="80" t="str">
        <f>IF(AND($F158&lt;&gt;"", $F158&gt;=CT$5-4, $F158&lt;=CT$5, COUNTIF($M158:CS158,"u")=0), "u", "")</f>
        <v/>
      </c>
      <c r="CU158" s="80" t="str">
        <f>IF(AND($F158&lt;&gt;"", $F158&gt;=CU$5-4, $F158&lt;=CU$5, COUNTIF($M158:CT158,"u")=0), "u", "")</f>
        <v/>
      </c>
      <c r="CV158" s="80" t="str">
        <f>IF(AND($F158&lt;&gt;"", $F158&gt;=CV$5-4, $F158&lt;=CV$5, COUNTIF($M158:CU158,"u")=0), "u", "")</f>
        <v/>
      </c>
      <c r="CW158" s="80" t="str">
        <f>IF(AND($F158&lt;&gt;"", $F158&gt;=CW$5-4, $F158&lt;=CW$5, COUNTIF($M158:CV158,"u")=0), "u", "")</f>
        <v/>
      </c>
      <c r="CX158" s="80" t="str">
        <f>IF(AND($F158&lt;&gt;"", $F158&gt;=CX$5-4, $F158&lt;=CX$5, COUNTIF($M158:CW158,"u")=0), "u", "")</f>
        <v/>
      </c>
      <c r="CY158" s="80" t="str">
        <f>IF(AND($F158&lt;&gt;"", $F158&gt;=CY$5-4, $F158&lt;=CY$5, COUNTIF($M158:CX158,"u")=0), "u", "")</f>
        <v/>
      </c>
      <c r="CZ158" s="80" t="str">
        <f>IF(AND($F158&lt;&gt;"", $F158&gt;=CZ$5-4, $F158&lt;=CZ$5, COUNTIF($M158:CY158,"u")=0), "u", "")</f>
        <v/>
      </c>
      <c r="DA158" s="80" t="str">
        <f>IF(AND($F158&lt;&gt;"", $F158&gt;=DA$5-4, $F158&lt;=DA$5, COUNTIF($M158:CZ158,"u")=0), "u", "")</f>
        <v/>
      </c>
      <c r="DB158" s="80" t="str">
        <f>IF(AND($F158&lt;&gt;"", $F158&gt;=DB$5-4, $F158&lt;=DB$5, COUNTIF($M158:DA158,"u")=0), "u", "")</f>
        <v/>
      </c>
      <c r="DC158" s="80" t="str">
        <f>IF(AND($F158&lt;&gt;"", $F158&gt;=DC$5-4, $F158&lt;=DC$5, COUNTIF($M158:DB158,"u")=0), "u", "")</f>
        <v/>
      </c>
      <c r="DD158" s="80" t="str">
        <f>IF(AND($F158&lt;&gt;"", $F158&gt;=DD$5-4, $F158&lt;=DD$5, COUNTIF($M158:DC158,"u")=0), "u", "")</f>
        <v/>
      </c>
      <c r="DE158" s="80" t="str">
        <f>IF(AND($F158&lt;&gt;"", $F158&gt;=DE$5-4, $F158&lt;=DE$5, COUNTIF($M158:DD158,"u")=0), "u", "")</f>
        <v/>
      </c>
      <c r="DF158" s="80" t="str">
        <f>IF(AND($F158&lt;&gt;"", $F158&gt;=DF$5-4, $F158&lt;=DF$5, COUNTIF($M158:DE158,"u")=0), "u", "")</f>
        <v/>
      </c>
      <c r="DG158" s="80" t="str">
        <f>IF(AND($F158&lt;&gt;"", $F158&gt;=DG$5-4, $F158&lt;=DG$5, COUNTIF($M158:DF158,"u")=0), "u", "")</f>
        <v/>
      </c>
      <c r="DH158" s="80" t="str">
        <f>IF(AND($F158&lt;&gt;"", $F158&gt;=DH$5-4, $F158&lt;=DH$5, COUNTIF($M158:DG158,"u")=0), "u", "")</f>
        <v/>
      </c>
      <c r="DI158" s="80" t="str">
        <f>IF(AND($F158&lt;&gt;"", $F158&gt;=DI$5-4, $F158&lt;=DI$5, COUNTIF($M158:DH158,"u")=0), "u", "")</f>
        <v/>
      </c>
      <c r="DJ158" s="80" t="str">
        <f>IF(AND($F158&lt;&gt;"", $F158&gt;=DJ$5-4, $F158&lt;=DJ$5, COUNTIF($M158:DI158,"u")=0), "u", "")</f>
        <v/>
      </c>
      <c r="DK158" s="80" t="str">
        <f>IF(AND($F158&lt;&gt;"", $F158&gt;=DK$5-4, $F158&lt;=DK$5, COUNTIF($M158:DJ158,"u")=0), "u", "")</f>
        <v/>
      </c>
      <c r="DL158" s="80" t="str">
        <f>IF(AND($F158&lt;&gt;"", $F158&gt;=DL$5-4, $F158&lt;=DL$5, COUNTIF($M158:DK158,"u")=0), "u", "")</f>
        <v/>
      </c>
    </row>
    <row r="159" spans="1:116" ht="25.05" customHeight="1" x14ac:dyDescent="0.3">
      <c r="A159" s="39"/>
      <c r="B159" s="75">
        <v>154</v>
      </c>
      <c r="C159" s="97"/>
      <c r="D159" s="92"/>
      <c r="E159" s="53"/>
      <c r="F159" s="53"/>
      <c r="G159" s="83" t="str">
        <f t="shared" si="53"/>
        <v/>
      </c>
      <c r="H159" s="83" t="str">
        <f t="shared" si="53"/>
        <v/>
      </c>
      <c r="I159" s="77" t="str">
        <f t="shared" si="51"/>
        <v/>
      </c>
      <c r="J159" s="78"/>
      <c r="K159" s="86"/>
      <c r="L159" s="56"/>
      <c r="M159" s="80" t="str">
        <f t="shared" si="52"/>
        <v/>
      </c>
      <c r="N159" s="80" t="str">
        <f>IF(AND($F159&lt;&gt;"", $F159&gt;=N$5-4, $F159&lt;=N$5, COUNTIF($M159:M159,"u")=0), "u", "")</f>
        <v/>
      </c>
      <c r="O159" s="80" t="str">
        <f>IF(AND($F159&lt;&gt;"", $F159&gt;=O$5-4, $F159&lt;=O$5, COUNTIF($M159:N159,"u")=0), "u", "")</f>
        <v/>
      </c>
      <c r="P159" s="80" t="str">
        <f>IF(AND($F159&lt;&gt;"", $F159&gt;=P$5-4, $F159&lt;=P$5, COUNTIF($M159:O159,"u")=0), "u", "")</f>
        <v/>
      </c>
      <c r="Q159" s="80" t="str">
        <f>IF(AND($F159&lt;&gt;"", $F159&gt;=Q$5-4, $F159&lt;=Q$5, COUNTIF($M159:P159,"u")=0), "u", "")</f>
        <v/>
      </c>
      <c r="R159" s="80" t="str">
        <f>IF(AND($F159&lt;&gt;"", $F159&gt;=R$5-4, $F159&lt;=R$5, COUNTIF($M159:Q159,"u")=0), "u", "")</f>
        <v/>
      </c>
      <c r="S159" s="80" t="str">
        <f>IF(AND($F159&lt;&gt;"", $F159&gt;=S$5-4, $F159&lt;=S$5, COUNTIF($M159:R159,"u")=0), "u", "")</f>
        <v/>
      </c>
      <c r="T159" s="80" t="str">
        <f>IF(AND($F159&lt;&gt;"", $F159&gt;=T$5-4, $F159&lt;=T$5, COUNTIF($M159:S159,"u")=0), "u", "")</f>
        <v/>
      </c>
      <c r="U159" s="80" t="str">
        <f>IF(AND($F159&lt;&gt;"", $F159&gt;=U$5-4, $F159&lt;=U$5, COUNTIF($M159:T159,"u")=0), "u", "")</f>
        <v/>
      </c>
      <c r="V159" s="80" t="str">
        <f>IF(AND($F159&lt;&gt;"", $F159&gt;=V$5-4, $F159&lt;=V$5, COUNTIF($M159:U159,"u")=0), "u", "")</f>
        <v/>
      </c>
      <c r="W159" s="80" t="str">
        <f>IF(AND($F159&lt;&gt;"", $F159&gt;=W$5-4, $F159&lt;=W$5, COUNTIF($M159:V159,"u")=0), "u", "")</f>
        <v/>
      </c>
      <c r="X159" s="80" t="str">
        <f>IF(AND($F159&lt;&gt;"", $F159&gt;=X$5-4, $F159&lt;=X$5, COUNTIF($M159:W159,"u")=0), "u", "")</f>
        <v/>
      </c>
      <c r="Y159" s="80" t="str">
        <f>IF(AND($F159&lt;&gt;"", $F159&gt;=Y$5-4, $F159&lt;=Y$5, COUNTIF($M159:X159,"u")=0), "u", "")</f>
        <v/>
      </c>
      <c r="Z159" s="80" t="str">
        <f>IF(AND($F159&lt;&gt;"", $F159&gt;=Z$5-4, $F159&lt;=Z$5, COUNTIF($M159:Y159,"u")=0), "u", "")</f>
        <v/>
      </c>
      <c r="AA159" s="80" t="str">
        <f>IF(AND($F159&lt;&gt;"", $F159&gt;=AA$5-4, $F159&lt;=AA$5, COUNTIF($M159:Z159,"u")=0), "u", "")</f>
        <v/>
      </c>
      <c r="AB159" s="80" t="str">
        <f>IF(AND($F159&lt;&gt;"", $F159&gt;=AB$5-4, $F159&lt;=AB$5, COUNTIF($M159:AA159,"u")=0), "u", "")</f>
        <v/>
      </c>
      <c r="AC159" s="80" t="str">
        <f>IF(AND($F159&lt;&gt;"", $F159&gt;=AC$5-4, $F159&lt;=AC$5, COUNTIF($M159:AB159,"u")=0), "u", "")</f>
        <v/>
      </c>
      <c r="AD159" s="80" t="str">
        <f>IF(AND($F159&lt;&gt;"", $F159&gt;=AD$5-4, $F159&lt;=AD$5, COUNTIF($M159:AC159,"u")=0), "u", "")</f>
        <v/>
      </c>
      <c r="AE159" s="80" t="str">
        <f>IF(AND($F159&lt;&gt;"", $F159&gt;=AE$5-4, $F159&lt;=AE$5, COUNTIF($M159:AD159,"u")=0), "u", "")</f>
        <v/>
      </c>
      <c r="AF159" s="80" t="str">
        <f>IF(AND($F159&lt;&gt;"", $F159&gt;=AF$5-4, $F159&lt;=AF$5, COUNTIF($M159:AE159,"u")=0), "u", "")</f>
        <v/>
      </c>
      <c r="AG159" s="80" t="str">
        <f>IF(AND($F159&lt;&gt;"", $F159&gt;=AG$5-4, $F159&lt;=AG$5, COUNTIF($M159:AF159,"u")=0), "u", "")</f>
        <v/>
      </c>
      <c r="AH159" s="80" t="str">
        <f>IF(AND($F159&lt;&gt;"", $F159&gt;=AH$5-4, $F159&lt;=AH$5, COUNTIF($M159:AG159,"u")=0), "u", "")</f>
        <v/>
      </c>
      <c r="AI159" s="80" t="str">
        <f>IF(AND($F159&lt;&gt;"", $F159&gt;=AI$5-4, $F159&lt;=AI$5, COUNTIF($M159:AH159,"u")=0), "u", "")</f>
        <v/>
      </c>
      <c r="AJ159" s="80" t="str">
        <f>IF(AND($F159&lt;&gt;"", $F159&gt;=AJ$5-4, $F159&lt;=AJ$5, COUNTIF($M159:AI159,"u")=0), "u", "")</f>
        <v/>
      </c>
      <c r="AK159" s="80" t="str">
        <f>IF(AND($F159&lt;&gt;"", $F159&gt;=AK$5-4, $F159&lt;=AK$5, COUNTIF($M159:AJ159,"u")=0), "u", "")</f>
        <v/>
      </c>
      <c r="AL159" s="80" t="str">
        <f>IF(AND($F159&lt;&gt;"", $F159&gt;=AL$5-4, $F159&lt;=AL$5, COUNTIF($M159:AK159,"u")=0), "u", "")</f>
        <v/>
      </c>
      <c r="AM159" s="80" t="str">
        <f>IF(AND($F159&lt;&gt;"", $F159&gt;=AM$5-4, $F159&lt;=AM$5, COUNTIF($M159:AL159,"u")=0), "u", "")</f>
        <v/>
      </c>
      <c r="AN159" s="80" t="str">
        <f>IF(AND($F159&lt;&gt;"", $F159&gt;=AN$5-4, $F159&lt;=AN$5, COUNTIF($M159:AM159,"u")=0), "u", "")</f>
        <v/>
      </c>
      <c r="AO159" s="80" t="str">
        <f>IF(AND($F159&lt;&gt;"", $F159&gt;=AO$5-4, $F159&lt;=AO$5, COUNTIF($M159:AN159,"u")=0), "u", "")</f>
        <v/>
      </c>
      <c r="AP159" s="80" t="str">
        <f>IF(AND($F159&lt;&gt;"", $F159&gt;=AP$5-4, $F159&lt;=AP$5, COUNTIF($M159:AO159,"u")=0), "u", "")</f>
        <v/>
      </c>
      <c r="AQ159" s="80" t="str">
        <f>IF(AND($F159&lt;&gt;"", $F159&gt;=AQ$5-4, $F159&lt;=AQ$5, COUNTIF($M159:AP159,"u")=0), "u", "")</f>
        <v/>
      </c>
      <c r="AR159" s="80" t="str">
        <f>IF(AND($F159&lt;&gt;"", $F159&gt;=AR$5-4, $F159&lt;=AR$5, COUNTIF($M159:AQ159,"u")=0), "u", "")</f>
        <v/>
      </c>
      <c r="AS159" s="80" t="str">
        <f>IF(AND($F159&lt;&gt;"", $F159&gt;=AS$5-4, $F159&lt;=AS$5, COUNTIF($M159:AR159,"u")=0), "u", "")</f>
        <v/>
      </c>
      <c r="AT159" s="80" t="str">
        <f>IF(AND($F159&lt;&gt;"", $F159&gt;=AT$5-4, $F159&lt;=AT$5, COUNTIF($M159:AS159,"u")=0), "u", "")</f>
        <v/>
      </c>
      <c r="AU159" s="80" t="str">
        <f>IF(AND($F159&lt;&gt;"", $F159&gt;=AU$5-4, $F159&lt;=AU$5, COUNTIF($M159:AT159,"u")=0), "u", "")</f>
        <v/>
      </c>
      <c r="AV159" s="80" t="str">
        <f>IF(AND($F159&lt;&gt;"", $F159&gt;=AV$5-4, $F159&lt;=AV$5, COUNTIF($M159:AU159,"u")=0), "u", "")</f>
        <v/>
      </c>
      <c r="AW159" s="80" t="str">
        <f>IF(AND($F159&lt;&gt;"", $F159&gt;=AW$5-4, $F159&lt;=AW$5, COUNTIF($M159:AV159,"u")=0), "u", "")</f>
        <v/>
      </c>
      <c r="AX159" s="80" t="str">
        <f>IF(AND($F159&lt;&gt;"", $F159&gt;=AX$5-4, $F159&lt;=AX$5, COUNTIF($M159:AW159,"u")=0), "u", "")</f>
        <v/>
      </c>
      <c r="AY159" s="80" t="str">
        <f>IF(AND($F159&lt;&gt;"", $F159&gt;=AY$5-4, $F159&lt;=AY$5, COUNTIF($M159:AX159,"u")=0), "u", "")</f>
        <v/>
      </c>
      <c r="AZ159" s="80" t="str">
        <f>IF(AND($F159&lt;&gt;"", $F159&gt;=AZ$5-4, $F159&lt;=AZ$5, COUNTIF($M159:AY159,"u")=0), "u", "")</f>
        <v/>
      </c>
      <c r="BA159" s="80" t="str">
        <f>IF(AND($F159&lt;&gt;"", $F159&gt;=BA$5-4, $F159&lt;=BA$5, COUNTIF($M159:AZ159,"u")=0), "u", "")</f>
        <v/>
      </c>
      <c r="BB159" s="80" t="str">
        <f>IF(AND($F159&lt;&gt;"", $F159&gt;=BB$5-4, $F159&lt;=BB$5, COUNTIF($M159:BA159,"u")=0), "u", "")</f>
        <v/>
      </c>
      <c r="BC159" s="80" t="str">
        <f>IF(AND($F159&lt;&gt;"", $F159&gt;=BC$5-4, $F159&lt;=BC$5, COUNTIF($M159:BB159,"u")=0), "u", "")</f>
        <v/>
      </c>
      <c r="BD159" s="80" t="str">
        <f>IF(AND($F159&lt;&gt;"", $F159&gt;=BD$5-4, $F159&lt;=BD$5, COUNTIF($M159:BC159,"u")=0), "u", "")</f>
        <v/>
      </c>
      <c r="BE159" s="80" t="str">
        <f>IF(AND($F159&lt;&gt;"", $F159&gt;=BE$5-4, $F159&lt;=BE$5, COUNTIF($M159:BD159,"u")=0), "u", "")</f>
        <v/>
      </c>
      <c r="BF159" s="80" t="str">
        <f>IF(AND($F159&lt;&gt;"", $F159&gt;=BF$5-4, $F159&lt;=BF$5, COUNTIF($M159:BE159,"u")=0), "u", "")</f>
        <v/>
      </c>
      <c r="BG159" s="80" t="str">
        <f>IF(AND($F159&lt;&gt;"", $F159&gt;=BG$5-4, $F159&lt;=BG$5, COUNTIF($M159:BF159,"u")=0), "u", "")</f>
        <v/>
      </c>
      <c r="BH159" s="80" t="str">
        <f>IF(AND($F159&lt;&gt;"", $F159&gt;=BH$5-4, $F159&lt;=BH$5, COUNTIF($M159:BG159,"u")=0), "u", "")</f>
        <v/>
      </c>
      <c r="BI159" s="80" t="str">
        <f>IF(AND($F159&lt;&gt;"", $F159&gt;=BI$5-4, $F159&lt;=BI$5, COUNTIF($M159:BH159,"u")=0), "u", "")</f>
        <v/>
      </c>
      <c r="BJ159" s="80" t="str">
        <f>IF(AND($F159&lt;&gt;"", $F159&gt;=BJ$5-4, $F159&lt;=BJ$5, COUNTIF($M159:BI159,"u")=0), "u", "")</f>
        <v/>
      </c>
      <c r="BK159" s="80" t="str">
        <f>IF(AND($F159&lt;&gt;"", $F159&gt;=BK$5-4, $F159&lt;=BK$5, COUNTIF($M159:BJ159,"u")=0), "u", "")</f>
        <v/>
      </c>
      <c r="BL159" s="80" t="str">
        <f>IF(AND($F159&lt;&gt;"", $F159&gt;=BL$5-4, $F159&lt;=BL$5, COUNTIF($M159:BK159,"u")=0), "u", "")</f>
        <v/>
      </c>
      <c r="BM159" s="80" t="str">
        <f>IF(AND($F159&lt;&gt;"", $F159&gt;=BM$5-4, $F159&lt;=BM$5, COUNTIF($M159:BL159,"u")=0), "u", "")</f>
        <v/>
      </c>
      <c r="BN159" s="80" t="str">
        <f>IF(AND($F159&lt;&gt;"", $F159&gt;=BN$5-4, $F159&lt;=BN$5, COUNTIF($M159:BM159,"u")=0), "u", "")</f>
        <v/>
      </c>
      <c r="BO159" s="80" t="str">
        <f>IF(AND($F159&lt;&gt;"", $F159&gt;=BO$5-4, $F159&lt;=BO$5, COUNTIF($M159:BN159,"u")=0), "u", "")</f>
        <v/>
      </c>
      <c r="BP159" s="80" t="str">
        <f>IF(AND($F159&lt;&gt;"", $F159&gt;=BP$5-4, $F159&lt;=BP$5, COUNTIF($M159:BO159,"u")=0), "u", "")</f>
        <v/>
      </c>
      <c r="BQ159" s="80" t="str">
        <f>IF(AND($F159&lt;&gt;"", $F159&gt;=BQ$5-4, $F159&lt;=BQ$5, COUNTIF($M159:BP159,"u")=0), "u", "")</f>
        <v/>
      </c>
      <c r="BR159" s="80" t="str">
        <f>IF(AND($F159&lt;&gt;"", $F159&gt;=BR$5-4, $F159&lt;=BR$5, COUNTIF($M159:BQ159,"u")=0), "u", "")</f>
        <v/>
      </c>
      <c r="BS159" s="80" t="str">
        <f>IF(AND($F159&lt;&gt;"", $F159&gt;=BS$5-4, $F159&lt;=BS$5, COUNTIF($M159:BR159,"u")=0), "u", "")</f>
        <v/>
      </c>
      <c r="BT159" s="80" t="str">
        <f>IF(AND($F159&lt;&gt;"", $F159&gt;=BT$5-4, $F159&lt;=BT$5, COUNTIF($M159:BS159,"u")=0), "u", "")</f>
        <v/>
      </c>
      <c r="BU159" s="80" t="str">
        <f>IF(AND($F159&lt;&gt;"", $F159&gt;=BU$5-4, $F159&lt;=BU$5, COUNTIF($M159:BT159,"u")=0), "u", "")</f>
        <v/>
      </c>
      <c r="BV159" s="80" t="str">
        <f>IF(AND($F159&lt;&gt;"", $F159&gt;=BV$5-4, $F159&lt;=BV$5, COUNTIF($M159:BU159,"u")=0), "u", "")</f>
        <v/>
      </c>
      <c r="BW159" s="80" t="str">
        <f>IF(AND($F159&lt;&gt;"", $F159&gt;=BW$5-4, $F159&lt;=BW$5, COUNTIF($M159:BV159,"u")=0), "u", "")</f>
        <v/>
      </c>
      <c r="BX159" s="80" t="str">
        <f>IF(AND($F159&lt;&gt;"", $F159&gt;=BX$5-4, $F159&lt;=BX$5, COUNTIF($M159:BW159,"u")=0), "u", "")</f>
        <v/>
      </c>
      <c r="BY159" s="80" t="str">
        <f>IF(AND($F159&lt;&gt;"", $F159&gt;=BY$5-4, $F159&lt;=BY$5, COUNTIF($M159:BX159,"u")=0), "u", "")</f>
        <v/>
      </c>
      <c r="BZ159" s="80" t="str">
        <f>IF(AND($F159&lt;&gt;"", $F159&gt;=BZ$5-4, $F159&lt;=BZ$5, COUNTIF($M159:BY159,"u")=0), "u", "")</f>
        <v/>
      </c>
      <c r="CA159" s="80" t="str">
        <f>IF(AND($F159&lt;&gt;"", $F159&gt;=CA$5-4, $F159&lt;=CA$5, COUNTIF($M159:BZ159,"u")=0), "u", "")</f>
        <v/>
      </c>
      <c r="CB159" s="80" t="str">
        <f>IF(AND($F159&lt;&gt;"", $F159&gt;=CB$5-4, $F159&lt;=CB$5, COUNTIF($M159:CA159,"u")=0), "u", "")</f>
        <v/>
      </c>
      <c r="CC159" s="80" t="str">
        <f>IF(AND($F159&lt;&gt;"", $F159&gt;=CC$5-4, $F159&lt;=CC$5, COUNTIF($M159:CB159,"u")=0), "u", "")</f>
        <v/>
      </c>
      <c r="CD159" s="80" t="str">
        <f>IF(AND($F159&lt;&gt;"", $F159&gt;=CD$5-4, $F159&lt;=CD$5, COUNTIF($M159:CC159,"u")=0), "u", "")</f>
        <v/>
      </c>
      <c r="CE159" s="80" t="str">
        <f>IF(AND($F159&lt;&gt;"", $F159&gt;=CE$5-4, $F159&lt;=CE$5, COUNTIF($M159:CD159,"u")=0), "u", "")</f>
        <v/>
      </c>
      <c r="CF159" s="80" t="str">
        <f>IF(AND($F159&lt;&gt;"", $F159&gt;=CF$5-4, $F159&lt;=CF$5, COUNTIF($M159:CE159,"u")=0), "u", "")</f>
        <v/>
      </c>
      <c r="CG159" s="80" t="str">
        <f>IF(AND($F159&lt;&gt;"", $F159&gt;=CG$5-4, $F159&lt;=CG$5, COUNTIF($M159:CF159,"u")=0), "u", "")</f>
        <v/>
      </c>
      <c r="CH159" s="80" t="str">
        <f>IF(AND($F159&lt;&gt;"", $F159&gt;=CH$5-4, $F159&lt;=CH$5, COUNTIF($M159:CG159,"u")=0), "u", "")</f>
        <v/>
      </c>
      <c r="CI159" s="80" t="str">
        <f>IF(AND($F159&lt;&gt;"", $F159&gt;=CI$5-4, $F159&lt;=CI$5, COUNTIF($M159:CH159,"u")=0), "u", "")</f>
        <v/>
      </c>
      <c r="CJ159" s="80" t="str">
        <f>IF(AND($F159&lt;&gt;"", $F159&gt;=CJ$5-4, $F159&lt;=CJ$5, COUNTIF($M159:CI159,"u")=0), "u", "")</f>
        <v/>
      </c>
      <c r="CK159" s="80" t="str">
        <f>IF(AND($F159&lt;&gt;"", $F159&gt;=CK$5-4, $F159&lt;=CK$5, COUNTIF($M159:CJ159,"u")=0), "u", "")</f>
        <v/>
      </c>
      <c r="CL159" s="80" t="str">
        <f>IF(AND($F159&lt;&gt;"", $F159&gt;=CL$5-4, $F159&lt;=CL$5, COUNTIF($M159:CK159,"u")=0), "u", "")</f>
        <v/>
      </c>
      <c r="CM159" s="80" t="str">
        <f>IF(AND($F159&lt;&gt;"", $F159&gt;=CM$5-4, $F159&lt;=CM$5, COUNTIF($M159:CL159,"u")=0), "u", "")</f>
        <v/>
      </c>
      <c r="CN159" s="80" t="str">
        <f>IF(AND($F159&lt;&gt;"", $F159&gt;=CN$5-4, $F159&lt;=CN$5, COUNTIF($M159:CM159,"u")=0), "u", "")</f>
        <v/>
      </c>
      <c r="CO159" s="80" t="str">
        <f>IF(AND($F159&lt;&gt;"", $F159&gt;=CO$5-4, $F159&lt;=CO$5, COUNTIF($M159:CN159,"u")=0), "u", "")</f>
        <v/>
      </c>
      <c r="CP159" s="80" t="str">
        <f>IF(AND($F159&lt;&gt;"", $F159&gt;=CP$5-4, $F159&lt;=CP$5, COUNTIF($M159:CO159,"u")=0), "u", "")</f>
        <v/>
      </c>
      <c r="CQ159" s="80" t="str">
        <f>IF(AND($F159&lt;&gt;"", $F159&gt;=CQ$5-4, $F159&lt;=CQ$5, COUNTIF($M159:CP159,"u")=0), "u", "")</f>
        <v/>
      </c>
      <c r="CR159" s="80" t="str">
        <f>IF(AND($F159&lt;&gt;"", $F159&gt;=CR$5-4, $F159&lt;=CR$5, COUNTIF($M159:CQ159,"u")=0), "u", "")</f>
        <v/>
      </c>
      <c r="CS159" s="80" t="str">
        <f>IF(AND($F159&lt;&gt;"", $F159&gt;=CS$5-4, $F159&lt;=CS$5, COUNTIF($M159:CR159,"u")=0), "u", "")</f>
        <v/>
      </c>
      <c r="CT159" s="80" t="str">
        <f>IF(AND($F159&lt;&gt;"", $F159&gt;=CT$5-4, $F159&lt;=CT$5, COUNTIF($M159:CS159,"u")=0), "u", "")</f>
        <v/>
      </c>
      <c r="CU159" s="80" t="str">
        <f>IF(AND($F159&lt;&gt;"", $F159&gt;=CU$5-4, $F159&lt;=CU$5, COUNTIF($M159:CT159,"u")=0), "u", "")</f>
        <v/>
      </c>
      <c r="CV159" s="80" t="str">
        <f>IF(AND($F159&lt;&gt;"", $F159&gt;=CV$5-4, $F159&lt;=CV$5, COUNTIF($M159:CU159,"u")=0), "u", "")</f>
        <v/>
      </c>
      <c r="CW159" s="80" t="str">
        <f>IF(AND($F159&lt;&gt;"", $F159&gt;=CW$5-4, $F159&lt;=CW$5, COUNTIF($M159:CV159,"u")=0), "u", "")</f>
        <v/>
      </c>
      <c r="CX159" s="80" t="str">
        <f>IF(AND($F159&lt;&gt;"", $F159&gt;=CX$5-4, $F159&lt;=CX$5, COUNTIF($M159:CW159,"u")=0), "u", "")</f>
        <v/>
      </c>
      <c r="CY159" s="80" t="str">
        <f>IF(AND($F159&lt;&gt;"", $F159&gt;=CY$5-4, $F159&lt;=CY$5, COUNTIF($M159:CX159,"u")=0), "u", "")</f>
        <v/>
      </c>
      <c r="CZ159" s="80" t="str">
        <f>IF(AND($F159&lt;&gt;"", $F159&gt;=CZ$5-4, $F159&lt;=CZ$5, COUNTIF($M159:CY159,"u")=0), "u", "")</f>
        <v/>
      </c>
      <c r="DA159" s="80" t="str">
        <f>IF(AND($F159&lt;&gt;"", $F159&gt;=DA$5-4, $F159&lt;=DA$5, COUNTIF($M159:CZ159,"u")=0), "u", "")</f>
        <v/>
      </c>
      <c r="DB159" s="80" t="str">
        <f>IF(AND($F159&lt;&gt;"", $F159&gt;=DB$5-4, $F159&lt;=DB$5, COUNTIF($M159:DA159,"u")=0), "u", "")</f>
        <v/>
      </c>
      <c r="DC159" s="80" t="str">
        <f>IF(AND($F159&lt;&gt;"", $F159&gt;=DC$5-4, $F159&lt;=DC$5, COUNTIF($M159:DB159,"u")=0), "u", "")</f>
        <v/>
      </c>
      <c r="DD159" s="80" t="str">
        <f>IF(AND($F159&lt;&gt;"", $F159&gt;=DD$5-4, $F159&lt;=DD$5, COUNTIF($M159:DC159,"u")=0), "u", "")</f>
        <v/>
      </c>
      <c r="DE159" s="80" t="str">
        <f>IF(AND($F159&lt;&gt;"", $F159&gt;=DE$5-4, $F159&lt;=DE$5, COUNTIF($M159:DD159,"u")=0), "u", "")</f>
        <v/>
      </c>
      <c r="DF159" s="80" t="str">
        <f>IF(AND($F159&lt;&gt;"", $F159&gt;=DF$5-4, $F159&lt;=DF$5, COUNTIF($M159:DE159,"u")=0), "u", "")</f>
        <v/>
      </c>
      <c r="DG159" s="80" t="str">
        <f>IF(AND($F159&lt;&gt;"", $F159&gt;=DG$5-4, $F159&lt;=DG$5, COUNTIF($M159:DF159,"u")=0), "u", "")</f>
        <v/>
      </c>
      <c r="DH159" s="80" t="str">
        <f>IF(AND($F159&lt;&gt;"", $F159&gt;=DH$5-4, $F159&lt;=DH$5, COUNTIF($M159:DG159,"u")=0), "u", "")</f>
        <v/>
      </c>
      <c r="DI159" s="80" t="str">
        <f>IF(AND($F159&lt;&gt;"", $F159&gt;=DI$5-4, $F159&lt;=DI$5, COUNTIF($M159:DH159,"u")=0), "u", "")</f>
        <v/>
      </c>
      <c r="DJ159" s="80" t="str">
        <f>IF(AND($F159&lt;&gt;"", $F159&gt;=DJ$5-4, $F159&lt;=DJ$5, COUNTIF($M159:DI159,"u")=0), "u", "")</f>
        <v/>
      </c>
      <c r="DK159" s="80" t="str">
        <f>IF(AND($F159&lt;&gt;"", $F159&gt;=DK$5-4, $F159&lt;=DK$5, COUNTIF($M159:DJ159,"u")=0), "u", "")</f>
        <v/>
      </c>
      <c r="DL159" s="80" t="str">
        <f>IF(AND($F159&lt;&gt;"", $F159&gt;=DL$5-4, $F159&lt;=DL$5, COUNTIF($M159:DK159,"u")=0), "u", "")</f>
        <v/>
      </c>
    </row>
    <row r="160" spans="1:116" ht="25.05" customHeight="1" x14ac:dyDescent="0.3">
      <c r="A160" s="39"/>
      <c r="B160" s="75">
        <v>155</v>
      </c>
      <c r="C160" s="97"/>
      <c r="D160" s="92"/>
      <c r="E160" s="53"/>
      <c r="F160" s="53"/>
      <c r="G160" s="83" t="str">
        <f t="shared" si="53"/>
        <v/>
      </c>
      <c r="H160" s="83" t="str">
        <f t="shared" si="53"/>
        <v/>
      </c>
      <c r="I160" s="77" t="str">
        <f t="shared" si="51"/>
        <v/>
      </c>
      <c r="J160" s="78"/>
      <c r="K160" s="86"/>
      <c r="L160" s="56"/>
      <c r="M160" s="80" t="str">
        <f t="shared" si="52"/>
        <v/>
      </c>
      <c r="N160" s="80" t="str">
        <f>IF(AND($F160&lt;&gt;"", $F160&gt;=N$5-4, $F160&lt;=N$5, COUNTIF($M160:M160,"u")=0), "u", "")</f>
        <v/>
      </c>
      <c r="O160" s="80" t="str">
        <f>IF(AND($F160&lt;&gt;"", $F160&gt;=O$5-4, $F160&lt;=O$5, COUNTIF($M160:N160,"u")=0), "u", "")</f>
        <v/>
      </c>
      <c r="P160" s="80" t="str">
        <f>IF(AND($F160&lt;&gt;"", $F160&gt;=P$5-4, $F160&lt;=P$5, COUNTIF($M160:O160,"u")=0), "u", "")</f>
        <v/>
      </c>
      <c r="Q160" s="80" t="str">
        <f>IF(AND($F160&lt;&gt;"", $F160&gt;=Q$5-4, $F160&lt;=Q$5, COUNTIF($M160:P160,"u")=0), "u", "")</f>
        <v/>
      </c>
      <c r="R160" s="80" t="str">
        <f>IF(AND($F160&lt;&gt;"", $F160&gt;=R$5-4, $F160&lt;=R$5, COUNTIF($M160:Q160,"u")=0), "u", "")</f>
        <v/>
      </c>
      <c r="S160" s="80" t="str">
        <f>IF(AND($F160&lt;&gt;"", $F160&gt;=S$5-4, $F160&lt;=S$5, COUNTIF($M160:R160,"u")=0), "u", "")</f>
        <v/>
      </c>
      <c r="T160" s="80" t="str">
        <f>IF(AND($F160&lt;&gt;"", $F160&gt;=T$5-4, $F160&lt;=T$5, COUNTIF($M160:S160,"u")=0), "u", "")</f>
        <v/>
      </c>
      <c r="U160" s="80" t="str">
        <f>IF(AND($F160&lt;&gt;"", $F160&gt;=U$5-4, $F160&lt;=U$5, COUNTIF($M160:T160,"u")=0), "u", "")</f>
        <v/>
      </c>
      <c r="V160" s="80" t="str">
        <f>IF(AND($F160&lt;&gt;"", $F160&gt;=V$5-4, $F160&lt;=V$5, COUNTIF($M160:U160,"u")=0), "u", "")</f>
        <v/>
      </c>
      <c r="W160" s="80" t="str">
        <f>IF(AND($F160&lt;&gt;"", $F160&gt;=W$5-4, $F160&lt;=W$5, COUNTIF($M160:V160,"u")=0), "u", "")</f>
        <v/>
      </c>
      <c r="X160" s="80" t="str">
        <f>IF(AND($F160&lt;&gt;"", $F160&gt;=X$5-4, $F160&lt;=X$5, COUNTIF($M160:W160,"u")=0), "u", "")</f>
        <v/>
      </c>
      <c r="Y160" s="80" t="str">
        <f>IF(AND($F160&lt;&gt;"", $F160&gt;=Y$5-4, $F160&lt;=Y$5, COUNTIF($M160:X160,"u")=0), "u", "")</f>
        <v/>
      </c>
      <c r="Z160" s="80" t="str">
        <f>IF(AND($F160&lt;&gt;"", $F160&gt;=Z$5-4, $F160&lt;=Z$5, COUNTIF($M160:Y160,"u")=0), "u", "")</f>
        <v/>
      </c>
      <c r="AA160" s="80" t="str">
        <f>IF(AND($F160&lt;&gt;"", $F160&gt;=AA$5-4, $F160&lt;=AA$5, COUNTIF($M160:Z160,"u")=0), "u", "")</f>
        <v/>
      </c>
      <c r="AB160" s="80" t="str">
        <f>IF(AND($F160&lt;&gt;"", $F160&gt;=AB$5-4, $F160&lt;=AB$5, COUNTIF($M160:AA160,"u")=0), "u", "")</f>
        <v/>
      </c>
      <c r="AC160" s="80" t="str">
        <f>IF(AND($F160&lt;&gt;"", $F160&gt;=AC$5-4, $F160&lt;=AC$5, COUNTIF($M160:AB160,"u")=0), "u", "")</f>
        <v/>
      </c>
      <c r="AD160" s="80" t="str">
        <f>IF(AND($F160&lt;&gt;"", $F160&gt;=AD$5-4, $F160&lt;=AD$5, COUNTIF($M160:AC160,"u")=0), "u", "")</f>
        <v/>
      </c>
      <c r="AE160" s="80" t="str">
        <f>IF(AND($F160&lt;&gt;"", $F160&gt;=AE$5-4, $F160&lt;=AE$5, COUNTIF($M160:AD160,"u")=0), "u", "")</f>
        <v/>
      </c>
      <c r="AF160" s="80" t="str">
        <f>IF(AND($F160&lt;&gt;"", $F160&gt;=AF$5-4, $F160&lt;=AF$5, COUNTIF($M160:AE160,"u")=0), "u", "")</f>
        <v/>
      </c>
      <c r="AG160" s="80" t="str">
        <f>IF(AND($F160&lt;&gt;"", $F160&gt;=AG$5-4, $F160&lt;=AG$5, COUNTIF($M160:AF160,"u")=0), "u", "")</f>
        <v/>
      </c>
      <c r="AH160" s="80" t="str">
        <f>IF(AND($F160&lt;&gt;"", $F160&gt;=AH$5-4, $F160&lt;=AH$5, COUNTIF($M160:AG160,"u")=0), "u", "")</f>
        <v/>
      </c>
      <c r="AI160" s="80" t="str">
        <f>IF(AND($F160&lt;&gt;"", $F160&gt;=AI$5-4, $F160&lt;=AI$5, COUNTIF($M160:AH160,"u")=0), "u", "")</f>
        <v/>
      </c>
      <c r="AJ160" s="80" t="str">
        <f>IF(AND($F160&lt;&gt;"", $F160&gt;=AJ$5-4, $F160&lt;=AJ$5, COUNTIF($M160:AI160,"u")=0), "u", "")</f>
        <v/>
      </c>
      <c r="AK160" s="80" t="str">
        <f>IF(AND($F160&lt;&gt;"", $F160&gt;=AK$5-4, $F160&lt;=AK$5, COUNTIF($M160:AJ160,"u")=0), "u", "")</f>
        <v/>
      </c>
      <c r="AL160" s="80" t="str">
        <f>IF(AND($F160&lt;&gt;"", $F160&gt;=AL$5-4, $F160&lt;=AL$5, COUNTIF($M160:AK160,"u")=0), "u", "")</f>
        <v/>
      </c>
      <c r="AM160" s="80" t="str">
        <f>IF(AND($F160&lt;&gt;"", $F160&gt;=AM$5-4, $F160&lt;=AM$5, COUNTIF($M160:AL160,"u")=0), "u", "")</f>
        <v/>
      </c>
      <c r="AN160" s="80" t="str">
        <f>IF(AND($F160&lt;&gt;"", $F160&gt;=AN$5-4, $F160&lt;=AN$5, COUNTIF($M160:AM160,"u")=0), "u", "")</f>
        <v/>
      </c>
      <c r="AO160" s="80" t="str">
        <f>IF(AND($F160&lt;&gt;"", $F160&gt;=AO$5-4, $F160&lt;=AO$5, COUNTIF($M160:AN160,"u")=0), "u", "")</f>
        <v/>
      </c>
      <c r="AP160" s="80" t="str">
        <f>IF(AND($F160&lt;&gt;"", $F160&gt;=AP$5-4, $F160&lt;=AP$5, COUNTIF($M160:AO160,"u")=0), "u", "")</f>
        <v/>
      </c>
      <c r="AQ160" s="80" t="str">
        <f>IF(AND($F160&lt;&gt;"", $F160&gt;=AQ$5-4, $F160&lt;=AQ$5, COUNTIF($M160:AP160,"u")=0), "u", "")</f>
        <v/>
      </c>
      <c r="AR160" s="80" t="str">
        <f>IF(AND($F160&lt;&gt;"", $F160&gt;=AR$5-4, $F160&lt;=AR$5, COUNTIF($M160:AQ160,"u")=0), "u", "")</f>
        <v/>
      </c>
      <c r="AS160" s="80" t="str">
        <f>IF(AND($F160&lt;&gt;"", $F160&gt;=AS$5-4, $F160&lt;=AS$5, COUNTIF($M160:AR160,"u")=0), "u", "")</f>
        <v/>
      </c>
      <c r="AT160" s="80" t="str">
        <f>IF(AND($F160&lt;&gt;"", $F160&gt;=AT$5-4, $F160&lt;=AT$5, COUNTIF($M160:AS160,"u")=0), "u", "")</f>
        <v/>
      </c>
      <c r="AU160" s="80" t="str">
        <f>IF(AND($F160&lt;&gt;"", $F160&gt;=AU$5-4, $F160&lt;=AU$5, COUNTIF($M160:AT160,"u")=0), "u", "")</f>
        <v/>
      </c>
      <c r="AV160" s="80" t="str">
        <f>IF(AND($F160&lt;&gt;"", $F160&gt;=AV$5-4, $F160&lt;=AV$5, COUNTIF($M160:AU160,"u")=0), "u", "")</f>
        <v/>
      </c>
      <c r="AW160" s="80" t="str">
        <f>IF(AND($F160&lt;&gt;"", $F160&gt;=AW$5-4, $F160&lt;=AW$5, COUNTIF($M160:AV160,"u")=0), "u", "")</f>
        <v/>
      </c>
      <c r="AX160" s="80" t="str">
        <f>IF(AND($F160&lt;&gt;"", $F160&gt;=AX$5-4, $F160&lt;=AX$5, COUNTIF($M160:AW160,"u")=0), "u", "")</f>
        <v/>
      </c>
      <c r="AY160" s="80" t="str">
        <f>IF(AND($F160&lt;&gt;"", $F160&gt;=AY$5-4, $F160&lt;=AY$5, COUNTIF($M160:AX160,"u")=0), "u", "")</f>
        <v/>
      </c>
      <c r="AZ160" s="80" t="str">
        <f>IF(AND($F160&lt;&gt;"", $F160&gt;=AZ$5-4, $F160&lt;=AZ$5, COUNTIF($M160:AY160,"u")=0), "u", "")</f>
        <v/>
      </c>
      <c r="BA160" s="80" t="str">
        <f>IF(AND($F160&lt;&gt;"", $F160&gt;=BA$5-4, $F160&lt;=BA$5, COUNTIF($M160:AZ160,"u")=0), "u", "")</f>
        <v/>
      </c>
      <c r="BB160" s="80" t="str">
        <f>IF(AND($F160&lt;&gt;"", $F160&gt;=BB$5-4, $F160&lt;=BB$5, COUNTIF($M160:BA160,"u")=0), "u", "")</f>
        <v/>
      </c>
      <c r="BC160" s="80" t="str">
        <f>IF(AND($F160&lt;&gt;"", $F160&gt;=BC$5-4, $F160&lt;=BC$5, COUNTIF($M160:BB160,"u")=0), "u", "")</f>
        <v/>
      </c>
      <c r="BD160" s="80" t="str">
        <f>IF(AND($F160&lt;&gt;"", $F160&gt;=BD$5-4, $F160&lt;=BD$5, COUNTIF($M160:BC160,"u")=0), "u", "")</f>
        <v/>
      </c>
      <c r="BE160" s="80" t="str">
        <f>IF(AND($F160&lt;&gt;"", $F160&gt;=BE$5-4, $F160&lt;=BE$5, COUNTIF($M160:BD160,"u")=0), "u", "")</f>
        <v/>
      </c>
      <c r="BF160" s="80" t="str">
        <f>IF(AND($F160&lt;&gt;"", $F160&gt;=BF$5-4, $F160&lt;=BF$5, COUNTIF($M160:BE160,"u")=0), "u", "")</f>
        <v/>
      </c>
      <c r="BG160" s="80" t="str">
        <f>IF(AND($F160&lt;&gt;"", $F160&gt;=BG$5-4, $F160&lt;=BG$5, COUNTIF($M160:BF160,"u")=0), "u", "")</f>
        <v/>
      </c>
      <c r="BH160" s="80" t="str">
        <f>IF(AND($F160&lt;&gt;"", $F160&gt;=BH$5-4, $F160&lt;=BH$5, COUNTIF($M160:BG160,"u")=0), "u", "")</f>
        <v/>
      </c>
      <c r="BI160" s="80" t="str">
        <f>IF(AND($F160&lt;&gt;"", $F160&gt;=BI$5-4, $F160&lt;=BI$5, COUNTIF($M160:BH160,"u")=0), "u", "")</f>
        <v/>
      </c>
      <c r="BJ160" s="80" t="str">
        <f>IF(AND($F160&lt;&gt;"", $F160&gt;=BJ$5-4, $F160&lt;=BJ$5, COUNTIF($M160:BI160,"u")=0), "u", "")</f>
        <v/>
      </c>
      <c r="BK160" s="80" t="str">
        <f>IF(AND($F160&lt;&gt;"", $F160&gt;=BK$5-4, $F160&lt;=BK$5, COUNTIF($M160:BJ160,"u")=0), "u", "")</f>
        <v/>
      </c>
      <c r="BL160" s="80" t="str">
        <f>IF(AND($F160&lt;&gt;"", $F160&gt;=BL$5-4, $F160&lt;=BL$5, COUNTIF($M160:BK160,"u")=0), "u", "")</f>
        <v/>
      </c>
      <c r="BM160" s="80" t="str">
        <f>IF(AND($F160&lt;&gt;"", $F160&gt;=BM$5-4, $F160&lt;=BM$5, COUNTIF($M160:BL160,"u")=0), "u", "")</f>
        <v/>
      </c>
      <c r="BN160" s="80" t="str">
        <f>IF(AND($F160&lt;&gt;"", $F160&gt;=BN$5-4, $F160&lt;=BN$5, COUNTIF($M160:BM160,"u")=0), "u", "")</f>
        <v/>
      </c>
      <c r="BO160" s="80" t="str">
        <f>IF(AND($F160&lt;&gt;"", $F160&gt;=BO$5-4, $F160&lt;=BO$5, COUNTIF($M160:BN160,"u")=0), "u", "")</f>
        <v/>
      </c>
      <c r="BP160" s="80" t="str">
        <f>IF(AND($F160&lt;&gt;"", $F160&gt;=BP$5-4, $F160&lt;=BP$5, COUNTIF($M160:BO160,"u")=0), "u", "")</f>
        <v/>
      </c>
      <c r="BQ160" s="80" t="str">
        <f>IF(AND($F160&lt;&gt;"", $F160&gt;=BQ$5-4, $F160&lt;=BQ$5, COUNTIF($M160:BP160,"u")=0), "u", "")</f>
        <v/>
      </c>
      <c r="BR160" s="80" t="str">
        <f>IF(AND($F160&lt;&gt;"", $F160&gt;=BR$5-4, $F160&lt;=BR$5, COUNTIF($M160:BQ160,"u")=0), "u", "")</f>
        <v/>
      </c>
      <c r="BS160" s="80" t="str">
        <f>IF(AND($F160&lt;&gt;"", $F160&gt;=BS$5-4, $F160&lt;=BS$5, COUNTIF($M160:BR160,"u")=0), "u", "")</f>
        <v/>
      </c>
      <c r="BT160" s="80" t="str">
        <f>IF(AND($F160&lt;&gt;"", $F160&gt;=BT$5-4, $F160&lt;=BT$5, COUNTIF($M160:BS160,"u")=0), "u", "")</f>
        <v/>
      </c>
      <c r="BU160" s="80" t="str">
        <f>IF(AND($F160&lt;&gt;"", $F160&gt;=BU$5-4, $F160&lt;=BU$5, COUNTIF($M160:BT160,"u")=0), "u", "")</f>
        <v/>
      </c>
      <c r="BV160" s="80" t="str">
        <f>IF(AND($F160&lt;&gt;"", $F160&gt;=BV$5-4, $F160&lt;=BV$5, COUNTIF($M160:BU160,"u")=0), "u", "")</f>
        <v/>
      </c>
      <c r="BW160" s="80" t="str">
        <f>IF(AND($F160&lt;&gt;"", $F160&gt;=BW$5-4, $F160&lt;=BW$5, COUNTIF($M160:BV160,"u")=0), "u", "")</f>
        <v/>
      </c>
      <c r="BX160" s="80" t="str">
        <f>IF(AND($F160&lt;&gt;"", $F160&gt;=BX$5-4, $F160&lt;=BX$5, COUNTIF($M160:BW160,"u")=0), "u", "")</f>
        <v/>
      </c>
      <c r="BY160" s="80" t="str">
        <f>IF(AND($F160&lt;&gt;"", $F160&gt;=BY$5-4, $F160&lt;=BY$5, COUNTIF($M160:BX160,"u")=0), "u", "")</f>
        <v/>
      </c>
      <c r="BZ160" s="80" t="str">
        <f>IF(AND($F160&lt;&gt;"", $F160&gt;=BZ$5-4, $F160&lt;=BZ$5, COUNTIF($M160:BY160,"u")=0), "u", "")</f>
        <v/>
      </c>
      <c r="CA160" s="80" t="str">
        <f>IF(AND($F160&lt;&gt;"", $F160&gt;=CA$5-4, $F160&lt;=CA$5, COUNTIF($M160:BZ160,"u")=0), "u", "")</f>
        <v/>
      </c>
      <c r="CB160" s="80" t="str">
        <f>IF(AND($F160&lt;&gt;"", $F160&gt;=CB$5-4, $F160&lt;=CB$5, COUNTIF($M160:CA160,"u")=0), "u", "")</f>
        <v/>
      </c>
      <c r="CC160" s="80" t="str">
        <f>IF(AND($F160&lt;&gt;"", $F160&gt;=CC$5-4, $F160&lt;=CC$5, COUNTIF($M160:CB160,"u")=0), "u", "")</f>
        <v/>
      </c>
      <c r="CD160" s="80" t="str">
        <f>IF(AND($F160&lt;&gt;"", $F160&gt;=CD$5-4, $F160&lt;=CD$5, COUNTIF($M160:CC160,"u")=0), "u", "")</f>
        <v/>
      </c>
      <c r="CE160" s="80" t="str">
        <f>IF(AND($F160&lt;&gt;"", $F160&gt;=CE$5-4, $F160&lt;=CE$5, COUNTIF($M160:CD160,"u")=0), "u", "")</f>
        <v/>
      </c>
      <c r="CF160" s="80" t="str">
        <f>IF(AND($F160&lt;&gt;"", $F160&gt;=CF$5-4, $F160&lt;=CF$5, COUNTIF($M160:CE160,"u")=0), "u", "")</f>
        <v/>
      </c>
      <c r="CG160" s="80" t="str">
        <f>IF(AND($F160&lt;&gt;"", $F160&gt;=CG$5-4, $F160&lt;=CG$5, COUNTIF($M160:CF160,"u")=0), "u", "")</f>
        <v/>
      </c>
      <c r="CH160" s="80" t="str">
        <f>IF(AND($F160&lt;&gt;"", $F160&gt;=CH$5-4, $F160&lt;=CH$5, COUNTIF($M160:CG160,"u")=0), "u", "")</f>
        <v/>
      </c>
      <c r="CI160" s="80" t="str">
        <f>IF(AND($F160&lt;&gt;"", $F160&gt;=CI$5-4, $F160&lt;=CI$5, COUNTIF($M160:CH160,"u")=0), "u", "")</f>
        <v/>
      </c>
      <c r="CJ160" s="80" t="str">
        <f>IF(AND($F160&lt;&gt;"", $F160&gt;=CJ$5-4, $F160&lt;=CJ$5, COUNTIF($M160:CI160,"u")=0), "u", "")</f>
        <v/>
      </c>
      <c r="CK160" s="80" t="str">
        <f>IF(AND($F160&lt;&gt;"", $F160&gt;=CK$5-4, $F160&lt;=CK$5, COUNTIF($M160:CJ160,"u")=0), "u", "")</f>
        <v/>
      </c>
      <c r="CL160" s="80" t="str">
        <f>IF(AND($F160&lt;&gt;"", $F160&gt;=CL$5-4, $F160&lt;=CL$5, COUNTIF($M160:CK160,"u")=0), "u", "")</f>
        <v/>
      </c>
      <c r="CM160" s="80" t="str">
        <f>IF(AND($F160&lt;&gt;"", $F160&gt;=CM$5-4, $F160&lt;=CM$5, COUNTIF($M160:CL160,"u")=0), "u", "")</f>
        <v/>
      </c>
      <c r="CN160" s="80" t="str">
        <f>IF(AND($F160&lt;&gt;"", $F160&gt;=CN$5-4, $F160&lt;=CN$5, COUNTIF($M160:CM160,"u")=0), "u", "")</f>
        <v/>
      </c>
      <c r="CO160" s="80" t="str">
        <f>IF(AND($F160&lt;&gt;"", $F160&gt;=CO$5-4, $F160&lt;=CO$5, COUNTIF($M160:CN160,"u")=0), "u", "")</f>
        <v/>
      </c>
      <c r="CP160" s="80" t="str">
        <f>IF(AND($F160&lt;&gt;"", $F160&gt;=CP$5-4, $F160&lt;=CP$5, COUNTIF($M160:CO160,"u")=0), "u", "")</f>
        <v/>
      </c>
      <c r="CQ160" s="80" t="str">
        <f>IF(AND($F160&lt;&gt;"", $F160&gt;=CQ$5-4, $F160&lt;=CQ$5, COUNTIF($M160:CP160,"u")=0), "u", "")</f>
        <v/>
      </c>
      <c r="CR160" s="80" t="str">
        <f>IF(AND($F160&lt;&gt;"", $F160&gt;=CR$5-4, $F160&lt;=CR$5, COUNTIF($M160:CQ160,"u")=0), "u", "")</f>
        <v/>
      </c>
      <c r="CS160" s="80" t="str">
        <f>IF(AND($F160&lt;&gt;"", $F160&gt;=CS$5-4, $F160&lt;=CS$5, COUNTIF($M160:CR160,"u")=0), "u", "")</f>
        <v/>
      </c>
      <c r="CT160" s="80" t="str">
        <f>IF(AND($F160&lt;&gt;"", $F160&gt;=CT$5-4, $F160&lt;=CT$5, COUNTIF($M160:CS160,"u")=0), "u", "")</f>
        <v/>
      </c>
      <c r="CU160" s="80" t="str">
        <f>IF(AND($F160&lt;&gt;"", $F160&gt;=CU$5-4, $F160&lt;=CU$5, COUNTIF($M160:CT160,"u")=0), "u", "")</f>
        <v/>
      </c>
      <c r="CV160" s="80" t="str">
        <f>IF(AND($F160&lt;&gt;"", $F160&gt;=CV$5-4, $F160&lt;=CV$5, COUNTIF($M160:CU160,"u")=0), "u", "")</f>
        <v/>
      </c>
      <c r="CW160" s="80" t="str">
        <f>IF(AND($F160&lt;&gt;"", $F160&gt;=CW$5-4, $F160&lt;=CW$5, COUNTIF($M160:CV160,"u")=0), "u", "")</f>
        <v/>
      </c>
      <c r="CX160" s="80" t="str">
        <f>IF(AND($F160&lt;&gt;"", $F160&gt;=CX$5-4, $F160&lt;=CX$5, COUNTIF($M160:CW160,"u")=0), "u", "")</f>
        <v/>
      </c>
      <c r="CY160" s="80" t="str">
        <f>IF(AND($F160&lt;&gt;"", $F160&gt;=CY$5-4, $F160&lt;=CY$5, COUNTIF($M160:CX160,"u")=0), "u", "")</f>
        <v/>
      </c>
      <c r="CZ160" s="80" t="str">
        <f>IF(AND($F160&lt;&gt;"", $F160&gt;=CZ$5-4, $F160&lt;=CZ$5, COUNTIF($M160:CY160,"u")=0), "u", "")</f>
        <v/>
      </c>
      <c r="DA160" s="80" t="str">
        <f>IF(AND($F160&lt;&gt;"", $F160&gt;=DA$5-4, $F160&lt;=DA$5, COUNTIF($M160:CZ160,"u")=0), "u", "")</f>
        <v/>
      </c>
      <c r="DB160" s="80" t="str">
        <f>IF(AND($F160&lt;&gt;"", $F160&gt;=DB$5-4, $F160&lt;=DB$5, COUNTIF($M160:DA160,"u")=0), "u", "")</f>
        <v/>
      </c>
      <c r="DC160" s="80" t="str">
        <f>IF(AND($F160&lt;&gt;"", $F160&gt;=DC$5-4, $F160&lt;=DC$5, COUNTIF($M160:DB160,"u")=0), "u", "")</f>
        <v/>
      </c>
      <c r="DD160" s="80" t="str">
        <f>IF(AND($F160&lt;&gt;"", $F160&gt;=DD$5-4, $F160&lt;=DD$5, COUNTIF($M160:DC160,"u")=0), "u", "")</f>
        <v/>
      </c>
      <c r="DE160" s="80" t="str">
        <f>IF(AND($F160&lt;&gt;"", $F160&gt;=DE$5-4, $F160&lt;=DE$5, COUNTIF($M160:DD160,"u")=0), "u", "")</f>
        <v/>
      </c>
      <c r="DF160" s="80" t="str">
        <f>IF(AND($F160&lt;&gt;"", $F160&gt;=DF$5-4, $F160&lt;=DF$5, COUNTIF($M160:DE160,"u")=0), "u", "")</f>
        <v/>
      </c>
      <c r="DG160" s="80" t="str">
        <f>IF(AND($F160&lt;&gt;"", $F160&gt;=DG$5-4, $F160&lt;=DG$5, COUNTIF($M160:DF160,"u")=0), "u", "")</f>
        <v/>
      </c>
      <c r="DH160" s="80" t="str">
        <f>IF(AND($F160&lt;&gt;"", $F160&gt;=DH$5-4, $F160&lt;=DH$5, COUNTIF($M160:DG160,"u")=0), "u", "")</f>
        <v/>
      </c>
      <c r="DI160" s="80" t="str">
        <f>IF(AND($F160&lt;&gt;"", $F160&gt;=DI$5-4, $F160&lt;=DI$5, COUNTIF($M160:DH160,"u")=0), "u", "")</f>
        <v/>
      </c>
      <c r="DJ160" s="80" t="str">
        <f>IF(AND($F160&lt;&gt;"", $F160&gt;=DJ$5-4, $F160&lt;=DJ$5, COUNTIF($M160:DI160,"u")=0), "u", "")</f>
        <v/>
      </c>
      <c r="DK160" s="80" t="str">
        <f>IF(AND($F160&lt;&gt;"", $F160&gt;=DK$5-4, $F160&lt;=DK$5, COUNTIF($M160:DJ160,"u")=0), "u", "")</f>
        <v/>
      </c>
      <c r="DL160" s="80" t="str">
        <f>IF(AND($F160&lt;&gt;"", $F160&gt;=DL$5-4, $F160&lt;=DL$5, COUNTIF($M160:DK160,"u")=0), "u", "")</f>
        <v/>
      </c>
    </row>
    <row r="161" spans="1:116" ht="25.05" customHeight="1" x14ac:dyDescent="0.3">
      <c r="A161" s="39"/>
      <c r="B161" s="75">
        <v>156</v>
      </c>
      <c r="C161" s="97"/>
      <c r="D161" s="92"/>
      <c r="E161" s="53"/>
      <c r="F161" s="53"/>
      <c r="G161" s="83" t="str">
        <f t="shared" si="53"/>
        <v/>
      </c>
      <c r="H161" s="83" t="str">
        <f t="shared" si="53"/>
        <v/>
      </c>
      <c r="I161" s="77" t="str">
        <f t="shared" si="51"/>
        <v/>
      </c>
      <c r="J161" s="78"/>
      <c r="K161" s="86"/>
      <c r="L161" s="56"/>
      <c r="M161" s="80" t="str">
        <f t="shared" si="52"/>
        <v/>
      </c>
      <c r="N161" s="80" t="str">
        <f>IF(AND($F161&lt;&gt;"", $F161&gt;=N$5-4, $F161&lt;=N$5, COUNTIF($M161:M161,"u")=0), "u", "")</f>
        <v/>
      </c>
      <c r="O161" s="80" t="str">
        <f>IF(AND($F161&lt;&gt;"", $F161&gt;=O$5-4, $F161&lt;=O$5, COUNTIF($M161:N161,"u")=0), "u", "")</f>
        <v/>
      </c>
      <c r="P161" s="80" t="str">
        <f>IF(AND($F161&lt;&gt;"", $F161&gt;=P$5-4, $F161&lt;=P$5, COUNTIF($M161:O161,"u")=0), "u", "")</f>
        <v/>
      </c>
      <c r="Q161" s="80" t="str">
        <f>IF(AND($F161&lt;&gt;"", $F161&gt;=Q$5-4, $F161&lt;=Q$5, COUNTIF($M161:P161,"u")=0), "u", "")</f>
        <v/>
      </c>
      <c r="R161" s="80" t="str">
        <f>IF(AND($F161&lt;&gt;"", $F161&gt;=R$5-4, $F161&lt;=R$5, COUNTIF($M161:Q161,"u")=0), "u", "")</f>
        <v/>
      </c>
      <c r="S161" s="80" t="str">
        <f>IF(AND($F161&lt;&gt;"", $F161&gt;=S$5-4, $F161&lt;=S$5, COUNTIF($M161:R161,"u")=0), "u", "")</f>
        <v/>
      </c>
      <c r="T161" s="80" t="str">
        <f>IF(AND($F161&lt;&gt;"", $F161&gt;=T$5-4, $F161&lt;=T$5, COUNTIF($M161:S161,"u")=0), "u", "")</f>
        <v/>
      </c>
      <c r="U161" s="80" t="str">
        <f>IF(AND($F161&lt;&gt;"", $F161&gt;=U$5-4, $F161&lt;=U$5, COUNTIF($M161:T161,"u")=0), "u", "")</f>
        <v/>
      </c>
      <c r="V161" s="80" t="str">
        <f>IF(AND($F161&lt;&gt;"", $F161&gt;=V$5-4, $F161&lt;=V$5, COUNTIF($M161:U161,"u")=0), "u", "")</f>
        <v/>
      </c>
      <c r="W161" s="80" t="str">
        <f>IF(AND($F161&lt;&gt;"", $F161&gt;=W$5-4, $F161&lt;=W$5, COUNTIF($M161:V161,"u")=0), "u", "")</f>
        <v/>
      </c>
      <c r="X161" s="80" t="str">
        <f>IF(AND($F161&lt;&gt;"", $F161&gt;=X$5-4, $F161&lt;=X$5, COUNTIF($M161:W161,"u")=0), "u", "")</f>
        <v/>
      </c>
      <c r="Y161" s="80" t="str">
        <f>IF(AND($F161&lt;&gt;"", $F161&gt;=Y$5-4, $F161&lt;=Y$5, COUNTIF($M161:X161,"u")=0), "u", "")</f>
        <v/>
      </c>
      <c r="Z161" s="80" t="str">
        <f>IF(AND($F161&lt;&gt;"", $F161&gt;=Z$5-4, $F161&lt;=Z$5, COUNTIF($M161:Y161,"u")=0), "u", "")</f>
        <v/>
      </c>
      <c r="AA161" s="80" t="str">
        <f>IF(AND($F161&lt;&gt;"", $F161&gt;=AA$5-4, $F161&lt;=AA$5, COUNTIF($M161:Z161,"u")=0), "u", "")</f>
        <v/>
      </c>
      <c r="AB161" s="80" t="str">
        <f>IF(AND($F161&lt;&gt;"", $F161&gt;=AB$5-4, $F161&lt;=AB$5, COUNTIF($M161:AA161,"u")=0), "u", "")</f>
        <v/>
      </c>
      <c r="AC161" s="80" t="str">
        <f>IF(AND($F161&lt;&gt;"", $F161&gt;=AC$5-4, $F161&lt;=AC$5, COUNTIF($M161:AB161,"u")=0), "u", "")</f>
        <v/>
      </c>
      <c r="AD161" s="80" t="str">
        <f>IF(AND($F161&lt;&gt;"", $F161&gt;=AD$5-4, $F161&lt;=AD$5, COUNTIF($M161:AC161,"u")=0), "u", "")</f>
        <v/>
      </c>
      <c r="AE161" s="80" t="str">
        <f>IF(AND($F161&lt;&gt;"", $F161&gt;=AE$5-4, $F161&lt;=AE$5, COUNTIF($M161:AD161,"u")=0), "u", "")</f>
        <v/>
      </c>
      <c r="AF161" s="80" t="str">
        <f>IF(AND($F161&lt;&gt;"", $F161&gt;=AF$5-4, $F161&lt;=AF$5, COUNTIF($M161:AE161,"u")=0), "u", "")</f>
        <v/>
      </c>
      <c r="AG161" s="80" t="str">
        <f>IF(AND($F161&lt;&gt;"", $F161&gt;=AG$5-4, $F161&lt;=AG$5, COUNTIF($M161:AF161,"u")=0), "u", "")</f>
        <v/>
      </c>
      <c r="AH161" s="80" t="str">
        <f>IF(AND($F161&lt;&gt;"", $F161&gt;=AH$5-4, $F161&lt;=AH$5, COUNTIF($M161:AG161,"u")=0), "u", "")</f>
        <v/>
      </c>
      <c r="AI161" s="80" t="str">
        <f>IF(AND($F161&lt;&gt;"", $F161&gt;=AI$5-4, $F161&lt;=AI$5, COUNTIF($M161:AH161,"u")=0), "u", "")</f>
        <v/>
      </c>
      <c r="AJ161" s="80" t="str">
        <f>IF(AND($F161&lt;&gt;"", $F161&gt;=AJ$5-4, $F161&lt;=AJ$5, COUNTIF($M161:AI161,"u")=0), "u", "")</f>
        <v/>
      </c>
      <c r="AK161" s="80" t="str">
        <f>IF(AND($F161&lt;&gt;"", $F161&gt;=AK$5-4, $F161&lt;=AK$5, COUNTIF($M161:AJ161,"u")=0), "u", "")</f>
        <v/>
      </c>
      <c r="AL161" s="80" t="str">
        <f>IF(AND($F161&lt;&gt;"", $F161&gt;=AL$5-4, $F161&lt;=AL$5, COUNTIF($M161:AK161,"u")=0), "u", "")</f>
        <v/>
      </c>
      <c r="AM161" s="80" t="str">
        <f>IF(AND($F161&lt;&gt;"", $F161&gt;=AM$5-4, $F161&lt;=AM$5, COUNTIF($M161:AL161,"u")=0), "u", "")</f>
        <v/>
      </c>
      <c r="AN161" s="80" t="str">
        <f>IF(AND($F161&lt;&gt;"", $F161&gt;=AN$5-4, $F161&lt;=AN$5, COUNTIF($M161:AM161,"u")=0), "u", "")</f>
        <v/>
      </c>
      <c r="AO161" s="80" t="str">
        <f>IF(AND($F161&lt;&gt;"", $F161&gt;=AO$5-4, $F161&lt;=AO$5, COUNTIF($M161:AN161,"u")=0), "u", "")</f>
        <v/>
      </c>
      <c r="AP161" s="80" t="str">
        <f>IF(AND($F161&lt;&gt;"", $F161&gt;=AP$5-4, $F161&lt;=AP$5, COUNTIF($M161:AO161,"u")=0), "u", "")</f>
        <v/>
      </c>
      <c r="AQ161" s="80" t="str">
        <f>IF(AND($F161&lt;&gt;"", $F161&gt;=AQ$5-4, $F161&lt;=AQ$5, COUNTIF($M161:AP161,"u")=0), "u", "")</f>
        <v/>
      </c>
      <c r="AR161" s="80" t="str">
        <f>IF(AND($F161&lt;&gt;"", $F161&gt;=AR$5-4, $F161&lt;=AR$5, COUNTIF($M161:AQ161,"u")=0), "u", "")</f>
        <v/>
      </c>
      <c r="AS161" s="80" t="str">
        <f>IF(AND($F161&lt;&gt;"", $F161&gt;=AS$5-4, $F161&lt;=AS$5, COUNTIF($M161:AR161,"u")=0), "u", "")</f>
        <v/>
      </c>
      <c r="AT161" s="80" t="str">
        <f>IF(AND($F161&lt;&gt;"", $F161&gt;=AT$5-4, $F161&lt;=AT$5, COUNTIF($M161:AS161,"u")=0), "u", "")</f>
        <v/>
      </c>
      <c r="AU161" s="80" t="str">
        <f>IF(AND($F161&lt;&gt;"", $F161&gt;=AU$5-4, $F161&lt;=AU$5, COUNTIF($M161:AT161,"u")=0), "u", "")</f>
        <v/>
      </c>
      <c r="AV161" s="80" t="str">
        <f>IF(AND($F161&lt;&gt;"", $F161&gt;=AV$5-4, $F161&lt;=AV$5, COUNTIF($M161:AU161,"u")=0), "u", "")</f>
        <v/>
      </c>
      <c r="AW161" s="80" t="str">
        <f>IF(AND($F161&lt;&gt;"", $F161&gt;=AW$5-4, $F161&lt;=AW$5, COUNTIF($M161:AV161,"u")=0), "u", "")</f>
        <v/>
      </c>
      <c r="AX161" s="80" t="str">
        <f>IF(AND($F161&lt;&gt;"", $F161&gt;=AX$5-4, $F161&lt;=AX$5, COUNTIF($M161:AW161,"u")=0), "u", "")</f>
        <v/>
      </c>
      <c r="AY161" s="80" t="str">
        <f>IF(AND($F161&lt;&gt;"", $F161&gt;=AY$5-4, $F161&lt;=AY$5, COUNTIF($M161:AX161,"u")=0), "u", "")</f>
        <v/>
      </c>
      <c r="AZ161" s="80" t="str">
        <f>IF(AND($F161&lt;&gt;"", $F161&gt;=AZ$5-4, $F161&lt;=AZ$5, COUNTIF($M161:AY161,"u")=0), "u", "")</f>
        <v/>
      </c>
      <c r="BA161" s="80" t="str">
        <f>IF(AND($F161&lt;&gt;"", $F161&gt;=BA$5-4, $F161&lt;=BA$5, COUNTIF($M161:AZ161,"u")=0), "u", "")</f>
        <v/>
      </c>
      <c r="BB161" s="80" t="str">
        <f>IF(AND($F161&lt;&gt;"", $F161&gt;=BB$5-4, $F161&lt;=BB$5, COUNTIF($M161:BA161,"u")=0), "u", "")</f>
        <v/>
      </c>
      <c r="BC161" s="80" t="str">
        <f>IF(AND($F161&lt;&gt;"", $F161&gt;=BC$5-4, $F161&lt;=BC$5, COUNTIF($M161:BB161,"u")=0), "u", "")</f>
        <v/>
      </c>
      <c r="BD161" s="80" t="str">
        <f>IF(AND($F161&lt;&gt;"", $F161&gt;=BD$5-4, $F161&lt;=BD$5, COUNTIF($M161:BC161,"u")=0), "u", "")</f>
        <v/>
      </c>
      <c r="BE161" s="80" t="str">
        <f>IF(AND($F161&lt;&gt;"", $F161&gt;=BE$5-4, $F161&lt;=BE$5, COUNTIF($M161:BD161,"u")=0), "u", "")</f>
        <v/>
      </c>
      <c r="BF161" s="80" t="str">
        <f>IF(AND($F161&lt;&gt;"", $F161&gt;=BF$5-4, $F161&lt;=BF$5, COUNTIF($M161:BE161,"u")=0), "u", "")</f>
        <v/>
      </c>
      <c r="BG161" s="80" t="str">
        <f>IF(AND($F161&lt;&gt;"", $F161&gt;=BG$5-4, $F161&lt;=BG$5, COUNTIF($M161:BF161,"u")=0), "u", "")</f>
        <v/>
      </c>
      <c r="BH161" s="80" t="str">
        <f>IF(AND($F161&lt;&gt;"", $F161&gt;=BH$5-4, $F161&lt;=BH$5, COUNTIF($M161:BG161,"u")=0), "u", "")</f>
        <v/>
      </c>
      <c r="BI161" s="80" t="str">
        <f>IF(AND($F161&lt;&gt;"", $F161&gt;=BI$5-4, $F161&lt;=BI$5, COUNTIF($M161:BH161,"u")=0), "u", "")</f>
        <v/>
      </c>
      <c r="BJ161" s="80" t="str">
        <f>IF(AND($F161&lt;&gt;"", $F161&gt;=BJ$5-4, $F161&lt;=BJ$5, COUNTIF($M161:BI161,"u")=0), "u", "")</f>
        <v/>
      </c>
      <c r="BK161" s="80" t="str">
        <f>IF(AND($F161&lt;&gt;"", $F161&gt;=BK$5-4, $F161&lt;=BK$5, COUNTIF($M161:BJ161,"u")=0), "u", "")</f>
        <v/>
      </c>
      <c r="BL161" s="80" t="str">
        <f>IF(AND($F161&lt;&gt;"", $F161&gt;=BL$5-4, $F161&lt;=BL$5, COUNTIF($M161:BK161,"u")=0), "u", "")</f>
        <v/>
      </c>
      <c r="BM161" s="80" t="str">
        <f>IF(AND($F161&lt;&gt;"", $F161&gt;=BM$5-4, $F161&lt;=BM$5, COUNTIF($M161:BL161,"u")=0), "u", "")</f>
        <v/>
      </c>
      <c r="BN161" s="80" t="str">
        <f>IF(AND($F161&lt;&gt;"", $F161&gt;=BN$5-4, $F161&lt;=BN$5, COUNTIF($M161:BM161,"u")=0), "u", "")</f>
        <v/>
      </c>
      <c r="BO161" s="80" t="str">
        <f>IF(AND($F161&lt;&gt;"", $F161&gt;=BO$5-4, $F161&lt;=BO$5, COUNTIF($M161:BN161,"u")=0), "u", "")</f>
        <v/>
      </c>
      <c r="BP161" s="80" t="str">
        <f>IF(AND($F161&lt;&gt;"", $F161&gt;=BP$5-4, $F161&lt;=BP$5, COUNTIF($M161:BO161,"u")=0), "u", "")</f>
        <v/>
      </c>
      <c r="BQ161" s="80" t="str">
        <f>IF(AND($F161&lt;&gt;"", $F161&gt;=BQ$5-4, $F161&lt;=BQ$5, COUNTIF($M161:BP161,"u")=0), "u", "")</f>
        <v/>
      </c>
      <c r="BR161" s="80" t="str">
        <f>IF(AND($F161&lt;&gt;"", $F161&gt;=BR$5-4, $F161&lt;=BR$5, COUNTIF($M161:BQ161,"u")=0), "u", "")</f>
        <v/>
      </c>
      <c r="BS161" s="80" t="str">
        <f>IF(AND($F161&lt;&gt;"", $F161&gt;=BS$5-4, $F161&lt;=BS$5, COUNTIF($M161:BR161,"u")=0), "u", "")</f>
        <v/>
      </c>
      <c r="BT161" s="80" t="str">
        <f>IF(AND($F161&lt;&gt;"", $F161&gt;=BT$5-4, $F161&lt;=BT$5, COUNTIF($M161:BS161,"u")=0), "u", "")</f>
        <v/>
      </c>
      <c r="BU161" s="80" t="str">
        <f>IF(AND($F161&lt;&gt;"", $F161&gt;=BU$5-4, $F161&lt;=BU$5, COUNTIF($M161:BT161,"u")=0), "u", "")</f>
        <v/>
      </c>
      <c r="BV161" s="80" t="str">
        <f>IF(AND($F161&lt;&gt;"", $F161&gt;=BV$5-4, $F161&lt;=BV$5, COUNTIF($M161:BU161,"u")=0), "u", "")</f>
        <v/>
      </c>
      <c r="BW161" s="80" t="str">
        <f>IF(AND($F161&lt;&gt;"", $F161&gt;=BW$5-4, $F161&lt;=BW$5, COUNTIF($M161:BV161,"u")=0), "u", "")</f>
        <v/>
      </c>
      <c r="BX161" s="80" t="str">
        <f>IF(AND($F161&lt;&gt;"", $F161&gt;=BX$5-4, $F161&lt;=BX$5, COUNTIF($M161:BW161,"u")=0), "u", "")</f>
        <v/>
      </c>
      <c r="BY161" s="80" t="str">
        <f>IF(AND($F161&lt;&gt;"", $F161&gt;=BY$5-4, $F161&lt;=BY$5, COUNTIF($M161:BX161,"u")=0), "u", "")</f>
        <v/>
      </c>
      <c r="BZ161" s="80" t="str">
        <f>IF(AND($F161&lt;&gt;"", $F161&gt;=BZ$5-4, $F161&lt;=BZ$5, COUNTIF($M161:BY161,"u")=0), "u", "")</f>
        <v/>
      </c>
      <c r="CA161" s="80" t="str">
        <f>IF(AND($F161&lt;&gt;"", $F161&gt;=CA$5-4, $F161&lt;=CA$5, COUNTIF($M161:BZ161,"u")=0), "u", "")</f>
        <v/>
      </c>
      <c r="CB161" s="80" t="str">
        <f>IF(AND($F161&lt;&gt;"", $F161&gt;=CB$5-4, $F161&lt;=CB$5, COUNTIF($M161:CA161,"u")=0), "u", "")</f>
        <v/>
      </c>
      <c r="CC161" s="80" t="str">
        <f>IF(AND($F161&lt;&gt;"", $F161&gt;=CC$5-4, $F161&lt;=CC$5, COUNTIF($M161:CB161,"u")=0), "u", "")</f>
        <v/>
      </c>
      <c r="CD161" s="80" t="str">
        <f>IF(AND($F161&lt;&gt;"", $F161&gt;=CD$5-4, $F161&lt;=CD$5, COUNTIF($M161:CC161,"u")=0), "u", "")</f>
        <v/>
      </c>
      <c r="CE161" s="80" t="str">
        <f>IF(AND($F161&lt;&gt;"", $F161&gt;=CE$5-4, $F161&lt;=CE$5, COUNTIF($M161:CD161,"u")=0), "u", "")</f>
        <v/>
      </c>
      <c r="CF161" s="80" t="str">
        <f>IF(AND($F161&lt;&gt;"", $F161&gt;=CF$5-4, $F161&lt;=CF$5, COUNTIF($M161:CE161,"u")=0), "u", "")</f>
        <v/>
      </c>
      <c r="CG161" s="80" t="str">
        <f>IF(AND($F161&lt;&gt;"", $F161&gt;=CG$5-4, $F161&lt;=CG$5, COUNTIF($M161:CF161,"u")=0), "u", "")</f>
        <v/>
      </c>
      <c r="CH161" s="80" t="str">
        <f>IF(AND($F161&lt;&gt;"", $F161&gt;=CH$5-4, $F161&lt;=CH$5, COUNTIF($M161:CG161,"u")=0), "u", "")</f>
        <v/>
      </c>
      <c r="CI161" s="80" t="str">
        <f>IF(AND($F161&lt;&gt;"", $F161&gt;=CI$5-4, $F161&lt;=CI$5, COUNTIF($M161:CH161,"u")=0), "u", "")</f>
        <v/>
      </c>
      <c r="CJ161" s="80" t="str">
        <f>IF(AND($F161&lt;&gt;"", $F161&gt;=CJ$5-4, $F161&lt;=CJ$5, COUNTIF($M161:CI161,"u")=0), "u", "")</f>
        <v/>
      </c>
      <c r="CK161" s="80" t="str">
        <f>IF(AND($F161&lt;&gt;"", $F161&gt;=CK$5-4, $F161&lt;=CK$5, COUNTIF($M161:CJ161,"u")=0), "u", "")</f>
        <v/>
      </c>
      <c r="CL161" s="80" t="str">
        <f>IF(AND($F161&lt;&gt;"", $F161&gt;=CL$5-4, $F161&lt;=CL$5, COUNTIF($M161:CK161,"u")=0), "u", "")</f>
        <v/>
      </c>
      <c r="CM161" s="80" t="str">
        <f>IF(AND($F161&lt;&gt;"", $F161&gt;=CM$5-4, $F161&lt;=CM$5, COUNTIF($M161:CL161,"u")=0), "u", "")</f>
        <v/>
      </c>
      <c r="CN161" s="80" t="str">
        <f>IF(AND($F161&lt;&gt;"", $F161&gt;=CN$5-4, $F161&lt;=CN$5, COUNTIF($M161:CM161,"u")=0), "u", "")</f>
        <v/>
      </c>
      <c r="CO161" s="80" t="str">
        <f>IF(AND($F161&lt;&gt;"", $F161&gt;=CO$5-4, $F161&lt;=CO$5, COUNTIF($M161:CN161,"u")=0), "u", "")</f>
        <v/>
      </c>
      <c r="CP161" s="80" t="str">
        <f>IF(AND($F161&lt;&gt;"", $F161&gt;=CP$5-4, $F161&lt;=CP$5, COUNTIF($M161:CO161,"u")=0), "u", "")</f>
        <v/>
      </c>
      <c r="CQ161" s="80" t="str">
        <f>IF(AND($F161&lt;&gt;"", $F161&gt;=CQ$5-4, $F161&lt;=CQ$5, COUNTIF($M161:CP161,"u")=0), "u", "")</f>
        <v/>
      </c>
      <c r="CR161" s="80" t="str">
        <f>IF(AND($F161&lt;&gt;"", $F161&gt;=CR$5-4, $F161&lt;=CR$5, COUNTIF($M161:CQ161,"u")=0), "u", "")</f>
        <v/>
      </c>
      <c r="CS161" s="80" t="str">
        <f>IF(AND($F161&lt;&gt;"", $F161&gt;=CS$5-4, $F161&lt;=CS$5, COUNTIF($M161:CR161,"u")=0), "u", "")</f>
        <v/>
      </c>
      <c r="CT161" s="80" t="str">
        <f>IF(AND($F161&lt;&gt;"", $F161&gt;=CT$5-4, $F161&lt;=CT$5, COUNTIF($M161:CS161,"u")=0), "u", "")</f>
        <v/>
      </c>
      <c r="CU161" s="80" t="str">
        <f>IF(AND($F161&lt;&gt;"", $F161&gt;=CU$5-4, $F161&lt;=CU$5, COUNTIF($M161:CT161,"u")=0), "u", "")</f>
        <v/>
      </c>
      <c r="CV161" s="80" t="str">
        <f>IF(AND($F161&lt;&gt;"", $F161&gt;=CV$5-4, $F161&lt;=CV$5, COUNTIF($M161:CU161,"u")=0), "u", "")</f>
        <v/>
      </c>
      <c r="CW161" s="80" t="str">
        <f>IF(AND($F161&lt;&gt;"", $F161&gt;=CW$5-4, $F161&lt;=CW$5, COUNTIF($M161:CV161,"u")=0), "u", "")</f>
        <v/>
      </c>
      <c r="CX161" s="80" t="str">
        <f>IF(AND($F161&lt;&gt;"", $F161&gt;=CX$5-4, $F161&lt;=CX$5, COUNTIF($M161:CW161,"u")=0), "u", "")</f>
        <v/>
      </c>
      <c r="CY161" s="80" t="str">
        <f>IF(AND($F161&lt;&gt;"", $F161&gt;=CY$5-4, $F161&lt;=CY$5, COUNTIF($M161:CX161,"u")=0), "u", "")</f>
        <v/>
      </c>
      <c r="CZ161" s="80" t="str">
        <f>IF(AND($F161&lt;&gt;"", $F161&gt;=CZ$5-4, $F161&lt;=CZ$5, COUNTIF($M161:CY161,"u")=0), "u", "")</f>
        <v/>
      </c>
      <c r="DA161" s="80" t="str">
        <f>IF(AND($F161&lt;&gt;"", $F161&gt;=DA$5-4, $F161&lt;=DA$5, COUNTIF($M161:CZ161,"u")=0), "u", "")</f>
        <v/>
      </c>
      <c r="DB161" s="80" t="str">
        <f>IF(AND($F161&lt;&gt;"", $F161&gt;=DB$5-4, $F161&lt;=DB$5, COUNTIF($M161:DA161,"u")=0), "u", "")</f>
        <v/>
      </c>
      <c r="DC161" s="80" t="str">
        <f>IF(AND($F161&lt;&gt;"", $F161&gt;=DC$5-4, $F161&lt;=DC$5, COUNTIF($M161:DB161,"u")=0), "u", "")</f>
        <v/>
      </c>
      <c r="DD161" s="80" t="str">
        <f>IF(AND($F161&lt;&gt;"", $F161&gt;=DD$5-4, $F161&lt;=DD$5, COUNTIF($M161:DC161,"u")=0), "u", "")</f>
        <v/>
      </c>
      <c r="DE161" s="80" t="str">
        <f>IF(AND($F161&lt;&gt;"", $F161&gt;=DE$5-4, $F161&lt;=DE$5, COUNTIF($M161:DD161,"u")=0), "u", "")</f>
        <v/>
      </c>
      <c r="DF161" s="80" t="str">
        <f>IF(AND($F161&lt;&gt;"", $F161&gt;=DF$5-4, $F161&lt;=DF$5, COUNTIF($M161:DE161,"u")=0), "u", "")</f>
        <v/>
      </c>
      <c r="DG161" s="80" t="str">
        <f>IF(AND($F161&lt;&gt;"", $F161&gt;=DG$5-4, $F161&lt;=DG$5, COUNTIF($M161:DF161,"u")=0), "u", "")</f>
        <v/>
      </c>
      <c r="DH161" s="80" t="str">
        <f>IF(AND($F161&lt;&gt;"", $F161&gt;=DH$5-4, $F161&lt;=DH$5, COUNTIF($M161:DG161,"u")=0), "u", "")</f>
        <v/>
      </c>
      <c r="DI161" s="80" t="str">
        <f>IF(AND($F161&lt;&gt;"", $F161&gt;=DI$5-4, $F161&lt;=DI$5, COUNTIF($M161:DH161,"u")=0), "u", "")</f>
        <v/>
      </c>
      <c r="DJ161" s="80" t="str">
        <f>IF(AND($F161&lt;&gt;"", $F161&gt;=DJ$5-4, $F161&lt;=DJ$5, COUNTIF($M161:DI161,"u")=0), "u", "")</f>
        <v/>
      </c>
      <c r="DK161" s="80" t="str">
        <f>IF(AND($F161&lt;&gt;"", $F161&gt;=DK$5-4, $F161&lt;=DK$5, COUNTIF($M161:DJ161,"u")=0), "u", "")</f>
        <v/>
      </c>
      <c r="DL161" s="80" t="str">
        <f>IF(AND($F161&lt;&gt;"", $F161&gt;=DL$5-4, $F161&lt;=DL$5, COUNTIF($M161:DK161,"u")=0), "u", "")</f>
        <v/>
      </c>
    </row>
    <row r="162" spans="1:116" ht="25.05" customHeight="1" x14ac:dyDescent="0.3">
      <c r="A162" s="39"/>
      <c r="B162" s="75">
        <v>157</v>
      </c>
      <c r="C162" s="97"/>
      <c r="D162" s="92"/>
      <c r="E162" s="53"/>
      <c r="F162" s="53"/>
      <c r="G162" s="83" t="str">
        <f t="shared" si="53"/>
        <v/>
      </c>
      <c r="H162" s="83" t="str">
        <f t="shared" si="53"/>
        <v/>
      </c>
      <c r="I162" s="77" t="str">
        <f t="shared" si="51"/>
        <v/>
      </c>
      <c r="J162" s="78"/>
      <c r="K162" s="86"/>
      <c r="L162" s="56"/>
      <c r="M162" s="80" t="str">
        <f t="shared" si="52"/>
        <v/>
      </c>
      <c r="N162" s="80" t="str">
        <f>IF(AND($F162&lt;&gt;"", $F162&gt;=N$5-4, $F162&lt;=N$5, COUNTIF($M162:M162,"u")=0), "u", "")</f>
        <v/>
      </c>
      <c r="O162" s="80" t="str">
        <f>IF(AND($F162&lt;&gt;"", $F162&gt;=O$5-4, $F162&lt;=O$5, COUNTIF($M162:N162,"u")=0), "u", "")</f>
        <v/>
      </c>
      <c r="P162" s="80" t="str">
        <f>IF(AND($F162&lt;&gt;"", $F162&gt;=P$5-4, $F162&lt;=P$5, COUNTIF($M162:O162,"u")=0), "u", "")</f>
        <v/>
      </c>
      <c r="Q162" s="80" t="str">
        <f>IF(AND($F162&lt;&gt;"", $F162&gt;=Q$5-4, $F162&lt;=Q$5, COUNTIF($M162:P162,"u")=0), "u", "")</f>
        <v/>
      </c>
      <c r="R162" s="80" t="str">
        <f>IF(AND($F162&lt;&gt;"", $F162&gt;=R$5-4, $F162&lt;=R$5, COUNTIF($M162:Q162,"u")=0), "u", "")</f>
        <v/>
      </c>
      <c r="S162" s="80" t="str">
        <f>IF(AND($F162&lt;&gt;"", $F162&gt;=S$5-4, $F162&lt;=S$5, COUNTIF($M162:R162,"u")=0), "u", "")</f>
        <v/>
      </c>
      <c r="T162" s="80" t="str">
        <f>IF(AND($F162&lt;&gt;"", $F162&gt;=T$5-4, $F162&lt;=T$5, COUNTIF($M162:S162,"u")=0), "u", "")</f>
        <v/>
      </c>
      <c r="U162" s="80" t="str">
        <f>IF(AND($F162&lt;&gt;"", $F162&gt;=U$5-4, $F162&lt;=U$5, COUNTIF($M162:T162,"u")=0), "u", "")</f>
        <v/>
      </c>
      <c r="V162" s="80" t="str">
        <f>IF(AND($F162&lt;&gt;"", $F162&gt;=V$5-4, $F162&lt;=V$5, COUNTIF($M162:U162,"u")=0), "u", "")</f>
        <v/>
      </c>
      <c r="W162" s="80" t="str">
        <f>IF(AND($F162&lt;&gt;"", $F162&gt;=W$5-4, $F162&lt;=W$5, COUNTIF($M162:V162,"u")=0), "u", "")</f>
        <v/>
      </c>
      <c r="X162" s="80" t="str">
        <f>IF(AND($F162&lt;&gt;"", $F162&gt;=X$5-4, $F162&lt;=X$5, COUNTIF($M162:W162,"u")=0), "u", "")</f>
        <v/>
      </c>
      <c r="Y162" s="80" t="str">
        <f>IF(AND($F162&lt;&gt;"", $F162&gt;=Y$5-4, $F162&lt;=Y$5, COUNTIF($M162:X162,"u")=0), "u", "")</f>
        <v/>
      </c>
      <c r="Z162" s="80" t="str">
        <f>IF(AND($F162&lt;&gt;"", $F162&gt;=Z$5-4, $F162&lt;=Z$5, COUNTIF($M162:Y162,"u")=0), "u", "")</f>
        <v/>
      </c>
      <c r="AA162" s="80" t="str">
        <f>IF(AND($F162&lt;&gt;"", $F162&gt;=AA$5-4, $F162&lt;=AA$5, COUNTIF($M162:Z162,"u")=0), "u", "")</f>
        <v/>
      </c>
      <c r="AB162" s="80" t="str">
        <f>IF(AND($F162&lt;&gt;"", $F162&gt;=AB$5-4, $F162&lt;=AB$5, COUNTIF($M162:AA162,"u")=0), "u", "")</f>
        <v/>
      </c>
      <c r="AC162" s="80" t="str">
        <f>IF(AND($F162&lt;&gt;"", $F162&gt;=AC$5-4, $F162&lt;=AC$5, COUNTIF($M162:AB162,"u")=0), "u", "")</f>
        <v/>
      </c>
      <c r="AD162" s="80" t="str">
        <f>IF(AND($F162&lt;&gt;"", $F162&gt;=AD$5-4, $F162&lt;=AD$5, COUNTIF($M162:AC162,"u")=0), "u", "")</f>
        <v/>
      </c>
      <c r="AE162" s="80" t="str">
        <f>IF(AND($F162&lt;&gt;"", $F162&gt;=AE$5-4, $F162&lt;=AE$5, COUNTIF($M162:AD162,"u")=0), "u", "")</f>
        <v/>
      </c>
      <c r="AF162" s="80" t="str">
        <f>IF(AND($F162&lt;&gt;"", $F162&gt;=AF$5-4, $F162&lt;=AF$5, COUNTIF($M162:AE162,"u")=0), "u", "")</f>
        <v/>
      </c>
      <c r="AG162" s="80" t="str">
        <f>IF(AND($F162&lt;&gt;"", $F162&gt;=AG$5-4, $F162&lt;=AG$5, COUNTIF($M162:AF162,"u")=0), "u", "")</f>
        <v/>
      </c>
      <c r="AH162" s="80" t="str">
        <f>IF(AND($F162&lt;&gt;"", $F162&gt;=AH$5-4, $F162&lt;=AH$5, COUNTIF($M162:AG162,"u")=0), "u", "")</f>
        <v/>
      </c>
      <c r="AI162" s="80" t="str">
        <f>IF(AND($F162&lt;&gt;"", $F162&gt;=AI$5-4, $F162&lt;=AI$5, COUNTIF($M162:AH162,"u")=0), "u", "")</f>
        <v/>
      </c>
      <c r="AJ162" s="80" t="str">
        <f>IF(AND($F162&lt;&gt;"", $F162&gt;=AJ$5-4, $F162&lt;=AJ$5, COUNTIF($M162:AI162,"u")=0), "u", "")</f>
        <v/>
      </c>
      <c r="AK162" s="80" t="str">
        <f>IF(AND($F162&lt;&gt;"", $F162&gt;=AK$5-4, $F162&lt;=AK$5, COUNTIF($M162:AJ162,"u")=0), "u", "")</f>
        <v/>
      </c>
      <c r="AL162" s="80" t="str">
        <f>IF(AND($F162&lt;&gt;"", $F162&gt;=AL$5-4, $F162&lt;=AL$5, COUNTIF($M162:AK162,"u")=0), "u", "")</f>
        <v/>
      </c>
      <c r="AM162" s="80" t="str">
        <f>IF(AND($F162&lt;&gt;"", $F162&gt;=AM$5-4, $F162&lt;=AM$5, COUNTIF($M162:AL162,"u")=0), "u", "")</f>
        <v/>
      </c>
      <c r="AN162" s="80" t="str">
        <f>IF(AND($F162&lt;&gt;"", $F162&gt;=AN$5-4, $F162&lt;=AN$5, COUNTIF($M162:AM162,"u")=0), "u", "")</f>
        <v/>
      </c>
      <c r="AO162" s="80" t="str">
        <f>IF(AND($F162&lt;&gt;"", $F162&gt;=AO$5-4, $F162&lt;=AO$5, COUNTIF($M162:AN162,"u")=0), "u", "")</f>
        <v/>
      </c>
      <c r="AP162" s="80" t="str">
        <f>IF(AND($F162&lt;&gt;"", $F162&gt;=AP$5-4, $F162&lt;=AP$5, COUNTIF($M162:AO162,"u")=0), "u", "")</f>
        <v/>
      </c>
      <c r="AQ162" s="80" t="str">
        <f>IF(AND($F162&lt;&gt;"", $F162&gt;=AQ$5-4, $F162&lt;=AQ$5, COUNTIF($M162:AP162,"u")=0), "u", "")</f>
        <v/>
      </c>
      <c r="AR162" s="80" t="str">
        <f>IF(AND($F162&lt;&gt;"", $F162&gt;=AR$5-4, $F162&lt;=AR$5, COUNTIF($M162:AQ162,"u")=0), "u", "")</f>
        <v/>
      </c>
      <c r="AS162" s="80" t="str">
        <f>IF(AND($F162&lt;&gt;"", $F162&gt;=AS$5-4, $F162&lt;=AS$5, COUNTIF($M162:AR162,"u")=0), "u", "")</f>
        <v/>
      </c>
      <c r="AT162" s="80" t="str">
        <f>IF(AND($F162&lt;&gt;"", $F162&gt;=AT$5-4, $F162&lt;=AT$5, COUNTIF($M162:AS162,"u")=0), "u", "")</f>
        <v/>
      </c>
      <c r="AU162" s="80" t="str">
        <f>IF(AND($F162&lt;&gt;"", $F162&gt;=AU$5-4, $F162&lt;=AU$5, COUNTIF($M162:AT162,"u")=0), "u", "")</f>
        <v/>
      </c>
      <c r="AV162" s="80" t="str">
        <f>IF(AND($F162&lt;&gt;"", $F162&gt;=AV$5-4, $F162&lt;=AV$5, COUNTIF($M162:AU162,"u")=0), "u", "")</f>
        <v/>
      </c>
      <c r="AW162" s="80" t="str">
        <f>IF(AND($F162&lt;&gt;"", $F162&gt;=AW$5-4, $F162&lt;=AW$5, COUNTIF($M162:AV162,"u")=0), "u", "")</f>
        <v/>
      </c>
      <c r="AX162" s="80" t="str">
        <f>IF(AND($F162&lt;&gt;"", $F162&gt;=AX$5-4, $F162&lt;=AX$5, COUNTIF($M162:AW162,"u")=0), "u", "")</f>
        <v/>
      </c>
      <c r="AY162" s="80" t="str">
        <f>IF(AND($F162&lt;&gt;"", $F162&gt;=AY$5-4, $F162&lt;=AY$5, COUNTIF($M162:AX162,"u")=0), "u", "")</f>
        <v/>
      </c>
      <c r="AZ162" s="80" t="str">
        <f>IF(AND($F162&lt;&gt;"", $F162&gt;=AZ$5-4, $F162&lt;=AZ$5, COUNTIF($M162:AY162,"u")=0), "u", "")</f>
        <v/>
      </c>
      <c r="BA162" s="80" t="str">
        <f>IF(AND($F162&lt;&gt;"", $F162&gt;=BA$5-4, $F162&lt;=BA$5, COUNTIF($M162:AZ162,"u")=0), "u", "")</f>
        <v/>
      </c>
      <c r="BB162" s="80" t="str">
        <f>IF(AND($F162&lt;&gt;"", $F162&gt;=BB$5-4, $F162&lt;=BB$5, COUNTIF($M162:BA162,"u")=0), "u", "")</f>
        <v/>
      </c>
      <c r="BC162" s="80" t="str">
        <f>IF(AND($F162&lt;&gt;"", $F162&gt;=BC$5-4, $F162&lt;=BC$5, COUNTIF($M162:BB162,"u")=0), "u", "")</f>
        <v/>
      </c>
      <c r="BD162" s="80" t="str">
        <f>IF(AND($F162&lt;&gt;"", $F162&gt;=BD$5-4, $F162&lt;=BD$5, COUNTIF($M162:BC162,"u")=0), "u", "")</f>
        <v/>
      </c>
      <c r="BE162" s="80" t="str">
        <f>IF(AND($F162&lt;&gt;"", $F162&gt;=BE$5-4, $F162&lt;=BE$5, COUNTIF($M162:BD162,"u")=0), "u", "")</f>
        <v/>
      </c>
      <c r="BF162" s="80" t="str">
        <f>IF(AND($F162&lt;&gt;"", $F162&gt;=BF$5-4, $F162&lt;=BF$5, COUNTIF($M162:BE162,"u")=0), "u", "")</f>
        <v/>
      </c>
      <c r="BG162" s="80" t="str">
        <f>IF(AND($F162&lt;&gt;"", $F162&gt;=BG$5-4, $F162&lt;=BG$5, COUNTIF($M162:BF162,"u")=0), "u", "")</f>
        <v/>
      </c>
      <c r="BH162" s="80" t="str">
        <f>IF(AND($F162&lt;&gt;"", $F162&gt;=BH$5-4, $F162&lt;=BH$5, COUNTIF($M162:BG162,"u")=0), "u", "")</f>
        <v/>
      </c>
      <c r="BI162" s="80" t="str">
        <f>IF(AND($F162&lt;&gt;"", $F162&gt;=BI$5-4, $F162&lt;=BI$5, COUNTIF($M162:BH162,"u")=0), "u", "")</f>
        <v/>
      </c>
      <c r="BJ162" s="80" t="str">
        <f>IF(AND($F162&lt;&gt;"", $F162&gt;=BJ$5-4, $F162&lt;=BJ$5, COUNTIF($M162:BI162,"u")=0), "u", "")</f>
        <v/>
      </c>
      <c r="BK162" s="80" t="str">
        <f>IF(AND($F162&lt;&gt;"", $F162&gt;=BK$5-4, $F162&lt;=BK$5, COUNTIF($M162:BJ162,"u")=0), "u", "")</f>
        <v/>
      </c>
      <c r="BL162" s="80" t="str">
        <f>IF(AND($F162&lt;&gt;"", $F162&gt;=BL$5-4, $F162&lt;=BL$5, COUNTIF($M162:BK162,"u")=0), "u", "")</f>
        <v/>
      </c>
      <c r="BM162" s="80" t="str">
        <f>IF(AND($F162&lt;&gt;"", $F162&gt;=BM$5-4, $F162&lt;=BM$5, COUNTIF($M162:BL162,"u")=0), "u", "")</f>
        <v/>
      </c>
      <c r="BN162" s="80" t="str">
        <f>IF(AND($F162&lt;&gt;"", $F162&gt;=BN$5-4, $F162&lt;=BN$5, COUNTIF($M162:BM162,"u")=0), "u", "")</f>
        <v/>
      </c>
      <c r="BO162" s="80" t="str">
        <f>IF(AND($F162&lt;&gt;"", $F162&gt;=BO$5-4, $F162&lt;=BO$5, COUNTIF($M162:BN162,"u")=0), "u", "")</f>
        <v/>
      </c>
      <c r="BP162" s="80" t="str">
        <f>IF(AND($F162&lt;&gt;"", $F162&gt;=BP$5-4, $F162&lt;=BP$5, COUNTIF($M162:BO162,"u")=0), "u", "")</f>
        <v/>
      </c>
      <c r="BQ162" s="80" t="str">
        <f>IF(AND($F162&lt;&gt;"", $F162&gt;=BQ$5-4, $F162&lt;=BQ$5, COUNTIF($M162:BP162,"u")=0), "u", "")</f>
        <v/>
      </c>
      <c r="BR162" s="80" t="str">
        <f>IF(AND($F162&lt;&gt;"", $F162&gt;=BR$5-4, $F162&lt;=BR$5, COUNTIF($M162:BQ162,"u")=0), "u", "")</f>
        <v/>
      </c>
      <c r="BS162" s="80" t="str">
        <f>IF(AND($F162&lt;&gt;"", $F162&gt;=BS$5-4, $F162&lt;=BS$5, COUNTIF($M162:BR162,"u")=0), "u", "")</f>
        <v/>
      </c>
      <c r="BT162" s="80" t="str">
        <f>IF(AND($F162&lt;&gt;"", $F162&gt;=BT$5-4, $F162&lt;=BT$5, COUNTIF($M162:BS162,"u")=0), "u", "")</f>
        <v/>
      </c>
      <c r="BU162" s="80" t="str">
        <f>IF(AND($F162&lt;&gt;"", $F162&gt;=BU$5-4, $F162&lt;=BU$5, COUNTIF($M162:BT162,"u")=0), "u", "")</f>
        <v/>
      </c>
      <c r="BV162" s="80" t="str">
        <f>IF(AND($F162&lt;&gt;"", $F162&gt;=BV$5-4, $F162&lt;=BV$5, COUNTIF($M162:BU162,"u")=0), "u", "")</f>
        <v/>
      </c>
      <c r="BW162" s="80" t="str">
        <f>IF(AND($F162&lt;&gt;"", $F162&gt;=BW$5-4, $F162&lt;=BW$5, COUNTIF($M162:BV162,"u")=0), "u", "")</f>
        <v/>
      </c>
      <c r="BX162" s="80" t="str">
        <f>IF(AND($F162&lt;&gt;"", $F162&gt;=BX$5-4, $F162&lt;=BX$5, COUNTIF($M162:BW162,"u")=0), "u", "")</f>
        <v/>
      </c>
      <c r="BY162" s="80" t="str">
        <f>IF(AND($F162&lt;&gt;"", $F162&gt;=BY$5-4, $F162&lt;=BY$5, COUNTIF($M162:BX162,"u")=0), "u", "")</f>
        <v/>
      </c>
      <c r="BZ162" s="80" t="str">
        <f>IF(AND($F162&lt;&gt;"", $F162&gt;=BZ$5-4, $F162&lt;=BZ$5, COUNTIF($M162:BY162,"u")=0), "u", "")</f>
        <v/>
      </c>
      <c r="CA162" s="80" t="str">
        <f>IF(AND($F162&lt;&gt;"", $F162&gt;=CA$5-4, $F162&lt;=CA$5, COUNTIF($M162:BZ162,"u")=0), "u", "")</f>
        <v/>
      </c>
      <c r="CB162" s="80" t="str">
        <f>IF(AND($F162&lt;&gt;"", $F162&gt;=CB$5-4, $F162&lt;=CB$5, COUNTIF($M162:CA162,"u")=0), "u", "")</f>
        <v/>
      </c>
      <c r="CC162" s="80" t="str">
        <f>IF(AND($F162&lt;&gt;"", $F162&gt;=CC$5-4, $F162&lt;=CC$5, COUNTIF($M162:CB162,"u")=0), "u", "")</f>
        <v/>
      </c>
      <c r="CD162" s="80" t="str">
        <f>IF(AND($F162&lt;&gt;"", $F162&gt;=CD$5-4, $F162&lt;=CD$5, COUNTIF($M162:CC162,"u")=0), "u", "")</f>
        <v/>
      </c>
      <c r="CE162" s="80" t="str">
        <f>IF(AND($F162&lt;&gt;"", $F162&gt;=CE$5-4, $F162&lt;=CE$5, COUNTIF($M162:CD162,"u")=0), "u", "")</f>
        <v/>
      </c>
      <c r="CF162" s="80" t="str">
        <f>IF(AND($F162&lt;&gt;"", $F162&gt;=CF$5-4, $F162&lt;=CF$5, COUNTIF($M162:CE162,"u")=0), "u", "")</f>
        <v/>
      </c>
      <c r="CG162" s="80" t="str">
        <f>IF(AND($F162&lt;&gt;"", $F162&gt;=CG$5-4, $F162&lt;=CG$5, COUNTIF($M162:CF162,"u")=0), "u", "")</f>
        <v/>
      </c>
      <c r="CH162" s="80" t="str">
        <f>IF(AND($F162&lt;&gt;"", $F162&gt;=CH$5-4, $F162&lt;=CH$5, COUNTIF($M162:CG162,"u")=0), "u", "")</f>
        <v/>
      </c>
      <c r="CI162" s="80" t="str">
        <f>IF(AND($F162&lt;&gt;"", $F162&gt;=CI$5-4, $F162&lt;=CI$5, COUNTIF($M162:CH162,"u")=0), "u", "")</f>
        <v/>
      </c>
      <c r="CJ162" s="80" t="str">
        <f>IF(AND($F162&lt;&gt;"", $F162&gt;=CJ$5-4, $F162&lt;=CJ$5, COUNTIF($M162:CI162,"u")=0), "u", "")</f>
        <v/>
      </c>
      <c r="CK162" s="80" t="str">
        <f>IF(AND($F162&lt;&gt;"", $F162&gt;=CK$5-4, $F162&lt;=CK$5, COUNTIF($M162:CJ162,"u")=0), "u", "")</f>
        <v/>
      </c>
      <c r="CL162" s="80" t="str">
        <f>IF(AND($F162&lt;&gt;"", $F162&gt;=CL$5-4, $F162&lt;=CL$5, COUNTIF($M162:CK162,"u")=0), "u", "")</f>
        <v/>
      </c>
      <c r="CM162" s="80" t="str">
        <f>IF(AND($F162&lt;&gt;"", $F162&gt;=CM$5-4, $F162&lt;=CM$5, COUNTIF($M162:CL162,"u")=0), "u", "")</f>
        <v/>
      </c>
      <c r="CN162" s="80" t="str">
        <f>IF(AND($F162&lt;&gt;"", $F162&gt;=CN$5-4, $F162&lt;=CN$5, COUNTIF($M162:CM162,"u")=0), "u", "")</f>
        <v/>
      </c>
      <c r="CO162" s="80" t="str">
        <f>IF(AND($F162&lt;&gt;"", $F162&gt;=CO$5-4, $F162&lt;=CO$5, COUNTIF($M162:CN162,"u")=0), "u", "")</f>
        <v/>
      </c>
      <c r="CP162" s="80" t="str">
        <f>IF(AND($F162&lt;&gt;"", $F162&gt;=CP$5-4, $F162&lt;=CP$5, COUNTIF($M162:CO162,"u")=0), "u", "")</f>
        <v/>
      </c>
      <c r="CQ162" s="80" t="str">
        <f>IF(AND($F162&lt;&gt;"", $F162&gt;=CQ$5-4, $F162&lt;=CQ$5, COUNTIF($M162:CP162,"u")=0), "u", "")</f>
        <v/>
      </c>
      <c r="CR162" s="80" t="str">
        <f>IF(AND($F162&lt;&gt;"", $F162&gt;=CR$5-4, $F162&lt;=CR$5, COUNTIF($M162:CQ162,"u")=0), "u", "")</f>
        <v/>
      </c>
      <c r="CS162" s="80" t="str">
        <f>IF(AND($F162&lt;&gt;"", $F162&gt;=CS$5-4, $F162&lt;=CS$5, COUNTIF($M162:CR162,"u")=0), "u", "")</f>
        <v/>
      </c>
      <c r="CT162" s="80" t="str">
        <f>IF(AND($F162&lt;&gt;"", $F162&gt;=CT$5-4, $F162&lt;=CT$5, COUNTIF($M162:CS162,"u")=0), "u", "")</f>
        <v/>
      </c>
      <c r="CU162" s="80" t="str">
        <f>IF(AND($F162&lt;&gt;"", $F162&gt;=CU$5-4, $F162&lt;=CU$5, COUNTIF($M162:CT162,"u")=0), "u", "")</f>
        <v/>
      </c>
      <c r="CV162" s="80" t="str">
        <f>IF(AND($F162&lt;&gt;"", $F162&gt;=CV$5-4, $F162&lt;=CV$5, COUNTIF($M162:CU162,"u")=0), "u", "")</f>
        <v/>
      </c>
      <c r="CW162" s="80" t="str">
        <f>IF(AND($F162&lt;&gt;"", $F162&gt;=CW$5-4, $F162&lt;=CW$5, COUNTIF($M162:CV162,"u")=0), "u", "")</f>
        <v/>
      </c>
      <c r="CX162" s="80" t="str">
        <f>IF(AND($F162&lt;&gt;"", $F162&gt;=CX$5-4, $F162&lt;=CX$5, COUNTIF($M162:CW162,"u")=0), "u", "")</f>
        <v/>
      </c>
      <c r="CY162" s="80" t="str">
        <f>IF(AND($F162&lt;&gt;"", $F162&gt;=CY$5-4, $F162&lt;=CY$5, COUNTIF($M162:CX162,"u")=0), "u", "")</f>
        <v/>
      </c>
      <c r="CZ162" s="80" t="str">
        <f>IF(AND($F162&lt;&gt;"", $F162&gt;=CZ$5-4, $F162&lt;=CZ$5, COUNTIF($M162:CY162,"u")=0), "u", "")</f>
        <v/>
      </c>
      <c r="DA162" s="80" t="str">
        <f>IF(AND($F162&lt;&gt;"", $F162&gt;=DA$5-4, $F162&lt;=DA$5, COUNTIF($M162:CZ162,"u")=0), "u", "")</f>
        <v/>
      </c>
      <c r="DB162" s="80" t="str">
        <f>IF(AND($F162&lt;&gt;"", $F162&gt;=DB$5-4, $F162&lt;=DB$5, COUNTIF($M162:DA162,"u")=0), "u", "")</f>
        <v/>
      </c>
      <c r="DC162" s="80" t="str">
        <f>IF(AND($F162&lt;&gt;"", $F162&gt;=DC$5-4, $F162&lt;=DC$5, COUNTIF($M162:DB162,"u")=0), "u", "")</f>
        <v/>
      </c>
      <c r="DD162" s="80" t="str">
        <f>IF(AND($F162&lt;&gt;"", $F162&gt;=DD$5-4, $F162&lt;=DD$5, COUNTIF($M162:DC162,"u")=0), "u", "")</f>
        <v/>
      </c>
      <c r="DE162" s="80" t="str">
        <f>IF(AND($F162&lt;&gt;"", $F162&gt;=DE$5-4, $F162&lt;=DE$5, COUNTIF($M162:DD162,"u")=0), "u", "")</f>
        <v/>
      </c>
      <c r="DF162" s="80" t="str">
        <f>IF(AND($F162&lt;&gt;"", $F162&gt;=DF$5-4, $F162&lt;=DF$5, COUNTIF($M162:DE162,"u")=0), "u", "")</f>
        <v/>
      </c>
      <c r="DG162" s="80" t="str">
        <f>IF(AND($F162&lt;&gt;"", $F162&gt;=DG$5-4, $F162&lt;=DG$5, COUNTIF($M162:DF162,"u")=0), "u", "")</f>
        <v/>
      </c>
      <c r="DH162" s="80" t="str">
        <f>IF(AND($F162&lt;&gt;"", $F162&gt;=DH$5-4, $F162&lt;=DH$5, COUNTIF($M162:DG162,"u")=0), "u", "")</f>
        <v/>
      </c>
      <c r="DI162" s="80" t="str">
        <f>IF(AND($F162&lt;&gt;"", $F162&gt;=DI$5-4, $F162&lt;=DI$5, COUNTIF($M162:DH162,"u")=0), "u", "")</f>
        <v/>
      </c>
      <c r="DJ162" s="80" t="str">
        <f>IF(AND($F162&lt;&gt;"", $F162&gt;=DJ$5-4, $F162&lt;=DJ$5, COUNTIF($M162:DI162,"u")=0), "u", "")</f>
        <v/>
      </c>
      <c r="DK162" s="80" t="str">
        <f>IF(AND($F162&lt;&gt;"", $F162&gt;=DK$5-4, $F162&lt;=DK$5, COUNTIF($M162:DJ162,"u")=0), "u", "")</f>
        <v/>
      </c>
      <c r="DL162" s="80" t="str">
        <f>IF(AND($F162&lt;&gt;"", $F162&gt;=DL$5-4, $F162&lt;=DL$5, COUNTIF($M162:DK162,"u")=0), "u", "")</f>
        <v/>
      </c>
    </row>
    <row r="163" spans="1:116" ht="25.05" customHeight="1" x14ac:dyDescent="0.3">
      <c r="A163" s="39"/>
      <c r="B163" s="75">
        <v>158</v>
      </c>
      <c r="C163" s="97"/>
      <c r="D163" s="92"/>
      <c r="E163" s="53"/>
      <c r="F163" s="53"/>
      <c r="G163" s="83" t="str">
        <f t="shared" si="53"/>
        <v/>
      </c>
      <c r="H163" s="83" t="str">
        <f t="shared" si="53"/>
        <v/>
      </c>
      <c r="I163" s="77" t="str">
        <f t="shared" si="51"/>
        <v/>
      </c>
      <c r="J163" s="78"/>
      <c r="K163" s="86"/>
      <c r="L163" s="56"/>
      <c r="M163" s="80" t="str">
        <f t="shared" si="52"/>
        <v/>
      </c>
      <c r="N163" s="80" t="str">
        <f>IF(AND($F163&lt;&gt;"", $F163&gt;=N$5-4, $F163&lt;=N$5, COUNTIF($M163:M163,"u")=0), "u", "")</f>
        <v/>
      </c>
      <c r="O163" s="80" t="str">
        <f>IF(AND($F163&lt;&gt;"", $F163&gt;=O$5-4, $F163&lt;=O$5, COUNTIF($M163:N163,"u")=0), "u", "")</f>
        <v/>
      </c>
      <c r="P163" s="80" t="str">
        <f>IF(AND($F163&lt;&gt;"", $F163&gt;=P$5-4, $F163&lt;=P$5, COUNTIF($M163:O163,"u")=0), "u", "")</f>
        <v/>
      </c>
      <c r="Q163" s="80" t="str">
        <f>IF(AND($F163&lt;&gt;"", $F163&gt;=Q$5-4, $F163&lt;=Q$5, COUNTIF($M163:P163,"u")=0), "u", "")</f>
        <v/>
      </c>
      <c r="R163" s="80" t="str">
        <f>IF(AND($F163&lt;&gt;"", $F163&gt;=R$5-4, $F163&lt;=R$5, COUNTIF($M163:Q163,"u")=0), "u", "")</f>
        <v/>
      </c>
      <c r="S163" s="80" t="str">
        <f>IF(AND($F163&lt;&gt;"", $F163&gt;=S$5-4, $F163&lt;=S$5, COUNTIF($M163:R163,"u")=0), "u", "")</f>
        <v/>
      </c>
      <c r="T163" s="80" t="str">
        <f>IF(AND($F163&lt;&gt;"", $F163&gt;=T$5-4, $F163&lt;=T$5, COUNTIF($M163:S163,"u")=0), "u", "")</f>
        <v/>
      </c>
      <c r="U163" s="80" t="str">
        <f>IF(AND($F163&lt;&gt;"", $F163&gt;=U$5-4, $F163&lt;=U$5, COUNTIF($M163:T163,"u")=0), "u", "")</f>
        <v/>
      </c>
      <c r="V163" s="80" t="str">
        <f>IF(AND($F163&lt;&gt;"", $F163&gt;=V$5-4, $F163&lt;=V$5, COUNTIF($M163:U163,"u")=0), "u", "")</f>
        <v/>
      </c>
      <c r="W163" s="80" t="str">
        <f>IF(AND($F163&lt;&gt;"", $F163&gt;=W$5-4, $F163&lt;=W$5, COUNTIF($M163:V163,"u")=0), "u", "")</f>
        <v/>
      </c>
      <c r="X163" s="80" t="str">
        <f>IF(AND($F163&lt;&gt;"", $F163&gt;=X$5-4, $F163&lt;=X$5, COUNTIF($M163:W163,"u")=0), "u", "")</f>
        <v/>
      </c>
      <c r="Y163" s="80" t="str">
        <f>IF(AND($F163&lt;&gt;"", $F163&gt;=Y$5-4, $F163&lt;=Y$5, COUNTIF($M163:X163,"u")=0), "u", "")</f>
        <v/>
      </c>
      <c r="Z163" s="80" t="str">
        <f>IF(AND($F163&lt;&gt;"", $F163&gt;=Z$5-4, $F163&lt;=Z$5, COUNTIF($M163:Y163,"u")=0), "u", "")</f>
        <v/>
      </c>
      <c r="AA163" s="80" t="str">
        <f>IF(AND($F163&lt;&gt;"", $F163&gt;=AA$5-4, $F163&lt;=AA$5, COUNTIF($M163:Z163,"u")=0), "u", "")</f>
        <v/>
      </c>
      <c r="AB163" s="80" t="str">
        <f>IF(AND($F163&lt;&gt;"", $F163&gt;=AB$5-4, $F163&lt;=AB$5, COUNTIF($M163:AA163,"u")=0), "u", "")</f>
        <v/>
      </c>
      <c r="AC163" s="80" t="str">
        <f>IF(AND($F163&lt;&gt;"", $F163&gt;=AC$5-4, $F163&lt;=AC$5, COUNTIF($M163:AB163,"u")=0), "u", "")</f>
        <v/>
      </c>
      <c r="AD163" s="80" t="str">
        <f>IF(AND($F163&lt;&gt;"", $F163&gt;=AD$5-4, $F163&lt;=AD$5, COUNTIF($M163:AC163,"u")=0), "u", "")</f>
        <v/>
      </c>
      <c r="AE163" s="80" t="str">
        <f>IF(AND($F163&lt;&gt;"", $F163&gt;=AE$5-4, $F163&lt;=AE$5, COUNTIF($M163:AD163,"u")=0), "u", "")</f>
        <v/>
      </c>
      <c r="AF163" s="80" t="str">
        <f>IF(AND($F163&lt;&gt;"", $F163&gt;=AF$5-4, $F163&lt;=AF$5, COUNTIF($M163:AE163,"u")=0), "u", "")</f>
        <v/>
      </c>
      <c r="AG163" s="80" t="str">
        <f>IF(AND($F163&lt;&gt;"", $F163&gt;=AG$5-4, $F163&lt;=AG$5, COUNTIF($M163:AF163,"u")=0), "u", "")</f>
        <v/>
      </c>
      <c r="AH163" s="80" t="str">
        <f>IF(AND($F163&lt;&gt;"", $F163&gt;=AH$5-4, $F163&lt;=AH$5, COUNTIF($M163:AG163,"u")=0), "u", "")</f>
        <v/>
      </c>
      <c r="AI163" s="80" t="str">
        <f>IF(AND($F163&lt;&gt;"", $F163&gt;=AI$5-4, $F163&lt;=AI$5, COUNTIF($M163:AH163,"u")=0), "u", "")</f>
        <v/>
      </c>
      <c r="AJ163" s="80" t="str">
        <f>IF(AND($F163&lt;&gt;"", $F163&gt;=AJ$5-4, $F163&lt;=AJ$5, COUNTIF($M163:AI163,"u")=0), "u", "")</f>
        <v/>
      </c>
      <c r="AK163" s="80" t="str">
        <f>IF(AND($F163&lt;&gt;"", $F163&gt;=AK$5-4, $F163&lt;=AK$5, COUNTIF($M163:AJ163,"u")=0), "u", "")</f>
        <v/>
      </c>
      <c r="AL163" s="80" t="str">
        <f>IF(AND($F163&lt;&gt;"", $F163&gt;=AL$5-4, $F163&lt;=AL$5, COUNTIF($M163:AK163,"u")=0), "u", "")</f>
        <v/>
      </c>
      <c r="AM163" s="80" t="str">
        <f>IF(AND($F163&lt;&gt;"", $F163&gt;=AM$5-4, $F163&lt;=AM$5, COUNTIF($M163:AL163,"u")=0), "u", "")</f>
        <v/>
      </c>
      <c r="AN163" s="80" t="str">
        <f>IF(AND($F163&lt;&gt;"", $F163&gt;=AN$5-4, $F163&lt;=AN$5, COUNTIF($M163:AM163,"u")=0), "u", "")</f>
        <v/>
      </c>
      <c r="AO163" s="80" t="str">
        <f>IF(AND($F163&lt;&gt;"", $F163&gt;=AO$5-4, $F163&lt;=AO$5, COUNTIF($M163:AN163,"u")=0), "u", "")</f>
        <v/>
      </c>
      <c r="AP163" s="80" t="str">
        <f>IF(AND($F163&lt;&gt;"", $F163&gt;=AP$5-4, $F163&lt;=AP$5, COUNTIF($M163:AO163,"u")=0), "u", "")</f>
        <v/>
      </c>
      <c r="AQ163" s="80" t="str">
        <f>IF(AND($F163&lt;&gt;"", $F163&gt;=AQ$5-4, $F163&lt;=AQ$5, COUNTIF($M163:AP163,"u")=0), "u", "")</f>
        <v/>
      </c>
      <c r="AR163" s="80" t="str">
        <f>IF(AND($F163&lt;&gt;"", $F163&gt;=AR$5-4, $F163&lt;=AR$5, COUNTIF($M163:AQ163,"u")=0), "u", "")</f>
        <v/>
      </c>
      <c r="AS163" s="80" t="str">
        <f>IF(AND($F163&lt;&gt;"", $F163&gt;=AS$5-4, $F163&lt;=AS$5, COUNTIF($M163:AR163,"u")=0), "u", "")</f>
        <v/>
      </c>
      <c r="AT163" s="80" t="str">
        <f>IF(AND($F163&lt;&gt;"", $F163&gt;=AT$5-4, $F163&lt;=AT$5, COUNTIF($M163:AS163,"u")=0), "u", "")</f>
        <v/>
      </c>
      <c r="AU163" s="80" t="str">
        <f>IF(AND($F163&lt;&gt;"", $F163&gt;=AU$5-4, $F163&lt;=AU$5, COUNTIF($M163:AT163,"u")=0), "u", "")</f>
        <v/>
      </c>
      <c r="AV163" s="80" t="str">
        <f>IF(AND($F163&lt;&gt;"", $F163&gt;=AV$5-4, $F163&lt;=AV$5, COUNTIF($M163:AU163,"u")=0), "u", "")</f>
        <v/>
      </c>
      <c r="AW163" s="80" t="str">
        <f>IF(AND($F163&lt;&gt;"", $F163&gt;=AW$5-4, $F163&lt;=AW$5, COUNTIF($M163:AV163,"u")=0), "u", "")</f>
        <v/>
      </c>
      <c r="AX163" s="80" t="str">
        <f>IF(AND($F163&lt;&gt;"", $F163&gt;=AX$5-4, $F163&lt;=AX$5, COUNTIF($M163:AW163,"u")=0), "u", "")</f>
        <v/>
      </c>
      <c r="AY163" s="80" t="str">
        <f>IF(AND($F163&lt;&gt;"", $F163&gt;=AY$5-4, $F163&lt;=AY$5, COUNTIF($M163:AX163,"u")=0), "u", "")</f>
        <v/>
      </c>
      <c r="AZ163" s="80" t="str">
        <f>IF(AND($F163&lt;&gt;"", $F163&gt;=AZ$5-4, $F163&lt;=AZ$5, COUNTIF($M163:AY163,"u")=0), "u", "")</f>
        <v/>
      </c>
      <c r="BA163" s="80" t="str">
        <f>IF(AND($F163&lt;&gt;"", $F163&gt;=BA$5-4, $F163&lt;=BA$5, COUNTIF($M163:AZ163,"u")=0), "u", "")</f>
        <v/>
      </c>
      <c r="BB163" s="80" t="str">
        <f>IF(AND($F163&lt;&gt;"", $F163&gt;=BB$5-4, $F163&lt;=BB$5, COUNTIF($M163:BA163,"u")=0), "u", "")</f>
        <v/>
      </c>
      <c r="BC163" s="80" t="str">
        <f>IF(AND($F163&lt;&gt;"", $F163&gt;=BC$5-4, $F163&lt;=BC$5, COUNTIF($M163:BB163,"u")=0), "u", "")</f>
        <v/>
      </c>
      <c r="BD163" s="80" t="str">
        <f>IF(AND($F163&lt;&gt;"", $F163&gt;=BD$5-4, $F163&lt;=BD$5, COUNTIF($M163:BC163,"u")=0), "u", "")</f>
        <v/>
      </c>
      <c r="BE163" s="80" t="str">
        <f>IF(AND($F163&lt;&gt;"", $F163&gt;=BE$5-4, $F163&lt;=BE$5, COUNTIF($M163:BD163,"u")=0), "u", "")</f>
        <v/>
      </c>
      <c r="BF163" s="80" t="str">
        <f>IF(AND($F163&lt;&gt;"", $F163&gt;=BF$5-4, $F163&lt;=BF$5, COUNTIF($M163:BE163,"u")=0), "u", "")</f>
        <v/>
      </c>
      <c r="BG163" s="80" t="str">
        <f>IF(AND($F163&lt;&gt;"", $F163&gt;=BG$5-4, $F163&lt;=BG$5, COUNTIF($M163:BF163,"u")=0), "u", "")</f>
        <v/>
      </c>
      <c r="BH163" s="80" t="str">
        <f>IF(AND($F163&lt;&gt;"", $F163&gt;=BH$5-4, $F163&lt;=BH$5, COUNTIF($M163:BG163,"u")=0), "u", "")</f>
        <v/>
      </c>
      <c r="BI163" s="80" t="str">
        <f>IF(AND($F163&lt;&gt;"", $F163&gt;=BI$5-4, $F163&lt;=BI$5, COUNTIF($M163:BH163,"u")=0), "u", "")</f>
        <v/>
      </c>
      <c r="BJ163" s="80" t="str">
        <f>IF(AND($F163&lt;&gt;"", $F163&gt;=BJ$5-4, $F163&lt;=BJ$5, COUNTIF($M163:BI163,"u")=0), "u", "")</f>
        <v/>
      </c>
      <c r="BK163" s="80" t="str">
        <f>IF(AND($F163&lt;&gt;"", $F163&gt;=BK$5-4, $F163&lt;=BK$5, COUNTIF($M163:BJ163,"u")=0), "u", "")</f>
        <v/>
      </c>
      <c r="BL163" s="80" t="str">
        <f>IF(AND($F163&lt;&gt;"", $F163&gt;=BL$5-4, $F163&lt;=BL$5, COUNTIF($M163:BK163,"u")=0), "u", "")</f>
        <v/>
      </c>
      <c r="BM163" s="80" t="str">
        <f>IF(AND($F163&lt;&gt;"", $F163&gt;=BM$5-4, $F163&lt;=BM$5, COUNTIF($M163:BL163,"u")=0), "u", "")</f>
        <v/>
      </c>
      <c r="BN163" s="80" t="str">
        <f>IF(AND($F163&lt;&gt;"", $F163&gt;=BN$5-4, $F163&lt;=BN$5, COUNTIF($M163:BM163,"u")=0), "u", "")</f>
        <v/>
      </c>
      <c r="BO163" s="80" t="str">
        <f>IF(AND($F163&lt;&gt;"", $F163&gt;=BO$5-4, $F163&lt;=BO$5, COUNTIF($M163:BN163,"u")=0), "u", "")</f>
        <v/>
      </c>
      <c r="BP163" s="80" t="str">
        <f>IF(AND($F163&lt;&gt;"", $F163&gt;=BP$5-4, $F163&lt;=BP$5, COUNTIF($M163:BO163,"u")=0), "u", "")</f>
        <v/>
      </c>
      <c r="BQ163" s="80" t="str">
        <f>IF(AND($F163&lt;&gt;"", $F163&gt;=BQ$5-4, $F163&lt;=BQ$5, COUNTIF($M163:BP163,"u")=0), "u", "")</f>
        <v/>
      </c>
      <c r="BR163" s="80" t="str">
        <f>IF(AND($F163&lt;&gt;"", $F163&gt;=BR$5-4, $F163&lt;=BR$5, COUNTIF($M163:BQ163,"u")=0), "u", "")</f>
        <v/>
      </c>
      <c r="BS163" s="80" t="str">
        <f>IF(AND($F163&lt;&gt;"", $F163&gt;=BS$5-4, $F163&lt;=BS$5, COUNTIF($M163:BR163,"u")=0), "u", "")</f>
        <v/>
      </c>
      <c r="BT163" s="80" t="str">
        <f>IF(AND($F163&lt;&gt;"", $F163&gt;=BT$5-4, $F163&lt;=BT$5, COUNTIF($M163:BS163,"u")=0), "u", "")</f>
        <v/>
      </c>
      <c r="BU163" s="80" t="str">
        <f>IF(AND($F163&lt;&gt;"", $F163&gt;=BU$5-4, $F163&lt;=BU$5, COUNTIF($M163:BT163,"u")=0), "u", "")</f>
        <v/>
      </c>
      <c r="BV163" s="80" t="str">
        <f>IF(AND($F163&lt;&gt;"", $F163&gt;=BV$5-4, $F163&lt;=BV$5, COUNTIF($M163:BU163,"u")=0), "u", "")</f>
        <v/>
      </c>
      <c r="BW163" s="80" t="str">
        <f>IF(AND($F163&lt;&gt;"", $F163&gt;=BW$5-4, $F163&lt;=BW$5, COUNTIF($M163:BV163,"u")=0), "u", "")</f>
        <v/>
      </c>
      <c r="BX163" s="80" t="str">
        <f>IF(AND($F163&lt;&gt;"", $F163&gt;=BX$5-4, $F163&lt;=BX$5, COUNTIF($M163:BW163,"u")=0), "u", "")</f>
        <v/>
      </c>
      <c r="BY163" s="80" t="str">
        <f>IF(AND($F163&lt;&gt;"", $F163&gt;=BY$5-4, $F163&lt;=BY$5, COUNTIF($M163:BX163,"u")=0), "u", "")</f>
        <v/>
      </c>
      <c r="BZ163" s="80" t="str">
        <f>IF(AND($F163&lt;&gt;"", $F163&gt;=BZ$5-4, $F163&lt;=BZ$5, COUNTIF($M163:BY163,"u")=0), "u", "")</f>
        <v/>
      </c>
      <c r="CA163" s="80" t="str">
        <f>IF(AND($F163&lt;&gt;"", $F163&gt;=CA$5-4, $F163&lt;=CA$5, COUNTIF($M163:BZ163,"u")=0), "u", "")</f>
        <v/>
      </c>
      <c r="CB163" s="80" t="str">
        <f>IF(AND($F163&lt;&gt;"", $F163&gt;=CB$5-4, $F163&lt;=CB$5, COUNTIF($M163:CA163,"u")=0), "u", "")</f>
        <v/>
      </c>
      <c r="CC163" s="80" t="str">
        <f>IF(AND($F163&lt;&gt;"", $F163&gt;=CC$5-4, $F163&lt;=CC$5, COUNTIF($M163:CB163,"u")=0), "u", "")</f>
        <v/>
      </c>
      <c r="CD163" s="80" t="str">
        <f>IF(AND($F163&lt;&gt;"", $F163&gt;=CD$5-4, $F163&lt;=CD$5, COUNTIF($M163:CC163,"u")=0), "u", "")</f>
        <v/>
      </c>
      <c r="CE163" s="80" t="str">
        <f>IF(AND($F163&lt;&gt;"", $F163&gt;=CE$5-4, $F163&lt;=CE$5, COUNTIF($M163:CD163,"u")=0), "u", "")</f>
        <v/>
      </c>
      <c r="CF163" s="80" t="str">
        <f>IF(AND($F163&lt;&gt;"", $F163&gt;=CF$5-4, $F163&lt;=CF$5, COUNTIF($M163:CE163,"u")=0), "u", "")</f>
        <v/>
      </c>
      <c r="CG163" s="80" t="str">
        <f>IF(AND($F163&lt;&gt;"", $F163&gt;=CG$5-4, $F163&lt;=CG$5, COUNTIF($M163:CF163,"u")=0), "u", "")</f>
        <v/>
      </c>
      <c r="CH163" s="80" t="str">
        <f>IF(AND($F163&lt;&gt;"", $F163&gt;=CH$5-4, $F163&lt;=CH$5, COUNTIF($M163:CG163,"u")=0), "u", "")</f>
        <v/>
      </c>
      <c r="CI163" s="80" t="str">
        <f>IF(AND($F163&lt;&gt;"", $F163&gt;=CI$5-4, $F163&lt;=CI$5, COUNTIF($M163:CH163,"u")=0), "u", "")</f>
        <v/>
      </c>
      <c r="CJ163" s="80" t="str">
        <f>IF(AND($F163&lt;&gt;"", $F163&gt;=CJ$5-4, $F163&lt;=CJ$5, COUNTIF($M163:CI163,"u")=0), "u", "")</f>
        <v/>
      </c>
      <c r="CK163" s="80" t="str">
        <f>IF(AND($F163&lt;&gt;"", $F163&gt;=CK$5-4, $F163&lt;=CK$5, COUNTIF($M163:CJ163,"u")=0), "u", "")</f>
        <v/>
      </c>
      <c r="CL163" s="80" t="str">
        <f>IF(AND($F163&lt;&gt;"", $F163&gt;=CL$5-4, $F163&lt;=CL$5, COUNTIF($M163:CK163,"u")=0), "u", "")</f>
        <v/>
      </c>
      <c r="CM163" s="80" t="str">
        <f>IF(AND($F163&lt;&gt;"", $F163&gt;=CM$5-4, $F163&lt;=CM$5, COUNTIF($M163:CL163,"u")=0), "u", "")</f>
        <v/>
      </c>
      <c r="CN163" s="80" t="str">
        <f>IF(AND($F163&lt;&gt;"", $F163&gt;=CN$5-4, $F163&lt;=CN$5, COUNTIF($M163:CM163,"u")=0), "u", "")</f>
        <v/>
      </c>
      <c r="CO163" s="80" t="str">
        <f>IF(AND($F163&lt;&gt;"", $F163&gt;=CO$5-4, $F163&lt;=CO$5, COUNTIF($M163:CN163,"u")=0), "u", "")</f>
        <v/>
      </c>
      <c r="CP163" s="80" t="str">
        <f>IF(AND($F163&lt;&gt;"", $F163&gt;=CP$5-4, $F163&lt;=CP$5, COUNTIF($M163:CO163,"u")=0), "u", "")</f>
        <v/>
      </c>
      <c r="CQ163" s="80" t="str">
        <f>IF(AND($F163&lt;&gt;"", $F163&gt;=CQ$5-4, $F163&lt;=CQ$5, COUNTIF($M163:CP163,"u")=0), "u", "")</f>
        <v/>
      </c>
      <c r="CR163" s="80" t="str">
        <f>IF(AND($F163&lt;&gt;"", $F163&gt;=CR$5-4, $F163&lt;=CR$5, COUNTIF($M163:CQ163,"u")=0), "u", "")</f>
        <v/>
      </c>
      <c r="CS163" s="80" t="str">
        <f>IF(AND($F163&lt;&gt;"", $F163&gt;=CS$5-4, $F163&lt;=CS$5, COUNTIF($M163:CR163,"u")=0), "u", "")</f>
        <v/>
      </c>
      <c r="CT163" s="80" t="str">
        <f>IF(AND($F163&lt;&gt;"", $F163&gt;=CT$5-4, $F163&lt;=CT$5, COUNTIF($M163:CS163,"u")=0), "u", "")</f>
        <v/>
      </c>
      <c r="CU163" s="80" t="str">
        <f>IF(AND($F163&lt;&gt;"", $F163&gt;=CU$5-4, $F163&lt;=CU$5, COUNTIF($M163:CT163,"u")=0), "u", "")</f>
        <v/>
      </c>
      <c r="CV163" s="80" t="str">
        <f>IF(AND($F163&lt;&gt;"", $F163&gt;=CV$5-4, $F163&lt;=CV$5, COUNTIF($M163:CU163,"u")=0), "u", "")</f>
        <v/>
      </c>
      <c r="CW163" s="80" t="str">
        <f>IF(AND($F163&lt;&gt;"", $F163&gt;=CW$5-4, $F163&lt;=CW$5, COUNTIF($M163:CV163,"u")=0), "u", "")</f>
        <v/>
      </c>
      <c r="CX163" s="80" t="str">
        <f>IF(AND($F163&lt;&gt;"", $F163&gt;=CX$5-4, $F163&lt;=CX$5, COUNTIF($M163:CW163,"u")=0), "u", "")</f>
        <v/>
      </c>
      <c r="CY163" s="80" t="str">
        <f>IF(AND($F163&lt;&gt;"", $F163&gt;=CY$5-4, $F163&lt;=CY$5, COUNTIF($M163:CX163,"u")=0), "u", "")</f>
        <v/>
      </c>
      <c r="CZ163" s="80" t="str">
        <f>IF(AND($F163&lt;&gt;"", $F163&gt;=CZ$5-4, $F163&lt;=CZ$5, COUNTIF($M163:CY163,"u")=0), "u", "")</f>
        <v/>
      </c>
      <c r="DA163" s="80" t="str">
        <f>IF(AND($F163&lt;&gt;"", $F163&gt;=DA$5-4, $F163&lt;=DA$5, COUNTIF($M163:CZ163,"u")=0), "u", "")</f>
        <v/>
      </c>
      <c r="DB163" s="80" t="str">
        <f>IF(AND($F163&lt;&gt;"", $F163&gt;=DB$5-4, $F163&lt;=DB$5, COUNTIF($M163:DA163,"u")=0), "u", "")</f>
        <v/>
      </c>
      <c r="DC163" s="80" t="str">
        <f>IF(AND($F163&lt;&gt;"", $F163&gt;=DC$5-4, $F163&lt;=DC$5, COUNTIF($M163:DB163,"u")=0), "u", "")</f>
        <v/>
      </c>
      <c r="DD163" s="80" t="str">
        <f>IF(AND($F163&lt;&gt;"", $F163&gt;=DD$5-4, $F163&lt;=DD$5, COUNTIF($M163:DC163,"u")=0), "u", "")</f>
        <v/>
      </c>
      <c r="DE163" s="80" t="str">
        <f>IF(AND($F163&lt;&gt;"", $F163&gt;=DE$5-4, $F163&lt;=DE$5, COUNTIF($M163:DD163,"u")=0), "u", "")</f>
        <v/>
      </c>
      <c r="DF163" s="80" t="str">
        <f>IF(AND($F163&lt;&gt;"", $F163&gt;=DF$5-4, $F163&lt;=DF$5, COUNTIF($M163:DE163,"u")=0), "u", "")</f>
        <v/>
      </c>
      <c r="DG163" s="80" t="str">
        <f>IF(AND($F163&lt;&gt;"", $F163&gt;=DG$5-4, $F163&lt;=DG$5, COUNTIF($M163:DF163,"u")=0), "u", "")</f>
        <v/>
      </c>
      <c r="DH163" s="80" t="str">
        <f>IF(AND($F163&lt;&gt;"", $F163&gt;=DH$5-4, $F163&lt;=DH$5, COUNTIF($M163:DG163,"u")=0), "u", "")</f>
        <v/>
      </c>
      <c r="DI163" s="80" t="str">
        <f>IF(AND($F163&lt;&gt;"", $F163&gt;=DI$5-4, $F163&lt;=DI$5, COUNTIF($M163:DH163,"u")=0), "u", "")</f>
        <v/>
      </c>
      <c r="DJ163" s="80" t="str">
        <f>IF(AND($F163&lt;&gt;"", $F163&gt;=DJ$5-4, $F163&lt;=DJ$5, COUNTIF($M163:DI163,"u")=0), "u", "")</f>
        <v/>
      </c>
      <c r="DK163" s="80" t="str">
        <f>IF(AND($F163&lt;&gt;"", $F163&gt;=DK$5-4, $F163&lt;=DK$5, COUNTIF($M163:DJ163,"u")=0), "u", "")</f>
        <v/>
      </c>
      <c r="DL163" s="80" t="str">
        <f>IF(AND($F163&lt;&gt;"", $F163&gt;=DL$5-4, $F163&lt;=DL$5, COUNTIF($M163:DK163,"u")=0), "u", "")</f>
        <v/>
      </c>
    </row>
    <row r="164" spans="1:116" ht="25.05" customHeight="1" x14ac:dyDescent="0.3">
      <c r="A164" s="39"/>
      <c r="B164" s="75">
        <v>159</v>
      </c>
      <c r="C164" s="97"/>
      <c r="D164" s="92"/>
      <c r="E164" s="53"/>
      <c r="F164" s="53"/>
      <c r="G164" s="83" t="str">
        <f t="shared" si="53"/>
        <v/>
      </c>
      <c r="H164" s="83" t="str">
        <f t="shared" si="53"/>
        <v/>
      </c>
      <c r="I164" s="77" t="str">
        <f t="shared" si="51"/>
        <v/>
      </c>
      <c r="J164" s="78"/>
      <c r="K164" s="86"/>
      <c r="L164" s="56"/>
      <c r="M164" s="80" t="str">
        <f t="shared" si="52"/>
        <v/>
      </c>
      <c r="N164" s="80" t="str">
        <f>IF(AND($F164&lt;&gt;"", $F164&gt;=N$5-4, $F164&lt;=N$5, COUNTIF($M164:M164,"u")=0), "u", "")</f>
        <v/>
      </c>
      <c r="O164" s="80" t="str">
        <f>IF(AND($F164&lt;&gt;"", $F164&gt;=O$5-4, $F164&lt;=O$5, COUNTIF($M164:N164,"u")=0), "u", "")</f>
        <v/>
      </c>
      <c r="P164" s="80" t="str">
        <f>IF(AND($F164&lt;&gt;"", $F164&gt;=P$5-4, $F164&lt;=P$5, COUNTIF($M164:O164,"u")=0), "u", "")</f>
        <v/>
      </c>
      <c r="Q164" s="80" t="str">
        <f>IF(AND($F164&lt;&gt;"", $F164&gt;=Q$5-4, $F164&lt;=Q$5, COUNTIF($M164:P164,"u")=0), "u", "")</f>
        <v/>
      </c>
      <c r="R164" s="80" t="str">
        <f>IF(AND($F164&lt;&gt;"", $F164&gt;=R$5-4, $F164&lt;=R$5, COUNTIF($M164:Q164,"u")=0), "u", "")</f>
        <v/>
      </c>
      <c r="S164" s="80" t="str">
        <f>IF(AND($F164&lt;&gt;"", $F164&gt;=S$5-4, $F164&lt;=S$5, COUNTIF($M164:R164,"u")=0), "u", "")</f>
        <v/>
      </c>
      <c r="T164" s="80" t="str">
        <f>IF(AND($F164&lt;&gt;"", $F164&gt;=T$5-4, $F164&lt;=T$5, COUNTIF($M164:S164,"u")=0), "u", "")</f>
        <v/>
      </c>
      <c r="U164" s="80" t="str">
        <f>IF(AND($F164&lt;&gt;"", $F164&gt;=U$5-4, $F164&lt;=U$5, COUNTIF($M164:T164,"u")=0), "u", "")</f>
        <v/>
      </c>
      <c r="V164" s="80" t="str">
        <f>IF(AND($F164&lt;&gt;"", $F164&gt;=V$5-4, $F164&lt;=V$5, COUNTIF($M164:U164,"u")=0), "u", "")</f>
        <v/>
      </c>
      <c r="W164" s="80" t="str">
        <f>IF(AND($F164&lt;&gt;"", $F164&gt;=W$5-4, $F164&lt;=W$5, COUNTIF($M164:V164,"u")=0), "u", "")</f>
        <v/>
      </c>
      <c r="X164" s="80" t="str">
        <f>IF(AND($F164&lt;&gt;"", $F164&gt;=X$5-4, $F164&lt;=X$5, COUNTIF($M164:W164,"u")=0), "u", "")</f>
        <v/>
      </c>
      <c r="Y164" s="80" t="str">
        <f>IF(AND($F164&lt;&gt;"", $F164&gt;=Y$5-4, $F164&lt;=Y$5, COUNTIF($M164:X164,"u")=0), "u", "")</f>
        <v/>
      </c>
      <c r="Z164" s="80" t="str">
        <f>IF(AND($F164&lt;&gt;"", $F164&gt;=Z$5-4, $F164&lt;=Z$5, COUNTIF($M164:Y164,"u")=0), "u", "")</f>
        <v/>
      </c>
      <c r="AA164" s="80" t="str">
        <f>IF(AND($F164&lt;&gt;"", $F164&gt;=AA$5-4, $F164&lt;=AA$5, COUNTIF($M164:Z164,"u")=0), "u", "")</f>
        <v/>
      </c>
      <c r="AB164" s="80" t="str">
        <f>IF(AND($F164&lt;&gt;"", $F164&gt;=AB$5-4, $F164&lt;=AB$5, COUNTIF($M164:AA164,"u")=0), "u", "")</f>
        <v/>
      </c>
      <c r="AC164" s="80" t="str">
        <f>IF(AND($F164&lt;&gt;"", $F164&gt;=AC$5-4, $F164&lt;=AC$5, COUNTIF($M164:AB164,"u")=0), "u", "")</f>
        <v/>
      </c>
      <c r="AD164" s="80" t="str">
        <f>IF(AND($F164&lt;&gt;"", $F164&gt;=AD$5-4, $F164&lt;=AD$5, COUNTIF($M164:AC164,"u")=0), "u", "")</f>
        <v/>
      </c>
      <c r="AE164" s="80" t="str">
        <f>IF(AND($F164&lt;&gt;"", $F164&gt;=AE$5-4, $F164&lt;=AE$5, COUNTIF($M164:AD164,"u")=0), "u", "")</f>
        <v/>
      </c>
      <c r="AF164" s="80" t="str">
        <f>IF(AND($F164&lt;&gt;"", $F164&gt;=AF$5-4, $F164&lt;=AF$5, COUNTIF($M164:AE164,"u")=0), "u", "")</f>
        <v/>
      </c>
      <c r="AG164" s="80" t="str">
        <f>IF(AND($F164&lt;&gt;"", $F164&gt;=AG$5-4, $F164&lt;=AG$5, COUNTIF($M164:AF164,"u")=0), "u", "")</f>
        <v/>
      </c>
      <c r="AH164" s="80" t="str">
        <f>IF(AND($F164&lt;&gt;"", $F164&gt;=AH$5-4, $F164&lt;=AH$5, COUNTIF($M164:AG164,"u")=0), "u", "")</f>
        <v/>
      </c>
      <c r="AI164" s="80" t="str">
        <f>IF(AND($F164&lt;&gt;"", $F164&gt;=AI$5-4, $F164&lt;=AI$5, COUNTIF($M164:AH164,"u")=0), "u", "")</f>
        <v/>
      </c>
      <c r="AJ164" s="80" t="str">
        <f>IF(AND($F164&lt;&gt;"", $F164&gt;=AJ$5-4, $F164&lt;=AJ$5, COUNTIF($M164:AI164,"u")=0), "u", "")</f>
        <v/>
      </c>
      <c r="AK164" s="80" t="str">
        <f>IF(AND($F164&lt;&gt;"", $F164&gt;=AK$5-4, $F164&lt;=AK$5, COUNTIF($M164:AJ164,"u")=0), "u", "")</f>
        <v/>
      </c>
      <c r="AL164" s="80" t="str">
        <f>IF(AND($F164&lt;&gt;"", $F164&gt;=AL$5-4, $F164&lt;=AL$5, COUNTIF($M164:AK164,"u")=0), "u", "")</f>
        <v/>
      </c>
      <c r="AM164" s="80" t="str">
        <f>IF(AND($F164&lt;&gt;"", $F164&gt;=AM$5-4, $F164&lt;=AM$5, COUNTIF($M164:AL164,"u")=0), "u", "")</f>
        <v/>
      </c>
      <c r="AN164" s="80" t="str">
        <f>IF(AND($F164&lt;&gt;"", $F164&gt;=AN$5-4, $F164&lt;=AN$5, COUNTIF($M164:AM164,"u")=0), "u", "")</f>
        <v/>
      </c>
      <c r="AO164" s="80" t="str">
        <f>IF(AND($F164&lt;&gt;"", $F164&gt;=AO$5-4, $F164&lt;=AO$5, COUNTIF($M164:AN164,"u")=0), "u", "")</f>
        <v/>
      </c>
      <c r="AP164" s="80" t="str">
        <f>IF(AND($F164&lt;&gt;"", $F164&gt;=AP$5-4, $F164&lt;=AP$5, COUNTIF($M164:AO164,"u")=0), "u", "")</f>
        <v/>
      </c>
      <c r="AQ164" s="80" t="str">
        <f>IF(AND($F164&lt;&gt;"", $F164&gt;=AQ$5-4, $F164&lt;=AQ$5, COUNTIF($M164:AP164,"u")=0), "u", "")</f>
        <v/>
      </c>
      <c r="AR164" s="80" t="str">
        <f>IF(AND($F164&lt;&gt;"", $F164&gt;=AR$5-4, $F164&lt;=AR$5, COUNTIF($M164:AQ164,"u")=0), "u", "")</f>
        <v/>
      </c>
      <c r="AS164" s="80" t="str">
        <f>IF(AND($F164&lt;&gt;"", $F164&gt;=AS$5-4, $F164&lt;=AS$5, COUNTIF($M164:AR164,"u")=0), "u", "")</f>
        <v/>
      </c>
      <c r="AT164" s="80" t="str">
        <f>IF(AND($F164&lt;&gt;"", $F164&gt;=AT$5-4, $F164&lt;=AT$5, COUNTIF($M164:AS164,"u")=0), "u", "")</f>
        <v/>
      </c>
      <c r="AU164" s="80" t="str">
        <f>IF(AND($F164&lt;&gt;"", $F164&gt;=AU$5-4, $F164&lt;=AU$5, COUNTIF($M164:AT164,"u")=0), "u", "")</f>
        <v/>
      </c>
      <c r="AV164" s="80" t="str">
        <f>IF(AND($F164&lt;&gt;"", $F164&gt;=AV$5-4, $F164&lt;=AV$5, COUNTIF($M164:AU164,"u")=0), "u", "")</f>
        <v/>
      </c>
      <c r="AW164" s="80" t="str">
        <f>IF(AND($F164&lt;&gt;"", $F164&gt;=AW$5-4, $F164&lt;=AW$5, COUNTIF($M164:AV164,"u")=0), "u", "")</f>
        <v/>
      </c>
      <c r="AX164" s="80" t="str">
        <f>IF(AND($F164&lt;&gt;"", $F164&gt;=AX$5-4, $F164&lt;=AX$5, COUNTIF($M164:AW164,"u")=0), "u", "")</f>
        <v/>
      </c>
      <c r="AY164" s="80" t="str">
        <f>IF(AND($F164&lt;&gt;"", $F164&gt;=AY$5-4, $F164&lt;=AY$5, COUNTIF($M164:AX164,"u")=0), "u", "")</f>
        <v/>
      </c>
      <c r="AZ164" s="80" t="str">
        <f>IF(AND($F164&lt;&gt;"", $F164&gt;=AZ$5-4, $F164&lt;=AZ$5, COUNTIF($M164:AY164,"u")=0), "u", "")</f>
        <v/>
      </c>
      <c r="BA164" s="80" t="str">
        <f>IF(AND($F164&lt;&gt;"", $F164&gt;=BA$5-4, $F164&lt;=BA$5, COUNTIF($M164:AZ164,"u")=0), "u", "")</f>
        <v/>
      </c>
      <c r="BB164" s="80" t="str">
        <f>IF(AND($F164&lt;&gt;"", $F164&gt;=BB$5-4, $F164&lt;=BB$5, COUNTIF($M164:BA164,"u")=0), "u", "")</f>
        <v/>
      </c>
      <c r="BC164" s="80" t="str">
        <f>IF(AND($F164&lt;&gt;"", $F164&gt;=BC$5-4, $F164&lt;=BC$5, COUNTIF($M164:BB164,"u")=0), "u", "")</f>
        <v/>
      </c>
      <c r="BD164" s="80" t="str">
        <f>IF(AND($F164&lt;&gt;"", $F164&gt;=BD$5-4, $F164&lt;=BD$5, COUNTIF($M164:BC164,"u")=0), "u", "")</f>
        <v/>
      </c>
      <c r="BE164" s="80" t="str">
        <f>IF(AND($F164&lt;&gt;"", $F164&gt;=BE$5-4, $F164&lt;=BE$5, COUNTIF($M164:BD164,"u")=0), "u", "")</f>
        <v/>
      </c>
      <c r="BF164" s="80" t="str">
        <f>IF(AND($F164&lt;&gt;"", $F164&gt;=BF$5-4, $F164&lt;=BF$5, COUNTIF($M164:BE164,"u")=0), "u", "")</f>
        <v/>
      </c>
      <c r="BG164" s="80" t="str">
        <f>IF(AND($F164&lt;&gt;"", $F164&gt;=BG$5-4, $F164&lt;=BG$5, COUNTIF($M164:BF164,"u")=0), "u", "")</f>
        <v/>
      </c>
      <c r="BH164" s="80" t="str">
        <f>IF(AND($F164&lt;&gt;"", $F164&gt;=BH$5-4, $F164&lt;=BH$5, COUNTIF($M164:BG164,"u")=0), "u", "")</f>
        <v/>
      </c>
      <c r="BI164" s="80" t="str">
        <f>IF(AND($F164&lt;&gt;"", $F164&gt;=BI$5-4, $F164&lt;=BI$5, COUNTIF($M164:BH164,"u")=0), "u", "")</f>
        <v/>
      </c>
      <c r="BJ164" s="80" t="str">
        <f>IF(AND($F164&lt;&gt;"", $F164&gt;=BJ$5-4, $F164&lt;=BJ$5, COUNTIF($M164:BI164,"u")=0), "u", "")</f>
        <v/>
      </c>
      <c r="BK164" s="80" t="str">
        <f>IF(AND($F164&lt;&gt;"", $F164&gt;=BK$5-4, $F164&lt;=BK$5, COUNTIF($M164:BJ164,"u")=0), "u", "")</f>
        <v/>
      </c>
      <c r="BL164" s="80" t="str">
        <f>IF(AND($F164&lt;&gt;"", $F164&gt;=BL$5-4, $F164&lt;=BL$5, COUNTIF($M164:BK164,"u")=0), "u", "")</f>
        <v/>
      </c>
      <c r="BM164" s="80" t="str">
        <f>IF(AND($F164&lt;&gt;"", $F164&gt;=BM$5-4, $F164&lt;=BM$5, COUNTIF($M164:BL164,"u")=0), "u", "")</f>
        <v/>
      </c>
      <c r="BN164" s="80" t="str">
        <f>IF(AND($F164&lt;&gt;"", $F164&gt;=BN$5-4, $F164&lt;=BN$5, COUNTIF($M164:BM164,"u")=0), "u", "")</f>
        <v/>
      </c>
      <c r="BO164" s="80" t="str">
        <f>IF(AND($F164&lt;&gt;"", $F164&gt;=BO$5-4, $F164&lt;=BO$5, COUNTIF($M164:BN164,"u")=0), "u", "")</f>
        <v/>
      </c>
      <c r="BP164" s="80" t="str">
        <f>IF(AND($F164&lt;&gt;"", $F164&gt;=BP$5-4, $F164&lt;=BP$5, COUNTIF($M164:BO164,"u")=0), "u", "")</f>
        <v/>
      </c>
      <c r="BQ164" s="80" t="str">
        <f>IF(AND($F164&lt;&gt;"", $F164&gt;=BQ$5-4, $F164&lt;=BQ$5, COUNTIF($M164:BP164,"u")=0), "u", "")</f>
        <v/>
      </c>
      <c r="BR164" s="80" t="str">
        <f>IF(AND($F164&lt;&gt;"", $F164&gt;=BR$5-4, $F164&lt;=BR$5, COUNTIF($M164:BQ164,"u")=0), "u", "")</f>
        <v/>
      </c>
      <c r="BS164" s="80" t="str">
        <f>IF(AND($F164&lt;&gt;"", $F164&gt;=BS$5-4, $F164&lt;=BS$5, COUNTIF($M164:BR164,"u")=0), "u", "")</f>
        <v/>
      </c>
      <c r="BT164" s="80" t="str">
        <f>IF(AND($F164&lt;&gt;"", $F164&gt;=BT$5-4, $F164&lt;=BT$5, COUNTIF($M164:BS164,"u")=0), "u", "")</f>
        <v/>
      </c>
      <c r="BU164" s="80" t="str">
        <f>IF(AND($F164&lt;&gt;"", $F164&gt;=BU$5-4, $F164&lt;=BU$5, COUNTIF($M164:BT164,"u")=0), "u", "")</f>
        <v/>
      </c>
      <c r="BV164" s="80" t="str">
        <f>IF(AND($F164&lt;&gt;"", $F164&gt;=BV$5-4, $F164&lt;=BV$5, COUNTIF($M164:BU164,"u")=0), "u", "")</f>
        <v/>
      </c>
      <c r="BW164" s="80" t="str">
        <f>IF(AND($F164&lt;&gt;"", $F164&gt;=BW$5-4, $F164&lt;=BW$5, COUNTIF($M164:BV164,"u")=0), "u", "")</f>
        <v/>
      </c>
      <c r="BX164" s="80" t="str">
        <f>IF(AND($F164&lt;&gt;"", $F164&gt;=BX$5-4, $F164&lt;=BX$5, COUNTIF($M164:BW164,"u")=0), "u", "")</f>
        <v/>
      </c>
      <c r="BY164" s="80" t="str">
        <f>IF(AND($F164&lt;&gt;"", $F164&gt;=BY$5-4, $F164&lt;=BY$5, COUNTIF($M164:BX164,"u")=0), "u", "")</f>
        <v/>
      </c>
      <c r="BZ164" s="80" t="str">
        <f>IF(AND($F164&lt;&gt;"", $F164&gt;=BZ$5-4, $F164&lt;=BZ$5, COUNTIF($M164:BY164,"u")=0), "u", "")</f>
        <v/>
      </c>
      <c r="CA164" s="80" t="str">
        <f>IF(AND($F164&lt;&gt;"", $F164&gt;=CA$5-4, $F164&lt;=CA$5, COUNTIF($M164:BZ164,"u")=0), "u", "")</f>
        <v/>
      </c>
      <c r="CB164" s="80" t="str">
        <f>IF(AND($F164&lt;&gt;"", $F164&gt;=CB$5-4, $F164&lt;=CB$5, COUNTIF($M164:CA164,"u")=0), "u", "")</f>
        <v/>
      </c>
      <c r="CC164" s="80" t="str">
        <f>IF(AND($F164&lt;&gt;"", $F164&gt;=CC$5-4, $F164&lt;=CC$5, COUNTIF($M164:CB164,"u")=0), "u", "")</f>
        <v/>
      </c>
      <c r="CD164" s="80" t="str">
        <f>IF(AND($F164&lt;&gt;"", $F164&gt;=CD$5-4, $F164&lt;=CD$5, COUNTIF($M164:CC164,"u")=0), "u", "")</f>
        <v/>
      </c>
      <c r="CE164" s="80" t="str">
        <f>IF(AND($F164&lt;&gt;"", $F164&gt;=CE$5-4, $F164&lt;=CE$5, COUNTIF($M164:CD164,"u")=0), "u", "")</f>
        <v/>
      </c>
      <c r="CF164" s="80" t="str">
        <f>IF(AND($F164&lt;&gt;"", $F164&gt;=CF$5-4, $F164&lt;=CF$5, COUNTIF($M164:CE164,"u")=0), "u", "")</f>
        <v/>
      </c>
      <c r="CG164" s="80" t="str">
        <f>IF(AND($F164&lt;&gt;"", $F164&gt;=CG$5-4, $F164&lt;=CG$5, COUNTIF($M164:CF164,"u")=0), "u", "")</f>
        <v/>
      </c>
      <c r="CH164" s="80" t="str">
        <f>IF(AND($F164&lt;&gt;"", $F164&gt;=CH$5-4, $F164&lt;=CH$5, COUNTIF($M164:CG164,"u")=0), "u", "")</f>
        <v/>
      </c>
      <c r="CI164" s="80" t="str">
        <f>IF(AND($F164&lt;&gt;"", $F164&gt;=CI$5-4, $F164&lt;=CI$5, COUNTIF($M164:CH164,"u")=0), "u", "")</f>
        <v/>
      </c>
      <c r="CJ164" s="80" t="str">
        <f>IF(AND($F164&lt;&gt;"", $F164&gt;=CJ$5-4, $F164&lt;=CJ$5, COUNTIF($M164:CI164,"u")=0), "u", "")</f>
        <v/>
      </c>
      <c r="CK164" s="80" t="str">
        <f>IF(AND($F164&lt;&gt;"", $F164&gt;=CK$5-4, $F164&lt;=CK$5, COUNTIF($M164:CJ164,"u")=0), "u", "")</f>
        <v/>
      </c>
      <c r="CL164" s="80" t="str">
        <f>IF(AND($F164&lt;&gt;"", $F164&gt;=CL$5-4, $F164&lt;=CL$5, COUNTIF($M164:CK164,"u")=0), "u", "")</f>
        <v/>
      </c>
      <c r="CM164" s="80" t="str">
        <f>IF(AND($F164&lt;&gt;"", $F164&gt;=CM$5-4, $F164&lt;=CM$5, COUNTIF($M164:CL164,"u")=0), "u", "")</f>
        <v/>
      </c>
      <c r="CN164" s="80" t="str">
        <f>IF(AND($F164&lt;&gt;"", $F164&gt;=CN$5-4, $F164&lt;=CN$5, COUNTIF($M164:CM164,"u")=0), "u", "")</f>
        <v/>
      </c>
      <c r="CO164" s="80" t="str">
        <f>IF(AND($F164&lt;&gt;"", $F164&gt;=CO$5-4, $F164&lt;=CO$5, COUNTIF($M164:CN164,"u")=0), "u", "")</f>
        <v/>
      </c>
      <c r="CP164" s="80" t="str">
        <f>IF(AND($F164&lt;&gt;"", $F164&gt;=CP$5-4, $F164&lt;=CP$5, COUNTIF($M164:CO164,"u")=0), "u", "")</f>
        <v/>
      </c>
      <c r="CQ164" s="80" t="str">
        <f>IF(AND($F164&lt;&gt;"", $F164&gt;=CQ$5-4, $F164&lt;=CQ$5, COUNTIF($M164:CP164,"u")=0), "u", "")</f>
        <v/>
      </c>
      <c r="CR164" s="80" t="str">
        <f>IF(AND($F164&lt;&gt;"", $F164&gt;=CR$5-4, $F164&lt;=CR$5, COUNTIF($M164:CQ164,"u")=0), "u", "")</f>
        <v/>
      </c>
      <c r="CS164" s="80" t="str">
        <f>IF(AND($F164&lt;&gt;"", $F164&gt;=CS$5-4, $F164&lt;=CS$5, COUNTIF($M164:CR164,"u")=0), "u", "")</f>
        <v/>
      </c>
      <c r="CT164" s="80" t="str">
        <f>IF(AND($F164&lt;&gt;"", $F164&gt;=CT$5-4, $F164&lt;=CT$5, COUNTIF($M164:CS164,"u")=0), "u", "")</f>
        <v/>
      </c>
      <c r="CU164" s="80" t="str">
        <f>IF(AND($F164&lt;&gt;"", $F164&gt;=CU$5-4, $F164&lt;=CU$5, COUNTIF($M164:CT164,"u")=0), "u", "")</f>
        <v/>
      </c>
      <c r="CV164" s="80" t="str">
        <f>IF(AND($F164&lt;&gt;"", $F164&gt;=CV$5-4, $F164&lt;=CV$5, COUNTIF($M164:CU164,"u")=0), "u", "")</f>
        <v/>
      </c>
      <c r="CW164" s="80" t="str">
        <f>IF(AND($F164&lt;&gt;"", $F164&gt;=CW$5-4, $F164&lt;=CW$5, COUNTIF($M164:CV164,"u")=0), "u", "")</f>
        <v/>
      </c>
      <c r="CX164" s="80" t="str">
        <f>IF(AND($F164&lt;&gt;"", $F164&gt;=CX$5-4, $F164&lt;=CX$5, COUNTIF($M164:CW164,"u")=0), "u", "")</f>
        <v/>
      </c>
      <c r="CY164" s="80" t="str">
        <f>IF(AND($F164&lt;&gt;"", $F164&gt;=CY$5-4, $F164&lt;=CY$5, COUNTIF($M164:CX164,"u")=0), "u", "")</f>
        <v/>
      </c>
      <c r="CZ164" s="80" t="str">
        <f>IF(AND($F164&lt;&gt;"", $F164&gt;=CZ$5-4, $F164&lt;=CZ$5, COUNTIF($M164:CY164,"u")=0), "u", "")</f>
        <v/>
      </c>
      <c r="DA164" s="80" t="str">
        <f>IF(AND($F164&lt;&gt;"", $F164&gt;=DA$5-4, $F164&lt;=DA$5, COUNTIF($M164:CZ164,"u")=0), "u", "")</f>
        <v/>
      </c>
      <c r="DB164" s="80" t="str">
        <f>IF(AND($F164&lt;&gt;"", $F164&gt;=DB$5-4, $F164&lt;=DB$5, COUNTIF($M164:DA164,"u")=0), "u", "")</f>
        <v/>
      </c>
      <c r="DC164" s="80" t="str">
        <f>IF(AND($F164&lt;&gt;"", $F164&gt;=DC$5-4, $F164&lt;=DC$5, COUNTIF($M164:DB164,"u")=0), "u", "")</f>
        <v/>
      </c>
      <c r="DD164" s="80" t="str">
        <f>IF(AND($F164&lt;&gt;"", $F164&gt;=DD$5-4, $F164&lt;=DD$5, COUNTIF($M164:DC164,"u")=0), "u", "")</f>
        <v/>
      </c>
      <c r="DE164" s="80" t="str">
        <f>IF(AND($F164&lt;&gt;"", $F164&gt;=DE$5-4, $F164&lt;=DE$5, COUNTIF($M164:DD164,"u")=0), "u", "")</f>
        <v/>
      </c>
      <c r="DF164" s="80" t="str">
        <f>IF(AND($F164&lt;&gt;"", $F164&gt;=DF$5-4, $F164&lt;=DF$5, COUNTIF($M164:DE164,"u")=0), "u", "")</f>
        <v/>
      </c>
      <c r="DG164" s="80" t="str">
        <f>IF(AND($F164&lt;&gt;"", $F164&gt;=DG$5-4, $F164&lt;=DG$5, COUNTIF($M164:DF164,"u")=0), "u", "")</f>
        <v/>
      </c>
      <c r="DH164" s="80" t="str">
        <f>IF(AND($F164&lt;&gt;"", $F164&gt;=DH$5-4, $F164&lt;=DH$5, COUNTIF($M164:DG164,"u")=0), "u", "")</f>
        <v/>
      </c>
      <c r="DI164" s="80" t="str">
        <f>IF(AND($F164&lt;&gt;"", $F164&gt;=DI$5-4, $F164&lt;=DI$5, COUNTIF($M164:DH164,"u")=0), "u", "")</f>
        <v/>
      </c>
      <c r="DJ164" s="80" t="str">
        <f>IF(AND($F164&lt;&gt;"", $F164&gt;=DJ$5-4, $F164&lt;=DJ$5, COUNTIF($M164:DI164,"u")=0), "u", "")</f>
        <v/>
      </c>
      <c r="DK164" s="80" t="str">
        <f>IF(AND($F164&lt;&gt;"", $F164&gt;=DK$5-4, $F164&lt;=DK$5, COUNTIF($M164:DJ164,"u")=0), "u", "")</f>
        <v/>
      </c>
      <c r="DL164" s="80" t="str">
        <f>IF(AND($F164&lt;&gt;"", $F164&gt;=DL$5-4, $F164&lt;=DL$5, COUNTIF($M164:DK164,"u")=0), "u", "")</f>
        <v/>
      </c>
    </row>
    <row r="165" spans="1:116" ht="25.05" customHeight="1" x14ac:dyDescent="0.3">
      <c r="A165" s="39"/>
      <c r="B165" s="75">
        <v>160</v>
      </c>
      <c r="C165" s="97"/>
      <c r="D165" s="92"/>
      <c r="E165" s="53"/>
      <c r="F165" s="53"/>
      <c r="G165" s="83" t="str">
        <f t="shared" si="53"/>
        <v/>
      </c>
      <c r="H165" s="83" t="str">
        <f t="shared" si="53"/>
        <v/>
      </c>
      <c r="I165" s="77" t="str">
        <f t="shared" si="51"/>
        <v/>
      </c>
      <c r="J165" s="78"/>
      <c r="K165" s="86"/>
      <c r="L165" s="56"/>
      <c r="M165" s="80" t="str">
        <f t="shared" si="52"/>
        <v/>
      </c>
      <c r="N165" s="80" t="str">
        <f>IF(AND($F165&lt;&gt;"", $F165&gt;=N$5-4, $F165&lt;=N$5, COUNTIF($M165:M165,"u")=0), "u", "")</f>
        <v/>
      </c>
      <c r="O165" s="80" t="str">
        <f>IF(AND($F165&lt;&gt;"", $F165&gt;=O$5-4, $F165&lt;=O$5, COUNTIF($M165:N165,"u")=0), "u", "")</f>
        <v/>
      </c>
      <c r="P165" s="80" t="str">
        <f>IF(AND($F165&lt;&gt;"", $F165&gt;=P$5-4, $F165&lt;=P$5, COUNTIF($M165:O165,"u")=0), "u", "")</f>
        <v/>
      </c>
      <c r="Q165" s="80" t="str">
        <f>IF(AND($F165&lt;&gt;"", $F165&gt;=Q$5-4, $F165&lt;=Q$5, COUNTIF($M165:P165,"u")=0), "u", "")</f>
        <v/>
      </c>
      <c r="R165" s="80" t="str">
        <f>IF(AND($F165&lt;&gt;"", $F165&gt;=R$5-4, $F165&lt;=R$5, COUNTIF($M165:Q165,"u")=0), "u", "")</f>
        <v/>
      </c>
      <c r="S165" s="80" t="str">
        <f>IF(AND($F165&lt;&gt;"", $F165&gt;=S$5-4, $F165&lt;=S$5, COUNTIF($M165:R165,"u")=0), "u", "")</f>
        <v/>
      </c>
      <c r="T165" s="80" t="str">
        <f>IF(AND($F165&lt;&gt;"", $F165&gt;=T$5-4, $F165&lt;=T$5, COUNTIF($M165:S165,"u")=0), "u", "")</f>
        <v/>
      </c>
      <c r="U165" s="80" t="str">
        <f>IF(AND($F165&lt;&gt;"", $F165&gt;=U$5-4, $F165&lt;=U$5, COUNTIF($M165:T165,"u")=0), "u", "")</f>
        <v/>
      </c>
      <c r="V165" s="80" t="str">
        <f>IF(AND($F165&lt;&gt;"", $F165&gt;=V$5-4, $F165&lt;=V$5, COUNTIF($M165:U165,"u")=0), "u", "")</f>
        <v/>
      </c>
      <c r="W165" s="80" t="str">
        <f>IF(AND($F165&lt;&gt;"", $F165&gt;=W$5-4, $F165&lt;=W$5, COUNTIF($M165:V165,"u")=0), "u", "")</f>
        <v/>
      </c>
      <c r="X165" s="80" t="str">
        <f>IF(AND($F165&lt;&gt;"", $F165&gt;=X$5-4, $F165&lt;=X$5, COUNTIF($M165:W165,"u")=0), "u", "")</f>
        <v/>
      </c>
      <c r="Y165" s="80" t="str">
        <f>IF(AND($F165&lt;&gt;"", $F165&gt;=Y$5-4, $F165&lt;=Y$5, COUNTIF($M165:X165,"u")=0), "u", "")</f>
        <v/>
      </c>
      <c r="Z165" s="80" t="str">
        <f>IF(AND($F165&lt;&gt;"", $F165&gt;=Z$5-4, $F165&lt;=Z$5, COUNTIF($M165:Y165,"u")=0), "u", "")</f>
        <v/>
      </c>
      <c r="AA165" s="80" t="str">
        <f>IF(AND($F165&lt;&gt;"", $F165&gt;=AA$5-4, $F165&lt;=AA$5, COUNTIF($M165:Z165,"u")=0), "u", "")</f>
        <v/>
      </c>
      <c r="AB165" s="80" t="str">
        <f>IF(AND($F165&lt;&gt;"", $F165&gt;=AB$5-4, $F165&lt;=AB$5, COUNTIF($M165:AA165,"u")=0), "u", "")</f>
        <v/>
      </c>
      <c r="AC165" s="80" t="str">
        <f>IF(AND($F165&lt;&gt;"", $F165&gt;=AC$5-4, $F165&lt;=AC$5, COUNTIF($M165:AB165,"u")=0), "u", "")</f>
        <v/>
      </c>
      <c r="AD165" s="80" t="str">
        <f>IF(AND($F165&lt;&gt;"", $F165&gt;=AD$5-4, $F165&lt;=AD$5, COUNTIF($M165:AC165,"u")=0), "u", "")</f>
        <v/>
      </c>
      <c r="AE165" s="80" t="str">
        <f>IF(AND($F165&lt;&gt;"", $F165&gt;=AE$5-4, $F165&lt;=AE$5, COUNTIF($M165:AD165,"u")=0), "u", "")</f>
        <v/>
      </c>
      <c r="AF165" s="80" t="str">
        <f>IF(AND($F165&lt;&gt;"", $F165&gt;=AF$5-4, $F165&lt;=AF$5, COUNTIF($M165:AE165,"u")=0), "u", "")</f>
        <v/>
      </c>
      <c r="AG165" s="80" t="str">
        <f>IF(AND($F165&lt;&gt;"", $F165&gt;=AG$5-4, $F165&lt;=AG$5, COUNTIF($M165:AF165,"u")=0), "u", "")</f>
        <v/>
      </c>
      <c r="AH165" s="80" t="str">
        <f>IF(AND($F165&lt;&gt;"", $F165&gt;=AH$5-4, $F165&lt;=AH$5, COUNTIF($M165:AG165,"u")=0), "u", "")</f>
        <v/>
      </c>
      <c r="AI165" s="80" t="str">
        <f>IF(AND($F165&lt;&gt;"", $F165&gt;=AI$5-4, $F165&lt;=AI$5, COUNTIF($M165:AH165,"u")=0), "u", "")</f>
        <v/>
      </c>
      <c r="AJ165" s="80" t="str">
        <f>IF(AND($F165&lt;&gt;"", $F165&gt;=AJ$5-4, $F165&lt;=AJ$5, COUNTIF($M165:AI165,"u")=0), "u", "")</f>
        <v/>
      </c>
      <c r="AK165" s="80" t="str">
        <f>IF(AND($F165&lt;&gt;"", $F165&gt;=AK$5-4, $F165&lt;=AK$5, COUNTIF($M165:AJ165,"u")=0), "u", "")</f>
        <v/>
      </c>
      <c r="AL165" s="80" t="str">
        <f>IF(AND($F165&lt;&gt;"", $F165&gt;=AL$5-4, $F165&lt;=AL$5, COUNTIF($M165:AK165,"u")=0), "u", "")</f>
        <v/>
      </c>
      <c r="AM165" s="80" t="str">
        <f>IF(AND($F165&lt;&gt;"", $F165&gt;=AM$5-4, $F165&lt;=AM$5, COUNTIF($M165:AL165,"u")=0), "u", "")</f>
        <v/>
      </c>
      <c r="AN165" s="80" t="str">
        <f>IF(AND($F165&lt;&gt;"", $F165&gt;=AN$5-4, $F165&lt;=AN$5, COUNTIF($M165:AM165,"u")=0), "u", "")</f>
        <v/>
      </c>
      <c r="AO165" s="80" t="str">
        <f>IF(AND($F165&lt;&gt;"", $F165&gt;=AO$5-4, $F165&lt;=AO$5, COUNTIF($M165:AN165,"u")=0), "u", "")</f>
        <v/>
      </c>
      <c r="AP165" s="80" t="str">
        <f>IF(AND($F165&lt;&gt;"", $F165&gt;=AP$5-4, $F165&lt;=AP$5, COUNTIF($M165:AO165,"u")=0), "u", "")</f>
        <v/>
      </c>
      <c r="AQ165" s="80" t="str">
        <f>IF(AND($F165&lt;&gt;"", $F165&gt;=AQ$5-4, $F165&lt;=AQ$5, COUNTIF($M165:AP165,"u")=0), "u", "")</f>
        <v/>
      </c>
      <c r="AR165" s="80" t="str">
        <f>IF(AND($F165&lt;&gt;"", $F165&gt;=AR$5-4, $F165&lt;=AR$5, COUNTIF($M165:AQ165,"u")=0), "u", "")</f>
        <v/>
      </c>
      <c r="AS165" s="80" t="str">
        <f>IF(AND($F165&lt;&gt;"", $F165&gt;=AS$5-4, $F165&lt;=AS$5, COUNTIF($M165:AR165,"u")=0), "u", "")</f>
        <v/>
      </c>
      <c r="AT165" s="80" t="str">
        <f>IF(AND($F165&lt;&gt;"", $F165&gt;=AT$5-4, $F165&lt;=AT$5, COUNTIF($M165:AS165,"u")=0), "u", "")</f>
        <v/>
      </c>
      <c r="AU165" s="80" t="str">
        <f>IF(AND($F165&lt;&gt;"", $F165&gt;=AU$5-4, $F165&lt;=AU$5, COUNTIF($M165:AT165,"u")=0), "u", "")</f>
        <v/>
      </c>
      <c r="AV165" s="80" t="str">
        <f>IF(AND($F165&lt;&gt;"", $F165&gt;=AV$5-4, $F165&lt;=AV$5, COUNTIF($M165:AU165,"u")=0), "u", "")</f>
        <v/>
      </c>
      <c r="AW165" s="80" t="str">
        <f>IF(AND($F165&lt;&gt;"", $F165&gt;=AW$5-4, $F165&lt;=AW$5, COUNTIF($M165:AV165,"u")=0), "u", "")</f>
        <v/>
      </c>
      <c r="AX165" s="80" t="str">
        <f>IF(AND($F165&lt;&gt;"", $F165&gt;=AX$5-4, $F165&lt;=AX$5, COUNTIF($M165:AW165,"u")=0), "u", "")</f>
        <v/>
      </c>
      <c r="AY165" s="80" t="str">
        <f>IF(AND($F165&lt;&gt;"", $F165&gt;=AY$5-4, $F165&lt;=AY$5, COUNTIF($M165:AX165,"u")=0), "u", "")</f>
        <v/>
      </c>
      <c r="AZ165" s="80" t="str">
        <f>IF(AND($F165&lt;&gt;"", $F165&gt;=AZ$5-4, $F165&lt;=AZ$5, COUNTIF($M165:AY165,"u")=0), "u", "")</f>
        <v/>
      </c>
      <c r="BA165" s="80" t="str">
        <f>IF(AND($F165&lt;&gt;"", $F165&gt;=BA$5-4, $F165&lt;=BA$5, COUNTIF($M165:AZ165,"u")=0), "u", "")</f>
        <v/>
      </c>
      <c r="BB165" s="80" t="str">
        <f>IF(AND($F165&lt;&gt;"", $F165&gt;=BB$5-4, $F165&lt;=BB$5, COUNTIF($M165:BA165,"u")=0), "u", "")</f>
        <v/>
      </c>
      <c r="BC165" s="80" t="str">
        <f>IF(AND($F165&lt;&gt;"", $F165&gt;=BC$5-4, $F165&lt;=BC$5, COUNTIF($M165:BB165,"u")=0), "u", "")</f>
        <v/>
      </c>
      <c r="BD165" s="80" t="str">
        <f>IF(AND($F165&lt;&gt;"", $F165&gt;=BD$5-4, $F165&lt;=BD$5, COUNTIF($M165:BC165,"u")=0), "u", "")</f>
        <v/>
      </c>
      <c r="BE165" s="80" t="str">
        <f>IF(AND($F165&lt;&gt;"", $F165&gt;=BE$5-4, $F165&lt;=BE$5, COUNTIF($M165:BD165,"u")=0), "u", "")</f>
        <v/>
      </c>
      <c r="BF165" s="80" t="str">
        <f>IF(AND($F165&lt;&gt;"", $F165&gt;=BF$5-4, $F165&lt;=BF$5, COUNTIF($M165:BE165,"u")=0), "u", "")</f>
        <v/>
      </c>
      <c r="BG165" s="80" t="str">
        <f>IF(AND($F165&lt;&gt;"", $F165&gt;=BG$5-4, $F165&lt;=BG$5, COUNTIF($M165:BF165,"u")=0), "u", "")</f>
        <v/>
      </c>
      <c r="BH165" s="80" t="str">
        <f>IF(AND($F165&lt;&gt;"", $F165&gt;=BH$5-4, $F165&lt;=BH$5, COUNTIF($M165:BG165,"u")=0), "u", "")</f>
        <v/>
      </c>
      <c r="BI165" s="80" t="str">
        <f>IF(AND($F165&lt;&gt;"", $F165&gt;=BI$5-4, $F165&lt;=BI$5, COUNTIF($M165:BH165,"u")=0), "u", "")</f>
        <v/>
      </c>
      <c r="BJ165" s="80" t="str">
        <f>IF(AND($F165&lt;&gt;"", $F165&gt;=BJ$5-4, $F165&lt;=BJ$5, COUNTIF($M165:BI165,"u")=0), "u", "")</f>
        <v/>
      </c>
      <c r="BK165" s="80" t="str">
        <f>IF(AND($F165&lt;&gt;"", $F165&gt;=BK$5-4, $F165&lt;=BK$5, COUNTIF($M165:BJ165,"u")=0), "u", "")</f>
        <v/>
      </c>
      <c r="BL165" s="80" t="str">
        <f>IF(AND($F165&lt;&gt;"", $F165&gt;=BL$5-4, $F165&lt;=BL$5, COUNTIF($M165:BK165,"u")=0), "u", "")</f>
        <v/>
      </c>
      <c r="BM165" s="80" t="str">
        <f>IF(AND($F165&lt;&gt;"", $F165&gt;=BM$5-4, $F165&lt;=BM$5, COUNTIF($M165:BL165,"u")=0), "u", "")</f>
        <v/>
      </c>
      <c r="BN165" s="80" t="str">
        <f>IF(AND($F165&lt;&gt;"", $F165&gt;=BN$5-4, $F165&lt;=BN$5, COUNTIF($M165:BM165,"u")=0), "u", "")</f>
        <v/>
      </c>
      <c r="BO165" s="80" t="str">
        <f>IF(AND($F165&lt;&gt;"", $F165&gt;=BO$5-4, $F165&lt;=BO$5, COUNTIF($M165:BN165,"u")=0), "u", "")</f>
        <v/>
      </c>
      <c r="BP165" s="80" t="str">
        <f>IF(AND($F165&lt;&gt;"", $F165&gt;=BP$5-4, $F165&lt;=BP$5, COUNTIF($M165:BO165,"u")=0), "u", "")</f>
        <v/>
      </c>
      <c r="BQ165" s="80" t="str">
        <f>IF(AND($F165&lt;&gt;"", $F165&gt;=BQ$5-4, $F165&lt;=BQ$5, COUNTIF($M165:BP165,"u")=0), "u", "")</f>
        <v/>
      </c>
      <c r="BR165" s="80" t="str">
        <f>IF(AND($F165&lt;&gt;"", $F165&gt;=BR$5-4, $F165&lt;=BR$5, COUNTIF($M165:BQ165,"u")=0), "u", "")</f>
        <v/>
      </c>
      <c r="BS165" s="80" t="str">
        <f>IF(AND($F165&lt;&gt;"", $F165&gt;=BS$5-4, $F165&lt;=BS$5, COUNTIF($M165:BR165,"u")=0), "u", "")</f>
        <v/>
      </c>
      <c r="BT165" s="80" t="str">
        <f>IF(AND($F165&lt;&gt;"", $F165&gt;=BT$5-4, $F165&lt;=BT$5, COUNTIF($M165:BS165,"u")=0), "u", "")</f>
        <v/>
      </c>
      <c r="BU165" s="80" t="str">
        <f>IF(AND($F165&lt;&gt;"", $F165&gt;=BU$5-4, $F165&lt;=BU$5, COUNTIF($M165:BT165,"u")=0), "u", "")</f>
        <v/>
      </c>
      <c r="BV165" s="80" t="str">
        <f>IF(AND($F165&lt;&gt;"", $F165&gt;=BV$5-4, $F165&lt;=BV$5, COUNTIF($M165:BU165,"u")=0), "u", "")</f>
        <v/>
      </c>
      <c r="BW165" s="80" t="str">
        <f>IF(AND($F165&lt;&gt;"", $F165&gt;=BW$5-4, $F165&lt;=BW$5, COUNTIF($M165:BV165,"u")=0), "u", "")</f>
        <v/>
      </c>
      <c r="BX165" s="80" t="str">
        <f>IF(AND($F165&lt;&gt;"", $F165&gt;=BX$5-4, $F165&lt;=BX$5, COUNTIF($M165:BW165,"u")=0), "u", "")</f>
        <v/>
      </c>
      <c r="BY165" s="80" t="str">
        <f>IF(AND($F165&lt;&gt;"", $F165&gt;=BY$5-4, $F165&lt;=BY$5, COUNTIF($M165:BX165,"u")=0), "u", "")</f>
        <v/>
      </c>
      <c r="BZ165" s="80" t="str">
        <f>IF(AND($F165&lt;&gt;"", $F165&gt;=BZ$5-4, $F165&lt;=BZ$5, COUNTIF($M165:BY165,"u")=0), "u", "")</f>
        <v/>
      </c>
      <c r="CA165" s="80" t="str">
        <f>IF(AND($F165&lt;&gt;"", $F165&gt;=CA$5-4, $F165&lt;=CA$5, COUNTIF($M165:BZ165,"u")=0), "u", "")</f>
        <v/>
      </c>
      <c r="CB165" s="80" t="str">
        <f>IF(AND($F165&lt;&gt;"", $F165&gt;=CB$5-4, $F165&lt;=CB$5, COUNTIF($M165:CA165,"u")=0), "u", "")</f>
        <v/>
      </c>
      <c r="CC165" s="80" t="str">
        <f>IF(AND($F165&lt;&gt;"", $F165&gt;=CC$5-4, $F165&lt;=CC$5, COUNTIF($M165:CB165,"u")=0), "u", "")</f>
        <v/>
      </c>
      <c r="CD165" s="80" t="str">
        <f>IF(AND($F165&lt;&gt;"", $F165&gt;=CD$5-4, $F165&lt;=CD$5, COUNTIF($M165:CC165,"u")=0), "u", "")</f>
        <v/>
      </c>
      <c r="CE165" s="80" t="str">
        <f>IF(AND($F165&lt;&gt;"", $F165&gt;=CE$5-4, $F165&lt;=CE$5, COUNTIF($M165:CD165,"u")=0), "u", "")</f>
        <v/>
      </c>
      <c r="CF165" s="80" t="str">
        <f>IF(AND($F165&lt;&gt;"", $F165&gt;=CF$5-4, $F165&lt;=CF$5, COUNTIF($M165:CE165,"u")=0), "u", "")</f>
        <v/>
      </c>
      <c r="CG165" s="80" t="str">
        <f>IF(AND($F165&lt;&gt;"", $F165&gt;=CG$5-4, $F165&lt;=CG$5, COUNTIF($M165:CF165,"u")=0), "u", "")</f>
        <v/>
      </c>
      <c r="CH165" s="80" t="str">
        <f>IF(AND($F165&lt;&gt;"", $F165&gt;=CH$5-4, $F165&lt;=CH$5, COUNTIF($M165:CG165,"u")=0), "u", "")</f>
        <v/>
      </c>
      <c r="CI165" s="80" t="str">
        <f>IF(AND($F165&lt;&gt;"", $F165&gt;=CI$5-4, $F165&lt;=CI$5, COUNTIF($M165:CH165,"u")=0), "u", "")</f>
        <v/>
      </c>
      <c r="CJ165" s="80" t="str">
        <f>IF(AND($F165&lt;&gt;"", $F165&gt;=CJ$5-4, $F165&lt;=CJ$5, COUNTIF($M165:CI165,"u")=0), "u", "")</f>
        <v/>
      </c>
      <c r="CK165" s="80" t="str">
        <f>IF(AND($F165&lt;&gt;"", $F165&gt;=CK$5-4, $F165&lt;=CK$5, COUNTIF($M165:CJ165,"u")=0), "u", "")</f>
        <v/>
      </c>
      <c r="CL165" s="80" t="str">
        <f>IF(AND($F165&lt;&gt;"", $F165&gt;=CL$5-4, $F165&lt;=CL$5, COUNTIF($M165:CK165,"u")=0), "u", "")</f>
        <v/>
      </c>
      <c r="CM165" s="80" t="str">
        <f>IF(AND($F165&lt;&gt;"", $F165&gt;=CM$5-4, $F165&lt;=CM$5, COUNTIF($M165:CL165,"u")=0), "u", "")</f>
        <v/>
      </c>
      <c r="CN165" s="80" t="str">
        <f>IF(AND($F165&lt;&gt;"", $F165&gt;=CN$5-4, $F165&lt;=CN$5, COUNTIF($M165:CM165,"u")=0), "u", "")</f>
        <v/>
      </c>
      <c r="CO165" s="80" t="str">
        <f>IF(AND($F165&lt;&gt;"", $F165&gt;=CO$5-4, $F165&lt;=CO$5, COUNTIF($M165:CN165,"u")=0), "u", "")</f>
        <v/>
      </c>
      <c r="CP165" s="80" t="str">
        <f>IF(AND($F165&lt;&gt;"", $F165&gt;=CP$5-4, $F165&lt;=CP$5, COUNTIF($M165:CO165,"u")=0), "u", "")</f>
        <v/>
      </c>
      <c r="CQ165" s="80" t="str">
        <f>IF(AND($F165&lt;&gt;"", $F165&gt;=CQ$5-4, $F165&lt;=CQ$5, COUNTIF($M165:CP165,"u")=0), "u", "")</f>
        <v/>
      </c>
      <c r="CR165" s="80" t="str">
        <f>IF(AND($F165&lt;&gt;"", $F165&gt;=CR$5-4, $F165&lt;=CR$5, COUNTIF($M165:CQ165,"u")=0), "u", "")</f>
        <v/>
      </c>
      <c r="CS165" s="80" t="str">
        <f>IF(AND($F165&lt;&gt;"", $F165&gt;=CS$5-4, $F165&lt;=CS$5, COUNTIF($M165:CR165,"u")=0), "u", "")</f>
        <v/>
      </c>
      <c r="CT165" s="80" t="str">
        <f>IF(AND($F165&lt;&gt;"", $F165&gt;=CT$5-4, $F165&lt;=CT$5, COUNTIF($M165:CS165,"u")=0), "u", "")</f>
        <v/>
      </c>
      <c r="CU165" s="80" t="str">
        <f>IF(AND($F165&lt;&gt;"", $F165&gt;=CU$5-4, $F165&lt;=CU$5, COUNTIF($M165:CT165,"u")=0), "u", "")</f>
        <v/>
      </c>
      <c r="CV165" s="80" t="str">
        <f>IF(AND($F165&lt;&gt;"", $F165&gt;=CV$5-4, $F165&lt;=CV$5, COUNTIF($M165:CU165,"u")=0), "u", "")</f>
        <v/>
      </c>
      <c r="CW165" s="80" t="str">
        <f>IF(AND($F165&lt;&gt;"", $F165&gt;=CW$5-4, $F165&lt;=CW$5, COUNTIF($M165:CV165,"u")=0), "u", "")</f>
        <v/>
      </c>
      <c r="CX165" s="80" t="str">
        <f>IF(AND($F165&lt;&gt;"", $F165&gt;=CX$5-4, $F165&lt;=CX$5, COUNTIF($M165:CW165,"u")=0), "u", "")</f>
        <v/>
      </c>
      <c r="CY165" s="80" t="str">
        <f>IF(AND($F165&lt;&gt;"", $F165&gt;=CY$5-4, $F165&lt;=CY$5, COUNTIF($M165:CX165,"u")=0), "u", "")</f>
        <v/>
      </c>
      <c r="CZ165" s="80" t="str">
        <f>IF(AND($F165&lt;&gt;"", $F165&gt;=CZ$5-4, $F165&lt;=CZ$5, COUNTIF($M165:CY165,"u")=0), "u", "")</f>
        <v/>
      </c>
      <c r="DA165" s="80" t="str">
        <f>IF(AND($F165&lt;&gt;"", $F165&gt;=DA$5-4, $F165&lt;=DA$5, COUNTIF($M165:CZ165,"u")=0), "u", "")</f>
        <v/>
      </c>
      <c r="DB165" s="80" t="str">
        <f>IF(AND($F165&lt;&gt;"", $F165&gt;=DB$5-4, $F165&lt;=DB$5, COUNTIF($M165:DA165,"u")=0), "u", "")</f>
        <v/>
      </c>
      <c r="DC165" s="80" t="str">
        <f>IF(AND($F165&lt;&gt;"", $F165&gt;=DC$5-4, $F165&lt;=DC$5, COUNTIF($M165:DB165,"u")=0), "u", "")</f>
        <v/>
      </c>
      <c r="DD165" s="80" t="str">
        <f>IF(AND($F165&lt;&gt;"", $F165&gt;=DD$5-4, $F165&lt;=DD$5, COUNTIF($M165:DC165,"u")=0), "u", "")</f>
        <v/>
      </c>
      <c r="DE165" s="80" t="str">
        <f>IF(AND($F165&lt;&gt;"", $F165&gt;=DE$5-4, $F165&lt;=DE$5, COUNTIF($M165:DD165,"u")=0), "u", "")</f>
        <v/>
      </c>
      <c r="DF165" s="80" t="str">
        <f>IF(AND($F165&lt;&gt;"", $F165&gt;=DF$5-4, $F165&lt;=DF$5, COUNTIF($M165:DE165,"u")=0), "u", "")</f>
        <v/>
      </c>
      <c r="DG165" s="80" t="str">
        <f>IF(AND($F165&lt;&gt;"", $F165&gt;=DG$5-4, $F165&lt;=DG$5, COUNTIF($M165:DF165,"u")=0), "u", "")</f>
        <v/>
      </c>
      <c r="DH165" s="80" t="str">
        <f>IF(AND($F165&lt;&gt;"", $F165&gt;=DH$5-4, $F165&lt;=DH$5, COUNTIF($M165:DG165,"u")=0), "u", "")</f>
        <v/>
      </c>
      <c r="DI165" s="80" t="str">
        <f>IF(AND($F165&lt;&gt;"", $F165&gt;=DI$5-4, $F165&lt;=DI$5, COUNTIF($M165:DH165,"u")=0), "u", "")</f>
        <v/>
      </c>
      <c r="DJ165" s="80" t="str">
        <f>IF(AND($F165&lt;&gt;"", $F165&gt;=DJ$5-4, $F165&lt;=DJ$5, COUNTIF($M165:DI165,"u")=0), "u", "")</f>
        <v/>
      </c>
      <c r="DK165" s="80" t="str">
        <f>IF(AND($F165&lt;&gt;"", $F165&gt;=DK$5-4, $F165&lt;=DK$5, COUNTIF($M165:DJ165,"u")=0), "u", "")</f>
        <v/>
      </c>
      <c r="DL165" s="80" t="str">
        <f>IF(AND($F165&lt;&gt;"", $F165&gt;=DL$5-4, $F165&lt;=DL$5, COUNTIF($M165:DK165,"u")=0), "u", "")</f>
        <v/>
      </c>
    </row>
    <row r="166" spans="1:116" ht="25.05" customHeight="1" x14ac:dyDescent="0.3">
      <c r="A166" s="39"/>
      <c r="B166" s="75">
        <v>161</v>
      </c>
      <c r="C166" s="97"/>
      <c r="D166" s="92"/>
      <c r="E166" s="53"/>
      <c r="F166" s="53"/>
      <c r="G166" s="83" t="str">
        <f t="shared" si="53"/>
        <v/>
      </c>
      <c r="H166" s="83" t="str">
        <f t="shared" si="53"/>
        <v/>
      </c>
      <c r="I166" s="77" t="str">
        <f t="shared" si="51"/>
        <v/>
      </c>
      <c r="J166" s="78"/>
      <c r="K166" s="86"/>
      <c r="L166" s="56"/>
      <c r="M166" s="80" t="str">
        <f t="shared" si="52"/>
        <v/>
      </c>
      <c r="N166" s="80" t="str">
        <f>IF(AND($F166&lt;&gt;"", $F166&gt;=N$5-4, $F166&lt;=N$5, COUNTIF($M166:M166,"u")=0), "u", "")</f>
        <v/>
      </c>
      <c r="O166" s="80" t="str">
        <f>IF(AND($F166&lt;&gt;"", $F166&gt;=O$5-4, $F166&lt;=O$5, COUNTIF($M166:N166,"u")=0), "u", "")</f>
        <v/>
      </c>
      <c r="P166" s="80" t="str">
        <f>IF(AND($F166&lt;&gt;"", $F166&gt;=P$5-4, $F166&lt;=P$5, COUNTIF($M166:O166,"u")=0), "u", "")</f>
        <v/>
      </c>
      <c r="Q166" s="80" t="str">
        <f>IF(AND($F166&lt;&gt;"", $F166&gt;=Q$5-4, $F166&lt;=Q$5, COUNTIF($M166:P166,"u")=0), "u", "")</f>
        <v/>
      </c>
      <c r="R166" s="80" t="str">
        <f>IF(AND($F166&lt;&gt;"", $F166&gt;=R$5-4, $F166&lt;=R$5, COUNTIF($M166:Q166,"u")=0), "u", "")</f>
        <v/>
      </c>
      <c r="S166" s="80" t="str">
        <f>IF(AND($F166&lt;&gt;"", $F166&gt;=S$5-4, $F166&lt;=S$5, COUNTIF($M166:R166,"u")=0), "u", "")</f>
        <v/>
      </c>
      <c r="T166" s="80" t="str">
        <f>IF(AND($F166&lt;&gt;"", $F166&gt;=T$5-4, $F166&lt;=T$5, COUNTIF($M166:S166,"u")=0), "u", "")</f>
        <v/>
      </c>
      <c r="U166" s="80" t="str">
        <f>IF(AND($F166&lt;&gt;"", $F166&gt;=U$5-4, $F166&lt;=U$5, COUNTIF($M166:T166,"u")=0), "u", "")</f>
        <v/>
      </c>
      <c r="V166" s="80" t="str">
        <f>IF(AND($F166&lt;&gt;"", $F166&gt;=V$5-4, $F166&lt;=V$5, COUNTIF($M166:U166,"u")=0), "u", "")</f>
        <v/>
      </c>
      <c r="W166" s="80" t="str">
        <f>IF(AND($F166&lt;&gt;"", $F166&gt;=W$5-4, $F166&lt;=W$5, COUNTIF($M166:V166,"u")=0), "u", "")</f>
        <v/>
      </c>
      <c r="X166" s="80" t="str">
        <f>IF(AND($F166&lt;&gt;"", $F166&gt;=X$5-4, $F166&lt;=X$5, COUNTIF($M166:W166,"u")=0), "u", "")</f>
        <v/>
      </c>
      <c r="Y166" s="80" t="str">
        <f>IF(AND($F166&lt;&gt;"", $F166&gt;=Y$5-4, $F166&lt;=Y$5, COUNTIF($M166:X166,"u")=0), "u", "")</f>
        <v/>
      </c>
      <c r="Z166" s="80" t="str">
        <f>IF(AND($F166&lt;&gt;"", $F166&gt;=Z$5-4, $F166&lt;=Z$5, COUNTIF($M166:Y166,"u")=0), "u", "")</f>
        <v/>
      </c>
      <c r="AA166" s="80" t="str">
        <f>IF(AND($F166&lt;&gt;"", $F166&gt;=AA$5-4, $F166&lt;=AA$5, COUNTIF($M166:Z166,"u")=0), "u", "")</f>
        <v/>
      </c>
      <c r="AB166" s="80" t="str">
        <f>IF(AND($F166&lt;&gt;"", $F166&gt;=AB$5-4, $F166&lt;=AB$5, COUNTIF($M166:AA166,"u")=0), "u", "")</f>
        <v/>
      </c>
      <c r="AC166" s="80" t="str">
        <f>IF(AND($F166&lt;&gt;"", $F166&gt;=AC$5-4, $F166&lt;=AC$5, COUNTIF($M166:AB166,"u")=0), "u", "")</f>
        <v/>
      </c>
      <c r="AD166" s="80" t="str">
        <f>IF(AND($F166&lt;&gt;"", $F166&gt;=AD$5-4, $F166&lt;=AD$5, COUNTIF($M166:AC166,"u")=0), "u", "")</f>
        <v/>
      </c>
      <c r="AE166" s="80" t="str">
        <f>IF(AND($F166&lt;&gt;"", $F166&gt;=AE$5-4, $F166&lt;=AE$5, COUNTIF($M166:AD166,"u")=0), "u", "")</f>
        <v/>
      </c>
      <c r="AF166" s="80" t="str">
        <f>IF(AND($F166&lt;&gt;"", $F166&gt;=AF$5-4, $F166&lt;=AF$5, COUNTIF($M166:AE166,"u")=0), "u", "")</f>
        <v/>
      </c>
      <c r="AG166" s="80" t="str">
        <f>IF(AND($F166&lt;&gt;"", $F166&gt;=AG$5-4, $F166&lt;=AG$5, COUNTIF($M166:AF166,"u")=0), "u", "")</f>
        <v/>
      </c>
      <c r="AH166" s="80" t="str">
        <f>IF(AND($F166&lt;&gt;"", $F166&gt;=AH$5-4, $F166&lt;=AH$5, COUNTIF($M166:AG166,"u")=0), "u", "")</f>
        <v/>
      </c>
      <c r="AI166" s="80" t="str">
        <f>IF(AND($F166&lt;&gt;"", $F166&gt;=AI$5-4, $F166&lt;=AI$5, COUNTIF($M166:AH166,"u")=0), "u", "")</f>
        <v/>
      </c>
      <c r="AJ166" s="80" t="str">
        <f>IF(AND($F166&lt;&gt;"", $F166&gt;=AJ$5-4, $F166&lt;=AJ$5, COUNTIF($M166:AI166,"u")=0), "u", "")</f>
        <v/>
      </c>
      <c r="AK166" s="80" t="str">
        <f>IF(AND($F166&lt;&gt;"", $F166&gt;=AK$5-4, $F166&lt;=AK$5, COUNTIF($M166:AJ166,"u")=0), "u", "")</f>
        <v/>
      </c>
      <c r="AL166" s="80" t="str">
        <f>IF(AND($F166&lt;&gt;"", $F166&gt;=AL$5-4, $F166&lt;=AL$5, COUNTIF($M166:AK166,"u")=0), "u", "")</f>
        <v/>
      </c>
      <c r="AM166" s="80" t="str">
        <f>IF(AND($F166&lt;&gt;"", $F166&gt;=AM$5-4, $F166&lt;=AM$5, COUNTIF($M166:AL166,"u")=0), "u", "")</f>
        <v/>
      </c>
      <c r="AN166" s="80" t="str">
        <f>IF(AND($F166&lt;&gt;"", $F166&gt;=AN$5-4, $F166&lt;=AN$5, COUNTIF($M166:AM166,"u")=0), "u", "")</f>
        <v/>
      </c>
      <c r="AO166" s="80" t="str">
        <f>IF(AND($F166&lt;&gt;"", $F166&gt;=AO$5-4, $F166&lt;=AO$5, COUNTIF($M166:AN166,"u")=0), "u", "")</f>
        <v/>
      </c>
      <c r="AP166" s="80" t="str">
        <f>IF(AND($F166&lt;&gt;"", $F166&gt;=AP$5-4, $F166&lt;=AP$5, COUNTIF($M166:AO166,"u")=0), "u", "")</f>
        <v/>
      </c>
      <c r="AQ166" s="80" t="str">
        <f>IF(AND($F166&lt;&gt;"", $F166&gt;=AQ$5-4, $F166&lt;=AQ$5, COUNTIF($M166:AP166,"u")=0), "u", "")</f>
        <v/>
      </c>
      <c r="AR166" s="80" t="str">
        <f>IF(AND($F166&lt;&gt;"", $F166&gt;=AR$5-4, $F166&lt;=AR$5, COUNTIF($M166:AQ166,"u")=0), "u", "")</f>
        <v/>
      </c>
      <c r="AS166" s="80" t="str">
        <f>IF(AND($F166&lt;&gt;"", $F166&gt;=AS$5-4, $F166&lt;=AS$5, COUNTIF($M166:AR166,"u")=0), "u", "")</f>
        <v/>
      </c>
      <c r="AT166" s="80" t="str">
        <f>IF(AND($F166&lt;&gt;"", $F166&gt;=AT$5-4, $F166&lt;=AT$5, COUNTIF($M166:AS166,"u")=0), "u", "")</f>
        <v/>
      </c>
      <c r="AU166" s="80" t="str">
        <f>IF(AND($F166&lt;&gt;"", $F166&gt;=AU$5-4, $F166&lt;=AU$5, COUNTIF($M166:AT166,"u")=0), "u", "")</f>
        <v/>
      </c>
      <c r="AV166" s="80" t="str">
        <f>IF(AND($F166&lt;&gt;"", $F166&gt;=AV$5-4, $F166&lt;=AV$5, COUNTIF($M166:AU166,"u")=0), "u", "")</f>
        <v/>
      </c>
      <c r="AW166" s="80" t="str">
        <f>IF(AND($F166&lt;&gt;"", $F166&gt;=AW$5-4, $F166&lt;=AW$5, COUNTIF($M166:AV166,"u")=0), "u", "")</f>
        <v/>
      </c>
      <c r="AX166" s="80" t="str">
        <f>IF(AND($F166&lt;&gt;"", $F166&gt;=AX$5-4, $F166&lt;=AX$5, COUNTIF($M166:AW166,"u")=0), "u", "")</f>
        <v/>
      </c>
      <c r="AY166" s="80" t="str">
        <f>IF(AND($F166&lt;&gt;"", $F166&gt;=AY$5-4, $F166&lt;=AY$5, COUNTIF($M166:AX166,"u")=0), "u", "")</f>
        <v/>
      </c>
      <c r="AZ166" s="80" t="str">
        <f>IF(AND($F166&lt;&gt;"", $F166&gt;=AZ$5-4, $F166&lt;=AZ$5, COUNTIF($M166:AY166,"u")=0), "u", "")</f>
        <v/>
      </c>
      <c r="BA166" s="80" t="str">
        <f>IF(AND($F166&lt;&gt;"", $F166&gt;=BA$5-4, $F166&lt;=BA$5, COUNTIF($M166:AZ166,"u")=0), "u", "")</f>
        <v/>
      </c>
      <c r="BB166" s="80" t="str">
        <f>IF(AND($F166&lt;&gt;"", $F166&gt;=BB$5-4, $F166&lt;=BB$5, COUNTIF($M166:BA166,"u")=0), "u", "")</f>
        <v/>
      </c>
      <c r="BC166" s="80" t="str">
        <f>IF(AND($F166&lt;&gt;"", $F166&gt;=BC$5-4, $F166&lt;=BC$5, COUNTIF($M166:BB166,"u")=0), "u", "")</f>
        <v/>
      </c>
      <c r="BD166" s="80" t="str">
        <f>IF(AND($F166&lt;&gt;"", $F166&gt;=BD$5-4, $F166&lt;=BD$5, COUNTIF($M166:BC166,"u")=0), "u", "")</f>
        <v/>
      </c>
      <c r="BE166" s="80" t="str">
        <f>IF(AND($F166&lt;&gt;"", $F166&gt;=BE$5-4, $F166&lt;=BE$5, COUNTIF($M166:BD166,"u")=0), "u", "")</f>
        <v/>
      </c>
      <c r="BF166" s="80" t="str">
        <f>IF(AND($F166&lt;&gt;"", $F166&gt;=BF$5-4, $F166&lt;=BF$5, COUNTIF($M166:BE166,"u")=0), "u", "")</f>
        <v/>
      </c>
      <c r="BG166" s="80" t="str">
        <f>IF(AND($F166&lt;&gt;"", $F166&gt;=BG$5-4, $F166&lt;=BG$5, COUNTIF($M166:BF166,"u")=0), "u", "")</f>
        <v/>
      </c>
      <c r="BH166" s="80" t="str">
        <f>IF(AND($F166&lt;&gt;"", $F166&gt;=BH$5-4, $F166&lt;=BH$5, COUNTIF($M166:BG166,"u")=0), "u", "")</f>
        <v/>
      </c>
      <c r="BI166" s="80" t="str">
        <f>IF(AND($F166&lt;&gt;"", $F166&gt;=BI$5-4, $F166&lt;=BI$5, COUNTIF($M166:BH166,"u")=0), "u", "")</f>
        <v/>
      </c>
      <c r="BJ166" s="80" t="str">
        <f>IF(AND($F166&lt;&gt;"", $F166&gt;=BJ$5-4, $F166&lt;=BJ$5, COUNTIF($M166:BI166,"u")=0), "u", "")</f>
        <v/>
      </c>
      <c r="BK166" s="80" t="str">
        <f>IF(AND($F166&lt;&gt;"", $F166&gt;=BK$5-4, $F166&lt;=BK$5, COUNTIF($M166:BJ166,"u")=0), "u", "")</f>
        <v/>
      </c>
      <c r="BL166" s="80" t="str">
        <f>IF(AND($F166&lt;&gt;"", $F166&gt;=BL$5-4, $F166&lt;=BL$5, COUNTIF($M166:BK166,"u")=0), "u", "")</f>
        <v/>
      </c>
      <c r="BM166" s="80" t="str">
        <f>IF(AND($F166&lt;&gt;"", $F166&gt;=BM$5-4, $F166&lt;=BM$5, COUNTIF($M166:BL166,"u")=0), "u", "")</f>
        <v/>
      </c>
      <c r="BN166" s="80" t="str">
        <f>IF(AND($F166&lt;&gt;"", $F166&gt;=BN$5-4, $F166&lt;=BN$5, COUNTIF($M166:BM166,"u")=0), "u", "")</f>
        <v/>
      </c>
      <c r="BO166" s="80" t="str">
        <f>IF(AND($F166&lt;&gt;"", $F166&gt;=BO$5-4, $F166&lt;=BO$5, COUNTIF($M166:BN166,"u")=0), "u", "")</f>
        <v/>
      </c>
      <c r="BP166" s="80" t="str">
        <f>IF(AND($F166&lt;&gt;"", $F166&gt;=BP$5-4, $F166&lt;=BP$5, COUNTIF($M166:BO166,"u")=0), "u", "")</f>
        <v/>
      </c>
      <c r="BQ166" s="80" t="str">
        <f>IF(AND($F166&lt;&gt;"", $F166&gt;=BQ$5-4, $F166&lt;=BQ$5, COUNTIF($M166:BP166,"u")=0), "u", "")</f>
        <v/>
      </c>
      <c r="BR166" s="80" t="str">
        <f>IF(AND($F166&lt;&gt;"", $F166&gt;=BR$5-4, $F166&lt;=BR$5, COUNTIF($M166:BQ166,"u")=0), "u", "")</f>
        <v/>
      </c>
      <c r="BS166" s="80" t="str">
        <f>IF(AND($F166&lt;&gt;"", $F166&gt;=BS$5-4, $F166&lt;=BS$5, COUNTIF($M166:BR166,"u")=0), "u", "")</f>
        <v/>
      </c>
      <c r="BT166" s="80" t="str">
        <f>IF(AND($F166&lt;&gt;"", $F166&gt;=BT$5-4, $F166&lt;=BT$5, COUNTIF($M166:BS166,"u")=0), "u", "")</f>
        <v/>
      </c>
      <c r="BU166" s="80" t="str">
        <f>IF(AND($F166&lt;&gt;"", $F166&gt;=BU$5-4, $F166&lt;=BU$5, COUNTIF($M166:BT166,"u")=0), "u", "")</f>
        <v/>
      </c>
      <c r="BV166" s="80" t="str">
        <f>IF(AND($F166&lt;&gt;"", $F166&gt;=BV$5-4, $F166&lt;=BV$5, COUNTIF($M166:BU166,"u")=0), "u", "")</f>
        <v/>
      </c>
      <c r="BW166" s="80" t="str">
        <f>IF(AND($F166&lt;&gt;"", $F166&gt;=BW$5-4, $F166&lt;=BW$5, COUNTIF($M166:BV166,"u")=0), "u", "")</f>
        <v/>
      </c>
      <c r="BX166" s="80" t="str">
        <f>IF(AND($F166&lt;&gt;"", $F166&gt;=BX$5-4, $F166&lt;=BX$5, COUNTIF($M166:BW166,"u")=0), "u", "")</f>
        <v/>
      </c>
      <c r="BY166" s="80" t="str">
        <f>IF(AND($F166&lt;&gt;"", $F166&gt;=BY$5-4, $F166&lt;=BY$5, COUNTIF($M166:BX166,"u")=0), "u", "")</f>
        <v/>
      </c>
      <c r="BZ166" s="80" t="str">
        <f>IF(AND($F166&lt;&gt;"", $F166&gt;=BZ$5-4, $F166&lt;=BZ$5, COUNTIF($M166:BY166,"u")=0), "u", "")</f>
        <v/>
      </c>
      <c r="CA166" s="80" t="str">
        <f>IF(AND($F166&lt;&gt;"", $F166&gt;=CA$5-4, $F166&lt;=CA$5, COUNTIF($M166:BZ166,"u")=0), "u", "")</f>
        <v/>
      </c>
      <c r="CB166" s="80" t="str">
        <f>IF(AND($F166&lt;&gt;"", $F166&gt;=CB$5-4, $F166&lt;=CB$5, COUNTIF($M166:CA166,"u")=0), "u", "")</f>
        <v/>
      </c>
      <c r="CC166" s="80" t="str">
        <f>IF(AND($F166&lt;&gt;"", $F166&gt;=CC$5-4, $F166&lt;=CC$5, COUNTIF($M166:CB166,"u")=0), "u", "")</f>
        <v/>
      </c>
      <c r="CD166" s="80" t="str">
        <f>IF(AND($F166&lt;&gt;"", $F166&gt;=CD$5-4, $F166&lt;=CD$5, COUNTIF($M166:CC166,"u")=0), "u", "")</f>
        <v/>
      </c>
      <c r="CE166" s="80" t="str">
        <f>IF(AND($F166&lt;&gt;"", $F166&gt;=CE$5-4, $F166&lt;=CE$5, COUNTIF($M166:CD166,"u")=0), "u", "")</f>
        <v/>
      </c>
      <c r="CF166" s="80" t="str">
        <f>IF(AND($F166&lt;&gt;"", $F166&gt;=CF$5-4, $F166&lt;=CF$5, COUNTIF($M166:CE166,"u")=0), "u", "")</f>
        <v/>
      </c>
      <c r="CG166" s="80" t="str">
        <f>IF(AND($F166&lt;&gt;"", $F166&gt;=CG$5-4, $F166&lt;=CG$5, COUNTIF($M166:CF166,"u")=0), "u", "")</f>
        <v/>
      </c>
      <c r="CH166" s="80" t="str">
        <f>IF(AND($F166&lt;&gt;"", $F166&gt;=CH$5-4, $F166&lt;=CH$5, COUNTIF($M166:CG166,"u")=0), "u", "")</f>
        <v/>
      </c>
      <c r="CI166" s="80" t="str">
        <f>IF(AND($F166&lt;&gt;"", $F166&gt;=CI$5-4, $F166&lt;=CI$5, COUNTIF($M166:CH166,"u")=0), "u", "")</f>
        <v/>
      </c>
      <c r="CJ166" s="80" t="str">
        <f>IF(AND($F166&lt;&gt;"", $F166&gt;=CJ$5-4, $F166&lt;=CJ$5, COUNTIF($M166:CI166,"u")=0), "u", "")</f>
        <v/>
      </c>
      <c r="CK166" s="80" t="str">
        <f>IF(AND($F166&lt;&gt;"", $F166&gt;=CK$5-4, $F166&lt;=CK$5, COUNTIF($M166:CJ166,"u")=0), "u", "")</f>
        <v/>
      </c>
      <c r="CL166" s="80" t="str">
        <f>IF(AND($F166&lt;&gt;"", $F166&gt;=CL$5-4, $F166&lt;=CL$5, COUNTIF($M166:CK166,"u")=0), "u", "")</f>
        <v/>
      </c>
      <c r="CM166" s="80" t="str">
        <f>IF(AND($F166&lt;&gt;"", $F166&gt;=CM$5-4, $F166&lt;=CM$5, COUNTIF($M166:CL166,"u")=0), "u", "")</f>
        <v/>
      </c>
      <c r="CN166" s="80" t="str">
        <f>IF(AND($F166&lt;&gt;"", $F166&gt;=CN$5-4, $F166&lt;=CN$5, COUNTIF($M166:CM166,"u")=0), "u", "")</f>
        <v/>
      </c>
      <c r="CO166" s="80" t="str">
        <f>IF(AND($F166&lt;&gt;"", $F166&gt;=CO$5-4, $F166&lt;=CO$5, COUNTIF($M166:CN166,"u")=0), "u", "")</f>
        <v/>
      </c>
      <c r="CP166" s="80" t="str">
        <f>IF(AND($F166&lt;&gt;"", $F166&gt;=CP$5-4, $F166&lt;=CP$5, COUNTIF($M166:CO166,"u")=0), "u", "")</f>
        <v/>
      </c>
      <c r="CQ166" s="80" t="str">
        <f>IF(AND($F166&lt;&gt;"", $F166&gt;=CQ$5-4, $F166&lt;=CQ$5, COUNTIF($M166:CP166,"u")=0), "u", "")</f>
        <v/>
      </c>
      <c r="CR166" s="80" t="str">
        <f>IF(AND($F166&lt;&gt;"", $F166&gt;=CR$5-4, $F166&lt;=CR$5, COUNTIF($M166:CQ166,"u")=0), "u", "")</f>
        <v/>
      </c>
      <c r="CS166" s="80" t="str">
        <f>IF(AND($F166&lt;&gt;"", $F166&gt;=CS$5-4, $F166&lt;=CS$5, COUNTIF($M166:CR166,"u")=0), "u", "")</f>
        <v/>
      </c>
      <c r="CT166" s="80" t="str">
        <f>IF(AND($F166&lt;&gt;"", $F166&gt;=CT$5-4, $F166&lt;=CT$5, COUNTIF($M166:CS166,"u")=0), "u", "")</f>
        <v/>
      </c>
      <c r="CU166" s="80" t="str">
        <f>IF(AND($F166&lt;&gt;"", $F166&gt;=CU$5-4, $F166&lt;=CU$5, COUNTIF($M166:CT166,"u")=0), "u", "")</f>
        <v/>
      </c>
      <c r="CV166" s="80" t="str">
        <f>IF(AND($F166&lt;&gt;"", $F166&gt;=CV$5-4, $F166&lt;=CV$5, COUNTIF($M166:CU166,"u")=0), "u", "")</f>
        <v/>
      </c>
      <c r="CW166" s="80" t="str">
        <f>IF(AND($F166&lt;&gt;"", $F166&gt;=CW$5-4, $F166&lt;=CW$5, COUNTIF($M166:CV166,"u")=0), "u", "")</f>
        <v/>
      </c>
      <c r="CX166" s="80" t="str">
        <f>IF(AND($F166&lt;&gt;"", $F166&gt;=CX$5-4, $F166&lt;=CX$5, COUNTIF($M166:CW166,"u")=0), "u", "")</f>
        <v/>
      </c>
      <c r="CY166" s="80" t="str">
        <f>IF(AND($F166&lt;&gt;"", $F166&gt;=CY$5-4, $F166&lt;=CY$5, COUNTIF($M166:CX166,"u")=0), "u", "")</f>
        <v/>
      </c>
      <c r="CZ166" s="80" t="str">
        <f>IF(AND($F166&lt;&gt;"", $F166&gt;=CZ$5-4, $F166&lt;=CZ$5, COUNTIF($M166:CY166,"u")=0), "u", "")</f>
        <v/>
      </c>
      <c r="DA166" s="80" t="str">
        <f>IF(AND($F166&lt;&gt;"", $F166&gt;=DA$5-4, $F166&lt;=DA$5, COUNTIF($M166:CZ166,"u")=0), "u", "")</f>
        <v/>
      </c>
      <c r="DB166" s="80" t="str">
        <f>IF(AND($F166&lt;&gt;"", $F166&gt;=DB$5-4, $F166&lt;=DB$5, COUNTIF($M166:DA166,"u")=0), "u", "")</f>
        <v/>
      </c>
      <c r="DC166" s="80" t="str">
        <f>IF(AND($F166&lt;&gt;"", $F166&gt;=DC$5-4, $F166&lt;=DC$5, COUNTIF($M166:DB166,"u")=0), "u", "")</f>
        <v/>
      </c>
      <c r="DD166" s="80" t="str">
        <f>IF(AND($F166&lt;&gt;"", $F166&gt;=DD$5-4, $F166&lt;=DD$5, COUNTIF($M166:DC166,"u")=0), "u", "")</f>
        <v/>
      </c>
      <c r="DE166" s="80" t="str">
        <f>IF(AND($F166&lt;&gt;"", $F166&gt;=DE$5-4, $F166&lt;=DE$5, COUNTIF($M166:DD166,"u")=0), "u", "")</f>
        <v/>
      </c>
      <c r="DF166" s="80" t="str">
        <f>IF(AND($F166&lt;&gt;"", $F166&gt;=DF$5-4, $F166&lt;=DF$5, COUNTIF($M166:DE166,"u")=0), "u", "")</f>
        <v/>
      </c>
      <c r="DG166" s="80" t="str">
        <f>IF(AND($F166&lt;&gt;"", $F166&gt;=DG$5-4, $F166&lt;=DG$5, COUNTIF($M166:DF166,"u")=0), "u", "")</f>
        <v/>
      </c>
      <c r="DH166" s="80" t="str">
        <f>IF(AND($F166&lt;&gt;"", $F166&gt;=DH$5-4, $F166&lt;=DH$5, COUNTIF($M166:DG166,"u")=0), "u", "")</f>
        <v/>
      </c>
      <c r="DI166" s="80" t="str">
        <f>IF(AND($F166&lt;&gt;"", $F166&gt;=DI$5-4, $F166&lt;=DI$5, COUNTIF($M166:DH166,"u")=0), "u", "")</f>
        <v/>
      </c>
      <c r="DJ166" s="80" t="str">
        <f>IF(AND($F166&lt;&gt;"", $F166&gt;=DJ$5-4, $F166&lt;=DJ$5, COUNTIF($M166:DI166,"u")=0), "u", "")</f>
        <v/>
      </c>
      <c r="DK166" s="80" t="str">
        <f>IF(AND($F166&lt;&gt;"", $F166&gt;=DK$5-4, $F166&lt;=DK$5, COUNTIF($M166:DJ166,"u")=0), "u", "")</f>
        <v/>
      </c>
      <c r="DL166" s="80" t="str">
        <f>IF(AND($F166&lt;&gt;"", $F166&gt;=DL$5-4, $F166&lt;=DL$5, COUNTIF($M166:DK166,"u")=0), "u", "")</f>
        <v/>
      </c>
    </row>
    <row r="167" spans="1:116" ht="25.05" customHeight="1" x14ac:dyDescent="0.3">
      <c r="A167" s="39"/>
      <c r="B167" s="75">
        <v>162</v>
      </c>
      <c r="C167" s="97"/>
      <c r="D167" s="92"/>
      <c r="E167" s="53"/>
      <c r="F167" s="53"/>
      <c r="G167" s="83" t="str">
        <f t="shared" si="53"/>
        <v/>
      </c>
      <c r="H167" s="83" t="str">
        <f t="shared" si="53"/>
        <v/>
      </c>
      <c r="I167" s="77" t="str">
        <f t="shared" si="51"/>
        <v/>
      </c>
      <c r="J167" s="78"/>
      <c r="K167" s="86"/>
      <c r="L167" s="56"/>
      <c r="M167" s="80" t="str">
        <f t="shared" si="52"/>
        <v/>
      </c>
      <c r="N167" s="80" t="str">
        <f>IF(AND($F167&lt;&gt;"", $F167&gt;=N$5-4, $F167&lt;=N$5, COUNTIF($M167:M167,"u")=0), "u", "")</f>
        <v/>
      </c>
      <c r="O167" s="80" t="str">
        <f>IF(AND($F167&lt;&gt;"", $F167&gt;=O$5-4, $F167&lt;=O$5, COUNTIF($M167:N167,"u")=0), "u", "")</f>
        <v/>
      </c>
      <c r="P167" s="80" t="str">
        <f>IF(AND($F167&lt;&gt;"", $F167&gt;=P$5-4, $F167&lt;=P$5, COUNTIF($M167:O167,"u")=0), "u", "")</f>
        <v/>
      </c>
      <c r="Q167" s="80" t="str">
        <f>IF(AND($F167&lt;&gt;"", $F167&gt;=Q$5-4, $F167&lt;=Q$5, COUNTIF($M167:P167,"u")=0), "u", "")</f>
        <v/>
      </c>
      <c r="R167" s="80" t="str">
        <f>IF(AND($F167&lt;&gt;"", $F167&gt;=R$5-4, $F167&lt;=R$5, COUNTIF($M167:Q167,"u")=0), "u", "")</f>
        <v/>
      </c>
      <c r="S167" s="80" t="str">
        <f>IF(AND($F167&lt;&gt;"", $F167&gt;=S$5-4, $F167&lt;=S$5, COUNTIF($M167:R167,"u")=0), "u", "")</f>
        <v/>
      </c>
      <c r="T167" s="80" t="str">
        <f>IF(AND($F167&lt;&gt;"", $F167&gt;=T$5-4, $F167&lt;=T$5, COUNTIF($M167:S167,"u")=0), "u", "")</f>
        <v/>
      </c>
      <c r="U167" s="80" t="str">
        <f>IF(AND($F167&lt;&gt;"", $F167&gt;=U$5-4, $F167&lt;=U$5, COUNTIF($M167:T167,"u")=0), "u", "")</f>
        <v/>
      </c>
      <c r="V167" s="80" t="str">
        <f>IF(AND($F167&lt;&gt;"", $F167&gt;=V$5-4, $F167&lt;=V$5, COUNTIF($M167:U167,"u")=0), "u", "")</f>
        <v/>
      </c>
      <c r="W167" s="80" t="str">
        <f>IF(AND($F167&lt;&gt;"", $F167&gt;=W$5-4, $F167&lt;=W$5, COUNTIF($M167:V167,"u")=0), "u", "")</f>
        <v/>
      </c>
      <c r="X167" s="80" t="str">
        <f>IF(AND($F167&lt;&gt;"", $F167&gt;=X$5-4, $F167&lt;=X$5, COUNTIF($M167:W167,"u")=0), "u", "")</f>
        <v/>
      </c>
      <c r="Y167" s="80" t="str">
        <f>IF(AND($F167&lt;&gt;"", $F167&gt;=Y$5-4, $F167&lt;=Y$5, COUNTIF($M167:X167,"u")=0), "u", "")</f>
        <v/>
      </c>
      <c r="Z167" s="80" t="str">
        <f>IF(AND($F167&lt;&gt;"", $F167&gt;=Z$5-4, $F167&lt;=Z$5, COUNTIF($M167:Y167,"u")=0), "u", "")</f>
        <v/>
      </c>
      <c r="AA167" s="80" t="str">
        <f>IF(AND($F167&lt;&gt;"", $F167&gt;=AA$5-4, $F167&lt;=AA$5, COUNTIF($M167:Z167,"u")=0), "u", "")</f>
        <v/>
      </c>
      <c r="AB167" s="80" t="str">
        <f>IF(AND($F167&lt;&gt;"", $F167&gt;=AB$5-4, $F167&lt;=AB$5, COUNTIF($M167:AA167,"u")=0), "u", "")</f>
        <v/>
      </c>
      <c r="AC167" s="80" t="str">
        <f>IF(AND($F167&lt;&gt;"", $F167&gt;=AC$5-4, $F167&lt;=AC$5, COUNTIF($M167:AB167,"u")=0), "u", "")</f>
        <v/>
      </c>
      <c r="AD167" s="80" t="str">
        <f>IF(AND($F167&lt;&gt;"", $F167&gt;=AD$5-4, $F167&lt;=AD$5, COUNTIF($M167:AC167,"u")=0), "u", "")</f>
        <v/>
      </c>
      <c r="AE167" s="80" t="str">
        <f>IF(AND($F167&lt;&gt;"", $F167&gt;=AE$5-4, $F167&lt;=AE$5, COUNTIF($M167:AD167,"u")=0), "u", "")</f>
        <v/>
      </c>
      <c r="AF167" s="80" t="str">
        <f>IF(AND($F167&lt;&gt;"", $F167&gt;=AF$5-4, $F167&lt;=AF$5, COUNTIF($M167:AE167,"u")=0), "u", "")</f>
        <v/>
      </c>
      <c r="AG167" s="80" t="str">
        <f>IF(AND($F167&lt;&gt;"", $F167&gt;=AG$5-4, $F167&lt;=AG$5, COUNTIF($M167:AF167,"u")=0), "u", "")</f>
        <v/>
      </c>
      <c r="AH167" s="80" t="str">
        <f>IF(AND($F167&lt;&gt;"", $F167&gt;=AH$5-4, $F167&lt;=AH$5, COUNTIF($M167:AG167,"u")=0), "u", "")</f>
        <v/>
      </c>
      <c r="AI167" s="80" t="str">
        <f>IF(AND($F167&lt;&gt;"", $F167&gt;=AI$5-4, $F167&lt;=AI$5, COUNTIF($M167:AH167,"u")=0), "u", "")</f>
        <v/>
      </c>
      <c r="AJ167" s="80" t="str">
        <f>IF(AND($F167&lt;&gt;"", $F167&gt;=AJ$5-4, $F167&lt;=AJ$5, COUNTIF($M167:AI167,"u")=0), "u", "")</f>
        <v/>
      </c>
      <c r="AK167" s="80" t="str">
        <f>IF(AND($F167&lt;&gt;"", $F167&gt;=AK$5-4, $F167&lt;=AK$5, COUNTIF($M167:AJ167,"u")=0), "u", "")</f>
        <v/>
      </c>
      <c r="AL167" s="80" t="str">
        <f>IF(AND($F167&lt;&gt;"", $F167&gt;=AL$5-4, $F167&lt;=AL$5, COUNTIF($M167:AK167,"u")=0), "u", "")</f>
        <v/>
      </c>
      <c r="AM167" s="80" t="str">
        <f>IF(AND($F167&lt;&gt;"", $F167&gt;=AM$5-4, $F167&lt;=AM$5, COUNTIF($M167:AL167,"u")=0), "u", "")</f>
        <v/>
      </c>
      <c r="AN167" s="80" t="str">
        <f>IF(AND($F167&lt;&gt;"", $F167&gt;=AN$5-4, $F167&lt;=AN$5, COUNTIF($M167:AM167,"u")=0), "u", "")</f>
        <v/>
      </c>
      <c r="AO167" s="80" t="str">
        <f>IF(AND($F167&lt;&gt;"", $F167&gt;=AO$5-4, $F167&lt;=AO$5, COUNTIF($M167:AN167,"u")=0), "u", "")</f>
        <v/>
      </c>
      <c r="AP167" s="80" t="str">
        <f>IF(AND($F167&lt;&gt;"", $F167&gt;=AP$5-4, $F167&lt;=AP$5, COUNTIF($M167:AO167,"u")=0), "u", "")</f>
        <v/>
      </c>
      <c r="AQ167" s="80" t="str">
        <f>IF(AND($F167&lt;&gt;"", $F167&gt;=AQ$5-4, $F167&lt;=AQ$5, COUNTIF($M167:AP167,"u")=0), "u", "")</f>
        <v/>
      </c>
      <c r="AR167" s="80" t="str">
        <f>IF(AND($F167&lt;&gt;"", $F167&gt;=AR$5-4, $F167&lt;=AR$5, COUNTIF($M167:AQ167,"u")=0), "u", "")</f>
        <v/>
      </c>
      <c r="AS167" s="80" t="str">
        <f>IF(AND($F167&lt;&gt;"", $F167&gt;=AS$5-4, $F167&lt;=AS$5, COUNTIF($M167:AR167,"u")=0), "u", "")</f>
        <v/>
      </c>
      <c r="AT167" s="80" t="str">
        <f>IF(AND($F167&lt;&gt;"", $F167&gt;=AT$5-4, $F167&lt;=AT$5, COUNTIF($M167:AS167,"u")=0), "u", "")</f>
        <v/>
      </c>
      <c r="AU167" s="80" t="str">
        <f>IF(AND($F167&lt;&gt;"", $F167&gt;=AU$5-4, $F167&lt;=AU$5, COUNTIF($M167:AT167,"u")=0), "u", "")</f>
        <v/>
      </c>
      <c r="AV167" s="80" t="str">
        <f>IF(AND($F167&lt;&gt;"", $F167&gt;=AV$5-4, $F167&lt;=AV$5, COUNTIF($M167:AU167,"u")=0), "u", "")</f>
        <v/>
      </c>
      <c r="AW167" s="80" t="str">
        <f>IF(AND($F167&lt;&gt;"", $F167&gt;=AW$5-4, $F167&lt;=AW$5, COUNTIF($M167:AV167,"u")=0), "u", "")</f>
        <v/>
      </c>
      <c r="AX167" s="80" t="str">
        <f>IF(AND($F167&lt;&gt;"", $F167&gt;=AX$5-4, $F167&lt;=AX$5, COUNTIF($M167:AW167,"u")=0), "u", "")</f>
        <v/>
      </c>
      <c r="AY167" s="80" t="str">
        <f>IF(AND($F167&lt;&gt;"", $F167&gt;=AY$5-4, $F167&lt;=AY$5, COUNTIF($M167:AX167,"u")=0), "u", "")</f>
        <v/>
      </c>
      <c r="AZ167" s="80" t="str">
        <f>IF(AND($F167&lt;&gt;"", $F167&gt;=AZ$5-4, $F167&lt;=AZ$5, COUNTIF($M167:AY167,"u")=0), "u", "")</f>
        <v/>
      </c>
      <c r="BA167" s="80" t="str">
        <f>IF(AND($F167&lt;&gt;"", $F167&gt;=BA$5-4, $F167&lt;=BA$5, COUNTIF($M167:AZ167,"u")=0), "u", "")</f>
        <v/>
      </c>
      <c r="BB167" s="80" t="str">
        <f>IF(AND($F167&lt;&gt;"", $F167&gt;=BB$5-4, $F167&lt;=BB$5, COUNTIF($M167:BA167,"u")=0), "u", "")</f>
        <v/>
      </c>
      <c r="BC167" s="80" t="str">
        <f>IF(AND($F167&lt;&gt;"", $F167&gt;=BC$5-4, $F167&lt;=BC$5, COUNTIF($M167:BB167,"u")=0), "u", "")</f>
        <v/>
      </c>
      <c r="BD167" s="80" t="str">
        <f>IF(AND($F167&lt;&gt;"", $F167&gt;=BD$5-4, $F167&lt;=BD$5, COUNTIF($M167:BC167,"u")=0), "u", "")</f>
        <v/>
      </c>
      <c r="BE167" s="80" t="str">
        <f>IF(AND($F167&lt;&gt;"", $F167&gt;=BE$5-4, $F167&lt;=BE$5, COUNTIF($M167:BD167,"u")=0), "u", "")</f>
        <v/>
      </c>
      <c r="BF167" s="80" t="str">
        <f>IF(AND($F167&lt;&gt;"", $F167&gt;=BF$5-4, $F167&lt;=BF$5, COUNTIF($M167:BE167,"u")=0), "u", "")</f>
        <v/>
      </c>
      <c r="BG167" s="80" t="str">
        <f>IF(AND($F167&lt;&gt;"", $F167&gt;=BG$5-4, $F167&lt;=BG$5, COUNTIF($M167:BF167,"u")=0), "u", "")</f>
        <v/>
      </c>
      <c r="BH167" s="80" t="str">
        <f>IF(AND($F167&lt;&gt;"", $F167&gt;=BH$5-4, $F167&lt;=BH$5, COUNTIF($M167:BG167,"u")=0), "u", "")</f>
        <v/>
      </c>
      <c r="BI167" s="80" t="str">
        <f>IF(AND($F167&lt;&gt;"", $F167&gt;=BI$5-4, $F167&lt;=BI$5, COUNTIF($M167:BH167,"u")=0), "u", "")</f>
        <v/>
      </c>
      <c r="BJ167" s="80" t="str">
        <f>IF(AND($F167&lt;&gt;"", $F167&gt;=BJ$5-4, $F167&lt;=BJ$5, COUNTIF($M167:BI167,"u")=0), "u", "")</f>
        <v/>
      </c>
      <c r="BK167" s="80" t="str">
        <f>IF(AND($F167&lt;&gt;"", $F167&gt;=BK$5-4, $F167&lt;=BK$5, COUNTIF($M167:BJ167,"u")=0), "u", "")</f>
        <v/>
      </c>
      <c r="BL167" s="80" t="str">
        <f>IF(AND($F167&lt;&gt;"", $F167&gt;=BL$5-4, $F167&lt;=BL$5, COUNTIF($M167:BK167,"u")=0), "u", "")</f>
        <v/>
      </c>
      <c r="BM167" s="80" t="str">
        <f>IF(AND($F167&lt;&gt;"", $F167&gt;=BM$5-4, $F167&lt;=BM$5, COUNTIF($M167:BL167,"u")=0), "u", "")</f>
        <v/>
      </c>
      <c r="BN167" s="80" t="str">
        <f>IF(AND($F167&lt;&gt;"", $F167&gt;=BN$5-4, $F167&lt;=BN$5, COUNTIF($M167:BM167,"u")=0), "u", "")</f>
        <v/>
      </c>
      <c r="BO167" s="80" t="str">
        <f>IF(AND($F167&lt;&gt;"", $F167&gt;=BO$5-4, $F167&lt;=BO$5, COUNTIF($M167:BN167,"u")=0), "u", "")</f>
        <v/>
      </c>
      <c r="BP167" s="80" t="str">
        <f>IF(AND($F167&lt;&gt;"", $F167&gt;=BP$5-4, $F167&lt;=BP$5, COUNTIF($M167:BO167,"u")=0), "u", "")</f>
        <v/>
      </c>
      <c r="BQ167" s="80" t="str">
        <f>IF(AND($F167&lt;&gt;"", $F167&gt;=BQ$5-4, $F167&lt;=BQ$5, COUNTIF($M167:BP167,"u")=0), "u", "")</f>
        <v/>
      </c>
      <c r="BR167" s="80" t="str">
        <f>IF(AND($F167&lt;&gt;"", $F167&gt;=BR$5-4, $F167&lt;=BR$5, COUNTIF($M167:BQ167,"u")=0), "u", "")</f>
        <v/>
      </c>
      <c r="BS167" s="80" t="str">
        <f>IF(AND($F167&lt;&gt;"", $F167&gt;=BS$5-4, $F167&lt;=BS$5, COUNTIF($M167:BR167,"u")=0), "u", "")</f>
        <v/>
      </c>
      <c r="BT167" s="80" t="str">
        <f>IF(AND($F167&lt;&gt;"", $F167&gt;=BT$5-4, $F167&lt;=BT$5, COUNTIF($M167:BS167,"u")=0), "u", "")</f>
        <v/>
      </c>
      <c r="BU167" s="80" t="str">
        <f>IF(AND($F167&lt;&gt;"", $F167&gt;=BU$5-4, $F167&lt;=BU$5, COUNTIF($M167:BT167,"u")=0), "u", "")</f>
        <v/>
      </c>
      <c r="BV167" s="80" t="str">
        <f>IF(AND($F167&lt;&gt;"", $F167&gt;=BV$5-4, $F167&lt;=BV$5, COUNTIF($M167:BU167,"u")=0), "u", "")</f>
        <v/>
      </c>
      <c r="BW167" s="80" t="str">
        <f>IF(AND($F167&lt;&gt;"", $F167&gt;=BW$5-4, $F167&lt;=BW$5, COUNTIF($M167:BV167,"u")=0), "u", "")</f>
        <v/>
      </c>
      <c r="BX167" s="80" t="str">
        <f>IF(AND($F167&lt;&gt;"", $F167&gt;=BX$5-4, $F167&lt;=BX$5, COUNTIF($M167:BW167,"u")=0), "u", "")</f>
        <v/>
      </c>
      <c r="BY167" s="80" t="str">
        <f>IF(AND($F167&lt;&gt;"", $F167&gt;=BY$5-4, $F167&lt;=BY$5, COUNTIF($M167:BX167,"u")=0), "u", "")</f>
        <v/>
      </c>
      <c r="BZ167" s="80" t="str">
        <f>IF(AND($F167&lt;&gt;"", $F167&gt;=BZ$5-4, $F167&lt;=BZ$5, COUNTIF($M167:BY167,"u")=0), "u", "")</f>
        <v/>
      </c>
      <c r="CA167" s="80" t="str">
        <f>IF(AND($F167&lt;&gt;"", $F167&gt;=CA$5-4, $F167&lt;=CA$5, COUNTIF($M167:BZ167,"u")=0), "u", "")</f>
        <v/>
      </c>
      <c r="CB167" s="80" t="str">
        <f>IF(AND($F167&lt;&gt;"", $F167&gt;=CB$5-4, $F167&lt;=CB$5, COUNTIF($M167:CA167,"u")=0), "u", "")</f>
        <v/>
      </c>
      <c r="CC167" s="80" t="str">
        <f>IF(AND($F167&lt;&gt;"", $F167&gt;=CC$5-4, $F167&lt;=CC$5, COUNTIF($M167:CB167,"u")=0), "u", "")</f>
        <v/>
      </c>
      <c r="CD167" s="80" t="str">
        <f>IF(AND($F167&lt;&gt;"", $F167&gt;=CD$5-4, $F167&lt;=CD$5, COUNTIF($M167:CC167,"u")=0), "u", "")</f>
        <v/>
      </c>
      <c r="CE167" s="80" t="str">
        <f>IF(AND($F167&lt;&gt;"", $F167&gt;=CE$5-4, $F167&lt;=CE$5, COUNTIF($M167:CD167,"u")=0), "u", "")</f>
        <v/>
      </c>
      <c r="CF167" s="80" t="str">
        <f>IF(AND($F167&lt;&gt;"", $F167&gt;=CF$5-4, $F167&lt;=CF$5, COUNTIF($M167:CE167,"u")=0), "u", "")</f>
        <v/>
      </c>
      <c r="CG167" s="80" t="str">
        <f>IF(AND($F167&lt;&gt;"", $F167&gt;=CG$5-4, $F167&lt;=CG$5, COUNTIF($M167:CF167,"u")=0), "u", "")</f>
        <v/>
      </c>
      <c r="CH167" s="80" t="str">
        <f>IF(AND($F167&lt;&gt;"", $F167&gt;=CH$5-4, $F167&lt;=CH$5, COUNTIF($M167:CG167,"u")=0), "u", "")</f>
        <v/>
      </c>
      <c r="CI167" s="80" t="str">
        <f>IF(AND($F167&lt;&gt;"", $F167&gt;=CI$5-4, $F167&lt;=CI$5, COUNTIF($M167:CH167,"u")=0), "u", "")</f>
        <v/>
      </c>
      <c r="CJ167" s="80" t="str">
        <f>IF(AND($F167&lt;&gt;"", $F167&gt;=CJ$5-4, $F167&lt;=CJ$5, COUNTIF($M167:CI167,"u")=0), "u", "")</f>
        <v/>
      </c>
      <c r="CK167" s="80" t="str">
        <f>IF(AND($F167&lt;&gt;"", $F167&gt;=CK$5-4, $F167&lt;=CK$5, COUNTIF($M167:CJ167,"u")=0), "u", "")</f>
        <v/>
      </c>
      <c r="CL167" s="80" t="str">
        <f>IF(AND($F167&lt;&gt;"", $F167&gt;=CL$5-4, $F167&lt;=CL$5, COUNTIF($M167:CK167,"u")=0), "u", "")</f>
        <v/>
      </c>
      <c r="CM167" s="80" t="str">
        <f>IF(AND($F167&lt;&gt;"", $F167&gt;=CM$5-4, $F167&lt;=CM$5, COUNTIF($M167:CL167,"u")=0), "u", "")</f>
        <v/>
      </c>
      <c r="CN167" s="80" t="str">
        <f>IF(AND($F167&lt;&gt;"", $F167&gt;=CN$5-4, $F167&lt;=CN$5, COUNTIF($M167:CM167,"u")=0), "u", "")</f>
        <v/>
      </c>
      <c r="CO167" s="80" t="str">
        <f>IF(AND($F167&lt;&gt;"", $F167&gt;=CO$5-4, $F167&lt;=CO$5, COUNTIF($M167:CN167,"u")=0), "u", "")</f>
        <v/>
      </c>
      <c r="CP167" s="80" t="str">
        <f>IF(AND($F167&lt;&gt;"", $F167&gt;=CP$5-4, $F167&lt;=CP$5, COUNTIF($M167:CO167,"u")=0), "u", "")</f>
        <v/>
      </c>
      <c r="CQ167" s="80" t="str">
        <f>IF(AND($F167&lt;&gt;"", $F167&gt;=CQ$5-4, $F167&lt;=CQ$5, COUNTIF($M167:CP167,"u")=0), "u", "")</f>
        <v/>
      </c>
      <c r="CR167" s="80" t="str">
        <f>IF(AND($F167&lt;&gt;"", $F167&gt;=CR$5-4, $F167&lt;=CR$5, COUNTIF($M167:CQ167,"u")=0), "u", "")</f>
        <v/>
      </c>
      <c r="CS167" s="80" t="str">
        <f>IF(AND($F167&lt;&gt;"", $F167&gt;=CS$5-4, $F167&lt;=CS$5, COUNTIF($M167:CR167,"u")=0), "u", "")</f>
        <v/>
      </c>
      <c r="CT167" s="80" t="str">
        <f>IF(AND($F167&lt;&gt;"", $F167&gt;=CT$5-4, $F167&lt;=CT$5, COUNTIF($M167:CS167,"u")=0), "u", "")</f>
        <v/>
      </c>
      <c r="CU167" s="80" t="str">
        <f>IF(AND($F167&lt;&gt;"", $F167&gt;=CU$5-4, $F167&lt;=CU$5, COUNTIF($M167:CT167,"u")=0), "u", "")</f>
        <v/>
      </c>
      <c r="CV167" s="80" t="str">
        <f>IF(AND($F167&lt;&gt;"", $F167&gt;=CV$5-4, $F167&lt;=CV$5, COUNTIF($M167:CU167,"u")=0), "u", "")</f>
        <v/>
      </c>
      <c r="CW167" s="80" t="str">
        <f>IF(AND($F167&lt;&gt;"", $F167&gt;=CW$5-4, $F167&lt;=CW$5, COUNTIF($M167:CV167,"u")=0), "u", "")</f>
        <v/>
      </c>
      <c r="CX167" s="80" t="str">
        <f>IF(AND($F167&lt;&gt;"", $F167&gt;=CX$5-4, $F167&lt;=CX$5, COUNTIF($M167:CW167,"u")=0), "u", "")</f>
        <v/>
      </c>
      <c r="CY167" s="80" t="str">
        <f>IF(AND($F167&lt;&gt;"", $F167&gt;=CY$5-4, $F167&lt;=CY$5, COUNTIF($M167:CX167,"u")=0), "u", "")</f>
        <v/>
      </c>
      <c r="CZ167" s="80" t="str">
        <f>IF(AND($F167&lt;&gt;"", $F167&gt;=CZ$5-4, $F167&lt;=CZ$5, COUNTIF($M167:CY167,"u")=0), "u", "")</f>
        <v/>
      </c>
      <c r="DA167" s="80" t="str">
        <f>IF(AND($F167&lt;&gt;"", $F167&gt;=DA$5-4, $F167&lt;=DA$5, COUNTIF($M167:CZ167,"u")=0), "u", "")</f>
        <v/>
      </c>
      <c r="DB167" s="80" t="str">
        <f>IF(AND($F167&lt;&gt;"", $F167&gt;=DB$5-4, $F167&lt;=DB$5, COUNTIF($M167:DA167,"u")=0), "u", "")</f>
        <v/>
      </c>
      <c r="DC167" s="80" t="str">
        <f>IF(AND($F167&lt;&gt;"", $F167&gt;=DC$5-4, $F167&lt;=DC$5, COUNTIF($M167:DB167,"u")=0), "u", "")</f>
        <v/>
      </c>
      <c r="DD167" s="80" t="str">
        <f>IF(AND($F167&lt;&gt;"", $F167&gt;=DD$5-4, $F167&lt;=DD$5, COUNTIF($M167:DC167,"u")=0), "u", "")</f>
        <v/>
      </c>
      <c r="DE167" s="80" t="str">
        <f>IF(AND($F167&lt;&gt;"", $F167&gt;=DE$5-4, $F167&lt;=DE$5, COUNTIF($M167:DD167,"u")=0), "u", "")</f>
        <v/>
      </c>
      <c r="DF167" s="80" t="str">
        <f>IF(AND($F167&lt;&gt;"", $F167&gt;=DF$5-4, $F167&lt;=DF$5, COUNTIF($M167:DE167,"u")=0), "u", "")</f>
        <v/>
      </c>
      <c r="DG167" s="80" t="str">
        <f>IF(AND($F167&lt;&gt;"", $F167&gt;=DG$5-4, $F167&lt;=DG$5, COUNTIF($M167:DF167,"u")=0), "u", "")</f>
        <v/>
      </c>
      <c r="DH167" s="80" t="str">
        <f>IF(AND($F167&lt;&gt;"", $F167&gt;=DH$5-4, $F167&lt;=DH$5, COUNTIF($M167:DG167,"u")=0), "u", "")</f>
        <v/>
      </c>
      <c r="DI167" s="80" t="str">
        <f>IF(AND($F167&lt;&gt;"", $F167&gt;=DI$5-4, $F167&lt;=DI$5, COUNTIF($M167:DH167,"u")=0), "u", "")</f>
        <v/>
      </c>
      <c r="DJ167" s="80" t="str">
        <f>IF(AND($F167&lt;&gt;"", $F167&gt;=DJ$5-4, $F167&lt;=DJ$5, COUNTIF($M167:DI167,"u")=0), "u", "")</f>
        <v/>
      </c>
      <c r="DK167" s="80" t="str">
        <f>IF(AND($F167&lt;&gt;"", $F167&gt;=DK$5-4, $F167&lt;=DK$5, COUNTIF($M167:DJ167,"u")=0), "u", "")</f>
        <v/>
      </c>
      <c r="DL167" s="80" t="str">
        <f>IF(AND($F167&lt;&gt;"", $F167&gt;=DL$5-4, $F167&lt;=DL$5, COUNTIF($M167:DK167,"u")=0), "u", "")</f>
        <v/>
      </c>
    </row>
    <row r="168" spans="1:116" ht="25.05" customHeight="1" x14ac:dyDescent="0.3">
      <c r="A168" s="39"/>
      <c r="B168" s="75">
        <v>163</v>
      </c>
      <c r="C168" s="97"/>
      <c r="D168" s="92"/>
      <c r="E168" s="53"/>
      <c r="F168" s="53"/>
      <c r="G168" s="83" t="str">
        <f t="shared" si="53"/>
        <v/>
      </c>
      <c r="H168" s="83" t="str">
        <f t="shared" si="53"/>
        <v/>
      </c>
      <c r="I168" s="77" t="str">
        <f t="shared" si="51"/>
        <v/>
      </c>
      <c r="J168" s="78"/>
      <c r="K168" s="86"/>
      <c r="L168" s="56"/>
      <c r="M168" s="80" t="str">
        <f t="shared" si="52"/>
        <v/>
      </c>
      <c r="N168" s="80" t="str">
        <f>IF(AND($F168&lt;&gt;"", $F168&gt;=N$5-4, $F168&lt;=N$5, COUNTIF($M168:M168,"u")=0), "u", "")</f>
        <v/>
      </c>
      <c r="O168" s="80" t="str">
        <f>IF(AND($F168&lt;&gt;"", $F168&gt;=O$5-4, $F168&lt;=O$5, COUNTIF($M168:N168,"u")=0), "u", "")</f>
        <v/>
      </c>
      <c r="P168" s="80" t="str">
        <f>IF(AND($F168&lt;&gt;"", $F168&gt;=P$5-4, $F168&lt;=P$5, COUNTIF($M168:O168,"u")=0), "u", "")</f>
        <v/>
      </c>
      <c r="Q168" s="80" t="str">
        <f>IF(AND($F168&lt;&gt;"", $F168&gt;=Q$5-4, $F168&lt;=Q$5, COUNTIF($M168:P168,"u")=0), "u", "")</f>
        <v/>
      </c>
      <c r="R168" s="80" t="str">
        <f>IF(AND($F168&lt;&gt;"", $F168&gt;=R$5-4, $F168&lt;=R$5, COUNTIF($M168:Q168,"u")=0), "u", "")</f>
        <v/>
      </c>
      <c r="S168" s="80" t="str">
        <f>IF(AND($F168&lt;&gt;"", $F168&gt;=S$5-4, $F168&lt;=S$5, COUNTIF($M168:R168,"u")=0), "u", "")</f>
        <v/>
      </c>
      <c r="T168" s="80" t="str">
        <f>IF(AND($F168&lt;&gt;"", $F168&gt;=T$5-4, $F168&lt;=T$5, COUNTIF($M168:S168,"u")=0), "u", "")</f>
        <v/>
      </c>
      <c r="U168" s="80" t="str">
        <f>IF(AND($F168&lt;&gt;"", $F168&gt;=U$5-4, $F168&lt;=U$5, COUNTIF($M168:T168,"u")=0), "u", "")</f>
        <v/>
      </c>
      <c r="V168" s="80" t="str">
        <f>IF(AND($F168&lt;&gt;"", $F168&gt;=V$5-4, $F168&lt;=V$5, COUNTIF($M168:U168,"u")=0), "u", "")</f>
        <v/>
      </c>
      <c r="W168" s="80" t="str">
        <f>IF(AND($F168&lt;&gt;"", $F168&gt;=W$5-4, $F168&lt;=W$5, COUNTIF($M168:V168,"u")=0), "u", "")</f>
        <v/>
      </c>
      <c r="X168" s="80" t="str">
        <f>IF(AND($F168&lt;&gt;"", $F168&gt;=X$5-4, $F168&lt;=X$5, COUNTIF($M168:W168,"u")=0), "u", "")</f>
        <v/>
      </c>
      <c r="Y168" s="80" t="str">
        <f>IF(AND($F168&lt;&gt;"", $F168&gt;=Y$5-4, $F168&lt;=Y$5, COUNTIF($M168:X168,"u")=0), "u", "")</f>
        <v/>
      </c>
      <c r="Z168" s="80" t="str">
        <f>IF(AND($F168&lt;&gt;"", $F168&gt;=Z$5-4, $F168&lt;=Z$5, COUNTIF($M168:Y168,"u")=0), "u", "")</f>
        <v/>
      </c>
      <c r="AA168" s="80" t="str">
        <f>IF(AND($F168&lt;&gt;"", $F168&gt;=AA$5-4, $F168&lt;=AA$5, COUNTIF($M168:Z168,"u")=0), "u", "")</f>
        <v/>
      </c>
      <c r="AB168" s="80" t="str">
        <f>IF(AND($F168&lt;&gt;"", $F168&gt;=AB$5-4, $F168&lt;=AB$5, COUNTIF($M168:AA168,"u")=0), "u", "")</f>
        <v/>
      </c>
      <c r="AC168" s="80" t="str">
        <f>IF(AND($F168&lt;&gt;"", $F168&gt;=AC$5-4, $F168&lt;=AC$5, COUNTIF($M168:AB168,"u")=0), "u", "")</f>
        <v/>
      </c>
      <c r="AD168" s="80" t="str">
        <f>IF(AND($F168&lt;&gt;"", $F168&gt;=AD$5-4, $F168&lt;=AD$5, COUNTIF($M168:AC168,"u")=0), "u", "")</f>
        <v/>
      </c>
      <c r="AE168" s="80" t="str">
        <f>IF(AND($F168&lt;&gt;"", $F168&gt;=AE$5-4, $F168&lt;=AE$5, COUNTIF($M168:AD168,"u")=0), "u", "")</f>
        <v/>
      </c>
      <c r="AF168" s="80" t="str">
        <f>IF(AND($F168&lt;&gt;"", $F168&gt;=AF$5-4, $F168&lt;=AF$5, COUNTIF($M168:AE168,"u")=0), "u", "")</f>
        <v/>
      </c>
      <c r="AG168" s="80" t="str">
        <f>IF(AND($F168&lt;&gt;"", $F168&gt;=AG$5-4, $F168&lt;=AG$5, COUNTIF($M168:AF168,"u")=0), "u", "")</f>
        <v/>
      </c>
      <c r="AH168" s="80" t="str">
        <f>IF(AND($F168&lt;&gt;"", $F168&gt;=AH$5-4, $F168&lt;=AH$5, COUNTIF($M168:AG168,"u")=0), "u", "")</f>
        <v/>
      </c>
      <c r="AI168" s="80" t="str">
        <f>IF(AND($F168&lt;&gt;"", $F168&gt;=AI$5-4, $F168&lt;=AI$5, COUNTIF($M168:AH168,"u")=0), "u", "")</f>
        <v/>
      </c>
      <c r="AJ168" s="80" t="str">
        <f>IF(AND($F168&lt;&gt;"", $F168&gt;=AJ$5-4, $F168&lt;=AJ$5, COUNTIF($M168:AI168,"u")=0), "u", "")</f>
        <v/>
      </c>
      <c r="AK168" s="80" t="str">
        <f>IF(AND($F168&lt;&gt;"", $F168&gt;=AK$5-4, $F168&lt;=AK$5, COUNTIF($M168:AJ168,"u")=0), "u", "")</f>
        <v/>
      </c>
      <c r="AL168" s="80" t="str">
        <f>IF(AND($F168&lt;&gt;"", $F168&gt;=AL$5-4, $F168&lt;=AL$5, COUNTIF($M168:AK168,"u")=0), "u", "")</f>
        <v/>
      </c>
      <c r="AM168" s="80" t="str">
        <f>IF(AND($F168&lt;&gt;"", $F168&gt;=AM$5-4, $F168&lt;=AM$5, COUNTIF($M168:AL168,"u")=0), "u", "")</f>
        <v/>
      </c>
      <c r="AN168" s="80" t="str">
        <f>IF(AND($F168&lt;&gt;"", $F168&gt;=AN$5-4, $F168&lt;=AN$5, COUNTIF($M168:AM168,"u")=0), "u", "")</f>
        <v/>
      </c>
      <c r="AO168" s="80" t="str">
        <f>IF(AND($F168&lt;&gt;"", $F168&gt;=AO$5-4, $F168&lt;=AO$5, COUNTIF($M168:AN168,"u")=0), "u", "")</f>
        <v/>
      </c>
      <c r="AP168" s="80" t="str">
        <f>IF(AND($F168&lt;&gt;"", $F168&gt;=AP$5-4, $F168&lt;=AP$5, COUNTIF($M168:AO168,"u")=0), "u", "")</f>
        <v/>
      </c>
      <c r="AQ168" s="80" t="str">
        <f>IF(AND($F168&lt;&gt;"", $F168&gt;=AQ$5-4, $F168&lt;=AQ$5, COUNTIF($M168:AP168,"u")=0), "u", "")</f>
        <v/>
      </c>
      <c r="AR168" s="80" t="str">
        <f>IF(AND($F168&lt;&gt;"", $F168&gt;=AR$5-4, $F168&lt;=AR$5, COUNTIF($M168:AQ168,"u")=0), "u", "")</f>
        <v/>
      </c>
      <c r="AS168" s="80" t="str">
        <f>IF(AND($F168&lt;&gt;"", $F168&gt;=AS$5-4, $F168&lt;=AS$5, COUNTIF($M168:AR168,"u")=0), "u", "")</f>
        <v/>
      </c>
      <c r="AT168" s="80" t="str">
        <f>IF(AND($F168&lt;&gt;"", $F168&gt;=AT$5-4, $F168&lt;=AT$5, COUNTIF($M168:AS168,"u")=0), "u", "")</f>
        <v/>
      </c>
      <c r="AU168" s="80" t="str">
        <f>IF(AND($F168&lt;&gt;"", $F168&gt;=AU$5-4, $F168&lt;=AU$5, COUNTIF($M168:AT168,"u")=0), "u", "")</f>
        <v/>
      </c>
      <c r="AV168" s="80" t="str">
        <f>IF(AND($F168&lt;&gt;"", $F168&gt;=AV$5-4, $F168&lt;=AV$5, COUNTIF($M168:AU168,"u")=0), "u", "")</f>
        <v/>
      </c>
      <c r="AW168" s="80" t="str">
        <f>IF(AND($F168&lt;&gt;"", $F168&gt;=AW$5-4, $F168&lt;=AW$5, COUNTIF($M168:AV168,"u")=0), "u", "")</f>
        <v/>
      </c>
      <c r="AX168" s="80" t="str">
        <f>IF(AND($F168&lt;&gt;"", $F168&gt;=AX$5-4, $F168&lt;=AX$5, COUNTIF($M168:AW168,"u")=0), "u", "")</f>
        <v/>
      </c>
      <c r="AY168" s="80" t="str">
        <f>IF(AND($F168&lt;&gt;"", $F168&gt;=AY$5-4, $F168&lt;=AY$5, COUNTIF($M168:AX168,"u")=0), "u", "")</f>
        <v/>
      </c>
      <c r="AZ168" s="80" t="str">
        <f>IF(AND($F168&lt;&gt;"", $F168&gt;=AZ$5-4, $F168&lt;=AZ$5, COUNTIF($M168:AY168,"u")=0), "u", "")</f>
        <v/>
      </c>
      <c r="BA168" s="80" t="str">
        <f>IF(AND($F168&lt;&gt;"", $F168&gt;=BA$5-4, $F168&lt;=BA$5, COUNTIF($M168:AZ168,"u")=0), "u", "")</f>
        <v/>
      </c>
      <c r="BB168" s="80" t="str">
        <f>IF(AND($F168&lt;&gt;"", $F168&gt;=BB$5-4, $F168&lt;=BB$5, COUNTIF($M168:BA168,"u")=0), "u", "")</f>
        <v/>
      </c>
      <c r="BC168" s="80" t="str">
        <f>IF(AND($F168&lt;&gt;"", $F168&gt;=BC$5-4, $F168&lt;=BC$5, COUNTIF($M168:BB168,"u")=0), "u", "")</f>
        <v/>
      </c>
      <c r="BD168" s="80" t="str">
        <f>IF(AND($F168&lt;&gt;"", $F168&gt;=BD$5-4, $F168&lt;=BD$5, COUNTIF($M168:BC168,"u")=0), "u", "")</f>
        <v/>
      </c>
      <c r="BE168" s="80" t="str">
        <f>IF(AND($F168&lt;&gt;"", $F168&gt;=BE$5-4, $F168&lt;=BE$5, COUNTIF($M168:BD168,"u")=0), "u", "")</f>
        <v/>
      </c>
      <c r="BF168" s="80" t="str">
        <f>IF(AND($F168&lt;&gt;"", $F168&gt;=BF$5-4, $F168&lt;=BF$5, COUNTIF($M168:BE168,"u")=0), "u", "")</f>
        <v/>
      </c>
      <c r="BG168" s="80" t="str">
        <f>IF(AND($F168&lt;&gt;"", $F168&gt;=BG$5-4, $F168&lt;=BG$5, COUNTIF($M168:BF168,"u")=0), "u", "")</f>
        <v/>
      </c>
      <c r="BH168" s="80" t="str">
        <f>IF(AND($F168&lt;&gt;"", $F168&gt;=BH$5-4, $F168&lt;=BH$5, COUNTIF($M168:BG168,"u")=0), "u", "")</f>
        <v/>
      </c>
      <c r="BI168" s="80" t="str">
        <f>IF(AND($F168&lt;&gt;"", $F168&gt;=BI$5-4, $F168&lt;=BI$5, COUNTIF($M168:BH168,"u")=0), "u", "")</f>
        <v/>
      </c>
      <c r="BJ168" s="80" t="str">
        <f>IF(AND($F168&lt;&gt;"", $F168&gt;=BJ$5-4, $F168&lt;=BJ$5, COUNTIF($M168:BI168,"u")=0), "u", "")</f>
        <v/>
      </c>
      <c r="BK168" s="80" t="str">
        <f>IF(AND($F168&lt;&gt;"", $F168&gt;=BK$5-4, $F168&lt;=BK$5, COUNTIF($M168:BJ168,"u")=0), "u", "")</f>
        <v/>
      </c>
      <c r="BL168" s="80" t="str">
        <f>IF(AND($F168&lt;&gt;"", $F168&gt;=BL$5-4, $F168&lt;=BL$5, COUNTIF($M168:BK168,"u")=0), "u", "")</f>
        <v/>
      </c>
      <c r="BM168" s="80" t="str">
        <f>IF(AND($F168&lt;&gt;"", $F168&gt;=BM$5-4, $F168&lt;=BM$5, COUNTIF($M168:BL168,"u")=0), "u", "")</f>
        <v/>
      </c>
      <c r="BN168" s="80" t="str">
        <f>IF(AND($F168&lt;&gt;"", $F168&gt;=BN$5-4, $F168&lt;=BN$5, COUNTIF($M168:BM168,"u")=0), "u", "")</f>
        <v/>
      </c>
      <c r="BO168" s="80" t="str">
        <f>IF(AND($F168&lt;&gt;"", $F168&gt;=BO$5-4, $F168&lt;=BO$5, COUNTIF($M168:BN168,"u")=0), "u", "")</f>
        <v/>
      </c>
      <c r="BP168" s="80" t="str">
        <f>IF(AND($F168&lt;&gt;"", $F168&gt;=BP$5-4, $F168&lt;=BP$5, COUNTIF($M168:BO168,"u")=0), "u", "")</f>
        <v/>
      </c>
      <c r="BQ168" s="80" t="str">
        <f>IF(AND($F168&lt;&gt;"", $F168&gt;=BQ$5-4, $F168&lt;=BQ$5, COUNTIF($M168:BP168,"u")=0), "u", "")</f>
        <v/>
      </c>
      <c r="BR168" s="80" t="str">
        <f>IF(AND($F168&lt;&gt;"", $F168&gt;=BR$5-4, $F168&lt;=BR$5, COUNTIF($M168:BQ168,"u")=0), "u", "")</f>
        <v/>
      </c>
      <c r="BS168" s="80" t="str">
        <f>IF(AND($F168&lt;&gt;"", $F168&gt;=BS$5-4, $F168&lt;=BS$5, COUNTIF($M168:BR168,"u")=0), "u", "")</f>
        <v/>
      </c>
      <c r="BT168" s="80" t="str">
        <f>IF(AND($F168&lt;&gt;"", $F168&gt;=BT$5-4, $F168&lt;=BT$5, COUNTIF($M168:BS168,"u")=0), "u", "")</f>
        <v/>
      </c>
      <c r="BU168" s="80" t="str">
        <f>IF(AND($F168&lt;&gt;"", $F168&gt;=BU$5-4, $F168&lt;=BU$5, COUNTIF($M168:BT168,"u")=0), "u", "")</f>
        <v/>
      </c>
      <c r="BV168" s="80" t="str">
        <f>IF(AND($F168&lt;&gt;"", $F168&gt;=BV$5-4, $F168&lt;=BV$5, COUNTIF($M168:BU168,"u")=0), "u", "")</f>
        <v/>
      </c>
      <c r="BW168" s="80" t="str">
        <f>IF(AND($F168&lt;&gt;"", $F168&gt;=BW$5-4, $F168&lt;=BW$5, COUNTIF($M168:BV168,"u")=0), "u", "")</f>
        <v/>
      </c>
      <c r="BX168" s="80" t="str">
        <f>IF(AND($F168&lt;&gt;"", $F168&gt;=BX$5-4, $F168&lt;=BX$5, COUNTIF($M168:BW168,"u")=0), "u", "")</f>
        <v/>
      </c>
      <c r="BY168" s="80" t="str">
        <f>IF(AND($F168&lt;&gt;"", $F168&gt;=BY$5-4, $F168&lt;=BY$5, COUNTIF($M168:BX168,"u")=0), "u", "")</f>
        <v/>
      </c>
      <c r="BZ168" s="80" t="str">
        <f>IF(AND($F168&lt;&gt;"", $F168&gt;=BZ$5-4, $F168&lt;=BZ$5, COUNTIF($M168:BY168,"u")=0), "u", "")</f>
        <v/>
      </c>
      <c r="CA168" s="80" t="str">
        <f>IF(AND($F168&lt;&gt;"", $F168&gt;=CA$5-4, $F168&lt;=CA$5, COUNTIF($M168:BZ168,"u")=0), "u", "")</f>
        <v/>
      </c>
      <c r="CB168" s="80" t="str">
        <f>IF(AND($F168&lt;&gt;"", $F168&gt;=CB$5-4, $F168&lt;=CB$5, COUNTIF($M168:CA168,"u")=0), "u", "")</f>
        <v/>
      </c>
      <c r="CC168" s="80" t="str">
        <f>IF(AND($F168&lt;&gt;"", $F168&gt;=CC$5-4, $F168&lt;=CC$5, COUNTIF($M168:CB168,"u")=0), "u", "")</f>
        <v/>
      </c>
      <c r="CD168" s="80" t="str">
        <f>IF(AND($F168&lt;&gt;"", $F168&gt;=CD$5-4, $F168&lt;=CD$5, COUNTIF($M168:CC168,"u")=0), "u", "")</f>
        <v/>
      </c>
      <c r="CE168" s="80" t="str">
        <f>IF(AND($F168&lt;&gt;"", $F168&gt;=CE$5-4, $F168&lt;=CE$5, COUNTIF($M168:CD168,"u")=0), "u", "")</f>
        <v/>
      </c>
      <c r="CF168" s="80" t="str">
        <f>IF(AND($F168&lt;&gt;"", $F168&gt;=CF$5-4, $F168&lt;=CF$5, COUNTIF($M168:CE168,"u")=0), "u", "")</f>
        <v/>
      </c>
      <c r="CG168" s="80" t="str">
        <f>IF(AND($F168&lt;&gt;"", $F168&gt;=CG$5-4, $F168&lt;=CG$5, COUNTIF($M168:CF168,"u")=0), "u", "")</f>
        <v/>
      </c>
      <c r="CH168" s="80" t="str">
        <f>IF(AND($F168&lt;&gt;"", $F168&gt;=CH$5-4, $F168&lt;=CH$5, COUNTIF($M168:CG168,"u")=0), "u", "")</f>
        <v/>
      </c>
      <c r="CI168" s="80" t="str">
        <f>IF(AND($F168&lt;&gt;"", $F168&gt;=CI$5-4, $F168&lt;=CI$5, COUNTIF($M168:CH168,"u")=0), "u", "")</f>
        <v/>
      </c>
      <c r="CJ168" s="80" t="str">
        <f>IF(AND($F168&lt;&gt;"", $F168&gt;=CJ$5-4, $F168&lt;=CJ$5, COUNTIF($M168:CI168,"u")=0), "u", "")</f>
        <v/>
      </c>
      <c r="CK168" s="80" t="str">
        <f>IF(AND($F168&lt;&gt;"", $F168&gt;=CK$5-4, $F168&lt;=CK$5, COUNTIF($M168:CJ168,"u")=0), "u", "")</f>
        <v/>
      </c>
      <c r="CL168" s="80" t="str">
        <f>IF(AND($F168&lt;&gt;"", $F168&gt;=CL$5-4, $F168&lt;=CL$5, COUNTIF($M168:CK168,"u")=0), "u", "")</f>
        <v/>
      </c>
      <c r="CM168" s="80" t="str">
        <f>IF(AND($F168&lt;&gt;"", $F168&gt;=CM$5-4, $F168&lt;=CM$5, COUNTIF($M168:CL168,"u")=0), "u", "")</f>
        <v/>
      </c>
      <c r="CN168" s="80" t="str">
        <f>IF(AND($F168&lt;&gt;"", $F168&gt;=CN$5-4, $F168&lt;=CN$5, COUNTIF($M168:CM168,"u")=0), "u", "")</f>
        <v/>
      </c>
      <c r="CO168" s="80" t="str">
        <f>IF(AND($F168&lt;&gt;"", $F168&gt;=CO$5-4, $F168&lt;=CO$5, COUNTIF($M168:CN168,"u")=0), "u", "")</f>
        <v/>
      </c>
      <c r="CP168" s="80" t="str">
        <f>IF(AND($F168&lt;&gt;"", $F168&gt;=CP$5-4, $F168&lt;=CP$5, COUNTIF($M168:CO168,"u")=0), "u", "")</f>
        <v/>
      </c>
      <c r="CQ168" s="80" t="str">
        <f>IF(AND($F168&lt;&gt;"", $F168&gt;=CQ$5-4, $F168&lt;=CQ$5, COUNTIF($M168:CP168,"u")=0), "u", "")</f>
        <v/>
      </c>
      <c r="CR168" s="80" t="str">
        <f>IF(AND($F168&lt;&gt;"", $F168&gt;=CR$5-4, $F168&lt;=CR$5, COUNTIF($M168:CQ168,"u")=0), "u", "")</f>
        <v/>
      </c>
      <c r="CS168" s="80" t="str">
        <f>IF(AND($F168&lt;&gt;"", $F168&gt;=CS$5-4, $F168&lt;=CS$5, COUNTIF($M168:CR168,"u")=0), "u", "")</f>
        <v/>
      </c>
      <c r="CT168" s="80" t="str">
        <f>IF(AND($F168&lt;&gt;"", $F168&gt;=CT$5-4, $F168&lt;=CT$5, COUNTIF($M168:CS168,"u")=0), "u", "")</f>
        <v/>
      </c>
      <c r="CU168" s="80" t="str">
        <f>IF(AND($F168&lt;&gt;"", $F168&gt;=CU$5-4, $F168&lt;=CU$5, COUNTIF($M168:CT168,"u")=0), "u", "")</f>
        <v/>
      </c>
      <c r="CV168" s="80" t="str">
        <f>IF(AND($F168&lt;&gt;"", $F168&gt;=CV$5-4, $F168&lt;=CV$5, COUNTIF($M168:CU168,"u")=0), "u", "")</f>
        <v/>
      </c>
      <c r="CW168" s="80" t="str">
        <f>IF(AND($F168&lt;&gt;"", $F168&gt;=CW$5-4, $F168&lt;=CW$5, COUNTIF($M168:CV168,"u")=0), "u", "")</f>
        <v/>
      </c>
      <c r="CX168" s="80" t="str">
        <f>IF(AND($F168&lt;&gt;"", $F168&gt;=CX$5-4, $F168&lt;=CX$5, COUNTIF($M168:CW168,"u")=0), "u", "")</f>
        <v/>
      </c>
      <c r="CY168" s="80" t="str">
        <f>IF(AND($F168&lt;&gt;"", $F168&gt;=CY$5-4, $F168&lt;=CY$5, COUNTIF($M168:CX168,"u")=0), "u", "")</f>
        <v/>
      </c>
      <c r="CZ168" s="80" t="str">
        <f>IF(AND($F168&lt;&gt;"", $F168&gt;=CZ$5-4, $F168&lt;=CZ$5, COUNTIF($M168:CY168,"u")=0), "u", "")</f>
        <v/>
      </c>
      <c r="DA168" s="80" t="str">
        <f>IF(AND($F168&lt;&gt;"", $F168&gt;=DA$5-4, $F168&lt;=DA$5, COUNTIF($M168:CZ168,"u")=0), "u", "")</f>
        <v/>
      </c>
      <c r="DB168" s="80" t="str">
        <f>IF(AND($F168&lt;&gt;"", $F168&gt;=DB$5-4, $F168&lt;=DB$5, COUNTIF($M168:DA168,"u")=0), "u", "")</f>
        <v/>
      </c>
      <c r="DC168" s="80" t="str">
        <f>IF(AND($F168&lt;&gt;"", $F168&gt;=DC$5-4, $F168&lt;=DC$5, COUNTIF($M168:DB168,"u")=0), "u", "")</f>
        <v/>
      </c>
      <c r="DD168" s="80" t="str">
        <f>IF(AND($F168&lt;&gt;"", $F168&gt;=DD$5-4, $F168&lt;=DD$5, COUNTIF($M168:DC168,"u")=0), "u", "")</f>
        <v/>
      </c>
      <c r="DE168" s="80" t="str">
        <f>IF(AND($F168&lt;&gt;"", $F168&gt;=DE$5-4, $F168&lt;=DE$5, COUNTIF($M168:DD168,"u")=0), "u", "")</f>
        <v/>
      </c>
      <c r="DF168" s="80" t="str">
        <f>IF(AND($F168&lt;&gt;"", $F168&gt;=DF$5-4, $F168&lt;=DF$5, COUNTIF($M168:DE168,"u")=0), "u", "")</f>
        <v/>
      </c>
      <c r="DG168" s="80" t="str">
        <f>IF(AND($F168&lt;&gt;"", $F168&gt;=DG$5-4, $F168&lt;=DG$5, COUNTIF($M168:DF168,"u")=0), "u", "")</f>
        <v/>
      </c>
      <c r="DH168" s="80" t="str">
        <f>IF(AND($F168&lt;&gt;"", $F168&gt;=DH$5-4, $F168&lt;=DH$5, COUNTIF($M168:DG168,"u")=0), "u", "")</f>
        <v/>
      </c>
      <c r="DI168" s="80" t="str">
        <f>IF(AND($F168&lt;&gt;"", $F168&gt;=DI$5-4, $F168&lt;=DI$5, COUNTIF($M168:DH168,"u")=0), "u", "")</f>
        <v/>
      </c>
      <c r="DJ168" s="80" t="str">
        <f>IF(AND($F168&lt;&gt;"", $F168&gt;=DJ$5-4, $F168&lt;=DJ$5, COUNTIF($M168:DI168,"u")=0), "u", "")</f>
        <v/>
      </c>
      <c r="DK168" s="80" t="str">
        <f>IF(AND($F168&lt;&gt;"", $F168&gt;=DK$5-4, $F168&lt;=DK$5, COUNTIF($M168:DJ168,"u")=0), "u", "")</f>
        <v/>
      </c>
      <c r="DL168" s="80" t="str">
        <f>IF(AND($F168&lt;&gt;"", $F168&gt;=DL$5-4, $F168&lt;=DL$5, COUNTIF($M168:DK168,"u")=0), "u", "")</f>
        <v/>
      </c>
    </row>
    <row r="169" spans="1:116" ht="25.05" customHeight="1" x14ac:dyDescent="0.3">
      <c r="A169" s="39"/>
      <c r="B169" s="75">
        <v>164</v>
      </c>
      <c r="C169" s="97"/>
      <c r="D169" s="92"/>
      <c r="E169" s="53"/>
      <c r="F169" s="53"/>
      <c r="G169" s="83" t="str">
        <f t="shared" si="53"/>
        <v/>
      </c>
      <c r="H169" s="83" t="str">
        <f t="shared" si="53"/>
        <v/>
      </c>
      <c r="I169" s="77" t="str">
        <f t="shared" si="51"/>
        <v/>
      </c>
      <c r="J169" s="78"/>
      <c r="K169" s="86"/>
      <c r="L169" s="56"/>
      <c r="M169" s="80" t="str">
        <f t="shared" si="52"/>
        <v/>
      </c>
      <c r="N169" s="80" t="str">
        <f>IF(AND($F169&lt;&gt;"", $F169&gt;=N$5-4, $F169&lt;=N$5, COUNTIF($M169:M169,"u")=0), "u", "")</f>
        <v/>
      </c>
      <c r="O169" s="80" t="str">
        <f>IF(AND($F169&lt;&gt;"", $F169&gt;=O$5-4, $F169&lt;=O$5, COUNTIF($M169:N169,"u")=0), "u", "")</f>
        <v/>
      </c>
      <c r="P169" s="80" t="str">
        <f>IF(AND($F169&lt;&gt;"", $F169&gt;=P$5-4, $F169&lt;=P$5, COUNTIF($M169:O169,"u")=0), "u", "")</f>
        <v/>
      </c>
      <c r="Q169" s="80" t="str">
        <f>IF(AND($F169&lt;&gt;"", $F169&gt;=Q$5-4, $F169&lt;=Q$5, COUNTIF($M169:P169,"u")=0), "u", "")</f>
        <v/>
      </c>
      <c r="R169" s="80" t="str">
        <f>IF(AND($F169&lt;&gt;"", $F169&gt;=R$5-4, $F169&lt;=R$5, COUNTIF($M169:Q169,"u")=0), "u", "")</f>
        <v/>
      </c>
      <c r="S169" s="80" t="str">
        <f>IF(AND($F169&lt;&gt;"", $F169&gt;=S$5-4, $F169&lt;=S$5, COUNTIF($M169:R169,"u")=0), "u", "")</f>
        <v/>
      </c>
      <c r="T169" s="80" t="str">
        <f>IF(AND($F169&lt;&gt;"", $F169&gt;=T$5-4, $F169&lt;=T$5, COUNTIF($M169:S169,"u")=0), "u", "")</f>
        <v/>
      </c>
      <c r="U169" s="80" t="str">
        <f>IF(AND($F169&lt;&gt;"", $F169&gt;=U$5-4, $F169&lt;=U$5, COUNTIF($M169:T169,"u")=0), "u", "")</f>
        <v/>
      </c>
      <c r="V169" s="80" t="str">
        <f>IF(AND($F169&lt;&gt;"", $F169&gt;=V$5-4, $F169&lt;=V$5, COUNTIF($M169:U169,"u")=0), "u", "")</f>
        <v/>
      </c>
      <c r="W169" s="80" t="str">
        <f>IF(AND($F169&lt;&gt;"", $F169&gt;=W$5-4, $F169&lt;=W$5, COUNTIF($M169:V169,"u")=0), "u", "")</f>
        <v/>
      </c>
      <c r="X169" s="80" t="str">
        <f>IF(AND($F169&lt;&gt;"", $F169&gt;=X$5-4, $F169&lt;=X$5, COUNTIF($M169:W169,"u")=0), "u", "")</f>
        <v/>
      </c>
      <c r="Y169" s="80" t="str">
        <f>IF(AND($F169&lt;&gt;"", $F169&gt;=Y$5-4, $F169&lt;=Y$5, COUNTIF($M169:X169,"u")=0), "u", "")</f>
        <v/>
      </c>
      <c r="Z169" s="80" t="str">
        <f>IF(AND($F169&lt;&gt;"", $F169&gt;=Z$5-4, $F169&lt;=Z$5, COUNTIF($M169:Y169,"u")=0), "u", "")</f>
        <v/>
      </c>
      <c r="AA169" s="80" t="str">
        <f>IF(AND($F169&lt;&gt;"", $F169&gt;=AA$5-4, $F169&lt;=AA$5, COUNTIF($M169:Z169,"u")=0), "u", "")</f>
        <v/>
      </c>
      <c r="AB169" s="80" t="str">
        <f>IF(AND($F169&lt;&gt;"", $F169&gt;=AB$5-4, $F169&lt;=AB$5, COUNTIF($M169:AA169,"u")=0), "u", "")</f>
        <v/>
      </c>
      <c r="AC169" s="80" t="str">
        <f>IF(AND($F169&lt;&gt;"", $F169&gt;=AC$5-4, $F169&lt;=AC$5, COUNTIF($M169:AB169,"u")=0), "u", "")</f>
        <v/>
      </c>
      <c r="AD169" s="80" t="str">
        <f>IF(AND($F169&lt;&gt;"", $F169&gt;=AD$5-4, $F169&lt;=AD$5, COUNTIF($M169:AC169,"u")=0), "u", "")</f>
        <v/>
      </c>
      <c r="AE169" s="80" t="str">
        <f>IF(AND($F169&lt;&gt;"", $F169&gt;=AE$5-4, $F169&lt;=AE$5, COUNTIF($M169:AD169,"u")=0), "u", "")</f>
        <v/>
      </c>
      <c r="AF169" s="80" t="str">
        <f>IF(AND($F169&lt;&gt;"", $F169&gt;=AF$5-4, $F169&lt;=AF$5, COUNTIF($M169:AE169,"u")=0), "u", "")</f>
        <v/>
      </c>
      <c r="AG169" s="80" t="str">
        <f>IF(AND($F169&lt;&gt;"", $F169&gt;=AG$5-4, $F169&lt;=AG$5, COUNTIF($M169:AF169,"u")=0), "u", "")</f>
        <v/>
      </c>
      <c r="AH169" s="80" t="str">
        <f>IF(AND($F169&lt;&gt;"", $F169&gt;=AH$5-4, $F169&lt;=AH$5, COUNTIF($M169:AG169,"u")=0), "u", "")</f>
        <v/>
      </c>
      <c r="AI169" s="80" t="str">
        <f>IF(AND($F169&lt;&gt;"", $F169&gt;=AI$5-4, $F169&lt;=AI$5, COUNTIF($M169:AH169,"u")=0), "u", "")</f>
        <v/>
      </c>
      <c r="AJ169" s="80" t="str">
        <f>IF(AND($F169&lt;&gt;"", $F169&gt;=AJ$5-4, $F169&lt;=AJ$5, COUNTIF($M169:AI169,"u")=0), "u", "")</f>
        <v/>
      </c>
      <c r="AK169" s="80" t="str">
        <f>IF(AND($F169&lt;&gt;"", $F169&gt;=AK$5-4, $F169&lt;=AK$5, COUNTIF($M169:AJ169,"u")=0), "u", "")</f>
        <v/>
      </c>
      <c r="AL169" s="80" t="str">
        <f>IF(AND($F169&lt;&gt;"", $F169&gt;=AL$5-4, $F169&lt;=AL$5, COUNTIF($M169:AK169,"u")=0), "u", "")</f>
        <v/>
      </c>
      <c r="AM169" s="80" t="str">
        <f>IF(AND($F169&lt;&gt;"", $F169&gt;=AM$5-4, $F169&lt;=AM$5, COUNTIF($M169:AL169,"u")=0), "u", "")</f>
        <v/>
      </c>
      <c r="AN169" s="80" t="str">
        <f>IF(AND($F169&lt;&gt;"", $F169&gt;=AN$5-4, $F169&lt;=AN$5, COUNTIF($M169:AM169,"u")=0), "u", "")</f>
        <v/>
      </c>
      <c r="AO169" s="80" t="str">
        <f>IF(AND($F169&lt;&gt;"", $F169&gt;=AO$5-4, $F169&lt;=AO$5, COUNTIF($M169:AN169,"u")=0), "u", "")</f>
        <v/>
      </c>
      <c r="AP169" s="80" t="str">
        <f>IF(AND($F169&lt;&gt;"", $F169&gt;=AP$5-4, $F169&lt;=AP$5, COUNTIF($M169:AO169,"u")=0), "u", "")</f>
        <v/>
      </c>
      <c r="AQ169" s="80" t="str">
        <f>IF(AND($F169&lt;&gt;"", $F169&gt;=AQ$5-4, $F169&lt;=AQ$5, COUNTIF($M169:AP169,"u")=0), "u", "")</f>
        <v/>
      </c>
      <c r="AR169" s="80" t="str">
        <f>IF(AND($F169&lt;&gt;"", $F169&gt;=AR$5-4, $F169&lt;=AR$5, COUNTIF($M169:AQ169,"u")=0), "u", "")</f>
        <v/>
      </c>
      <c r="AS169" s="80" t="str">
        <f>IF(AND($F169&lt;&gt;"", $F169&gt;=AS$5-4, $F169&lt;=AS$5, COUNTIF($M169:AR169,"u")=0), "u", "")</f>
        <v/>
      </c>
      <c r="AT169" s="80" t="str">
        <f>IF(AND($F169&lt;&gt;"", $F169&gt;=AT$5-4, $F169&lt;=AT$5, COUNTIF($M169:AS169,"u")=0), "u", "")</f>
        <v/>
      </c>
      <c r="AU169" s="80" t="str">
        <f>IF(AND($F169&lt;&gt;"", $F169&gt;=AU$5-4, $F169&lt;=AU$5, COUNTIF($M169:AT169,"u")=0), "u", "")</f>
        <v/>
      </c>
      <c r="AV169" s="80" t="str">
        <f>IF(AND($F169&lt;&gt;"", $F169&gt;=AV$5-4, $F169&lt;=AV$5, COUNTIF($M169:AU169,"u")=0), "u", "")</f>
        <v/>
      </c>
      <c r="AW169" s="80" t="str">
        <f>IF(AND($F169&lt;&gt;"", $F169&gt;=AW$5-4, $F169&lt;=AW$5, COUNTIF($M169:AV169,"u")=0), "u", "")</f>
        <v/>
      </c>
      <c r="AX169" s="80" t="str">
        <f>IF(AND($F169&lt;&gt;"", $F169&gt;=AX$5-4, $F169&lt;=AX$5, COUNTIF($M169:AW169,"u")=0), "u", "")</f>
        <v/>
      </c>
      <c r="AY169" s="80" t="str">
        <f>IF(AND($F169&lt;&gt;"", $F169&gt;=AY$5-4, $F169&lt;=AY$5, COUNTIF($M169:AX169,"u")=0), "u", "")</f>
        <v/>
      </c>
      <c r="AZ169" s="80" t="str">
        <f>IF(AND($F169&lt;&gt;"", $F169&gt;=AZ$5-4, $F169&lt;=AZ$5, COUNTIF($M169:AY169,"u")=0), "u", "")</f>
        <v/>
      </c>
      <c r="BA169" s="80" t="str">
        <f>IF(AND($F169&lt;&gt;"", $F169&gt;=BA$5-4, $F169&lt;=BA$5, COUNTIF($M169:AZ169,"u")=0), "u", "")</f>
        <v/>
      </c>
      <c r="BB169" s="80" t="str">
        <f>IF(AND($F169&lt;&gt;"", $F169&gt;=BB$5-4, $F169&lt;=BB$5, COUNTIF($M169:BA169,"u")=0), "u", "")</f>
        <v/>
      </c>
      <c r="BC169" s="80" t="str">
        <f>IF(AND($F169&lt;&gt;"", $F169&gt;=BC$5-4, $F169&lt;=BC$5, COUNTIF($M169:BB169,"u")=0), "u", "")</f>
        <v/>
      </c>
      <c r="BD169" s="80" t="str">
        <f>IF(AND($F169&lt;&gt;"", $F169&gt;=BD$5-4, $F169&lt;=BD$5, COUNTIF($M169:BC169,"u")=0), "u", "")</f>
        <v/>
      </c>
      <c r="BE169" s="80" t="str">
        <f>IF(AND($F169&lt;&gt;"", $F169&gt;=BE$5-4, $F169&lt;=BE$5, COUNTIF($M169:BD169,"u")=0), "u", "")</f>
        <v/>
      </c>
      <c r="BF169" s="80" t="str">
        <f>IF(AND($F169&lt;&gt;"", $F169&gt;=BF$5-4, $F169&lt;=BF$5, COUNTIF($M169:BE169,"u")=0), "u", "")</f>
        <v/>
      </c>
      <c r="BG169" s="80" t="str">
        <f>IF(AND($F169&lt;&gt;"", $F169&gt;=BG$5-4, $F169&lt;=BG$5, COUNTIF($M169:BF169,"u")=0), "u", "")</f>
        <v/>
      </c>
      <c r="BH169" s="80" t="str">
        <f>IF(AND($F169&lt;&gt;"", $F169&gt;=BH$5-4, $F169&lt;=BH$5, COUNTIF($M169:BG169,"u")=0), "u", "")</f>
        <v/>
      </c>
      <c r="BI169" s="80" t="str">
        <f>IF(AND($F169&lt;&gt;"", $F169&gt;=BI$5-4, $F169&lt;=BI$5, COUNTIF($M169:BH169,"u")=0), "u", "")</f>
        <v/>
      </c>
      <c r="BJ169" s="80" t="str">
        <f>IF(AND($F169&lt;&gt;"", $F169&gt;=BJ$5-4, $F169&lt;=BJ$5, COUNTIF($M169:BI169,"u")=0), "u", "")</f>
        <v/>
      </c>
      <c r="BK169" s="80" t="str">
        <f>IF(AND($F169&lt;&gt;"", $F169&gt;=BK$5-4, $F169&lt;=BK$5, COUNTIF($M169:BJ169,"u")=0), "u", "")</f>
        <v/>
      </c>
      <c r="BL169" s="80" t="str">
        <f>IF(AND($F169&lt;&gt;"", $F169&gt;=BL$5-4, $F169&lt;=BL$5, COUNTIF($M169:BK169,"u")=0), "u", "")</f>
        <v/>
      </c>
      <c r="BM169" s="80" t="str">
        <f>IF(AND($F169&lt;&gt;"", $F169&gt;=BM$5-4, $F169&lt;=BM$5, COUNTIF($M169:BL169,"u")=0), "u", "")</f>
        <v/>
      </c>
      <c r="BN169" s="80" t="str">
        <f>IF(AND($F169&lt;&gt;"", $F169&gt;=BN$5-4, $F169&lt;=BN$5, COUNTIF($M169:BM169,"u")=0), "u", "")</f>
        <v/>
      </c>
      <c r="BO169" s="80" t="str">
        <f>IF(AND($F169&lt;&gt;"", $F169&gt;=BO$5-4, $F169&lt;=BO$5, COUNTIF($M169:BN169,"u")=0), "u", "")</f>
        <v/>
      </c>
      <c r="BP169" s="80" t="str">
        <f>IF(AND($F169&lt;&gt;"", $F169&gt;=BP$5-4, $F169&lt;=BP$5, COUNTIF($M169:BO169,"u")=0), "u", "")</f>
        <v/>
      </c>
      <c r="BQ169" s="80" t="str">
        <f>IF(AND($F169&lt;&gt;"", $F169&gt;=BQ$5-4, $F169&lt;=BQ$5, COUNTIF($M169:BP169,"u")=0), "u", "")</f>
        <v/>
      </c>
      <c r="BR169" s="80" t="str">
        <f>IF(AND($F169&lt;&gt;"", $F169&gt;=BR$5-4, $F169&lt;=BR$5, COUNTIF($M169:BQ169,"u")=0), "u", "")</f>
        <v/>
      </c>
      <c r="BS169" s="80" t="str">
        <f>IF(AND($F169&lt;&gt;"", $F169&gt;=BS$5-4, $F169&lt;=BS$5, COUNTIF($M169:BR169,"u")=0), "u", "")</f>
        <v/>
      </c>
      <c r="BT169" s="80" t="str">
        <f>IF(AND($F169&lt;&gt;"", $F169&gt;=BT$5-4, $F169&lt;=BT$5, COUNTIF($M169:BS169,"u")=0), "u", "")</f>
        <v/>
      </c>
      <c r="BU169" s="80" t="str">
        <f>IF(AND($F169&lt;&gt;"", $F169&gt;=BU$5-4, $F169&lt;=BU$5, COUNTIF($M169:BT169,"u")=0), "u", "")</f>
        <v/>
      </c>
      <c r="BV169" s="80" t="str">
        <f>IF(AND($F169&lt;&gt;"", $F169&gt;=BV$5-4, $F169&lt;=BV$5, COUNTIF($M169:BU169,"u")=0), "u", "")</f>
        <v/>
      </c>
      <c r="BW169" s="80" t="str">
        <f>IF(AND($F169&lt;&gt;"", $F169&gt;=BW$5-4, $F169&lt;=BW$5, COUNTIF($M169:BV169,"u")=0), "u", "")</f>
        <v/>
      </c>
      <c r="BX169" s="80" t="str">
        <f>IF(AND($F169&lt;&gt;"", $F169&gt;=BX$5-4, $F169&lt;=BX$5, COUNTIF($M169:BW169,"u")=0), "u", "")</f>
        <v/>
      </c>
      <c r="BY169" s="80" t="str">
        <f>IF(AND($F169&lt;&gt;"", $F169&gt;=BY$5-4, $F169&lt;=BY$5, COUNTIF($M169:BX169,"u")=0), "u", "")</f>
        <v/>
      </c>
      <c r="BZ169" s="80" t="str">
        <f>IF(AND($F169&lt;&gt;"", $F169&gt;=BZ$5-4, $F169&lt;=BZ$5, COUNTIF($M169:BY169,"u")=0), "u", "")</f>
        <v/>
      </c>
      <c r="CA169" s="80" t="str">
        <f>IF(AND($F169&lt;&gt;"", $F169&gt;=CA$5-4, $F169&lt;=CA$5, COUNTIF($M169:BZ169,"u")=0), "u", "")</f>
        <v/>
      </c>
      <c r="CB169" s="80" t="str">
        <f>IF(AND($F169&lt;&gt;"", $F169&gt;=CB$5-4, $F169&lt;=CB$5, COUNTIF($M169:CA169,"u")=0), "u", "")</f>
        <v/>
      </c>
      <c r="CC169" s="80" t="str">
        <f>IF(AND($F169&lt;&gt;"", $F169&gt;=CC$5-4, $F169&lt;=CC$5, COUNTIF($M169:CB169,"u")=0), "u", "")</f>
        <v/>
      </c>
      <c r="CD169" s="80" t="str">
        <f>IF(AND($F169&lt;&gt;"", $F169&gt;=CD$5-4, $F169&lt;=CD$5, COUNTIF($M169:CC169,"u")=0), "u", "")</f>
        <v/>
      </c>
      <c r="CE169" s="80" t="str">
        <f>IF(AND($F169&lt;&gt;"", $F169&gt;=CE$5-4, $F169&lt;=CE$5, COUNTIF($M169:CD169,"u")=0), "u", "")</f>
        <v/>
      </c>
      <c r="CF169" s="80" t="str">
        <f>IF(AND($F169&lt;&gt;"", $F169&gt;=CF$5-4, $F169&lt;=CF$5, COUNTIF($M169:CE169,"u")=0), "u", "")</f>
        <v/>
      </c>
      <c r="CG169" s="80" t="str">
        <f>IF(AND($F169&lt;&gt;"", $F169&gt;=CG$5-4, $F169&lt;=CG$5, COUNTIF($M169:CF169,"u")=0), "u", "")</f>
        <v/>
      </c>
      <c r="CH169" s="80" t="str">
        <f>IF(AND($F169&lt;&gt;"", $F169&gt;=CH$5-4, $F169&lt;=CH$5, COUNTIF($M169:CG169,"u")=0), "u", "")</f>
        <v/>
      </c>
      <c r="CI169" s="80" t="str">
        <f>IF(AND($F169&lt;&gt;"", $F169&gt;=CI$5-4, $F169&lt;=CI$5, COUNTIF($M169:CH169,"u")=0), "u", "")</f>
        <v/>
      </c>
      <c r="CJ169" s="80" t="str">
        <f>IF(AND($F169&lt;&gt;"", $F169&gt;=CJ$5-4, $F169&lt;=CJ$5, COUNTIF($M169:CI169,"u")=0), "u", "")</f>
        <v/>
      </c>
      <c r="CK169" s="80" t="str">
        <f>IF(AND($F169&lt;&gt;"", $F169&gt;=CK$5-4, $F169&lt;=CK$5, COUNTIF($M169:CJ169,"u")=0), "u", "")</f>
        <v/>
      </c>
      <c r="CL169" s="80" t="str">
        <f>IF(AND($F169&lt;&gt;"", $F169&gt;=CL$5-4, $F169&lt;=CL$5, COUNTIF($M169:CK169,"u")=0), "u", "")</f>
        <v/>
      </c>
      <c r="CM169" s="80" t="str">
        <f>IF(AND($F169&lt;&gt;"", $F169&gt;=CM$5-4, $F169&lt;=CM$5, COUNTIF($M169:CL169,"u")=0), "u", "")</f>
        <v/>
      </c>
      <c r="CN169" s="80" t="str">
        <f>IF(AND($F169&lt;&gt;"", $F169&gt;=CN$5-4, $F169&lt;=CN$5, COUNTIF($M169:CM169,"u")=0), "u", "")</f>
        <v/>
      </c>
      <c r="CO169" s="80" t="str">
        <f>IF(AND($F169&lt;&gt;"", $F169&gt;=CO$5-4, $F169&lt;=CO$5, COUNTIF($M169:CN169,"u")=0), "u", "")</f>
        <v/>
      </c>
      <c r="CP169" s="80" t="str">
        <f>IF(AND($F169&lt;&gt;"", $F169&gt;=CP$5-4, $F169&lt;=CP$5, COUNTIF($M169:CO169,"u")=0), "u", "")</f>
        <v/>
      </c>
      <c r="CQ169" s="80" t="str">
        <f>IF(AND($F169&lt;&gt;"", $F169&gt;=CQ$5-4, $F169&lt;=CQ$5, COUNTIF($M169:CP169,"u")=0), "u", "")</f>
        <v/>
      </c>
      <c r="CR169" s="80" t="str">
        <f>IF(AND($F169&lt;&gt;"", $F169&gt;=CR$5-4, $F169&lt;=CR$5, COUNTIF($M169:CQ169,"u")=0), "u", "")</f>
        <v/>
      </c>
      <c r="CS169" s="80" t="str">
        <f>IF(AND($F169&lt;&gt;"", $F169&gt;=CS$5-4, $F169&lt;=CS$5, COUNTIF($M169:CR169,"u")=0), "u", "")</f>
        <v/>
      </c>
      <c r="CT169" s="80" t="str">
        <f>IF(AND($F169&lt;&gt;"", $F169&gt;=CT$5-4, $F169&lt;=CT$5, COUNTIF($M169:CS169,"u")=0), "u", "")</f>
        <v/>
      </c>
      <c r="CU169" s="80" t="str">
        <f>IF(AND($F169&lt;&gt;"", $F169&gt;=CU$5-4, $F169&lt;=CU$5, COUNTIF($M169:CT169,"u")=0), "u", "")</f>
        <v/>
      </c>
      <c r="CV169" s="80" t="str">
        <f>IF(AND($F169&lt;&gt;"", $F169&gt;=CV$5-4, $F169&lt;=CV$5, COUNTIF($M169:CU169,"u")=0), "u", "")</f>
        <v/>
      </c>
      <c r="CW169" s="80" t="str">
        <f>IF(AND($F169&lt;&gt;"", $F169&gt;=CW$5-4, $F169&lt;=CW$5, COUNTIF($M169:CV169,"u")=0), "u", "")</f>
        <v/>
      </c>
      <c r="CX169" s="80" t="str">
        <f>IF(AND($F169&lt;&gt;"", $F169&gt;=CX$5-4, $F169&lt;=CX$5, COUNTIF($M169:CW169,"u")=0), "u", "")</f>
        <v/>
      </c>
      <c r="CY169" s="80" t="str">
        <f>IF(AND($F169&lt;&gt;"", $F169&gt;=CY$5-4, $F169&lt;=CY$5, COUNTIF($M169:CX169,"u")=0), "u", "")</f>
        <v/>
      </c>
      <c r="CZ169" s="80" t="str">
        <f>IF(AND($F169&lt;&gt;"", $F169&gt;=CZ$5-4, $F169&lt;=CZ$5, COUNTIF($M169:CY169,"u")=0), "u", "")</f>
        <v/>
      </c>
      <c r="DA169" s="80" t="str">
        <f>IF(AND($F169&lt;&gt;"", $F169&gt;=DA$5-4, $F169&lt;=DA$5, COUNTIF($M169:CZ169,"u")=0), "u", "")</f>
        <v/>
      </c>
      <c r="DB169" s="80" t="str">
        <f>IF(AND($F169&lt;&gt;"", $F169&gt;=DB$5-4, $F169&lt;=DB$5, COUNTIF($M169:DA169,"u")=0), "u", "")</f>
        <v/>
      </c>
      <c r="DC169" s="80" t="str">
        <f>IF(AND($F169&lt;&gt;"", $F169&gt;=DC$5-4, $F169&lt;=DC$5, COUNTIF($M169:DB169,"u")=0), "u", "")</f>
        <v/>
      </c>
      <c r="DD169" s="80" t="str">
        <f>IF(AND($F169&lt;&gt;"", $F169&gt;=DD$5-4, $F169&lt;=DD$5, COUNTIF($M169:DC169,"u")=0), "u", "")</f>
        <v/>
      </c>
      <c r="DE169" s="80" t="str">
        <f>IF(AND($F169&lt;&gt;"", $F169&gt;=DE$5-4, $F169&lt;=DE$5, COUNTIF($M169:DD169,"u")=0), "u", "")</f>
        <v/>
      </c>
      <c r="DF169" s="80" t="str">
        <f>IF(AND($F169&lt;&gt;"", $F169&gt;=DF$5-4, $F169&lt;=DF$5, COUNTIF($M169:DE169,"u")=0), "u", "")</f>
        <v/>
      </c>
      <c r="DG169" s="80" t="str">
        <f>IF(AND($F169&lt;&gt;"", $F169&gt;=DG$5-4, $F169&lt;=DG$5, COUNTIF($M169:DF169,"u")=0), "u", "")</f>
        <v/>
      </c>
      <c r="DH169" s="80" t="str">
        <f>IF(AND($F169&lt;&gt;"", $F169&gt;=DH$5-4, $F169&lt;=DH$5, COUNTIF($M169:DG169,"u")=0), "u", "")</f>
        <v/>
      </c>
      <c r="DI169" s="80" t="str">
        <f>IF(AND($F169&lt;&gt;"", $F169&gt;=DI$5-4, $F169&lt;=DI$5, COUNTIF($M169:DH169,"u")=0), "u", "")</f>
        <v/>
      </c>
      <c r="DJ169" s="80" t="str">
        <f>IF(AND($F169&lt;&gt;"", $F169&gt;=DJ$5-4, $F169&lt;=DJ$5, COUNTIF($M169:DI169,"u")=0), "u", "")</f>
        <v/>
      </c>
      <c r="DK169" s="80" t="str">
        <f>IF(AND($F169&lt;&gt;"", $F169&gt;=DK$5-4, $F169&lt;=DK$5, COUNTIF($M169:DJ169,"u")=0), "u", "")</f>
        <v/>
      </c>
      <c r="DL169" s="80" t="str">
        <f>IF(AND($F169&lt;&gt;"", $F169&gt;=DL$5-4, $F169&lt;=DL$5, COUNTIF($M169:DK169,"u")=0), "u", "")</f>
        <v/>
      </c>
    </row>
    <row r="170" spans="1:116" ht="25.05" customHeight="1" x14ac:dyDescent="0.3">
      <c r="A170" s="39"/>
      <c r="B170" s="75">
        <v>165</v>
      </c>
      <c r="C170" s="97"/>
      <c r="D170" s="92"/>
      <c r="E170" s="53"/>
      <c r="F170" s="53"/>
      <c r="G170" s="83" t="str">
        <f t="shared" si="53"/>
        <v/>
      </c>
      <c r="H170" s="83" t="str">
        <f t="shared" si="53"/>
        <v/>
      </c>
      <c r="I170" s="77" t="str">
        <f t="shared" si="51"/>
        <v/>
      </c>
      <c r="J170" s="78"/>
      <c r="K170" s="86"/>
      <c r="L170" s="56"/>
      <c r="M170" s="80" t="str">
        <f t="shared" si="52"/>
        <v/>
      </c>
      <c r="N170" s="80" t="str">
        <f>IF(AND($F170&lt;&gt;"", $F170&gt;=N$5-4, $F170&lt;=N$5, COUNTIF($M170:M170,"u")=0), "u", "")</f>
        <v/>
      </c>
      <c r="O170" s="80" t="str">
        <f>IF(AND($F170&lt;&gt;"", $F170&gt;=O$5-4, $F170&lt;=O$5, COUNTIF($M170:N170,"u")=0), "u", "")</f>
        <v/>
      </c>
      <c r="P170" s="80" t="str">
        <f>IF(AND($F170&lt;&gt;"", $F170&gt;=P$5-4, $F170&lt;=P$5, COUNTIF($M170:O170,"u")=0), "u", "")</f>
        <v/>
      </c>
      <c r="Q170" s="80" t="str">
        <f>IF(AND($F170&lt;&gt;"", $F170&gt;=Q$5-4, $F170&lt;=Q$5, COUNTIF($M170:P170,"u")=0), "u", "")</f>
        <v/>
      </c>
      <c r="R170" s="80" t="str">
        <f>IF(AND($F170&lt;&gt;"", $F170&gt;=R$5-4, $F170&lt;=R$5, COUNTIF($M170:Q170,"u")=0), "u", "")</f>
        <v/>
      </c>
      <c r="S170" s="80" t="str">
        <f>IF(AND($F170&lt;&gt;"", $F170&gt;=S$5-4, $F170&lt;=S$5, COUNTIF($M170:R170,"u")=0), "u", "")</f>
        <v/>
      </c>
      <c r="T170" s="80" t="str">
        <f>IF(AND($F170&lt;&gt;"", $F170&gt;=T$5-4, $F170&lt;=T$5, COUNTIF($M170:S170,"u")=0), "u", "")</f>
        <v/>
      </c>
      <c r="U170" s="80" t="str">
        <f>IF(AND($F170&lt;&gt;"", $F170&gt;=U$5-4, $F170&lt;=U$5, COUNTIF($M170:T170,"u")=0), "u", "")</f>
        <v/>
      </c>
      <c r="V170" s="80" t="str">
        <f>IF(AND($F170&lt;&gt;"", $F170&gt;=V$5-4, $F170&lt;=V$5, COUNTIF($M170:U170,"u")=0), "u", "")</f>
        <v/>
      </c>
      <c r="W170" s="80" t="str">
        <f>IF(AND($F170&lt;&gt;"", $F170&gt;=W$5-4, $F170&lt;=W$5, COUNTIF($M170:V170,"u")=0), "u", "")</f>
        <v/>
      </c>
      <c r="X170" s="80" t="str">
        <f>IF(AND($F170&lt;&gt;"", $F170&gt;=X$5-4, $F170&lt;=X$5, COUNTIF($M170:W170,"u")=0), "u", "")</f>
        <v/>
      </c>
      <c r="Y170" s="80" t="str">
        <f>IF(AND($F170&lt;&gt;"", $F170&gt;=Y$5-4, $F170&lt;=Y$5, COUNTIF($M170:X170,"u")=0), "u", "")</f>
        <v/>
      </c>
      <c r="Z170" s="80" t="str">
        <f>IF(AND($F170&lt;&gt;"", $F170&gt;=Z$5-4, $F170&lt;=Z$5, COUNTIF($M170:Y170,"u")=0), "u", "")</f>
        <v/>
      </c>
      <c r="AA170" s="80" t="str">
        <f>IF(AND($F170&lt;&gt;"", $F170&gt;=AA$5-4, $F170&lt;=AA$5, COUNTIF($M170:Z170,"u")=0), "u", "")</f>
        <v/>
      </c>
      <c r="AB170" s="80" t="str">
        <f>IF(AND($F170&lt;&gt;"", $F170&gt;=AB$5-4, $F170&lt;=AB$5, COUNTIF($M170:AA170,"u")=0), "u", "")</f>
        <v/>
      </c>
      <c r="AC170" s="80" t="str">
        <f>IF(AND($F170&lt;&gt;"", $F170&gt;=AC$5-4, $F170&lt;=AC$5, COUNTIF($M170:AB170,"u")=0), "u", "")</f>
        <v/>
      </c>
      <c r="AD170" s="80" t="str">
        <f>IF(AND($F170&lt;&gt;"", $F170&gt;=AD$5-4, $F170&lt;=AD$5, COUNTIF($M170:AC170,"u")=0), "u", "")</f>
        <v/>
      </c>
      <c r="AE170" s="80" t="str">
        <f>IF(AND($F170&lt;&gt;"", $F170&gt;=AE$5-4, $F170&lt;=AE$5, COUNTIF($M170:AD170,"u")=0), "u", "")</f>
        <v/>
      </c>
      <c r="AF170" s="80" t="str">
        <f>IF(AND($F170&lt;&gt;"", $F170&gt;=AF$5-4, $F170&lt;=AF$5, COUNTIF($M170:AE170,"u")=0), "u", "")</f>
        <v/>
      </c>
      <c r="AG170" s="80" t="str">
        <f>IF(AND($F170&lt;&gt;"", $F170&gt;=AG$5-4, $F170&lt;=AG$5, COUNTIF($M170:AF170,"u")=0), "u", "")</f>
        <v/>
      </c>
      <c r="AH170" s="80" t="str">
        <f>IF(AND($F170&lt;&gt;"", $F170&gt;=AH$5-4, $F170&lt;=AH$5, COUNTIF($M170:AG170,"u")=0), "u", "")</f>
        <v/>
      </c>
      <c r="AI170" s="80" t="str">
        <f>IF(AND($F170&lt;&gt;"", $F170&gt;=AI$5-4, $F170&lt;=AI$5, COUNTIF($M170:AH170,"u")=0), "u", "")</f>
        <v/>
      </c>
      <c r="AJ170" s="80" t="str">
        <f>IF(AND($F170&lt;&gt;"", $F170&gt;=AJ$5-4, $F170&lt;=AJ$5, COUNTIF($M170:AI170,"u")=0), "u", "")</f>
        <v/>
      </c>
      <c r="AK170" s="80" t="str">
        <f>IF(AND($F170&lt;&gt;"", $F170&gt;=AK$5-4, $F170&lt;=AK$5, COUNTIF($M170:AJ170,"u")=0), "u", "")</f>
        <v/>
      </c>
      <c r="AL170" s="80" t="str">
        <f>IF(AND($F170&lt;&gt;"", $F170&gt;=AL$5-4, $F170&lt;=AL$5, COUNTIF($M170:AK170,"u")=0), "u", "")</f>
        <v/>
      </c>
      <c r="AM170" s="80" t="str">
        <f>IF(AND($F170&lt;&gt;"", $F170&gt;=AM$5-4, $F170&lt;=AM$5, COUNTIF($M170:AL170,"u")=0), "u", "")</f>
        <v/>
      </c>
      <c r="AN170" s="80" t="str">
        <f>IF(AND($F170&lt;&gt;"", $F170&gt;=AN$5-4, $F170&lt;=AN$5, COUNTIF($M170:AM170,"u")=0), "u", "")</f>
        <v/>
      </c>
      <c r="AO170" s="80" t="str">
        <f>IF(AND($F170&lt;&gt;"", $F170&gt;=AO$5-4, $F170&lt;=AO$5, COUNTIF($M170:AN170,"u")=0), "u", "")</f>
        <v/>
      </c>
      <c r="AP170" s="80" t="str">
        <f>IF(AND($F170&lt;&gt;"", $F170&gt;=AP$5-4, $F170&lt;=AP$5, COUNTIF($M170:AO170,"u")=0), "u", "")</f>
        <v/>
      </c>
      <c r="AQ170" s="80" t="str">
        <f>IF(AND($F170&lt;&gt;"", $F170&gt;=AQ$5-4, $F170&lt;=AQ$5, COUNTIF($M170:AP170,"u")=0), "u", "")</f>
        <v/>
      </c>
      <c r="AR170" s="80" t="str">
        <f>IF(AND($F170&lt;&gt;"", $F170&gt;=AR$5-4, $F170&lt;=AR$5, COUNTIF($M170:AQ170,"u")=0), "u", "")</f>
        <v/>
      </c>
      <c r="AS170" s="80" t="str">
        <f>IF(AND($F170&lt;&gt;"", $F170&gt;=AS$5-4, $F170&lt;=AS$5, COUNTIF($M170:AR170,"u")=0), "u", "")</f>
        <v/>
      </c>
      <c r="AT170" s="80" t="str">
        <f>IF(AND($F170&lt;&gt;"", $F170&gt;=AT$5-4, $F170&lt;=AT$5, COUNTIF($M170:AS170,"u")=0), "u", "")</f>
        <v/>
      </c>
      <c r="AU170" s="80" t="str">
        <f>IF(AND($F170&lt;&gt;"", $F170&gt;=AU$5-4, $F170&lt;=AU$5, COUNTIF($M170:AT170,"u")=0), "u", "")</f>
        <v/>
      </c>
      <c r="AV170" s="80" t="str">
        <f>IF(AND($F170&lt;&gt;"", $F170&gt;=AV$5-4, $F170&lt;=AV$5, COUNTIF($M170:AU170,"u")=0), "u", "")</f>
        <v/>
      </c>
      <c r="AW170" s="80" t="str">
        <f>IF(AND($F170&lt;&gt;"", $F170&gt;=AW$5-4, $F170&lt;=AW$5, COUNTIF($M170:AV170,"u")=0), "u", "")</f>
        <v/>
      </c>
      <c r="AX170" s="80" t="str">
        <f>IF(AND($F170&lt;&gt;"", $F170&gt;=AX$5-4, $F170&lt;=AX$5, COUNTIF($M170:AW170,"u")=0), "u", "")</f>
        <v/>
      </c>
      <c r="AY170" s="80" t="str">
        <f>IF(AND($F170&lt;&gt;"", $F170&gt;=AY$5-4, $F170&lt;=AY$5, COUNTIF($M170:AX170,"u")=0), "u", "")</f>
        <v/>
      </c>
      <c r="AZ170" s="80" t="str">
        <f>IF(AND($F170&lt;&gt;"", $F170&gt;=AZ$5-4, $F170&lt;=AZ$5, COUNTIF($M170:AY170,"u")=0), "u", "")</f>
        <v/>
      </c>
      <c r="BA170" s="80" t="str">
        <f>IF(AND($F170&lt;&gt;"", $F170&gt;=BA$5-4, $F170&lt;=BA$5, COUNTIF($M170:AZ170,"u")=0), "u", "")</f>
        <v/>
      </c>
      <c r="BB170" s="80" t="str">
        <f>IF(AND($F170&lt;&gt;"", $F170&gt;=BB$5-4, $F170&lt;=BB$5, COUNTIF($M170:BA170,"u")=0), "u", "")</f>
        <v/>
      </c>
      <c r="BC170" s="80" t="str">
        <f>IF(AND($F170&lt;&gt;"", $F170&gt;=BC$5-4, $F170&lt;=BC$5, COUNTIF($M170:BB170,"u")=0), "u", "")</f>
        <v/>
      </c>
      <c r="BD170" s="80" t="str">
        <f>IF(AND($F170&lt;&gt;"", $F170&gt;=BD$5-4, $F170&lt;=BD$5, COUNTIF($M170:BC170,"u")=0), "u", "")</f>
        <v/>
      </c>
      <c r="BE170" s="80" t="str">
        <f>IF(AND($F170&lt;&gt;"", $F170&gt;=BE$5-4, $F170&lt;=BE$5, COUNTIF($M170:BD170,"u")=0), "u", "")</f>
        <v/>
      </c>
      <c r="BF170" s="80" t="str">
        <f>IF(AND($F170&lt;&gt;"", $F170&gt;=BF$5-4, $F170&lt;=BF$5, COUNTIF($M170:BE170,"u")=0), "u", "")</f>
        <v/>
      </c>
      <c r="BG170" s="80" t="str">
        <f>IF(AND($F170&lt;&gt;"", $F170&gt;=BG$5-4, $F170&lt;=BG$5, COUNTIF($M170:BF170,"u")=0), "u", "")</f>
        <v/>
      </c>
      <c r="BH170" s="80" t="str">
        <f>IF(AND($F170&lt;&gt;"", $F170&gt;=BH$5-4, $F170&lt;=BH$5, COUNTIF($M170:BG170,"u")=0), "u", "")</f>
        <v/>
      </c>
      <c r="BI170" s="80" t="str">
        <f>IF(AND($F170&lt;&gt;"", $F170&gt;=BI$5-4, $F170&lt;=BI$5, COUNTIF($M170:BH170,"u")=0), "u", "")</f>
        <v/>
      </c>
      <c r="BJ170" s="80" t="str">
        <f>IF(AND($F170&lt;&gt;"", $F170&gt;=BJ$5-4, $F170&lt;=BJ$5, COUNTIF($M170:BI170,"u")=0), "u", "")</f>
        <v/>
      </c>
      <c r="BK170" s="80" t="str">
        <f>IF(AND($F170&lt;&gt;"", $F170&gt;=BK$5-4, $F170&lt;=BK$5, COUNTIF($M170:BJ170,"u")=0), "u", "")</f>
        <v/>
      </c>
      <c r="BL170" s="80" t="str">
        <f>IF(AND($F170&lt;&gt;"", $F170&gt;=BL$5-4, $F170&lt;=BL$5, COUNTIF($M170:BK170,"u")=0), "u", "")</f>
        <v/>
      </c>
      <c r="BM170" s="80" t="str">
        <f>IF(AND($F170&lt;&gt;"", $F170&gt;=BM$5-4, $F170&lt;=BM$5, COUNTIF($M170:BL170,"u")=0), "u", "")</f>
        <v/>
      </c>
      <c r="BN170" s="80" t="str">
        <f>IF(AND($F170&lt;&gt;"", $F170&gt;=BN$5-4, $F170&lt;=BN$5, COUNTIF($M170:BM170,"u")=0), "u", "")</f>
        <v/>
      </c>
      <c r="BO170" s="80" t="str">
        <f>IF(AND($F170&lt;&gt;"", $F170&gt;=BO$5-4, $F170&lt;=BO$5, COUNTIF($M170:BN170,"u")=0), "u", "")</f>
        <v/>
      </c>
      <c r="BP170" s="80" t="str">
        <f>IF(AND($F170&lt;&gt;"", $F170&gt;=BP$5-4, $F170&lt;=BP$5, COUNTIF($M170:BO170,"u")=0), "u", "")</f>
        <v/>
      </c>
      <c r="BQ170" s="80" t="str">
        <f>IF(AND($F170&lt;&gt;"", $F170&gt;=BQ$5-4, $F170&lt;=BQ$5, COUNTIF($M170:BP170,"u")=0), "u", "")</f>
        <v/>
      </c>
      <c r="BR170" s="80" t="str">
        <f>IF(AND($F170&lt;&gt;"", $F170&gt;=BR$5-4, $F170&lt;=BR$5, COUNTIF($M170:BQ170,"u")=0), "u", "")</f>
        <v/>
      </c>
      <c r="BS170" s="80" t="str">
        <f>IF(AND($F170&lt;&gt;"", $F170&gt;=BS$5-4, $F170&lt;=BS$5, COUNTIF($M170:BR170,"u")=0), "u", "")</f>
        <v/>
      </c>
      <c r="BT170" s="80" t="str">
        <f>IF(AND($F170&lt;&gt;"", $F170&gt;=BT$5-4, $F170&lt;=BT$5, COUNTIF($M170:BS170,"u")=0), "u", "")</f>
        <v/>
      </c>
      <c r="BU170" s="80" t="str">
        <f>IF(AND($F170&lt;&gt;"", $F170&gt;=BU$5-4, $F170&lt;=BU$5, COUNTIF($M170:BT170,"u")=0), "u", "")</f>
        <v/>
      </c>
      <c r="BV170" s="80" t="str">
        <f>IF(AND($F170&lt;&gt;"", $F170&gt;=BV$5-4, $F170&lt;=BV$5, COUNTIF($M170:BU170,"u")=0), "u", "")</f>
        <v/>
      </c>
      <c r="BW170" s="80" t="str">
        <f>IF(AND($F170&lt;&gt;"", $F170&gt;=BW$5-4, $F170&lt;=BW$5, COUNTIF($M170:BV170,"u")=0), "u", "")</f>
        <v/>
      </c>
      <c r="BX170" s="80" t="str">
        <f>IF(AND($F170&lt;&gt;"", $F170&gt;=BX$5-4, $F170&lt;=BX$5, COUNTIF($M170:BW170,"u")=0), "u", "")</f>
        <v/>
      </c>
      <c r="BY170" s="80" t="str">
        <f>IF(AND($F170&lt;&gt;"", $F170&gt;=BY$5-4, $F170&lt;=BY$5, COUNTIF($M170:BX170,"u")=0), "u", "")</f>
        <v/>
      </c>
      <c r="BZ170" s="80" t="str">
        <f>IF(AND($F170&lt;&gt;"", $F170&gt;=BZ$5-4, $F170&lt;=BZ$5, COUNTIF($M170:BY170,"u")=0), "u", "")</f>
        <v/>
      </c>
      <c r="CA170" s="80" t="str">
        <f>IF(AND($F170&lt;&gt;"", $F170&gt;=CA$5-4, $F170&lt;=CA$5, COUNTIF($M170:BZ170,"u")=0), "u", "")</f>
        <v/>
      </c>
      <c r="CB170" s="80" t="str">
        <f>IF(AND($F170&lt;&gt;"", $F170&gt;=CB$5-4, $F170&lt;=CB$5, COUNTIF($M170:CA170,"u")=0), "u", "")</f>
        <v/>
      </c>
      <c r="CC170" s="80" t="str">
        <f>IF(AND($F170&lt;&gt;"", $F170&gt;=CC$5-4, $F170&lt;=CC$5, COUNTIF($M170:CB170,"u")=0), "u", "")</f>
        <v/>
      </c>
      <c r="CD170" s="80" t="str">
        <f>IF(AND($F170&lt;&gt;"", $F170&gt;=CD$5-4, $F170&lt;=CD$5, COUNTIF($M170:CC170,"u")=0), "u", "")</f>
        <v/>
      </c>
      <c r="CE170" s="80" t="str">
        <f>IF(AND($F170&lt;&gt;"", $F170&gt;=CE$5-4, $F170&lt;=CE$5, COUNTIF($M170:CD170,"u")=0), "u", "")</f>
        <v/>
      </c>
      <c r="CF170" s="80" t="str">
        <f>IF(AND($F170&lt;&gt;"", $F170&gt;=CF$5-4, $F170&lt;=CF$5, COUNTIF($M170:CE170,"u")=0), "u", "")</f>
        <v/>
      </c>
      <c r="CG170" s="80" t="str">
        <f>IF(AND($F170&lt;&gt;"", $F170&gt;=CG$5-4, $F170&lt;=CG$5, COUNTIF($M170:CF170,"u")=0), "u", "")</f>
        <v/>
      </c>
      <c r="CH170" s="80" t="str">
        <f>IF(AND($F170&lt;&gt;"", $F170&gt;=CH$5-4, $F170&lt;=CH$5, COUNTIF($M170:CG170,"u")=0), "u", "")</f>
        <v/>
      </c>
      <c r="CI170" s="80" t="str">
        <f>IF(AND($F170&lt;&gt;"", $F170&gt;=CI$5-4, $F170&lt;=CI$5, COUNTIF($M170:CH170,"u")=0), "u", "")</f>
        <v/>
      </c>
      <c r="CJ170" s="80" t="str">
        <f>IF(AND($F170&lt;&gt;"", $F170&gt;=CJ$5-4, $F170&lt;=CJ$5, COUNTIF($M170:CI170,"u")=0), "u", "")</f>
        <v/>
      </c>
      <c r="CK170" s="80" t="str">
        <f>IF(AND($F170&lt;&gt;"", $F170&gt;=CK$5-4, $F170&lt;=CK$5, COUNTIF($M170:CJ170,"u")=0), "u", "")</f>
        <v/>
      </c>
      <c r="CL170" s="80" t="str">
        <f>IF(AND($F170&lt;&gt;"", $F170&gt;=CL$5-4, $F170&lt;=CL$5, COUNTIF($M170:CK170,"u")=0), "u", "")</f>
        <v/>
      </c>
      <c r="CM170" s="80" t="str">
        <f>IF(AND($F170&lt;&gt;"", $F170&gt;=CM$5-4, $F170&lt;=CM$5, COUNTIF($M170:CL170,"u")=0), "u", "")</f>
        <v/>
      </c>
      <c r="CN170" s="80" t="str">
        <f>IF(AND($F170&lt;&gt;"", $F170&gt;=CN$5-4, $F170&lt;=CN$5, COUNTIF($M170:CM170,"u")=0), "u", "")</f>
        <v/>
      </c>
      <c r="CO170" s="80" t="str">
        <f>IF(AND($F170&lt;&gt;"", $F170&gt;=CO$5-4, $F170&lt;=CO$5, COUNTIF($M170:CN170,"u")=0), "u", "")</f>
        <v/>
      </c>
      <c r="CP170" s="80" t="str">
        <f>IF(AND($F170&lt;&gt;"", $F170&gt;=CP$5-4, $F170&lt;=CP$5, COUNTIF($M170:CO170,"u")=0), "u", "")</f>
        <v/>
      </c>
      <c r="CQ170" s="80" t="str">
        <f>IF(AND($F170&lt;&gt;"", $F170&gt;=CQ$5-4, $F170&lt;=CQ$5, COUNTIF($M170:CP170,"u")=0), "u", "")</f>
        <v/>
      </c>
      <c r="CR170" s="80" t="str">
        <f>IF(AND($F170&lt;&gt;"", $F170&gt;=CR$5-4, $F170&lt;=CR$5, COUNTIF($M170:CQ170,"u")=0), "u", "")</f>
        <v/>
      </c>
      <c r="CS170" s="80" t="str">
        <f>IF(AND($F170&lt;&gt;"", $F170&gt;=CS$5-4, $F170&lt;=CS$5, COUNTIF($M170:CR170,"u")=0), "u", "")</f>
        <v/>
      </c>
      <c r="CT170" s="80" t="str">
        <f>IF(AND($F170&lt;&gt;"", $F170&gt;=CT$5-4, $F170&lt;=CT$5, COUNTIF($M170:CS170,"u")=0), "u", "")</f>
        <v/>
      </c>
      <c r="CU170" s="80" t="str">
        <f>IF(AND($F170&lt;&gt;"", $F170&gt;=CU$5-4, $F170&lt;=CU$5, COUNTIF($M170:CT170,"u")=0), "u", "")</f>
        <v/>
      </c>
      <c r="CV170" s="80" t="str">
        <f>IF(AND($F170&lt;&gt;"", $F170&gt;=CV$5-4, $F170&lt;=CV$5, COUNTIF($M170:CU170,"u")=0), "u", "")</f>
        <v/>
      </c>
      <c r="CW170" s="80" t="str">
        <f>IF(AND($F170&lt;&gt;"", $F170&gt;=CW$5-4, $F170&lt;=CW$5, COUNTIF($M170:CV170,"u")=0), "u", "")</f>
        <v/>
      </c>
      <c r="CX170" s="80" t="str">
        <f>IF(AND($F170&lt;&gt;"", $F170&gt;=CX$5-4, $F170&lt;=CX$5, COUNTIF($M170:CW170,"u")=0), "u", "")</f>
        <v/>
      </c>
      <c r="CY170" s="80" t="str">
        <f>IF(AND($F170&lt;&gt;"", $F170&gt;=CY$5-4, $F170&lt;=CY$5, COUNTIF($M170:CX170,"u")=0), "u", "")</f>
        <v/>
      </c>
      <c r="CZ170" s="80" t="str">
        <f>IF(AND($F170&lt;&gt;"", $F170&gt;=CZ$5-4, $F170&lt;=CZ$5, COUNTIF($M170:CY170,"u")=0), "u", "")</f>
        <v/>
      </c>
      <c r="DA170" s="80" t="str">
        <f>IF(AND($F170&lt;&gt;"", $F170&gt;=DA$5-4, $F170&lt;=DA$5, COUNTIF($M170:CZ170,"u")=0), "u", "")</f>
        <v/>
      </c>
      <c r="DB170" s="80" t="str">
        <f>IF(AND($F170&lt;&gt;"", $F170&gt;=DB$5-4, $F170&lt;=DB$5, COUNTIF($M170:DA170,"u")=0), "u", "")</f>
        <v/>
      </c>
      <c r="DC170" s="80" t="str">
        <f>IF(AND($F170&lt;&gt;"", $F170&gt;=DC$5-4, $F170&lt;=DC$5, COUNTIF($M170:DB170,"u")=0), "u", "")</f>
        <v/>
      </c>
      <c r="DD170" s="80" t="str">
        <f>IF(AND($F170&lt;&gt;"", $F170&gt;=DD$5-4, $F170&lt;=DD$5, COUNTIF($M170:DC170,"u")=0), "u", "")</f>
        <v/>
      </c>
      <c r="DE170" s="80" t="str">
        <f>IF(AND($F170&lt;&gt;"", $F170&gt;=DE$5-4, $F170&lt;=DE$5, COUNTIF($M170:DD170,"u")=0), "u", "")</f>
        <v/>
      </c>
      <c r="DF170" s="80" t="str">
        <f>IF(AND($F170&lt;&gt;"", $F170&gt;=DF$5-4, $F170&lt;=DF$5, COUNTIF($M170:DE170,"u")=0), "u", "")</f>
        <v/>
      </c>
      <c r="DG170" s="80" t="str">
        <f>IF(AND($F170&lt;&gt;"", $F170&gt;=DG$5-4, $F170&lt;=DG$5, COUNTIF($M170:DF170,"u")=0), "u", "")</f>
        <v/>
      </c>
      <c r="DH170" s="80" t="str">
        <f>IF(AND($F170&lt;&gt;"", $F170&gt;=DH$5-4, $F170&lt;=DH$5, COUNTIF($M170:DG170,"u")=0), "u", "")</f>
        <v/>
      </c>
      <c r="DI170" s="80" t="str">
        <f>IF(AND($F170&lt;&gt;"", $F170&gt;=DI$5-4, $F170&lt;=DI$5, COUNTIF($M170:DH170,"u")=0), "u", "")</f>
        <v/>
      </c>
      <c r="DJ170" s="80" t="str">
        <f>IF(AND($F170&lt;&gt;"", $F170&gt;=DJ$5-4, $F170&lt;=DJ$5, COUNTIF($M170:DI170,"u")=0), "u", "")</f>
        <v/>
      </c>
      <c r="DK170" s="80" t="str">
        <f>IF(AND($F170&lt;&gt;"", $F170&gt;=DK$5-4, $F170&lt;=DK$5, COUNTIF($M170:DJ170,"u")=0), "u", "")</f>
        <v/>
      </c>
      <c r="DL170" s="80" t="str">
        <f>IF(AND($F170&lt;&gt;"", $F170&gt;=DL$5-4, $F170&lt;=DL$5, COUNTIF($M170:DK170,"u")=0), "u", "")</f>
        <v/>
      </c>
    </row>
    <row r="171" spans="1:116" ht="25.05" customHeight="1" x14ac:dyDescent="0.3">
      <c r="A171" s="39"/>
      <c r="B171" s="75">
        <v>166</v>
      </c>
      <c r="C171" s="97"/>
      <c r="D171" s="92"/>
      <c r="E171" s="53"/>
      <c r="F171" s="53"/>
      <c r="G171" s="83" t="str">
        <f t="shared" si="53"/>
        <v/>
      </c>
      <c r="H171" s="83" t="str">
        <f t="shared" si="53"/>
        <v/>
      </c>
      <c r="I171" s="77" t="str">
        <f t="shared" si="51"/>
        <v/>
      </c>
      <c r="J171" s="78"/>
      <c r="K171" s="86"/>
      <c r="L171" s="56"/>
      <c r="M171" s="80" t="str">
        <f t="shared" si="52"/>
        <v/>
      </c>
      <c r="N171" s="80" t="str">
        <f>IF(AND($F171&lt;&gt;"", $F171&gt;=N$5-4, $F171&lt;=N$5, COUNTIF($M171:M171,"u")=0), "u", "")</f>
        <v/>
      </c>
      <c r="O171" s="80" t="str">
        <f>IF(AND($F171&lt;&gt;"", $F171&gt;=O$5-4, $F171&lt;=O$5, COUNTIF($M171:N171,"u")=0), "u", "")</f>
        <v/>
      </c>
      <c r="P171" s="80" t="str">
        <f>IF(AND($F171&lt;&gt;"", $F171&gt;=P$5-4, $F171&lt;=P$5, COUNTIF($M171:O171,"u")=0), "u", "")</f>
        <v/>
      </c>
      <c r="Q171" s="80" t="str">
        <f>IF(AND($F171&lt;&gt;"", $F171&gt;=Q$5-4, $F171&lt;=Q$5, COUNTIF($M171:P171,"u")=0), "u", "")</f>
        <v/>
      </c>
      <c r="R171" s="80" t="str">
        <f>IF(AND($F171&lt;&gt;"", $F171&gt;=R$5-4, $F171&lt;=R$5, COUNTIF($M171:Q171,"u")=0), "u", "")</f>
        <v/>
      </c>
      <c r="S171" s="80" t="str">
        <f>IF(AND($F171&lt;&gt;"", $F171&gt;=S$5-4, $F171&lt;=S$5, COUNTIF($M171:R171,"u")=0), "u", "")</f>
        <v/>
      </c>
      <c r="T171" s="80" t="str">
        <f>IF(AND($F171&lt;&gt;"", $F171&gt;=T$5-4, $F171&lt;=T$5, COUNTIF($M171:S171,"u")=0), "u", "")</f>
        <v/>
      </c>
      <c r="U171" s="80" t="str">
        <f>IF(AND($F171&lt;&gt;"", $F171&gt;=U$5-4, $F171&lt;=U$5, COUNTIF($M171:T171,"u")=0), "u", "")</f>
        <v/>
      </c>
      <c r="V171" s="80" t="str">
        <f>IF(AND($F171&lt;&gt;"", $F171&gt;=V$5-4, $F171&lt;=V$5, COUNTIF($M171:U171,"u")=0), "u", "")</f>
        <v/>
      </c>
      <c r="W171" s="80" t="str">
        <f>IF(AND($F171&lt;&gt;"", $F171&gt;=W$5-4, $F171&lt;=W$5, COUNTIF($M171:V171,"u")=0), "u", "")</f>
        <v/>
      </c>
      <c r="X171" s="80" t="str">
        <f>IF(AND($F171&lt;&gt;"", $F171&gt;=X$5-4, $F171&lt;=X$5, COUNTIF($M171:W171,"u")=0), "u", "")</f>
        <v/>
      </c>
      <c r="Y171" s="80" t="str">
        <f>IF(AND($F171&lt;&gt;"", $F171&gt;=Y$5-4, $F171&lt;=Y$5, COUNTIF($M171:X171,"u")=0), "u", "")</f>
        <v/>
      </c>
      <c r="Z171" s="80" t="str">
        <f>IF(AND($F171&lt;&gt;"", $F171&gt;=Z$5-4, $F171&lt;=Z$5, COUNTIF($M171:Y171,"u")=0), "u", "")</f>
        <v/>
      </c>
      <c r="AA171" s="80" t="str">
        <f>IF(AND($F171&lt;&gt;"", $F171&gt;=AA$5-4, $F171&lt;=AA$5, COUNTIF($M171:Z171,"u")=0), "u", "")</f>
        <v/>
      </c>
      <c r="AB171" s="80" t="str">
        <f>IF(AND($F171&lt;&gt;"", $F171&gt;=AB$5-4, $F171&lt;=AB$5, COUNTIF($M171:AA171,"u")=0), "u", "")</f>
        <v/>
      </c>
      <c r="AC171" s="80" t="str">
        <f>IF(AND($F171&lt;&gt;"", $F171&gt;=AC$5-4, $F171&lt;=AC$5, COUNTIF($M171:AB171,"u")=0), "u", "")</f>
        <v/>
      </c>
      <c r="AD171" s="80" t="str">
        <f>IF(AND($F171&lt;&gt;"", $F171&gt;=AD$5-4, $F171&lt;=AD$5, COUNTIF($M171:AC171,"u")=0), "u", "")</f>
        <v/>
      </c>
      <c r="AE171" s="80" t="str">
        <f>IF(AND($F171&lt;&gt;"", $F171&gt;=AE$5-4, $F171&lt;=AE$5, COUNTIF($M171:AD171,"u")=0), "u", "")</f>
        <v/>
      </c>
      <c r="AF171" s="80" t="str">
        <f>IF(AND($F171&lt;&gt;"", $F171&gt;=AF$5-4, $F171&lt;=AF$5, COUNTIF($M171:AE171,"u")=0), "u", "")</f>
        <v/>
      </c>
      <c r="AG171" s="80" t="str">
        <f>IF(AND($F171&lt;&gt;"", $F171&gt;=AG$5-4, $F171&lt;=AG$5, COUNTIF($M171:AF171,"u")=0), "u", "")</f>
        <v/>
      </c>
      <c r="AH171" s="80" t="str">
        <f>IF(AND($F171&lt;&gt;"", $F171&gt;=AH$5-4, $F171&lt;=AH$5, COUNTIF($M171:AG171,"u")=0), "u", "")</f>
        <v/>
      </c>
      <c r="AI171" s="80" t="str">
        <f>IF(AND($F171&lt;&gt;"", $F171&gt;=AI$5-4, $F171&lt;=AI$5, COUNTIF($M171:AH171,"u")=0), "u", "")</f>
        <v/>
      </c>
      <c r="AJ171" s="80" t="str">
        <f>IF(AND($F171&lt;&gt;"", $F171&gt;=AJ$5-4, $F171&lt;=AJ$5, COUNTIF($M171:AI171,"u")=0), "u", "")</f>
        <v/>
      </c>
      <c r="AK171" s="80" t="str">
        <f>IF(AND($F171&lt;&gt;"", $F171&gt;=AK$5-4, $F171&lt;=AK$5, COUNTIF($M171:AJ171,"u")=0), "u", "")</f>
        <v/>
      </c>
      <c r="AL171" s="80" t="str">
        <f>IF(AND($F171&lt;&gt;"", $F171&gt;=AL$5-4, $F171&lt;=AL$5, COUNTIF($M171:AK171,"u")=0), "u", "")</f>
        <v/>
      </c>
      <c r="AM171" s="80" t="str">
        <f>IF(AND($F171&lt;&gt;"", $F171&gt;=AM$5-4, $F171&lt;=AM$5, COUNTIF($M171:AL171,"u")=0), "u", "")</f>
        <v/>
      </c>
      <c r="AN171" s="80" t="str">
        <f>IF(AND($F171&lt;&gt;"", $F171&gt;=AN$5-4, $F171&lt;=AN$5, COUNTIF($M171:AM171,"u")=0), "u", "")</f>
        <v/>
      </c>
      <c r="AO171" s="80" t="str">
        <f>IF(AND($F171&lt;&gt;"", $F171&gt;=AO$5-4, $F171&lt;=AO$5, COUNTIF($M171:AN171,"u")=0), "u", "")</f>
        <v/>
      </c>
      <c r="AP171" s="80" t="str">
        <f>IF(AND($F171&lt;&gt;"", $F171&gt;=AP$5-4, $F171&lt;=AP$5, COUNTIF($M171:AO171,"u")=0), "u", "")</f>
        <v/>
      </c>
      <c r="AQ171" s="80" t="str">
        <f>IF(AND($F171&lt;&gt;"", $F171&gt;=AQ$5-4, $F171&lt;=AQ$5, COUNTIF($M171:AP171,"u")=0), "u", "")</f>
        <v/>
      </c>
      <c r="AR171" s="80" t="str">
        <f>IF(AND($F171&lt;&gt;"", $F171&gt;=AR$5-4, $F171&lt;=AR$5, COUNTIF($M171:AQ171,"u")=0), "u", "")</f>
        <v/>
      </c>
      <c r="AS171" s="80" t="str">
        <f>IF(AND($F171&lt;&gt;"", $F171&gt;=AS$5-4, $F171&lt;=AS$5, COUNTIF($M171:AR171,"u")=0), "u", "")</f>
        <v/>
      </c>
      <c r="AT171" s="80" t="str">
        <f>IF(AND($F171&lt;&gt;"", $F171&gt;=AT$5-4, $F171&lt;=AT$5, COUNTIF($M171:AS171,"u")=0), "u", "")</f>
        <v/>
      </c>
      <c r="AU171" s="80" t="str">
        <f>IF(AND($F171&lt;&gt;"", $F171&gt;=AU$5-4, $F171&lt;=AU$5, COUNTIF($M171:AT171,"u")=0), "u", "")</f>
        <v/>
      </c>
      <c r="AV171" s="80" t="str">
        <f>IF(AND($F171&lt;&gt;"", $F171&gt;=AV$5-4, $F171&lt;=AV$5, COUNTIF($M171:AU171,"u")=0), "u", "")</f>
        <v/>
      </c>
      <c r="AW171" s="80" t="str">
        <f>IF(AND($F171&lt;&gt;"", $F171&gt;=AW$5-4, $F171&lt;=AW$5, COUNTIF($M171:AV171,"u")=0), "u", "")</f>
        <v/>
      </c>
      <c r="AX171" s="80" t="str">
        <f>IF(AND($F171&lt;&gt;"", $F171&gt;=AX$5-4, $F171&lt;=AX$5, COUNTIF($M171:AW171,"u")=0), "u", "")</f>
        <v/>
      </c>
      <c r="AY171" s="80" t="str">
        <f>IF(AND($F171&lt;&gt;"", $F171&gt;=AY$5-4, $F171&lt;=AY$5, COUNTIF($M171:AX171,"u")=0), "u", "")</f>
        <v/>
      </c>
      <c r="AZ171" s="80" t="str">
        <f>IF(AND($F171&lt;&gt;"", $F171&gt;=AZ$5-4, $F171&lt;=AZ$5, COUNTIF($M171:AY171,"u")=0), "u", "")</f>
        <v/>
      </c>
      <c r="BA171" s="80" t="str">
        <f>IF(AND($F171&lt;&gt;"", $F171&gt;=BA$5-4, $F171&lt;=BA$5, COUNTIF($M171:AZ171,"u")=0), "u", "")</f>
        <v/>
      </c>
      <c r="BB171" s="80" t="str">
        <f>IF(AND($F171&lt;&gt;"", $F171&gt;=BB$5-4, $F171&lt;=BB$5, COUNTIF($M171:BA171,"u")=0), "u", "")</f>
        <v/>
      </c>
      <c r="BC171" s="80" t="str">
        <f>IF(AND($F171&lt;&gt;"", $F171&gt;=BC$5-4, $F171&lt;=BC$5, COUNTIF($M171:BB171,"u")=0), "u", "")</f>
        <v/>
      </c>
      <c r="BD171" s="80" t="str">
        <f>IF(AND($F171&lt;&gt;"", $F171&gt;=BD$5-4, $F171&lt;=BD$5, COUNTIF($M171:BC171,"u")=0), "u", "")</f>
        <v/>
      </c>
      <c r="BE171" s="80" t="str">
        <f>IF(AND($F171&lt;&gt;"", $F171&gt;=BE$5-4, $F171&lt;=BE$5, COUNTIF($M171:BD171,"u")=0), "u", "")</f>
        <v/>
      </c>
      <c r="BF171" s="80" t="str">
        <f>IF(AND($F171&lt;&gt;"", $F171&gt;=BF$5-4, $F171&lt;=BF$5, COUNTIF($M171:BE171,"u")=0), "u", "")</f>
        <v/>
      </c>
      <c r="BG171" s="80" t="str">
        <f>IF(AND($F171&lt;&gt;"", $F171&gt;=BG$5-4, $F171&lt;=BG$5, COUNTIF($M171:BF171,"u")=0), "u", "")</f>
        <v/>
      </c>
      <c r="BH171" s="80" t="str">
        <f>IF(AND($F171&lt;&gt;"", $F171&gt;=BH$5-4, $F171&lt;=BH$5, COUNTIF($M171:BG171,"u")=0), "u", "")</f>
        <v/>
      </c>
      <c r="BI171" s="80" t="str">
        <f>IF(AND($F171&lt;&gt;"", $F171&gt;=BI$5-4, $F171&lt;=BI$5, COUNTIF($M171:BH171,"u")=0), "u", "")</f>
        <v/>
      </c>
      <c r="BJ171" s="80" t="str">
        <f>IF(AND($F171&lt;&gt;"", $F171&gt;=BJ$5-4, $F171&lt;=BJ$5, COUNTIF($M171:BI171,"u")=0), "u", "")</f>
        <v/>
      </c>
      <c r="BK171" s="80" t="str">
        <f>IF(AND($F171&lt;&gt;"", $F171&gt;=BK$5-4, $F171&lt;=BK$5, COUNTIF($M171:BJ171,"u")=0), "u", "")</f>
        <v/>
      </c>
      <c r="BL171" s="80" t="str">
        <f>IF(AND($F171&lt;&gt;"", $F171&gt;=BL$5-4, $F171&lt;=BL$5, COUNTIF($M171:BK171,"u")=0), "u", "")</f>
        <v/>
      </c>
      <c r="BM171" s="80" t="str">
        <f>IF(AND($F171&lt;&gt;"", $F171&gt;=BM$5-4, $F171&lt;=BM$5, COUNTIF($M171:BL171,"u")=0), "u", "")</f>
        <v/>
      </c>
      <c r="BN171" s="80" t="str">
        <f>IF(AND($F171&lt;&gt;"", $F171&gt;=BN$5-4, $F171&lt;=BN$5, COUNTIF($M171:BM171,"u")=0), "u", "")</f>
        <v/>
      </c>
      <c r="BO171" s="80" t="str">
        <f>IF(AND($F171&lt;&gt;"", $F171&gt;=BO$5-4, $F171&lt;=BO$5, COUNTIF($M171:BN171,"u")=0), "u", "")</f>
        <v/>
      </c>
      <c r="BP171" s="80" t="str">
        <f>IF(AND($F171&lt;&gt;"", $F171&gt;=BP$5-4, $F171&lt;=BP$5, COUNTIF($M171:BO171,"u")=0), "u", "")</f>
        <v/>
      </c>
      <c r="BQ171" s="80" t="str">
        <f>IF(AND($F171&lt;&gt;"", $F171&gt;=BQ$5-4, $F171&lt;=BQ$5, COUNTIF($M171:BP171,"u")=0), "u", "")</f>
        <v/>
      </c>
      <c r="BR171" s="80" t="str">
        <f>IF(AND($F171&lt;&gt;"", $F171&gt;=BR$5-4, $F171&lt;=BR$5, COUNTIF($M171:BQ171,"u")=0), "u", "")</f>
        <v/>
      </c>
      <c r="BS171" s="80" t="str">
        <f>IF(AND($F171&lt;&gt;"", $F171&gt;=BS$5-4, $F171&lt;=BS$5, COUNTIF($M171:BR171,"u")=0), "u", "")</f>
        <v/>
      </c>
      <c r="BT171" s="80" t="str">
        <f>IF(AND($F171&lt;&gt;"", $F171&gt;=BT$5-4, $F171&lt;=BT$5, COUNTIF($M171:BS171,"u")=0), "u", "")</f>
        <v/>
      </c>
      <c r="BU171" s="80" t="str">
        <f>IF(AND($F171&lt;&gt;"", $F171&gt;=BU$5-4, $F171&lt;=BU$5, COUNTIF($M171:BT171,"u")=0), "u", "")</f>
        <v/>
      </c>
      <c r="BV171" s="80" t="str">
        <f>IF(AND($F171&lt;&gt;"", $F171&gt;=BV$5-4, $F171&lt;=BV$5, COUNTIF($M171:BU171,"u")=0), "u", "")</f>
        <v/>
      </c>
      <c r="BW171" s="80" t="str">
        <f>IF(AND($F171&lt;&gt;"", $F171&gt;=BW$5-4, $F171&lt;=BW$5, COUNTIF($M171:BV171,"u")=0), "u", "")</f>
        <v/>
      </c>
      <c r="BX171" s="80" t="str">
        <f>IF(AND($F171&lt;&gt;"", $F171&gt;=BX$5-4, $F171&lt;=BX$5, COUNTIF($M171:BW171,"u")=0), "u", "")</f>
        <v/>
      </c>
      <c r="BY171" s="80" t="str">
        <f>IF(AND($F171&lt;&gt;"", $F171&gt;=BY$5-4, $F171&lt;=BY$5, COUNTIF($M171:BX171,"u")=0), "u", "")</f>
        <v/>
      </c>
      <c r="BZ171" s="80" t="str">
        <f>IF(AND($F171&lt;&gt;"", $F171&gt;=BZ$5-4, $F171&lt;=BZ$5, COUNTIF($M171:BY171,"u")=0), "u", "")</f>
        <v/>
      </c>
      <c r="CA171" s="80" t="str">
        <f>IF(AND($F171&lt;&gt;"", $F171&gt;=CA$5-4, $F171&lt;=CA$5, COUNTIF($M171:BZ171,"u")=0), "u", "")</f>
        <v/>
      </c>
      <c r="CB171" s="80" t="str">
        <f>IF(AND($F171&lt;&gt;"", $F171&gt;=CB$5-4, $F171&lt;=CB$5, COUNTIF($M171:CA171,"u")=0), "u", "")</f>
        <v/>
      </c>
      <c r="CC171" s="80" t="str">
        <f>IF(AND($F171&lt;&gt;"", $F171&gt;=CC$5-4, $F171&lt;=CC$5, COUNTIF($M171:CB171,"u")=0), "u", "")</f>
        <v/>
      </c>
      <c r="CD171" s="80" t="str">
        <f>IF(AND($F171&lt;&gt;"", $F171&gt;=CD$5-4, $F171&lt;=CD$5, COUNTIF($M171:CC171,"u")=0), "u", "")</f>
        <v/>
      </c>
      <c r="CE171" s="80" t="str">
        <f>IF(AND($F171&lt;&gt;"", $F171&gt;=CE$5-4, $F171&lt;=CE$5, COUNTIF($M171:CD171,"u")=0), "u", "")</f>
        <v/>
      </c>
      <c r="CF171" s="80" t="str">
        <f>IF(AND($F171&lt;&gt;"", $F171&gt;=CF$5-4, $F171&lt;=CF$5, COUNTIF($M171:CE171,"u")=0), "u", "")</f>
        <v/>
      </c>
      <c r="CG171" s="80" t="str">
        <f>IF(AND($F171&lt;&gt;"", $F171&gt;=CG$5-4, $F171&lt;=CG$5, COUNTIF($M171:CF171,"u")=0), "u", "")</f>
        <v/>
      </c>
      <c r="CH171" s="80" t="str">
        <f>IF(AND($F171&lt;&gt;"", $F171&gt;=CH$5-4, $F171&lt;=CH$5, COUNTIF($M171:CG171,"u")=0), "u", "")</f>
        <v/>
      </c>
      <c r="CI171" s="80" t="str">
        <f>IF(AND($F171&lt;&gt;"", $F171&gt;=CI$5-4, $F171&lt;=CI$5, COUNTIF($M171:CH171,"u")=0), "u", "")</f>
        <v/>
      </c>
      <c r="CJ171" s="80" t="str">
        <f>IF(AND($F171&lt;&gt;"", $F171&gt;=CJ$5-4, $F171&lt;=CJ$5, COUNTIF($M171:CI171,"u")=0), "u", "")</f>
        <v/>
      </c>
      <c r="CK171" s="80" t="str">
        <f>IF(AND($F171&lt;&gt;"", $F171&gt;=CK$5-4, $F171&lt;=CK$5, COUNTIF($M171:CJ171,"u")=0), "u", "")</f>
        <v/>
      </c>
      <c r="CL171" s="80" t="str">
        <f>IF(AND($F171&lt;&gt;"", $F171&gt;=CL$5-4, $F171&lt;=CL$5, COUNTIF($M171:CK171,"u")=0), "u", "")</f>
        <v/>
      </c>
      <c r="CM171" s="80" t="str">
        <f>IF(AND($F171&lt;&gt;"", $F171&gt;=CM$5-4, $F171&lt;=CM$5, COUNTIF($M171:CL171,"u")=0), "u", "")</f>
        <v/>
      </c>
      <c r="CN171" s="80" t="str">
        <f>IF(AND($F171&lt;&gt;"", $F171&gt;=CN$5-4, $F171&lt;=CN$5, COUNTIF($M171:CM171,"u")=0), "u", "")</f>
        <v/>
      </c>
      <c r="CO171" s="80" t="str">
        <f>IF(AND($F171&lt;&gt;"", $F171&gt;=CO$5-4, $F171&lt;=CO$5, COUNTIF($M171:CN171,"u")=0), "u", "")</f>
        <v/>
      </c>
      <c r="CP171" s="80" t="str">
        <f>IF(AND($F171&lt;&gt;"", $F171&gt;=CP$5-4, $F171&lt;=CP$5, COUNTIF($M171:CO171,"u")=0), "u", "")</f>
        <v/>
      </c>
      <c r="CQ171" s="80" t="str">
        <f>IF(AND($F171&lt;&gt;"", $F171&gt;=CQ$5-4, $F171&lt;=CQ$5, COUNTIF($M171:CP171,"u")=0), "u", "")</f>
        <v/>
      </c>
      <c r="CR171" s="80" t="str">
        <f>IF(AND($F171&lt;&gt;"", $F171&gt;=CR$5-4, $F171&lt;=CR$5, COUNTIF($M171:CQ171,"u")=0), "u", "")</f>
        <v/>
      </c>
      <c r="CS171" s="80" t="str">
        <f>IF(AND($F171&lt;&gt;"", $F171&gt;=CS$5-4, $F171&lt;=CS$5, COUNTIF($M171:CR171,"u")=0), "u", "")</f>
        <v/>
      </c>
      <c r="CT171" s="80" t="str">
        <f>IF(AND($F171&lt;&gt;"", $F171&gt;=CT$5-4, $F171&lt;=CT$5, COUNTIF($M171:CS171,"u")=0), "u", "")</f>
        <v/>
      </c>
      <c r="CU171" s="80" t="str">
        <f>IF(AND($F171&lt;&gt;"", $F171&gt;=CU$5-4, $F171&lt;=CU$5, COUNTIF($M171:CT171,"u")=0), "u", "")</f>
        <v/>
      </c>
      <c r="CV171" s="80" t="str">
        <f>IF(AND($F171&lt;&gt;"", $F171&gt;=CV$5-4, $F171&lt;=CV$5, COUNTIF($M171:CU171,"u")=0), "u", "")</f>
        <v/>
      </c>
      <c r="CW171" s="80" t="str">
        <f>IF(AND($F171&lt;&gt;"", $F171&gt;=CW$5-4, $F171&lt;=CW$5, COUNTIF($M171:CV171,"u")=0), "u", "")</f>
        <v/>
      </c>
      <c r="CX171" s="80" t="str">
        <f>IF(AND($F171&lt;&gt;"", $F171&gt;=CX$5-4, $F171&lt;=CX$5, COUNTIF($M171:CW171,"u")=0), "u", "")</f>
        <v/>
      </c>
      <c r="CY171" s="80" t="str">
        <f>IF(AND($F171&lt;&gt;"", $F171&gt;=CY$5-4, $F171&lt;=CY$5, COUNTIF($M171:CX171,"u")=0), "u", "")</f>
        <v/>
      </c>
      <c r="CZ171" s="80" t="str">
        <f>IF(AND($F171&lt;&gt;"", $F171&gt;=CZ$5-4, $F171&lt;=CZ$5, COUNTIF($M171:CY171,"u")=0), "u", "")</f>
        <v/>
      </c>
      <c r="DA171" s="80" t="str">
        <f>IF(AND($F171&lt;&gt;"", $F171&gt;=DA$5-4, $F171&lt;=DA$5, COUNTIF($M171:CZ171,"u")=0), "u", "")</f>
        <v/>
      </c>
      <c r="DB171" s="80" t="str">
        <f>IF(AND($F171&lt;&gt;"", $F171&gt;=DB$5-4, $F171&lt;=DB$5, COUNTIF($M171:DA171,"u")=0), "u", "")</f>
        <v/>
      </c>
      <c r="DC171" s="80" t="str">
        <f>IF(AND($F171&lt;&gt;"", $F171&gt;=DC$5-4, $F171&lt;=DC$5, COUNTIF($M171:DB171,"u")=0), "u", "")</f>
        <v/>
      </c>
      <c r="DD171" s="80" t="str">
        <f>IF(AND($F171&lt;&gt;"", $F171&gt;=DD$5-4, $F171&lt;=DD$5, COUNTIF($M171:DC171,"u")=0), "u", "")</f>
        <v/>
      </c>
      <c r="DE171" s="80" t="str">
        <f>IF(AND($F171&lt;&gt;"", $F171&gt;=DE$5-4, $F171&lt;=DE$5, COUNTIF($M171:DD171,"u")=0), "u", "")</f>
        <v/>
      </c>
      <c r="DF171" s="80" t="str">
        <f>IF(AND($F171&lt;&gt;"", $F171&gt;=DF$5-4, $F171&lt;=DF$5, COUNTIF($M171:DE171,"u")=0), "u", "")</f>
        <v/>
      </c>
      <c r="DG171" s="80" t="str">
        <f>IF(AND($F171&lt;&gt;"", $F171&gt;=DG$5-4, $F171&lt;=DG$5, COUNTIF($M171:DF171,"u")=0), "u", "")</f>
        <v/>
      </c>
      <c r="DH171" s="80" t="str">
        <f>IF(AND($F171&lt;&gt;"", $F171&gt;=DH$5-4, $F171&lt;=DH$5, COUNTIF($M171:DG171,"u")=0), "u", "")</f>
        <v/>
      </c>
      <c r="DI171" s="80" t="str">
        <f>IF(AND($F171&lt;&gt;"", $F171&gt;=DI$5-4, $F171&lt;=DI$5, COUNTIF($M171:DH171,"u")=0), "u", "")</f>
        <v/>
      </c>
      <c r="DJ171" s="80" t="str">
        <f>IF(AND($F171&lt;&gt;"", $F171&gt;=DJ$5-4, $F171&lt;=DJ$5, COUNTIF($M171:DI171,"u")=0), "u", "")</f>
        <v/>
      </c>
      <c r="DK171" s="80" t="str">
        <f>IF(AND($F171&lt;&gt;"", $F171&gt;=DK$5-4, $F171&lt;=DK$5, COUNTIF($M171:DJ171,"u")=0), "u", "")</f>
        <v/>
      </c>
      <c r="DL171" s="80" t="str">
        <f>IF(AND($F171&lt;&gt;"", $F171&gt;=DL$5-4, $F171&lt;=DL$5, COUNTIF($M171:DK171,"u")=0), "u", "")</f>
        <v/>
      </c>
    </row>
    <row r="172" spans="1:116" ht="25.05" customHeight="1" x14ac:dyDescent="0.3">
      <c r="A172" s="39"/>
      <c r="B172" s="75">
        <v>167</v>
      </c>
      <c r="C172" s="97"/>
      <c r="D172" s="92"/>
      <c r="E172" s="53"/>
      <c r="F172" s="53"/>
      <c r="G172" s="83" t="str">
        <f t="shared" si="53"/>
        <v/>
      </c>
      <c r="H172" s="83" t="str">
        <f t="shared" si="53"/>
        <v/>
      </c>
      <c r="I172" s="77" t="str">
        <f t="shared" si="51"/>
        <v/>
      </c>
      <c r="J172" s="78"/>
      <c r="K172" s="86"/>
      <c r="L172" s="56"/>
      <c r="M172" s="80" t="str">
        <f t="shared" si="52"/>
        <v/>
      </c>
      <c r="N172" s="80" t="str">
        <f>IF(AND($F172&lt;&gt;"", $F172&gt;=N$5-4, $F172&lt;=N$5, COUNTIF($M172:M172,"u")=0), "u", "")</f>
        <v/>
      </c>
      <c r="O172" s="80" t="str">
        <f>IF(AND($F172&lt;&gt;"", $F172&gt;=O$5-4, $F172&lt;=O$5, COUNTIF($M172:N172,"u")=0), "u", "")</f>
        <v/>
      </c>
      <c r="P172" s="80" t="str">
        <f>IF(AND($F172&lt;&gt;"", $F172&gt;=P$5-4, $F172&lt;=P$5, COUNTIF($M172:O172,"u")=0), "u", "")</f>
        <v/>
      </c>
      <c r="Q172" s="80" t="str">
        <f>IF(AND($F172&lt;&gt;"", $F172&gt;=Q$5-4, $F172&lt;=Q$5, COUNTIF($M172:P172,"u")=0), "u", "")</f>
        <v/>
      </c>
      <c r="R172" s="80" t="str">
        <f>IF(AND($F172&lt;&gt;"", $F172&gt;=R$5-4, $F172&lt;=R$5, COUNTIF($M172:Q172,"u")=0), "u", "")</f>
        <v/>
      </c>
      <c r="S172" s="80" t="str">
        <f>IF(AND($F172&lt;&gt;"", $F172&gt;=S$5-4, $F172&lt;=S$5, COUNTIF($M172:R172,"u")=0), "u", "")</f>
        <v/>
      </c>
      <c r="T172" s="80" t="str">
        <f>IF(AND($F172&lt;&gt;"", $F172&gt;=T$5-4, $F172&lt;=T$5, COUNTIF($M172:S172,"u")=0), "u", "")</f>
        <v/>
      </c>
      <c r="U172" s="80" t="str">
        <f>IF(AND($F172&lt;&gt;"", $F172&gt;=U$5-4, $F172&lt;=U$5, COUNTIF($M172:T172,"u")=0), "u", "")</f>
        <v/>
      </c>
      <c r="V172" s="80" t="str">
        <f>IF(AND($F172&lt;&gt;"", $F172&gt;=V$5-4, $F172&lt;=V$5, COUNTIF($M172:U172,"u")=0), "u", "")</f>
        <v/>
      </c>
      <c r="W172" s="80" t="str">
        <f>IF(AND($F172&lt;&gt;"", $F172&gt;=W$5-4, $F172&lt;=W$5, COUNTIF($M172:V172,"u")=0), "u", "")</f>
        <v/>
      </c>
      <c r="X172" s="80" t="str">
        <f>IF(AND($F172&lt;&gt;"", $F172&gt;=X$5-4, $F172&lt;=X$5, COUNTIF($M172:W172,"u")=0), "u", "")</f>
        <v/>
      </c>
      <c r="Y172" s="80" t="str">
        <f>IF(AND($F172&lt;&gt;"", $F172&gt;=Y$5-4, $F172&lt;=Y$5, COUNTIF($M172:X172,"u")=0), "u", "")</f>
        <v/>
      </c>
      <c r="Z172" s="80" t="str">
        <f>IF(AND($F172&lt;&gt;"", $F172&gt;=Z$5-4, $F172&lt;=Z$5, COUNTIF($M172:Y172,"u")=0), "u", "")</f>
        <v/>
      </c>
      <c r="AA172" s="80" t="str">
        <f>IF(AND($F172&lt;&gt;"", $F172&gt;=AA$5-4, $F172&lt;=AA$5, COUNTIF($M172:Z172,"u")=0), "u", "")</f>
        <v/>
      </c>
      <c r="AB172" s="80" t="str">
        <f>IF(AND($F172&lt;&gt;"", $F172&gt;=AB$5-4, $F172&lt;=AB$5, COUNTIF($M172:AA172,"u")=0), "u", "")</f>
        <v/>
      </c>
      <c r="AC172" s="80" t="str">
        <f>IF(AND($F172&lt;&gt;"", $F172&gt;=AC$5-4, $F172&lt;=AC$5, COUNTIF($M172:AB172,"u")=0), "u", "")</f>
        <v/>
      </c>
      <c r="AD172" s="80" t="str">
        <f>IF(AND($F172&lt;&gt;"", $F172&gt;=AD$5-4, $F172&lt;=AD$5, COUNTIF($M172:AC172,"u")=0), "u", "")</f>
        <v/>
      </c>
      <c r="AE172" s="80" t="str">
        <f>IF(AND($F172&lt;&gt;"", $F172&gt;=AE$5-4, $F172&lt;=AE$5, COUNTIF($M172:AD172,"u")=0), "u", "")</f>
        <v/>
      </c>
      <c r="AF172" s="80" t="str">
        <f>IF(AND($F172&lt;&gt;"", $F172&gt;=AF$5-4, $F172&lt;=AF$5, COUNTIF($M172:AE172,"u")=0), "u", "")</f>
        <v/>
      </c>
      <c r="AG172" s="80" t="str">
        <f>IF(AND($F172&lt;&gt;"", $F172&gt;=AG$5-4, $F172&lt;=AG$5, COUNTIF($M172:AF172,"u")=0), "u", "")</f>
        <v/>
      </c>
      <c r="AH172" s="80" t="str">
        <f>IF(AND($F172&lt;&gt;"", $F172&gt;=AH$5-4, $F172&lt;=AH$5, COUNTIF($M172:AG172,"u")=0), "u", "")</f>
        <v/>
      </c>
      <c r="AI172" s="80" t="str">
        <f>IF(AND($F172&lt;&gt;"", $F172&gt;=AI$5-4, $F172&lt;=AI$5, COUNTIF($M172:AH172,"u")=0), "u", "")</f>
        <v/>
      </c>
      <c r="AJ172" s="80" t="str">
        <f>IF(AND($F172&lt;&gt;"", $F172&gt;=AJ$5-4, $F172&lt;=AJ$5, COUNTIF($M172:AI172,"u")=0), "u", "")</f>
        <v/>
      </c>
      <c r="AK172" s="80" t="str">
        <f>IF(AND($F172&lt;&gt;"", $F172&gt;=AK$5-4, $F172&lt;=AK$5, COUNTIF($M172:AJ172,"u")=0), "u", "")</f>
        <v/>
      </c>
      <c r="AL172" s="80" t="str">
        <f>IF(AND($F172&lt;&gt;"", $F172&gt;=AL$5-4, $F172&lt;=AL$5, COUNTIF($M172:AK172,"u")=0), "u", "")</f>
        <v/>
      </c>
      <c r="AM172" s="80" t="str">
        <f>IF(AND($F172&lt;&gt;"", $F172&gt;=AM$5-4, $F172&lt;=AM$5, COUNTIF($M172:AL172,"u")=0), "u", "")</f>
        <v/>
      </c>
      <c r="AN172" s="80" t="str">
        <f>IF(AND($F172&lt;&gt;"", $F172&gt;=AN$5-4, $F172&lt;=AN$5, COUNTIF($M172:AM172,"u")=0), "u", "")</f>
        <v/>
      </c>
      <c r="AO172" s="80" t="str">
        <f>IF(AND($F172&lt;&gt;"", $F172&gt;=AO$5-4, $F172&lt;=AO$5, COUNTIF($M172:AN172,"u")=0), "u", "")</f>
        <v/>
      </c>
      <c r="AP172" s="80" t="str">
        <f>IF(AND($F172&lt;&gt;"", $F172&gt;=AP$5-4, $F172&lt;=AP$5, COUNTIF($M172:AO172,"u")=0), "u", "")</f>
        <v/>
      </c>
      <c r="AQ172" s="80" t="str">
        <f>IF(AND($F172&lt;&gt;"", $F172&gt;=AQ$5-4, $F172&lt;=AQ$5, COUNTIF($M172:AP172,"u")=0), "u", "")</f>
        <v/>
      </c>
      <c r="AR172" s="80" t="str">
        <f>IF(AND($F172&lt;&gt;"", $F172&gt;=AR$5-4, $F172&lt;=AR$5, COUNTIF($M172:AQ172,"u")=0), "u", "")</f>
        <v/>
      </c>
      <c r="AS172" s="80" t="str">
        <f>IF(AND($F172&lt;&gt;"", $F172&gt;=AS$5-4, $F172&lt;=AS$5, COUNTIF($M172:AR172,"u")=0), "u", "")</f>
        <v/>
      </c>
      <c r="AT172" s="80" t="str">
        <f>IF(AND($F172&lt;&gt;"", $F172&gt;=AT$5-4, $F172&lt;=AT$5, COUNTIF($M172:AS172,"u")=0), "u", "")</f>
        <v/>
      </c>
      <c r="AU172" s="80" t="str">
        <f>IF(AND($F172&lt;&gt;"", $F172&gt;=AU$5-4, $F172&lt;=AU$5, COUNTIF($M172:AT172,"u")=0), "u", "")</f>
        <v/>
      </c>
      <c r="AV172" s="80" t="str">
        <f>IF(AND($F172&lt;&gt;"", $F172&gt;=AV$5-4, $F172&lt;=AV$5, COUNTIF($M172:AU172,"u")=0), "u", "")</f>
        <v/>
      </c>
      <c r="AW172" s="80" t="str">
        <f>IF(AND($F172&lt;&gt;"", $F172&gt;=AW$5-4, $F172&lt;=AW$5, COUNTIF($M172:AV172,"u")=0), "u", "")</f>
        <v/>
      </c>
      <c r="AX172" s="80" t="str">
        <f>IF(AND($F172&lt;&gt;"", $F172&gt;=AX$5-4, $F172&lt;=AX$5, COUNTIF($M172:AW172,"u")=0), "u", "")</f>
        <v/>
      </c>
      <c r="AY172" s="80" t="str">
        <f>IF(AND($F172&lt;&gt;"", $F172&gt;=AY$5-4, $F172&lt;=AY$5, COUNTIF($M172:AX172,"u")=0), "u", "")</f>
        <v/>
      </c>
      <c r="AZ172" s="80" t="str">
        <f>IF(AND($F172&lt;&gt;"", $F172&gt;=AZ$5-4, $F172&lt;=AZ$5, COUNTIF($M172:AY172,"u")=0), "u", "")</f>
        <v/>
      </c>
      <c r="BA172" s="80" t="str">
        <f>IF(AND($F172&lt;&gt;"", $F172&gt;=BA$5-4, $F172&lt;=BA$5, COUNTIF($M172:AZ172,"u")=0), "u", "")</f>
        <v/>
      </c>
      <c r="BB172" s="80" t="str">
        <f>IF(AND($F172&lt;&gt;"", $F172&gt;=BB$5-4, $F172&lt;=BB$5, COUNTIF($M172:BA172,"u")=0), "u", "")</f>
        <v/>
      </c>
      <c r="BC172" s="80" t="str">
        <f>IF(AND($F172&lt;&gt;"", $F172&gt;=BC$5-4, $F172&lt;=BC$5, COUNTIF($M172:BB172,"u")=0), "u", "")</f>
        <v/>
      </c>
      <c r="BD172" s="80" t="str">
        <f>IF(AND($F172&lt;&gt;"", $F172&gt;=BD$5-4, $F172&lt;=BD$5, COUNTIF($M172:BC172,"u")=0), "u", "")</f>
        <v/>
      </c>
      <c r="BE172" s="80" t="str">
        <f>IF(AND($F172&lt;&gt;"", $F172&gt;=BE$5-4, $F172&lt;=BE$5, COUNTIF($M172:BD172,"u")=0), "u", "")</f>
        <v/>
      </c>
      <c r="BF172" s="80" t="str">
        <f>IF(AND($F172&lt;&gt;"", $F172&gt;=BF$5-4, $F172&lt;=BF$5, COUNTIF($M172:BE172,"u")=0), "u", "")</f>
        <v/>
      </c>
      <c r="BG172" s="80" t="str">
        <f>IF(AND($F172&lt;&gt;"", $F172&gt;=BG$5-4, $F172&lt;=BG$5, COUNTIF($M172:BF172,"u")=0), "u", "")</f>
        <v/>
      </c>
      <c r="BH172" s="80" t="str">
        <f>IF(AND($F172&lt;&gt;"", $F172&gt;=BH$5-4, $F172&lt;=BH$5, COUNTIF($M172:BG172,"u")=0), "u", "")</f>
        <v/>
      </c>
      <c r="BI172" s="80" t="str">
        <f>IF(AND($F172&lt;&gt;"", $F172&gt;=BI$5-4, $F172&lt;=BI$5, COUNTIF($M172:BH172,"u")=0), "u", "")</f>
        <v/>
      </c>
      <c r="BJ172" s="80" t="str">
        <f>IF(AND($F172&lt;&gt;"", $F172&gt;=BJ$5-4, $F172&lt;=BJ$5, COUNTIF($M172:BI172,"u")=0), "u", "")</f>
        <v/>
      </c>
      <c r="BK172" s="80" t="str">
        <f>IF(AND($F172&lt;&gt;"", $F172&gt;=BK$5-4, $F172&lt;=BK$5, COUNTIF($M172:BJ172,"u")=0), "u", "")</f>
        <v/>
      </c>
      <c r="BL172" s="80" t="str">
        <f>IF(AND($F172&lt;&gt;"", $F172&gt;=BL$5-4, $F172&lt;=BL$5, COUNTIF($M172:BK172,"u")=0), "u", "")</f>
        <v/>
      </c>
      <c r="BM172" s="80" t="str">
        <f>IF(AND($F172&lt;&gt;"", $F172&gt;=BM$5-4, $F172&lt;=BM$5, COUNTIF($M172:BL172,"u")=0), "u", "")</f>
        <v/>
      </c>
      <c r="BN172" s="80" t="str">
        <f>IF(AND($F172&lt;&gt;"", $F172&gt;=BN$5-4, $F172&lt;=BN$5, COUNTIF($M172:BM172,"u")=0), "u", "")</f>
        <v/>
      </c>
      <c r="BO172" s="80" t="str">
        <f>IF(AND($F172&lt;&gt;"", $F172&gt;=BO$5-4, $F172&lt;=BO$5, COUNTIF($M172:BN172,"u")=0), "u", "")</f>
        <v/>
      </c>
      <c r="BP172" s="80" t="str">
        <f>IF(AND($F172&lt;&gt;"", $F172&gt;=BP$5-4, $F172&lt;=BP$5, COUNTIF($M172:BO172,"u")=0), "u", "")</f>
        <v/>
      </c>
      <c r="BQ172" s="80" t="str">
        <f>IF(AND($F172&lt;&gt;"", $F172&gt;=BQ$5-4, $F172&lt;=BQ$5, COUNTIF($M172:BP172,"u")=0), "u", "")</f>
        <v/>
      </c>
      <c r="BR172" s="80" t="str">
        <f>IF(AND($F172&lt;&gt;"", $F172&gt;=BR$5-4, $F172&lt;=BR$5, COUNTIF($M172:BQ172,"u")=0), "u", "")</f>
        <v/>
      </c>
      <c r="BS172" s="80" t="str">
        <f>IF(AND($F172&lt;&gt;"", $F172&gt;=BS$5-4, $F172&lt;=BS$5, COUNTIF($M172:BR172,"u")=0), "u", "")</f>
        <v/>
      </c>
      <c r="BT172" s="80" t="str">
        <f>IF(AND($F172&lt;&gt;"", $F172&gt;=BT$5-4, $F172&lt;=BT$5, COUNTIF($M172:BS172,"u")=0), "u", "")</f>
        <v/>
      </c>
      <c r="BU172" s="80" t="str">
        <f>IF(AND($F172&lt;&gt;"", $F172&gt;=BU$5-4, $F172&lt;=BU$5, COUNTIF($M172:BT172,"u")=0), "u", "")</f>
        <v/>
      </c>
      <c r="BV172" s="80" t="str">
        <f>IF(AND($F172&lt;&gt;"", $F172&gt;=BV$5-4, $F172&lt;=BV$5, COUNTIF($M172:BU172,"u")=0), "u", "")</f>
        <v/>
      </c>
      <c r="BW172" s="80" t="str">
        <f>IF(AND($F172&lt;&gt;"", $F172&gt;=BW$5-4, $F172&lt;=BW$5, COUNTIF($M172:BV172,"u")=0), "u", "")</f>
        <v/>
      </c>
      <c r="BX172" s="80" t="str">
        <f>IF(AND($F172&lt;&gt;"", $F172&gt;=BX$5-4, $F172&lt;=BX$5, COUNTIF($M172:BW172,"u")=0), "u", "")</f>
        <v/>
      </c>
      <c r="BY172" s="80" t="str">
        <f>IF(AND($F172&lt;&gt;"", $F172&gt;=BY$5-4, $F172&lt;=BY$5, COUNTIF($M172:BX172,"u")=0), "u", "")</f>
        <v/>
      </c>
      <c r="BZ172" s="80" t="str">
        <f>IF(AND($F172&lt;&gt;"", $F172&gt;=BZ$5-4, $F172&lt;=BZ$5, COUNTIF($M172:BY172,"u")=0), "u", "")</f>
        <v/>
      </c>
      <c r="CA172" s="80" t="str">
        <f>IF(AND($F172&lt;&gt;"", $F172&gt;=CA$5-4, $F172&lt;=CA$5, COUNTIF($M172:BZ172,"u")=0), "u", "")</f>
        <v/>
      </c>
      <c r="CB172" s="80" t="str">
        <f>IF(AND($F172&lt;&gt;"", $F172&gt;=CB$5-4, $F172&lt;=CB$5, COUNTIF($M172:CA172,"u")=0), "u", "")</f>
        <v/>
      </c>
      <c r="CC172" s="80" t="str">
        <f>IF(AND($F172&lt;&gt;"", $F172&gt;=CC$5-4, $F172&lt;=CC$5, COUNTIF($M172:CB172,"u")=0), "u", "")</f>
        <v/>
      </c>
      <c r="CD172" s="80" t="str">
        <f>IF(AND($F172&lt;&gt;"", $F172&gt;=CD$5-4, $F172&lt;=CD$5, COUNTIF($M172:CC172,"u")=0), "u", "")</f>
        <v/>
      </c>
      <c r="CE172" s="80" t="str">
        <f>IF(AND($F172&lt;&gt;"", $F172&gt;=CE$5-4, $F172&lt;=CE$5, COUNTIF($M172:CD172,"u")=0), "u", "")</f>
        <v/>
      </c>
      <c r="CF172" s="80" t="str">
        <f>IF(AND($F172&lt;&gt;"", $F172&gt;=CF$5-4, $F172&lt;=CF$5, COUNTIF($M172:CE172,"u")=0), "u", "")</f>
        <v/>
      </c>
      <c r="CG172" s="80" t="str">
        <f>IF(AND($F172&lt;&gt;"", $F172&gt;=CG$5-4, $F172&lt;=CG$5, COUNTIF($M172:CF172,"u")=0), "u", "")</f>
        <v/>
      </c>
      <c r="CH172" s="80" t="str">
        <f>IF(AND($F172&lt;&gt;"", $F172&gt;=CH$5-4, $F172&lt;=CH$5, COUNTIF($M172:CG172,"u")=0), "u", "")</f>
        <v/>
      </c>
      <c r="CI172" s="80" t="str">
        <f>IF(AND($F172&lt;&gt;"", $F172&gt;=CI$5-4, $F172&lt;=CI$5, COUNTIF($M172:CH172,"u")=0), "u", "")</f>
        <v/>
      </c>
      <c r="CJ172" s="80" t="str">
        <f>IF(AND($F172&lt;&gt;"", $F172&gt;=CJ$5-4, $F172&lt;=CJ$5, COUNTIF($M172:CI172,"u")=0), "u", "")</f>
        <v/>
      </c>
      <c r="CK172" s="80" t="str">
        <f>IF(AND($F172&lt;&gt;"", $F172&gt;=CK$5-4, $F172&lt;=CK$5, COUNTIF($M172:CJ172,"u")=0), "u", "")</f>
        <v/>
      </c>
      <c r="CL172" s="80" t="str">
        <f>IF(AND($F172&lt;&gt;"", $F172&gt;=CL$5-4, $F172&lt;=CL$5, COUNTIF($M172:CK172,"u")=0), "u", "")</f>
        <v/>
      </c>
      <c r="CM172" s="80" t="str">
        <f>IF(AND($F172&lt;&gt;"", $F172&gt;=CM$5-4, $F172&lt;=CM$5, COUNTIF($M172:CL172,"u")=0), "u", "")</f>
        <v/>
      </c>
      <c r="CN172" s="80" t="str">
        <f>IF(AND($F172&lt;&gt;"", $F172&gt;=CN$5-4, $F172&lt;=CN$5, COUNTIF($M172:CM172,"u")=0), "u", "")</f>
        <v/>
      </c>
      <c r="CO172" s="80" t="str">
        <f>IF(AND($F172&lt;&gt;"", $F172&gt;=CO$5-4, $F172&lt;=CO$5, COUNTIF($M172:CN172,"u")=0), "u", "")</f>
        <v/>
      </c>
      <c r="CP172" s="80" t="str">
        <f>IF(AND($F172&lt;&gt;"", $F172&gt;=CP$5-4, $F172&lt;=CP$5, COUNTIF($M172:CO172,"u")=0), "u", "")</f>
        <v/>
      </c>
      <c r="CQ172" s="80" t="str">
        <f>IF(AND($F172&lt;&gt;"", $F172&gt;=CQ$5-4, $F172&lt;=CQ$5, COUNTIF($M172:CP172,"u")=0), "u", "")</f>
        <v/>
      </c>
      <c r="CR172" s="80" t="str">
        <f>IF(AND($F172&lt;&gt;"", $F172&gt;=CR$5-4, $F172&lt;=CR$5, COUNTIF($M172:CQ172,"u")=0), "u", "")</f>
        <v/>
      </c>
      <c r="CS172" s="80" t="str">
        <f>IF(AND($F172&lt;&gt;"", $F172&gt;=CS$5-4, $F172&lt;=CS$5, COUNTIF($M172:CR172,"u")=0), "u", "")</f>
        <v/>
      </c>
      <c r="CT172" s="80" t="str">
        <f>IF(AND($F172&lt;&gt;"", $F172&gt;=CT$5-4, $F172&lt;=CT$5, COUNTIF($M172:CS172,"u")=0), "u", "")</f>
        <v/>
      </c>
      <c r="CU172" s="80" t="str">
        <f>IF(AND($F172&lt;&gt;"", $F172&gt;=CU$5-4, $F172&lt;=CU$5, COUNTIF($M172:CT172,"u")=0), "u", "")</f>
        <v/>
      </c>
      <c r="CV172" s="80" t="str">
        <f>IF(AND($F172&lt;&gt;"", $F172&gt;=CV$5-4, $F172&lt;=CV$5, COUNTIF($M172:CU172,"u")=0), "u", "")</f>
        <v/>
      </c>
      <c r="CW172" s="80" t="str">
        <f>IF(AND($F172&lt;&gt;"", $F172&gt;=CW$5-4, $F172&lt;=CW$5, COUNTIF($M172:CV172,"u")=0), "u", "")</f>
        <v/>
      </c>
      <c r="CX172" s="80" t="str">
        <f>IF(AND($F172&lt;&gt;"", $F172&gt;=CX$5-4, $F172&lt;=CX$5, COUNTIF($M172:CW172,"u")=0), "u", "")</f>
        <v/>
      </c>
      <c r="CY172" s="80" t="str">
        <f>IF(AND($F172&lt;&gt;"", $F172&gt;=CY$5-4, $F172&lt;=CY$5, COUNTIF($M172:CX172,"u")=0), "u", "")</f>
        <v/>
      </c>
      <c r="CZ172" s="80" t="str">
        <f>IF(AND($F172&lt;&gt;"", $F172&gt;=CZ$5-4, $F172&lt;=CZ$5, COUNTIF($M172:CY172,"u")=0), "u", "")</f>
        <v/>
      </c>
      <c r="DA172" s="80" t="str">
        <f>IF(AND($F172&lt;&gt;"", $F172&gt;=DA$5-4, $F172&lt;=DA$5, COUNTIF($M172:CZ172,"u")=0), "u", "")</f>
        <v/>
      </c>
      <c r="DB172" s="80" t="str">
        <f>IF(AND($F172&lt;&gt;"", $F172&gt;=DB$5-4, $F172&lt;=DB$5, COUNTIF($M172:DA172,"u")=0), "u", "")</f>
        <v/>
      </c>
      <c r="DC172" s="80" t="str">
        <f>IF(AND($F172&lt;&gt;"", $F172&gt;=DC$5-4, $F172&lt;=DC$5, COUNTIF($M172:DB172,"u")=0), "u", "")</f>
        <v/>
      </c>
      <c r="DD172" s="80" t="str">
        <f>IF(AND($F172&lt;&gt;"", $F172&gt;=DD$5-4, $F172&lt;=DD$5, COUNTIF($M172:DC172,"u")=0), "u", "")</f>
        <v/>
      </c>
      <c r="DE172" s="80" t="str">
        <f>IF(AND($F172&lt;&gt;"", $F172&gt;=DE$5-4, $F172&lt;=DE$5, COUNTIF($M172:DD172,"u")=0), "u", "")</f>
        <v/>
      </c>
      <c r="DF172" s="80" t="str">
        <f>IF(AND($F172&lt;&gt;"", $F172&gt;=DF$5-4, $F172&lt;=DF$5, COUNTIF($M172:DE172,"u")=0), "u", "")</f>
        <v/>
      </c>
      <c r="DG172" s="80" t="str">
        <f>IF(AND($F172&lt;&gt;"", $F172&gt;=DG$5-4, $F172&lt;=DG$5, COUNTIF($M172:DF172,"u")=0), "u", "")</f>
        <v/>
      </c>
      <c r="DH172" s="80" t="str">
        <f>IF(AND($F172&lt;&gt;"", $F172&gt;=DH$5-4, $F172&lt;=DH$5, COUNTIF($M172:DG172,"u")=0), "u", "")</f>
        <v/>
      </c>
      <c r="DI172" s="80" t="str">
        <f>IF(AND($F172&lt;&gt;"", $F172&gt;=DI$5-4, $F172&lt;=DI$5, COUNTIF($M172:DH172,"u")=0), "u", "")</f>
        <v/>
      </c>
      <c r="DJ172" s="80" t="str">
        <f>IF(AND($F172&lt;&gt;"", $F172&gt;=DJ$5-4, $F172&lt;=DJ$5, COUNTIF($M172:DI172,"u")=0), "u", "")</f>
        <v/>
      </c>
      <c r="DK172" s="80" t="str">
        <f>IF(AND($F172&lt;&gt;"", $F172&gt;=DK$5-4, $F172&lt;=DK$5, COUNTIF($M172:DJ172,"u")=0), "u", "")</f>
        <v/>
      </c>
      <c r="DL172" s="80" t="str">
        <f>IF(AND($F172&lt;&gt;"", $F172&gt;=DL$5-4, $F172&lt;=DL$5, COUNTIF($M172:DK172,"u")=0), "u", "")</f>
        <v/>
      </c>
    </row>
    <row r="173" spans="1:116" ht="25.05" customHeight="1" x14ac:dyDescent="0.3">
      <c r="A173" s="39"/>
      <c r="B173" s="75">
        <v>168</v>
      </c>
      <c r="C173" s="97"/>
      <c r="D173" s="92"/>
      <c r="E173" s="53"/>
      <c r="F173" s="53"/>
      <c r="G173" s="83" t="str">
        <f t="shared" si="53"/>
        <v/>
      </c>
      <c r="H173" s="83" t="str">
        <f t="shared" si="53"/>
        <v/>
      </c>
      <c r="I173" s="77" t="str">
        <f t="shared" si="51"/>
        <v/>
      </c>
      <c r="J173" s="78"/>
      <c r="K173" s="86"/>
      <c r="L173" s="56"/>
      <c r="M173" s="80" t="str">
        <f t="shared" si="52"/>
        <v/>
      </c>
      <c r="N173" s="80" t="str">
        <f>IF(AND($F173&lt;&gt;"", $F173&gt;=N$5-4, $F173&lt;=N$5, COUNTIF($M173:M173,"u")=0), "u", "")</f>
        <v/>
      </c>
      <c r="O173" s="80" t="str">
        <f>IF(AND($F173&lt;&gt;"", $F173&gt;=O$5-4, $F173&lt;=O$5, COUNTIF($M173:N173,"u")=0), "u", "")</f>
        <v/>
      </c>
      <c r="P173" s="80" t="str">
        <f>IF(AND($F173&lt;&gt;"", $F173&gt;=P$5-4, $F173&lt;=P$5, COUNTIF($M173:O173,"u")=0), "u", "")</f>
        <v/>
      </c>
      <c r="Q173" s="80" t="str">
        <f>IF(AND($F173&lt;&gt;"", $F173&gt;=Q$5-4, $F173&lt;=Q$5, COUNTIF($M173:P173,"u")=0), "u", "")</f>
        <v/>
      </c>
      <c r="R173" s="80" t="str">
        <f>IF(AND($F173&lt;&gt;"", $F173&gt;=R$5-4, $F173&lt;=R$5, COUNTIF($M173:Q173,"u")=0), "u", "")</f>
        <v/>
      </c>
      <c r="S173" s="80" t="str">
        <f>IF(AND($F173&lt;&gt;"", $F173&gt;=S$5-4, $F173&lt;=S$5, COUNTIF($M173:R173,"u")=0), "u", "")</f>
        <v/>
      </c>
      <c r="T173" s="80" t="str">
        <f>IF(AND($F173&lt;&gt;"", $F173&gt;=T$5-4, $F173&lt;=T$5, COUNTIF($M173:S173,"u")=0), "u", "")</f>
        <v/>
      </c>
      <c r="U173" s="80" t="str">
        <f>IF(AND($F173&lt;&gt;"", $F173&gt;=U$5-4, $F173&lt;=U$5, COUNTIF($M173:T173,"u")=0), "u", "")</f>
        <v/>
      </c>
      <c r="V173" s="80" t="str">
        <f>IF(AND($F173&lt;&gt;"", $F173&gt;=V$5-4, $F173&lt;=V$5, COUNTIF($M173:U173,"u")=0), "u", "")</f>
        <v/>
      </c>
      <c r="W173" s="80" t="str">
        <f>IF(AND($F173&lt;&gt;"", $F173&gt;=W$5-4, $F173&lt;=W$5, COUNTIF($M173:V173,"u")=0), "u", "")</f>
        <v/>
      </c>
      <c r="X173" s="80" t="str">
        <f>IF(AND($F173&lt;&gt;"", $F173&gt;=X$5-4, $F173&lt;=X$5, COUNTIF($M173:W173,"u")=0), "u", "")</f>
        <v/>
      </c>
      <c r="Y173" s="80" t="str">
        <f>IF(AND($F173&lt;&gt;"", $F173&gt;=Y$5-4, $F173&lt;=Y$5, COUNTIF($M173:X173,"u")=0), "u", "")</f>
        <v/>
      </c>
      <c r="Z173" s="80" t="str">
        <f>IF(AND($F173&lt;&gt;"", $F173&gt;=Z$5-4, $F173&lt;=Z$5, COUNTIF($M173:Y173,"u")=0), "u", "")</f>
        <v/>
      </c>
      <c r="AA173" s="80" t="str">
        <f>IF(AND($F173&lt;&gt;"", $F173&gt;=AA$5-4, $F173&lt;=AA$5, COUNTIF($M173:Z173,"u")=0), "u", "")</f>
        <v/>
      </c>
      <c r="AB173" s="80" t="str">
        <f>IF(AND($F173&lt;&gt;"", $F173&gt;=AB$5-4, $F173&lt;=AB$5, COUNTIF($M173:AA173,"u")=0), "u", "")</f>
        <v/>
      </c>
      <c r="AC173" s="80" t="str">
        <f>IF(AND($F173&lt;&gt;"", $F173&gt;=AC$5-4, $F173&lt;=AC$5, COUNTIF($M173:AB173,"u")=0), "u", "")</f>
        <v/>
      </c>
      <c r="AD173" s="80" t="str">
        <f>IF(AND($F173&lt;&gt;"", $F173&gt;=AD$5-4, $F173&lt;=AD$5, COUNTIF($M173:AC173,"u")=0), "u", "")</f>
        <v/>
      </c>
      <c r="AE173" s="80" t="str">
        <f>IF(AND($F173&lt;&gt;"", $F173&gt;=AE$5-4, $F173&lt;=AE$5, COUNTIF($M173:AD173,"u")=0), "u", "")</f>
        <v/>
      </c>
      <c r="AF173" s="80" t="str">
        <f>IF(AND($F173&lt;&gt;"", $F173&gt;=AF$5-4, $F173&lt;=AF$5, COUNTIF($M173:AE173,"u")=0), "u", "")</f>
        <v/>
      </c>
      <c r="AG173" s="80" t="str">
        <f>IF(AND($F173&lt;&gt;"", $F173&gt;=AG$5-4, $F173&lt;=AG$5, COUNTIF($M173:AF173,"u")=0), "u", "")</f>
        <v/>
      </c>
      <c r="AH173" s="80" t="str">
        <f>IF(AND($F173&lt;&gt;"", $F173&gt;=AH$5-4, $F173&lt;=AH$5, COUNTIF($M173:AG173,"u")=0), "u", "")</f>
        <v/>
      </c>
      <c r="AI173" s="80" t="str">
        <f>IF(AND($F173&lt;&gt;"", $F173&gt;=AI$5-4, $F173&lt;=AI$5, COUNTIF($M173:AH173,"u")=0), "u", "")</f>
        <v/>
      </c>
      <c r="AJ173" s="80" t="str">
        <f>IF(AND($F173&lt;&gt;"", $F173&gt;=AJ$5-4, $F173&lt;=AJ$5, COUNTIF($M173:AI173,"u")=0), "u", "")</f>
        <v/>
      </c>
      <c r="AK173" s="80" t="str">
        <f>IF(AND($F173&lt;&gt;"", $F173&gt;=AK$5-4, $F173&lt;=AK$5, COUNTIF($M173:AJ173,"u")=0), "u", "")</f>
        <v/>
      </c>
      <c r="AL173" s="80" t="str">
        <f>IF(AND($F173&lt;&gt;"", $F173&gt;=AL$5-4, $F173&lt;=AL$5, COUNTIF($M173:AK173,"u")=0), "u", "")</f>
        <v/>
      </c>
      <c r="AM173" s="80" t="str">
        <f>IF(AND($F173&lt;&gt;"", $F173&gt;=AM$5-4, $F173&lt;=AM$5, COUNTIF($M173:AL173,"u")=0), "u", "")</f>
        <v/>
      </c>
      <c r="AN173" s="80" t="str">
        <f>IF(AND($F173&lt;&gt;"", $F173&gt;=AN$5-4, $F173&lt;=AN$5, COUNTIF($M173:AM173,"u")=0), "u", "")</f>
        <v/>
      </c>
      <c r="AO173" s="80" t="str">
        <f>IF(AND($F173&lt;&gt;"", $F173&gt;=AO$5-4, $F173&lt;=AO$5, COUNTIF($M173:AN173,"u")=0), "u", "")</f>
        <v/>
      </c>
      <c r="AP173" s="80" t="str">
        <f>IF(AND($F173&lt;&gt;"", $F173&gt;=AP$5-4, $F173&lt;=AP$5, COUNTIF($M173:AO173,"u")=0), "u", "")</f>
        <v/>
      </c>
      <c r="AQ173" s="80" t="str">
        <f>IF(AND($F173&lt;&gt;"", $F173&gt;=AQ$5-4, $F173&lt;=AQ$5, COUNTIF($M173:AP173,"u")=0), "u", "")</f>
        <v/>
      </c>
      <c r="AR173" s="80" t="str">
        <f>IF(AND($F173&lt;&gt;"", $F173&gt;=AR$5-4, $F173&lt;=AR$5, COUNTIF($M173:AQ173,"u")=0), "u", "")</f>
        <v/>
      </c>
      <c r="AS173" s="80" t="str">
        <f>IF(AND($F173&lt;&gt;"", $F173&gt;=AS$5-4, $F173&lt;=AS$5, COUNTIF($M173:AR173,"u")=0), "u", "")</f>
        <v/>
      </c>
      <c r="AT173" s="80" t="str">
        <f>IF(AND($F173&lt;&gt;"", $F173&gt;=AT$5-4, $F173&lt;=AT$5, COUNTIF($M173:AS173,"u")=0), "u", "")</f>
        <v/>
      </c>
      <c r="AU173" s="80" t="str">
        <f>IF(AND($F173&lt;&gt;"", $F173&gt;=AU$5-4, $F173&lt;=AU$5, COUNTIF($M173:AT173,"u")=0), "u", "")</f>
        <v/>
      </c>
      <c r="AV173" s="80" t="str">
        <f>IF(AND($F173&lt;&gt;"", $F173&gt;=AV$5-4, $F173&lt;=AV$5, COUNTIF($M173:AU173,"u")=0), "u", "")</f>
        <v/>
      </c>
      <c r="AW173" s="80" t="str">
        <f>IF(AND($F173&lt;&gt;"", $F173&gt;=AW$5-4, $F173&lt;=AW$5, COUNTIF($M173:AV173,"u")=0), "u", "")</f>
        <v/>
      </c>
      <c r="AX173" s="80" t="str">
        <f>IF(AND($F173&lt;&gt;"", $F173&gt;=AX$5-4, $F173&lt;=AX$5, COUNTIF($M173:AW173,"u")=0), "u", "")</f>
        <v/>
      </c>
      <c r="AY173" s="80" t="str">
        <f>IF(AND($F173&lt;&gt;"", $F173&gt;=AY$5-4, $F173&lt;=AY$5, COUNTIF($M173:AX173,"u")=0), "u", "")</f>
        <v/>
      </c>
      <c r="AZ173" s="80" t="str">
        <f>IF(AND($F173&lt;&gt;"", $F173&gt;=AZ$5-4, $F173&lt;=AZ$5, COUNTIF($M173:AY173,"u")=0), "u", "")</f>
        <v/>
      </c>
      <c r="BA173" s="80" t="str">
        <f>IF(AND($F173&lt;&gt;"", $F173&gt;=BA$5-4, $F173&lt;=BA$5, COUNTIF($M173:AZ173,"u")=0), "u", "")</f>
        <v/>
      </c>
      <c r="BB173" s="80" t="str">
        <f>IF(AND($F173&lt;&gt;"", $F173&gt;=BB$5-4, $F173&lt;=BB$5, COUNTIF($M173:BA173,"u")=0), "u", "")</f>
        <v/>
      </c>
      <c r="BC173" s="80" t="str">
        <f>IF(AND($F173&lt;&gt;"", $F173&gt;=BC$5-4, $F173&lt;=BC$5, COUNTIF($M173:BB173,"u")=0), "u", "")</f>
        <v/>
      </c>
      <c r="BD173" s="80" t="str">
        <f>IF(AND($F173&lt;&gt;"", $F173&gt;=BD$5-4, $F173&lt;=BD$5, COUNTIF($M173:BC173,"u")=0), "u", "")</f>
        <v/>
      </c>
      <c r="BE173" s="80" t="str">
        <f>IF(AND($F173&lt;&gt;"", $F173&gt;=BE$5-4, $F173&lt;=BE$5, COUNTIF($M173:BD173,"u")=0), "u", "")</f>
        <v/>
      </c>
      <c r="BF173" s="80" t="str">
        <f>IF(AND($F173&lt;&gt;"", $F173&gt;=BF$5-4, $F173&lt;=BF$5, COUNTIF($M173:BE173,"u")=0), "u", "")</f>
        <v/>
      </c>
      <c r="BG173" s="80" t="str">
        <f>IF(AND($F173&lt;&gt;"", $F173&gt;=BG$5-4, $F173&lt;=BG$5, COUNTIF($M173:BF173,"u")=0), "u", "")</f>
        <v/>
      </c>
      <c r="BH173" s="80" t="str">
        <f>IF(AND($F173&lt;&gt;"", $F173&gt;=BH$5-4, $F173&lt;=BH$5, COUNTIF($M173:BG173,"u")=0), "u", "")</f>
        <v/>
      </c>
      <c r="BI173" s="80" t="str">
        <f>IF(AND($F173&lt;&gt;"", $F173&gt;=BI$5-4, $F173&lt;=BI$5, COUNTIF($M173:BH173,"u")=0), "u", "")</f>
        <v/>
      </c>
      <c r="BJ173" s="80" t="str">
        <f>IF(AND($F173&lt;&gt;"", $F173&gt;=BJ$5-4, $F173&lt;=BJ$5, COUNTIF($M173:BI173,"u")=0), "u", "")</f>
        <v/>
      </c>
      <c r="BK173" s="80" t="str">
        <f>IF(AND($F173&lt;&gt;"", $F173&gt;=BK$5-4, $F173&lt;=BK$5, COUNTIF($M173:BJ173,"u")=0), "u", "")</f>
        <v/>
      </c>
      <c r="BL173" s="80" t="str">
        <f>IF(AND($F173&lt;&gt;"", $F173&gt;=BL$5-4, $F173&lt;=BL$5, COUNTIF($M173:BK173,"u")=0), "u", "")</f>
        <v/>
      </c>
      <c r="BM173" s="80" t="str">
        <f>IF(AND($F173&lt;&gt;"", $F173&gt;=BM$5-4, $F173&lt;=BM$5, COUNTIF($M173:BL173,"u")=0), "u", "")</f>
        <v/>
      </c>
      <c r="BN173" s="80" t="str">
        <f>IF(AND($F173&lt;&gt;"", $F173&gt;=BN$5-4, $F173&lt;=BN$5, COUNTIF($M173:BM173,"u")=0), "u", "")</f>
        <v/>
      </c>
      <c r="BO173" s="80" t="str">
        <f>IF(AND($F173&lt;&gt;"", $F173&gt;=BO$5-4, $F173&lt;=BO$5, COUNTIF($M173:BN173,"u")=0), "u", "")</f>
        <v/>
      </c>
      <c r="BP173" s="80" t="str">
        <f>IF(AND($F173&lt;&gt;"", $F173&gt;=BP$5-4, $F173&lt;=BP$5, COUNTIF($M173:BO173,"u")=0), "u", "")</f>
        <v/>
      </c>
      <c r="BQ173" s="80" t="str">
        <f>IF(AND($F173&lt;&gt;"", $F173&gt;=BQ$5-4, $F173&lt;=BQ$5, COUNTIF($M173:BP173,"u")=0), "u", "")</f>
        <v/>
      </c>
      <c r="BR173" s="80" t="str">
        <f>IF(AND($F173&lt;&gt;"", $F173&gt;=BR$5-4, $F173&lt;=BR$5, COUNTIF($M173:BQ173,"u")=0), "u", "")</f>
        <v/>
      </c>
      <c r="BS173" s="80" t="str">
        <f>IF(AND($F173&lt;&gt;"", $F173&gt;=BS$5-4, $F173&lt;=BS$5, COUNTIF($M173:BR173,"u")=0), "u", "")</f>
        <v/>
      </c>
      <c r="BT173" s="80" t="str">
        <f>IF(AND($F173&lt;&gt;"", $F173&gt;=BT$5-4, $F173&lt;=BT$5, COUNTIF($M173:BS173,"u")=0), "u", "")</f>
        <v/>
      </c>
      <c r="BU173" s="80" t="str">
        <f>IF(AND($F173&lt;&gt;"", $F173&gt;=BU$5-4, $F173&lt;=BU$5, COUNTIF($M173:BT173,"u")=0), "u", "")</f>
        <v/>
      </c>
      <c r="BV173" s="80" t="str">
        <f>IF(AND($F173&lt;&gt;"", $F173&gt;=BV$5-4, $F173&lt;=BV$5, COUNTIF($M173:BU173,"u")=0), "u", "")</f>
        <v/>
      </c>
      <c r="BW173" s="80" t="str">
        <f>IF(AND($F173&lt;&gt;"", $F173&gt;=BW$5-4, $F173&lt;=BW$5, COUNTIF($M173:BV173,"u")=0), "u", "")</f>
        <v/>
      </c>
      <c r="BX173" s="80" t="str">
        <f>IF(AND($F173&lt;&gt;"", $F173&gt;=BX$5-4, $F173&lt;=BX$5, COUNTIF($M173:BW173,"u")=0), "u", "")</f>
        <v/>
      </c>
      <c r="BY173" s="80" t="str">
        <f>IF(AND($F173&lt;&gt;"", $F173&gt;=BY$5-4, $F173&lt;=BY$5, COUNTIF($M173:BX173,"u")=0), "u", "")</f>
        <v/>
      </c>
      <c r="BZ173" s="80" t="str">
        <f>IF(AND($F173&lt;&gt;"", $F173&gt;=BZ$5-4, $F173&lt;=BZ$5, COUNTIF($M173:BY173,"u")=0), "u", "")</f>
        <v/>
      </c>
      <c r="CA173" s="80" t="str">
        <f>IF(AND($F173&lt;&gt;"", $F173&gt;=CA$5-4, $F173&lt;=CA$5, COUNTIF($M173:BZ173,"u")=0), "u", "")</f>
        <v/>
      </c>
      <c r="CB173" s="80" t="str">
        <f>IF(AND($F173&lt;&gt;"", $F173&gt;=CB$5-4, $F173&lt;=CB$5, COUNTIF($M173:CA173,"u")=0), "u", "")</f>
        <v/>
      </c>
      <c r="CC173" s="80" t="str">
        <f>IF(AND($F173&lt;&gt;"", $F173&gt;=CC$5-4, $F173&lt;=CC$5, COUNTIF($M173:CB173,"u")=0), "u", "")</f>
        <v/>
      </c>
      <c r="CD173" s="80" t="str">
        <f>IF(AND($F173&lt;&gt;"", $F173&gt;=CD$5-4, $F173&lt;=CD$5, COUNTIF($M173:CC173,"u")=0), "u", "")</f>
        <v/>
      </c>
      <c r="CE173" s="80" t="str">
        <f>IF(AND($F173&lt;&gt;"", $F173&gt;=CE$5-4, $F173&lt;=CE$5, COUNTIF($M173:CD173,"u")=0), "u", "")</f>
        <v/>
      </c>
      <c r="CF173" s="80" t="str">
        <f>IF(AND($F173&lt;&gt;"", $F173&gt;=CF$5-4, $F173&lt;=CF$5, COUNTIF($M173:CE173,"u")=0), "u", "")</f>
        <v/>
      </c>
      <c r="CG173" s="80" t="str">
        <f>IF(AND($F173&lt;&gt;"", $F173&gt;=CG$5-4, $F173&lt;=CG$5, COUNTIF($M173:CF173,"u")=0), "u", "")</f>
        <v/>
      </c>
      <c r="CH173" s="80" t="str">
        <f>IF(AND($F173&lt;&gt;"", $F173&gt;=CH$5-4, $F173&lt;=CH$5, COUNTIF($M173:CG173,"u")=0), "u", "")</f>
        <v/>
      </c>
      <c r="CI173" s="80" t="str">
        <f>IF(AND($F173&lt;&gt;"", $F173&gt;=CI$5-4, $F173&lt;=CI$5, COUNTIF($M173:CH173,"u")=0), "u", "")</f>
        <v/>
      </c>
      <c r="CJ173" s="80" t="str">
        <f>IF(AND($F173&lt;&gt;"", $F173&gt;=CJ$5-4, $F173&lt;=CJ$5, COUNTIF($M173:CI173,"u")=0), "u", "")</f>
        <v/>
      </c>
      <c r="CK173" s="80" t="str">
        <f>IF(AND($F173&lt;&gt;"", $F173&gt;=CK$5-4, $F173&lt;=CK$5, COUNTIF($M173:CJ173,"u")=0), "u", "")</f>
        <v/>
      </c>
      <c r="CL173" s="80" t="str">
        <f>IF(AND($F173&lt;&gt;"", $F173&gt;=CL$5-4, $F173&lt;=CL$5, COUNTIF($M173:CK173,"u")=0), "u", "")</f>
        <v/>
      </c>
      <c r="CM173" s="80" t="str">
        <f>IF(AND($F173&lt;&gt;"", $F173&gt;=CM$5-4, $F173&lt;=CM$5, COUNTIF($M173:CL173,"u")=0), "u", "")</f>
        <v/>
      </c>
      <c r="CN173" s="80" t="str">
        <f>IF(AND($F173&lt;&gt;"", $F173&gt;=CN$5-4, $F173&lt;=CN$5, COUNTIF($M173:CM173,"u")=0), "u", "")</f>
        <v/>
      </c>
      <c r="CO173" s="80" t="str">
        <f>IF(AND($F173&lt;&gt;"", $F173&gt;=CO$5-4, $F173&lt;=CO$5, COUNTIF($M173:CN173,"u")=0), "u", "")</f>
        <v/>
      </c>
      <c r="CP173" s="80" t="str">
        <f>IF(AND($F173&lt;&gt;"", $F173&gt;=CP$5-4, $F173&lt;=CP$5, COUNTIF($M173:CO173,"u")=0), "u", "")</f>
        <v/>
      </c>
      <c r="CQ173" s="80" t="str">
        <f>IF(AND($F173&lt;&gt;"", $F173&gt;=CQ$5-4, $F173&lt;=CQ$5, COUNTIF($M173:CP173,"u")=0), "u", "")</f>
        <v/>
      </c>
      <c r="CR173" s="80" t="str">
        <f>IF(AND($F173&lt;&gt;"", $F173&gt;=CR$5-4, $F173&lt;=CR$5, COUNTIF($M173:CQ173,"u")=0), "u", "")</f>
        <v/>
      </c>
      <c r="CS173" s="80" t="str">
        <f>IF(AND($F173&lt;&gt;"", $F173&gt;=CS$5-4, $F173&lt;=CS$5, COUNTIF($M173:CR173,"u")=0), "u", "")</f>
        <v/>
      </c>
      <c r="CT173" s="80" t="str">
        <f>IF(AND($F173&lt;&gt;"", $F173&gt;=CT$5-4, $F173&lt;=CT$5, COUNTIF($M173:CS173,"u")=0), "u", "")</f>
        <v/>
      </c>
      <c r="CU173" s="80" t="str">
        <f>IF(AND($F173&lt;&gt;"", $F173&gt;=CU$5-4, $F173&lt;=CU$5, COUNTIF($M173:CT173,"u")=0), "u", "")</f>
        <v/>
      </c>
      <c r="CV173" s="80" t="str">
        <f>IF(AND($F173&lt;&gt;"", $F173&gt;=CV$5-4, $F173&lt;=CV$5, COUNTIF($M173:CU173,"u")=0), "u", "")</f>
        <v/>
      </c>
      <c r="CW173" s="80" t="str">
        <f>IF(AND($F173&lt;&gt;"", $F173&gt;=CW$5-4, $F173&lt;=CW$5, COUNTIF($M173:CV173,"u")=0), "u", "")</f>
        <v/>
      </c>
      <c r="CX173" s="80" t="str">
        <f>IF(AND($F173&lt;&gt;"", $F173&gt;=CX$5-4, $F173&lt;=CX$5, COUNTIF($M173:CW173,"u")=0), "u", "")</f>
        <v/>
      </c>
      <c r="CY173" s="80" t="str">
        <f>IF(AND($F173&lt;&gt;"", $F173&gt;=CY$5-4, $F173&lt;=CY$5, COUNTIF($M173:CX173,"u")=0), "u", "")</f>
        <v/>
      </c>
      <c r="CZ173" s="80" t="str">
        <f>IF(AND($F173&lt;&gt;"", $F173&gt;=CZ$5-4, $F173&lt;=CZ$5, COUNTIF($M173:CY173,"u")=0), "u", "")</f>
        <v/>
      </c>
      <c r="DA173" s="80" t="str">
        <f>IF(AND($F173&lt;&gt;"", $F173&gt;=DA$5-4, $F173&lt;=DA$5, COUNTIF($M173:CZ173,"u")=0), "u", "")</f>
        <v/>
      </c>
      <c r="DB173" s="80" t="str">
        <f>IF(AND($F173&lt;&gt;"", $F173&gt;=DB$5-4, $F173&lt;=DB$5, COUNTIF($M173:DA173,"u")=0), "u", "")</f>
        <v/>
      </c>
      <c r="DC173" s="80" t="str">
        <f>IF(AND($F173&lt;&gt;"", $F173&gt;=DC$5-4, $F173&lt;=DC$5, COUNTIF($M173:DB173,"u")=0), "u", "")</f>
        <v/>
      </c>
      <c r="DD173" s="80" t="str">
        <f>IF(AND($F173&lt;&gt;"", $F173&gt;=DD$5-4, $F173&lt;=DD$5, COUNTIF($M173:DC173,"u")=0), "u", "")</f>
        <v/>
      </c>
      <c r="DE173" s="80" t="str">
        <f>IF(AND($F173&lt;&gt;"", $F173&gt;=DE$5-4, $F173&lt;=DE$5, COUNTIF($M173:DD173,"u")=0), "u", "")</f>
        <v/>
      </c>
      <c r="DF173" s="80" t="str">
        <f>IF(AND($F173&lt;&gt;"", $F173&gt;=DF$5-4, $F173&lt;=DF$5, COUNTIF($M173:DE173,"u")=0), "u", "")</f>
        <v/>
      </c>
      <c r="DG173" s="80" t="str">
        <f>IF(AND($F173&lt;&gt;"", $F173&gt;=DG$5-4, $F173&lt;=DG$5, COUNTIF($M173:DF173,"u")=0), "u", "")</f>
        <v/>
      </c>
      <c r="DH173" s="80" t="str">
        <f>IF(AND($F173&lt;&gt;"", $F173&gt;=DH$5-4, $F173&lt;=DH$5, COUNTIF($M173:DG173,"u")=0), "u", "")</f>
        <v/>
      </c>
      <c r="DI173" s="80" t="str">
        <f>IF(AND($F173&lt;&gt;"", $F173&gt;=DI$5-4, $F173&lt;=DI$5, COUNTIF($M173:DH173,"u")=0), "u", "")</f>
        <v/>
      </c>
      <c r="DJ173" s="80" t="str">
        <f>IF(AND($F173&lt;&gt;"", $F173&gt;=DJ$5-4, $F173&lt;=DJ$5, COUNTIF($M173:DI173,"u")=0), "u", "")</f>
        <v/>
      </c>
      <c r="DK173" s="80" t="str">
        <f>IF(AND($F173&lt;&gt;"", $F173&gt;=DK$5-4, $F173&lt;=DK$5, COUNTIF($M173:DJ173,"u")=0), "u", "")</f>
        <v/>
      </c>
      <c r="DL173" s="80" t="str">
        <f>IF(AND($F173&lt;&gt;"", $F173&gt;=DL$5-4, $F173&lt;=DL$5, COUNTIF($M173:DK173,"u")=0), "u", "")</f>
        <v/>
      </c>
    </row>
    <row r="174" spans="1:116" ht="25.05" customHeight="1" x14ac:dyDescent="0.3">
      <c r="A174" s="39"/>
      <c r="B174" s="75">
        <v>169</v>
      </c>
      <c r="C174" s="97"/>
      <c r="D174" s="92"/>
      <c r="E174" s="53"/>
      <c r="F174" s="53"/>
      <c r="G174" s="83" t="str">
        <f t="shared" si="53"/>
        <v/>
      </c>
      <c r="H174" s="83" t="str">
        <f t="shared" si="53"/>
        <v/>
      </c>
      <c r="I174" s="77" t="str">
        <f t="shared" si="51"/>
        <v/>
      </c>
      <c r="J174" s="78"/>
      <c r="K174" s="86"/>
      <c r="L174" s="56"/>
      <c r="M174" s="80" t="str">
        <f t="shared" si="52"/>
        <v/>
      </c>
      <c r="N174" s="80" t="str">
        <f>IF(AND($F174&lt;&gt;"", $F174&gt;=N$5-4, $F174&lt;=N$5, COUNTIF($M174:M174,"u")=0), "u", "")</f>
        <v/>
      </c>
      <c r="O174" s="80" t="str">
        <f>IF(AND($F174&lt;&gt;"", $F174&gt;=O$5-4, $F174&lt;=O$5, COUNTIF($M174:N174,"u")=0), "u", "")</f>
        <v/>
      </c>
      <c r="P174" s="80" t="str">
        <f>IF(AND($F174&lt;&gt;"", $F174&gt;=P$5-4, $F174&lt;=P$5, COUNTIF($M174:O174,"u")=0), "u", "")</f>
        <v/>
      </c>
      <c r="Q174" s="80" t="str">
        <f>IF(AND($F174&lt;&gt;"", $F174&gt;=Q$5-4, $F174&lt;=Q$5, COUNTIF($M174:P174,"u")=0), "u", "")</f>
        <v/>
      </c>
      <c r="R174" s="80" t="str">
        <f>IF(AND($F174&lt;&gt;"", $F174&gt;=R$5-4, $F174&lt;=R$5, COUNTIF($M174:Q174,"u")=0), "u", "")</f>
        <v/>
      </c>
      <c r="S174" s="80" t="str">
        <f>IF(AND($F174&lt;&gt;"", $F174&gt;=S$5-4, $F174&lt;=S$5, COUNTIF($M174:R174,"u")=0), "u", "")</f>
        <v/>
      </c>
      <c r="T174" s="80" t="str">
        <f>IF(AND($F174&lt;&gt;"", $F174&gt;=T$5-4, $F174&lt;=T$5, COUNTIF($M174:S174,"u")=0), "u", "")</f>
        <v/>
      </c>
      <c r="U174" s="80" t="str">
        <f>IF(AND($F174&lt;&gt;"", $F174&gt;=U$5-4, $F174&lt;=U$5, COUNTIF($M174:T174,"u")=0), "u", "")</f>
        <v/>
      </c>
      <c r="V174" s="80" t="str">
        <f>IF(AND($F174&lt;&gt;"", $F174&gt;=V$5-4, $F174&lt;=V$5, COUNTIF($M174:U174,"u")=0), "u", "")</f>
        <v/>
      </c>
      <c r="W174" s="80" t="str">
        <f>IF(AND($F174&lt;&gt;"", $F174&gt;=W$5-4, $F174&lt;=W$5, COUNTIF($M174:V174,"u")=0), "u", "")</f>
        <v/>
      </c>
      <c r="X174" s="80" t="str">
        <f>IF(AND($F174&lt;&gt;"", $F174&gt;=X$5-4, $F174&lt;=X$5, COUNTIF($M174:W174,"u")=0), "u", "")</f>
        <v/>
      </c>
      <c r="Y174" s="80" t="str">
        <f>IF(AND($F174&lt;&gt;"", $F174&gt;=Y$5-4, $F174&lt;=Y$5, COUNTIF($M174:X174,"u")=0), "u", "")</f>
        <v/>
      </c>
      <c r="Z174" s="80" t="str">
        <f>IF(AND($F174&lt;&gt;"", $F174&gt;=Z$5-4, $F174&lt;=Z$5, COUNTIF($M174:Y174,"u")=0), "u", "")</f>
        <v/>
      </c>
      <c r="AA174" s="80" t="str">
        <f>IF(AND($F174&lt;&gt;"", $F174&gt;=AA$5-4, $F174&lt;=AA$5, COUNTIF($M174:Z174,"u")=0), "u", "")</f>
        <v/>
      </c>
      <c r="AB174" s="80" t="str">
        <f>IF(AND($F174&lt;&gt;"", $F174&gt;=AB$5-4, $F174&lt;=AB$5, COUNTIF($M174:AA174,"u")=0), "u", "")</f>
        <v/>
      </c>
      <c r="AC174" s="80" t="str">
        <f>IF(AND($F174&lt;&gt;"", $F174&gt;=AC$5-4, $F174&lt;=AC$5, COUNTIF($M174:AB174,"u")=0), "u", "")</f>
        <v/>
      </c>
      <c r="AD174" s="80" t="str">
        <f>IF(AND($F174&lt;&gt;"", $F174&gt;=AD$5-4, $F174&lt;=AD$5, COUNTIF($M174:AC174,"u")=0), "u", "")</f>
        <v/>
      </c>
      <c r="AE174" s="80" t="str">
        <f>IF(AND($F174&lt;&gt;"", $F174&gt;=AE$5-4, $F174&lt;=AE$5, COUNTIF($M174:AD174,"u")=0), "u", "")</f>
        <v/>
      </c>
      <c r="AF174" s="80" t="str">
        <f>IF(AND($F174&lt;&gt;"", $F174&gt;=AF$5-4, $F174&lt;=AF$5, COUNTIF($M174:AE174,"u")=0), "u", "")</f>
        <v/>
      </c>
      <c r="AG174" s="80" t="str">
        <f>IF(AND($F174&lt;&gt;"", $F174&gt;=AG$5-4, $F174&lt;=AG$5, COUNTIF($M174:AF174,"u")=0), "u", "")</f>
        <v/>
      </c>
      <c r="AH174" s="80" t="str">
        <f>IF(AND($F174&lt;&gt;"", $F174&gt;=AH$5-4, $F174&lt;=AH$5, COUNTIF($M174:AG174,"u")=0), "u", "")</f>
        <v/>
      </c>
      <c r="AI174" s="80" t="str">
        <f>IF(AND($F174&lt;&gt;"", $F174&gt;=AI$5-4, $F174&lt;=AI$5, COUNTIF($M174:AH174,"u")=0), "u", "")</f>
        <v/>
      </c>
      <c r="AJ174" s="80" t="str">
        <f>IF(AND($F174&lt;&gt;"", $F174&gt;=AJ$5-4, $F174&lt;=AJ$5, COUNTIF($M174:AI174,"u")=0), "u", "")</f>
        <v/>
      </c>
      <c r="AK174" s="80" t="str">
        <f>IF(AND($F174&lt;&gt;"", $F174&gt;=AK$5-4, $F174&lt;=AK$5, COUNTIF($M174:AJ174,"u")=0), "u", "")</f>
        <v/>
      </c>
      <c r="AL174" s="80" t="str">
        <f>IF(AND($F174&lt;&gt;"", $F174&gt;=AL$5-4, $F174&lt;=AL$5, COUNTIF($M174:AK174,"u")=0), "u", "")</f>
        <v/>
      </c>
      <c r="AM174" s="80" t="str">
        <f>IF(AND($F174&lt;&gt;"", $F174&gt;=AM$5-4, $F174&lt;=AM$5, COUNTIF($M174:AL174,"u")=0), "u", "")</f>
        <v/>
      </c>
      <c r="AN174" s="80" t="str">
        <f>IF(AND($F174&lt;&gt;"", $F174&gt;=AN$5-4, $F174&lt;=AN$5, COUNTIF($M174:AM174,"u")=0), "u", "")</f>
        <v/>
      </c>
      <c r="AO174" s="80" t="str">
        <f>IF(AND($F174&lt;&gt;"", $F174&gt;=AO$5-4, $F174&lt;=AO$5, COUNTIF($M174:AN174,"u")=0), "u", "")</f>
        <v/>
      </c>
      <c r="AP174" s="80" t="str">
        <f>IF(AND($F174&lt;&gt;"", $F174&gt;=AP$5-4, $F174&lt;=AP$5, COUNTIF($M174:AO174,"u")=0), "u", "")</f>
        <v/>
      </c>
      <c r="AQ174" s="80" t="str">
        <f>IF(AND($F174&lt;&gt;"", $F174&gt;=AQ$5-4, $F174&lt;=AQ$5, COUNTIF($M174:AP174,"u")=0), "u", "")</f>
        <v/>
      </c>
      <c r="AR174" s="80" t="str">
        <f>IF(AND($F174&lt;&gt;"", $F174&gt;=AR$5-4, $F174&lt;=AR$5, COUNTIF($M174:AQ174,"u")=0), "u", "")</f>
        <v/>
      </c>
      <c r="AS174" s="80" t="str">
        <f>IF(AND($F174&lt;&gt;"", $F174&gt;=AS$5-4, $F174&lt;=AS$5, COUNTIF($M174:AR174,"u")=0), "u", "")</f>
        <v/>
      </c>
      <c r="AT174" s="80" t="str">
        <f>IF(AND($F174&lt;&gt;"", $F174&gt;=AT$5-4, $F174&lt;=AT$5, COUNTIF($M174:AS174,"u")=0), "u", "")</f>
        <v/>
      </c>
      <c r="AU174" s="80" t="str">
        <f>IF(AND($F174&lt;&gt;"", $F174&gt;=AU$5-4, $F174&lt;=AU$5, COUNTIF($M174:AT174,"u")=0), "u", "")</f>
        <v/>
      </c>
      <c r="AV174" s="80" t="str">
        <f>IF(AND($F174&lt;&gt;"", $F174&gt;=AV$5-4, $F174&lt;=AV$5, COUNTIF($M174:AU174,"u")=0), "u", "")</f>
        <v/>
      </c>
      <c r="AW174" s="80" t="str">
        <f>IF(AND($F174&lt;&gt;"", $F174&gt;=AW$5-4, $F174&lt;=AW$5, COUNTIF($M174:AV174,"u")=0), "u", "")</f>
        <v/>
      </c>
      <c r="AX174" s="80" t="str">
        <f>IF(AND($F174&lt;&gt;"", $F174&gt;=AX$5-4, $F174&lt;=AX$5, COUNTIF($M174:AW174,"u")=0), "u", "")</f>
        <v/>
      </c>
      <c r="AY174" s="80" t="str">
        <f>IF(AND($F174&lt;&gt;"", $F174&gt;=AY$5-4, $F174&lt;=AY$5, COUNTIF($M174:AX174,"u")=0), "u", "")</f>
        <v/>
      </c>
      <c r="AZ174" s="80" t="str">
        <f>IF(AND($F174&lt;&gt;"", $F174&gt;=AZ$5-4, $F174&lt;=AZ$5, COUNTIF($M174:AY174,"u")=0), "u", "")</f>
        <v/>
      </c>
      <c r="BA174" s="80" t="str">
        <f>IF(AND($F174&lt;&gt;"", $F174&gt;=BA$5-4, $F174&lt;=BA$5, COUNTIF($M174:AZ174,"u")=0), "u", "")</f>
        <v/>
      </c>
      <c r="BB174" s="80" t="str">
        <f>IF(AND($F174&lt;&gt;"", $F174&gt;=BB$5-4, $F174&lt;=BB$5, COUNTIF($M174:BA174,"u")=0), "u", "")</f>
        <v/>
      </c>
      <c r="BC174" s="80" t="str">
        <f>IF(AND($F174&lt;&gt;"", $F174&gt;=BC$5-4, $F174&lt;=BC$5, COUNTIF($M174:BB174,"u")=0), "u", "")</f>
        <v/>
      </c>
      <c r="BD174" s="80" t="str">
        <f>IF(AND($F174&lt;&gt;"", $F174&gt;=BD$5-4, $F174&lt;=BD$5, COUNTIF($M174:BC174,"u")=0), "u", "")</f>
        <v/>
      </c>
      <c r="BE174" s="80" t="str">
        <f>IF(AND($F174&lt;&gt;"", $F174&gt;=BE$5-4, $F174&lt;=BE$5, COUNTIF($M174:BD174,"u")=0), "u", "")</f>
        <v/>
      </c>
      <c r="BF174" s="80" t="str">
        <f>IF(AND($F174&lt;&gt;"", $F174&gt;=BF$5-4, $F174&lt;=BF$5, COUNTIF($M174:BE174,"u")=0), "u", "")</f>
        <v/>
      </c>
      <c r="BG174" s="80" t="str">
        <f>IF(AND($F174&lt;&gt;"", $F174&gt;=BG$5-4, $F174&lt;=BG$5, COUNTIF($M174:BF174,"u")=0), "u", "")</f>
        <v/>
      </c>
      <c r="BH174" s="80" t="str">
        <f>IF(AND($F174&lt;&gt;"", $F174&gt;=BH$5-4, $F174&lt;=BH$5, COUNTIF($M174:BG174,"u")=0), "u", "")</f>
        <v/>
      </c>
      <c r="BI174" s="80" t="str">
        <f>IF(AND($F174&lt;&gt;"", $F174&gt;=BI$5-4, $F174&lt;=BI$5, COUNTIF($M174:BH174,"u")=0), "u", "")</f>
        <v/>
      </c>
      <c r="BJ174" s="80" t="str">
        <f>IF(AND($F174&lt;&gt;"", $F174&gt;=BJ$5-4, $F174&lt;=BJ$5, COUNTIF($M174:BI174,"u")=0), "u", "")</f>
        <v/>
      </c>
      <c r="BK174" s="80" t="str">
        <f>IF(AND($F174&lt;&gt;"", $F174&gt;=BK$5-4, $F174&lt;=BK$5, COUNTIF($M174:BJ174,"u")=0), "u", "")</f>
        <v/>
      </c>
      <c r="BL174" s="80" t="str">
        <f>IF(AND($F174&lt;&gt;"", $F174&gt;=BL$5-4, $F174&lt;=BL$5, COUNTIF($M174:BK174,"u")=0), "u", "")</f>
        <v/>
      </c>
      <c r="BM174" s="80" t="str">
        <f>IF(AND($F174&lt;&gt;"", $F174&gt;=BM$5-4, $F174&lt;=BM$5, COUNTIF($M174:BL174,"u")=0), "u", "")</f>
        <v/>
      </c>
      <c r="BN174" s="80" t="str">
        <f>IF(AND($F174&lt;&gt;"", $F174&gt;=BN$5-4, $F174&lt;=BN$5, COUNTIF($M174:BM174,"u")=0), "u", "")</f>
        <v/>
      </c>
      <c r="BO174" s="80" t="str">
        <f>IF(AND($F174&lt;&gt;"", $F174&gt;=BO$5-4, $F174&lt;=BO$5, COUNTIF($M174:BN174,"u")=0), "u", "")</f>
        <v/>
      </c>
      <c r="BP174" s="80" t="str">
        <f>IF(AND($F174&lt;&gt;"", $F174&gt;=BP$5-4, $F174&lt;=BP$5, COUNTIF($M174:BO174,"u")=0), "u", "")</f>
        <v/>
      </c>
      <c r="BQ174" s="80" t="str">
        <f>IF(AND($F174&lt;&gt;"", $F174&gt;=BQ$5-4, $F174&lt;=BQ$5, COUNTIF($M174:BP174,"u")=0), "u", "")</f>
        <v/>
      </c>
      <c r="BR174" s="80" t="str">
        <f>IF(AND($F174&lt;&gt;"", $F174&gt;=BR$5-4, $F174&lt;=BR$5, COUNTIF($M174:BQ174,"u")=0), "u", "")</f>
        <v/>
      </c>
      <c r="BS174" s="80" t="str">
        <f>IF(AND($F174&lt;&gt;"", $F174&gt;=BS$5-4, $F174&lt;=BS$5, COUNTIF($M174:BR174,"u")=0), "u", "")</f>
        <v/>
      </c>
      <c r="BT174" s="80" t="str">
        <f>IF(AND($F174&lt;&gt;"", $F174&gt;=BT$5-4, $F174&lt;=BT$5, COUNTIF($M174:BS174,"u")=0), "u", "")</f>
        <v/>
      </c>
      <c r="BU174" s="80" t="str">
        <f>IF(AND($F174&lt;&gt;"", $F174&gt;=BU$5-4, $F174&lt;=BU$5, COUNTIF($M174:BT174,"u")=0), "u", "")</f>
        <v/>
      </c>
      <c r="BV174" s="80" t="str">
        <f>IF(AND($F174&lt;&gt;"", $F174&gt;=BV$5-4, $F174&lt;=BV$5, COUNTIF($M174:BU174,"u")=0), "u", "")</f>
        <v/>
      </c>
      <c r="BW174" s="80" t="str">
        <f>IF(AND($F174&lt;&gt;"", $F174&gt;=BW$5-4, $F174&lt;=BW$5, COUNTIF($M174:BV174,"u")=0), "u", "")</f>
        <v/>
      </c>
      <c r="BX174" s="80" t="str">
        <f>IF(AND($F174&lt;&gt;"", $F174&gt;=BX$5-4, $F174&lt;=BX$5, COUNTIF($M174:BW174,"u")=0), "u", "")</f>
        <v/>
      </c>
      <c r="BY174" s="80" t="str">
        <f>IF(AND($F174&lt;&gt;"", $F174&gt;=BY$5-4, $F174&lt;=BY$5, COUNTIF($M174:BX174,"u")=0), "u", "")</f>
        <v/>
      </c>
      <c r="BZ174" s="80" t="str">
        <f>IF(AND($F174&lt;&gt;"", $F174&gt;=BZ$5-4, $F174&lt;=BZ$5, COUNTIF($M174:BY174,"u")=0), "u", "")</f>
        <v/>
      </c>
      <c r="CA174" s="80" t="str">
        <f>IF(AND($F174&lt;&gt;"", $F174&gt;=CA$5-4, $F174&lt;=CA$5, COUNTIF($M174:BZ174,"u")=0), "u", "")</f>
        <v/>
      </c>
      <c r="CB174" s="80" t="str">
        <f>IF(AND($F174&lt;&gt;"", $F174&gt;=CB$5-4, $F174&lt;=CB$5, COUNTIF($M174:CA174,"u")=0), "u", "")</f>
        <v/>
      </c>
      <c r="CC174" s="80" t="str">
        <f>IF(AND($F174&lt;&gt;"", $F174&gt;=CC$5-4, $F174&lt;=CC$5, COUNTIF($M174:CB174,"u")=0), "u", "")</f>
        <v/>
      </c>
      <c r="CD174" s="80" t="str">
        <f>IF(AND($F174&lt;&gt;"", $F174&gt;=CD$5-4, $F174&lt;=CD$5, COUNTIF($M174:CC174,"u")=0), "u", "")</f>
        <v/>
      </c>
      <c r="CE174" s="80" t="str">
        <f>IF(AND($F174&lt;&gt;"", $F174&gt;=CE$5-4, $F174&lt;=CE$5, COUNTIF($M174:CD174,"u")=0), "u", "")</f>
        <v/>
      </c>
      <c r="CF174" s="80" t="str">
        <f>IF(AND($F174&lt;&gt;"", $F174&gt;=CF$5-4, $F174&lt;=CF$5, COUNTIF($M174:CE174,"u")=0), "u", "")</f>
        <v/>
      </c>
      <c r="CG174" s="80" t="str">
        <f>IF(AND($F174&lt;&gt;"", $F174&gt;=CG$5-4, $F174&lt;=CG$5, COUNTIF($M174:CF174,"u")=0), "u", "")</f>
        <v/>
      </c>
      <c r="CH174" s="80" t="str">
        <f>IF(AND($F174&lt;&gt;"", $F174&gt;=CH$5-4, $F174&lt;=CH$5, COUNTIF($M174:CG174,"u")=0), "u", "")</f>
        <v/>
      </c>
      <c r="CI174" s="80" t="str">
        <f>IF(AND($F174&lt;&gt;"", $F174&gt;=CI$5-4, $F174&lt;=CI$5, COUNTIF($M174:CH174,"u")=0), "u", "")</f>
        <v/>
      </c>
      <c r="CJ174" s="80" t="str">
        <f>IF(AND($F174&lt;&gt;"", $F174&gt;=CJ$5-4, $F174&lt;=CJ$5, COUNTIF($M174:CI174,"u")=0), "u", "")</f>
        <v/>
      </c>
      <c r="CK174" s="80" t="str">
        <f>IF(AND($F174&lt;&gt;"", $F174&gt;=CK$5-4, $F174&lt;=CK$5, COUNTIF($M174:CJ174,"u")=0), "u", "")</f>
        <v/>
      </c>
      <c r="CL174" s="80" t="str">
        <f>IF(AND($F174&lt;&gt;"", $F174&gt;=CL$5-4, $F174&lt;=CL$5, COUNTIF($M174:CK174,"u")=0), "u", "")</f>
        <v/>
      </c>
      <c r="CM174" s="80" t="str">
        <f>IF(AND($F174&lt;&gt;"", $F174&gt;=CM$5-4, $F174&lt;=CM$5, COUNTIF($M174:CL174,"u")=0), "u", "")</f>
        <v/>
      </c>
      <c r="CN174" s="80" t="str">
        <f>IF(AND($F174&lt;&gt;"", $F174&gt;=CN$5-4, $F174&lt;=CN$5, COUNTIF($M174:CM174,"u")=0), "u", "")</f>
        <v/>
      </c>
      <c r="CO174" s="80" t="str">
        <f>IF(AND($F174&lt;&gt;"", $F174&gt;=CO$5-4, $F174&lt;=CO$5, COUNTIF($M174:CN174,"u")=0), "u", "")</f>
        <v/>
      </c>
      <c r="CP174" s="80" t="str">
        <f>IF(AND($F174&lt;&gt;"", $F174&gt;=CP$5-4, $F174&lt;=CP$5, COUNTIF($M174:CO174,"u")=0), "u", "")</f>
        <v/>
      </c>
      <c r="CQ174" s="80" t="str">
        <f>IF(AND($F174&lt;&gt;"", $F174&gt;=CQ$5-4, $F174&lt;=CQ$5, COUNTIF($M174:CP174,"u")=0), "u", "")</f>
        <v/>
      </c>
      <c r="CR174" s="80" t="str">
        <f>IF(AND($F174&lt;&gt;"", $F174&gt;=CR$5-4, $F174&lt;=CR$5, COUNTIF($M174:CQ174,"u")=0), "u", "")</f>
        <v/>
      </c>
      <c r="CS174" s="80" t="str">
        <f>IF(AND($F174&lt;&gt;"", $F174&gt;=CS$5-4, $F174&lt;=CS$5, COUNTIF($M174:CR174,"u")=0), "u", "")</f>
        <v/>
      </c>
      <c r="CT174" s="80" t="str">
        <f>IF(AND($F174&lt;&gt;"", $F174&gt;=CT$5-4, $F174&lt;=CT$5, COUNTIF($M174:CS174,"u")=0), "u", "")</f>
        <v/>
      </c>
      <c r="CU174" s="80" t="str">
        <f>IF(AND($F174&lt;&gt;"", $F174&gt;=CU$5-4, $F174&lt;=CU$5, COUNTIF($M174:CT174,"u")=0), "u", "")</f>
        <v/>
      </c>
      <c r="CV174" s="80" t="str">
        <f>IF(AND($F174&lt;&gt;"", $F174&gt;=CV$5-4, $F174&lt;=CV$5, COUNTIF($M174:CU174,"u")=0), "u", "")</f>
        <v/>
      </c>
      <c r="CW174" s="80" t="str">
        <f>IF(AND($F174&lt;&gt;"", $F174&gt;=CW$5-4, $F174&lt;=CW$5, COUNTIF($M174:CV174,"u")=0), "u", "")</f>
        <v/>
      </c>
      <c r="CX174" s="80" t="str">
        <f>IF(AND($F174&lt;&gt;"", $F174&gt;=CX$5-4, $F174&lt;=CX$5, COUNTIF($M174:CW174,"u")=0), "u", "")</f>
        <v/>
      </c>
      <c r="CY174" s="80" t="str">
        <f>IF(AND($F174&lt;&gt;"", $F174&gt;=CY$5-4, $F174&lt;=CY$5, COUNTIF($M174:CX174,"u")=0), "u", "")</f>
        <v/>
      </c>
      <c r="CZ174" s="80" t="str">
        <f>IF(AND($F174&lt;&gt;"", $F174&gt;=CZ$5-4, $F174&lt;=CZ$5, COUNTIF($M174:CY174,"u")=0), "u", "")</f>
        <v/>
      </c>
      <c r="DA174" s="80" t="str">
        <f>IF(AND($F174&lt;&gt;"", $F174&gt;=DA$5-4, $F174&lt;=DA$5, COUNTIF($M174:CZ174,"u")=0), "u", "")</f>
        <v/>
      </c>
      <c r="DB174" s="80" t="str">
        <f>IF(AND($F174&lt;&gt;"", $F174&gt;=DB$5-4, $F174&lt;=DB$5, COUNTIF($M174:DA174,"u")=0), "u", "")</f>
        <v/>
      </c>
      <c r="DC174" s="80" t="str">
        <f>IF(AND($F174&lt;&gt;"", $F174&gt;=DC$5-4, $F174&lt;=DC$5, COUNTIF($M174:DB174,"u")=0), "u", "")</f>
        <v/>
      </c>
      <c r="DD174" s="80" t="str">
        <f>IF(AND($F174&lt;&gt;"", $F174&gt;=DD$5-4, $F174&lt;=DD$5, COUNTIF($M174:DC174,"u")=0), "u", "")</f>
        <v/>
      </c>
      <c r="DE174" s="80" t="str">
        <f>IF(AND($F174&lt;&gt;"", $F174&gt;=DE$5-4, $F174&lt;=DE$5, COUNTIF($M174:DD174,"u")=0), "u", "")</f>
        <v/>
      </c>
      <c r="DF174" s="80" t="str">
        <f>IF(AND($F174&lt;&gt;"", $F174&gt;=DF$5-4, $F174&lt;=DF$5, COUNTIF($M174:DE174,"u")=0), "u", "")</f>
        <v/>
      </c>
      <c r="DG174" s="80" t="str">
        <f>IF(AND($F174&lt;&gt;"", $F174&gt;=DG$5-4, $F174&lt;=DG$5, COUNTIF($M174:DF174,"u")=0), "u", "")</f>
        <v/>
      </c>
      <c r="DH174" s="80" t="str">
        <f>IF(AND($F174&lt;&gt;"", $F174&gt;=DH$5-4, $F174&lt;=DH$5, COUNTIF($M174:DG174,"u")=0), "u", "")</f>
        <v/>
      </c>
      <c r="DI174" s="80" t="str">
        <f>IF(AND($F174&lt;&gt;"", $F174&gt;=DI$5-4, $F174&lt;=DI$5, COUNTIF($M174:DH174,"u")=0), "u", "")</f>
        <v/>
      </c>
      <c r="DJ174" s="80" t="str">
        <f>IF(AND($F174&lt;&gt;"", $F174&gt;=DJ$5-4, $F174&lt;=DJ$5, COUNTIF($M174:DI174,"u")=0), "u", "")</f>
        <v/>
      </c>
      <c r="DK174" s="80" t="str">
        <f>IF(AND($F174&lt;&gt;"", $F174&gt;=DK$5-4, $F174&lt;=DK$5, COUNTIF($M174:DJ174,"u")=0), "u", "")</f>
        <v/>
      </c>
      <c r="DL174" s="80" t="str">
        <f>IF(AND($F174&lt;&gt;"", $F174&gt;=DL$5-4, $F174&lt;=DL$5, COUNTIF($M174:DK174,"u")=0), "u", "")</f>
        <v/>
      </c>
    </row>
    <row r="175" spans="1:116" ht="25.05" customHeight="1" x14ac:dyDescent="0.3">
      <c r="A175" s="39"/>
      <c r="B175" s="75">
        <v>170</v>
      </c>
      <c r="C175" s="97"/>
      <c r="D175" s="92"/>
      <c r="E175" s="53"/>
      <c r="F175" s="53"/>
      <c r="G175" s="83" t="str">
        <f t="shared" si="53"/>
        <v/>
      </c>
      <c r="H175" s="83" t="str">
        <f t="shared" si="53"/>
        <v/>
      </c>
      <c r="I175" s="77" t="str">
        <f t="shared" si="51"/>
        <v/>
      </c>
      <c r="J175" s="78"/>
      <c r="K175" s="86"/>
      <c r="L175" s="56"/>
      <c r="M175" s="80" t="str">
        <f t="shared" si="52"/>
        <v/>
      </c>
      <c r="N175" s="80" t="str">
        <f>IF(AND($F175&lt;&gt;"", $F175&gt;=N$5-4, $F175&lt;=N$5, COUNTIF($M175:M175,"u")=0), "u", "")</f>
        <v/>
      </c>
      <c r="O175" s="80" t="str">
        <f>IF(AND($F175&lt;&gt;"", $F175&gt;=O$5-4, $F175&lt;=O$5, COUNTIF($M175:N175,"u")=0), "u", "")</f>
        <v/>
      </c>
      <c r="P175" s="80" t="str">
        <f>IF(AND($F175&lt;&gt;"", $F175&gt;=P$5-4, $F175&lt;=P$5, COUNTIF($M175:O175,"u")=0), "u", "")</f>
        <v/>
      </c>
      <c r="Q175" s="80" t="str">
        <f>IF(AND($F175&lt;&gt;"", $F175&gt;=Q$5-4, $F175&lt;=Q$5, COUNTIF($M175:P175,"u")=0), "u", "")</f>
        <v/>
      </c>
      <c r="R175" s="80" t="str">
        <f>IF(AND($F175&lt;&gt;"", $F175&gt;=R$5-4, $F175&lt;=R$5, COUNTIF($M175:Q175,"u")=0), "u", "")</f>
        <v/>
      </c>
      <c r="S175" s="80" t="str">
        <f>IF(AND($F175&lt;&gt;"", $F175&gt;=S$5-4, $F175&lt;=S$5, COUNTIF($M175:R175,"u")=0), "u", "")</f>
        <v/>
      </c>
      <c r="T175" s="80" t="str">
        <f>IF(AND($F175&lt;&gt;"", $F175&gt;=T$5-4, $F175&lt;=T$5, COUNTIF($M175:S175,"u")=0), "u", "")</f>
        <v/>
      </c>
      <c r="U175" s="80" t="str">
        <f>IF(AND($F175&lt;&gt;"", $F175&gt;=U$5-4, $F175&lt;=U$5, COUNTIF($M175:T175,"u")=0), "u", "")</f>
        <v/>
      </c>
      <c r="V175" s="80" t="str">
        <f>IF(AND($F175&lt;&gt;"", $F175&gt;=V$5-4, $F175&lt;=V$5, COUNTIF($M175:U175,"u")=0), "u", "")</f>
        <v/>
      </c>
      <c r="W175" s="80" t="str">
        <f>IF(AND($F175&lt;&gt;"", $F175&gt;=W$5-4, $F175&lt;=W$5, COUNTIF($M175:V175,"u")=0), "u", "")</f>
        <v/>
      </c>
      <c r="X175" s="80" t="str">
        <f>IF(AND($F175&lt;&gt;"", $F175&gt;=X$5-4, $F175&lt;=X$5, COUNTIF($M175:W175,"u")=0), "u", "")</f>
        <v/>
      </c>
      <c r="Y175" s="80" t="str">
        <f>IF(AND($F175&lt;&gt;"", $F175&gt;=Y$5-4, $F175&lt;=Y$5, COUNTIF($M175:X175,"u")=0), "u", "")</f>
        <v/>
      </c>
      <c r="Z175" s="80" t="str">
        <f>IF(AND($F175&lt;&gt;"", $F175&gt;=Z$5-4, $F175&lt;=Z$5, COUNTIF($M175:Y175,"u")=0), "u", "")</f>
        <v/>
      </c>
      <c r="AA175" s="80" t="str">
        <f>IF(AND($F175&lt;&gt;"", $F175&gt;=AA$5-4, $F175&lt;=AA$5, COUNTIF($M175:Z175,"u")=0), "u", "")</f>
        <v/>
      </c>
      <c r="AB175" s="80" t="str">
        <f>IF(AND($F175&lt;&gt;"", $F175&gt;=AB$5-4, $F175&lt;=AB$5, COUNTIF($M175:AA175,"u")=0), "u", "")</f>
        <v/>
      </c>
      <c r="AC175" s="80" t="str">
        <f>IF(AND($F175&lt;&gt;"", $F175&gt;=AC$5-4, $F175&lt;=AC$5, COUNTIF($M175:AB175,"u")=0), "u", "")</f>
        <v/>
      </c>
      <c r="AD175" s="80" t="str">
        <f>IF(AND($F175&lt;&gt;"", $F175&gt;=AD$5-4, $F175&lt;=AD$5, COUNTIF($M175:AC175,"u")=0), "u", "")</f>
        <v/>
      </c>
      <c r="AE175" s="80" t="str">
        <f>IF(AND($F175&lt;&gt;"", $F175&gt;=AE$5-4, $F175&lt;=AE$5, COUNTIF($M175:AD175,"u")=0), "u", "")</f>
        <v/>
      </c>
      <c r="AF175" s="80" t="str">
        <f>IF(AND($F175&lt;&gt;"", $F175&gt;=AF$5-4, $F175&lt;=AF$5, COUNTIF($M175:AE175,"u")=0), "u", "")</f>
        <v/>
      </c>
      <c r="AG175" s="80" t="str">
        <f>IF(AND($F175&lt;&gt;"", $F175&gt;=AG$5-4, $F175&lt;=AG$5, COUNTIF($M175:AF175,"u")=0), "u", "")</f>
        <v/>
      </c>
      <c r="AH175" s="80" t="str">
        <f>IF(AND($F175&lt;&gt;"", $F175&gt;=AH$5-4, $F175&lt;=AH$5, COUNTIF($M175:AG175,"u")=0), "u", "")</f>
        <v/>
      </c>
      <c r="AI175" s="80" t="str">
        <f>IF(AND($F175&lt;&gt;"", $F175&gt;=AI$5-4, $F175&lt;=AI$5, COUNTIF($M175:AH175,"u")=0), "u", "")</f>
        <v/>
      </c>
      <c r="AJ175" s="80" t="str">
        <f>IF(AND($F175&lt;&gt;"", $F175&gt;=AJ$5-4, $F175&lt;=AJ$5, COUNTIF($M175:AI175,"u")=0), "u", "")</f>
        <v/>
      </c>
      <c r="AK175" s="80" t="str">
        <f>IF(AND($F175&lt;&gt;"", $F175&gt;=AK$5-4, $F175&lt;=AK$5, COUNTIF($M175:AJ175,"u")=0), "u", "")</f>
        <v/>
      </c>
      <c r="AL175" s="80" t="str">
        <f>IF(AND($F175&lt;&gt;"", $F175&gt;=AL$5-4, $F175&lt;=AL$5, COUNTIF($M175:AK175,"u")=0), "u", "")</f>
        <v/>
      </c>
      <c r="AM175" s="80" t="str">
        <f>IF(AND($F175&lt;&gt;"", $F175&gt;=AM$5-4, $F175&lt;=AM$5, COUNTIF($M175:AL175,"u")=0), "u", "")</f>
        <v/>
      </c>
      <c r="AN175" s="80" t="str">
        <f>IF(AND($F175&lt;&gt;"", $F175&gt;=AN$5-4, $F175&lt;=AN$5, COUNTIF($M175:AM175,"u")=0), "u", "")</f>
        <v/>
      </c>
      <c r="AO175" s="80" t="str">
        <f>IF(AND($F175&lt;&gt;"", $F175&gt;=AO$5-4, $F175&lt;=AO$5, COUNTIF($M175:AN175,"u")=0), "u", "")</f>
        <v/>
      </c>
      <c r="AP175" s="80" t="str">
        <f>IF(AND($F175&lt;&gt;"", $F175&gt;=AP$5-4, $F175&lt;=AP$5, COUNTIF($M175:AO175,"u")=0), "u", "")</f>
        <v/>
      </c>
      <c r="AQ175" s="80" t="str">
        <f>IF(AND($F175&lt;&gt;"", $F175&gt;=AQ$5-4, $F175&lt;=AQ$5, COUNTIF($M175:AP175,"u")=0), "u", "")</f>
        <v/>
      </c>
      <c r="AR175" s="80" t="str">
        <f>IF(AND($F175&lt;&gt;"", $F175&gt;=AR$5-4, $F175&lt;=AR$5, COUNTIF($M175:AQ175,"u")=0), "u", "")</f>
        <v/>
      </c>
      <c r="AS175" s="80" t="str">
        <f>IF(AND($F175&lt;&gt;"", $F175&gt;=AS$5-4, $F175&lt;=AS$5, COUNTIF($M175:AR175,"u")=0), "u", "")</f>
        <v/>
      </c>
      <c r="AT175" s="80" t="str">
        <f>IF(AND($F175&lt;&gt;"", $F175&gt;=AT$5-4, $F175&lt;=AT$5, COUNTIF($M175:AS175,"u")=0), "u", "")</f>
        <v/>
      </c>
      <c r="AU175" s="80" t="str">
        <f>IF(AND($F175&lt;&gt;"", $F175&gt;=AU$5-4, $F175&lt;=AU$5, COUNTIF($M175:AT175,"u")=0), "u", "")</f>
        <v/>
      </c>
      <c r="AV175" s="80" t="str">
        <f>IF(AND($F175&lt;&gt;"", $F175&gt;=AV$5-4, $F175&lt;=AV$5, COUNTIF($M175:AU175,"u")=0), "u", "")</f>
        <v/>
      </c>
      <c r="AW175" s="80" t="str">
        <f>IF(AND($F175&lt;&gt;"", $F175&gt;=AW$5-4, $F175&lt;=AW$5, COUNTIF($M175:AV175,"u")=0), "u", "")</f>
        <v/>
      </c>
      <c r="AX175" s="80" t="str">
        <f>IF(AND($F175&lt;&gt;"", $F175&gt;=AX$5-4, $F175&lt;=AX$5, COUNTIF($M175:AW175,"u")=0), "u", "")</f>
        <v/>
      </c>
      <c r="AY175" s="80" t="str">
        <f>IF(AND($F175&lt;&gt;"", $F175&gt;=AY$5-4, $F175&lt;=AY$5, COUNTIF($M175:AX175,"u")=0), "u", "")</f>
        <v/>
      </c>
      <c r="AZ175" s="80" t="str">
        <f>IF(AND($F175&lt;&gt;"", $F175&gt;=AZ$5-4, $F175&lt;=AZ$5, COUNTIF($M175:AY175,"u")=0), "u", "")</f>
        <v/>
      </c>
      <c r="BA175" s="80" t="str">
        <f>IF(AND($F175&lt;&gt;"", $F175&gt;=BA$5-4, $F175&lt;=BA$5, COUNTIF($M175:AZ175,"u")=0), "u", "")</f>
        <v/>
      </c>
      <c r="BB175" s="80" t="str">
        <f>IF(AND($F175&lt;&gt;"", $F175&gt;=BB$5-4, $F175&lt;=BB$5, COUNTIF($M175:BA175,"u")=0), "u", "")</f>
        <v/>
      </c>
      <c r="BC175" s="80" t="str">
        <f>IF(AND($F175&lt;&gt;"", $F175&gt;=BC$5-4, $F175&lt;=BC$5, COUNTIF($M175:BB175,"u")=0), "u", "")</f>
        <v/>
      </c>
      <c r="BD175" s="80" t="str">
        <f>IF(AND($F175&lt;&gt;"", $F175&gt;=BD$5-4, $F175&lt;=BD$5, COUNTIF($M175:BC175,"u")=0), "u", "")</f>
        <v/>
      </c>
      <c r="BE175" s="80" t="str">
        <f>IF(AND($F175&lt;&gt;"", $F175&gt;=BE$5-4, $F175&lt;=BE$5, COUNTIF($M175:BD175,"u")=0), "u", "")</f>
        <v/>
      </c>
      <c r="BF175" s="80" t="str">
        <f>IF(AND($F175&lt;&gt;"", $F175&gt;=BF$5-4, $F175&lt;=BF$5, COUNTIF($M175:BE175,"u")=0), "u", "")</f>
        <v/>
      </c>
      <c r="BG175" s="80" t="str">
        <f>IF(AND($F175&lt;&gt;"", $F175&gt;=BG$5-4, $F175&lt;=BG$5, COUNTIF($M175:BF175,"u")=0), "u", "")</f>
        <v/>
      </c>
      <c r="BH175" s="80" t="str">
        <f>IF(AND($F175&lt;&gt;"", $F175&gt;=BH$5-4, $F175&lt;=BH$5, COUNTIF($M175:BG175,"u")=0), "u", "")</f>
        <v/>
      </c>
      <c r="BI175" s="80" t="str">
        <f>IF(AND($F175&lt;&gt;"", $F175&gt;=BI$5-4, $F175&lt;=BI$5, COUNTIF($M175:BH175,"u")=0), "u", "")</f>
        <v/>
      </c>
      <c r="BJ175" s="80" t="str">
        <f>IF(AND($F175&lt;&gt;"", $F175&gt;=BJ$5-4, $F175&lt;=BJ$5, COUNTIF($M175:BI175,"u")=0), "u", "")</f>
        <v/>
      </c>
      <c r="BK175" s="80" t="str">
        <f>IF(AND($F175&lt;&gt;"", $F175&gt;=BK$5-4, $F175&lt;=BK$5, COUNTIF($M175:BJ175,"u")=0), "u", "")</f>
        <v/>
      </c>
      <c r="BL175" s="80" t="str">
        <f>IF(AND($F175&lt;&gt;"", $F175&gt;=BL$5-4, $F175&lt;=BL$5, COUNTIF($M175:BK175,"u")=0), "u", "")</f>
        <v/>
      </c>
      <c r="BM175" s="80" t="str">
        <f>IF(AND($F175&lt;&gt;"", $F175&gt;=BM$5-4, $F175&lt;=BM$5, COUNTIF($M175:BL175,"u")=0), "u", "")</f>
        <v/>
      </c>
      <c r="BN175" s="80" t="str">
        <f>IF(AND($F175&lt;&gt;"", $F175&gt;=BN$5-4, $F175&lt;=BN$5, COUNTIF($M175:BM175,"u")=0), "u", "")</f>
        <v/>
      </c>
      <c r="BO175" s="80" t="str">
        <f>IF(AND($F175&lt;&gt;"", $F175&gt;=BO$5-4, $F175&lt;=BO$5, COUNTIF($M175:BN175,"u")=0), "u", "")</f>
        <v/>
      </c>
      <c r="BP175" s="80" t="str">
        <f>IF(AND($F175&lt;&gt;"", $F175&gt;=BP$5-4, $F175&lt;=BP$5, COUNTIF($M175:BO175,"u")=0), "u", "")</f>
        <v/>
      </c>
      <c r="BQ175" s="80" t="str">
        <f>IF(AND($F175&lt;&gt;"", $F175&gt;=BQ$5-4, $F175&lt;=BQ$5, COUNTIF($M175:BP175,"u")=0), "u", "")</f>
        <v/>
      </c>
      <c r="BR175" s="80" t="str">
        <f>IF(AND($F175&lt;&gt;"", $F175&gt;=BR$5-4, $F175&lt;=BR$5, COUNTIF($M175:BQ175,"u")=0), "u", "")</f>
        <v/>
      </c>
      <c r="BS175" s="80" t="str">
        <f>IF(AND($F175&lt;&gt;"", $F175&gt;=BS$5-4, $F175&lt;=BS$5, COUNTIF($M175:BR175,"u")=0), "u", "")</f>
        <v/>
      </c>
      <c r="BT175" s="80" t="str">
        <f>IF(AND($F175&lt;&gt;"", $F175&gt;=BT$5-4, $F175&lt;=BT$5, COUNTIF($M175:BS175,"u")=0), "u", "")</f>
        <v/>
      </c>
      <c r="BU175" s="80" t="str">
        <f>IF(AND($F175&lt;&gt;"", $F175&gt;=BU$5-4, $F175&lt;=BU$5, COUNTIF($M175:BT175,"u")=0), "u", "")</f>
        <v/>
      </c>
      <c r="BV175" s="80" t="str">
        <f>IF(AND($F175&lt;&gt;"", $F175&gt;=BV$5-4, $F175&lt;=BV$5, COUNTIF($M175:BU175,"u")=0), "u", "")</f>
        <v/>
      </c>
      <c r="BW175" s="80" t="str">
        <f>IF(AND($F175&lt;&gt;"", $F175&gt;=BW$5-4, $F175&lt;=BW$5, COUNTIF($M175:BV175,"u")=0), "u", "")</f>
        <v/>
      </c>
      <c r="BX175" s="80" t="str">
        <f>IF(AND($F175&lt;&gt;"", $F175&gt;=BX$5-4, $F175&lt;=BX$5, COUNTIF($M175:BW175,"u")=0), "u", "")</f>
        <v/>
      </c>
      <c r="BY175" s="80" t="str">
        <f>IF(AND($F175&lt;&gt;"", $F175&gt;=BY$5-4, $F175&lt;=BY$5, COUNTIF($M175:BX175,"u")=0), "u", "")</f>
        <v/>
      </c>
      <c r="BZ175" s="80" t="str">
        <f>IF(AND($F175&lt;&gt;"", $F175&gt;=BZ$5-4, $F175&lt;=BZ$5, COUNTIF($M175:BY175,"u")=0), "u", "")</f>
        <v/>
      </c>
      <c r="CA175" s="80" t="str">
        <f>IF(AND($F175&lt;&gt;"", $F175&gt;=CA$5-4, $F175&lt;=CA$5, COUNTIF($M175:BZ175,"u")=0), "u", "")</f>
        <v/>
      </c>
      <c r="CB175" s="80" t="str">
        <f>IF(AND($F175&lt;&gt;"", $F175&gt;=CB$5-4, $F175&lt;=CB$5, COUNTIF($M175:CA175,"u")=0), "u", "")</f>
        <v/>
      </c>
      <c r="CC175" s="80" t="str">
        <f>IF(AND($F175&lt;&gt;"", $F175&gt;=CC$5-4, $F175&lt;=CC$5, COUNTIF($M175:CB175,"u")=0), "u", "")</f>
        <v/>
      </c>
      <c r="CD175" s="80" t="str">
        <f>IF(AND($F175&lt;&gt;"", $F175&gt;=CD$5-4, $F175&lt;=CD$5, COUNTIF($M175:CC175,"u")=0), "u", "")</f>
        <v/>
      </c>
      <c r="CE175" s="80" t="str">
        <f>IF(AND($F175&lt;&gt;"", $F175&gt;=CE$5-4, $F175&lt;=CE$5, COUNTIF($M175:CD175,"u")=0), "u", "")</f>
        <v/>
      </c>
      <c r="CF175" s="80" t="str">
        <f>IF(AND($F175&lt;&gt;"", $F175&gt;=CF$5-4, $F175&lt;=CF$5, COUNTIF($M175:CE175,"u")=0), "u", "")</f>
        <v/>
      </c>
      <c r="CG175" s="80" t="str">
        <f>IF(AND($F175&lt;&gt;"", $F175&gt;=CG$5-4, $F175&lt;=CG$5, COUNTIF($M175:CF175,"u")=0), "u", "")</f>
        <v/>
      </c>
      <c r="CH175" s="80" t="str">
        <f>IF(AND($F175&lt;&gt;"", $F175&gt;=CH$5-4, $F175&lt;=CH$5, COUNTIF($M175:CG175,"u")=0), "u", "")</f>
        <v/>
      </c>
      <c r="CI175" s="80" t="str">
        <f>IF(AND($F175&lt;&gt;"", $F175&gt;=CI$5-4, $F175&lt;=CI$5, COUNTIF($M175:CH175,"u")=0), "u", "")</f>
        <v/>
      </c>
      <c r="CJ175" s="80" t="str">
        <f>IF(AND($F175&lt;&gt;"", $F175&gt;=CJ$5-4, $F175&lt;=CJ$5, COUNTIF($M175:CI175,"u")=0), "u", "")</f>
        <v/>
      </c>
      <c r="CK175" s="80" t="str">
        <f>IF(AND($F175&lt;&gt;"", $F175&gt;=CK$5-4, $F175&lt;=CK$5, COUNTIF($M175:CJ175,"u")=0), "u", "")</f>
        <v/>
      </c>
      <c r="CL175" s="80" t="str">
        <f>IF(AND($F175&lt;&gt;"", $F175&gt;=CL$5-4, $F175&lt;=CL$5, COUNTIF($M175:CK175,"u")=0), "u", "")</f>
        <v/>
      </c>
      <c r="CM175" s="80" t="str">
        <f>IF(AND($F175&lt;&gt;"", $F175&gt;=CM$5-4, $F175&lt;=CM$5, COUNTIF($M175:CL175,"u")=0), "u", "")</f>
        <v/>
      </c>
      <c r="CN175" s="80" t="str">
        <f>IF(AND($F175&lt;&gt;"", $F175&gt;=CN$5-4, $F175&lt;=CN$5, COUNTIF($M175:CM175,"u")=0), "u", "")</f>
        <v/>
      </c>
      <c r="CO175" s="80" t="str">
        <f>IF(AND($F175&lt;&gt;"", $F175&gt;=CO$5-4, $F175&lt;=CO$5, COUNTIF($M175:CN175,"u")=0), "u", "")</f>
        <v/>
      </c>
      <c r="CP175" s="80" t="str">
        <f>IF(AND($F175&lt;&gt;"", $F175&gt;=CP$5-4, $F175&lt;=CP$5, COUNTIF($M175:CO175,"u")=0), "u", "")</f>
        <v/>
      </c>
      <c r="CQ175" s="80" t="str">
        <f>IF(AND($F175&lt;&gt;"", $F175&gt;=CQ$5-4, $F175&lt;=CQ$5, COUNTIF($M175:CP175,"u")=0), "u", "")</f>
        <v/>
      </c>
      <c r="CR175" s="80" t="str">
        <f>IF(AND($F175&lt;&gt;"", $F175&gt;=CR$5-4, $F175&lt;=CR$5, COUNTIF($M175:CQ175,"u")=0), "u", "")</f>
        <v/>
      </c>
      <c r="CS175" s="80" t="str">
        <f>IF(AND($F175&lt;&gt;"", $F175&gt;=CS$5-4, $F175&lt;=CS$5, COUNTIF($M175:CR175,"u")=0), "u", "")</f>
        <v/>
      </c>
      <c r="CT175" s="80" t="str">
        <f>IF(AND($F175&lt;&gt;"", $F175&gt;=CT$5-4, $F175&lt;=CT$5, COUNTIF($M175:CS175,"u")=0), "u", "")</f>
        <v/>
      </c>
      <c r="CU175" s="80" t="str">
        <f>IF(AND($F175&lt;&gt;"", $F175&gt;=CU$5-4, $F175&lt;=CU$5, COUNTIF($M175:CT175,"u")=0), "u", "")</f>
        <v/>
      </c>
      <c r="CV175" s="80" t="str">
        <f>IF(AND($F175&lt;&gt;"", $F175&gt;=CV$5-4, $F175&lt;=CV$5, COUNTIF($M175:CU175,"u")=0), "u", "")</f>
        <v/>
      </c>
      <c r="CW175" s="80" t="str">
        <f>IF(AND($F175&lt;&gt;"", $F175&gt;=CW$5-4, $F175&lt;=CW$5, COUNTIF($M175:CV175,"u")=0), "u", "")</f>
        <v/>
      </c>
      <c r="CX175" s="80" t="str">
        <f>IF(AND($F175&lt;&gt;"", $F175&gt;=CX$5-4, $F175&lt;=CX$5, COUNTIF($M175:CW175,"u")=0), "u", "")</f>
        <v/>
      </c>
      <c r="CY175" s="80" t="str">
        <f>IF(AND($F175&lt;&gt;"", $F175&gt;=CY$5-4, $F175&lt;=CY$5, COUNTIF($M175:CX175,"u")=0), "u", "")</f>
        <v/>
      </c>
      <c r="CZ175" s="80" t="str">
        <f>IF(AND($F175&lt;&gt;"", $F175&gt;=CZ$5-4, $F175&lt;=CZ$5, COUNTIF($M175:CY175,"u")=0), "u", "")</f>
        <v/>
      </c>
      <c r="DA175" s="80" t="str">
        <f>IF(AND($F175&lt;&gt;"", $F175&gt;=DA$5-4, $F175&lt;=DA$5, COUNTIF($M175:CZ175,"u")=0), "u", "")</f>
        <v/>
      </c>
      <c r="DB175" s="80" t="str">
        <f>IF(AND($F175&lt;&gt;"", $F175&gt;=DB$5-4, $F175&lt;=DB$5, COUNTIF($M175:DA175,"u")=0), "u", "")</f>
        <v/>
      </c>
      <c r="DC175" s="80" t="str">
        <f>IF(AND($F175&lt;&gt;"", $F175&gt;=DC$5-4, $F175&lt;=DC$5, COUNTIF($M175:DB175,"u")=0), "u", "")</f>
        <v/>
      </c>
      <c r="DD175" s="80" t="str">
        <f>IF(AND($F175&lt;&gt;"", $F175&gt;=DD$5-4, $F175&lt;=DD$5, COUNTIF($M175:DC175,"u")=0), "u", "")</f>
        <v/>
      </c>
      <c r="DE175" s="80" t="str">
        <f>IF(AND($F175&lt;&gt;"", $F175&gt;=DE$5-4, $F175&lt;=DE$5, COUNTIF($M175:DD175,"u")=0), "u", "")</f>
        <v/>
      </c>
      <c r="DF175" s="80" t="str">
        <f>IF(AND($F175&lt;&gt;"", $F175&gt;=DF$5-4, $F175&lt;=DF$5, COUNTIF($M175:DE175,"u")=0), "u", "")</f>
        <v/>
      </c>
      <c r="DG175" s="80" t="str">
        <f>IF(AND($F175&lt;&gt;"", $F175&gt;=DG$5-4, $F175&lt;=DG$5, COUNTIF($M175:DF175,"u")=0), "u", "")</f>
        <v/>
      </c>
      <c r="DH175" s="80" t="str">
        <f>IF(AND($F175&lt;&gt;"", $F175&gt;=DH$5-4, $F175&lt;=DH$5, COUNTIF($M175:DG175,"u")=0), "u", "")</f>
        <v/>
      </c>
      <c r="DI175" s="80" t="str">
        <f>IF(AND($F175&lt;&gt;"", $F175&gt;=DI$5-4, $F175&lt;=DI$5, COUNTIF($M175:DH175,"u")=0), "u", "")</f>
        <v/>
      </c>
      <c r="DJ175" s="80" t="str">
        <f>IF(AND($F175&lt;&gt;"", $F175&gt;=DJ$5-4, $F175&lt;=DJ$5, COUNTIF($M175:DI175,"u")=0), "u", "")</f>
        <v/>
      </c>
      <c r="DK175" s="80" t="str">
        <f>IF(AND($F175&lt;&gt;"", $F175&gt;=DK$5-4, $F175&lt;=DK$5, COUNTIF($M175:DJ175,"u")=0), "u", "")</f>
        <v/>
      </c>
      <c r="DL175" s="80" t="str">
        <f>IF(AND($F175&lt;&gt;"", $F175&gt;=DL$5-4, $F175&lt;=DL$5, COUNTIF($M175:DK175,"u")=0), "u", "")</f>
        <v/>
      </c>
    </row>
    <row r="176" spans="1:116" ht="25.05" customHeight="1" x14ac:dyDescent="0.3">
      <c r="A176" s="39"/>
      <c r="B176" s="75">
        <v>171</v>
      </c>
      <c r="C176" s="97"/>
      <c r="D176" s="92"/>
      <c r="E176" s="53"/>
      <c r="F176" s="53"/>
      <c r="G176" s="83" t="str">
        <f t="shared" si="53"/>
        <v/>
      </c>
      <c r="H176" s="83" t="str">
        <f t="shared" si="53"/>
        <v/>
      </c>
      <c r="I176" s="77" t="str">
        <f t="shared" si="51"/>
        <v/>
      </c>
      <c r="J176" s="78"/>
      <c r="K176" s="86"/>
      <c r="L176" s="56"/>
      <c r="M176" s="80" t="str">
        <f t="shared" si="52"/>
        <v/>
      </c>
      <c r="N176" s="80" t="str">
        <f>IF(AND($F176&lt;&gt;"", $F176&gt;=N$5-4, $F176&lt;=N$5, COUNTIF($M176:M176,"u")=0), "u", "")</f>
        <v/>
      </c>
      <c r="O176" s="80" t="str">
        <f>IF(AND($F176&lt;&gt;"", $F176&gt;=O$5-4, $F176&lt;=O$5, COUNTIF($M176:N176,"u")=0), "u", "")</f>
        <v/>
      </c>
      <c r="P176" s="80" t="str">
        <f>IF(AND($F176&lt;&gt;"", $F176&gt;=P$5-4, $F176&lt;=P$5, COUNTIF($M176:O176,"u")=0), "u", "")</f>
        <v/>
      </c>
      <c r="Q176" s="80" t="str">
        <f>IF(AND($F176&lt;&gt;"", $F176&gt;=Q$5-4, $F176&lt;=Q$5, COUNTIF($M176:P176,"u")=0), "u", "")</f>
        <v/>
      </c>
      <c r="R176" s="80" t="str">
        <f>IF(AND($F176&lt;&gt;"", $F176&gt;=R$5-4, $F176&lt;=R$5, COUNTIF($M176:Q176,"u")=0), "u", "")</f>
        <v/>
      </c>
      <c r="S176" s="80" t="str">
        <f>IF(AND($F176&lt;&gt;"", $F176&gt;=S$5-4, $F176&lt;=S$5, COUNTIF($M176:R176,"u")=0), "u", "")</f>
        <v/>
      </c>
      <c r="T176" s="80" t="str">
        <f>IF(AND($F176&lt;&gt;"", $F176&gt;=T$5-4, $F176&lt;=T$5, COUNTIF($M176:S176,"u")=0), "u", "")</f>
        <v/>
      </c>
      <c r="U176" s="80" t="str">
        <f>IF(AND($F176&lt;&gt;"", $F176&gt;=U$5-4, $F176&lt;=U$5, COUNTIF($M176:T176,"u")=0), "u", "")</f>
        <v/>
      </c>
      <c r="V176" s="80" t="str">
        <f>IF(AND($F176&lt;&gt;"", $F176&gt;=V$5-4, $F176&lt;=V$5, COUNTIF($M176:U176,"u")=0), "u", "")</f>
        <v/>
      </c>
      <c r="W176" s="80" t="str">
        <f>IF(AND($F176&lt;&gt;"", $F176&gt;=W$5-4, $F176&lt;=W$5, COUNTIF($M176:V176,"u")=0), "u", "")</f>
        <v/>
      </c>
      <c r="X176" s="80" t="str">
        <f>IF(AND($F176&lt;&gt;"", $F176&gt;=X$5-4, $F176&lt;=X$5, COUNTIF($M176:W176,"u")=0), "u", "")</f>
        <v/>
      </c>
      <c r="Y176" s="80" t="str">
        <f>IF(AND($F176&lt;&gt;"", $F176&gt;=Y$5-4, $F176&lt;=Y$5, COUNTIF($M176:X176,"u")=0), "u", "")</f>
        <v/>
      </c>
      <c r="Z176" s="80" t="str">
        <f>IF(AND($F176&lt;&gt;"", $F176&gt;=Z$5-4, $F176&lt;=Z$5, COUNTIF($M176:Y176,"u")=0), "u", "")</f>
        <v/>
      </c>
      <c r="AA176" s="80" t="str">
        <f>IF(AND($F176&lt;&gt;"", $F176&gt;=AA$5-4, $F176&lt;=AA$5, COUNTIF($M176:Z176,"u")=0), "u", "")</f>
        <v/>
      </c>
      <c r="AB176" s="80" t="str">
        <f>IF(AND($F176&lt;&gt;"", $F176&gt;=AB$5-4, $F176&lt;=AB$5, COUNTIF($M176:AA176,"u")=0), "u", "")</f>
        <v/>
      </c>
      <c r="AC176" s="80" t="str">
        <f>IF(AND($F176&lt;&gt;"", $F176&gt;=AC$5-4, $F176&lt;=AC$5, COUNTIF($M176:AB176,"u")=0), "u", "")</f>
        <v/>
      </c>
      <c r="AD176" s="80" t="str">
        <f>IF(AND($F176&lt;&gt;"", $F176&gt;=AD$5-4, $F176&lt;=AD$5, COUNTIF($M176:AC176,"u")=0), "u", "")</f>
        <v/>
      </c>
      <c r="AE176" s="80" t="str">
        <f>IF(AND($F176&lt;&gt;"", $F176&gt;=AE$5-4, $F176&lt;=AE$5, COUNTIF($M176:AD176,"u")=0), "u", "")</f>
        <v/>
      </c>
      <c r="AF176" s="80" t="str">
        <f>IF(AND($F176&lt;&gt;"", $F176&gt;=AF$5-4, $F176&lt;=AF$5, COUNTIF($M176:AE176,"u")=0), "u", "")</f>
        <v/>
      </c>
      <c r="AG176" s="80" t="str">
        <f>IF(AND($F176&lt;&gt;"", $F176&gt;=AG$5-4, $F176&lt;=AG$5, COUNTIF($M176:AF176,"u")=0), "u", "")</f>
        <v/>
      </c>
      <c r="AH176" s="80" t="str">
        <f>IF(AND($F176&lt;&gt;"", $F176&gt;=AH$5-4, $F176&lt;=AH$5, COUNTIF($M176:AG176,"u")=0), "u", "")</f>
        <v/>
      </c>
      <c r="AI176" s="80" t="str">
        <f>IF(AND($F176&lt;&gt;"", $F176&gt;=AI$5-4, $F176&lt;=AI$5, COUNTIF($M176:AH176,"u")=0), "u", "")</f>
        <v/>
      </c>
      <c r="AJ176" s="80" t="str">
        <f>IF(AND($F176&lt;&gt;"", $F176&gt;=AJ$5-4, $F176&lt;=AJ$5, COUNTIF($M176:AI176,"u")=0), "u", "")</f>
        <v/>
      </c>
      <c r="AK176" s="80" t="str">
        <f>IF(AND($F176&lt;&gt;"", $F176&gt;=AK$5-4, $F176&lt;=AK$5, COUNTIF($M176:AJ176,"u")=0), "u", "")</f>
        <v/>
      </c>
      <c r="AL176" s="80" t="str">
        <f>IF(AND($F176&lt;&gt;"", $F176&gt;=AL$5-4, $F176&lt;=AL$5, COUNTIF($M176:AK176,"u")=0), "u", "")</f>
        <v/>
      </c>
      <c r="AM176" s="80" t="str">
        <f>IF(AND($F176&lt;&gt;"", $F176&gt;=AM$5-4, $F176&lt;=AM$5, COUNTIF($M176:AL176,"u")=0), "u", "")</f>
        <v/>
      </c>
      <c r="AN176" s="80" t="str">
        <f>IF(AND($F176&lt;&gt;"", $F176&gt;=AN$5-4, $F176&lt;=AN$5, COUNTIF($M176:AM176,"u")=0), "u", "")</f>
        <v/>
      </c>
      <c r="AO176" s="80" t="str">
        <f>IF(AND($F176&lt;&gt;"", $F176&gt;=AO$5-4, $F176&lt;=AO$5, COUNTIF($M176:AN176,"u")=0), "u", "")</f>
        <v/>
      </c>
      <c r="AP176" s="80" t="str">
        <f>IF(AND($F176&lt;&gt;"", $F176&gt;=AP$5-4, $F176&lt;=AP$5, COUNTIF($M176:AO176,"u")=0), "u", "")</f>
        <v/>
      </c>
      <c r="AQ176" s="80" t="str">
        <f>IF(AND($F176&lt;&gt;"", $F176&gt;=AQ$5-4, $F176&lt;=AQ$5, COUNTIF($M176:AP176,"u")=0), "u", "")</f>
        <v/>
      </c>
      <c r="AR176" s="80" t="str">
        <f>IF(AND($F176&lt;&gt;"", $F176&gt;=AR$5-4, $F176&lt;=AR$5, COUNTIF($M176:AQ176,"u")=0), "u", "")</f>
        <v/>
      </c>
      <c r="AS176" s="80" t="str">
        <f>IF(AND($F176&lt;&gt;"", $F176&gt;=AS$5-4, $F176&lt;=AS$5, COUNTIF($M176:AR176,"u")=0), "u", "")</f>
        <v/>
      </c>
      <c r="AT176" s="80" t="str">
        <f>IF(AND($F176&lt;&gt;"", $F176&gt;=AT$5-4, $F176&lt;=AT$5, COUNTIF($M176:AS176,"u")=0), "u", "")</f>
        <v/>
      </c>
      <c r="AU176" s="80" t="str">
        <f>IF(AND($F176&lt;&gt;"", $F176&gt;=AU$5-4, $F176&lt;=AU$5, COUNTIF($M176:AT176,"u")=0), "u", "")</f>
        <v/>
      </c>
      <c r="AV176" s="80" t="str">
        <f>IF(AND($F176&lt;&gt;"", $F176&gt;=AV$5-4, $F176&lt;=AV$5, COUNTIF($M176:AU176,"u")=0), "u", "")</f>
        <v/>
      </c>
      <c r="AW176" s="80" t="str">
        <f>IF(AND($F176&lt;&gt;"", $F176&gt;=AW$5-4, $F176&lt;=AW$5, COUNTIF($M176:AV176,"u")=0), "u", "")</f>
        <v/>
      </c>
      <c r="AX176" s="80" t="str">
        <f>IF(AND($F176&lt;&gt;"", $F176&gt;=AX$5-4, $F176&lt;=AX$5, COUNTIF($M176:AW176,"u")=0), "u", "")</f>
        <v/>
      </c>
      <c r="AY176" s="80" t="str">
        <f>IF(AND($F176&lt;&gt;"", $F176&gt;=AY$5-4, $F176&lt;=AY$5, COUNTIF($M176:AX176,"u")=0), "u", "")</f>
        <v/>
      </c>
      <c r="AZ176" s="80" t="str">
        <f>IF(AND($F176&lt;&gt;"", $F176&gt;=AZ$5-4, $F176&lt;=AZ$5, COUNTIF($M176:AY176,"u")=0), "u", "")</f>
        <v/>
      </c>
      <c r="BA176" s="80" t="str">
        <f>IF(AND($F176&lt;&gt;"", $F176&gt;=BA$5-4, $F176&lt;=BA$5, COUNTIF($M176:AZ176,"u")=0), "u", "")</f>
        <v/>
      </c>
      <c r="BB176" s="80" t="str">
        <f>IF(AND($F176&lt;&gt;"", $F176&gt;=BB$5-4, $F176&lt;=BB$5, COUNTIF($M176:BA176,"u")=0), "u", "")</f>
        <v/>
      </c>
      <c r="BC176" s="80" t="str">
        <f>IF(AND($F176&lt;&gt;"", $F176&gt;=BC$5-4, $F176&lt;=BC$5, COUNTIF($M176:BB176,"u")=0), "u", "")</f>
        <v/>
      </c>
      <c r="BD176" s="80" t="str">
        <f>IF(AND($F176&lt;&gt;"", $F176&gt;=BD$5-4, $F176&lt;=BD$5, COUNTIF($M176:BC176,"u")=0), "u", "")</f>
        <v/>
      </c>
      <c r="BE176" s="80" t="str">
        <f>IF(AND($F176&lt;&gt;"", $F176&gt;=BE$5-4, $F176&lt;=BE$5, COUNTIF($M176:BD176,"u")=0), "u", "")</f>
        <v/>
      </c>
      <c r="BF176" s="80" t="str">
        <f>IF(AND($F176&lt;&gt;"", $F176&gt;=BF$5-4, $F176&lt;=BF$5, COUNTIF($M176:BE176,"u")=0), "u", "")</f>
        <v/>
      </c>
      <c r="BG176" s="80" t="str">
        <f>IF(AND($F176&lt;&gt;"", $F176&gt;=BG$5-4, $F176&lt;=BG$5, COUNTIF($M176:BF176,"u")=0), "u", "")</f>
        <v/>
      </c>
      <c r="BH176" s="80" t="str">
        <f>IF(AND($F176&lt;&gt;"", $F176&gt;=BH$5-4, $F176&lt;=BH$5, COUNTIF($M176:BG176,"u")=0), "u", "")</f>
        <v/>
      </c>
      <c r="BI176" s="80" t="str">
        <f>IF(AND($F176&lt;&gt;"", $F176&gt;=BI$5-4, $F176&lt;=BI$5, COUNTIF($M176:BH176,"u")=0), "u", "")</f>
        <v/>
      </c>
      <c r="BJ176" s="80" t="str">
        <f>IF(AND($F176&lt;&gt;"", $F176&gt;=BJ$5-4, $F176&lt;=BJ$5, COUNTIF($M176:BI176,"u")=0), "u", "")</f>
        <v/>
      </c>
      <c r="BK176" s="80" t="str">
        <f>IF(AND($F176&lt;&gt;"", $F176&gt;=BK$5-4, $F176&lt;=BK$5, COUNTIF($M176:BJ176,"u")=0), "u", "")</f>
        <v/>
      </c>
      <c r="BL176" s="80" t="str">
        <f>IF(AND($F176&lt;&gt;"", $F176&gt;=BL$5-4, $F176&lt;=BL$5, COUNTIF($M176:BK176,"u")=0), "u", "")</f>
        <v/>
      </c>
      <c r="BM176" s="80" t="str">
        <f>IF(AND($F176&lt;&gt;"", $F176&gt;=BM$5-4, $F176&lt;=BM$5, COUNTIF($M176:BL176,"u")=0), "u", "")</f>
        <v/>
      </c>
      <c r="BN176" s="80" t="str">
        <f>IF(AND($F176&lt;&gt;"", $F176&gt;=BN$5-4, $F176&lt;=BN$5, COUNTIF($M176:BM176,"u")=0), "u", "")</f>
        <v/>
      </c>
      <c r="BO176" s="80" t="str">
        <f>IF(AND($F176&lt;&gt;"", $F176&gt;=BO$5-4, $F176&lt;=BO$5, COUNTIF($M176:BN176,"u")=0), "u", "")</f>
        <v/>
      </c>
      <c r="BP176" s="80" t="str">
        <f>IF(AND($F176&lt;&gt;"", $F176&gt;=BP$5-4, $F176&lt;=BP$5, COUNTIF($M176:BO176,"u")=0), "u", "")</f>
        <v/>
      </c>
      <c r="BQ176" s="80" t="str">
        <f>IF(AND($F176&lt;&gt;"", $F176&gt;=BQ$5-4, $F176&lt;=BQ$5, COUNTIF($M176:BP176,"u")=0), "u", "")</f>
        <v/>
      </c>
      <c r="BR176" s="80" t="str">
        <f>IF(AND($F176&lt;&gt;"", $F176&gt;=BR$5-4, $F176&lt;=BR$5, COUNTIF($M176:BQ176,"u")=0), "u", "")</f>
        <v/>
      </c>
      <c r="BS176" s="80" t="str">
        <f>IF(AND($F176&lt;&gt;"", $F176&gt;=BS$5-4, $F176&lt;=BS$5, COUNTIF($M176:BR176,"u")=0), "u", "")</f>
        <v/>
      </c>
      <c r="BT176" s="80" t="str">
        <f>IF(AND($F176&lt;&gt;"", $F176&gt;=BT$5-4, $F176&lt;=BT$5, COUNTIF($M176:BS176,"u")=0), "u", "")</f>
        <v/>
      </c>
      <c r="BU176" s="80" t="str">
        <f>IF(AND($F176&lt;&gt;"", $F176&gt;=BU$5-4, $F176&lt;=BU$5, COUNTIF($M176:BT176,"u")=0), "u", "")</f>
        <v/>
      </c>
      <c r="BV176" s="80" t="str">
        <f>IF(AND($F176&lt;&gt;"", $F176&gt;=BV$5-4, $F176&lt;=BV$5, COUNTIF($M176:BU176,"u")=0), "u", "")</f>
        <v/>
      </c>
      <c r="BW176" s="80" t="str">
        <f>IF(AND($F176&lt;&gt;"", $F176&gt;=BW$5-4, $F176&lt;=BW$5, COUNTIF($M176:BV176,"u")=0), "u", "")</f>
        <v/>
      </c>
      <c r="BX176" s="80" t="str">
        <f>IF(AND($F176&lt;&gt;"", $F176&gt;=BX$5-4, $F176&lt;=BX$5, COUNTIF($M176:BW176,"u")=0), "u", "")</f>
        <v/>
      </c>
      <c r="BY176" s="80" t="str">
        <f>IF(AND($F176&lt;&gt;"", $F176&gt;=BY$5-4, $F176&lt;=BY$5, COUNTIF($M176:BX176,"u")=0), "u", "")</f>
        <v/>
      </c>
      <c r="BZ176" s="80" t="str">
        <f>IF(AND($F176&lt;&gt;"", $F176&gt;=BZ$5-4, $F176&lt;=BZ$5, COUNTIF($M176:BY176,"u")=0), "u", "")</f>
        <v/>
      </c>
      <c r="CA176" s="80" t="str">
        <f>IF(AND($F176&lt;&gt;"", $F176&gt;=CA$5-4, $F176&lt;=CA$5, COUNTIF($M176:BZ176,"u")=0), "u", "")</f>
        <v/>
      </c>
      <c r="CB176" s="80" t="str">
        <f>IF(AND($F176&lt;&gt;"", $F176&gt;=CB$5-4, $F176&lt;=CB$5, COUNTIF($M176:CA176,"u")=0), "u", "")</f>
        <v/>
      </c>
      <c r="CC176" s="80" t="str">
        <f>IF(AND($F176&lt;&gt;"", $F176&gt;=CC$5-4, $F176&lt;=CC$5, COUNTIF($M176:CB176,"u")=0), "u", "")</f>
        <v/>
      </c>
      <c r="CD176" s="80" t="str">
        <f>IF(AND($F176&lt;&gt;"", $F176&gt;=CD$5-4, $F176&lt;=CD$5, COUNTIF($M176:CC176,"u")=0), "u", "")</f>
        <v/>
      </c>
      <c r="CE176" s="80" t="str">
        <f>IF(AND($F176&lt;&gt;"", $F176&gt;=CE$5-4, $F176&lt;=CE$5, COUNTIF($M176:CD176,"u")=0), "u", "")</f>
        <v/>
      </c>
      <c r="CF176" s="80" t="str">
        <f>IF(AND($F176&lt;&gt;"", $F176&gt;=CF$5-4, $F176&lt;=CF$5, COUNTIF($M176:CE176,"u")=0), "u", "")</f>
        <v/>
      </c>
      <c r="CG176" s="80" t="str">
        <f>IF(AND($F176&lt;&gt;"", $F176&gt;=CG$5-4, $F176&lt;=CG$5, COUNTIF($M176:CF176,"u")=0), "u", "")</f>
        <v/>
      </c>
      <c r="CH176" s="80" t="str">
        <f>IF(AND($F176&lt;&gt;"", $F176&gt;=CH$5-4, $F176&lt;=CH$5, COUNTIF($M176:CG176,"u")=0), "u", "")</f>
        <v/>
      </c>
      <c r="CI176" s="80" t="str">
        <f>IF(AND($F176&lt;&gt;"", $F176&gt;=CI$5-4, $F176&lt;=CI$5, COUNTIF($M176:CH176,"u")=0), "u", "")</f>
        <v/>
      </c>
      <c r="CJ176" s="80" t="str">
        <f>IF(AND($F176&lt;&gt;"", $F176&gt;=CJ$5-4, $F176&lt;=CJ$5, COUNTIF($M176:CI176,"u")=0), "u", "")</f>
        <v/>
      </c>
      <c r="CK176" s="80" t="str">
        <f>IF(AND($F176&lt;&gt;"", $F176&gt;=CK$5-4, $F176&lt;=CK$5, COUNTIF($M176:CJ176,"u")=0), "u", "")</f>
        <v/>
      </c>
      <c r="CL176" s="80" t="str">
        <f>IF(AND($F176&lt;&gt;"", $F176&gt;=CL$5-4, $F176&lt;=CL$5, COUNTIF($M176:CK176,"u")=0), "u", "")</f>
        <v/>
      </c>
      <c r="CM176" s="80" t="str">
        <f>IF(AND($F176&lt;&gt;"", $F176&gt;=CM$5-4, $F176&lt;=CM$5, COUNTIF($M176:CL176,"u")=0), "u", "")</f>
        <v/>
      </c>
      <c r="CN176" s="80" t="str">
        <f>IF(AND($F176&lt;&gt;"", $F176&gt;=CN$5-4, $F176&lt;=CN$5, COUNTIF($M176:CM176,"u")=0), "u", "")</f>
        <v/>
      </c>
      <c r="CO176" s="80" t="str">
        <f>IF(AND($F176&lt;&gt;"", $F176&gt;=CO$5-4, $F176&lt;=CO$5, COUNTIF($M176:CN176,"u")=0), "u", "")</f>
        <v/>
      </c>
      <c r="CP176" s="80" t="str">
        <f>IF(AND($F176&lt;&gt;"", $F176&gt;=CP$5-4, $F176&lt;=CP$5, COUNTIF($M176:CO176,"u")=0), "u", "")</f>
        <v/>
      </c>
      <c r="CQ176" s="80" t="str">
        <f>IF(AND($F176&lt;&gt;"", $F176&gt;=CQ$5-4, $F176&lt;=CQ$5, COUNTIF($M176:CP176,"u")=0), "u", "")</f>
        <v/>
      </c>
      <c r="CR176" s="80" t="str">
        <f>IF(AND($F176&lt;&gt;"", $F176&gt;=CR$5-4, $F176&lt;=CR$5, COUNTIF($M176:CQ176,"u")=0), "u", "")</f>
        <v/>
      </c>
      <c r="CS176" s="80" t="str">
        <f>IF(AND($F176&lt;&gt;"", $F176&gt;=CS$5-4, $F176&lt;=CS$5, COUNTIF($M176:CR176,"u")=0), "u", "")</f>
        <v/>
      </c>
      <c r="CT176" s="80" t="str">
        <f>IF(AND($F176&lt;&gt;"", $F176&gt;=CT$5-4, $F176&lt;=CT$5, COUNTIF($M176:CS176,"u")=0), "u", "")</f>
        <v/>
      </c>
      <c r="CU176" s="80" t="str">
        <f>IF(AND($F176&lt;&gt;"", $F176&gt;=CU$5-4, $F176&lt;=CU$5, COUNTIF($M176:CT176,"u")=0), "u", "")</f>
        <v/>
      </c>
      <c r="CV176" s="80" t="str">
        <f>IF(AND($F176&lt;&gt;"", $F176&gt;=CV$5-4, $F176&lt;=CV$5, COUNTIF($M176:CU176,"u")=0), "u", "")</f>
        <v/>
      </c>
      <c r="CW176" s="80" t="str">
        <f>IF(AND($F176&lt;&gt;"", $F176&gt;=CW$5-4, $F176&lt;=CW$5, COUNTIF($M176:CV176,"u")=0), "u", "")</f>
        <v/>
      </c>
      <c r="CX176" s="80" t="str">
        <f>IF(AND($F176&lt;&gt;"", $F176&gt;=CX$5-4, $F176&lt;=CX$5, COUNTIF($M176:CW176,"u")=0), "u", "")</f>
        <v/>
      </c>
      <c r="CY176" s="80" t="str">
        <f>IF(AND($F176&lt;&gt;"", $F176&gt;=CY$5-4, $F176&lt;=CY$5, COUNTIF($M176:CX176,"u")=0), "u", "")</f>
        <v/>
      </c>
      <c r="CZ176" s="80" t="str">
        <f>IF(AND($F176&lt;&gt;"", $F176&gt;=CZ$5-4, $F176&lt;=CZ$5, COUNTIF($M176:CY176,"u")=0), "u", "")</f>
        <v/>
      </c>
      <c r="DA176" s="80" t="str">
        <f>IF(AND($F176&lt;&gt;"", $F176&gt;=DA$5-4, $F176&lt;=DA$5, COUNTIF($M176:CZ176,"u")=0), "u", "")</f>
        <v/>
      </c>
      <c r="DB176" s="80" t="str">
        <f>IF(AND($F176&lt;&gt;"", $F176&gt;=DB$5-4, $F176&lt;=DB$5, COUNTIF($M176:DA176,"u")=0), "u", "")</f>
        <v/>
      </c>
      <c r="DC176" s="80" t="str">
        <f>IF(AND($F176&lt;&gt;"", $F176&gt;=DC$5-4, $F176&lt;=DC$5, COUNTIF($M176:DB176,"u")=0), "u", "")</f>
        <v/>
      </c>
      <c r="DD176" s="80" t="str">
        <f>IF(AND($F176&lt;&gt;"", $F176&gt;=DD$5-4, $F176&lt;=DD$5, COUNTIF($M176:DC176,"u")=0), "u", "")</f>
        <v/>
      </c>
      <c r="DE176" s="80" t="str">
        <f>IF(AND($F176&lt;&gt;"", $F176&gt;=DE$5-4, $F176&lt;=DE$5, COUNTIF($M176:DD176,"u")=0), "u", "")</f>
        <v/>
      </c>
      <c r="DF176" s="80" t="str">
        <f>IF(AND($F176&lt;&gt;"", $F176&gt;=DF$5-4, $F176&lt;=DF$5, COUNTIF($M176:DE176,"u")=0), "u", "")</f>
        <v/>
      </c>
      <c r="DG176" s="80" t="str">
        <f>IF(AND($F176&lt;&gt;"", $F176&gt;=DG$5-4, $F176&lt;=DG$5, COUNTIF($M176:DF176,"u")=0), "u", "")</f>
        <v/>
      </c>
      <c r="DH176" s="80" t="str">
        <f>IF(AND($F176&lt;&gt;"", $F176&gt;=DH$5-4, $F176&lt;=DH$5, COUNTIF($M176:DG176,"u")=0), "u", "")</f>
        <v/>
      </c>
      <c r="DI176" s="80" t="str">
        <f>IF(AND($F176&lt;&gt;"", $F176&gt;=DI$5-4, $F176&lt;=DI$5, COUNTIF($M176:DH176,"u")=0), "u", "")</f>
        <v/>
      </c>
      <c r="DJ176" s="80" t="str">
        <f>IF(AND($F176&lt;&gt;"", $F176&gt;=DJ$5-4, $F176&lt;=DJ$5, COUNTIF($M176:DI176,"u")=0), "u", "")</f>
        <v/>
      </c>
      <c r="DK176" s="80" t="str">
        <f>IF(AND($F176&lt;&gt;"", $F176&gt;=DK$5-4, $F176&lt;=DK$5, COUNTIF($M176:DJ176,"u")=0), "u", "")</f>
        <v/>
      </c>
      <c r="DL176" s="80" t="str">
        <f>IF(AND($F176&lt;&gt;"", $F176&gt;=DL$5-4, $F176&lt;=DL$5, COUNTIF($M176:DK176,"u")=0), "u", "")</f>
        <v/>
      </c>
    </row>
    <row r="177" spans="1:116" ht="25.05" customHeight="1" x14ac:dyDescent="0.3">
      <c r="A177" s="39"/>
      <c r="B177" s="75">
        <v>172</v>
      </c>
      <c r="C177" s="97"/>
      <c r="D177" s="92"/>
      <c r="E177" s="53"/>
      <c r="F177" s="53"/>
      <c r="G177" s="83" t="str">
        <f t="shared" si="53"/>
        <v/>
      </c>
      <c r="H177" s="83" t="str">
        <f t="shared" si="53"/>
        <v/>
      </c>
      <c r="I177" s="77" t="str">
        <f t="shared" si="51"/>
        <v/>
      </c>
      <c r="J177" s="78"/>
      <c r="K177" s="86"/>
      <c r="L177" s="56"/>
      <c r="M177" s="80" t="str">
        <f t="shared" si="52"/>
        <v/>
      </c>
      <c r="N177" s="80" t="str">
        <f>IF(AND($F177&lt;&gt;"", $F177&gt;=N$5-4, $F177&lt;=N$5, COUNTIF($M177:M177,"u")=0), "u", "")</f>
        <v/>
      </c>
      <c r="O177" s="80" t="str">
        <f>IF(AND($F177&lt;&gt;"", $F177&gt;=O$5-4, $F177&lt;=O$5, COUNTIF($M177:N177,"u")=0), "u", "")</f>
        <v/>
      </c>
      <c r="P177" s="80" t="str">
        <f>IF(AND($F177&lt;&gt;"", $F177&gt;=P$5-4, $F177&lt;=P$5, COUNTIF($M177:O177,"u")=0), "u", "")</f>
        <v/>
      </c>
      <c r="Q177" s="80" t="str">
        <f>IF(AND($F177&lt;&gt;"", $F177&gt;=Q$5-4, $F177&lt;=Q$5, COUNTIF($M177:P177,"u")=0), "u", "")</f>
        <v/>
      </c>
      <c r="R177" s="80" t="str">
        <f>IF(AND($F177&lt;&gt;"", $F177&gt;=R$5-4, $F177&lt;=R$5, COUNTIF($M177:Q177,"u")=0), "u", "")</f>
        <v/>
      </c>
      <c r="S177" s="80" t="str">
        <f>IF(AND($F177&lt;&gt;"", $F177&gt;=S$5-4, $F177&lt;=S$5, COUNTIF($M177:R177,"u")=0), "u", "")</f>
        <v/>
      </c>
      <c r="T177" s="80" t="str">
        <f>IF(AND($F177&lt;&gt;"", $F177&gt;=T$5-4, $F177&lt;=T$5, COUNTIF($M177:S177,"u")=0), "u", "")</f>
        <v/>
      </c>
      <c r="U177" s="80" t="str">
        <f>IF(AND($F177&lt;&gt;"", $F177&gt;=U$5-4, $F177&lt;=U$5, COUNTIF($M177:T177,"u")=0), "u", "")</f>
        <v/>
      </c>
      <c r="V177" s="80" t="str">
        <f>IF(AND($F177&lt;&gt;"", $F177&gt;=V$5-4, $F177&lt;=V$5, COUNTIF($M177:U177,"u")=0), "u", "")</f>
        <v/>
      </c>
      <c r="W177" s="80" t="str">
        <f>IF(AND($F177&lt;&gt;"", $F177&gt;=W$5-4, $F177&lt;=W$5, COUNTIF($M177:V177,"u")=0), "u", "")</f>
        <v/>
      </c>
      <c r="X177" s="80" t="str">
        <f>IF(AND($F177&lt;&gt;"", $F177&gt;=X$5-4, $F177&lt;=X$5, COUNTIF($M177:W177,"u")=0), "u", "")</f>
        <v/>
      </c>
      <c r="Y177" s="80" t="str">
        <f>IF(AND($F177&lt;&gt;"", $F177&gt;=Y$5-4, $F177&lt;=Y$5, COUNTIF($M177:X177,"u")=0), "u", "")</f>
        <v/>
      </c>
      <c r="Z177" s="80" t="str">
        <f>IF(AND($F177&lt;&gt;"", $F177&gt;=Z$5-4, $F177&lt;=Z$5, COUNTIF($M177:Y177,"u")=0), "u", "")</f>
        <v/>
      </c>
      <c r="AA177" s="80" t="str">
        <f>IF(AND($F177&lt;&gt;"", $F177&gt;=AA$5-4, $F177&lt;=AA$5, COUNTIF($M177:Z177,"u")=0), "u", "")</f>
        <v/>
      </c>
      <c r="AB177" s="80" t="str">
        <f>IF(AND($F177&lt;&gt;"", $F177&gt;=AB$5-4, $F177&lt;=AB$5, COUNTIF($M177:AA177,"u")=0), "u", "")</f>
        <v/>
      </c>
      <c r="AC177" s="80" t="str">
        <f>IF(AND($F177&lt;&gt;"", $F177&gt;=AC$5-4, $F177&lt;=AC$5, COUNTIF($M177:AB177,"u")=0), "u", "")</f>
        <v/>
      </c>
      <c r="AD177" s="80" t="str">
        <f>IF(AND($F177&lt;&gt;"", $F177&gt;=AD$5-4, $F177&lt;=AD$5, COUNTIF($M177:AC177,"u")=0), "u", "")</f>
        <v/>
      </c>
      <c r="AE177" s="80" t="str">
        <f>IF(AND($F177&lt;&gt;"", $F177&gt;=AE$5-4, $F177&lt;=AE$5, COUNTIF($M177:AD177,"u")=0), "u", "")</f>
        <v/>
      </c>
      <c r="AF177" s="80" t="str">
        <f>IF(AND($F177&lt;&gt;"", $F177&gt;=AF$5-4, $F177&lt;=AF$5, COUNTIF($M177:AE177,"u")=0), "u", "")</f>
        <v/>
      </c>
      <c r="AG177" s="80" t="str">
        <f>IF(AND($F177&lt;&gt;"", $F177&gt;=AG$5-4, $F177&lt;=AG$5, COUNTIF($M177:AF177,"u")=0), "u", "")</f>
        <v/>
      </c>
      <c r="AH177" s="80" t="str">
        <f>IF(AND($F177&lt;&gt;"", $F177&gt;=AH$5-4, $F177&lt;=AH$5, COUNTIF($M177:AG177,"u")=0), "u", "")</f>
        <v/>
      </c>
      <c r="AI177" s="80" t="str">
        <f>IF(AND($F177&lt;&gt;"", $F177&gt;=AI$5-4, $F177&lt;=AI$5, COUNTIF($M177:AH177,"u")=0), "u", "")</f>
        <v/>
      </c>
      <c r="AJ177" s="80" t="str">
        <f>IF(AND($F177&lt;&gt;"", $F177&gt;=AJ$5-4, $F177&lt;=AJ$5, COUNTIF($M177:AI177,"u")=0), "u", "")</f>
        <v/>
      </c>
      <c r="AK177" s="80" t="str">
        <f>IF(AND($F177&lt;&gt;"", $F177&gt;=AK$5-4, $F177&lt;=AK$5, COUNTIF($M177:AJ177,"u")=0), "u", "")</f>
        <v/>
      </c>
      <c r="AL177" s="80" t="str">
        <f>IF(AND($F177&lt;&gt;"", $F177&gt;=AL$5-4, $F177&lt;=AL$5, COUNTIF($M177:AK177,"u")=0), "u", "")</f>
        <v/>
      </c>
      <c r="AM177" s="80" t="str">
        <f>IF(AND($F177&lt;&gt;"", $F177&gt;=AM$5-4, $F177&lt;=AM$5, COUNTIF($M177:AL177,"u")=0), "u", "")</f>
        <v/>
      </c>
      <c r="AN177" s="80" t="str">
        <f>IF(AND($F177&lt;&gt;"", $F177&gt;=AN$5-4, $F177&lt;=AN$5, COUNTIF($M177:AM177,"u")=0), "u", "")</f>
        <v/>
      </c>
      <c r="AO177" s="80" t="str">
        <f>IF(AND($F177&lt;&gt;"", $F177&gt;=AO$5-4, $F177&lt;=AO$5, COUNTIF($M177:AN177,"u")=0), "u", "")</f>
        <v/>
      </c>
      <c r="AP177" s="80" t="str">
        <f>IF(AND($F177&lt;&gt;"", $F177&gt;=AP$5-4, $F177&lt;=AP$5, COUNTIF($M177:AO177,"u")=0), "u", "")</f>
        <v/>
      </c>
      <c r="AQ177" s="80" t="str">
        <f>IF(AND($F177&lt;&gt;"", $F177&gt;=AQ$5-4, $F177&lt;=AQ$5, COUNTIF($M177:AP177,"u")=0), "u", "")</f>
        <v/>
      </c>
      <c r="AR177" s="80" t="str">
        <f>IF(AND($F177&lt;&gt;"", $F177&gt;=AR$5-4, $F177&lt;=AR$5, COUNTIF($M177:AQ177,"u")=0), "u", "")</f>
        <v/>
      </c>
      <c r="AS177" s="80" t="str">
        <f>IF(AND($F177&lt;&gt;"", $F177&gt;=AS$5-4, $F177&lt;=AS$5, COUNTIF($M177:AR177,"u")=0), "u", "")</f>
        <v/>
      </c>
      <c r="AT177" s="80" t="str">
        <f>IF(AND($F177&lt;&gt;"", $F177&gt;=AT$5-4, $F177&lt;=AT$5, COUNTIF($M177:AS177,"u")=0), "u", "")</f>
        <v/>
      </c>
      <c r="AU177" s="80" t="str">
        <f>IF(AND($F177&lt;&gt;"", $F177&gt;=AU$5-4, $F177&lt;=AU$5, COUNTIF($M177:AT177,"u")=0), "u", "")</f>
        <v/>
      </c>
      <c r="AV177" s="80" t="str">
        <f>IF(AND($F177&lt;&gt;"", $F177&gt;=AV$5-4, $F177&lt;=AV$5, COUNTIF($M177:AU177,"u")=0), "u", "")</f>
        <v/>
      </c>
      <c r="AW177" s="80" t="str">
        <f>IF(AND($F177&lt;&gt;"", $F177&gt;=AW$5-4, $F177&lt;=AW$5, COUNTIF($M177:AV177,"u")=0), "u", "")</f>
        <v/>
      </c>
      <c r="AX177" s="80" t="str">
        <f>IF(AND($F177&lt;&gt;"", $F177&gt;=AX$5-4, $F177&lt;=AX$5, COUNTIF($M177:AW177,"u")=0), "u", "")</f>
        <v/>
      </c>
      <c r="AY177" s="80" t="str">
        <f>IF(AND($F177&lt;&gt;"", $F177&gt;=AY$5-4, $F177&lt;=AY$5, COUNTIF($M177:AX177,"u")=0), "u", "")</f>
        <v/>
      </c>
      <c r="AZ177" s="80" t="str">
        <f>IF(AND($F177&lt;&gt;"", $F177&gt;=AZ$5-4, $F177&lt;=AZ$5, COUNTIF($M177:AY177,"u")=0), "u", "")</f>
        <v/>
      </c>
      <c r="BA177" s="80" t="str">
        <f>IF(AND($F177&lt;&gt;"", $F177&gt;=BA$5-4, $F177&lt;=BA$5, COUNTIF($M177:AZ177,"u")=0), "u", "")</f>
        <v/>
      </c>
      <c r="BB177" s="80" t="str">
        <f>IF(AND($F177&lt;&gt;"", $F177&gt;=BB$5-4, $F177&lt;=BB$5, COUNTIF($M177:BA177,"u")=0), "u", "")</f>
        <v/>
      </c>
      <c r="BC177" s="80" t="str">
        <f>IF(AND($F177&lt;&gt;"", $F177&gt;=BC$5-4, $F177&lt;=BC$5, COUNTIF($M177:BB177,"u")=0), "u", "")</f>
        <v/>
      </c>
      <c r="BD177" s="80" t="str">
        <f>IF(AND($F177&lt;&gt;"", $F177&gt;=BD$5-4, $F177&lt;=BD$5, COUNTIF($M177:BC177,"u")=0), "u", "")</f>
        <v/>
      </c>
      <c r="BE177" s="80" t="str">
        <f>IF(AND($F177&lt;&gt;"", $F177&gt;=BE$5-4, $F177&lt;=BE$5, COUNTIF($M177:BD177,"u")=0), "u", "")</f>
        <v/>
      </c>
      <c r="BF177" s="80" t="str">
        <f>IF(AND($F177&lt;&gt;"", $F177&gt;=BF$5-4, $F177&lt;=BF$5, COUNTIF($M177:BE177,"u")=0), "u", "")</f>
        <v/>
      </c>
      <c r="BG177" s="80" t="str">
        <f>IF(AND($F177&lt;&gt;"", $F177&gt;=BG$5-4, $F177&lt;=BG$5, COUNTIF($M177:BF177,"u")=0), "u", "")</f>
        <v/>
      </c>
      <c r="BH177" s="80" t="str">
        <f>IF(AND($F177&lt;&gt;"", $F177&gt;=BH$5-4, $F177&lt;=BH$5, COUNTIF($M177:BG177,"u")=0), "u", "")</f>
        <v/>
      </c>
      <c r="BI177" s="80" t="str">
        <f>IF(AND($F177&lt;&gt;"", $F177&gt;=BI$5-4, $F177&lt;=BI$5, COUNTIF($M177:BH177,"u")=0), "u", "")</f>
        <v/>
      </c>
      <c r="BJ177" s="80" t="str">
        <f>IF(AND($F177&lt;&gt;"", $F177&gt;=BJ$5-4, $F177&lt;=BJ$5, COUNTIF($M177:BI177,"u")=0), "u", "")</f>
        <v/>
      </c>
      <c r="BK177" s="80" t="str">
        <f>IF(AND($F177&lt;&gt;"", $F177&gt;=BK$5-4, $F177&lt;=BK$5, COUNTIF($M177:BJ177,"u")=0), "u", "")</f>
        <v/>
      </c>
      <c r="BL177" s="80" t="str">
        <f>IF(AND($F177&lt;&gt;"", $F177&gt;=BL$5-4, $F177&lt;=BL$5, COUNTIF($M177:BK177,"u")=0), "u", "")</f>
        <v/>
      </c>
      <c r="BM177" s="80" t="str">
        <f>IF(AND($F177&lt;&gt;"", $F177&gt;=BM$5-4, $F177&lt;=BM$5, COUNTIF($M177:BL177,"u")=0), "u", "")</f>
        <v/>
      </c>
      <c r="BN177" s="80" t="str">
        <f>IF(AND($F177&lt;&gt;"", $F177&gt;=BN$5-4, $F177&lt;=BN$5, COUNTIF($M177:BM177,"u")=0), "u", "")</f>
        <v/>
      </c>
      <c r="BO177" s="80" t="str">
        <f>IF(AND($F177&lt;&gt;"", $F177&gt;=BO$5-4, $F177&lt;=BO$5, COUNTIF($M177:BN177,"u")=0), "u", "")</f>
        <v/>
      </c>
      <c r="BP177" s="80" t="str">
        <f>IF(AND($F177&lt;&gt;"", $F177&gt;=BP$5-4, $F177&lt;=BP$5, COUNTIF($M177:BO177,"u")=0), "u", "")</f>
        <v/>
      </c>
      <c r="BQ177" s="80" t="str">
        <f>IF(AND($F177&lt;&gt;"", $F177&gt;=BQ$5-4, $F177&lt;=BQ$5, COUNTIF($M177:BP177,"u")=0), "u", "")</f>
        <v/>
      </c>
      <c r="BR177" s="80" t="str">
        <f>IF(AND($F177&lt;&gt;"", $F177&gt;=BR$5-4, $F177&lt;=BR$5, COUNTIF($M177:BQ177,"u")=0), "u", "")</f>
        <v/>
      </c>
      <c r="BS177" s="80" t="str">
        <f>IF(AND($F177&lt;&gt;"", $F177&gt;=BS$5-4, $F177&lt;=BS$5, COUNTIF($M177:BR177,"u")=0), "u", "")</f>
        <v/>
      </c>
      <c r="BT177" s="80" t="str">
        <f>IF(AND($F177&lt;&gt;"", $F177&gt;=BT$5-4, $F177&lt;=BT$5, COUNTIF($M177:BS177,"u")=0), "u", "")</f>
        <v/>
      </c>
      <c r="BU177" s="80" t="str">
        <f>IF(AND($F177&lt;&gt;"", $F177&gt;=BU$5-4, $F177&lt;=BU$5, COUNTIF($M177:BT177,"u")=0), "u", "")</f>
        <v/>
      </c>
      <c r="BV177" s="80" t="str">
        <f>IF(AND($F177&lt;&gt;"", $F177&gt;=BV$5-4, $F177&lt;=BV$5, COUNTIF($M177:BU177,"u")=0), "u", "")</f>
        <v/>
      </c>
      <c r="BW177" s="80" t="str">
        <f>IF(AND($F177&lt;&gt;"", $F177&gt;=BW$5-4, $F177&lt;=BW$5, COUNTIF($M177:BV177,"u")=0), "u", "")</f>
        <v/>
      </c>
      <c r="BX177" s="80" t="str">
        <f>IF(AND($F177&lt;&gt;"", $F177&gt;=BX$5-4, $F177&lt;=BX$5, COUNTIF($M177:BW177,"u")=0), "u", "")</f>
        <v/>
      </c>
      <c r="BY177" s="80" t="str">
        <f>IF(AND($F177&lt;&gt;"", $F177&gt;=BY$5-4, $F177&lt;=BY$5, COUNTIF($M177:BX177,"u")=0), "u", "")</f>
        <v/>
      </c>
      <c r="BZ177" s="80" t="str">
        <f>IF(AND($F177&lt;&gt;"", $F177&gt;=BZ$5-4, $F177&lt;=BZ$5, COUNTIF($M177:BY177,"u")=0), "u", "")</f>
        <v/>
      </c>
      <c r="CA177" s="80" t="str">
        <f>IF(AND($F177&lt;&gt;"", $F177&gt;=CA$5-4, $F177&lt;=CA$5, COUNTIF($M177:BZ177,"u")=0), "u", "")</f>
        <v/>
      </c>
      <c r="CB177" s="80" t="str">
        <f>IF(AND($F177&lt;&gt;"", $F177&gt;=CB$5-4, $F177&lt;=CB$5, COUNTIF($M177:CA177,"u")=0), "u", "")</f>
        <v/>
      </c>
      <c r="CC177" s="80" t="str">
        <f>IF(AND($F177&lt;&gt;"", $F177&gt;=CC$5-4, $F177&lt;=CC$5, COUNTIF($M177:CB177,"u")=0), "u", "")</f>
        <v/>
      </c>
      <c r="CD177" s="80" t="str">
        <f>IF(AND($F177&lt;&gt;"", $F177&gt;=CD$5-4, $F177&lt;=CD$5, COUNTIF($M177:CC177,"u")=0), "u", "")</f>
        <v/>
      </c>
      <c r="CE177" s="80" t="str">
        <f>IF(AND($F177&lt;&gt;"", $F177&gt;=CE$5-4, $F177&lt;=CE$5, COUNTIF($M177:CD177,"u")=0), "u", "")</f>
        <v/>
      </c>
      <c r="CF177" s="80" t="str">
        <f>IF(AND($F177&lt;&gt;"", $F177&gt;=CF$5-4, $F177&lt;=CF$5, COUNTIF($M177:CE177,"u")=0), "u", "")</f>
        <v/>
      </c>
      <c r="CG177" s="80" t="str">
        <f>IF(AND($F177&lt;&gt;"", $F177&gt;=CG$5-4, $F177&lt;=CG$5, COUNTIF($M177:CF177,"u")=0), "u", "")</f>
        <v/>
      </c>
      <c r="CH177" s="80" t="str">
        <f>IF(AND($F177&lt;&gt;"", $F177&gt;=CH$5-4, $F177&lt;=CH$5, COUNTIF($M177:CG177,"u")=0), "u", "")</f>
        <v/>
      </c>
      <c r="CI177" s="80" t="str">
        <f>IF(AND($F177&lt;&gt;"", $F177&gt;=CI$5-4, $F177&lt;=CI$5, COUNTIF($M177:CH177,"u")=0), "u", "")</f>
        <v/>
      </c>
      <c r="CJ177" s="80" t="str">
        <f>IF(AND($F177&lt;&gt;"", $F177&gt;=CJ$5-4, $F177&lt;=CJ$5, COUNTIF($M177:CI177,"u")=0), "u", "")</f>
        <v/>
      </c>
      <c r="CK177" s="80" t="str">
        <f>IF(AND($F177&lt;&gt;"", $F177&gt;=CK$5-4, $F177&lt;=CK$5, COUNTIF($M177:CJ177,"u")=0), "u", "")</f>
        <v/>
      </c>
      <c r="CL177" s="80" t="str">
        <f>IF(AND($F177&lt;&gt;"", $F177&gt;=CL$5-4, $F177&lt;=CL$5, COUNTIF($M177:CK177,"u")=0), "u", "")</f>
        <v/>
      </c>
      <c r="CM177" s="80" t="str">
        <f>IF(AND($F177&lt;&gt;"", $F177&gt;=CM$5-4, $F177&lt;=CM$5, COUNTIF($M177:CL177,"u")=0), "u", "")</f>
        <v/>
      </c>
      <c r="CN177" s="80" t="str">
        <f>IF(AND($F177&lt;&gt;"", $F177&gt;=CN$5-4, $F177&lt;=CN$5, COUNTIF($M177:CM177,"u")=0), "u", "")</f>
        <v/>
      </c>
      <c r="CO177" s="80" t="str">
        <f>IF(AND($F177&lt;&gt;"", $F177&gt;=CO$5-4, $F177&lt;=CO$5, COUNTIF($M177:CN177,"u")=0), "u", "")</f>
        <v/>
      </c>
      <c r="CP177" s="80" t="str">
        <f>IF(AND($F177&lt;&gt;"", $F177&gt;=CP$5-4, $F177&lt;=CP$5, COUNTIF($M177:CO177,"u")=0), "u", "")</f>
        <v/>
      </c>
      <c r="CQ177" s="80" t="str">
        <f>IF(AND($F177&lt;&gt;"", $F177&gt;=CQ$5-4, $F177&lt;=CQ$5, COUNTIF($M177:CP177,"u")=0), "u", "")</f>
        <v/>
      </c>
      <c r="CR177" s="80" t="str">
        <f>IF(AND($F177&lt;&gt;"", $F177&gt;=CR$5-4, $F177&lt;=CR$5, COUNTIF($M177:CQ177,"u")=0), "u", "")</f>
        <v/>
      </c>
      <c r="CS177" s="80" t="str">
        <f>IF(AND($F177&lt;&gt;"", $F177&gt;=CS$5-4, $F177&lt;=CS$5, COUNTIF($M177:CR177,"u")=0), "u", "")</f>
        <v/>
      </c>
      <c r="CT177" s="80" t="str">
        <f>IF(AND($F177&lt;&gt;"", $F177&gt;=CT$5-4, $F177&lt;=CT$5, COUNTIF($M177:CS177,"u")=0), "u", "")</f>
        <v/>
      </c>
      <c r="CU177" s="80" t="str">
        <f>IF(AND($F177&lt;&gt;"", $F177&gt;=CU$5-4, $F177&lt;=CU$5, COUNTIF($M177:CT177,"u")=0), "u", "")</f>
        <v/>
      </c>
      <c r="CV177" s="80" t="str">
        <f>IF(AND($F177&lt;&gt;"", $F177&gt;=CV$5-4, $F177&lt;=CV$5, COUNTIF($M177:CU177,"u")=0), "u", "")</f>
        <v/>
      </c>
      <c r="CW177" s="80" t="str">
        <f>IF(AND($F177&lt;&gt;"", $F177&gt;=CW$5-4, $F177&lt;=CW$5, COUNTIF($M177:CV177,"u")=0), "u", "")</f>
        <v/>
      </c>
      <c r="CX177" s="80" t="str">
        <f>IF(AND($F177&lt;&gt;"", $F177&gt;=CX$5-4, $F177&lt;=CX$5, COUNTIF($M177:CW177,"u")=0), "u", "")</f>
        <v/>
      </c>
      <c r="CY177" s="80" t="str">
        <f>IF(AND($F177&lt;&gt;"", $F177&gt;=CY$5-4, $F177&lt;=CY$5, COUNTIF($M177:CX177,"u")=0), "u", "")</f>
        <v/>
      </c>
      <c r="CZ177" s="80" t="str">
        <f>IF(AND($F177&lt;&gt;"", $F177&gt;=CZ$5-4, $F177&lt;=CZ$5, COUNTIF($M177:CY177,"u")=0), "u", "")</f>
        <v/>
      </c>
      <c r="DA177" s="80" t="str">
        <f>IF(AND($F177&lt;&gt;"", $F177&gt;=DA$5-4, $F177&lt;=DA$5, COUNTIF($M177:CZ177,"u")=0), "u", "")</f>
        <v/>
      </c>
      <c r="DB177" s="80" t="str">
        <f>IF(AND($F177&lt;&gt;"", $F177&gt;=DB$5-4, $F177&lt;=DB$5, COUNTIF($M177:DA177,"u")=0), "u", "")</f>
        <v/>
      </c>
      <c r="DC177" s="80" t="str">
        <f>IF(AND($F177&lt;&gt;"", $F177&gt;=DC$5-4, $F177&lt;=DC$5, COUNTIF($M177:DB177,"u")=0), "u", "")</f>
        <v/>
      </c>
      <c r="DD177" s="80" t="str">
        <f>IF(AND($F177&lt;&gt;"", $F177&gt;=DD$5-4, $F177&lt;=DD$5, COUNTIF($M177:DC177,"u")=0), "u", "")</f>
        <v/>
      </c>
      <c r="DE177" s="80" t="str">
        <f>IF(AND($F177&lt;&gt;"", $F177&gt;=DE$5-4, $F177&lt;=DE$5, COUNTIF($M177:DD177,"u")=0), "u", "")</f>
        <v/>
      </c>
      <c r="DF177" s="80" t="str">
        <f>IF(AND($F177&lt;&gt;"", $F177&gt;=DF$5-4, $F177&lt;=DF$5, COUNTIF($M177:DE177,"u")=0), "u", "")</f>
        <v/>
      </c>
      <c r="DG177" s="80" t="str">
        <f>IF(AND($F177&lt;&gt;"", $F177&gt;=DG$5-4, $F177&lt;=DG$5, COUNTIF($M177:DF177,"u")=0), "u", "")</f>
        <v/>
      </c>
      <c r="DH177" s="80" t="str">
        <f>IF(AND($F177&lt;&gt;"", $F177&gt;=DH$5-4, $F177&lt;=DH$5, COUNTIF($M177:DG177,"u")=0), "u", "")</f>
        <v/>
      </c>
      <c r="DI177" s="80" t="str">
        <f>IF(AND($F177&lt;&gt;"", $F177&gt;=DI$5-4, $F177&lt;=DI$5, COUNTIF($M177:DH177,"u")=0), "u", "")</f>
        <v/>
      </c>
      <c r="DJ177" s="80" t="str">
        <f>IF(AND($F177&lt;&gt;"", $F177&gt;=DJ$5-4, $F177&lt;=DJ$5, COUNTIF($M177:DI177,"u")=0), "u", "")</f>
        <v/>
      </c>
      <c r="DK177" s="80" t="str">
        <f>IF(AND($F177&lt;&gt;"", $F177&gt;=DK$5-4, $F177&lt;=DK$5, COUNTIF($M177:DJ177,"u")=0), "u", "")</f>
        <v/>
      </c>
      <c r="DL177" s="80" t="str">
        <f>IF(AND($F177&lt;&gt;"", $F177&gt;=DL$5-4, $F177&lt;=DL$5, COUNTIF($M177:DK177,"u")=0), "u", "")</f>
        <v/>
      </c>
    </row>
    <row r="178" spans="1:116" ht="25.05" customHeight="1" x14ac:dyDescent="0.3">
      <c r="A178" s="39"/>
      <c r="B178" s="75">
        <v>173</v>
      </c>
      <c r="C178" s="97"/>
      <c r="D178" s="92"/>
      <c r="E178" s="53"/>
      <c r="F178" s="53"/>
      <c r="G178" s="83" t="str">
        <f t="shared" si="53"/>
        <v/>
      </c>
      <c r="H178" s="83" t="str">
        <f t="shared" si="53"/>
        <v/>
      </c>
      <c r="I178" s="77" t="str">
        <f t="shared" si="51"/>
        <v/>
      </c>
      <c r="J178" s="78"/>
      <c r="K178" s="86"/>
      <c r="L178" s="56"/>
      <c r="M178" s="80" t="str">
        <f t="shared" si="52"/>
        <v/>
      </c>
      <c r="N178" s="80" t="str">
        <f>IF(AND($F178&lt;&gt;"", $F178&gt;=N$5-4, $F178&lt;=N$5, COUNTIF($M178:M178,"u")=0), "u", "")</f>
        <v/>
      </c>
      <c r="O178" s="80" t="str">
        <f>IF(AND($F178&lt;&gt;"", $F178&gt;=O$5-4, $F178&lt;=O$5, COUNTIF($M178:N178,"u")=0), "u", "")</f>
        <v/>
      </c>
      <c r="P178" s="80" t="str">
        <f>IF(AND($F178&lt;&gt;"", $F178&gt;=P$5-4, $F178&lt;=P$5, COUNTIF($M178:O178,"u")=0), "u", "")</f>
        <v/>
      </c>
      <c r="Q178" s="80" t="str">
        <f>IF(AND($F178&lt;&gt;"", $F178&gt;=Q$5-4, $F178&lt;=Q$5, COUNTIF($M178:P178,"u")=0), "u", "")</f>
        <v/>
      </c>
      <c r="R178" s="80" t="str">
        <f>IF(AND($F178&lt;&gt;"", $F178&gt;=R$5-4, $F178&lt;=R$5, COUNTIF($M178:Q178,"u")=0), "u", "")</f>
        <v/>
      </c>
      <c r="S178" s="80" t="str">
        <f>IF(AND($F178&lt;&gt;"", $F178&gt;=S$5-4, $F178&lt;=S$5, COUNTIF($M178:R178,"u")=0), "u", "")</f>
        <v/>
      </c>
      <c r="T178" s="80" t="str">
        <f>IF(AND($F178&lt;&gt;"", $F178&gt;=T$5-4, $F178&lt;=T$5, COUNTIF($M178:S178,"u")=0), "u", "")</f>
        <v/>
      </c>
      <c r="U178" s="80" t="str">
        <f>IF(AND($F178&lt;&gt;"", $F178&gt;=U$5-4, $F178&lt;=U$5, COUNTIF($M178:T178,"u")=0), "u", "")</f>
        <v/>
      </c>
      <c r="V178" s="80" t="str">
        <f>IF(AND($F178&lt;&gt;"", $F178&gt;=V$5-4, $F178&lt;=V$5, COUNTIF($M178:U178,"u")=0), "u", "")</f>
        <v/>
      </c>
      <c r="W178" s="80" t="str">
        <f>IF(AND($F178&lt;&gt;"", $F178&gt;=W$5-4, $F178&lt;=W$5, COUNTIF($M178:V178,"u")=0), "u", "")</f>
        <v/>
      </c>
      <c r="X178" s="80" t="str">
        <f>IF(AND($F178&lt;&gt;"", $F178&gt;=X$5-4, $F178&lt;=X$5, COUNTIF($M178:W178,"u")=0), "u", "")</f>
        <v/>
      </c>
      <c r="Y178" s="80" t="str">
        <f>IF(AND($F178&lt;&gt;"", $F178&gt;=Y$5-4, $F178&lt;=Y$5, COUNTIF($M178:X178,"u")=0), "u", "")</f>
        <v/>
      </c>
      <c r="Z178" s="80" t="str">
        <f>IF(AND($F178&lt;&gt;"", $F178&gt;=Z$5-4, $F178&lt;=Z$5, COUNTIF($M178:Y178,"u")=0), "u", "")</f>
        <v/>
      </c>
      <c r="AA178" s="80" t="str">
        <f>IF(AND($F178&lt;&gt;"", $F178&gt;=AA$5-4, $F178&lt;=AA$5, COUNTIF($M178:Z178,"u")=0), "u", "")</f>
        <v/>
      </c>
      <c r="AB178" s="80" t="str">
        <f>IF(AND($F178&lt;&gt;"", $F178&gt;=AB$5-4, $F178&lt;=AB$5, COUNTIF($M178:AA178,"u")=0), "u", "")</f>
        <v/>
      </c>
      <c r="AC178" s="80" t="str">
        <f>IF(AND($F178&lt;&gt;"", $F178&gt;=AC$5-4, $F178&lt;=AC$5, COUNTIF($M178:AB178,"u")=0), "u", "")</f>
        <v/>
      </c>
      <c r="AD178" s="80" t="str">
        <f>IF(AND($F178&lt;&gt;"", $F178&gt;=AD$5-4, $F178&lt;=AD$5, COUNTIF($M178:AC178,"u")=0), "u", "")</f>
        <v/>
      </c>
      <c r="AE178" s="80" t="str">
        <f>IF(AND($F178&lt;&gt;"", $F178&gt;=AE$5-4, $F178&lt;=AE$5, COUNTIF($M178:AD178,"u")=0), "u", "")</f>
        <v/>
      </c>
      <c r="AF178" s="80" t="str">
        <f>IF(AND($F178&lt;&gt;"", $F178&gt;=AF$5-4, $F178&lt;=AF$5, COUNTIF($M178:AE178,"u")=0), "u", "")</f>
        <v/>
      </c>
      <c r="AG178" s="80" t="str">
        <f>IF(AND($F178&lt;&gt;"", $F178&gt;=AG$5-4, $F178&lt;=AG$5, COUNTIF($M178:AF178,"u")=0), "u", "")</f>
        <v/>
      </c>
      <c r="AH178" s="80" t="str">
        <f>IF(AND($F178&lt;&gt;"", $F178&gt;=AH$5-4, $F178&lt;=AH$5, COUNTIF($M178:AG178,"u")=0), "u", "")</f>
        <v/>
      </c>
      <c r="AI178" s="80" t="str">
        <f>IF(AND($F178&lt;&gt;"", $F178&gt;=AI$5-4, $F178&lt;=AI$5, COUNTIF($M178:AH178,"u")=0), "u", "")</f>
        <v/>
      </c>
      <c r="AJ178" s="80" t="str">
        <f>IF(AND($F178&lt;&gt;"", $F178&gt;=AJ$5-4, $F178&lt;=AJ$5, COUNTIF($M178:AI178,"u")=0), "u", "")</f>
        <v/>
      </c>
      <c r="AK178" s="80" t="str">
        <f>IF(AND($F178&lt;&gt;"", $F178&gt;=AK$5-4, $F178&lt;=AK$5, COUNTIF($M178:AJ178,"u")=0), "u", "")</f>
        <v/>
      </c>
      <c r="AL178" s="80" t="str">
        <f>IF(AND($F178&lt;&gt;"", $F178&gt;=AL$5-4, $F178&lt;=AL$5, COUNTIF($M178:AK178,"u")=0), "u", "")</f>
        <v/>
      </c>
      <c r="AM178" s="80" t="str">
        <f>IF(AND($F178&lt;&gt;"", $F178&gt;=AM$5-4, $F178&lt;=AM$5, COUNTIF($M178:AL178,"u")=0), "u", "")</f>
        <v/>
      </c>
      <c r="AN178" s="80" t="str">
        <f>IF(AND($F178&lt;&gt;"", $F178&gt;=AN$5-4, $F178&lt;=AN$5, COUNTIF($M178:AM178,"u")=0), "u", "")</f>
        <v/>
      </c>
      <c r="AO178" s="80" t="str">
        <f>IF(AND($F178&lt;&gt;"", $F178&gt;=AO$5-4, $F178&lt;=AO$5, COUNTIF($M178:AN178,"u")=0), "u", "")</f>
        <v/>
      </c>
      <c r="AP178" s="80" t="str">
        <f>IF(AND($F178&lt;&gt;"", $F178&gt;=AP$5-4, $F178&lt;=AP$5, COUNTIF($M178:AO178,"u")=0), "u", "")</f>
        <v/>
      </c>
      <c r="AQ178" s="80" t="str">
        <f>IF(AND($F178&lt;&gt;"", $F178&gt;=AQ$5-4, $F178&lt;=AQ$5, COUNTIF($M178:AP178,"u")=0), "u", "")</f>
        <v/>
      </c>
      <c r="AR178" s="80" t="str">
        <f>IF(AND($F178&lt;&gt;"", $F178&gt;=AR$5-4, $F178&lt;=AR$5, COUNTIF($M178:AQ178,"u")=0), "u", "")</f>
        <v/>
      </c>
      <c r="AS178" s="80" t="str">
        <f>IF(AND($F178&lt;&gt;"", $F178&gt;=AS$5-4, $F178&lt;=AS$5, COUNTIF($M178:AR178,"u")=0), "u", "")</f>
        <v/>
      </c>
      <c r="AT178" s="80" t="str">
        <f>IF(AND($F178&lt;&gt;"", $F178&gt;=AT$5-4, $F178&lt;=AT$5, COUNTIF($M178:AS178,"u")=0), "u", "")</f>
        <v/>
      </c>
      <c r="AU178" s="80" t="str">
        <f>IF(AND($F178&lt;&gt;"", $F178&gt;=AU$5-4, $F178&lt;=AU$5, COUNTIF($M178:AT178,"u")=0), "u", "")</f>
        <v/>
      </c>
      <c r="AV178" s="80" t="str">
        <f>IF(AND($F178&lt;&gt;"", $F178&gt;=AV$5-4, $F178&lt;=AV$5, COUNTIF($M178:AU178,"u")=0), "u", "")</f>
        <v/>
      </c>
      <c r="AW178" s="80" t="str">
        <f>IF(AND($F178&lt;&gt;"", $F178&gt;=AW$5-4, $F178&lt;=AW$5, COUNTIF($M178:AV178,"u")=0), "u", "")</f>
        <v/>
      </c>
      <c r="AX178" s="80" t="str">
        <f>IF(AND($F178&lt;&gt;"", $F178&gt;=AX$5-4, $F178&lt;=AX$5, COUNTIF($M178:AW178,"u")=0), "u", "")</f>
        <v/>
      </c>
      <c r="AY178" s="80" t="str">
        <f>IF(AND($F178&lt;&gt;"", $F178&gt;=AY$5-4, $F178&lt;=AY$5, COUNTIF($M178:AX178,"u")=0), "u", "")</f>
        <v/>
      </c>
      <c r="AZ178" s="80" t="str">
        <f>IF(AND($F178&lt;&gt;"", $F178&gt;=AZ$5-4, $F178&lt;=AZ$5, COUNTIF($M178:AY178,"u")=0), "u", "")</f>
        <v/>
      </c>
      <c r="BA178" s="80" t="str">
        <f>IF(AND($F178&lt;&gt;"", $F178&gt;=BA$5-4, $F178&lt;=BA$5, COUNTIF($M178:AZ178,"u")=0), "u", "")</f>
        <v/>
      </c>
      <c r="BB178" s="80" t="str">
        <f>IF(AND($F178&lt;&gt;"", $F178&gt;=BB$5-4, $F178&lt;=BB$5, COUNTIF($M178:BA178,"u")=0), "u", "")</f>
        <v/>
      </c>
      <c r="BC178" s="80" t="str">
        <f>IF(AND($F178&lt;&gt;"", $F178&gt;=BC$5-4, $F178&lt;=BC$5, COUNTIF($M178:BB178,"u")=0), "u", "")</f>
        <v/>
      </c>
      <c r="BD178" s="80" t="str">
        <f>IF(AND($F178&lt;&gt;"", $F178&gt;=BD$5-4, $F178&lt;=BD$5, COUNTIF($M178:BC178,"u")=0), "u", "")</f>
        <v/>
      </c>
      <c r="BE178" s="80" t="str">
        <f>IF(AND($F178&lt;&gt;"", $F178&gt;=BE$5-4, $F178&lt;=BE$5, COUNTIF($M178:BD178,"u")=0), "u", "")</f>
        <v/>
      </c>
      <c r="BF178" s="80" t="str">
        <f>IF(AND($F178&lt;&gt;"", $F178&gt;=BF$5-4, $F178&lt;=BF$5, COUNTIF($M178:BE178,"u")=0), "u", "")</f>
        <v/>
      </c>
      <c r="BG178" s="80" t="str">
        <f>IF(AND($F178&lt;&gt;"", $F178&gt;=BG$5-4, $F178&lt;=BG$5, COUNTIF($M178:BF178,"u")=0), "u", "")</f>
        <v/>
      </c>
      <c r="BH178" s="80" t="str">
        <f>IF(AND($F178&lt;&gt;"", $F178&gt;=BH$5-4, $F178&lt;=BH$5, COUNTIF($M178:BG178,"u")=0), "u", "")</f>
        <v/>
      </c>
      <c r="BI178" s="80" t="str">
        <f>IF(AND($F178&lt;&gt;"", $F178&gt;=BI$5-4, $F178&lt;=BI$5, COUNTIF($M178:BH178,"u")=0), "u", "")</f>
        <v/>
      </c>
      <c r="BJ178" s="80" t="str">
        <f>IF(AND($F178&lt;&gt;"", $F178&gt;=BJ$5-4, $F178&lt;=BJ$5, COUNTIF($M178:BI178,"u")=0), "u", "")</f>
        <v/>
      </c>
      <c r="BK178" s="80" t="str">
        <f>IF(AND($F178&lt;&gt;"", $F178&gt;=BK$5-4, $F178&lt;=BK$5, COUNTIF($M178:BJ178,"u")=0), "u", "")</f>
        <v/>
      </c>
      <c r="BL178" s="80" t="str">
        <f>IF(AND($F178&lt;&gt;"", $F178&gt;=BL$5-4, $F178&lt;=BL$5, COUNTIF($M178:BK178,"u")=0), "u", "")</f>
        <v/>
      </c>
      <c r="BM178" s="80" t="str">
        <f>IF(AND($F178&lt;&gt;"", $F178&gt;=BM$5-4, $F178&lt;=BM$5, COUNTIF($M178:BL178,"u")=0), "u", "")</f>
        <v/>
      </c>
      <c r="BN178" s="80" t="str">
        <f>IF(AND($F178&lt;&gt;"", $F178&gt;=BN$5-4, $F178&lt;=BN$5, COUNTIF($M178:BM178,"u")=0), "u", "")</f>
        <v/>
      </c>
      <c r="BO178" s="80" t="str">
        <f>IF(AND($F178&lt;&gt;"", $F178&gt;=BO$5-4, $F178&lt;=BO$5, COUNTIF($M178:BN178,"u")=0), "u", "")</f>
        <v/>
      </c>
      <c r="BP178" s="80" t="str">
        <f>IF(AND($F178&lt;&gt;"", $F178&gt;=BP$5-4, $F178&lt;=BP$5, COUNTIF($M178:BO178,"u")=0), "u", "")</f>
        <v/>
      </c>
      <c r="BQ178" s="80" t="str">
        <f>IF(AND($F178&lt;&gt;"", $F178&gt;=BQ$5-4, $F178&lt;=BQ$5, COUNTIF($M178:BP178,"u")=0), "u", "")</f>
        <v/>
      </c>
      <c r="BR178" s="80" t="str">
        <f>IF(AND($F178&lt;&gt;"", $F178&gt;=BR$5-4, $F178&lt;=BR$5, COUNTIF($M178:BQ178,"u")=0), "u", "")</f>
        <v/>
      </c>
      <c r="BS178" s="80" t="str">
        <f>IF(AND($F178&lt;&gt;"", $F178&gt;=BS$5-4, $F178&lt;=BS$5, COUNTIF($M178:BR178,"u")=0), "u", "")</f>
        <v/>
      </c>
      <c r="BT178" s="80" t="str">
        <f>IF(AND($F178&lt;&gt;"", $F178&gt;=BT$5-4, $F178&lt;=BT$5, COUNTIF($M178:BS178,"u")=0), "u", "")</f>
        <v/>
      </c>
      <c r="BU178" s="80" t="str">
        <f>IF(AND($F178&lt;&gt;"", $F178&gt;=BU$5-4, $F178&lt;=BU$5, COUNTIF($M178:BT178,"u")=0), "u", "")</f>
        <v/>
      </c>
      <c r="BV178" s="80" t="str">
        <f>IF(AND($F178&lt;&gt;"", $F178&gt;=BV$5-4, $F178&lt;=BV$5, COUNTIF($M178:BU178,"u")=0), "u", "")</f>
        <v/>
      </c>
      <c r="BW178" s="80" t="str">
        <f>IF(AND($F178&lt;&gt;"", $F178&gt;=BW$5-4, $F178&lt;=BW$5, COUNTIF($M178:BV178,"u")=0), "u", "")</f>
        <v/>
      </c>
      <c r="BX178" s="80" t="str">
        <f>IF(AND($F178&lt;&gt;"", $F178&gt;=BX$5-4, $F178&lt;=BX$5, COUNTIF($M178:BW178,"u")=0), "u", "")</f>
        <v/>
      </c>
      <c r="BY178" s="80" t="str">
        <f>IF(AND($F178&lt;&gt;"", $F178&gt;=BY$5-4, $F178&lt;=BY$5, COUNTIF($M178:BX178,"u")=0), "u", "")</f>
        <v/>
      </c>
      <c r="BZ178" s="80" t="str">
        <f>IF(AND($F178&lt;&gt;"", $F178&gt;=BZ$5-4, $F178&lt;=BZ$5, COUNTIF($M178:BY178,"u")=0), "u", "")</f>
        <v/>
      </c>
      <c r="CA178" s="80" t="str">
        <f>IF(AND($F178&lt;&gt;"", $F178&gt;=CA$5-4, $F178&lt;=CA$5, COUNTIF($M178:BZ178,"u")=0), "u", "")</f>
        <v/>
      </c>
      <c r="CB178" s="80" t="str">
        <f>IF(AND($F178&lt;&gt;"", $F178&gt;=CB$5-4, $F178&lt;=CB$5, COUNTIF($M178:CA178,"u")=0), "u", "")</f>
        <v/>
      </c>
      <c r="CC178" s="80" t="str">
        <f>IF(AND($F178&lt;&gt;"", $F178&gt;=CC$5-4, $F178&lt;=CC$5, COUNTIF($M178:CB178,"u")=0), "u", "")</f>
        <v/>
      </c>
      <c r="CD178" s="80" t="str">
        <f>IF(AND($F178&lt;&gt;"", $F178&gt;=CD$5-4, $F178&lt;=CD$5, COUNTIF($M178:CC178,"u")=0), "u", "")</f>
        <v/>
      </c>
      <c r="CE178" s="80" t="str">
        <f>IF(AND($F178&lt;&gt;"", $F178&gt;=CE$5-4, $F178&lt;=CE$5, COUNTIF($M178:CD178,"u")=0), "u", "")</f>
        <v/>
      </c>
      <c r="CF178" s="80" t="str">
        <f>IF(AND($F178&lt;&gt;"", $F178&gt;=CF$5-4, $F178&lt;=CF$5, COUNTIF($M178:CE178,"u")=0), "u", "")</f>
        <v/>
      </c>
      <c r="CG178" s="80" t="str">
        <f>IF(AND($F178&lt;&gt;"", $F178&gt;=CG$5-4, $F178&lt;=CG$5, COUNTIF($M178:CF178,"u")=0), "u", "")</f>
        <v/>
      </c>
      <c r="CH178" s="80" t="str">
        <f>IF(AND($F178&lt;&gt;"", $F178&gt;=CH$5-4, $F178&lt;=CH$5, COUNTIF($M178:CG178,"u")=0), "u", "")</f>
        <v/>
      </c>
      <c r="CI178" s="80" t="str">
        <f>IF(AND($F178&lt;&gt;"", $F178&gt;=CI$5-4, $F178&lt;=CI$5, COUNTIF($M178:CH178,"u")=0), "u", "")</f>
        <v/>
      </c>
      <c r="CJ178" s="80" t="str">
        <f>IF(AND($F178&lt;&gt;"", $F178&gt;=CJ$5-4, $F178&lt;=CJ$5, COUNTIF($M178:CI178,"u")=0), "u", "")</f>
        <v/>
      </c>
      <c r="CK178" s="80" t="str">
        <f>IF(AND($F178&lt;&gt;"", $F178&gt;=CK$5-4, $F178&lt;=CK$5, COUNTIF($M178:CJ178,"u")=0), "u", "")</f>
        <v/>
      </c>
      <c r="CL178" s="80" t="str">
        <f>IF(AND($F178&lt;&gt;"", $F178&gt;=CL$5-4, $F178&lt;=CL$5, COUNTIF($M178:CK178,"u")=0), "u", "")</f>
        <v/>
      </c>
      <c r="CM178" s="80" t="str">
        <f>IF(AND($F178&lt;&gt;"", $F178&gt;=CM$5-4, $F178&lt;=CM$5, COUNTIF($M178:CL178,"u")=0), "u", "")</f>
        <v/>
      </c>
      <c r="CN178" s="80" t="str">
        <f>IF(AND($F178&lt;&gt;"", $F178&gt;=CN$5-4, $F178&lt;=CN$5, COUNTIF($M178:CM178,"u")=0), "u", "")</f>
        <v/>
      </c>
      <c r="CO178" s="80" t="str">
        <f>IF(AND($F178&lt;&gt;"", $F178&gt;=CO$5-4, $F178&lt;=CO$5, COUNTIF($M178:CN178,"u")=0), "u", "")</f>
        <v/>
      </c>
      <c r="CP178" s="80" t="str">
        <f>IF(AND($F178&lt;&gt;"", $F178&gt;=CP$5-4, $F178&lt;=CP$5, COUNTIF($M178:CO178,"u")=0), "u", "")</f>
        <v/>
      </c>
      <c r="CQ178" s="80" t="str">
        <f>IF(AND($F178&lt;&gt;"", $F178&gt;=CQ$5-4, $F178&lt;=CQ$5, COUNTIF($M178:CP178,"u")=0), "u", "")</f>
        <v/>
      </c>
      <c r="CR178" s="80" t="str">
        <f>IF(AND($F178&lt;&gt;"", $F178&gt;=CR$5-4, $F178&lt;=CR$5, COUNTIF($M178:CQ178,"u")=0), "u", "")</f>
        <v/>
      </c>
      <c r="CS178" s="80" t="str">
        <f>IF(AND($F178&lt;&gt;"", $F178&gt;=CS$5-4, $F178&lt;=CS$5, COUNTIF($M178:CR178,"u")=0), "u", "")</f>
        <v/>
      </c>
      <c r="CT178" s="80" t="str">
        <f>IF(AND($F178&lt;&gt;"", $F178&gt;=CT$5-4, $F178&lt;=CT$5, COUNTIF($M178:CS178,"u")=0), "u", "")</f>
        <v/>
      </c>
      <c r="CU178" s="80" t="str">
        <f>IF(AND($F178&lt;&gt;"", $F178&gt;=CU$5-4, $F178&lt;=CU$5, COUNTIF($M178:CT178,"u")=0), "u", "")</f>
        <v/>
      </c>
      <c r="CV178" s="80" t="str">
        <f>IF(AND($F178&lt;&gt;"", $F178&gt;=CV$5-4, $F178&lt;=CV$5, COUNTIF($M178:CU178,"u")=0), "u", "")</f>
        <v/>
      </c>
      <c r="CW178" s="80" t="str">
        <f>IF(AND($F178&lt;&gt;"", $F178&gt;=CW$5-4, $F178&lt;=CW$5, COUNTIF($M178:CV178,"u")=0), "u", "")</f>
        <v/>
      </c>
      <c r="CX178" s="80" t="str">
        <f>IF(AND($F178&lt;&gt;"", $F178&gt;=CX$5-4, $F178&lt;=CX$5, COUNTIF($M178:CW178,"u")=0), "u", "")</f>
        <v/>
      </c>
      <c r="CY178" s="80" t="str">
        <f>IF(AND($F178&lt;&gt;"", $F178&gt;=CY$5-4, $F178&lt;=CY$5, COUNTIF($M178:CX178,"u")=0), "u", "")</f>
        <v/>
      </c>
      <c r="CZ178" s="80" t="str">
        <f>IF(AND($F178&lt;&gt;"", $F178&gt;=CZ$5-4, $F178&lt;=CZ$5, COUNTIF($M178:CY178,"u")=0), "u", "")</f>
        <v/>
      </c>
      <c r="DA178" s="80" t="str">
        <f>IF(AND($F178&lt;&gt;"", $F178&gt;=DA$5-4, $F178&lt;=DA$5, COUNTIF($M178:CZ178,"u")=0), "u", "")</f>
        <v/>
      </c>
      <c r="DB178" s="80" t="str">
        <f>IF(AND($F178&lt;&gt;"", $F178&gt;=DB$5-4, $F178&lt;=DB$5, COUNTIF($M178:DA178,"u")=0), "u", "")</f>
        <v/>
      </c>
      <c r="DC178" s="80" t="str">
        <f>IF(AND($F178&lt;&gt;"", $F178&gt;=DC$5-4, $F178&lt;=DC$5, COUNTIF($M178:DB178,"u")=0), "u", "")</f>
        <v/>
      </c>
      <c r="DD178" s="80" t="str">
        <f>IF(AND($F178&lt;&gt;"", $F178&gt;=DD$5-4, $F178&lt;=DD$5, COUNTIF($M178:DC178,"u")=0), "u", "")</f>
        <v/>
      </c>
      <c r="DE178" s="80" t="str">
        <f>IF(AND($F178&lt;&gt;"", $F178&gt;=DE$5-4, $F178&lt;=DE$5, COUNTIF($M178:DD178,"u")=0), "u", "")</f>
        <v/>
      </c>
      <c r="DF178" s="80" t="str">
        <f>IF(AND($F178&lt;&gt;"", $F178&gt;=DF$5-4, $F178&lt;=DF$5, COUNTIF($M178:DE178,"u")=0), "u", "")</f>
        <v/>
      </c>
      <c r="DG178" s="80" t="str">
        <f>IF(AND($F178&lt;&gt;"", $F178&gt;=DG$5-4, $F178&lt;=DG$5, COUNTIF($M178:DF178,"u")=0), "u", "")</f>
        <v/>
      </c>
      <c r="DH178" s="80" t="str">
        <f>IF(AND($F178&lt;&gt;"", $F178&gt;=DH$5-4, $F178&lt;=DH$5, COUNTIF($M178:DG178,"u")=0), "u", "")</f>
        <v/>
      </c>
      <c r="DI178" s="80" t="str">
        <f>IF(AND($F178&lt;&gt;"", $F178&gt;=DI$5-4, $F178&lt;=DI$5, COUNTIF($M178:DH178,"u")=0), "u", "")</f>
        <v/>
      </c>
      <c r="DJ178" s="80" t="str">
        <f>IF(AND($F178&lt;&gt;"", $F178&gt;=DJ$5-4, $F178&lt;=DJ$5, COUNTIF($M178:DI178,"u")=0), "u", "")</f>
        <v/>
      </c>
      <c r="DK178" s="80" t="str">
        <f>IF(AND($F178&lt;&gt;"", $F178&gt;=DK$5-4, $F178&lt;=DK$5, COUNTIF($M178:DJ178,"u")=0), "u", "")</f>
        <v/>
      </c>
      <c r="DL178" s="80" t="str">
        <f>IF(AND($F178&lt;&gt;"", $F178&gt;=DL$5-4, $F178&lt;=DL$5, COUNTIF($M178:DK178,"u")=0), "u", "")</f>
        <v/>
      </c>
    </row>
    <row r="179" spans="1:116" ht="25.05" customHeight="1" x14ac:dyDescent="0.3">
      <c r="A179" s="39"/>
      <c r="B179" s="75">
        <v>174</v>
      </c>
      <c r="C179" s="97"/>
      <c r="D179" s="92"/>
      <c r="E179" s="53"/>
      <c r="F179" s="53"/>
      <c r="G179" s="83" t="str">
        <f t="shared" si="53"/>
        <v/>
      </c>
      <c r="H179" s="83" t="str">
        <f t="shared" si="53"/>
        <v/>
      </c>
      <c r="I179" s="77" t="str">
        <f t="shared" si="51"/>
        <v/>
      </c>
      <c r="J179" s="78"/>
      <c r="K179" s="86"/>
      <c r="L179" s="56"/>
      <c r="M179" s="80" t="str">
        <f t="shared" si="52"/>
        <v/>
      </c>
      <c r="N179" s="80" t="str">
        <f>IF(AND($F179&lt;&gt;"", $F179&gt;=N$5-4, $F179&lt;=N$5, COUNTIF($M179:M179,"u")=0), "u", "")</f>
        <v/>
      </c>
      <c r="O179" s="80" t="str">
        <f>IF(AND($F179&lt;&gt;"", $F179&gt;=O$5-4, $F179&lt;=O$5, COUNTIF($M179:N179,"u")=0), "u", "")</f>
        <v/>
      </c>
      <c r="P179" s="80" t="str">
        <f>IF(AND($F179&lt;&gt;"", $F179&gt;=P$5-4, $F179&lt;=P$5, COUNTIF($M179:O179,"u")=0), "u", "")</f>
        <v/>
      </c>
      <c r="Q179" s="80" t="str">
        <f>IF(AND($F179&lt;&gt;"", $F179&gt;=Q$5-4, $F179&lt;=Q$5, COUNTIF($M179:P179,"u")=0), "u", "")</f>
        <v/>
      </c>
      <c r="R179" s="80" t="str">
        <f>IF(AND($F179&lt;&gt;"", $F179&gt;=R$5-4, $F179&lt;=R$5, COUNTIF($M179:Q179,"u")=0), "u", "")</f>
        <v/>
      </c>
      <c r="S179" s="80" t="str">
        <f>IF(AND($F179&lt;&gt;"", $F179&gt;=S$5-4, $F179&lt;=S$5, COUNTIF($M179:R179,"u")=0), "u", "")</f>
        <v/>
      </c>
      <c r="T179" s="80" t="str">
        <f>IF(AND($F179&lt;&gt;"", $F179&gt;=T$5-4, $F179&lt;=T$5, COUNTIF($M179:S179,"u")=0), "u", "")</f>
        <v/>
      </c>
      <c r="U179" s="80" t="str">
        <f>IF(AND($F179&lt;&gt;"", $F179&gt;=U$5-4, $F179&lt;=U$5, COUNTIF($M179:T179,"u")=0), "u", "")</f>
        <v/>
      </c>
      <c r="V179" s="80" t="str">
        <f>IF(AND($F179&lt;&gt;"", $F179&gt;=V$5-4, $F179&lt;=V$5, COUNTIF($M179:U179,"u")=0), "u", "")</f>
        <v/>
      </c>
      <c r="W179" s="80" t="str">
        <f>IF(AND($F179&lt;&gt;"", $F179&gt;=W$5-4, $F179&lt;=W$5, COUNTIF($M179:V179,"u")=0), "u", "")</f>
        <v/>
      </c>
      <c r="X179" s="80" t="str">
        <f>IF(AND($F179&lt;&gt;"", $F179&gt;=X$5-4, $F179&lt;=X$5, COUNTIF($M179:W179,"u")=0), "u", "")</f>
        <v/>
      </c>
      <c r="Y179" s="80" t="str">
        <f>IF(AND($F179&lt;&gt;"", $F179&gt;=Y$5-4, $F179&lt;=Y$5, COUNTIF($M179:X179,"u")=0), "u", "")</f>
        <v/>
      </c>
      <c r="Z179" s="80" t="str">
        <f>IF(AND($F179&lt;&gt;"", $F179&gt;=Z$5-4, $F179&lt;=Z$5, COUNTIF($M179:Y179,"u")=0), "u", "")</f>
        <v/>
      </c>
      <c r="AA179" s="80" t="str">
        <f>IF(AND($F179&lt;&gt;"", $F179&gt;=AA$5-4, $F179&lt;=AA$5, COUNTIF($M179:Z179,"u")=0), "u", "")</f>
        <v/>
      </c>
      <c r="AB179" s="80" t="str">
        <f>IF(AND($F179&lt;&gt;"", $F179&gt;=AB$5-4, $F179&lt;=AB$5, COUNTIF($M179:AA179,"u")=0), "u", "")</f>
        <v/>
      </c>
      <c r="AC179" s="80" t="str">
        <f>IF(AND($F179&lt;&gt;"", $F179&gt;=AC$5-4, $F179&lt;=AC$5, COUNTIF($M179:AB179,"u")=0), "u", "")</f>
        <v/>
      </c>
      <c r="AD179" s="80" t="str">
        <f>IF(AND($F179&lt;&gt;"", $F179&gt;=AD$5-4, $F179&lt;=AD$5, COUNTIF($M179:AC179,"u")=0), "u", "")</f>
        <v/>
      </c>
      <c r="AE179" s="80" t="str">
        <f>IF(AND($F179&lt;&gt;"", $F179&gt;=AE$5-4, $F179&lt;=AE$5, COUNTIF($M179:AD179,"u")=0), "u", "")</f>
        <v/>
      </c>
      <c r="AF179" s="80" t="str">
        <f>IF(AND($F179&lt;&gt;"", $F179&gt;=AF$5-4, $F179&lt;=AF$5, COUNTIF($M179:AE179,"u")=0), "u", "")</f>
        <v/>
      </c>
      <c r="AG179" s="80" t="str">
        <f>IF(AND($F179&lt;&gt;"", $F179&gt;=AG$5-4, $F179&lt;=AG$5, COUNTIF($M179:AF179,"u")=0), "u", "")</f>
        <v/>
      </c>
      <c r="AH179" s="80" t="str">
        <f>IF(AND($F179&lt;&gt;"", $F179&gt;=AH$5-4, $F179&lt;=AH$5, COUNTIF($M179:AG179,"u")=0), "u", "")</f>
        <v/>
      </c>
      <c r="AI179" s="80" t="str">
        <f>IF(AND($F179&lt;&gt;"", $F179&gt;=AI$5-4, $F179&lt;=AI$5, COUNTIF($M179:AH179,"u")=0), "u", "")</f>
        <v/>
      </c>
      <c r="AJ179" s="80" t="str">
        <f>IF(AND($F179&lt;&gt;"", $F179&gt;=AJ$5-4, $F179&lt;=AJ$5, COUNTIF($M179:AI179,"u")=0), "u", "")</f>
        <v/>
      </c>
      <c r="AK179" s="80" t="str">
        <f>IF(AND($F179&lt;&gt;"", $F179&gt;=AK$5-4, $F179&lt;=AK$5, COUNTIF($M179:AJ179,"u")=0), "u", "")</f>
        <v/>
      </c>
      <c r="AL179" s="80" t="str">
        <f>IF(AND($F179&lt;&gt;"", $F179&gt;=AL$5-4, $F179&lt;=AL$5, COUNTIF($M179:AK179,"u")=0), "u", "")</f>
        <v/>
      </c>
      <c r="AM179" s="80" t="str">
        <f>IF(AND($F179&lt;&gt;"", $F179&gt;=AM$5-4, $F179&lt;=AM$5, COUNTIF($M179:AL179,"u")=0), "u", "")</f>
        <v/>
      </c>
      <c r="AN179" s="80" t="str">
        <f>IF(AND($F179&lt;&gt;"", $F179&gt;=AN$5-4, $F179&lt;=AN$5, COUNTIF($M179:AM179,"u")=0), "u", "")</f>
        <v/>
      </c>
      <c r="AO179" s="80" t="str">
        <f>IF(AND($F179&lt;&gt;"", $F179&gt;=AO$5-4, $F179&lt;=AO$5, COUNTIF($M179:AN179,"u")=0), "u", "")</f>
        <v/>
      </c>
      <c r="AP179" s="80" t="str">
        <f>IF(AND($F179&lt;&gt;"", $F179&gt;=AP$5-4, $F179&lt;=AP$5, COUNTIF($M179:AO179,"u")=0), "u", "")</f>
        <v/>
      </c>
      <c r="AQ179" s="80" t="str">
        <f>IF(AND($F179&lt;&gt;"", $F179&gt;=AQ$5-4, $F179&lt;=AQ$5, COUNTIF($M179:AP179,"u")=0), "u", "")</f>
        <v/>
      </c>
      <c r="AR179" s="80" t="str">
        <f>IF(AND($F179&lt;&gt;"", $F179&gt;=AR$5-4, $F179&lt;=AR$5, COUNTIF($M179:AQ179,"u")=0), "u", "")</f>
        <v/>
      </c>
      <c r="AS179" s="80" t="str">
        <f>IF(AND($F179&lt;&gt;"", $F179&gt;=AS$5-4, $F179&lt;=AS$5, COUNTIF($M179:AR179,"u")=0), "u", "")</f>
        <v/>
      </c>
      <c r="AT179" s="80" t="str">
        <f>IF(AND($F179&lt;&gt;"", $F179&gt;=AT$5-4, $F179&lt;=AT$5, COUNTIF($M179:AS179,"u")=0), "u", "")</f>
        <v/>
      </c>
      <c r="AU179" s="80" t="str">
        <f>IF(AND($F179&lt;&gt;"", $F179&gt;=AU$5-4, $F179&lt;=AU$5, COUNTIF($M179:AT179,"u")=0), "u", "")</f>
        <v/>
      </c>
      <c r="AV179" s="80" t="str">
        <f>IF(AND($F179&lt;&gt;"", $F179&gt;=AV$5-4, $F179&lt;=AV$5, COUNTIF($M179:AU179,"u")=0), "u", "")</f>
        <v/>
      </c>
      <c r="AW179" s="80" t="str">
        <f>IF(AND($F179&lt;&gt;"", $F179&gt;=AW$5-4, $F179&lt;=AW$5, COUNTIF($M179:AV179,"u")=0), "u", "")</f>
        <v/>
      </c>
      <c r="AX179" s="80" t="str">
        <f>IF(AND($F179&lt;&gt;"", $F179&gt;=AX$5-4, $F179&lt;=AX$5, COUNTIF($M179:AW179,"u")=0), "u", "")</f>
        <v/>
      </c>
      <c r="AY179" s="80" t="str">
        <f>IF(AND($F179&lt;&gt;"", $F179&gt;=AY$5-4, $F179&lt;=AY$5, COUNTIF($M179:AX179,"u")=0), "u", "")</f>
        <v/>
      </c>
      <c r="AZ179" s="80" t="str">
        <f>IF(AND($F179&lt;&gt;"", $F179&gt;=AZ$5-4, $F179&lt;=AZ$5, COUNTIF($M179:AY179,"u")=0), "u", "")</f>
        <v/>
      </c>
      <c r="BA179" s="80" t="str">
        <f>IF(AND($F179&lt;&gt;"", $F179&gt;=BA$5-4, $F179&lt;=BA$5, COUNTIF($M179:AZ179,"u")=0), "u", "")</f>
        <v/>
      </c>
      <c r="BB179" s="80" t="str">
        <f>IF(AND($F179&lt;&gt;"", $F179&gt;=BB$5-4, $F179&lt;=BB$5, COUNTIF($M179:BA179,"u")=0), "u", "")</f>
        <v/>
      </c>
      <c r="BC179" s="80" t="str">
        <f>IF(AND($F179&lt;&gt;"", $F179&gt;=BC$5-4, $F179&lt;=BC$5, COUNTIF($M179:BB179,"u")=0), "u", "")</f>
        <v/>
      </c>
      <c r="BD179" s="80" t="str">
        <f>IF(AND($F179&lt;&gt;"", $F179&gt;=BD$5-4, $F179&lt;=BD$5, COUNTIF($M179:BC179,"u")=0), "u", "")</f>
        <v/>
      </c>
      <c r="BE179" s="80" t="str">
        <f>IF(AND($F179&lt;&gt;"", $F179&gt;=BE$5-4, $F179&lt;=BE$5, COUNTIF($M179:BD179,"u")=0), "u", "")</f>
        <v/>
      </c>
      <c r="BF179" s="80" t="str">
        <f>IF(AND($F179&lt;&gt;"", $F179&gt;=BF$5-4, $F179&lt;=BF$5, COUNTIF($M179:BE179,"u")=0), "u", "")</f>
        <v/>
      </c>
      <c r="BG179" s="80" t="str">
        <f>IF(AND($F179&lt;&gt;"", $F179&gt;=BG$5-4, $F179&lt;=BG$5, COUNTIF($M179:BF179,"u")=0), "u", "")</f>
        <v/>
      </c>
      <c r="BH179" s="80" t="str">
        <f>IF(AND($F179&lt;&gt;"", $F179&gt;=BH$5-4, $F179&lt;=BH$5, COUNTIF($M179:BG179,"u")=0), "u", "")</f>
        <v/>
      </c>
      <c r="BI179" s="80" t="str">
        <f>IF(AND($F179&lt;&gt;"", $F179&gt;=BI$5-4, $F179&lt;=BI$5, COUNTIF($M179:BH179,"u")=0), "u", "")</f>
        <v/>
      </c>
      <c r="BJ179" s="80" t="str">
        <f>IF(AND($F179&lt;&gt;"", $F179&gt;=BJ$5-4, $F179&lt;=BJ$5, COUNTIF($M179:BI179,"u")=0), "u", "")</f>
        <v/>
      </c>
      <c r="BK179" s="80" t="str">
        <f>IF(AND($F179&lt;&gt;"", $F179&gt;=BK$5-4, $F179&lt;=BK$5, COUNTIF($M179:BJ179,"u")=0), "u", "")</f>
        <v/>
      </c>
      <c r="BL179" s="80" t="str">
        <f>IF(AND($F179&lt;&gt;"", $F179&gt;=BL$5-4, $F179&lt;=BL$5, COUNTIF($M179:BK179,"u")=0), "u", "")</f>
        <v/>
      </c>
      <c r="BM179" s="80" t="str">
        <f>IF(AND($F179&lt;&gt;"", $F179&gt;=BM$5-4, $F179&lt;=BM$5, COUNTIF($M179:BL179,"u")=0), "u", "")</f>
        <v/>
      </c>
      <c r="BN179" s="80" t="str">
        <f>IF(AND($F179&lt;&gt;"", $F179&gt;=BN$5-4, $F179&lt;=BN$5, COUNTIF($M179:BM179,"u")=0), "u", "")</f>
        <v/>
      </c>
      <c r="BO179" s="80" t="str">
        <f>IF(AND($F179&lt;&gt;"", $F179&gt;=BO$5-4, $F179&lt;=BO$5, COUNTIF($M179:BN179,"u")=0), "u", "")</f>
        <v/>
      </c>
      <c r="BP179" s="80" t="str">
        <f>IF(AND($F179&lt;&gt;"", $F179&gt;=BP$5-4, $F179&lt;=BP$5, COUNTIF($M179:BO179,"u")=0), "u", "")</f>
        <v/>
      </c>
      <c r="BQ179" s="80" t="str">
        <f>IF(AND($F179&lt;&gt;"", $F179&gt;=BQ$5-4, $F179&lt;=BQ$5, COUNTIF($M179:BP179,"u")=0), "u", "")</f>
        <v/>
      </c>
      <c r="BR179" s="80" t="str">
        <f>IF(AND($F179&lt;&gt;"", $F179&gt;=BR$5-4, $F179&lt;=BR$5, COUNTIF($M179:BQ179,"u")=0), "u", "")</f>
        <v/>
      </c>
      <c r="BS179" s="80" t="str">
        <f>IF(AND($F179&lt;&gt;"", $F179&gt;=BS$5-4, $F179&lt;=BS$5, COUNTIF($M179:BR179,"u")=0), "u", "")</f>
        <v/>
      </c>
      <c r="BT179" s="80" t="str">
        <f>IF(AND($F179&lt;&gt;"", $F179&gt;=BT$5-4, $F179&lt;=BT$5, COUNTIF($M179:BS179,"u")=0), "u", "")</f>
        <v/>
      </c>
      <c r="BU179" s="80" t="str">
        <f>IF(AND($F179&lt;&gt;"", $F179&gt;=BU$5-4, $F179&lt;=BU$5, COUNTIF($M179:BT179,"u")=0), "u", "")</f>
        <v/>
      </c>
      <c r="BV179" s="80" t="str">
        <f>IF(AND($F179&lt;&gt;"", $F179&gt;=BV$5-4, $F179&lt;=BV$5, COUNTIF($M179:BU179,"u")=0), "u", "")</f>
        <v/>
      </c>
      <c r="BW179" s="80" t="str">
        <f>IF(AND($F179&lt;&gt;"", $F179&gt;=BW$5-4, $F179&lt;=BW$5, COUNTIF($M179:BV179,"u")=0), "u", "")</f>
        <v/>
      </c>
      <c r="BX179" s="80" t="str">
        <f>IF(AND($F179&lt;&gt;"", $F179&gt;=BX$5-4, $F179&lt;=BX$5, COUNTIF($M179:BW179,"u")=0), "u", "")</f>
        <v/>
      </c>
      <c r="BY179" s="80" t="str">
        <f>IF(AND($F179&lt;&gt;"", $F179&gt;=BY$5-4, $F179&lt;=BY$5, COUNTIF($M179:BX179,"u")=0), "u", "")</f>
        <v/>
      </c>
      <c r="BZ179" s="80" t="str">
        <f>IF(AND($F179&lt;&gt;"", $F179&gt;=BZ$5-4, $F179&lt;=BZ$5, COUNTIF($M179:BY179,"u")=0), "u", "")</f>
        <v/>
      </c>
      <c r="CA179" s="80" t="str">
        <f>IF(AND($F179&lt;&gt;"", $F179&gt;=CA$5-4, $F179&lt;=CA$5, COUNTIF($M179:BZ179,"u")=0), "u", "")</f>
        <v/>
      </c>
      <c r="CB179" s="80" t="str">
        <f>IF(AND($F179&lt;&gt;"", $F179&gt;=CB$5-4, $F179&lt;=CB$5, COUNTIF($M179:CA179,"u")=0), "u", "")</f>
        <v/>
      </c>
      <c r="CC179" s="80" t="str">
        <f>IF(AND($F179&lt;&gt;"", $F179&gt;=CC$5-4, $F179&lt;=CC$5, COUNTIF($M179:CB179,"u")=0), "u", "")</f>
        <v/>
      </c>
      <c r="CD179" s="80" t="str">
        <f>IF(AND($F179&lt;&gt;"", $F179&gt;=CD$5-4, $F179&lt;=CD$5, COUNTIF($M179:CC179,"u")=0), "u", "")</f>
        <v/>
      </c>
      <c r="CE179" s="80" t="str">
        <f>IF(AND($F179&lt;&gt;"", $F179&gt;=CE$5-4, $F179&lt;=CE$5, COUNTIF($M179:CD179,"u")=0), "u", "")</f>
        <v/>
      </c>
      <c r="CF179" s="80" t="str">
        <f>IF(AND($F179&lt;&gt;"", $F179&gt;=CF$5-4, $F179&lt;=CF$5, COUNTIF($M179:CE179,"u")=0), "u", "")</f>
        <v/>
      </c>
      <c r="CG179" s="80" t="str">
        <f>IF(AND($F179&lt;&gt;"", $F179&gt;=CG$5-4, $F179&lt;=CG$5, COUNTIF($M179:CF179,"u")=0), "u", "")</f>
        <v/>
      </c>
      <c r="CH179" s="80" t="str">
        <f>IF(AND($F179&lt;&gt;"", $F179&gt;=CH$5-4, $F179&lt;=CH$5, COUNTIF($M179:CG179,"u")=0), "u", "")</f>
        <v/>
      </c>
      <c r="CI179" s="80" t="str">
        <f>IF(AND($F179&lt;&gt;"", $F179&gt;=CI$5-4, $F179&lt;=CI$5, COUNTIF($M179:CH179,"u")=0), "u", "")</f>
        <v/>
      </c>
      <c r="CJ179" s="80" t="str">
        <f>IF(AND($F179&lt;&gt;"", $F179&gt;=CJ$5-4, $F179&lt;=CJ$5, COUNTIF($M179:CI179,"u")=0), "u", "")</f>
        <v/>
      </c>
      <c r="CK179" s="80" t="str">
        <f>IF(AND($F179&lt;&gt;"", $F179&gt;=CK$5-4, $F179&lt;=CK$5, COUNTIF($M179:CJ179,"u")=0), "u", "")</f>
        <v/>
      </c>
      <c r="CL179" s="80" t="str">
        <f>IF(AND($F179&lt;&gt;"", $F179&gt;=CL$5-4, $F179&lt;=CL$5, COUNTIF($M179:CK179,"u")=0), "u", "")</f>
        <v/>
      </c>
      <c r="CM179" s="80" t="str">
        <f>IF(AND($F179&lt;&gt;"", $F179&gt;=CM$5-4, $F179&lt;=CM$5, COUNTIF($M179:CL179,"u")=0), "u", "")</f>
        <v/>
      </c>
      <c r="CN179" s="80" t="str">
        <f>IF(AND($F179&lt;&gt;"", $F179&gt;=CN$5-4, $F179&lt;=CN$5, COUNTIF($M179:CM179,"u")=0), "u", "")</f>
        <v/>
      </c>
      <c r="CO179" s="80" t="str">
        <f>IF(AND($F179&lt;&gt;"", $F179&gt;=CO$5-4, $F179&lt;=CO$5, COUNTIF($M179:CN179,"u")=0), "u", "")</f>
        <v/>
      </c>
      <c r="CP179" s="80" t="str">
        <f>IF(AND($F179&lt;&gt;"", $F179&gt;=CP$5-4, $F179&lt;=CP$5, COUNTIF($M179:CO179,"u")=0), "u", "")</f>
        <v/>
      </c>
      <c r="CQ179" s="80" t="str">
        <f>IF(AND($F179&lt;&gt;"", $F179&gt;=CQ$5-4, $F179&lt;=CQ$5, COUNTIF($M179:CP179,"u")=0), "u", "")</f>
        <v/>
      </c>
      <c r="CR179" s="80" t="str">
        <f>IF(AND($F179&lt;&gt;"", $F179&gt;=CR$5-4, $F179&lt;=CR$5, COUNTIF($M179:CQ179,"u")=0), "u", "")</f>
        <v/>
      </c>
      <c r="CS179" s="80" t="str">
        <f>IF(AND($F179&lt;&gt;"", $F179&gt;=CS$5-4, $F179&lt;=CS$5, COUNTIF($M179:CR179,"u")=0), "u", "")</f>
        <v/>
      </c>
      <c r="CT179" s="80" t="str">
        <f>IF(AND($F179&lt;&gt;"", $F179&gt;=CT$5-4, $F179&lt;=CT$5, COUNTIF($M179:CS179,"u")=0), "u", "")</f>
        <v/>
      </c>
      <c r="CU179" s="80" t="str">
        <f>IF(AND($F179&lt;&gt;"", $F179&gt;=CU$5-4, $F179&lt;=CU$5, COUNTIF($M179:CT179,"u")=0), "u", "")</f>
        <v/>
      </c>
      <c r="CV179" s="80" t="str">
        <f>IF(AND($F179&lt;&gt;"", $F179&gt;=CV$5-4, $F179&lt;=CV$5, COUNTIF($M179:CU179,"u")=0), "u", "")</f>
        <v/>
      </c>
      <c r="CW179" s="80" t="str">
        <f>IF(AND($F179&lt;&gt;"", $F179&gt;=CW$5-4, $F179&lt;=CW$5, COUNTIF($M179:CV179,"u")=0), "u", "")</f>
        <v/>
      </c>
      <c r="CX179" s="80" t="str">
        <f>IF(AND($F179&lt;&gt;"", $F179&gt;=CX$5-4, $F179&lt;=CX$5, COUNTIF($M179:CW179,"u")=0), "u", "")</f>
        <v/>
      </c>
      <c r="CY179" s="80" t="str">
        <f>IF(AND($F179&lt;&gt;"", $F179&gt;=CY$5-4, $F179&lt;=CY$5, COUNTIF($M179:CX179,"u")=0), "u", "")</f>
        <v/>
      </c>
      <c r="CZ179" s="80" t="str">
        <f>IF(AND($F179&lt;&gt;"", $F179&gt;=CZ$5-4, $F179&lt;=CZ$5, COUNTIF($M179:CY179,"u")=0), "u", "")</f>
        <v/>
      </c>
      <c r="DA179" s="80" t="str">
        <f>IF(AND($F179&lt;&gt;"", $F179&gt;=DA$5-4, $F179&lt;=DA$5, COUNTIF($M179:CZ179,"u")=0), "u", "")</f>
        <v/>
      </c>
      <c r="DB179" s="80" t="str">
        <f>IF(AND($F179&lt;&gt;"", $F179&gt;=DB$5-4, $F179&lt;=DB$5, COUNTIF($M179:DA179,"u")=0), "u", "")</f>
        <v/>
      </c>
      <c r="DC179" s="80" t="str">
        <f>IF(AND($F179&lt;&gt;"", $F179&gt;=DC$5-4, $F179&lt;=DC$5, COUNTIF($M179:DB179,"u")=0), "u", "")</f>
        <v/>
      </c>
      <c r="DD179" s="80" t="str">
        <f>IF(AND($F179&lt;&gt;"", $F179&gt;=DD$5-4, $F179&lt;=DD$5, COUNTIF($M179:DC179,"u")=0), "u", "")</f>
        <v/>
      </c>
      <c r="DE179" s="80" t="str">
        <f>IF(AND($F179&lt;&gt;"", $F179&gt;=DE$5-4, $F179&lt;=DE$5, COUNTIF($M179:DD179,"u")=0), "u", "")</f>
        <v/>
      </c>
      <c r="DF179" s="80" t="str">
        <f>IF(AND($F179&lt;&gt;"", $F179&gt;=DF$5-4, $F179&lt;=DF$5, COUNTIF($M179:DE179,"u")=0), "u", "")</f>
        <v/>
      </c>
      <c r="DG179" s="80" t="str">
        <f>IF(AND($F179&lt;&gt;"", $F179&gt;=DG$5-4, $F179&lt;=DG$5, COUNTIF($M179:DF179,"u")=0), "u", "")</f>
        <v/>
      </c>
      <c r="DH179" s="80" t="str">
        <f>IF(AND($F179&lt;&gt;"", $F179&gt;=DH$5-4, $F179&lt;=DH$5, COUNTIF($M179:DG179,"u")=0), "u", "")</f>
        <v/>
      </c>
      <c r="DI179" s="80" t="str">
        <f>IF(AND($F179&lt;&gt;"", $F179&gt;=DI$5-4, $F179&lt;=DI$5, COUNTIF($M179:DH179,"u")=0), "u", "")</f>
        <v/>
      </c>
      <c r="DJ179" s="80" t="str">
        <f>IF(AND($F179&lt;&gt;"", $F179&gt;=DJ$5-4, $F179&lt;=DJ$5, COUNTIF($M179:DI179,"u")=0), "u", "")</f>
        <v/>
      </c>
      <c r="DK179" s="80" t="str">
        <f>IF(AND($F179&lt;&gt;"", $F179&gt;=DK$5-4, $F179&lt;=DK$5, COUNTIF($M179:DJ179,"u")=0), "u", "")</f>
        <v/>
      </c>
      <c r="DL179" s="80" t="str">
        <f>IF(AND($F179&lt;&gt;"", $F179&gt;=DL$5-4, $F179&lt;=DL$5, COUNTIF($M179:DK179,"u")=0), "u", "")</f>
        <v/>
      </c>
    </row>
    <row r="180" spans="1:116" ht="25.05" customHeight="1" x14ac:dyDescent="0.3">
      <c r="A180" s="39"/>
      <c r="B180" s="75">
        <v>175</v>
      </c>
      <c r="C180" s="97"/>
      <c r="D180" s="92"/>
      <c r="E180" s="53"/>
      <c r="F180" s="53"/>
      <c r="G180" s="83" t="str">
        <f t="shared" si="53"/>
        <v/>
      </c>
      <c r="H180" s="83" t="str">
        <f t="shared" si="53"/>
        <v/>
      </c>
      <c r="I180" s="77" t="str">
        <f t="shared" si="51"/>
        <v/>
      </c>
      <c r="J180" s="78"/>
      <c r="K180" s="86"/>
      <c r="L180" s="56"/>
      <c r="M180" s="80" t="str">
        <f t="shared" si="52"/>
        <v/>
      </c>
      <c r="N180" s="80" t="str">
        <f>IF(AND($F180&lt;&gt;"", $F180&gt;=N$5-4, $F180&lt;=N$5, COUNTIF($M180:M180,"u")=0), "u", "")</f>
        <v/>
      </c>
      <c r="O180" s="80" t="str">
        <f>IF(AND($F180&lt;&gt;"", $F180&gt;=O$5-4, $F180&lt;=O$5, COUNTIF($M180:N180,"u")=0), "u", "")</f>
        <v/>
      </c>
      <c r="P180" s="80" t="str">
        <f>IF(AND($F180&lt;&gt;"", $F180&gt;=P$5-4, $F180&lt;=P$5, COUNTIF($M180:O180,"u")=0), "u", "")</f>
        <v/>
      </c>
      <c r="Q180" s="80" t="str">
        <f>IF(AND($F180&lt;&gt;"", $F180&gt;=Q$5-4, $F180&lt;=Q$5, COUNTIF($M180:P180,"u")=0), "u", "")</f>
        <v/>
      </c>
      <c r="R180" s="80" t="str">
        <f>IF(AND($F180&lt;&gt;"", $F180&gt;=R$5-4, $F180&lt;=R$5, COUNTIF($M180:Q180,"u")=0), "u", "")</f>
        <v/>
      </c>
      <c r="S180" s="80" t="str">
        <f>IF(AND($F180&lt;&gt;"", $F180&gt;=S$5-4, $F180&lt;=S$5, COUNTIF($M180:R180,"u")=0), "u", "")</f>
        <v/>
      </c>
      <c r="T180" s="80" t="str">
        <f>IF(AND($F180&lt;&gt;"", $F180&gt;=T$5-4, $F180&lt;=T$5, COUNTIF($M180:S180,"u")=0), "u", "")</f>
        <v/>
      </c>
      <c r="U180" s="80" t="str">
        <f>IF(AND($F180&lt;&gt;"", $F180&gt;=U$5-4, $F180&lt;=U$5, COUNTIF($M180:T180,"u")=0), "u", "")</f>
        <v/>
      </c>
      <c r="V180" s="80" t="str">
        <f>IF(AND($F180&lt;&gt;"", $F180&gt;=V$5-4, $F180&lt;=V$5, COUNTIF($M180:U180,"u")=0), "u", "")</f>
        <v/>
      </c>
      <c r="W180" s="80" t="str">
        <f>IF(AND($F180&lt;&gt;"", $F180&gt;=W$5-4, $F180&lt;=W$5, COUNTIF($M180:V180,"u")=0), "u", "")</f>
        <v/>
      </c>
      <c r="X180" s="80" t="str">
        <f>IF(AND($F180&lt;&gt;"", $F180&gt;=X$5-4, $F180&lt;=X$5, COUNTIF($M180:W180,"u")=0), "u", "")</f>
        <v/>
      </c>
      <c r="Y180" s="80" t="str">
        <f>IF(AND($F180&lt;&gt;"", $F180&gt;=Y$5-4, $F180&lt;=Y$5, COUNTIF($M180:X180,"u")=0), "u", "")</f>
        <v/>
      </c>
      <c r="Z180" s="80" t="str">
        <f>IF(AND($F180&lt;&gt;"", $F180&gt;=Z$5-4, $F180&lt;=Z$5, COUNTIF($M180:Y180,"u")=0), "u", "")</f>
        <v/>
      </c>
      <c r="AA180" s="80" t="str">
        <f>IF(AND($F180&lt;&gt;"", $F180&gt;=AA$5-4, $F180&lt;=AA$5, COUNTIF($M180:Z180,"u")=0), "u", "")</f>
        <v/>
      </c>
      <c r="AB180" s="80" t="str">
        <f>IF(AND($F180&lt;&gt;"", $F180&gt;=AB$5-4, $F180&lt;=AB$5, COUNTIF($M180:AA180,"u")=0), "u", "")</f>
        <v/>
      </c>
      <c r="AC180" s="80" t="str">
        <f>IF(AND($F180&lt;&gt;"", $F180&gt;=AC$5-4, $F180&lt;=AC$5, COUNTIF($M180:AB180,"u")=0), "u", "")</f>
        <v/>
      </c>
      <c r="AD180" s="80" t="str">
        <f>IF(AND($F180&lt;&gt;"", $F180&gt;=AD$5-4, $F180&lt;=AD$5, COUNTIF($M180:AC180,"u")=0), "u", "")</f>
        <v/>
      </c>
      <c r="AE180" s="80" t="str">
        <f>IF(AND($F180&lt;&gt;"", $F180&gt;=AE$5-4, $F180&lt;=AE$5, COUNTIF($M180:AD180,"u")=0), "u", "")</f>
        <v/>
      </c>
      <c r="AF180" s="80" t="str">
        <f>IF(AND($F180&lt;&gt;"", $F180&gt;=AF$5-4, $F180&lt;=AF$5, COUNTIF($M180:AE180,"u")=0), "u", "")</f>
        <v/>
      </c>
      <c r="AG180" s="80" t="str">
        <f>IF(AND($F180&lt;&gt;"", $F180&gt;=AG$5-4, $F180&lt;=AG$5, COUNTIF($M180:AF180,"u")=0), "u", "")</f>
        <v/>
      </c>
      <c r="AH180" s="80" t="str">
        <f>IF(AND($F180&lt;&gt;"", $F180&gt;=AH$5-4, $F180&lt;=AH$5, COUNTIF($M180:AG180,"u")=0), "u", "")</f>
        <v/>
      </c>
      <c r="AI180" s="80" t="str">
        <f>IF(AND($F180&lt;&gt;"", $F180&gt;=AI$5-4, $F180&lt;=AI$5, COUNTIF($M180:AH180,"u")=0), "u", "")</f>
        <v/>
      </c>
      <c r="AJ180" s="80" t="str">
        <f>IF(AND($F180&lt;&gt;"", $F180&gt;=AJ$5-4, $F180&lt;=AJ$5, COUNTIF($M180:AI180,"u")=0), "u", "")</f>
        <v/>
      </c>
      <c r="AK180" s="80" t="str">
        <f>IF(AND($F180&lt;&gt;"", $F180&gt;=AK$5-4, $F180&lt;=AK$5, COUNTIF($M180:AJ180,"u")=0), "u", "")</f>
        <v/>
      </c>
      <c r="AL180" s="80" t="str">
        <f>IF(AND($F180&lt;&gt;"", $F180&gt;=AL$5-4, $F180&lt;=AL$5, COUNTIF($M180:AK180,"u")=0), "u", "")</f>
        <v/>
      </c>
      <c r="AM180" s="80" t="str">
        <f>IF(AND($F180&lt;&gt;"", $F180&gt;=AM$5-4, $F180&lt;=AM$5, COUNTIF($M180:AL180,"u")=0), "u", "")</f>
        <v/>
      </c>
      <c r="AN180" s="80" t="str">
        <f>IF(AND($F180&lt;&gt;"", $F180&gt;=AN$5-4, $F180&lt;=AN$5, COUNTIF($M180:AM180,"u")=0), "u", "")</f>
        <v/>
      </c>
      <c r="AO180" s="80" t="str">
        <f>IF(AND($F180&lt;&gt;"", $F180&gt;=AO$5-4, $F180&lt;=AO$5, COUNTIF($M180:AN180,"u")=0), "u", "")</f>
        <v/>
      </c>
      <c r="AP180" s="80" t="str">
        <f>IF(AND($F180&lt;&gt;"", $F180&gt;=AP$5-4, $F180&lt;=AP$5, COUNTIF($M180:AO180,"u")=0), "u", "")</f>
        <v/>
      </c>
      <c r="AQ180" s="80" t="str">
        <f>IF(AND($F180&lt;&gt;"", $F180&gt;=AQ$5-4, $F180&lt;=AQ$5, COUNTIF($M180:AP180,"u")=0), "u", "")</f>
        <v/>
      </c>
      <c r="AR180" s="80" t="str">
        <f>IF(AND($F180&lt;&gt;"", $F180&gt;=AR$5-4, $F180&lt;=AR$5, COUNTIF($M180:AQ180,"u")=0), "u", "")</f>
        <v/>
      </c>
      <c r="AS180" s="80" t="str">
        <f>IF(AND($F180&lt;&gt;"", $F180&gt;=AS$5-4, $F180&lt;=AS$5, COUNTIF($M180:AR180,"u")=0), "u", "")</f>
        <v/>
      </c>
      <c r="AT180" s="80" t="str">
        <f>IF(AND($F180&lt;&gt;"", $F180&gt;=AT$5-4, $F180&lt;=AT$5, COUNTIF($M180:AS180,"u")=0), "u", "")</f>
        <v/>
      </c>
      <c r="AU180" s="80" t="str">
        <f>IF(AND($F180&lt;&gt;"", $F180&gt;=AU$5-4, $F180&lt;=AU$5, COUNTIF($M180:AT180,"u")=0), "u", "")</f>
        <v/>
      </c>
      <c r="AV180" s="80" t="str">
        <f>IF(AND($F180&lt;&gt;"", $F180&gt;=AV$5-4, $F180&lt;=AV$5, COUNTIF($M180:AU180,"u")=0), "u", "")</f>
        <v/>
      </c>
      <c r="AW180" s="80" t="str">
        <f>IF(AND($F180&lt;&gt;"", $F180&gt;=AW$5-4, $F180&lt;=AW$5, COUNTIF($M180:AV180,"u")=0), "u", "")</f>
        <v/>
      </c>
      <c r="AX180" s="80" t="str">
        <f>IF(AND($F180&lt;&gt;"", $F180&gt;=AX$5-4, $F180&lt;=AX$5, COUNTIF($M180:AW180,"u")=0), "u", "")</f>
        <v/>
      </c>
      <c r="AY180" s="80" t="str">
        <f>IF(AND($F180&lt;&gt;"", $F180&gt;=AY$5-4, $F180&lt;=AY$5, COUNTIF($M180:AX180,"u")=0), "u", "")</f>
        <v/>
      </c>
      <c r="AZ180" s="80" t="str">
        <f>IF(AND($F180&lt;&gt;"", $F180&gt;=AZ$5-4, $F180&lt;=AZ$5, COUNTIF($M180:AY180,"u")=0), "u", "")</f>
        <v/>
      </c>
      <c r="BA180" s="80" t="str">
        <f>IF(AND($F180&lt;&gt;"", $F180&gt;=BA$5-4, $F180&lt;=BA$5, COUNTIF($M180:AZ180,"u")=0), "u", "")</f>
        <v/>
      </c>
      <c r="BB180" s="80" t="str">
        <f>IF(AND($F180&lt;&gt;"", $F180&gt;=BB$5-4, $F180&lt;=BB$5, COUNTIF($M180:BA180,"u")=0), "u", "")</f>
        <v/>
      </c>
      <c r="BC180" s="80" t="str">
        <f>IF(AND($F180&lt;&gt;"", $F180&gt;=BC$5-4, $F180&lt;=BC$5, COUNTIF($M180:BB180,"u")=0), "u", "")</f>
        <v/>
      </c>
      <c r="BD180" s="80" t="str">
        <f>IF(AND($F180&lt;&gt;"", $F180&gt;=BD$5-4, $F180&lt;=BD$5, COUNTIF($M180:BC180,"u")=0), "u", "")</f>
        <v/>
      </c>
      <c r="BE180" s="80" t="str">
        <f>IF(AND($F180&lt;&gt;"", $F180&gt;=BE$5-4, $F180&lt;=BE$5, COUNTIF($M180:BD180,"u")=0), "u", "")</f>
        <v/>
      </c>
      <c r="BF180" s="80" t="str">
        <f>IF(AND($F180&lt;&gt;"", $F180&gt;=BF$5-4, $F180&lt;=BF$5, COUNTIF($M180:BE180,"u")=0), "u", "")</f>
        <v/>
      </c>
      <c r="BG180" s="80" t="str">
        <f>IF(AND($F180&lt;&gt;"", $F180&gt;=BG$5-4, $F180&lt;=BG$5, COUNTIF($M180:BF180,"u")=0), "u", "")</f>
        <v/>
      </c>
      <c r="BH180" s="80" t="str">
        <f>IF(AND($F180&lt;&gt;"", $F180&gt;=BH$5-4, $F180&lt;=BH$5, COUNTIF($M180:BG180,"u")=0), "u", "")</f>
        <v/>
      </c>
      <c r="BI180" s="80" t="str">
        <f>IF(AND($F180&lt;&gt;"", $F180&gt;=BI$5-4, $F180&lt;=BI$5, COUNTIF($M180:BH180,"u")=0), "u", "")</f>
        <v/>
      </c>
      <c r="BJ180" s="80" t="str">
        <f>IF(AND($F180&lt;&gt;"", $F180&gt;=BJ$5-4, $F180&lt;=BJ$5, COUNTIF($M180:BI180,"u")=0), "u", "")</f>
        <v/>
      </c>
      <c r="BK180" s="80" t="str">
        <f>IF(AND($F180&lt;&gt;"", $F180&gt;=BK$5-4, $F180&lt;=BK$5, COUNTIF($M180:BJ180,"u")=0), "u", "")</f>
        <v/>
      </c>
      <c r="BL180" s="80" t="str">
        <f>IF(AND($F180&lt;&gt;"", $F180&gt;=BL$5-4, $F180&lt;=BL$5, COUNTIF($M180:BK180,"u")=0), "u", "")</f>
        <v/>
      </c>
      <c r="BM180" s="80" t="str">
        <f>IF(AND($F180&lt;&gt;"", $F180&gt;=BM$5-4, $F180&lt;=BM$5, COUNTIF($M180:BL180,"u")=0), "u", "")</f>
        <v/>
      </c>
      <c r="BN180" s="80" t="str">
        <f>IF(AND($F180&lt;&gt;"", $F180&gt;=BN$5-4, $F180&lt;=BN$5, COUNTIF($M180:BM180,"u")=0), "u", "")</f>
        <v/>
      </c>
      <c r="BO180" s="80" t="str">
        <f>IF(AND($F180&lt;&gt;"", $F180&gt;=BO$5-4, $F180&lt;=BO$5, COUNTIF($M180:BN180,"u")=0), "u", "")</f>
        <v/>
      </c>
      <c r="BP180" s="80" t="str">
        <f>IF(AND($F180&lt;&gt;"", $F180&gt;=BP$5-4, $F180&lt;=BP$5, COUNTIF($M180:BO180,"u")=0), "u", "")</f>
        <v/>
      </c>
      <c r="BQ180" s="80" t="str">
        <f>IF(AND($F180&lt;&gt;"", $F180&gt;=BQ$5-4, $F180&lt;=BQ$5, COUNTIF($M180:BP180,"u")=0), "u", "")</f>
        <v/>
      </c>
      <c r="BR180" s="80" t="str">
        <f>IF(AND($F180&lt;&gt;"", $F180&gt;=BR$5-4, $F180&lt;=BR$5, COUNTIF($M180:BQ180,"u")=0), "u", "")</f>
        <v/>
      </c>
      <c r="BS180" s="80" t="str">
        <f>IF(AND($F180&lt;&gt;"", $F180&gt;=BS$5-4, $F180&lt;=BS$5, COUNTIF($M180:BR180,"u")=0), "u", "")</f>
        <v/>
      </c>
      <c r="BT180" s="80" t="str">
        <f>IF(AND($F180&lt;&gt;"", $F180&gt;=BT$5-4, $F180&lt;=BT$5, COUNTIF($M180:BS180,"u")=0), "u", "")</f>
        <v/>
      </c>
      <c r="BU180" s="80" t="str">
        <f>IF(AND($F180&lt;&gt;"", $F180&gt;=BU$5-4, $F180&lt;=BU$5, COUNTIF($M180:BT180,"u")=0), "u", "")</f>
        <v/>
      </c>
      <c r="BV180" s="80" t="str">
        <f>IF(AND($F180&lt;&gt;"", $F180&gt;=BV$5-4, $F180&lt;=BV$5, COUNTIF($M180:BU180,"u")=0), "u", "")</f>
        <v/>
      </c>
      <c r="BW180" s="80" t="str">
        <f>IF(AND($F180&lt;&gt;"", $F180&gt;=BW$5-4, $F180&lt;=BW$5, COUNTIF($M180:BV180,"u")=0), "u", "")</f>
        <v/>
      </c>
      <c r="BX180" s="80" t="str">
        <f>IF(AND($F180&lt;&gt;"", $F180&gt;=BX$5-4, $F180&lt;=BX$5, COUNTIF($M180:BW180,"u")=0), "u", "")</f>
        <v/>
      </c>
      <c r="BY180" s="80" t="str">
        <f>IF(AND($F180&lt;&gt;"", $F180&gt;=BY$5-4, $F180&lt;=BY$5, COUNTIF($M180:BX180,"u")=0), "u", "")</f>
        <v/>
      </c>
      <c r="BZ180" s="80" t="str">
        <f>IF(AND($F180&lt;&gt;"", $F180&gt;=BZ$5-4, $F180&lt;=BZ$5, COUNTIF($M180:BY180,"u")=0), "u", "")</f>
        <v/>
      </c>
      <c r="CA180" s="80" t="str">
        <f>IF(AND($F180&lt;&gt;"", $F180&gt;=CA$5-4, $F180&lt;=CA$5, COUNTIF($M180:BZ180,"u")=0), "u", "")</f>
        <v/>
      </c>
      <c r="CB180" s="80" t="str">
        <f>IF(AND($F180&lt;&gt;"", $F180&gt;=CB$5-4, $F180&lt;=CB$5, COUNTIF($M180:CA180,"u")=0), "u", "")</f>
        <v/>
      </c>
      <c r="CC180" s="80" t="str">
        <f>IF(AND($F180&lt;&gt;"", $F180&gt;=CC$5-4, $F180&lt;=CC$5, COUNTIF($M180:CB180,"u")=0), "u", "")</f>
        <v/>
      </c>
      <c r="CD180" s="80" t="str">
        <f>IF(AND($F180&lt;&gt;"", $F180&gt;=CD$5-4, $F180&lt;=CD$5, COUNTIF($M180:CC180,"u")=0), "u", "")</f>
        <v/>
      </c>
      <c r="CE180" s="80" t="str">
        <f>IF(AND($F180&lt;&gt;"", $F180&gt;=CE$5-4, $F180&lt;=CE$5, COUNTIF($M180:CD180,"u")=0), "u", "")</f>
        <v/>
      </c>
      <c r="CF180" s="80" t="str">
        <f>IF(AND($F180&lt;&gt;"", $F180&gt;=CF$5-4, $F180&lt;=CF$5, COUNTIF($M180:CE180,"u")=0), "u", "")</f>
        <v/>
      </c>
      <c r="CG180" s="80" t="str">
        <f>IF(AND($F180&lt;&gt;"", $F180&gt;=CG$5-4, $F180&lt;=CG$5, COUNTIF($M180:CF180,"u")=0), "u", "")</f>
        <v/>
      </c>
      <c r="CH180" s="80" t="str">
        <f>IF(AND($F180&lt;&gt;"", $F180&gt;=CH$5-4, $F180&lt;=CH$5, COUNTIF($M180:CG180,"u")=0), "u", "")</f>
        <v/>
      </c>
      <c r="CI180" s="80" t="str">
        <f>IF(AND($F180&lt;&gt;"", $F180&gt;=CI$5-4, $F180&lt;=CI$5, COUNTIF($M180:CH180,"u")=0), "u", "")</f>
        <v/>
      </c>
      <c r="CJ180" s="80" t="str">
        <f>IF(AND($F180&lt;&gt;"", $F180&gt;=CJ$5-4, $F180&lt;=CJ$5, COUNTIF($M180:CI180,"u")=0), "u", "")</f>
        <v/>
      </c>
      <c r="CK180" s="80" t="str">
        <f>IF(AND($F180&lt;&gt;"", $F180&gt;=CK$5-4, $F180&lt;=CK$5, COUNTIF($M180:CJ180,"u")=0), "u", "")</f>
        <v/>
      </c>
      <c r="CL180" s="80" t="str">
        <f>IF(AND($F180&lt;&gt;"", $F180&gt;=CL$5-4, $F180&lt;=CL$5, COUNTIF($M180:CK180,"u")=0), "u", "")</f>
        <v/>
      </c>
      <c r="CM180" s="80" t="str">
        <f>IF(AND($F180&lt;&gt;"", $F180&gt;=CM$5-4, $F180&lt;=CM$5, COUNTIF($M180:CL180,"u")=0), "u", "")</f>
        <v/>
      </c>
      <c r="CN180" s="80" t="str">
        <f>IF(AND($F180&lt;&gt;"", $F180&gt;=CN$5-4, $F180&lt;=CN$5, COUNTIF($M180:CM180,"u")=0), "u", "")</f>
        <v/>
      </c>
      <c r="CO180" s="80" t="str">
        <f>IF(AND($F180&lt;&gt;"", $F180&gt;=CO$5-4, $F180&lt;=CO$5, COUNTIF($M180:CN180,"u")=0), "u", "")</f>
        <v/>
      </c>
      <c r="CP180" s="80" t="str">
        <f>IF(AND($F180&lt;&gt;"", $F180&gt;=CP$5-4, $F180&lt;=CP$5, COUNTIF($M180:CO180,"u")=0), "u", "")</f>
        <v/>
      </c>
      <c r="CQ180" s="80" t="str">
        <f>IF(AND($F180&lt;&gt;"", $F180&gt;=CQ$5-4, $F180&lt;=CQ$5, COUNTIF($M180:CP180,"u")=0), "u", "")</f>
        <v/>
      </c>
      <c r="CR180" s="80" t="str">
        <f>IF(AND($F180&lt;&gt;"", $F180&gt;=CR$5-4, $F180&lt;=CR$5, COUNTIF($M180:CQ180,"u")=0), "u", "")</f>
        <v/>
      </c>
      <c r="CS180" s="80" t="str">
        <f>IF(AND($F180&lt;&gt;"", $F180&gt;=CS$5-4, $F180&lt;=CS$5, COUNTIF($M180:CR180,"u")=0), "u", "")</f>
        <v/>
      </c>
      <c r="CT180" s="80" t="str">
        <f>IF(AND($F180&lt;&gt;"", $F180&gt;=CT$5-4, $F180&lt;=CT$5, COUNTIF($M180:CS180,"u")=0), "u", "")</f>
        <v/>
      </c>
      <c r="CU180" s="80" t="str">
        <f>IF(AND($F180&lt;&gt;"", $F180&gt;=CU$5-4, $F180&lt;=CU$5, COUNTIF($M180:CT180,"u")=0), "u", "")</f>
        <v/>
      </c>
      <c r="CV180" s="80" t="str">
        <f>IF(AND($F180&lt;&gt;"", $F180&gt;=CV$5-4, $F180&lt;=CV$5, COUNTIF($M180:CU180,"u")=0), "u", "")</f>
        <v/>
      </c>
      <c r="CW180" s="80" t="str">
        <f>IF(AND($F180&lt;&gt;"", $F180&gt;=CW$5-4, $F180&lt;=CW$5, COUNTIF($M180:CV180,"u")=0), "u", "")</f>
        <v/>
      </c>
      <c r="CX180" s="80" t="str">
        <f>IF(AND($F180&lt;&gt;"", $F180&gt;=CX$5-4, $F180&lt;=CX$5, COUNTIF($M180:CW180,"u")=0), "u", "")</f>
        <v/>
      </c>
      <c r="CY180" s="80" t="str">
        <f>IF(AND($F180&lt;&gt;"", $F180&gt;=CY$5-4, $F180&lt;=CY$5, COUNTIF($M180:CX180,"u")=0), "u", "")</f>
        <v/>
      </c>
      <c r="CZ180" s="80" t="str">
        <f>IF(AND($F180&lt;&gt;"", $F180&gt;=CZ$5-4, $F180&lt;=CZ$5, COUNTIF($M180:CY180,"u")=0), "u", "")</f>
        <v/>
      </c>
      <c r="DA180" s="80" t="str">
        <f>IF(AND($F180&lt;&gt;"", $F180&gt;=DA$5-4, $F180&lt;=DA$5, COUNTIF($M180:CZ180,"u")=0), "u", "")</f>
        <v/>
      </c>
      <c r="DB180" s="80" t="str">
        <f>IF(AND($F180&lt;&gt;"", $F180&gt;=DB$5-4, $F180&lt;=DB$5, COUNTIF($M180:DA180,"u")=0), "u", "")</f>
        <v/>
      </c>
      <c r="DC180" s="80" t="str">
        <f>IF(AND($F180&lt;&gt;"", $F180&gt;=DC$5-4, $F180&lt;=DC$5, COUNTIF($M180:DB180,"u")=0), "u", "")</f>
        <v/>
      </c>
      <c r="DD180" s="80" t="str">
        <f>IF(AND($F180&lt;&gt;"", $F180&gt;=DD$5-4, $F180&lt;=DD$5, COUNTIF($M180:DC180,"u")=0), "u", "")</f>
        <v/>
      </c>
      <c r="DE180" s="80" t="str">
        <f>IF(AND($F180&lt;&gt;"", $F180&gt;=DE$5-4, $F180&lt;=DE$5, COUNTIF($M180:DD180,"u")=0), "u", "")</f>
        <v/>
      </c>
      <c r="DF180" s="80" t="str">
        <f>IF(AND($F180&lt;&gt;"", $F180&gt;=DF$5-4, $F180&lt;=DF$5, COUNTIF($M180:DE180,"u")=0), "u", "")</f>
        <v/>
      </c>
      <c r="DG180" s="80" t="str">
        <f>IF(AND($F180&lt;&gt;"", $F180&gt;=DG$5-4, $F180&lt;=DG$5, COUNTIF($M180:DF180,"u")=0), "u", "")</f>
        <v/>
      </c>
      <c r="DH180" s="80" t="str">
        <f>IF(AND($F180&lt;&gt;"", $F180&gt;=DH$5-4, $F180&lt;=DH$5, COUNTIF($M180:DG180,"u")=0), "u", "")</f>
        <v/>
      </c>
      <c r="DI180" s="80" t="str">
        <f>IF(AND($F180&lt;&gt;"", $F180&gt;=DI$5-4, $F180&lt;=DI$5, COUNTIF($M180:DH180,"u")=0), "u", "")</f>
        <v/>
      </c>
      <c r="DJ180" s="80" t="str">
        <f>IF(AND($F180&lt;&gt;"", $F180&gt;=DJ$5-4, $F180&lt;=DJ$5, COUNTIF($M180:DI180,"u")=0), "u", "")</f>
        <v/>
      </c>
      <c r="DK180" s="80" t="str">
        <f>IF(AND($F180&lt;&gt;"", $F180&gt;=DK$5-4, $F180&lt;=DK$5, COUNTIF($M180:DJ180,"u")=0), "u", "")</f>
        <v/>
      </c>
      <c r="DL180" s="80" t="str">
        <f>IF(AND($F180&lt;&gt;"", $F180&gt;=DL$5-4, $F180&lt;=DL$5, COUNTIF($M180:DK180,"u")=0), "u", "")</f>
        <v/>
      </c>
    </row>
    <row r="181" spans="1:116" ht="25.05" customHeight="1" x14ac:dyDescent="0.3">
      <c r="A181" s="39"/>
      <c r="B181" s="75">
        <v>176</v>
      </c>
      <c r="C181" s="97"/>
      <c r="D181" s="92"/>
      <c r="E181" s="53"/>
      <c r="F181" s="53"/>
      <c r="G181" s="83" t="str">
        <f t="shared" si="53"/>
        <v/>
      </c>
      <c r="H181" s="83" t="str">
        <f t="shared" si="53"/>
        <v/>
      </c>
      <c r="I181" s="77" t="str">
        <f t="shared" si="51"/>
        <v/>
      </c>
      <c r="J181" s="78"/>
      <c r="K181" s="86"/>
      <c r="L181" s="56"/>
      <c r="M181" s="80" t="str">
        <f t="shared" si="52"/>
        <v/>
      </c>
      <c r="N181" s="80" t="str">
        <f>IF(AND($F181&lt;&gt;"", $F181&gt;=N$5-4, $F181&lt;=N$5, COUNTIF($M181:M181,"u")=0), "u", "")</f>
        <v/>
      </c>
      <c r="O181" s="80" t="str">
        <f>IF(AND($F181&lt;&gt;"", $F181&gt;=O$5-4, $F181&lt;=O$5, COUNTIF($M181:N181,"u")=0), "u", "")</f>
        <v/>
      </c>
      <c r="P181" s="80" t="str">
        <f>IF(AND($F181&lt;&gt;"", $F181&gt;=P$5-4, $F181&lt;=P$5, COUNTIF($M181:O181,"u")=0), "u", "")</f>
        <v/>
      </c>
      <c r="Q181" s="80" t="str">
        <f>IF(AND($F181&lt;&gt;"", $F181&gt;=Q$5-4, $F181&lt;=Q$5, COUNTIF($M181:P181,"u")=0), "u", "")</f>
        <v/>
      </c>
      <c r="R181" s="80" t="str">
        <f>IF(AND($F181&lt;&gt;"", $F181&gt;=R$5-4, $F181&lt;=R$5, COUNTIF($M181:Q181,"u")=0), "u", "")</f>
        <v/>
      </c>
      <c r="S181" s="80" t="str">
        <f>IF(AND($F181&lt;&gt;"", $F181&gt;=S$5-4, $F181&lt;=S$5, COUNTIF($M181:R181,"u")=0), "u", "")</f>
        <v/>
      </c>
      <c r="T181" s="80" t="str">
        <f>IF(AND($F181&lt;&gt;"", $F181&gt;=T$5-4, $F181&lt;=T$5, COUNTIF($M181:S181,"u")=0), "u", "")</f>
        <v/>
      </c>
      <c r="U181" s="80" t="str">
        <f>IF(AND($F181&lt;&gt;"", $F181&gt;=U$5-4, $F181&lt;=U$5, COUNTIF($M181:T181,"u")=0), "u", "")</f>
        <v/>
      </c>
      <c r="V181" s="80" t="str">
        <f>IF(AND($F181&lt;&gt;"", $F181&gt;=V$5-4, $F181&lt;=V$5, COUNTIF($M181:U181,"u")=0), "u", "")</f>
        <v/>
      </c>
      <c r="W181" s="80" t="str">
        <f>IF(AND($F181&lt;&gt;"", $F181&gt;=W$5-4, $F181&lt;=W$5, COUNTIF($M181:V181,"u")=0), "u", "")</f>
        <v/>
      </c>
      <c r="X181" s="80" t="str">
        <f>IF(AND($F181&lt;&gt;"", $F181&gt;=X$5-4, $F181&lt;=X$5, COUNTIF($M181:W181,"u")=0), "u", "")</f>
        <v/>
      </c>
      <c r="Y181" s="80" t="str">
        <f>IF(AND($F181&lt;&gt;"", $F181&gt;=Y$5-4, $F181&lt;=Y$5, COUNTIF($M181:X181,"u")=0), "u", "")</f>
        <v/>
      </c>
      <c r="Z181" s="80" t="str">
        <f>IF(AND($F181&lt;&gt;"", $F181&gt;=Z$5-4, $F181&lt;=Z$5, COUNTIF($M181:Y181,"u")=0), "u", "")</f>
        <v/>
      </c>
      <c r="AA181" s="80" t="str">
        <f>IF(AND($F181&lt;&gt;"", $F181&gt;=AA$5-4, $F181&lt;=AA$5, COUNTIF($M181:Z181,"u")=0), "u", "")</f>
        <v/>
      </c>
      <c r="AB181" s="80" t="str">
        <f>IF(AND($F181&lt;&gt;"", $F181&gt;=AB$5-4, $F181&lt;=AB$5, COUNTIF($M181:AA181,"u")=0), "u", "")</f>
        <v/>
      </c>
      <c r="AC181" s="80" t="str">
        <f>IF(AND($F181&lt;&gt;"", $F181&gt;=AC$5-4, $F181&lt;=AC$5, COUNTIF($M181:AB181,"u")=0), "u", "")</f>
        <v/>
      </c>
      <c r="AD181" s="80" t="str">
        <f>IF(AND($F181&lt;&gt;"", $F181&gt;=AD$5-4, $F181&lt;=AD$5, COUNTIF($M181:AC181,"u")=0), "u", "")</f>
        <v/>
      </c>
      <c r="AE181" s="80" t="str">
        <f>IF(AND($F181&lt;&gt;"", $F181&gt;=AE$5-4, $F181&lt;=AE$5, COUNTIF($M181:AD181,"u")=0), "u", "")</f>
        <v/>
      </c>
      <c r="AF181" s="80" t="str">
        <f>IF(AND($F181&lt;&gt;"", $F181&gt;=AF$5-4, $F181&lt;=AF$5, COUNTIF($M181:AE181,"u")=0), "u", "")</f>
        <v/>
      </c>
      <c r="AG181" s="80" t="str">
        <f>IF(AND($F181&lt;&gt;"", $F181&gt;=AG$5-4, $F181&lt;=AG$5, COUNTIF($M181:AF181,"u")=0), "u", "")</f>
        <v/>
      </c>
      <c r="AH181" s="80" t="str">
        <f>IF(AND($F181&lt;&gt;"", $F181&gt;=AH$5-4, $F181&lt;=AH$5, COUNTIF($M181:AG181,"u")=0), "u", "")</f>
        <v/>
      </c>
      <c r="AI181" s="80" t="str">
        <f>IF(AND($F181&lt;&gt;"", $F181&gt;=AI$5-4, $F181&lt;=AI$5, COUNTIF($M181:AH181,"u")=0), "u", "")</f>
        <v/>
      </c>
      <c r="AJ181" s="80" t="str">
        <f>IF(AND($F181&lt;&gt;"", $F181&gt;=AJ$5-4, $F181&lt;=AJ$5, COUNTIF($M181:AI181,"u")=0), "u", "")</f>
        <v/>
      </c>
      <c r="AK181" s="80" t="str">
        <f>IF(AND($F181&lt;&gt;"", $F181&gt;=AK$5-4, $F181&lt;=AK$5, COUNTIF($M181:AJ181,"u")=0), "u", "")</f>
        <v/>
      </c>
      <c r="AL181" s="80" t="str">
        <f>IF(AND($F181&lt;&gt;"", $F181&gt;=AL$5-4, $F181&lt;=AL$5, COUNTIF($M181:AK181,"u")=0), "u", "")</f>
        <v/>
      </c>
      <c r="AM181" s="80" t="str">
        <f>IF(AND($F181&lt;&gt;"", $F181&gt;=AM$5-4, $F181&lt;=AM$5, COUNTIF($M181:AL181,"u")=0), "u", "")</f>
        <v/>
      </c>
      <c r="AN181" s="80" t="str">
        <f>IF(AND($F181&lt;&gt;"", $F181&gt;=AN$5-4, $F181&lt;=AN$5, COUNTIF($M181:AM181,"u")=0), "u", "")</f>
        <v/>
      </c>
      <c r="AO181" s="80" t="str">
        <f>IF(AND($F181&lt;&gt;"", $F181&gt;=AO$5-4, $F181&lt;=AO$5, COUNTIF($M181:AN181,"u")=0), "u", "")</f>
        <v/>
      </c>
      <c r="AP181" s="80" t="str">
        <f>IF(AND($F181&lt;&gt;"", $F181&gt;=AP$5-4, $F181&lt;=AP$5, COUNTIF($M181:AO181,"u")=0), "u", "")</f>
        <v/>
      </c>
      <c r="AQ181" s="80" t="str">
        <f>IF(AND($F181&lt;&gt;"", $F181&gt;=AQ$5-4, $F181&lt;=AQ$5, COUNTIF($M181:AP181,"u")=0), "u", "")</f>
        <v/>
      </c>
      <c r="AR181" s="80" t="str">
        <f>IF(AND($F181&lt;&gt;"", $F181&gt;=AR$5-4, $F181&lt;=AR$5, COUNTIF($M181:AQ181,"u")=0), "u", "")</f>
        <v/>
      </c>
      <c r="AS181" s="80" t="str">
        <f>IF(AND($F181&lt;&gt;"", $F181&gt;=AS$5-4, $F181&lt;=AS$5, COUNTIF($M181:AR181,"u")=0), "u", "")</f>
        <v/>
      </c>
      <c r="AT181" s="80" t="str">
        <f>IF(AND($F181&lt;&gt;"", $F181&gt;=AT$5-4, $F181&lt;=AT$5, COUNTIF($M181:AS181,"u")=0), "u", "")</f>
        <v/>
      </c>
      <c r="AU181" s="80" t="str">
        <f>IF(AND($F181&lt;&gt;"", $F181&gt;=AU$5-4, $F181&lt;=AU$5, COUNTIF($M181:AT181,"u")=0), "u", "")</f>
        <v/>
      </c>
      <c r="AV181" s="80" t="str">
        <f>IF(AND($F181&lt;&gt;"", $F181&gt;=AV$5-4, $F181&lt;=AV$5, COUNTIF($M181:AU181,"u")=0), "u", "")</f>
        <v/>
      </c>
      <c r="AW181" s="80" t="str">
        <f>IF(AND($F181&lt;&gt;"", $F181&gt;=AW$5-4, $F181&lt;=AW$5, COUNTIF($M181:AV181,"u")=0), "u", "")</f>
        <v/>
      </c>
      <c r="AX181" s="80" t="str">
        <f>IF(AND($F181&lt;&gt;"", $F181&gt;=AX$5-4, $F181&lt;=AX$5, COUNTIF($M181:AW181,"u")=0), "u", "")</f>
        <v/>
      </c>
      <c r="AY181" s="80" t="str">
        <f>IF(AND($F181&lt;&gt;"", $F181&gt;=AY$5-4, $F181&lt;=AY$5, COUNTIF($M181:AX181,"u")=0), "u", "")</f>
        <v/>
      </c>
      <c r="AZ181" s="80" t="str">
        <f>IF(AND($F181&lt;&gt;"", $F181&gt;=AZ$5-4, $F181&lt;=AZ$5, COUNTIF($M181:AY181,"u")=0), "u", "")</f>
        <v/>
      </c>
      <c r="BA181" s="80" t="str">
        <f>IF(AND($F181&lt;&gt;"", $F181&gt;=BA$5-4, $F181&lt;=BA$5, COUNTIF($M181:AZ181,"u")=0), "u", "")</f>
        <v/>
      </c>
      <c r="BB181" s="80" t="str">
        <f>IF(AND($F181&lt;&gt;"", $F181&gt;=BB$5-4, $F181&lt;=BB$5, COUNTIF($M181:BA181,"u")=0), "u", "")</f>
        <v/>
      </c>
      <c r="BC181" s="80" t="str">
        <f>IF(AND($F181&lt;&gt;"", $F181&gt;=BC$5-4, $F181&lt;=BC$5, COUNTIF($M181:BB181,"u")=0), "u", "")</f>
        <v/>
      </c>
      <c r="BD181" s="80" t="str">
        <f>IF(AND($F181&lt;&gt;"", $F181&gt;=BD$5-4, $F181&lt;=BD$5, COUNTIF($M181:BC181,"u")=0), "u", "")</f>
        <v/>
      </c>
      <c r="BE181" s="80" t="str">
        <f>IF(AND($F181&lt;&gt;"", $F181&gt;=BE$5-4, $F181&lt;=BE$5, COUNTIF($M181:BD181,"u")=0), "u", "")</f>
        <v/>
      </c>
      <c r="BF181" s="80" t="str">
        <f>IF(AND($F181&lt;&gt;"", $F181&gt;=BF$5-4, $F181&lt;=BF$5, COUNTIF($M181:BE181,"u")=0), "u", "")</f>
        <v/>
      </c>
      <c r="BG181" s="80" t="str">
        <f>IF(AND($F181&lt;&gt;"", $F181&gt;=BG$5-4, $F181&lt;=BG$5, COUNTIF($M181:BF181,"u")=0), "u", "")</f>
        <v/>
      </c>
      <c r="BH181" s="80" t="str">
        <f>IF(AND($F181&lt;&gt;"", $F181&gt;=BH$5-4, $F181&lt;=BH$5, COUNTIF($M181:BG181,"u")=0), "u", "")</f>
        <v/>
      </c>
      <c r="BI181" s="80" t="str">
        <f>IF(AND($F181&lt;&gt;"", $F181&gt;=BI$5-4, $F181&lt;=BI$5, COUNTIF($M181:BH181,"u")=0), "u", "")</f>
        <v/>
      </c>
      <c r="BJ181" s="80" t="str">
        <f>IF(AND($F181&lt;&gt;"", $F181&gt;=BJ$5-4, $F181&lt;=BJ$5, COUNTIF($M181:BI181,"u")=0), "u", "")</f>
        <v/>
      </c>
      <c r="BK181" s="80" t="str">
        <f>IF(AND($F181&lt;&gt;"", $F181&gt;=BK$5-4, $F181&lt;=BK$5, COUNTIF($M181:BJ181,"u")=0), "u", "")</f>
        <v/>
      </c>
      <c r="BL181" s="80" t="str">
        <f>IF(AND($F181&lt;&gt;"", $F181&gt;=BL$5-4, $F181&lt;=BL$5, COUNTIF($M181:BK181,"u")=0), "u", "")</f>
        <v/>
      </c>
      <c r="BM181" s="80" t="str">
        <f>IF(AND($F181&lt;&gt;"", $F181&gt;=BM$5-4, $F181&lt;=BM$5, COUNTIF($M181:BL181,"u")=0), "u", "")</f>
        <v/>
      </c>
      <c r="BN181" s="80" t="str">
        <f>IF(AND($F181&lt;&gt;"", $F181&gt;=BN$5-4, $F181&lt;=BN$5, COUNTIF($M181:BM181,"u")=0), "u", "")</f>
        <v/>
      </c>
      <c r="BO181" s="80" t="str">
        <f>IF(AND($F181&lt;&gt;"", $F181&gt;=BO$5-4, $F181&lt;=BO$5, COUNTIF($M181:BN181,"u")=0), "u", "")</f>
        <v/>
      </c>
      <c r="BP181" s="80" t="str">
        <f>IF(AND($F181&lt;&gt;"", $F181&gt;=BP$5-4, $F181&lt;=BP$5, COUNTIF($M181:BO181,"u")=0), "u", "")</f>
        <v/>
      </c>
      <c r="BQ181" s="80" t="str">
        <f>IF(AND($F181&lt;&gt;"", $F181&gt;=BQ$5-4, $F181&lt;=BQ$5, COUNTIF($M181:BP181,"u")=0), "u", "")</f>
        <v/>
      </c>
      <c r="BR181" s="80" t="str">
        <f>IF(AND($F181&lt;&gt;"", $F181&gt;=BR$5-4, $F181&lt;=BR$5, COUNTIF($M181:BQ181,"u")=0), "u", "")</f>
        <v/>
      </c>
      <c r="BS181" s="80" t="str">
        <f>IF(AND($F181&lt;&gt;"", $F181&gt;=BS$5-4, $F181&lt;=BS$5, COUNTIF($M181:BR181,"u")=0), "u", "")</f>
        <v/>
      </c>
      <c r="BT181" s="80" t="str">
        <f>IF(AND($F181&lt;&gt;"", $F181&gt;=BT$5-4, $F181&lt;=BT$5, COUNTIF($M181:BS181,"u")=0), "u", "")</f>
        <v/>
      </c>
      <c r="BU181" s="80" t="str">
        <f>IF(AND($F181&lt;&gt;"", $F181&gt;=BU$5-4, $F181&lt;=BU$5, COUNTIF($M181:BT181,"u")=0), "u", "")</f>
        <v/>
      </c>
      <c r="BV181" s="80" t="str">
        <f>IF(AND($F181&lt;&gt;"", $F181&gt;=BV$5-4, $F181&lt;=BV$5, COUNTIF($M181:BU181,"u")=0), "u", "")</f>
        <v/>
      </c>
      <c r="BW181" s="80" t="str">
        <f>IF(AND($F181&lt;&gt;"", $F181&gt;=BW$5-4, $F181&lt;=BW$5, COUNTIF($M181:BV181,"u")=0), "u", "")</f>
        <v/>
      </c>
      <c r="BX181" s="80" t="str">
        <f>IF(AND($F181&lt;&gt;"", $F181&gt;=BX$5-4, $F181&lt;=BX$5, COUNTIF($M181:BW181,"u")=0), "u", "")</f>
        <v/>
      </c>
      <c r="BY181" s="80" t="str">
        <f>IF(AND($F181&lt;&gt;"", $F181&gt;=BY$5-4, $F181&lt;=BY$5, COUNTIF($M181:BX181,"u")=0), "u", "")</f>
        <v/>
      </c>
      <c r="BZ181" s="80" t="str">
        <f>IF(AND($F181&lt;&gt;"", $F181&gt;=BZ$5-4, $F181&lt;=BZ$5, COUNTIF($M181:BY181,"u")=0), "u", "")</f>
        <v/>
      </c>
      <c r="CA181" s="80" t="str">
        <f>IF(AND($F181&lt;&gt;"", $F181&gt;=CA$5-4, $F181&lt;=CA$5, COUNTIF($M181:BZ181,"u")=0), "u", "")</f>
        <v/>
      </c>
      <c r="CB181" s="80" t="str">
        <f>IF(AND($F181&lt;&gt;"", $F181&gt;=CB$5-4, $F181&lt;=CB$5, COUNTIF($M181:CA181,"u")=0), "u", "")</f>
        <v/>
      </c>
      <c r="CC181" s="80" t="str">
        <f>IF(AND($F181&lt;&gt;"", $F181&gt;=CC$5-4, $F181&lt;=CC$5, COUNTIF($M181:CB181,"u")=0), "u", "")</f>
        <v/>
      </c>
      <c r="CD181" s="80" t="str">
        <f>IF(AND($F181&lt;&gt;"", $F181&gt;=CD$5-4, $F181&lt;=CD$5, COUNTIF($M181:CC181,"u")=0), "u", "")</f>
        <v/>
      </c>
      <c r="CE181" s="80" t="str">
        <f>IF(AND($F181&lt;&gt;"", $F181&gt;=CE$5-4, $F181&lt;=CE$5, COUNTIF($M181:CD181,"u")=0), "u", "")</f>
        <v/>
      </c>
      <c r="CF181" s="80" t="str">
        <f>IF(AND($F181&lt;&gt;"", $F181&gt;=CF$5-4, $F181&lt;=CF$5, COUNTIF($M181:CE181,"u")=0), "u", "")</f>
        <v/>
      </c>
      <c r="CG181" s="80" t="str">
        <f>IF(AND($F181&lt;&gt;"", $F181&gt;=CG$5-4, $F181&lt;=CG$5, COUNTIF($M181:CF181,"u")=0), "u", "")</f>
        <v/>
      </c>
      <c r="CH181" s="80" t="str">
        <f>IF(AND($F181&lt;&gt;"", $F181&gt;=CH$5-4, $F181&lt;=CH$5, COUNTIF($M181:CG181,"u")=0), "u", "")</f>
        <v/>
      </c>
      <c r="CI181" s="80" t="str">
        <f>IF(AND($F181&lt;&gt;"", $F181&gt;=CI$5-4, $F181&lt;=CI$5, COUNTIF($M181:CH181,"u")=0), "u", "")</f>
        <v/>
      </c>
      <c r="CJ181" s="80" t="str">
        <f>IF(AND($F181&lt;&gt;"", $F181&gt;=CJ$5-4, $F181&lt;=CJ$5, COUNTIF($M181:CI181,"u")=0), "u", "")</f>
        <v/>
      </c>
      <c r="CK181" s="80" t="str">
        <f>IF(AND($F181&lt;&gt;"", $F181&gt;=CK$5-4, $F181&lt;=CK$5, COUNTIF($M181:CJ181,"u")=0), "u", "")</f>
        <v/>
      </c>
      <c r="CL181" s="80" t="str">
        <f>IF(AND($F181&lt;&gt;"", $F181&gt;=CL$5-4, $F181&lt;=CL$5, COUNTIF($M181:CK181,"u")=0), "u", "")</f>
        <v/>
      </c>
      <c r="CM181" s="80" t="str">
        <f>IF(AND($F181&lt;&gt;"", $F181&gt;=CM$5-4, $F181&lt;=CM$5, COUNTIF($M181:CL181,"u")=0), "u", "")</f>
        <v/>
      </c>
      <c r="CN181" s="80" t="str">
        <f>IF(AND($F181&lt;&gt;"", $F181&gt;=CN$5-4, $F181&lt;=CN$5, COUNTIF($M181:CM181,"u")=0), "u", "")</f>
        <v/>
      </c>
      <c r="CO181" s="80" t="str">
        <f>IF(AND($F181&lt;&gt;"", $F181&gt;=CO$5-4, $F181&lt;=CO$5, COUNTIF($M181:CN181,"u")=0), "u", "")</f>
        <v/>
      </c>
      <c r="CP181" s="80" t="str">
        <f>IF(AND($F181&lt;&gt;"", $F181&gt;=CP$5-4, $F181&lt;=CP$5, COUNTIF($M181:CO181,"u")=0), "u", "")</f>
        <v/>
      </c>
      <c r="CQ181" s="80" t="str">
        <f>IF(AND($F181&lt;&gt;"", $F181&gt;=CQ$5-4, $F181&lt;=CQ$5, COUNTIF($M181:CP181,"u")=0), "u", "")</f>
        <v/>
      </c>
      <c r="CR181" s="80" t="str">
        <f>IF(AND($F181&lt;&gt;"", $F181&gt;=CR$5-4, $F181&lt;=CR$5, COUNTIF($M181:CQ181,"u")=0), "u", "")</f>
        <v/>
      </c>
      <c r="CS181" s="80" t="str">
        <f>IF(AND($F181&lt;&gt;"", $F181&gt;=CS$5-4, $F181&lt;=CS$5, COUNTIF($M181:CR181,"u")=0), "u", "")</f>
        <v/>
      </c>
      <c r="CT181" s="80" t="str">
        <f>IF(AND($F181&lt;&gt;"", $F181&gt;=CT$5-4, $F181&lt;=CT$5, COUNTIF($M181:CS181,"u")=0), "u", "")</f>
        <v/>
      </c>
      <c r="CU181" s="80" t="str">
        <f>IF(AND($F181&lt;&gt;"", $F181&gt;=CU$5-4, $F181&lt;=CU$5, COUNTIF($M181:CT181,"u")=0), "u", "")</f>
        <v/>
      </c>
      <c r="CV181" s="80" t="str">
        <f>IF(AND($F181&lt;&gt;"", $F181&gt;=CV$5-4, $F181&lt;=CV$5, COUNTIF($M181:CU181,"u")=0), "u", "")</f>
        <v/>
      </c>
      <c r="CW181" s="80" t="str">
        <f>IF(AND($F181&lt;&gt;"", $F181&gt;=CW$5-4, $F181&lt;=CW$5, COUNTIF($M181:CV181,"u")=0), "u", "")</f>
        <v/>
      </c>
      <c r="CX181" s="80" t="str">
        <f>IF(AND($F181&lt;&gt;"", $F181&gt;=CX$5-4, $F181&lt;=CX$5, COUNTIF($M181:CW181,"u")=0), "u", "")</f>
        <v/>
      </c>
      <c r="CY181" s="80" t="str">
        <f>IF(AND($F181&lt;&gt;"", $F181&gt;=CY$5-4, $F181&lt;=CY$5, COUNTIF($M181:CX181,"u")=0), "u", "")</f>
        <v/>
      </c>
      <c r="CZ181" s="80" t="str">
        <f>IF(AND($F181&lt;&gt;"", $F181&gt;=CZ$5-4, $F181&lt;=CZ$5, COUNTIF($M181:CY181,"u")=0), "u", "")</f>
        <v/>
      </c>
      <c r="DA181" s="80" t="str">
        <f>IF(AND($F181&lt;&gt;"", $F181&gt;=DA$5-4, $F181&lt;=DA$5, COUNTIF($M181:CZ181,"u")=0), "u", "")</f>
        <v/>
      </c>
      <c r="DB181" s="80" t="str">
        <f>IF(AND($F181&lt;&gt;"", $F181&gt;=DB$5-4, $F181&lt;=DB$5, COUNTIF($M181:DA181,"u")=0), "u", "")</f>
        <v/>
      </c>
      <c r="DC181" s="80" t="str">
        <f>IF(AND($F181&lt;&gt;"", $F181&gt;=DC$5-4, $F181&lt;=DC$5, COUNTIF($M181:DB181,"u")=0), "u", "")</f>
        <v/>
      </c>
      <c r="DD181" s="80" t="str">
        <f>IF(AND($F181&lt;&gt;"", $F181&gt;=DD$5-4, $F181&lt;=DD$5, COUNTIF($M181:DC181,"u")=0), "u", "")</f>
        <v/>
      </c>
      <c r="DE181" s="80" t="str">
        <f>IF(AND($F181&lt;&gt;"", $F181&gt;=DE$5-4, $F181&lt;=DE$5, COUNTIF($M181:DD181,"u")=0), "u", "")</f>
        <v/>
      </c>
      <c r="DF181" s="80" t="str">
        <f>IF(AND($F181&lt;&gt;"", $F181&gt;=DF$5-4, $F181&lt;=DF$5, COUNTIF($M181:DE181,"u")=0), "u", "")</f>
        <v/>
      </c>
      <c r="DG181" s="80" t="str">
        <f>IF(AND($F181&lt;&gt;"", $F181&gt;=DG$5-4, $F181&lt;=DG$5, COUNTIF($M181:DF181,"u")=0), "u", "")</f>
        <v/>
      </c>
      <c r="DH181" s="80" t="str">
        <f>IF(AND($F181&lt;&gt;"", $F181&gt;=DH$5-4, $F181&lt;=DH$5, COUNTIF($M181:DG181,"u")=0), "u", "")</f>
        <v/>
      </c>
      <c r="DI181" s="80" t="str">
        <f>IF(AND($F181&lt;&gt;"", $F181&gt;=DI$5-4, $F181&lt;=DI$5, COUNTIF($M181:DH181,"u")=0), "u", "")</f>
        <v/>
      </c>
      <c r="DJ181" s="80" t="str">
        <f>IF(AND($F181&lt;&gt;"", $F181&gt;=DJ$5-4, $F181&lt;=DJ$5, COUNTIF($M181:DI181,"u")=0), "u", "")</f>
        <v/>
      </c>
      <c r="DK181" s="80" t="str">
        <f>IF(AND($F181&lt;&gt;"", $F181&gt;=DK$5-4, $F181&lt;=DK$5, COUNTIF($M181:DJ181,"u")=0), "u", "")</f>
        <v/>
      </c>
      <c r="DL181" s="80" t="str">
        <f>IF(AND($F181&lt;&gt;"", $F181&gt;=DL$5-4, $F181&lt;=DL$5, COUNTIF($M181:DK181,"u")=0), "u", "")</f>
        <v/>
      </c>
    </row>
    <row r="182" spans="1:116" ht="25.05" customHeight="1" x14ac:dyDescent="0.3">
      <c r="A182" s="39"/>
      <c r="B182" s="75">
        <v>177</v>
      </c>
      <c r="C182" s="97"/>
      <c r="D182" s="92"/>
      <c r="E182" s="53"/>
      <c r="F182" s="53"/>
      <c r="G182" s="83" t="str">
        <f t="shared" si="53"/>
        <v/>
      </c>
      <c r="H182" s="83" t="str">
        <f t="shared" si="53"/>
        <v/>
      </c>
      <c r="I182" s="77" t="str">
        <f t="shared" si="51"/>
        <v/>
      </c>
      <c r="J182" s="78"/>
      <c r="K182" s="86"/>
      <c r="L182" s="56"/>
      <c r="M182" s="80" t="str">
        <f t="shared" si="52"/>
        <v/>
      </c>
      <c r="N182" s="80" t="str">
        <f>IF(AND($F182&lt;&gt;"", $F182&gt;=N$5-4, $F182&lt;=N$5, COUNTIF($M182:M182,"u")=0), "u", "")</f>
        <v/>
      </c>
      <c r="O182" s="80" t="str">
        <f>IF(AND($F182&lt;&gt;"", $F182&gt;=O$5-4, $F182&lt;=O$5, COUNTIF($M182:N182,"u")=0), "u", "")</f>
        <v/>
      </c>
      <c r="P182" s="80" t="str">
        <f>IF(AND($F182&lt;&gt;"", $F182&gt;=P$5-4, $F182&lt;=P$5, COUNTIF($M182:O182,"u")=0), "u", "")</f>
        <v/>
      </c>
      <c r="Q182" s="80" t="str">
        <f>IF(AND($F182&lt;&gt;"", $F182&gt;=Q$5-4, $F182&lt;=Q$5, COUNTIF($M182:P182,"u")=0), "u", "")</f>
        <v/>
      </c>
      <c r="R182" s="80" t="str">
        <f>IF(AND($F182&lt;&gt;"", $F182&gt;=R$5-4, $F182&lt;=R$5, COUNTIF($M182:Q182,"u")=0), "u", "")</f>
        <v/>
      </c>
      <c r="S182" s="80" t="str">
        <f>IF(AND($F182&lt;&gt;"", $F182&gt;=S$5-4, $F182&lt;=S$5, COUNTIF($M182:R182,"u")=0), "u", "")</f>
        <v/>
      </c>
      <c r="T182" s="80" t="str">
        <f>IF(AND($F182&lt;&gt;"", $F182&gt;=T$5-4, $F182&lt;=T$5, COUNTIF($M182:S182,"u")=0), "u", "")</f>
        <v/>
      </c>
      <c r="U182" s="80" t="str">
        <f>IF(AND($F182&lt;&gt;"", $F182&gt;=U$5-4, $F182&lt;=U$5, COUNTIF($M182:T182,"u")=0), "u", "")</f>
        <v/>
      </c>
      <c r="V182" s="80" t="str">
        <f>IF(AND($F182&lt;&gt;"", $F182&gt;=V$5-4, $F182&lt;=V$5, COUNTIF($M182:U182,"u")=0), "u", "")</f>
        <v/>
      </c>
      <c r="W182" s="80" t="str">
        <f>IF(AND($F182&lt;&gt;"", $F182&gt;=W$5-4, $F182&lt;=W$5, COUNTIF($M182:V182,"u")=0), "u", "")</f>
        <v/>
      </c>
      <c r="X182" s="80" t="str">
        <f>IF(AND($F182&lt;&gt;"", $F182&gt;=X$5-4, $F182&lt;=X$5, COUNTIF($M182:W182,"u")=0), "u", "")</f>
        <v/>
      </c>
      <c r="Y182" s="80" t="str">
        <f>IF(AND($F182&lt;&gt;"", $F182&gt;=Y$5-4, $F182&lt;=Y$5, COUNTIF($M182:X182,"u")=0), "u", "")</f>
        <v/>
      </c>
      <c r="Z182" s="80" t="str">
        <f>IF(AND($F182&lt;&gt;"", $F182&gt;=Z$5-4, $F182&lt;=Z$5, COUNTIF($M182:Y182,"u")=0), "u", "")</f>
        <v/>
      </c>
      <c r="AA182" s="80" t="str">
        <f>IF(AND($F182&lt;&gt;"", $F182&gt;=AA$5-4, $F182&lt;=AA$5, COUNTIF($M182:Z182,"u")=0), "u", "")</f>
        <v/>
      </c>
      <c r="AB182" s="80" t="str">
        <f>IF(AND($F182&lt;&gt;"", $F182&gt;=AB$5-4, $F182&lt;=AB$5, COUNTIF($M182:AA182,"u")=0), "u", "")</f>
        <v/>
      </c>
      <c r="AC182" s="80" t="str">
        <f>IF(AND($F182&lt;&gt;"", $F182&gt;=AC$5-4, $F182&lt;=AC$5, COUNTIF($M182:AB182,"u")=0), "u", "")</f>
        <v/>
      </c>
      <c r="AD182" s="80" t="str">
        <f>IF(AND($F182&lt;&gt;"", $F182&gt;=AD$5-4, $F182&lt;=AD$5, COUNTIF($M182:AC182,"u")=0), "u", "")</f>
        <v/>
      </c>
      <c r="AE182" s="80" t="str">
        <f>IF(AND($F182&lt;&gt;"", $F182&gt;=AE$5-4, $F182&lt;=AE$5, COUNTIF($M182:AD182,"u")=0), "u", "")</f>
        <v/>
      </c>
      <c r="AF182" s="80" t="str">
        <f>IF(AND($F182&lt;&gt;"", $F182&gt;=AF$5-4, $F182&lt;=AF$5, COUNTIF($M182:AE182,"u")=0), "u", "")</f>
        <v/>
      </c>
      <c r="AG182" s="80" t="str">
        <f>IF(AND($F182&lt;&gt;"", $F182&gt;=AG$5-4, $F182&lt;=AG$5, COUNTIF($M182:AF182,"u")=0), "u", "")</f>
        <v/>
      </c>
      <c r="AH182" s="80" t="str">
        <f>IF(AND($F182&lt;&gt;"", $F182&gt;=AH$5-4, $F182&lt;=AH$5, COUNTIF($M182:AG182,"u")=0), "u", "")</f>
        <v/>
      </c>
      <c r="AI182" s="80" t="str">
        <f>IF(AND($F182&lt;&gt;"", $F182&gt;=AI$5-4, $F182&lt;=AI$5, COUNTIF($M182:AH182,"u")=0), "u", "")</f>
        <v/>
      </c>
      <c r="AJ182" s="80" t="str">
        <f>IF(AND($F182&lt;&gt;"", $F182&gt;=AJ$5-4, $F182&lt;=AJ$5, COUNTIF($M182:AI182,"u")=0), "u", "")</f>
        <v/>
      </c>
      <c r="AK182" s="80" t="str">
        <f>IF(AND($F182&lt;&gt;"", $F182&gt;=AK$5-4, $F182&lt;=AK$5, COUNTIF($M182:AJ182,"u")=0), "u", "")</f>
        <v/>
      </c>
      <c r="AL182" s="80" t="str">
        <f>IF(AND($F182&lt;&gt;"", $F182&gt;=AL$5-4, $F182&lt;=AL$5, COUNTIF($M182:AK182,"u")=0), "u", "")</f>
        <v/>
      </c>
      <c r="AM182" s="80" t="str">
        <f>IF(AND($F182&lt;&gt;"", $F182&gt;=AM$5-4, $F182&lt;=AM$5, COUNTIF($M182:AL182,"u")=0), "u", "")</f>
        <v/>
      </c>
      <c r="AN182" s="80" t="str">
        <f>IF(AND($F182&lt;&gt;"", $F182&gt;=AN$5-4, $F182&lt;=AN$5, COUNTIF($M182:AM182,"u")=0), "u", "")</f>
        <v/>
      </c>
      <c r="AO182" s="80" t="str">
        <f>IF(AND($F182&lt;&gt;"", $F182&gt;=AO$5-4, $F182&lt;=AO$5, COUNTIF($M182:AN182,"u")=0), "u", "")</f>
        <v/>
      </c>
      <c r="AP182" s="80" t="str">
        <f>IF(AND($F182&lt;&gt;"", $F182&gt;=AP$5-4, $F182&lt;=AP$5, COUNTIF($M182:AO182,"u")=0), "u", "")</f>
        <v/>
      </c>
      <c r="AQ182" s="80" t="str">
        <f>IF(AND($F182&lt;&gt;"", $F182&gt;=AQ$5-4, $F182&lt;=AQ$5, COUNTIF($M182:AP182,"u")=0), "u", "")</f>
        <v/>
      </c>
      <c r="AR182" s="80" t="str">
        <f>IF(AND($F182&lt;&gt;"", $F182&gt;=AR$5-4, $F182&lt;=AR$5, COUNTIF($M182:AQ182,"u")=0), "u", "")</f>
        <v/>
      </c>
      <c r="AS182" s="80" t="str">
        <f>IF(AND($F182&lt;&gt;"", $F182&gt;=AS$5-4, $F182&lt;=AS$5, COUNTIF($M182:AR182,"u")=0), "u", "")</f>
        <v/>
      </c>
      <c r="AT182" s="80" t="str">
        <f>IF(AND($F182&lt;&gt;"", $F182&gt;=AT$5-4, $F182&lt;=AT$5, COUNTIF($M182:AS182,"u")=0), "u", "")</f>
        <v/>
      </c>
      <c r="AU182" s="80" t="str">
        <f>IF(AND($F182&lt;&gt;"", $F182&gt;=AU$5-4, $F182&lt;=AU$5, COUNTIF($M182:AT182,"u")=0), "u", "")</f>
        <v/>
      </c>
      <c r="AV182" s="80" t="str">
        <f>IF(AND($F182&lt;&gt;"", $F182&gt;=AV$5-4, $F182&lt;=AV$5, COUNTIF($M182:AU182,"u")=0), "u", "")</f>
        <v/>
      </c>
      <c r="AW182" s="80" t="str">
        <f>IF(AND($F182&lt;&gt;"", $F182&gt;=AW$5-4, $F182&lt;=AW$5, COUNTIF($M182:AV182,"u")=0), "u", "")</f>
        <v/>
      </c>
      <c r="AX182" s="80" t="str">
        <f>IF(AND($F182&lt;&gt;"", $F182&gt;=AX$5-4, $F182&lt;=AX$5, COUNTIF($M182:AW182,"u")=0), "u", "")</f>
        <v/>
      </c>
      <c r="AY182" s="80" t="str">
        <f>IF(AND($F182&lt;&gt;"", $F182&gt;=AY$5-4, $F182&lt;=AY$5, COUNTIF($M182:AX182,"u")=0), "u", "")</f>
        <v/>
      </c>
      <c r="AZ182" s="80" t="str">
        <f>IF(AND($F182&lt;&gt;"", $F182&gt;=AZ$5-4, $F182&lt;=AZ$5, COUNTIF($M182:AY182,"u")=0), "u", "")</f>
        <v/>
      </c>
      <c r="BA182" s="80" t="str">
        <f>IF(AND($F182&lt;&gt;"", $F182&gt;=BA$5-4, $F182&lt;=BA$5, COUNTIF($M182:AZ182,"u")=0), "u", "")</f>
        <v/>
      </c>
      <c r="BB182" s="80" t="str">
        <f>IF(AND($F182&lt;&gt;"", $F182&gt;=BB$5-4, $F182&lt;=BB$5, COUNTIF($M182:BA182,"u")=0), "u", "")</f>
        <v/>
      </c>
      <c r="BC182" s="80" t="str">
        <f>IF(AND($F182&lt;&gt;"", $F182&gt;=BC$5-4, $F182&lt;=BC$5, COUNTIF($M182:BB182,"u")=0), "u", "")</f>
        <v/>
      </c>
      <c r="BD182" s="80" t="str">
        <f>IF(AND($F182&lt;&gt;"", $F182&gt;=BD$5-4, $F182&lt;=BD$5, COUNTIF($M182:BC182,"u")=0), "u", "")</f>
        <v/>
      </c>
      <c r="BE182" s="80" t="str">
        <f>IF(AND($F182&lt;&gt;"", $F182&gt;=BE$5-4, $F182&lt;=BE$5, COUNTIF($M182:BD182,"u")=0), "u", "")</f>
        <v/>
      </c>
      <c r="BF182" s="80" t="str">
        <f>IF(AND($F182&lt;&gt;"", $F182&gt;=BF$5-4, $F182&lt;=BF$5, COUNTIF($M182:BE182,"u")=0), "u", "")</f>
        <v/>
      </c>
      <c r="BG182" s="80" t="str">
        <f>IF(AND($F182&lt;&gt;"", $F182&gt;=BG$5-4, $F182&lt;=BG$5, COUNTIF($M182:BF182,"u")=0), "u", "")</f>
        <v/>
      </c>
      <c r="BH182" s="80" t="str">
        <f>IF(AND($F182&lt;&gt;"", $F182&gt;=BH$5-4, $F182&lt;=BH$5, COUNTIF($M182:BG182,"u")=0), "u", "")</f>
        <v/>
      </c>
      <c r="BI182" s="80" t="str">
        <f>IF(AND($F182&lt;&gt;"", $F182&gt;=BI$5-4, $F182&lt;=BI$5, COUNTIF($M182:BH182,"u")=0), "u", "")</f>
        <v/>
      </c>
      <c r="BJ182" s="80" t="str">
        <f>IF(AND($F182&lt;&gt;"", $F182&gt;=BJ$5-4, $F182&lt;=BJ$5, COUNTIF($M182:BI182,"u")=0), "u", "")</f>
        <v/>
      </c>
      <c r="BK182" s="80" t="str">
        <f>IF(AND($F182&lt;&gt;"", $F182&gt;=BK$5-4, $F182&lt;=BK$5, COUNTIF($M182:BJ182,"u")=0), "u", "")</f>
        <v/>
      </c>
      <c r="BL182" s="80" t="str">
        <f>IF(AND($F182&lt;&gt;"", $F182&gt;=BL$5-4, $F182&lt;=BL$5, COUNTIF($M182:BK182,"u")=0), "u", "")</f>
        <v/>
      </c>
      <c r="BM182" s="80" t="str">
        <f>IF(AND($F182&lt;&gt;"", $F182&gt;=BM$5-4, $F182&lt;=BM$5, COUNTIF($M182:BL182,"u")=0), "u", "")</f>
        <v/>
      </c>
      <c r="BN182" s="80" t="str">
        <f>IF(AND($F182&lt;&gt;"", $F182&gt;=BN$5-4, $F182&lt;=BN$5, COUNTIF($M182:BM182,"u")=0), "u", "")</f>
        <v/>
      </c>
      <c r="BO182" s="80" t="str">
        <f>IF(AND($F182&lt;&gt;"", $F182&gt;=BO$5-4, $F182&lt;=BO$5, COUNTIF($M182:BN182,"u")=0), "u", "")</f>
        <v/>
      </c>
      <c r="BP182" s="80" t="str">
        <f>IF(AND($F182&lt;&gt;"", $F182&gt;=BP$5-4, $F182&lt;=BP$5, COUNTIF($M182:BO182,"u")=0), "u", "")</f>
        <v/>
      </c>
      <c r="BQ182" s="80" t="str">
        <f>IF(AND($F182&lt;&gt;"", $F182&gt;=BQ$5-4, $F182&lt;=BQ$5, COUNTIF($M182:BP182,"u")=0), "u", "")</f>
        <v/>
      </c>
      <c r="BR182" s="80" t="str">
        <f>IF(AND($F182&lt;&gt;"", $F182&gt;=BR$5-4, $F182&lt;=BR$5, COUNTIF($M182:BQ182,"u")=0), "u", "")</f>
        <v/>
      </c>
      <c r="BS182" s="80" t="str">
        <f>IF(AND($F182&lt;&gt;"", $F182&gt;=BS$5-4, $F182&lt;=BS$5, COUNTIF($M182:BR182,"u")=0), "u", "")</f>
        <v/>
      </c>
      <c r="BT182" s="80" t="str">
        <f>IF(AND($F182&lt;&gt;"", $F182&gt;=BT$5-4, $F182&lt;=BT$5, COUNTIF($M182:BS182,"u")=0), "u", "")</f>
        <v/>
      </c>
      <c r="BU182" s="80" t="str">
        <f>IF(AND($F182&lt;&gt;"", $F182&gt;=BU$5-4, $F182&lt;=BU$5, COUNTIF($M182:BT182,"u")=0), "u", "")</f>
        <v/>
      </c>
      <c r="BV182" s="80" t="str">
        <f>IF(AND($F182&lt;&gt;"", $F182&gt;=BV$5-4, $F182&lt;=BV$5, COUNTIF($M182:BU182,"u")=0), "u", "")</f>
        <v/>
      </c>
      <c r="BW182" s="80" t="str">
        <f>IF(AND($F182&lt;&gt;"", $F182&gt;=BW$5-4, $F182&lt;=BW$5, COUNTIF($M182:BV182,"u")=0), "u", "")</f>
        <v/>
      </c>
      <c r="BX182" s="80" t="str">
        <f>IF(AND($F182&lt;&gt;"", $F182&gt;=BX$5-4, $F182&lt;=BX$5, COUNTIF($M182:BW182,"u")=0), "u", "")</f>
        <v/>
      </c>
      <c r="BY182" s="80" t="str">
        <f>IF(AND($F182&lt;&gt;"", $F182&gt;=BY$5-4, $F182&lt;=BY$5, COUNTIF($M182:BX182,"u")=0), "u", "")</f>
        <v/>
      </c>
      <c r="BZ182" s="80" t="str">
        <f>IF(AND($F182&lt;&gt;"", $F182&gt;=BZ$5-4, $F182&lt;=BZ$5, COUNTIF($M182:BY182,"u")=0), "u", "")</f>
        <v/>
      </c>
      <c r="CA182" s="80" t="str">
        <f>IF(AND($F182&lt;&gt;"", $F182&gt;=CA$5-4, $F182&lt;=CA$5, COUNTIF($M182:BZ182,"u")=0), "u", "")</f>
        <v/>
      </c>
      <c r="CB182" s="80" t="str">
        <f>IF(AND($F182&lt;&gt;"", $F182&gt;=CB$5-4, $F182&lt;=CB$5, COUNTIF($M182:CA182,"u")=0), "u", "")</f>
        <v/>
      </c>
      <c r="CC182" s="80" t="str">
        <f>IF(AND($F182&lt;&gt;"", $F182&gt;=CC$5-4, $F182&lt;=CC$5, COUNTIF($M182:CB182,"u")=0), "u", "")</f>
        <v/>
      </c>
      <c r="CD182" s="80" t="str">
        <f>IF(AND($F182&lt;&gt;"", $F182&gt;=CD$5-4, $F182&lt;=CD$5, COUNTIF($M182:CC182,"u")=0), "u", "")</f>
        <v/>
      </c>
      <c r="CE182" s="80" t="str">
        <f>IF(AND($F182&lt;&gt;"", $F182&gt;=CE$5-4, $F182&lt;=CE$5, COUNTIF($M182:CD182,"u")=0), "u", "")</f>
        <v/>
      </c>
      <c r="CF182" s="80" t="str">
        <f>IF(AND($F182&lt;&gt;"", $F182&gt;=CF$5-4, $F182&lt;=CF$5, COUNTIF($M182:CE182,"u")=0), "u", "")</f>
        <v/>
      </c>
      <c r="CG182" s="80" t="str">
        <f>IF(AND($F182&lt;&gt;"", $F182&gt;=CG$5-4, $F182&lt;=CG$5, COUNTIF($M182:CF182,"u")=0), "u", "")</f>
        <v/>
      </c>
      <c r="CH182" s="80" t="str">
        <f>IF(AND($F182&lt;&gt;"", $F182&gt;=CH$5-4, $F182&lt;=CH$5, COUNTIF($M182:CG182,"u")=0), "u", "")</f>
        <v/>
      </c>
      <c r="CI182" s="80" t="str">
        <f>IF(AND($F182&lt;&gt;"", $F182&gt;=CI$5-4, $F182&lt;=CI$5, COUNTIF($M182:CH182,"u")=0), "u", "")</f>
        <v/>
      </c>
      <c r="CJ182" s="80" t="str">
        <f>IF(AND($F182&lt;&gt;"", $F182&gt;=CJ$5-4, $F182&lt;=CJ$5, COUNTIF($M182:CI182,"u")=0), "u", "")</f>
        <v/>
      </c>
      <c r="CK182" s="80" t="str">
        <f>IF(AND($F182&lt;&gt;"", $F182&gt;=CK$5-4, $F182&lt;=CK$5, COUNTIF($M182:CJ182,"u")=0), "u", "")</f>
        <v/>
      </c>
      <c r="CL182" s="80" t="str">
        <f>IF(AND($F182&lt;&gt;"", $F182&gt;=CL$5-4, $F182&lt;=CL$5, COUNTIF($M182:CK182,"u")=0), "u", "")</f>
        <v/>
      </c>
      <c r="CM182" s="80" t="str">
        <f>IF(AND($F182&lt;&gt;"", $F182&gt;=CM$5-4, $F182&lt;=CM$5, COUNTIF($M182:CL182,"u")=0), "u", "")</f>
        <v/>
      </c>
      <c r="CN182" s="80" t="str">
        <f>IF(AND($F182&lt;&gt;"", $F182&gt;=CN$5-4, $F182&lt;=CN$5, COUNTIF($M182:CM182,"u")=0), "u", "")</f>
        <v/>
      </c>
      <c r="CO182" s="80" t="str">
        <f>IF(AND($F182&lt;&gt;"", $F182&gt;=CO$5-4, $F182&lt;=CO$5, COUNTIF($M182:CN182,"u")=0), "u", "")</f>
        <v/>
      </c>
      <c r="CP182" s="80" t="str">
        <f>IF(AND($F182&lt;&gt;"", $F182&gt;=CP$5-4, $F182&lt;=CP$5, COUNTIF($M182:CO182,"u")=0), "u", "")</f>
        <v/>
      </c>
      <c r="CQ182" s="80" t="str">
        <f>IF(AND($F182&lt;&gt;"", $F182&gt;=CQ$5-4, $F182&lt;=CQ$5, COUNTIF($M182:CP182,"u")=0), "u", "")</f>
        <v/>
      </c>
      <c r="CR182" s="80" t="str">
        <f>IF(AND($F182&lt;&gt;"", $F182&gt;=CR$5-4, $F182&lt;=CR$5, COUNTIF($M182:CQ182,"u")=0), "u", "")</f>
        <v/>
      </c>
      <c r="CS182" s="80" t="str">
        <f>IF(AND($F182&lt;&gt;"", $F182&gt;=CS$5-4, $F182&lt;=CS$5, COUNTIF($M182:CR182,"u")=0), "u", "")</f>
        <v/>
      </c>
      <c r="CT182" s="80" t="str">
        <f>IF(AND($F182&lt;&gt;"", $F182&gt;=CT$5-4, $F182&lt;=CT$5, COUNTIF($M182:CS182,"u")=0), "u", "")</f>
        <v/>
      </c>
      <c r="CU182" s="80" t="str">
        <f>IF(AND($F182&lt;&gt;"", $F182&gt;=CU$5-4, $F182&lt;=CU$5, COUNTIF($M182:CT182,"u")=0), "u", "")</f>
        <v/>
      </c>
      <c r="CV182" s="80" t="str">
        <f>IF(AND($F182&lt;&gt;"", $F182&gt;=CV$5-4, $F182&lt;=CV$5, COUNTIF($M182:CU182,"u")=0), "u", "")</f>
        <v/>
      </c>
      <c r="CW182" s="80" t="str">
        <f>IF(AND($F182&lt;&gt;"", $F182&gt;=CW$5-4, $F182&lt;=CW$5, COUNTIF($M182:CV182,"u")=0), "u", "")</f>
        <v/>
      </c>
      <c r="CX182" s="80" t="str">
        <f>IF(AND($F182&lt;&gt;"", $F182&gt;=CX$5-4, $F182&lt;=CX$5, COUNTIF($M182:CW182,"u")=0), "u", "")</f>
        <v/>
      </c>
      <c r="CY182" s="80" t="str">
        <f>IF(AND($F182&lt;&gt;"", $F182&gt;=CY$5-4, $F182&lt;=CY$5, COUNTIF($M182:CX182,"u")=0), "u", "")</f>
        <v/>
      </c>
      <c r="CZ182" s="80" t="str">
        <f>IF(AND($F182&lt;&gt;"", $F182&gt;=CZ$5-4, $F182&lt;=CZ$5, COUNTIF($M182:CY182,"u")=0), "u", "")</f>
        <v/>
      </c>
      <c r="DA182" s="80" t="str">
        <f>IF(AND($F182&lt;&gt;"", $F182&gt;=DA$5-4, $F182&lt;=DA$5, COUNTIF($M182:CZ182,"u")=0), "u", "")</f>
        <v/>
      </c>
      <c r="DB182" s="80" t="str">
        <f>IF(AND($F182&lt;&gt;"", $F182&gt;=DB$5-4, $F182&lt;=DB$5, COUNTIF($M182:DA182,"u")=0), "u", "")</f>
        <v/>
      </c>
      <c r="DC182" s="80" t="str">
        <f>IF(AND($F182&lt;&gt;"", $F182&gt;=DC$5-4, $F182&lt;=DC$5, COUNTIF($M182:DB182,"u")=0), "u", "")</f>
        <v/>
      </c>
      <c r="DD182" s="80" t="str">
        <f>IF(AND($F182&lt;&gt;"", $F182&gt;=DD$5-4, $F182&lt;=DD$5, COUNTIF($M182:DC182,"u")=0), "u", "")</f>
        <v/>
      </c>
      <c r="DE182" s="80" t="str">
        <f>IF(AND($F182&lt;&gt;"", $F182&gt;=DE$5-4, $F182&lt;=DE$5, COUNTIF($M182:DD182,"u")=0), "u", "")</f>
        <v/>
      </c>
      <c r="DF182" s="80" t="str">
        <f>IF(AND($F182&lt;&gt;"", $F182&gt;=DF$5-4, $F182&lt;=DF$5, COUNTIF($M182:DE182,"u")=0), "u", "")</f>
        <v/>
      </c>
      <c r="DG182" s="80" t="str">
        <f>IF(AND($F182&lt;&gt;"", $F182&gt;=DG$5-4, $F182&lt;=DG$5, COUNTIF($M182:DF182,"u")=0), "u", "")</f>
        <v/>
      </c>
      <c r="DH182" s="80" t="str">
        <f>IF(AND($F182&lt;&gt;"", $F182&gt;=DH$5-4, $F182&lt;=DH$5, COUNTIF($M182:DG182,"u")=0), "u", "")</f>
        <v/>
      </c>
      <c r="DI182" s="80" t="str">
        <f>IF(AND($F182&lt;&gt;"", $F182&gt;=DI$5-4, $F182&lt;=DI$5, COUNTIF($M182:DH182,"u")=0), "u", "")</f>
        <v/>
      </c>
      <c r="DJ182" s="80" t="str">
        <f>IF(AND($F182&lt;&gt;"", $F182&gt;=DJ$5-4, $F182&lt;=DJ$5, COUNTIF($M182:DI182,"u")=0), "u", "")</f>
        <v/>
      </c>
      <c r="DK182" s="80" t="str">
        <f>IF(AND($F182&lt;&gt;"", $F182&gt;=DK$5-4, $F182&lt;=DK$5, COUNTIF($M182:DJ182,"u")=0), "u", "")</f>
        <v/>
      </c>
      <c r="DL182" s="80" t="str">
        <f>IF(AND($F182&lt;&gt;"", $F182&gt;=DL$5-4, $F182&lt;=DL$5, COUNTIF($M182:DK182,"u")=0), "u", "")</f>
        <v/>
      </c>
    </row>
    <row r="183" spans="1:116" ht="25.05" customHeight="1" x14ac:dyDescent="0.3">
      <c r="A183" s="39"/>
      <c r="B183" s="75">
        <v>178</v>
      </c>
      <c r="C183" s="97"/>
      <c r="D183" s="92"/>
      <c r="E183" s="53"/>
      <c r="F183" s="53"/>
      <c r="G183" s="83" t="str">
        <f t="shared" si="53"/>
        <v/>
      </c>
      <c r="H183" s="83" t="str">
        <f t="shared" si="53"/>
        <v/>
      </c>
      <c r="I183" s="77" t="str">
        <f t="shared" si="51"/>
        <v/>
      </c>
      <c r="J183" s="78"/>
      <c r="K183" s="86"/>
      <c r="L183" s="56"/>
      <c r="M183" s="80" t="str">
        <f t="shared" si="52"/>
        <v/>
      </c>
      <c r="N183" s="80" t="str">
        <f>IF(AND($F183&lt;&gt;"", $F183&gt;=N$5-4, $F183&lt;=N$5, COUNTIF($M183:M183,"u")=0), "u", "")</f>
        <v/>
      </c>
      <c r="O183" s="80" t="str">
        <f>IF(AND($F183&lt;&gt;"", $F183&gt;=O$5-4, $F183&lt;=O$5, COUNTIF($M183:N183,"u")=0), "u", "")</f>
        <v/>
      </c>
      <c r="P183" s="80" t="str">
        <f>IF(AND($F183&lt;&gt;"", $F183&gt;=P$5-4, $F183&lt;=P$5, COUNTIF($M183:O183,"u")=0), "u", "")</f>
        <v/>
      </c>
      <c r="Q183" s="80" t="str">
        <f>IF(AND($F183&lt;&gt;"", $F183&gt;=Q$5-4, $F183&lt;=Q$5, COUNTIF($M183:P183,"u")=0), "u", "")</f>
        <v/>
      </c>
      <c r="R183" s="80" t="str">
        <f>IF(AND($F183&lt;&gt;"", $F183&gt;=R$5-4, $F183&lt;=R$5, COUNTIF($M183:Q183,"u")=0), "u", "")</f>
        <v/>
      </c>
      <c r="S183" s="80" t="str">
        <f>IF(AND($F183&lt;&gt;"", $F183&gt;=S$5-4, $F183&lt;=S$5, COUNTIF($M183:R183,"u")=0), "u", "")</f>
        <v/>
      </c>
      <c r="T183" s="80" t="str">
        <f>IF(AND($F183&lt;&gt;"", $F183&gt;=T$5-4, $F183&lt;=T$5, COUNTIF($M183:S183,"u")=0), "u", "")</f>
        <v/>
      </c>
      <c r="U183" s="80" t="str">
        <f>IF(AND($F183&lt;&gt;"", $F183&gt;=U$5-4, $F183&lt;=U$5, COUNTIF($M183:T183,"u")=0), "u", "")</f>
        <v/>
      </c>
      <c r="V183" s="80" t="str">
        <f>IF(AND($F183&lt;&gt;"", $F183&gt;=V$5-4, $F183&lt;=V$5, COUNTIF($M183:U183,"u")=0), "u", "")</f>
        <v/>
      </c>
      <c r="W183" s="80" t="str">
        <f>IF(AND($F183&lt;&gt;"", $F183&gt;=W$5-4, $F183&lt;=W$5, COUNTIF($M183:V183,"u")=0), "u", "")</f>
        <v/>
      </c>
      <c r="X183" s="80" t="str">
        <f>IF(AND($F183&lt;&gt;"", $F183&gt;=X$5-4, $F183&lt;=X$5, COUNTIF($M183:W183,"u")=0), "u", "")</f>
        <v/>
      </c>
      <c r="Y183" s="80" t="str">
        <f>IF(AND($F183&lt;&gt;"", $F183&gt;=Y$5-4, $F183&lt;=Y$5, COUNTIF($M183:X183,"u")=0), "u", "")</f>
        <v/>
      </c>
      <c r="Z183" s="80" t="str">
        <f>IF(AND($F183&lt;&gt;"", $F183&gt;=Z$5-4, $F183&lt;=Z$5, COUNTIF($M183:Y183,"u")=0), "u", "")</f>
        <v/>
      </c>
      <c r="AA183" s="80" t="str">
        <f>IF(AND($F183&lt;&gt;"", $F183&gt;=AA$5-4, $F183&lt;=AA$5, COUNTIF($M183:Z183,"u")=0), "u", "")</f>
        <v/>
      </c>
      <c r="AB183" s="80" t="str">
        <f>IF(AND($F183&lt;&gt;"", $F183&gt;=AB$5-4, $F183&lt;=AB$5, COUNTIF($M183:AA183,"u")=0), "u", "")</f>
        <v/>
      </c>
      <c r="AC183" s="80" t="str">
        <f>IF(AND($F183&lt;&gt;"", $F183&gt;=AC$5-4, $F183&lt;=AC$5, COUNTIF($M183:AB183,"u")=0), "u", "")</f>
        <v/>
      </c>
      <c r="AD183" s="80" t="str">
        <f>IF(AND($F183&lt;&gt;"", $F183&gt;=AD$5-4, $F183&lt;=AD$5, COUNTIF($M183:AC183,"u")=0), "u", "")</f>
        <v/>
      </c>
      <c r="AE183" s="80" t="str">
        <f>IF(AND($F183&lt;&gt;"", $F183&gt;=AE$5-4, $F183&lt;=AE$5, COUNTIF($M183:AD183,"u")=0), "u", "")</f>
        <v/>
      </c>
      <c r="AF183" s="80" t="str">
        <f>IF(AND($F183&lt;&gt;"", $F183&gt;=AF$5-4, $F183&lt;=AF$5, COUNTIF($M183:AE183,"u")=0), "u", "")</f>
        <v/>
      </c>
      <c r="AG183" s="80" t="str">
        <f>IF(AND($F183&lt;&gt;"", $F183&gt;=AG$5-4, $F183&lt;=AG$5, COUNTIF($M183:AF183,"u")=0), "u", "")</f>
        <v/>
      </c>
      <c r="AH183" s="80" t="str">
        <f>IF(AND($F183&lt;&gt;"", $F183&gt;=AH$5-4, $F183&lt;=AH$5, COUNTIF($M183:AG183,"u")=0), "u", "")</f>
        <v/>
      </c>
      <c r="AI183" s="80" t="str">
        <f>IF(AND($F183&lt;&gt;"", $F183&gt;=AI$5-4, $F183&lt;=AI$5, COUNTIF($M183:AH183,"u")=0), "u", "")</f>
        <v/>
      </c>
      <c r="AJ183" s="80" t="str">
        <f>IF(AND($F183&lt;&gt;"", $F183&gt;=AJ$5-4, $F183&lt;=AJ$5, COUNTIF($M183:AI183,"u")=0), "u", "")</f>
        <v/>
      </c>
      <c r="AK183" s="80" t="str">
        <f>IF(AND($F183&lt;&gt;"", $F183&gt;=AK$5-4, $F183&lt;=AK$5, COUNTIF($M183:AJ183,"u")=0), "u", "")</f>
        <v/>
      </c>
      <c r="AL183" s="80" t="str">
        <f>IF(AND($F183&lt;&gt;"", $F183&gt;=AL$5-4, $F183&lt;=AL$5, COUNTIF($M183:AK183,"u")=0), "u", "")</f>
        <v/>
      </c>
      <c r="AM183" s="80" t="str">
        <f>IF(AND($F183&lt;&gt;"", $F183&gt;=AM$5-4, $F183&lt;=AM$5, COUNTIF($M183:AL183,"u")=0), "u", "")</f>
        <v/>
      </c>
      <c r="AN183" s="80" t="str">
        <f>IF(AND($F183&lt;&gt;"", $F183&gt;=AN$5-4, $F183&lt;=AN$5, COUNTIF($M183:AM183,"u")=0), "u", "")</f>
        <v/>
      </c>
      <c r="AO183" s="80" t="str">
        <f>IF(AND($F183&lt;&gt;"", $F183&gt;=AO$5-4, $F183&lt;=AO$5, COUNTIF($M183:AN183,"u")=0), "u", "")</f>
        <v/>
      </c>
      <c r="AP183" s="80" t="str">
        <f>IF(AND($F183&lt;&gt;"", $F183&gt;=AP$5-4, $F183&lt;=AP$5, COUNTIF($M183:AO183,"u")=0), "u", "")</f>
        <v/>
      </c>
      <c r="AQ183" s="80" t="str">
        <f>IF(AND($F183&lt;&gt;"", $F183&gt;=AQ$5-4, $F183&lt;=AQ$5, COUNTIF($M183:AP183,"u")=0), "u", "")</f>
        <v/>
      </c>
      <c r="AR183" s="80" t="str">
        <f>IF(AND($F183&lt;&gt;"", $F183&gt;=AR$5-4, $F183&lt;=AR$5, COUNTIF($M183:AQ183,"u")=0), "u", "")</f>
        <v/>
      </c>
      <c r="AS183" s="80" t="str">
        <f>IF(AND($F183&lt;&gt;"", $F183&gt;=AS$5-4, $F183&lt;=AS$5, COUNTIF($M183:AR183,"u")=0), "u", "")</f>
        <v/>
      </c>
      <c r="AT183" s="80" t="str">
        <f>IF(AND($F183&lt;&gt;"", $F183&gt;=AT$5-4, $F183&lt;=AT$5, COUNTIF($M183:AS183,"u")=0), "u", "")</f>
        <v/>
      </c>
      <c r="AU183" s="80" t="str">
        <f>IF(AND($F183&lt;&gt;"", $F183&gt;=AU$5-4, $F183&lt;=AU$5, COUNTIF($M183:AT183,"u")=0), "u", "")</f>
        <v/>
      </c>
      <c r="AV183" s="80" t="str">
        <f>IF(AND($F183&lt;&gt;"", $F183&gt;=AV$5-4, $F183&lt;=AV$5, COUNTIF($M183:AU183,"u")=0), "u", "")</f>
        <v/>
      </c>
      <c r="AW183" s="80" t="str">
        <f>IF(AND($F183&lt;&gt;"", $F183&gt;=AW$5-4, $F183&lt;=AW$5, COUNTIF($M183:AV183,"u")=0), "u", "")</f>
        <v/>
      </c>
      <c r="AX183" s="80" t="str">
        <f>IF(AND($F183&lt;&gt;"", $F183&gt;=AX$5-4, $F183&lt;=AX$5, COUNTIF($M183:AW183,"u")=0), "u", "")</f>
        <v/>
      </c>
      <c r="AY183" s="80" t="str">
        <f>IF(AND($F183&lt;&gt;"", $F183&gt;=AY$5-4, $F183&lt;=AY$5, COUNTIF($M183:AX183,"u")=0), "u", "")</f>
        <v/>
      </c>
      <c r="AZ183" s="80" t="str">
        <f>IF(AND($F183&lt;&gt;"", $F183&gt;=AZ$5-4, $F183&lt;=AZ$5, COUNTIF($M183:AY183,"u")=0), "u", "")</f>
        <v/>
      </c>
      <c r="BA183" s="80" t="str">
        <f>IF(AND($F183&lt;&gt;"", $F183&gt;=BA$5-4, $F183&lt;=BA$5, COUNTIF($M183:AZ183,"u")=0), "u", "")</f>
        <v/>
      </c>
      <c r="BB183" s="80" t="str">
        <f>IF(AND($F183&lt;&gt;"", $F183&gt;=BB$5-4, $F183&lt;=BB$5, COUNTIF($M183:BA183,"u")=0), "u", "")</f>
        <v/>
      </c>
      <c r="BC183" s="80" t="str">
        <f>IF(AND($F183&lt;&gt;"", $F183&gt;=BC$5-4, $F183&lt;=BC$5, COUNTIF($M183:BB183,"u")=0), "u", "")</f>
        <v/>
      </c>
      <c r="BD183" s="80" t="str">
        <f>IF(AND($F183&lt;&gt;"", $F183&gt;=BD$5-4, $F183&lt;=BD$5, COUNTIF($M183:BC183,"u")=0), "u", "")</f>
        <v/>
      </c>
      <c r="BE183" s="80" t="str">
        <f>IF(AND($F183&lt;&gt;"", $F183&gt;=BE$5-4, $F183&lt;=BE$5, COUNTIF($M183:BD183,"u")=0), "u", "")</f>
        <v/>
      </c>
      <c r="BF183" s="80" t="str">
        <f>IF(AND($F183&lt;&gt;"", $F183&gt;=BF$5-4, $F183&lt;=BF$5, COUNTIF($M183:BE183,"u")=0), "u", "")</f>
        <v/>
      </c>
      <c r="BG183" s="80" t="str">
        <f>IF(AND($F183&lt;&gt;"", $F183&gt;=BG$5-4, $F183&lt;=BG$5, COUNTIF($M183:BF183,"u")=0), "u", "")</f>
        <v/>
      </c>
      <c r="BH183" s="80" t="str">
        <f>IF(AND($F183&lt;&gt;"", $F183&gt;=BH$5-4, $F183&lt;=BH$5, COUNTIF($M183:BG183,"u")=0), "u", "")</f>
        <v/>
      </c>
      <c r="BI183" s="80" t="str">
        <f>IF(AND($F183&lt;&gt;"", $F183&gt;=BI$5-4, $F183&lt;=BI$5, COUNTIF($M183:BH183,"u")=0), "u", "")</f>
        <v/>
      </c>
      <c r="BJ183" s="80" t="str">
        <f>IF(AND($F183&lt;&gt;"", $F183&gt;=BJ$5-4, $F183&lt;=BJ$5, COUNTIF($M183:BI183,"u")=0), "u", "")</f>
        <v/>
      </c>
      <c r="BK183" s="80" t="str">
        <f>IF(AND($F183&lt;&gt;"", $F183&gt;=BK$5-4, $F183&lt;=BK$5, COUNTIF($M183:BJ183,"u")=0), "u", "")</f>
        <v/>
      </c>
      <c r="BL183" s="80" t="str">
        <f>IF(AND($F183&lt;&gt;"", $F183&gt;=BL$5-4, $F183&lt;=BL$5, COUNTIF($M183:BK183,"u")=0), "u", "")</f>
        <v/>
      </c>
      <c r="BM183" s="80" t="str">
        <f>IF(AND($F183&lt;&gt;"", $F183&gt;=BM$5-4, $F183&lt;=BM$5, COUNTIF($M183:BL183,"u")=0), "u", "")</f>
        <v/>
      </c>
      <c r="BN183" s="80" t="str">
        <f>IF(AND($F183&lt;&gt;"", $F183&gt;=BN$5-4, $F183&lt;=BN$5, COUNTIF($M183:BM183,"u")=0), "u", "")</f>
        <v/>
      </c>
      <c r="BO183" s="80" t="str">
        <f>IF(AND($F183&lt;&gt;"", $F183&gt;=BO$5-4, $F183&lt;=BO$5, COUNTIF($M183:BN183,"u")=0), "u", "")</f>
        <v/>
      </c>
      <c r="BP183" s="80" t="str">
        <f>IF(AND($F183&lt;&gt;"", $F183&gt;=BP$5-4, $F183&lt;=BP$5, COUNTIF($M183:BO183,"u")=0), "u", "")</f>
        <v/>
      </c>
      <c r="BQ183" s="80" t="str">
        <f>IF(AND($F183&lt;&gt;"", $F183&gt;=BQ$5-4, $F183&lt;=BQ$5, COUNTIF($M183:BP183,"u")=0), "u", "")</f>
        <v/>
      </c>
      <c r="BR183" s="80" t="str">
        <f>IF(AND($F183&lt;&gt;"", $F183&gt;=BR$5-4, $F183&lt;=BR$5, COUNTIF($M183:BQ183,"u")=0), "u", "")</f>
        <v/>
      </c>
      <c r="BS183" s="80" t="str">
        <f>IF(AND($F183&lt;&gt;"", $F183&gt;=BS$5-4, $F183&lt;=BS$5, COUNTIF($M183:BR183,"u")=0), "u", "")</f>
        <v/>
      </c>
      <c r="BT183" s="80" t="str">
        <f>IF(AND($F183&lt;&gt;"", $F183&gt;=BT$5-4, $F183&lt;=BT$5, COUNTIF($M183:BS183,"u")=0), "u", "")</f>
        <v/>
      </c>
      <c r="BU183" s="80" t="str">
        <f>IF(AND($F183&lt;&gt;"", $F183&gt;=BU$5-4, $F183&lt;=BU$5, COUNTIF($M183:BT183,"u")=0), "u", "")</f>
        <v/>
      </c>
      <c r="BV183" s="80" t="str">
        <f>IF(AND($F183&lt;&gt;"", $F183&gt;=BV$5-4, $F183&lt;=BV$5, COUNTIF($M183:BU183,"u")=0), "u", "")</f>
        <v/>
      </c>
      <c r="BW183" s="80" t="str">
        <f>IF(AND($F183&lt;&gt;"", $F183&gt;=BW$5-4, $F183&lt;=BW$5, COUNTIF($M183:BV183,"u")=0), "u", "")</f>
        <v/>
      </c>
      <c r="BX183" s="80" t="str">
        <f>IF(AND($F183&lt;&gt;"", $F183&gt;=BX$5-4, $F183&lt;=BX$5, COUNTIF($M183:BW183,"u")=0), "u", "")</f>
        <v/>
      </c>
      <c r="BY183" s="80" t="str">
        <f>IF(AND($F183&lt;&gt;"", $F183&gt;=BY$5-4, $F183&lt;=BY$5, COUNTIF($M183:BX183,"u")=0), "u", "")</f>
        <v/>
      </c>
      <c r="BZ183" s="80" t="str">
        <f>IF(AND($F183&lt;&gt;"", $F183&gt;=BZ$5-4, $F183&lt;=BZ$5, COUNTIF($M183:BY183,"u")=0), "u", "")</f>
        <v/>
      </c>
      <c r="CA183" s="80" t="str">
        <f>IF(AND($F183&lt;&gt;"", $F183&gt;=CA$5-4, $F183&lt;=CA$5, COUNTIF($M183:BZ183,"u")=0), "u", "")</f>
        <v/>
      </c>
      <c r="CB183" s="80" t="str">
        <f>IF(AND($F183&lt;&gt;"", $F183&gt;=CB$5-4, $F183&lt;=CB$5, COUNTIF($M183:CA183,"u")=0), "u", "")</f>
        <v/>
      </c>
      <c r="CC183" s="80" t="str">
        <f>IF(AND($F183&lt;&gt;"", $F183&gt;=CC$5-4, $F183&lt;=CC$5, COUNTIF($M183:CB183,"u")=0), "u", "")</f>
        <v/>
      </c>
      <c r="CD183" s="80" t="str">
        <f>IF(AND($F183&lt;&gt;"", $F183&gt;=CD$5-4, $F183&lt;=CD$5, COUNTIF($M183:CC183,"u")=0), "u", "")</f>
        <v/>
      </c>
      <c r="CE183" s="80" t="str">
        <f>IF(AND($F183&lt;&gt;"", $F183&gt;=CE$5-4, $F183&lt;=CE$5, COUNTIF($M183:CD183,"u")=0), "u", "")</f>
        <v/>
      </c>
      <c r="CF183" s="80" t="str">
        <f>IF(AND($F183&lt;&gt;"", $F183&gt;=CF$5-4, $F183&lt;=CF$5, COUNTIF($M183:CE183,"u")=0), "u", "")</f>
        <v/>
      </c>
      <c r="CG183" s="80" t="str">
        <f>IF(AND($F183&lt;&gt;"", $F183&gt;=CG$5-4, $F183&lt;=CG$5, COUNTIF($M183:CF183,"u")=0), "u", "")</f>
        <v/>
      </c>
      <c r="CH183" s="80" t="str">
        <f>IF(AND($F183&lt;&gt;"", $F183&gt;=CH$5-4, $F183&lt;=CH$5, COUNTIF($M183:CG183,"u")=0), "u", "")</f>
        <v/>
      </c>
      <c r="CI183" s="80" t="str">
        <f>IF(AND($F183&lt;&gt;"", $F183&gt;=CI$5-4, $F183&lt;=CI$5, COUNTIF($M183:CH183,"u")=0), "u", "")</f>
        <v/>
      </c>
      <c r="CJ183" s="80" t="str">
        <f>IF(AND($F183&lt;&gt;"", $F183&gt;=CJ$5-4, $F183&lt;=CJ$5, COUNTIF($M183:CI183,"u")=0), "u", "")</f>
        <v/>
      </c>
      <c r="CK183" s="80" t="str">
        <f>IF(AND($F183&lt;&gt;"", $F183&gt;=CK$5-4, $F183&lt;=CK$5, COUNTIF($M183:CJ183,"u")=0), "u", "")</f>
        <v/>
      </c>
      <c r="CL183" s="80" t="str">
        <f>IF(AND($F183&lt;&gt;"", $F183&gt;=CL$5-4, $F183&lt;=CL$5, COUNTIF($M183:CK183,"u")=0), "u", "")</f>
        <v/>
      </c>
      <c r="CM183" s="80" t="str">
        <f>IF(AND($F183&lt;&gt;"", $F183&gt;=CM$5-4, $F183&lt;=CM$5, COUNTIF($M183:CL183,"u")=0), "u", "")</f>
        <v/>
      </c>
      <c r="CN183" s="80" t="str">
        <f>IF(AND($F183&lt;&gt;"", $F183&gt;=CN$5-4, $F183&lt;=CN$5, COUNTIF($M183:CM183,"u")=0), "u", "")</f>
        <v/>
      </c>
      <c r="CO183" s="80" t="str">
        <f>IF(AND($F183&lt;&gt;"", $F183&gt;=CO$5-4, $F183&lt;=CO$5, COUNTIF($M183:CN183,"u")=0), "u", "")</f>
        <v/>
      </c>
      <c r="CP183" s="80" t="str">
        <f>IF(AND($F183&lt;&gt;"", $F183&gt;=CP$5-4, $F183&lt;=CP$5, COUNTIF($M183:CO183,"u")=0), "u", "")</f>
        <v/>
      </c>
      <c r="CQ183" s="80" t="str">
        <f>IF(AND($F183&lt;&gt;"", $F183&gt;=CQ$5-4, $F183&lt;=CQ$5, COUNTIF($M183:CP183,"u")=0), "u", "")</f>
        <v/>
      </c>
      <c r="CR183" s="80" t="str">
        <f>IF(AND($F183&lt;&gt;"", $F183&gt;=CR$5-4, $F183&lt;=CR$5, COUNTIF($M183:CQ183,"u")=0), "u", "")</f>
        <v/>
      </c>
      <c r="CS183" s="80" t="str">
        <f>IF(AND($F183&lt;&gt;"", $F183&gt;=CS$5-4, $F183&lt;=CS$5, COUNTIF($M183:CR183,"u")=0), "u", "")</f>
        <v/>
      </c>
      <c r="CT183" s="80" t="str">
        <f>IF(AND($F183&lt;&gt;"", $F183&gt;=CT$5-4, $F183&lt;=CT$5, COUNTIF($M183:CS183,"u")=0), "u", "")</f>
        <v/>
      </c>
      <c r="CU183" s="80" t="str">
        <f>IF(AND($F183&lt;&gt;"", $F183&gt;=CU$5-4, $F183&lt;=CU$5, COUNTIF($M183:CT183,"u")=0), "u", "")</f>
        <v/>
      </c>
      <c r="CV183" s="80" t="str">
        <f>IF(AND($F183&lt;&gt;"", $F183&gt;=CV$5-4, $F183&lt;=CV$5, COUNTIF($M183:CU183,"u")=0), "u", "")</f>
        <v/>
      </c>
      <c r="CW183" s="80" t="str">
        <f>IF(AND($F183&lt;&gt;"", $F183&gt;=CW$5-4, $F183&lt;=CW$5, COUNTIF($M183:CV183,"u")=0), "u", "")</f>
        <v/>
      </c>
      <c r="CX183" s="80" t="str">
        <f>IF(AND($F183&lt;&gt;"", $F183&gt;=CX$5-4, $F183&lt;=CX$5, COUNTIF($M183:CW183,"u")=0), "u", "")</f>
        <v/>
      </c>
      <c r="CY183" s="80" t="str">
        <f>IF(AND($F183&lt;&gt;"", $F183&gt;=CY$5-4, $F183&lt;=CY$5, COUNTIF($M183:CX183,"u")=0), "u", "")</f>
        <v/>
      </c>
      <c r="CZ183" s="80" t="str">
        <f>IF(AND($F183&lt;&gt;"", $F183&gt;=CZ$5-4, $F183&lt;=CZ$5, COUNTIF($M183:CY183,"u")=0), "u", "")</f>
        <v/>
      </c>
      <c r="DA183" s="80" t="str">
        <f>IF(AND($F183&lt;&gt;"", $F183&gt;=DA$5-4, $F183&lt;=DA$5, COUNTIF($M183:CZ183,"u")=0), "u", "")</f>
        <v/>
      </c>
      <c r="DB183" s="80" t="str">
        <f>IF(AND($F183&lt;&gt;"", $F183&gt;=DB$5-4, $F183&lt;=DB$5, COUNTIF($M183:DA183,"u")=0), "u", "")</f>
        <v/>
      </c>
      <c r="DC183" s="80" t="str">
        <f>IF(AND($F183&lt;&gt;"", $F183&gt;=DC$5-4, $F183&lt;=DC$5, COUNTIF($M183:DB183,"u")=0), "u", "")</f>
        <v/>
      </c>
      <c r="DD183" s="80" t="str">
        <f>IF(AND($F183&lt;&gt;"", $F183&gt;=DD$5-4, $F183&lt;=DD$5, COUNTIF($M183:DC183,"u")=0), "u", "")</f>
        <v/>
      </c>
      <c r="DE183" s="80" t="str">
        <f>IF(AND($F183&lt;&gt;"", $F183&gt;=DE$5-4, $F183&lt;=DE$5, COUNTIF($M183:DD183,"u")=0), "u", "")</f>
        <v/>
      </c>
      <c r="DF183" s="80" t="str">
        <f>IF(AND($F183&lt;&gt;"", $F183&gt;=DF$5-4, $F183&lt;=DF$5, COUNTIF($M183:DE183,"u")=0), "u", "")</f>
        <v/>
      </c>
      <c r="DG183" s="80" t="str">
        <f>IF(AND($F183&lt;&gt;"", $F183&gt;=DG$5-4, $F183&lt;=DG$5, COUNTIF($M183:DF183,"u")=0), "u", "")</f>
        <v/>
      </c>
      <c r="DH183" s="80" t="str">
        <f>IF(AND($F183&lt;&gt;"", $F183&gt;=DH$5-4, $F183&lt;=DH$5, COUNTIF($M183:DG183,"u")=0), "u", "")</f>
        <v/>
      </c>
      <c r="DI183" s="80" t="str">
        <f>IF(AND($F183&lt;&gt;"", $F183&gt;=DI$5-4, $F183&lt;=DI$5, COUNTIF($M183:DH183,"u")=0), "u", "")</f>
        <v/>
      </c>
      <c r="DJ183" s="80" t="str">
        <f>IF(AND($F183&lt;&gt;"", $F183&gt;=DJ$5-4, $F183&lt;=DJ$5, COUNTIF($M183:DI183,"u")=0), "u", "")</f>
        <v/>
      </c>
      <c r="DK183" s="80" t="str">
        <f>IF(AND($F183&lt;&gt;"", $F183&gt;=DK$5-4, $F183&lt;=DK$5, COUNTIF($M183:DJ183,"u")=0), "u", "")</f>
        <v/>
      </c>
      <c r="DL183" s="80" t="str">
        <f>IF(AND($F183&lt;&gt;"", $F183&gt;=DL$5-4, $F183&lt;=DL$5, COUNTIF($M183:DK183,"u")=0), "u", "")</f>
        <v/>
      </c>
    </row>
    <row r="184" spans="1:116" ht="25.05" customHeight="1" x14ac:dyDescent="0.3">
      <c r="A184" s="39"/>
      <c r="B184" s="75">
        <v>179</v>
      </c>
      <c r="C184" s="97"/>
      <c r="D184" s="92"/>
      <c r="E184" s="53"/>
      <c r="F184" s="53"/>
      <c r="G184" s="83" t="str">
        <f t="shared" si="53"/>
        <v/>
      </c>
      <c r="H184" s="83" t="str">
        <f t="shared" si="53"/>
        <v/>
      </c>
      <c r="I184" s="77" t="str">
        <f t="shared" si="51"/>
        <v/>
      </c>
      <c r="J184" s="78"/>
      <c r="K184" s="86"/>
      <c r="L184" s="56"/>
      <c r="M184" s="80" t="str">
        <f t="shared" si="52"/>
        <v/>
      </c>
      <c r="N184" s="80" t="str">
        <f>IF(AND($F184&lt;&gt;"", $F184&gt;=N$5-4, $F184&lt;=N$5, COUNTIF($M184:M184,"u")=0), "u", "")</f>
        <v/>
      </c>
      <c r="O184" s="80" t="str">
        <f>IF(AND($F184&lt;&gt;"", $F184&gt;=O$5-4, $F184&lt;=O$5, COUNTIF($M184:N184,"u")=0), "u", "")</f>
        <v/>
      </c>
      <c r="P184" s="80" t="str">
        <f>IF(AND($F184&lt;&gt;"", $F184&gt;=P$5-4, $F184&lt;=P$5, COUNTIF($M184:O184,"u")=0), "u", "")</f>
        <v/>
      </c>
      <c r="Q184" s="80" t="str">
        <f>IF(AND($F184&lt;&gt;"", $F184&gt;=Q$5-4, $F184&lt;=Q$5, COUNTIF($M184:P184,"u")=0), "u", "")</f>
        <v/>
      </c>
      <c r="R184" s="80" t="str">
        <f>IF(AND($F184&lt;&gt;"", $F184&gt;=R$5-4, $F184&lt;=R$5, COUNTIF($M184:Q184,"u")=0), "u", "")</f>
        <v/>
      </c>
      <c r="S184" s="80" t="str">
        <f>IF(AND($F184&lt;&gt;"", $F184&gt;=S$5-4, $F184&lt;=S$5, COUNTIF($M184:R184,"u")=0), "u", "")</f>
        <v/>
      </c>
      <c r="T184" s="80" t="str">
        <f>IF(AND($F184&lt;&gt;"", $F184&gt;=T$5-4, $F184&lt;=T$5, COUNTIF($M184:S184,"u")=0), "u", "")</f>
        <v/>
      </c>
      <c r="U184" s="80" t="str">
        <f>IF(AND($F184&lt;&gt;"", $F184&gt;=U$5-4, $F184&lt;=U$5, COUNTIF($M184:T184,"u")=0), "u", "")</f>
        <v/>
      </c>
      <c r="V184" s="80" t="str">
        <f>IF(AND($F184&lt;&gt;"", $F184&gt;=V$5-4, $F184&lt;=V$5, COUNTIF($M184:U184,"u")=0), "u", "")</f>
        <v/>
      </c>
      <c r="W184" s="80" t="str">
        <f>IF(AND($F184&lt;&gt;"", $F184&gt;=W$5-4, $F184&lt;=W$5, COUNTIF($M184:V184,"u")=0), "u", "")</f>
        <v/>
      </c>
      <c r="X184" s="80" t="str">
        <f>IF(AND($F184&lt;&gt;"", $F184&gt;=X$5-4, $F184&lt;=X$5, COUNTIF($M184:W184,"u")=0), "u", "")</f>
        <v/>
      </c>
      <c r="Y184" s="80" t="str">
        <f>IF(AND($F184&lt;&gt;"", $F184&gt;=Y$5-4, $F184&lt;=Y$5, COUNTIF($M184:X184,"u")=0), "u", "")</f>
        <v/>
      </c>
      <c r="Z184" s="80" t="str">
        <f>IF(AND($F184&lt;&gt;"", $F184&gt;=Z$5-4, $F184&lt;=Z$5, COUNTIF($M184:Y184,"u")=0), "u", "")</f>
        <v/>
      </c>
      <c r="AA184" s="80" t="str">
        <f>IF(AND($F184&lt;&gt;"", $F184&gt;=AA$5-4, $F184&lt;=AA$5, COUNTIF($M184:Z184,"u")=0), "u", "")</f>
        <v/>
      </c>
      <c r="AB184" s="80" t="str">
        <f>IF(AND($F184&lt;&gt;"", $F184&gt;=AB$5-4, $F184&lt;=AB$5, COUNTIF($M184:AA184,"u")=0), "u", "")</f>
        <v/>
      </c>
      <c r="AC184" s="80" t="str">
        <f>IF(AND($F184&lt;&gt;"", $F184&gt;=AC$5-4, $F184&lt;=AC$5, COUNTIF($M184:AB184,"u")=0), "u", "")</f>
        <v/>
      </c>
      <c r="AD184" s="80" t="str">
        <f>IF(AND($F184&lt;&gt;"", $F184&gt;=AD$5-4, $F184&lt;=AD$5, COUNTIF($M184:AC184,"u")=0), "u", "")</f>
        <v/>
      </c>
      <c r="AE184" s="80" t="str">
        <f>IF(AND($F184&lt;&gt;"", $F184&gt;=AE$5-4, $F184&lt;=AE$5, COUNTIF($M184:AD184,"u")=0), "u", "")</f>
        <v/>
      </c>
      <c r="AF184" s="80" t="str">
        <f>IF(AND($F184&lt;&gt;"", $F184&gt;=AF$5-4, $F184&lt;=AF$5, COUNTIF($M184:AE184,"u")=0), "u", "")</f>
        <v/>
      </c>
      <c r="AG184" s="80" t="str">
        <f>IF(AND($F184&lt;&gt;"", $F184&gt;=AG$5-4, $F184&lt;=AG$5, COUNTIF($M184:AF184,"u")=0), "u", "")</f>
        <v/>
      </c>
      <c r="AH184" s="80" t="str">
        <f>IF(AND($F184&lt;&gt;"", $F184&gt;=AH$5-4, $F184&lt;=AH$5, COUNTIF($M184:AG184,"u")=0), "u", "")</f>
        <v/>
      </c>
      <c r="AI184" s="80" t="str">
        <f>IF(AND($F184&lt;&gt;"", $F184&gt;=AI$5-4, $F184&lt;=AI$5, COUNTIF($M184:AH184,"u")=0), "u", "")</f>
        <v/>
      </c>
      <c r="AJ184" s="80" t="str">
        <f>IF(AND($F184&lt;&gt;"", $F184&gt;=AJ$5-4, $F184&lt;=AJ$5, COUNTIF($M184:AI184,"u")=0), "u", "")</f>
        <v/>
      </c>
      <c r="AK184" s="80" t="str">
        <f>IF(AND($F184&lt;&gt;"", $F184&gt;=AK$5-4, $F184&lt;=AK$5, COUNTIF($M184:AJ184,"u")=0), "u", "")</f>
        <v/>
      </c>
      <c r="AL184" s="80" t="str">
        <f>IF(AND($F184&lt;&gt;"", $F184&gt;=AL$5-4, $F184&lt;=AL$5, COUNTIF($M184:AK184,"u")=0), "u", "")</f>
        <v/>
      </c>
      <c r="AM184" s="80" t="str">
        <f>IF(AND($F184&lt;&gt;"", $F184&gt;=AM$5-4, $F184&lt;=AM$5, COUNTIF($M184:AL184,"u")=0), "u", "")</f>
        <v/>
      </c>
      <c r="AN184" s="80" t="str">
        <f>IF(AND($F184&lt;&gt;"", $F184&gt;=AN$5-4, $F184&lt;=AN$5, COUNTIF($M184:AM184,"u")=0), "u", "")</f>
        <v/>
      </c>
      <c r="AO184" s="80" t="str">
        <f>IF(AND($F184&lt;&gt;"", $F184&gt;=AO$5-4, $F184&lt;=AO$5, COUNTIF($M184:AN184,"u")=0), "u", "")</f>
        <v/>
      </c>
      <c r="AP184" s="80" t="str">
        <f>IF(AND($F184&lt;&gt;"", $F184&gt;=AP$5-4, $F184&lt;=AP$5, COUNTIF($M184:AO184,"u")=0), "u", "")</f>
        <v/>
      </c>
      <c r="AQ184" s="80" t="str">
        <f>IF(AND($F184&lt;&gt;"", $F184&gt;=AQ$5-4, $F184&lt;=AQ$5, COUNTIF($M184:AP184,"u")=0), "u", "")</f>
        <v/>
      </c>
      <c r="AR184" s="80" t="str">
        <f>IF(AND($F184&lt;&gt;"", $F184&gt;=AR$5-4, $F184&lt;=AR$5, COUNTIF($M184:AQ184,"u")=0), "u", "")</f>
        <v/>
      </c>
      <c r="AS184" s="80" t="str">
        <f>IF(AND($F184&lt;&gt;"", $F184&gt;=AS$5-4, $F184&lt;=AS$5, COUNTIF($M184:AR184,"u")=0), "u", "")</f>
        <v/>
      </c>
      <c r="AT184" s="80" t="str">
        <f>IF(AND($F184&lt;&gt;"", $F184&gt;=AT$5-4, $F184&lt;=AT$5, COUNTIF($M184:AS184,"u")=0), "u", "")</f>
        <v/>
      </c>
      <c r="AU184" s="80" t="str">
        <f>IF(AND($F184&lt;&gt;"", $F184&gt;=AU$5-4, $F184&lt;=AU$5, COUNTIF($M184:AT184,"u")=0), "u", "")</f>
        <v/>
      </c>
      <c r="AV184" s="80" t="str">
        <f>IF(AND($F184&lt;&gt;"", $F184&gt;=AV$5-4, $F184&lt;=AV$5, COUNTIF($M184:AU184,"u")=0), "u", "")</f>
        <v/>
      </c>
      <c r="AW184" s="80" t="str">
        <f>IF(AND($F184&lt;&gt;"", $F184&gt;=AW$5-4, $F184&lt;=AW$5, COUNTIF($M184:AV184,"u")=0), "u", "")</f>
        <v/>
      </c>
      <c r="AX184" s="80" t="str">
        <f>IF(AND($F184&lt;&gt;"", $F184&gt;=AX$5-4, $F184&lt;=AX$5, COUNTIF($M184:AW184,"u")=0), "u", "")</f>
        <v/>
      </c>
      <c r="AY184" s="80" t="str">
        <f>IF(AND($F184&lt;&gt;"", $F184&gt;=AY$5-4, $F184&lt;=AY$5, COUNTIF($M184:AX184,"u")=0), "u", "")</f>
        <v/>
      </c>
      <c r="AZ184" s="80" t="str">
        <f>IF(AND($F184&lt;&gt;"", $F184&gt;=AZ$5-4, $F184&lt;=AZ$5, COUNTIF($M184:AY184,"u")=0), "u", "")</f>
        <v/>
      </c>
      <c r="BA184" s="80" t="str">
        <f>IF(AND($F184&lt;&gt;"", $F184&gt;=BA$5-4, $F184&lt;=BA$5, COUNTIF($M184:AZ184,"u")=0), "u", "")</f>
        <v/>
      </c>
      <c r="BB184" s="80" t="str">
        <f>IF(AND($F184&lt;&gt;"", $F184&gt;=BB$5-4, $F184&lt;=BB$5, COUNTIF($M184:BA184,"u")=0), "u", "")</f>
        <v/>
      </c>
      <c r="BC184" s="80" t="str">
        <f>IF(AND($F184&lt;&gt;"", $F184&gt;=BC$5-4, $F184&lt;=BC$5, COUNTIF($M184:BB184,"u")=0), "u", "")</f>
        <v/>
      </c>
      <c r="BD184" s="80" t="str">
        <f>IF(AND($F184&lt;&gt;"", $F184&gt;=BD$5-4, $F184&lt;=BD$5, COUNTIF($M184:BC184,"u")=0), "u", "")</f>
        <v/>
      </c>
      <c r="BE184" s="80" t="str">
        <f>IF(AND($F184&lt;&gt;"", $F184&gt;=BE$5-4, $F184&lt;=BE$5, COUNTIF($M184:BD184,"u")=0), "u", "")</f>
        <v/>
      </c>
      <c r="BF184" s="80" t="str">
        <f>IF(AND($F184&lt;&gt;"", $F184&gt;=BF$5-4, $F184&lt;=BF$5, COUNTIF($M184:BE184,"u")=0), "u", "")</f>
        <v/>
      </c>
      <c r="BG184" s="80" t="str">
        <f>IF(AND($F184&lt;&gt;"", $F184&gt;=BG$5-4, $F184&lt;=BG$5, COUNTIF($M184:BF184,"u")=0), "u", "")</f>
        <v/>
      </c>
      <c r="BH184" s="80" t="str">
        <f>IF(AND($F184&lt;&gt;"", $F184&gt;=BH$5-4, $F184&lt;=BH$5, COUNTIF($M184:BG184,"u")=0), "u", "")</f>
        <v/>
      </c>
      <c r="BI184" s="80" t="str">
        <f>IF(AND($F184&lt;&gt;"", $F184&gt;=BI$5-4, $F184&lt;=BI$5, COUNTIF($M184:BH184,"u")=0), "u", "")</f>
        <v/>
      </c>
      <c r="BJ184" s="80" t="str">
        <f>IF(AND($F184&lt;&gt;"", $F184&gt;=BJ$5-4, $F184&lt;=BJ$5, COUNTIF($M184:BI184,"u")=0), "u", "")</f>
        <v/>
      </c>
      <c r="BK184" s="80" t="str">
        <f>IF(AND($F184&lt;&gt;"", $F184&gt;=BK$5-4, $F184&lt;=BK$5, COUNTIF($M184:BJ184,"u")=0), "u", "")</f>
        <v/>
      </c>
      <c r="BL184" s="80" t="str">
        <f>IF(AND($F184&lt;&gt;"", $F184&gt;=BL$5-4, $F184&lt;=BL$5, COUNTIF($M184:BK184,"u")=0), "u", "")</f>
        <v/>
      </c>
      <c r="BM184" s="80" t="str">
        <f>IF(AND($F184&lt;&gt;"", $F184&gt;=BM$5-4, $F184&lt;=BM$5, COUNTIF($M184:BL184,"u")=0), "u", "")</f>
        <v/>
      </c>
      <c r="BN184" s="80" t="str">
        <f>IF(AND($F184&lt;&gt;"", $F184&gt;=BN$5-4, $F184&lt;=BN$5, COUNTIF($M184:BM184,"u")=0), "u", "")</f>
        <v/>
      </c>
      <c r="BO184" s="80" t="str">
        <f>IF(AND($F184&lt;&gt;"", $F184&gt;=BO$5-4, $F184&lt;=BO$5, COUNTIF($M184:BN184,"u")=0), "u", "")</f>
        <v/>
      </c>
      <c r="BP184" s="80" t="str">
        <f>IF(AND($F184&lt;&gt;"", $F184&gt;=BP$5-4, $F184&lt;=BP$5, COUNTIF($M184:BO184,"u")=0), "u", "")</f>
        <v/>
      </c>
      <c r="BQ184" s="80" t="str">
        <f>IF(AND($F184&lt;&gt;"", $F184&gt;=BQ$5-4, $F184&lt;=BQ$5, COUNTIF($M184:BP184,"u")=0), "u", "")</f>
        <v/>
      </c>
      <c r="BR184" s="80" t="str">
        <f>IF(AND($F184&lt;&gt;"", $F184&gt;=BR$5-4, $F184&lt;=BR$5, COUNTIF($M184:BQ184,"u")=0), "u", "")</f>
        <v/>
      </c>
      <c r="BS184" s="80" t="str">
        <f>IF(AND($F184&lt;&gt;"", $F184&gt;=BS$5-4, $F184&lt;=BS$5, COUNTIF($M184:BR184,"u")=0), "u", "")</f>
        <v/>
      </c>
      <c r="BT184" s="80" t="str">
        <f>IF(AND($F184&lt;&gt;"", $F184&gt;=BT$5-4, $F184&lt;=BT$5, COUNTIF($M184:BS184,"u")=0), "u", "")</f>
        <v/>
      </c>
      <c r="BU184" s="80" t="str">
        <f>IF(AND($F184&lt;&gt;"", $F184&gt;=BU$5-4, $F184&lt;=BU$5, COUNTIF($M184:BT184,"u")=0), "u", "")</f>
        <v/>
      </c>
      <c r="BV184" s="80" t="str">
        <f>IF(AND($F184&lt;&gt;"", $F184&gt;=BV$5-4, $F184&lt;=BV$5, COUNTIF($M184:BU184,"u")=0), "u", "")</f>
        <v/>
      </c>
      <c r="BW184" s="80" t="str">
        <f>IF(AND($F184&lt;&gt;"", $F184&gt;=BW$5-4, $F184&lt;=BW$5, COUNTIF($M184:BV184,"u")=0), "u", "")</f>
        <v/>
      </c>
      <c r="BX184" s="80" t="str">
        <f>IF(AND($F184&lt;&gt;"", $F184&gt;=BX$5-4, $F184&lt;=BX$5, COUNTIF($M184:BW184,"u")=0), "u", "")</f>
        <v/>
      </c>
      <c r="BY184" s="80" t="str">
        <f>IF(AND($F184&lt;&gt;"", $F184&gt;=BY$5-4, $F184&lt;=BY$5, COUNTIF($M184:BX184,"u")=0), "u", "")</f>
        <v/>
      </c>
      <c r="BZ184" s="80" t="str">
        <f>IF(AND($F184&lt;&gt;"", $F184&gt;=BZ$5-4, $F184&lt;=BZ$5, COUNTIF($M184:BY184,"u")=0), "u", "")</f>
        <v/>
      </c>
      <c r="CA184" s="80" t="str">
        <f>IF(AND($F184&lt;&gt;"", $F184&gt;=CA$5-4, $F184&lt;=CA$5, COUNTIF($M184:BZ184,"u")=0), "u", "")</f>
        <v/>
      </c>
      <c r="CB184" s="80" t="str">
        <f>IF(AND($F184&lt;&gt;"", $F184&gt;=CB$5-4, $F184&lt;=CB$5, COUNTIF($M184:CA184,"u")=0), "u", "")</f>
        <v/>
      </c>
      <c r="CC184" s="80" t="str">
        <f>IF(AND($F184&lt;&gt;"", $F184&gt;=CC$5-4, $F184&lt;=CC$5, COUNTIF($M184:CB184,"u")=0), "u", "")</f>
        <v/>
      </c>
      <c r="CD184" s="80" t="str">
        <f>IF(AND($F184&lt;&gt;"", $F184&gt;=CD$5-4, $F184&lt;=CD$5, COUNTIF($M184:CC184,"u")=0), "u", "")</f>
        <v/>
      </c>
      <c r="CE184" s="80" t="str">
        <f>IF(AND($F184&lt;&gt;"", $F184&gt;=CE$5-4, $F184&lt;=CE$5, COUNTIF($M184:CD184,"u")=0), "u", "")</f>
        <v/>
      </c>
      <c r="CF184" s="80" t="str">
        <f>IF(AND($F184&lt;&gt;"", $F184&gt;=CF$5-4, $F184&lt;=CF$5, COUNTIF($M184:CE184,"u")=0), "u", "")</f>
        <v/>
      </c>
      <c r="CG184" s="80" t="str">
        <f>IF(AND($F184&lt;&gt;"", $F184&gt;=CG$5-4, $F184&lt;=CG$5, COUNTIF($M184:CF184,"u")=0), "u", "")</f>
        <v/>
      </c>
      <c r="CH184" s="80" t="str">
        <f>IF(AND($F184&lt;&gt;"", $F184&gt;=CH$5-4, $F184&lt;=CH$5, COUNTIF($M184:CG184,"u")=0), "u", "")</f>
        <v/>
      </c>
      <c r="CI184" s="80" t="str">
        <f>IF(AND($F184&lt;&gt;"", $F184&gt;=CI$5-4, $F184&lt;=CI$5, COUNTIF($M184:CH184,"u")=0), "u", "")</f>
        <v/>
      </c>
      <c r="CJ184" s="80" t="str">
        <f>IF(AND($F184&lt;&gt;"", $F184&gt;=CJ$5-4, $F184&lt;=CJ$5, COUNTIF($M184:CI184,"u")=0), "u", "")</f>
        <v/>
      </c>
      <c r="CK184" s="80" t="str">
        <f>IF(AND($F184&lt;&gt;"", $F184&gt;=CK$5-4, $F184&lt;=CK$5, COUNTIF($M184:CJ184,"u")=0), "u", "")</f>
        <v/>
      </c>
      <c r="CL184" s="80" t="str">
        <f>IF(AND($F184&lt;&gt;"", $F184&gt;=CL$5-4, $F184&lt;=CL$5, COUNTIF($M184:CK184,"u")=0), "u", "")</f>
        <v/>
      </c>
      <c r="CM184" s="80" t="str">
        <f>IF(AND($F184&lt;&gt;"", $F184&gt;=CM$5-4, $F184&lt;=CM$5, COUNTIF($M184:CL184,"u")=0), "u", "")</f>
        <v/>
      </c>
      <c r="CN184" s="80" t="str">
        <f>IF(AND($F184&lt;&gt;"", $F184&gt;=CN$5-4, $F184&lt;=CN$5, COUNTIF($M184:CM184,"u")=0), "u", "")</f>
        <v/>
      </c>
      <c r="CO184" s="80" t="str">
        <f>IF(AND($F184&lt;&gt;"", $F184&gt;=CO$5-4, $F184&lt;=CO$5, COUNTIF($M184:CN184,"u")=0), "u", "")</f>
        <v/>
      </c>
      <c r="CP184" s="80" t="str">
        <f>IF(AND($F184&lt;&gt;"", $F184&gt;=CP$5-4, $F184&lt;=CP$5, COUNTIF($M184:CO184,"u")=0), "u", "")</f>
        <v/>
      </c>
      <c r="CQ184" s="80" t="str">
        <f>IF(AND($F184&lt;&gt;"", $F184&gt;=CQ$5-4, $F184&lt;=CQ$5, COUNTIF($M184:CP184,"u")=0), "u", "")</f>
        <v/>
      </c>
      <c r="CR184" s="80" t="str">
        <f>IF(AND($F184&lt;&gt;"", $F184&gt;=CR$5-4, $F184&lt;=CR$5, COUNTIF($M184:CQ184,"u")=0), "u", "")</f>
        <v/>
      </c>
      <c r="CS184" s="80" t="str">
        <f>IF(AND($F184&lt;&gt;"", $F184&gt;=CS$5-4, $F184&lt;=CS$5, COUNTIF($M184:CR184,"u")=0), "u", "")</f>
        <v/>
      </c>
      <c r="CT184" s="80" t="str">
        <f>IF(AND($F184&lt;&gt;"", $F184&gt;=CT$5-4, $F184&lt;=CT$5, COUNTIF($M184:CS184,"u")=0), "u", "")</f>
        <v/>
      </c>
      <c r="CU184" s="80" t="str">
        <f>IF(AND($F184&lt;&gt;"", $F184&gt;=CU$5-4, $F184&lt;=CU$5, COUNTIF($M184:CT184,"u")=0), "u", "")</f>
        <v/>
      </c>
      <c r="CV184" s="80" t="str">
        <f>IF(AND($F184&lt;&gt;"", $F184&gt;=CV$5-4, $F184&lt;=CV$5, COUNTIF($M184:CU184,"u")=0), "u", "")</f>
        <v/>
      </c>
      <c r="CW184" s="80" t="str">
        <f>IF(AND($F184&lt;&gt;"", $F184&gt;=CW$5-4, $F184&lt;=CW$5, COUNTIF($M184:CV184,"u")=0), "u", "")</f>
        <v/>
      </c>
      <c r="CX184" s="80" t="str">
        <f>IF(AND($F184&lt;&gt;"", $F184&gt;=CX$5-4, $F184&lt;=CX$5, COUNTIF($M184:CW184,"u")=0), "u", "")</f>
        <v/>
      </c>
      <c r="CY184" s="80" t="str">
        <f>IF(AND($F184&lt;&gt;"", $F184&gt;=CY$5-4, $F184&lt;=CY$5, COUNTIF($M184:CX184,"u")=0), "u", "")</f>
        <v/>
      </c>
      <c r="CZ184" s="80" t="str">
        <f>IF(AND($F184&lt;&gt;"", $F184&gt;=CZ$5-4, $F184&lt;=CZ$5, COUNTIF($M184:CY184,"u")=0), "u", "")</f>
        <v/>
      </c>
      <c r="DA184" s="80" t="str">
        <f>IF(AND($F184&lt;&gt;"", $F184&gt;=DA$5-4, $F184&lt;=DA$5, COUNTIF($M184:CZ184,"u")=0), "u", "")</f>
        <v/>
      </c>
      <c r="DB184" s="80" t="str">
        <f>IF(AND($F184&lt;&gt;"", $F184&gt;=DB$5-4, $F184&lt;=DB$5, COUNTIF($M184:DA184,"u")=0), "u", "")</f>
        <v/>
      </c>
      <c r="DC184" s="80" t="str">
        <f>IF(AND($F184&lt;&gt;"", $F184&gt;=DC$5-4, $F184&lt;=DC$5, COUNTIF($M184:DB184,"u")=0), "u", "")</f>
        <v/>
      </c>
      <c r="DD184" s="80" t="str">
        <f>IF(AND($F184&lt;&gt;"", $F184&gt;=DD$5-4, $F184&lt;=DD$5, COUNTIF($M184:DC184,"u")=0), "u", "")</f>
        <v/>
      </c>
      <c r="DE184" s="80" t="str">
        <f>IF(AND($F184&lt;&gt;"", $F184&gt;=DE$5-4, $F184&lt;=DE$5, COUNTIF($M184:DD184,"u")=0), "u", "")</f>
        <v/>
      </c>
      <c r="DF184" s="80" t="str">
        <f>IF(AND($F184&lt;&gt;"", $F184&gt;=DF$5-4, $F184&lt;=DF$5, COUNTIF($M184:DE184,"u")=0), "u", "")</f>
        <v/>
      </c>
      <c r="DG184" s="80" t="str">
        <f>IF(AND($F184&lt;&gt;"", $F184&gt;=DG$5-4, $F184&lt;=DG$5, COUNTIF($M184:DF184,"u")=0), "u", "")</f>
        <v/>
      </c>
      <c r="DH184" s="80" t="str">
        <f>IF(AND($F184&lt;&gt;"", $F184&gt;=DH$5-4, $F184&lt;=DH$5, COUNTIF($M184:DG184,"u")=0), "u", "")</f>
        <v/>
      </c>
      <c r="DI184" s="80" t="str">
        <f>IF(AND($F184&lt;&gt;"", $F184&gt;=DI$5-4, $F184&lt;=DI$5, COUNTIF($M184:DH184,"u")=0), "u", "")</f>
        <v/>
      </c>
      <c r="DJ184" s="80" t="str">
        <f>IF(AND($F184&lt;&gt;"", $F184&gt;=DJ$5-4, $F184&lt;=DJ$5, COUNTIF($M184:DI184,"u")=0), "u", "")</f>
        <v/>
      </c>
      <c r="DK184" s="80" t="str">
        <f>IF(AND($F184&lt;&gt;"", $F184&gt;=DK$5-4, $F184&lt;=DK$5, COUNTIF($M184:DJ184,"u")=0), "u", "")</f>
        <v/>
      </c>
      <c r="DL184" s="80" t="str">
        <f>IF(AND($F184&lt;&gt;"", $F184&gt;=DL$5-4, $F184&lt;=DL$5, COUNTIF($M184:DK184,"u")=0), "u", "")</f>
        <v/>
      </c>
    </row>
    <row r="185" spans="1:116" ht="25.05" customHeight="1" x14ac:dyDescent="0.3">
      <c r="A185" s="39"/>
      <c r="B185" s="75">
        <v>180</v>
      </c>
      <c r="C185" s="97"/>
      <c r="D185" s="92"/>
      <c r="E185" s="53"/>
      <c r="F185" s="53"/>
      <c r="G185" s="83" t="str">
        <f t="shared" si="53"/>
        <v/>
      </c>
      <c r="H185" s="83" t="str">
        <f t="shared" si="53"/>
        <v/>
      </c>
      <c r="I185" s="77" t="str">
        <f t="shared" si="51"/>
        <v/>
      </c>
      <c r="J185" s="78"/>
      <c r="K185" s="86"/>
      <c r="L185" s="56"/>
      <c r="M185" s="80" t="str">
        <f t="shared" si="52"/>
        <v/>
      </c>
      <c r="N185" s="80" t="str">
        <f>IF(AND($F185&lt;&gt;"", $F185&gt;=N$5-4, $F185&lt;=N$5, COUNTIF($M185:M185,"u")=0), "u", "")</f>
        <v/>
      </c>
      <c r="O185" s="80" t="str">
        <f>IF(AND($F185&lt;&gt;"", $F185&gt;=O$5-4, $F185&lt;=O$5, COUNTIF($M185:N185,"u")=0), "u", "")</f>
        <v/>
      </c>
      <c r="P185" s="80" t="str">
        <f>IF(AND($F185&lt;&gt;"", $F185&gt;=P$5-4, $F185&lt;=P$5, COUNTIF($M185:O185,"u")=0), "u", "")</f>
        <v/>
      </c>
      <c r="Q185" s="80" t="str">
        <f>IF(AND($F185&lt;&gt;"", $F185&gt;=Q$5-4, $F185&lt;=Q$5, COUNTIF($M185:P185,"u")=0), "u", "")</f>
        <v/>
      </c>
      <c r="R185" s="80" t="str">
        <f>IF(AND($F185&lt;&gt;"", $F185&gt;=R$5-4, $F185&lt;=R$5, COUNTIF($M185:Q185,"u")=0), "u", "")</f>
        <v/>
      </c>
      <c r="S185" s="80" t="str">
        <f>IF(AND($F185&lt;&gt;"", $F185&gt;=S$5-4, $F185&lt;=S$5, COUNTIF($M185:R185,"u")=0), "u", "")</f>
        <v/>
      </c>
      <c r="T185" s="80" t="str">
        <f>IF(AND($F185&lt;&gt;"", $F185&gt;=T$5-4, $F185&lt;=T$5, COUNTIF($M185:S185,"u")=0), "u", "")</f>
        <v/>
      </c>
      <c r="U185" s="80" t="str">
        <f>IF(AND($F185&lt;&gt;"", $F185&gt;=U$5-4, $F185&lt;=U$5, COUNTIF($M185:T185,"u")=0), "u", "")</f>
        <v/>
      </c>
      <c r="V185" s="80" t="str">
        <f>IF(AND($F185&lt;&gt;"", $F185&gt;=V$5-4, $F185&lt;=V$5, COUNTIF($M185:U185,"u")=0), "u", "")</f>
        <v/>
      </c>
      <c r="W185" s="80" t="str">
        <f>IF(AND($F185&lt;&gt;"", $F185&gt;=W$5-4, $F185&lt;=W$5, COUNTIF($M185:V185,"u")=0), "u", "")</f>
        <v/>
      </c>
      <c r="X185" s="80" t="str">
        <f>IF(AND($F185&lt;&gt;"", $F185&gt;=X$5-4, $F185&lt;=X$5, COUNTIF($M185:W185,"u")=0), "u", "")</f>
        <v/>
      </c>
      <c r="Y185" s="80" t="str">
        <f>IF(AND($F185&lt;&gt;"", $F185&gt;=Y$5-4, $F185&lt;=Y$5, COUNTIF($M185:X185,"u")=0), "u", "")</f>
        <v/>
      </c>
      <c r="Z185" s="80" t="str">
        <f>IF(AND($F185&lt;&gt;"", $F185&gt;=Z$5-4, $F185&lt;=Z$5, COUNTIF($M185:Y185,"u")=0), "u", "")</f>
        <v/>
      </c>
      <c r="AA185" s="80" t="str">
        <f>IF(AND($F185&lt;&gt;"", $F185&gt;=AA$5-4, $F185&lt;=AA$5, COUNTIF($M185:Z185,"u")=0), "u", "")</f>
        <v/>
      </c>
      <c r="AB185" s="80" t="str">
        <f>IF(AND($F185&lt;&gt;"", $F185&gt;=AB$5-4, $F185&lt;=AB$5, COUNTIF($M185:AA185,"u")=0), "u", "")</f>
        <v/>
      </c>
      <c r="AC185" s="80" t="str">
        <f>IF(AND($F185&lt;&gt;"", $F185&gt;=AC$5-4, $F185&lt;=AC$5, COUNTIF($M185:AB185,"u")=0), "u", "")</f>
        <v/>
      </c>
      <c r="AD185" s="80" t="str">
        <f>IF(AND($F185&lt;&gt;"", $F185&gt;=AD$5-4, $F185&lt;=AD$5, COUNTIF($M185:AC185,"u")=0), "u", "")</f>
        <v/>
      </c>
      <c r="AE185" s="80" t="str">
        <f>IF(AND($F185&lt;&gt;"", $F185&gt;=AE$5-4, $F185&lt;=AE$5, COUNTIF($M185:AD185,"u")=0), "u", "")</f>
        <v/>
      </c>
      <c r="AF185" s="80" t="str">
        <f>IF(AND($F185&lt;&gt;"", $F185&gt;=AF$5-4, $F185&lt;=AF$5, COUNTIF($M185:AE185,"u")=0), "u", "")</f>
        <v/>
      </c>
      <c r="AG185" s="80" t="str">
        <f>IF(AND($F185&lt;&gt;"", $F185&gt;=AG$5-4, $F185&lt;=AG$5, COUNTIF($M185:AF185,"u")=0), "u", "")</f>
        <v/>
      </c>
      <c r="AH185" s="80" t="str">
        <f>IF(AND($F185&lt;&gt;"", $F185&gt;=AH$5-4, $F185&lt;=AH$5, COUNTIF($M185:AG185,"u")=0), "u", "")</f>
        <v/>
      </c>
      <c r="AI185" s="80" t="str">
        <f>IF(AND($F185&lt;&gt;"", $F185&gt;=AI$5-4, $F185&lt;=AI$5, COUNTIF($M185:AH185,"u")=0), "u", "")</f>
        <v/>
      </c>
      <c r="AJ185" s="80" t="str">
        <f>IF(AND($F185&lt;&gt;"", $F185&gt;=AJ$5-4, $F185&lt;=AJ$5, COUNTIF($M185:AI185,"u")=0), "u", "")</f>
        <v/>
      </c>
      <c r="AK185" s="80" t="str">
        <f>IF(AND($F185&lt;&gt;"", $F185&gt;=AK$5-4, $F185&lt;=AK$5, COUNTIF($M185:AJ185,"u")=0), "u", "")</f>
        <v/>
      </c>
      <c r="AL185" s="80" t="str">
        <f>IF(AND($F185&lt;&gt;"", $F185&gt;=AL$5-4, $F185&lt;=AL$5, COUNTIF($M185:AK185,"u")=0), "u", "")</f>
        <v/>
      </c>
      <c r="AM185" s="80" t="str">
        <f>IF(AND($F185&lt;&gt;"", $F185&gt;=AM$5-4, $F185&lt;=AM$5, COUNTIF($M185:AL185,"u")=0), "u", "")</f>
        <v/>
      </c>
      <c r="AN185" s="80" t="str">
        <f>IF(AND($F185&lt;&gt;"", $F185&gt;=AN$5-4, $F185&lt;=AN$5, COUNTIF($M185:AM185,"u")=0), "u", "")</f>
        <v/>
      </c>
      <c r="AO185" s="80" t="str">
        <f>IF(AND($F185&lt;&gt;"", $F185&gt;=AO$5-4, $F185&lt;=AO$5, COUNTIF($M185:AN185,"u")=0), "u", "")</f>
        <v/>
      </c>
      <c r="AP185" s="80" t="str">
        <f>IF(AND($F185&lt;&gt;"", $F185&gt;=AP$5-4, $F185&lt;=AP$5, COUNTIF($M185:AO185,"u")=0), "u", "")</f>
        <v/>
      </c>
      <c r="AQ185" s="80" t="str">
        <f>IF(AND($F185&lt;&gt;"", $F185&gt;=AQ$5-4, $F185&lt;=AQ$5, COUNTIF($M185:AP185,"u")=0), "u", "")</f>
        <v/>
      </c>
      <c r="AR185" s="80" t="str">
        <f>IF(AND($F185&lt;&gt;"", $F185&gt;=AR$5-4, $F185&lt;=AR$5, COUNTIF($M185:AQ185,"u")=0), "u", "")</f>
        <v/>
      </c>
      <c r="AS185" s="80" t="str">
        <f>IF(AND($F185&lt;&gt;"", $F185&gt;=AS$5-4, $F185&lt;=AS$5, COUNTIF($M185:AR185,"u")=0), "u", "")</f>
        <v/>
      </c>
      <c r="AT185" s="80" t="str">
        <f>IF(AND($F185&lt;&gt;"", $F185&gt;=AT$5-4, $F185&lt;=AT$5, COUNTIF($M185:AS185,"u")=0), "u", "")</f>
        <v/>
      </c>
      <c r="AU185" s="80" t="str">
        <f>IF(AND($F185&lt;&gt;"", $F185&gt;=AU$5-4, $F185&lt;=AU$5, COUNTIF($M185:AT185,"u")=0), "u", "")</f>
        <v/>
      </c>
      <c r="AV185" s="80" t="str">
        <f>IF(AND($F185&lt;&gt;"", $F185&gt;=AV$5-4, $F185&lt;=AV$5, COUNTIF($M185:AU185,"u")=0), "u", "")</f>
        <v/>
      </c>
      <c r="AW185" s="80" t="str">
        <f>IF(AND($F185&lt;&gt;"", $F185&gt;=AW$5-4, $F185&lt;=AW$5, COUNTIF($M185:AV185,"u")=0), "u", "")</f>
        <v/>
      </c>
      <c r="AX185" s="80" t="str">
        <f>IF(AND($F185&lt;&gt;"", $F185&gt;=AX$5-4, $F185&lt;=AX$5, COUNTIF($M185:AW185,"u")=0), "u", "")</f>
        <v/>
      </c>
      <c r="AY185" s="80" t="str">
        <f>IF(AND($F185&lt;&gt;"", $F185&gt;=AY$5-4, $F185&lt;=AY$5, COUNTIF($M185:AX185,"u")=0), "u", "")</f>
        <v/>
      </c>
      <c r="AZ185" s="80" t="str">
        <f>IF(AND($F185&lt;&gt;"", $F185&gt;=AZ$5-4, $F185&lt;=AZ$5, COUNTIF($M185:AY185,"u")=0), "u", "")</f>
        <v/>
      </c>
      <c r="BA185" s="80" t="str">
        <f>IF(AND($F185&lt;&gt;"", $F185&gt;=BA$5-4, $F185&lt;=BA$5, COUNTIF($M185:AZ185,"u")=0), "u", "")</f>
        <v/>
      </c>
      <c r="BB185" s="80" t="str">
        <f>IF(AND($F185&lt;&gt;"", $F185&gt;=BB$5-4, $F185&lt;=BB$5, COUNTIF($M185:BA185,"u")=0), "u", "")</f>
        <v/>
      </c>
      <c r="BC185" s="80" t="str">
        <f>IF(AND($F185&lt;&gt;"", $F185&gt;=BC$5-4, $F185&lt;=BC$5, COUNTIF($M185:BB185,"u")=0), "u", "")</f>
        <v/>
      </c>
      <c r="BD185" s="80" t="str">
        <f>IF(AND($F185&lt;&gt;"", $F185&gt;=BD$5-4, $F185&lt;=BD$5, COUNTIF($M185:BC185,"u")=0), "u", "")</f>
        <v/>
      </c>
      <c r="BE185" s="80" t="str">
        <f>IF(AND($F185&lt;&gt;"", $F185&gt;=BE$5-4, $F185&lt;=BE$5, COUNTIF($M185:BD185,"u")=0), "u", "")</f>
        <v/>
      </c>
      <c r="BF185" s="80" t="str">
        <f>IF(AND($F185&lt;&gt;"", $F185&gt;=BF$5-4, $F185&lt;=BF$5, COUNTIF($M185:BE185,"u")=0), "u", "")</f>
        <v/>
      </c>
      <c r="BG185" s="80" t="str">
        <f>IF(AND($F185&lt;&gt;"", $F185&gt;=BG$5-4, $F185&lt;=BG$5, COUNTIF($M185:BF185,"u")=0), "u", "")</f>
        <v/>
      </c>
      <c r="BH185" s="80" t="str">
        <f>IF(AND($F185&lt;&gt;"", $F185&gt;=BH$5-4, $F185&lt;=BH$5, COUNTIF($M185:BG185,"u")=0), "u", "")</f>
        <v/>
      </c>
      <c r="BI185" s="80" t="str">
        <f>IF(AND($F185&lt;&gt;"", $F185&gt;=BI$5-4, $F185&lt;=BI$5, COUNTIF($M185:BH185,"u")=0), "u", "")</f>
        <v/>
      </c>
      <c r="BJ185" s="80" t="str">
        <f>IF(AND($F185&lt;&gt;"", $F185&gt;=BJ$5-4, $F185&lt;=BJ$5, COUNTIF($M185:BI185,"u")=0), "u", "")</f>
        <v/>
      </c>
      <c r="BK185" s="80" t="str">
        <f>IF(AND($F185&lt;&gt;"", $F185&gt;=BK$5-4, $F185&lt;=BK$5, COUNTIF($M185:BJ185,"u")=0), "u", "")</f>
        <v/>
      </c>
      <c r="BL185" s="80" t="str">
        <f>IF(AND($F185&lt;&gt;"", $F185&gt;=BL$5-4, $F185&lt;=BL$5, COUNTIF($M185:BK185,"u")=0), "u", "")</f>
        <v/>
      </c>
      <c r="BM185" s="80" t="str">
        <f>IF(AND($F185&lt;&gt;"", $F185&gt;=BM$5-4, $F185&lt;=BM$5, COUNTIF($M185:BL185,"u")=0), "u", "")</f>
        <v/>
      </c>
      <c r="BN185" s="80" t="str">
        <f>IF(AND($F185&lt;&gt;"", $F185&gt;=BN$5-4, $F185&lt;=BN$5, COUNTIF($M185:BM185,"u")=0), "u", "")</f>
        <v/>
      </c>
      <c r="BO185" s="80" t="str">
        <f>IF(AND($F185&lt;&gt;"", $F185&gt;=BO$5-4, $F185&lt;=BO$5, COUNTIF($M185:BN185,"u")=0), "u", "")</f>
        <v/>
      </c>
      <c r="BP185" s="80" t="str">
        <f>IF(AND($F185&lt;&gt;"", $F185&gt;=BP$5-4, $F185&lt;=BP$5, COUNTIF($M185:BO185,"u")=0), "u", "")</f>
        <v/>
      </c>
      <c r="BQ185" s="80" t="str">
        <f>IF(AND($F185&lt;&gt;"", $F185&gt;=BQ$5-4, $F185&lt;=BQ$5, COUNTIF($M185:BP185,"u")=0), "u", "")</f>
        <v/>
      </c>
      <c r="BR185" s="80" t="str">
        <f>IF(AND($F185&lt;&gt;"", $F185&gt;=BR$5-4, $F185&lt;=BR$5, COUNTIF($M185:BQ185,"u")=0), "u", "")</f>
        <v/>
      </c>
      <c r="BS185" s="80" t="str">
        <f>IF(AND($F185&lt;&gt;"", $F185&gt;=BS$5-4, $F185&lt;=BS$5, COUNTIF($M185:BR185,"u")=0), "u", "")</f>
        <v/>
      </c>
      <c r="BT185" s="80" t="str">
        <f>IF(AND($F185&lt;&gt;"", $F185&gt;=BT$5-4, $F185&lt;=BT$5, COUNTIF($M185:BS185,"u")=0), "u", "")</f>
        <v/>
      </c>
      <c r="BU185" s="80" t="str">
        <f>IF(AND($F185&lt;&gt;"", $F185&gt;=BU$5-4, $F185&lt;=BU$5, COUNTIF($M185:BT185,"u")=0), "u", "")</f>
        <v/>
      </c>
      <c r="BV185" s="80" t="str">
        <f>IF(AND($F185&lt;&gt;"", $F185&gt;=BV$5-4, $F185&lt;=BV$5, COUNTIF($M185:BU185,"u")=0), "u", "")</f>
        <v/>
      </c>
      <c r="BW185" s="80" t="str">
        <f>IF(AND($F185&lt;&gt;"", $F185&gt;=BW$5-4, $F185&lt;=BW$5, COUNTIF($M185:BV185,"u")=0), "u", "")</f>
        <v/>
      </c>
      <c r="BX185" s="80" t="str">
        <f>IF(AND($F185&lt;&gt;"", $F185&gt;=BX$5-4, $F185&lt;=BX$5, COUNTIF($M185:BW185,"u")=0), "u", "")</f>
        <v/>
      </c>
      <c r="BY185" s="80" t="str">
        <f>IF(AND($F185&lt;&gt;"", $F185&gt;=BY$5-4, $F185&lt;=BY$5, COUNTIF($M185:BX185,"u")=0), "u", "")</f>
        <v/>
      </c>
      <c r="BZ185" s="80" t="str">
        <f>IF(AND($F185&lt;&gt;"", $F185&gt;=BZ$5-4, $F185&lt;=BZ$5, COUNTIF($M185:BY185,"u")=0), "u", "")</f>
        <v/>
      </c>
      <c r="CA185" s="80" t="str">
        <f>IF(AND($F185&lt;&gt;"", $F185&gt;=CA$5-4, $F185&lt;=CA$5, COUNTIF($M185:BZ185,"u")=0), "u", "")</f>
        <v/>
      </c>
      <c r="CB185" s="80" t="str">
        <f>IF(AND($F185&lt;&gt;"", $F185&gt;=CB$5-4, $F185&lt;=CB$5, COUNTIF($M185:CA185,"u")=0), "u", "")</f>
        <v/>
      </c>
      <c r="CC185" s="80" t="str">
        <f>IF(AND($F185&lt;&gt;"", $F185&gt;=CC$5-4, $F185&lt;=CC$5, COUNTIF($M185:CB185,"u")=0), "u", "")</f>
        <v/>
      </c>
      <c r="CD185" s="80" t="str">
        <f>IF(AND($F185&lt;&gt;"", $F185&gt;=CD$5-4, $F185&lt;=CD$5, COUNTIF($M185:CC185,"u")=0), "u", "")</f>
        <v/>
      </c>
      <c r="CE185" s="80" t="str">
        <f>IF(AND($F185&lt;&gt;"", $F185&gt;=CE$5-4, $F185&lt;=CE$5, COUNTIF($M185:CD185,"u")=0), "u", "")</f>
        <v/>
      </c>
      <c r="CF185" s="80" t="str">
        <f>IF(AND($F185&lt;&gt;"", $F185&gt;=CF$5-4, $F185&lt;=CF$5, COUNTIF($M185:CE185,"u")=0), "u", "")</f>
        <v/>
      </c>
      <c r="CG185" s="80" t="str">
        <f>IF(AND($F185&lt;&gt;"", $F185&gt;=CG$5-4, $F185&lt;=CG$5, COUNTIF($M185:CF185,"u")=0), "u", "")</f>
        <v/>
      </c>
      <c r="CH185" s="80" t="str">
        <f>IF(AND($F185&lt;&gt;"", $F185&gt;=CH$5-4, $F185&lt;=CH$5, COUNTIF($M185:CG185,"u")=0), "u", "")</f>
        <v/>
      </c>
      <c r="CI185" s="80" t="str">
        <f>IF(AND($F185&lt;&gt;"", $F185&gt;=CI$5-4, $F185&lt;=CI$5, COUNTIF($M185:CH185,"u")=0), "u", "")</f>
        <v/>
      </c>
      <c r="CJ185" s="80" t="str">
        <f>IF(AND($F185&lt;&gt;"", $F185&gt;=CJ$5-4, $F185&lt;=CJ$5, COUNTIF($M185:CI185,"u")=0), "u", "")</f>
        <v/>
      </c>
      <c r="CK185" s="80" t="str">
        <f>IF(AND($F185&lt;&gt;"", $F185&gt;=CK$5-4, $F185&lt;=CK$5, COUNTIF($M185:CJ185,"u")=0), "u", "")</f>
        <v/>
      </c>
      <c r="CL185" s="80" t="str">
        <f>IF(AND($F185&lt;&gt;"", $F185&gt;=CL$5-4, $F185&lt;=CL$5, COUNTIF($M185:CK185,"u")=0), "u", "")</f>
        <v/>
      </c>
      <c r="CM185" s="80" t="str">
        <f>IF(AND($F185&lt;&gt;"", $F185&gt;=CM$5-4, $F185&lt;=CM$5, COUNTIF($M185:CL185,"u")=0), "u", "")</f>
        <v/>
      </c>
      <c r="CN185" s="80" t="str">
        <f>IF(AND($F185&lt;&gt;"", $F185&gt;=CN$5-4, $F185&lt;=CN$5, COUNTIF($M185:CM185,"u")=0), "u", "")</f>
        <v/>
      </c>
      <c r="CO185" s="80" t="str">
        <f>IF(AND($F185&lt;&gt;"", $F185&gt;=CO$5-4, $F185&lt;=CO$5, COUNTIF($M185:CN185,"u")=0), "u", "")</f>
        <v/>
      </c>
      <c r="CP185" s="80" t="str">
        <f>IF(AND($F185&lt;&gt;"", $F185&gt;=CP$5-4, $F185&lt;=CP$5, COUNTIF($M185:CO185,"u")=0), "u", "")</f>
        <v/>
      </c>
      <c r="CQ185" s="80" t="str">
        <f>IF(AND($F185&lt;&gt;"", $F185&gt;=CQ$5-4, $F185&lt;=CQ$5, COUNTIF($M185:CP185,"u")=0), "u", "")</f>
        <v/>
      </c>
      <c r="CR185" s="80" t="str">
        <f>IF(AND($F185&lt;&gt;"", $F185&gt;=CR$5-4, $F185&lt;=CR$5, COUNTIF($M185:CQ185,"u")=0), "u", "")</f>
        <v/>
      </c>
      <c r="CS185" s="80" t="str">
        <f>IF(AND($F185&lt;&gt;"", $F185&gt;=CS$5-4, $F185&lt;=CS$5, COUNTIF($M185:CR185,"u")=0), "u", "")</f>
        <v/>
      </c>
      <c r="CT185" s="80" t="str">
        <f>IF(AND($F185&lt;&gt;"", $F185&gt;=CT$5-4, $F185&lt;=CT$5, COUNTIF($M185:CS185,"u")=0), "u", "")</f>
        <v/>
      </c>
      <c r="CU185" s="80" t="str">
        <f>IF(AND($F185&lt;&gt;"", $F185&gt;=CU$5-4, $F185&lt;=CU$5, COUNTIF($M185:CT185,"u")=0), "u", "")</f>
        <v/>
      </c>
      <c r="CV185" s="80" t="str">
        <f>IF(AND($F185&lt;&gt;"", $F185&gt;=CV$5-4, $F185&lt;=CV$5, COUNTIF($M185:CU185,"u")=0), "u", "")</f>
        <v/>
      </c>
      <c r="CW185" s="80" t="str">
        <f>IF(AND($F185&lt;&gt;"", $F185&gt;=CW$5-4, $F185&lt;=CW$5, COUNTIF($M185:CV185,"u")=0), "u", "")</f>
        <v/>
      </c>
      <c r="CX185" s="80" t="str">
        <f>IF(AND($F185&lt;&gt;"", $F185&gt;=CX$5-4, $F185&lt;=CX$5, COUNTIF($M185:CW185,"u")=0), "u", "")</f>
        <v/>
      </c>
      <c r="CY185" s="80" t="str">
        <f>IF(AND($F185&lt;&gt;"", $F185&gt;=CY$5-4, $F185&lt;=CY$5, COUNTIF($M185:CX185,"u")=0), "u", "")</f>
        <v/>
      </c>
      <c r="CZ185" s="80" t="str">
        <f>IF(AND($F185&lt;&gt;"", $F185&gt;=CZ$5-4, $F185&lt;=CZ$5, COUNTIF($M185:CY185,"u")=0), "u", "")</f>
        <v/>
      </c>
      <c r="DA185" s="80" t="str">
        <f>IF(AND($F185&lt;&gt;"", $F185&gt;=DA$5-4, $F185&lt;=DA$5, COUNTIF($M185:CZ185,"u")=0), "u", "")</f>
        <v/>
      </c>
      <c r="DB185" s="80" t="str">
        <f>IF(AND($F185&lt;&gt;"", $F185&gt;=DB$5-4, $F185&lt;=DB$5, COUNTIF($M185:DA185,"u")=0), "u", "")</f>
        <v/>
      </c>
      <c r="DC185" s="80" t="str">
        <f>IF(AND($F185&lt;&gt;"", $F185&gt;=DC$5-4, $F185&lt;=DC$5, COUNTIF($M185:DB185,"u")=0), "u", "")</f>
        <v/>
      </c>
      <c r="DD185" s="80" t="str">
        <f>IF(AND($F185&lt;&gt;"", $F185&gt;=DD$5-4, $F185&lt;=DD$5, COUNTIF($M185:DC185,"u")=0), "u", "")</f>
        <v/>
      </c>
      <c r="DE185" s="80" t="str">
        <f>IF(AND($F185&lt;&gt;"", $F185&gt;=DE$5-4, $F185&lt;=DE$5, COUNTIF($M185:DD185,"u")=0), "u", "")</f>
        <v/>
      </c>
      <c r="DF185" s="80" t="str">
        <f>IF(AND($F185&lt;&gt;"", $F185&gt;=DF$5-4, $F185&lt;=DF$5, COUNTIF($M185:DE185,"u")=0), "u", "")</f>
        <v/>
      </c>
      <c r="DG185" s="80" t="str">
        <f>IF(AND($F185&lt;&gt;"", $F185&gt;=DG$5-4, $F185&lt;=DG$5, COUNTIF($M185:DF185,"u")=0), "u", "")</f>
        <v/>
      </c>
      <c r="DH185" s="80" t="str">
        <f>IF(AND($F185&lt;&gt;"", $F185&gt;=DH$5-4, $F185&lt;=DH$5, COUNTIF($M185:DG185,"u")=0), "u", "")</f>
        <v/>
      </c>
      <c r="DI185" s="80" t="str">
        <f>IF(AND($F185&lt;&gt;"", $F185&gt;=DI$5-4, $F185&lt;=DI$5, COUNTIF($M185:DH185,"u")=0), "u", "")</f>
        <v/>
      </c>
      <c r="DJ185" s="80" t="str">
        <f>IF(AND($F185&lt;&gt;"", $F185&gt;=DJ$5-4, $F185&lt;=DJ$5, COUNTIF($M185:DI185,"u")=0), "u", "")</f>
        <v/>
      </c>
      <c r="DK185" s="80" t="str">
        <f>IF(AND($F185&lt;&gt;"", $F185&gt;=DK$5-4, $F185&lt;=DK$5, COUNTIF($M185:DJ185,"u")=0), "u", "")</f>
        <v/>
      </c>
      <c r="DL185" s="80" t="str">
        <f>IF(AND($F185&lt;&gt;"", $F185&gt;=DL$5-4, $F185&lt;=DL$5, COUNTIF($M185:DK185,"u")=0), "u", "")</f>
        <v/>
      </c>
    </row>
    <row r="186" spans="1:116" ht="25.05" customHeight="1" x14ac:dyDescent="0.3">
      <c r="A186" s="39"/>
      <c r="B186" s="75">
        <v>181</v>
      </c>
      <c r="C186" s="97"/>
      <c r="D186" s="92"/>
      <c r="E186" s="53"/>
      <c r="F186" s="53"/>
      <c r="G186" s="83" t="str">
        <f t="shared" si="53"/>
        <v/>
      </c>
      <c r="H186" s="83" t="str">
        <f t="shared" si="53"/>
        <v/>
      </c>
      <c r="I186" s="77" t="str">
        <f t="shared" si="51"/>
        <v/>
      </c>
      <c r="J186" s="78"/>
      <c r="K186" s="86"/>
      <c r="L186" s="56"/>
      <c r="M186" s="80" t="str">
        <f t="shared" si="52"/>
        <v/>
      </c>
      <c r="N186" s="80" t="str">
        <f>IF(AND($F186&lt;&gt;"", $F186&gt;=N$5-4, $F186&lt;=N$5, COUNTIF($M186:M186,"u")=0), "u", "")</f>
        <v/>
      </c>
      <c r="O186" s="80" t="str">
        <f>IF(AND($F186&lt;&gt;"", $F186&gt;=O$5-4, $F186&lt;=O$5, COUNTIF($M186:N186,"u")=0), "u", "")</f>
        <v/>
      </c>
      <c r="P186" s="80" t="str">
        <f>IF(AND($F186&lt;&gt;"", $F186&gt;=P$5-4, $F186&lt;=P$5, COUNTIF($M186:O186,"u")=0), "u", "")</f>
        <v/>
      </c>
      <c r="Q186" s="80" t="str">
        <f>IF(AND($F186&lt;&gt;"", $F186&gt;=Q$5-4, $F186&lt;=Q$5, COUNTIF($M186:P186,"u")=0), "u", "")</f>
        <v/>
      </c>
      <c r="R186" s="80" t="str">
        <f>IF(AND($F186&lt;&gt;"", $F186&gt;=R$5-4, $F186&lt;=R$5, COUNTIF($M186:Q186,"u")=0), "u", "")</f>
        <v/>
      </c>
      <c r="S186" s="80" t="str">
        <f>IF(AND($F186&lt;&gt;"", $F186&gt;=S$5-4, $F186&lt;=S$5, COUNTIF($M186:R186,"u")=0), "u", "")</f>
        <v/>
      </c>
      <c r="T186" s="80" t="str">
        <f>IF(AND($F186&lt;&gt;"", $F186&gt;=T$5-4, $F186&lt;=T$5, COUNTIF($M186:S186,"u")=0), "u", "")</f>
        <v/>
      </c>
      <c r="U186" s="80" t="str">
        <f>IF(AND($F186&lt;&gt;"", $F186&gt;=U$5-4, $F186&lt;=U$5, COUNTIF($M186:T186,"u")=0), "u", "")</f>
        <v/>
      </c>
      <c r="V186" s="80" t="str">
        <f>IF(AND($F186&lt;&gt;"", $F186&gt;=V$5-4, $F186&lt;=V$5, COUNTIF($M186:U186,"u")=0), "u", "")</f>
        <v/>
      </c>
      <c r="W186" s="80" t="str">
        <f>IF(AND($F186&lt;&gt;"", $F186&gt;=W$5-4, $F186&lt;=W$5, COUNTIF($M186:V186,"u")=0), "u", "")</f>
        <v/>
      </c>
      <c r="X186" s="80" t="str">
        <f>IF(AND($F186&lt;&gt;"", $F186&gt;=X$5-4, $F186&lt;=X$5, COUNTIF($M186:W186,"u")=0), "u", "")</f>
        <v/>
      </c>
      <c r="Y186" s="80" t="str">
        <f>IF(AND($F186&lt;&gt;"", $F186&gt;=Y$5-4, $F186&lt;=Y$5, COUNTIF($M186:X186,"u")=0), "u", "")</f>
        <v/>
      </c>
      <c r="Z186" s="80" t="str">
        <f>IF(AND($F186&lt;&gt;"", $F186&gt;=Z$5-4, $F186&lt;=Z$5, COUNTIF($M186:Y186,"u")=0), "u", "")</f>
        <v/>
      </c>
      <c r="AA186" s="80" t="str">
        <f>IF(AND($F186&lt;&gt;"", $F186&gt;=AA$5-4, $F186&lt;=AA$5, COUNTIF($M186:Z186,"u")=0), "u", "")</f>
        <v/>
      </c>
      <c r="AB186" s="80" t="str">
        <f>IF(AND($F186&lt;&gt;"", $F186&gt;=AB$5-4, $F186&lt;=AB$5, COUNTIF($M186:AA186,"u")=0), "u", "")</f>
        <v/>
      </c>
      <c r="AC186" s="80" t="str">
        <f>IF(AND($F186&lt;&gt;"", $F186&gt;=AC$5-4, $F186&lt;=AC$5, COUNTIF($M186:AB186,"u")=0), "u", "")</f>
        <v/>
      </c>
      <c r="AD186" s="80" t="str">
        <f>IF(AND($F186&lt;&gt;"", $F186&gt;=AD$5-4, $F186&lt;=AD$5, COUNTIF($M186:AC186,"u")=0), "u", "")</f>
        <v/>
      </c>
      <c r="AE186" s="80" t="str">
        <f>IF(AND($F186&lt;&gt;"", $F186&gt;=AE$5-4, $F186&lt;=AE$5, COUNTIF($M186:AD186,"u")=0), "u", "")</f>
        <v/>
      </c>
      <c r="AF186" s="80" t="str">
        <f>IF(AND($F186&lt;&gt;"", $F186&gt;=AF$5-4, $F186&lt;=AF$5, COUNTIF($M186:AE186,"u")=0), "u", "")</f>
        <v/>
      </c>
      <c r="AG186" s="80" t="str">
        <f>IF(AND($F186&lt;&gt;"", $F186&gt;=AG$5-4, $F186&lt;=AG$5, COUNTIF($M186:AF186,"u")=0), "u", "")</f>
        <v/>
      </c>
      <c r="AH186" s="80" t="str">
        <f>IF(AND($F186&lt;&gt;"", $F186&gt;=AH$5-4, $F186&lt;=AH$5, COUNTIF($M186:AG186,"u")=0), "u", "")</f>
        <v/>
      </c>
      <c r="AI186" s="80" t="str">
        <f>IF(AND($F186&lt;&gt;"", $F186&gt;=AI$5-4, $F186&lt;=AI$5, COUNTIF($M186:AH186,"u")=0), "u", "")</f>
        <v/>
      </c>
      <c r="AJ186" s="80" t="str">
        <f>IF(AND($F186&lt;&gt;"", $F186&gt;=AJ$5-4, $F186&lt;=AJ$5, COUNTIF($M186:AI186,"u")=0), "u", "")</f>
        <v/>
      </c>
      <c r="AK186" s="80" t="str">
        <f>IF(AND($F186&lt;&gt;"", $F186&gt;=AK$5-4, $F186&lt;=AK$5, COUNTIF($M186:AJ186,"u")=0), "u", "")</f>
        <v/>
      </c>
      <c r="AL186" s="80" t="str">
        <f>IF(AND($F186&lt;&gt;"", $F186&gt;=AL$5-4, $F186&lt;=AL$5, COUNTIF($M186:AK186,"u")=0), "u", "")</f>
        <v/>
      </c>
      <c r="AM186" s="80" t="str">
        <f>IF(AND($F186&lt;&gt;"", $F186&gt;=AM$5-4, $F186&lt;=AM$5, COUNTIF($M186:AL186,"u")=0), "u", "")</f>
        <v/>
      </c>
      <c r="AN186" s="80" t="str">
        <f>IF(AND($F186&lt;&gt;"", $F186&gt;=AN$5-4, $F186&lt;=AN$5, COUNTIF($M186:AM186,"u")=0), "u", "")</f>
        <v/>
      </c>
      <c r="AO186" s="80" t="str">
        <f>IF(AND($F186&lt;&gt;"", $F186&gt;=AO$5-4, $F186&lt;=AO$5, COUNTIF($M186:AN186,"u")=0), "u", "")</f>
        <v/>
      </c>
      <c r="AP186" s="80" t="str">
        <f>IF(AND($F186&lt;&gt;"", $F186&gt;=AP$5-4, $F186&lt;=AP$5, COUNTIF($M186:AO186,"u")=0), "u", "")</f>
        <v/>
      </c>
      <c r="AQ186" s="80" t="str">
        <f>IF(AND($F186&lt;&gt;"", $F186&gt;=AQ$5-4, $F186&lt;=AQ$5, COUNTIF($M186:AP186,"u")=0), "u", "")</f>
        <v/>
      </c>
      <c r="AR186" s="80" t="str">
        <f>IF(AND($F186&lt;&gt;"", $F186&gt;=AR$5-4, $F186&lt;=AR$5, COUNTIF($M186:AQ186,"u")=0), "u", "")</f>
        <v/>
      </c>
      <c r="AS186" s="80" t="str">
        <f>IF(AND($F186&lt;&gt;"", $F186&gt;=AS$5-4, $F186&lt;=AS$5, COUNTIF($M186:AR186,"u")=0), "u", "")</f>
        <v/>
      </c>
      <c r="AT186" s="80" t="str">
        <f>IF(AND($F186&lt;&gt;"", $F186&gt;=AT$5-4, $F186&lt;=AT$5, COUNTIF($M186:AS186,"u")=0), "u", "")</f>
        <v/>
      </c>
      <c r="AU186" s="80" t="str">
        <f>IF(AND($F186&lt;&gt;"", $F186&gt;=AU$5-4, $F186&lt;=AU$5, COUNTIF($M186:AT186,"u")=0), "u", "")</f>
        <v/>
      </c>
      <c r="AV186" s="80" t="str">
        <f>IF(AND($F186&lt;&gt;"", $F186&gt;=AV$5-4, $F186&lt;=AV$5, COUNTIF($M186:AU186,"u")=0), "u", "")</f>
        <v/>
      </c>
      <c r="AW186" s="80" t="str">
        <f>IF(AND($F186&lt;&gt;"", $F186&gt;=AW$5-4, $F186&lt;=AW$5, COUNTIF($M186:AV186,"u")=0), "u", "")</f>
        <v/>
      </c>
      <c r="AX186" s="80" t="str">
        <f>IF(AND($F186&lt;&gt;"", $F186&gt;=AX$5-4, $F186&lt;=AX$5, COUNTIF($M186:AW186,"u")=0), "u", "")</f>
        <v/>
      </c>
      <c r="AY186" s="80" t="str">
        <f>IF(AND($F186&lt;&gt;"", $F186&gt;=AY$5-4, $F186&lt;=AY$5, COUNTIF($M186:AX186,"u")=0), "u", "")</f>
        <v/>
      </c>
      <c r="AZ186" s="80" t="str">
        <f>IF(AND($F186&lt;&gt;"", $F186&gt;=AZ$5-4, $F186&lt;=AZ$5, COUNTIF($M186:AY186,"u")=0), "u", "")</f>
        <v/>
      </c>
      <c r="BA186" s="80" t="str">
        <f>IF(AND($F186&lt;&gt;"", $F186&gt;=BA$5-4, $F186&lt;=BA$5, COUNTIF($M186:AZ186,"u")=0), "u", "")</f>
        <v/>
      </c>
      <c r="BB186" s="80" t="str">
        <f>IF(AND($F186&lt;&gt;"", $F186&gt;=BB$5-4, $F186&lt;=BB$5, COUNTIF($M186:BA186,"u")=0), "u", "")</f>
        <v/>
      </c>
      <c r="BC186" s="80" t="str">
        <f>IF(AND($F186&lt;&gt;"", $F186&gt;=BC$5-4, $F186&lt;=BC$5, COUNTIF($M186:BB186,"u")=0), "u", "")</f>
        <v/>
      </c>
      <c r="BD186" s="80" t="str">
        <f>IF(AND($F186&lt;&gt;"", $F186&gt;=BD$5-4, $F186&lt;=BD$5, COUNTIF($M186:BC186,"u")=0), "u", "")</f>
        <v/>
      </c>
      <c r="BE186" s="80" t="str">
        <f>IF(AND($F186&lt;&gt;"", $F186&gt;=BE$5-4, $F186&lt;=BE$5, COUNTIF($M186:BD186,"u")=0), "u", "")</f>
        <v/>
      </c>
      <c r="BF186" s="80" t="str">
        <f>IF(AND($F186&lt;&gt;"", $F186&gt;=BF$5-4, $F186&lt;=BF$5, COUNTIF($M186:BE186,"u")=0), "u", "")</f>
        <v/>
      </c>
      <c r="BG186" s="80" t="str">
        <f>IF(AND($F186&lt;&gt;"", $F186&gt;=BG$5-4, $F186&lt;=BG$5, COUNTIF($M186:BF186,"u")=0), "u", "")</f>
        <v/>
      </c>
      <c r="BH186" s="80" t="str">
        <f>IF(AND($F186&lt;&gt;"", $F186&gt;=BH$5-4, $F186&lt;=BH$5, COUNTIF($M186:BG186,"u")=0), "u", "")</f>
        <v/>
      </c>
      <c r="BI186" s="80" t="str">
        <f>IF(AND($F186&lt;&gt;"", $F186&gt;=BI$5-4, $F186&lt;=BI$5, COUNTIF($M186:BH186,"u")=0), "u", "")</f>
        <v/>
      </c>
      <c r="BJ186" s="80" t="str">
        <f>IF(AND($F186&lt;&gt;"", $F186&gt;=BJ$5-4, $F186&lt;=BJ$5, COUNTIF($M186:BI186,"u")=0), "u", "")</f>
        <v/>
      </c>
      <c r="BK186" s="80" t="str">
        <f>IF(AND($F186&lt;&gt;"", $F186&gt;=BK$5-4, $F186&lt;=BK$5, COUNTIF($M186:BJ186,"u")=0), "u", "")</f>
        <v/>
      </c>
      <c r="BL186" s="80" t="str">
        <f>IF(AND($F186&lt;&gt;"", $F186&gt;=BL$5-4, $F186&lt;=BL$5, COUNTIF($M186:BK186,"u")=0), "u", "")</f>
        <v/>
      </c>
      <c r="BM186" s="80" t="str">
        <f>IF(AND($F186&lt;&gt;"", $F186&gt;=BM$5-4, $F186&lt;=BM$5, COUNTIF($M186:BL186,"u")=0), "u", "")</f>
        <v/>
      </c>
      <c r="BN186" s="80" t="str">
        <f>IF(AND($F186&lt;&gt;"", $F186&gt;=BN$5-4, $F186&lt;=BN$5, COUNTIF($M186:BM186,"u")=0), "u", "")</f>
        <v/>
      </c>
      <c r="BO186" s="80" t="str">
        <f>IF(AND($F186&lt;&gt;"", $F186&gt;=BO$5-4, $F186&lt;=BO$5, COUNTIF($M186:BN186,"u")=0), "u", "")</f>
        <v/>
      </c>
      <c r="BP186" s="80" t="str">
        <f>IF(AND($F186&lt;&gt;"", $F186&gt;=BP$5-4, $F186&lt;=BP$5, COUNTIF($M186:BO186,"u")=0), "u", "")</f>
        <v/>
      </c>
      <c r="BQ186" s="80" t="str">
        <f>IF(AND($F186&lt;&gt;"", $F186&gt;=BQ$5-4, $F186&lt;=BQ$5, COUNTIF($M186:BP186,"u")=0), "u", "")</f>
        <v/>
      </c>
      <c r="BR186" s="80" t="str">
        <f>IF(AND($F186&lt;&gt;"", $F186&gt;=BR$5-4, $F186&lt;=BR$5, COUNTIF($M186:BQ186,"u")=0), "u", "")</f>
        <v/>
      </c>
      <c r="BS186" s="80" t="str">
        <f>IF(AND($F186&lt;&gt;"", $F186&gt;=BS$5-4, $F186&lt;=BS$5, COUNTIF($M186:BR186,"u")=0), "u", "")</f>
        <v/>
      </c>
      <c r="BT186" s="80" t="str">
        <f>IF(AND($F186&lt;&gt;"", $F186&gt;=BT$5-4, $F186&lt;=BT$5, COUNTIF($M186:BS186,"u")=0), "u", "")</f>
        <v/>
      </c>
      <c r="BU186" s="80" t="str">
        <f>IF(AND($F186&lt;&gt;"", $F186&gt;=BU$5-4, $F186&lt;=BU$5, COUNTIF($M186:BT186,"u")=0), "u", "")</f>
        <v/>
      </c>
      <c r="BV186" s="80" t="str">
        <f>IF(AND($F186&lt;&gt;"", $F186&gt;=BV$5-4, $F186&lt;=BV$5, COUNTIF($M186:BU186,"u")=0), "u", "")</f>
        <v/>
      </c>
      <c r="BW186" s="80" t="str">
        <f>IF(AND($F186&lt;&gt;"", $F186&gt;=BW$5-4, $F186&lt;=BW$5, COUNTIF($M186:BV186,"u")=0), "u", "")</f>
        <v/>
      </c>
      <c r="BX186" s="80" t="str">
        <f>IF(AND($F186&lt;&gt;"", $F186&gt;=BX$5-4, $F186&lt;=BX$5, COUNTIF($M186:BW186,"u")=0), "u", "")</f>
        <v/>
      </c>
      <c r="BY186" s="80" t="str">
        <f>IF(AND($F186&lt;&gt;"", $F186&gt;=BY$5-4, $F186&lt;=BY$5, COUNTIF($M186:BX186,"u")=0), "u", "")</f>
        <v/>
      </c>
      <c r="BZ186" s="80" t="str">
        <f>IF(AND($F186&lt;&gt;"", $F186&gt;=BZ$5-4, $F186&lt;=BZ$5, COUNTIF($M186:BY186,"u")=0), "u", "")</f>
        <v/>
      </c>
      <c r="CA186" s="80" t="str">
        <f>IF(AND($F186&lt;&gt;"", $F186&gt;=CA$5-4, $F186&lt;=CA$5, COUNTIF($M186:BZ186,"u")=0), "u", "")</f>
        <v/>
      </c>
      <c r="CB186" s="80" t="str">
        <f>IF(AND($F186&lt;&gt;"", $F186&gt;=CB$5-4, $F186&lt;=CB$5, COUNTIF($M186:CA186,"u")=0), "u", "")</f>
        <v/>
      </c>
      <c r="CC186" s="80" t="str">
        <f>IF(AND($F186&lt;&gt;"", $F186&gt;=CC$5-4, $F186&lt;=CC$5, COUNTIF($M186:CB186,"u")=0), "u", "")</f>
        <v/>
      </c>
      <c r="CD186" s="80" t="str">
        <f>IF(AND($F186&lt;&gt;"", $F186&gt;=CD$5-4, $F186&lt;=CD$5, COUNTIF($M186:CC186,"u")=0), "u", "")</f>
        <v/>
      </c>
      <c r="CE186" s="80" t="str">
        <f>IF(AND($F186&lt;&gt;"", $F186&gt;=CE$5-4, $F186&lt;=CE$5, COUNTIF($M186:CD186,"u")=0), "u", "")</f>
        <v/>
      </c>
      <c r="CF186" s="80" t="str">
        <f>IF(AND($F186&lt;&gt;"", $F186&gt;=CF$5-4, $F186&lt;=CF$5, COUNTIF($M186:CE186,"u")=0), "u", "")</f>
        <v/>
      </c>
      <c r="CG186" s="80" t="str">
        <f>IF(AND($F186&lt;&gt;"", $F186&gt;=CG$5-4, $F186&lt;=CG$5, COUNTIF($M186:CF186,"u")=0), "u", "")</f>
        <v/>
      </c>
      <c r="CH186" s="80" t="str">
        <f>IF(AND($F186&lt;&gt;"", $F186&gt;=CH$5-4, $F186&lt;=CH$5, COUNTIF($M186:CG186,"u")=0), "u", "")</f>
        <v/>
      </c>
      <c r="CI186" s="80" t="str">
        <f>IF(AND($F186&lt;&gt;"", $F186&gt;=CI$5-4, $F186&lt;=CI$5, COUNTIF($M186:CH186,"u")=0), "u", "")</f>
        <v/>
      </c>
      <c r="CJ186" s="80" t="str">
        <f>IF(AND($F186&lt;&gt;"", $F186&gt;=CJ$5-4, $F186&lt;=CJ$5, COUNTIF($M186:CI186,"u")=0), "u", "")</f>
        <v/>
      </c>
      <c r="CK186" s="80" t="str">
        <f>IF(AND($F186&lt;&gt;"", $F186&gt;=CK$5-4, $F186&lt;=CK$5, COUNTIF($M186:CJ186,"u")=0), "u", "")</f>
        <v/>
      </c>
      <c r="CL186" s="80" t="str">
        <f>IF(AND($F186&lt;&gt;"", $F186&gt;=CL$5-4, $F186&lt;=CL$5, COUNTIF($M186:CK186,"u")=0), "u", "")</f>
        <v/>
      </c>
      <c r="CM186" s="80" t="str">
        <f>IF(AND($F186&lt;&gt;"", $F186&gt;=CM$5-4, $F186&lt;=CM$5, COUNTIF($M186:CL186,"u")=0), "u", "")</f>
        <v/>
      </c>
      <c r="CN186" s="80" t="str">
        <f>IF(AND($F186&lt;&gt;"", $F186&gt;=CN$5-4, $F186&lt;=CN$5, COUNTIF($M186:CM186,"u")=0), "u", "")</f>
        <v/>
      </c>
      <c r="CO186" s="80" t="str">
        <f>IF(AND($F186&lt;&gt;"", $F186&gt;=CO$5-4, $F186&lt;=CO$5, COUNTIF($M186:CN186,"u")=0), "u", "")</f>
        <v/>
      </c>
      <c r="CP186" s="80" t="str">
        <f>IF(AND($F186&lt;&gt;"", $F186&gt;=CP$5-4, $F186&lt;=CP$5, COUNTIF($M186:CO186,"u")=0), "u", "")</f>
        <v/>
      </c>
      <c r="CQ186" s="80" t="str">
        <f>IF(AND($F186&lt;&gt;"", $F186&gt;=CQ$5-4, $F186&lt;=CQ$5, COUNTIF($M186:CP186,"u")=0), "u", "")</f>
        <v/>
      </c>
      <c r="CR186" s="80" t="str">
        <f>IF(AND($F186&lt;&gt;"", $F186&gt;=CR$5-4, $F186&lt;=CR$5, COUNTIF($M186:CQ186,"u")=0), "u", "")</f>
        <v/>
      </c>
      <c r="CS186" s="80" t="str">
        <f>IF(AND($F186&lt;&gt;"", $F186&gt;=CS$5-4, $F186&lt;=CS$5, COUNTIF($M186:CR186,"u")=0), "u", "")</f>
        <v/>
      </c>
      <c r="CT186" s="80" t="str">
        <f>IF(AND($F186&lt;&gt;"", $F186&gt;=CT$5-4, $F186&lt;=CT$5, COUNTIF($M186:CS186,"u")=0), "u", "")</f>
        <v/>
      </c>
      <c r="CU186" s="80" t="str">
        <f>IF(AND($F186&lt;&gt;"", $F186&gt;=CU$5-4, $F186&lt;=CU$5, COUNTIF($M186:CT186,"u")=0), "u", "")</f>
        <v/>
      </c>
      <c r="CV186" s="80" t="str">
        <f>IF(AND($F186&lt;&gt;"", $F186&gt;=CV$5-4, $F186&lt;=CV$5, COUNTIF($M186:CU186,"u")=0), "u", "")</f>
        <v/>
      </c>
      <c r="CW186" s="80" t="str">
        <f>IF(AND($F186&lt;&gt;"", $F186&gt;=CW$5-4, $F186&lt;=CW$5, COUNTIF($M186:CV186,"u")=0), "u", "")</f>
        <v/>
      </c>
      <c r="CX186" s="80" t="str">
        <f>IF(AND($F186&lt;&gt;"", $F186&gt;=CX$5-4, $F186&lt;=CX$5, COUNTIF($M186:CW186,"u")=0), "u", "")</f>
        <v/>
      </c>
      <c r="CY186" s="80" t="str">
        <f>IF(AND($F186&lt;&gt;"", $F186&gt;=CY$5-4, $F186&lt;=CY$5, COUNTIF($M186:CX186,"u")=0), "u", "")</f>
        <v/>
      </c>
      <c r="CZ186" s="80" t="str">
        <f>IF(AND($F186&lt;&gt;"", $F186&gt;=CZ$5-4, $F186&lt;=CZ$5, COUNTIF($M186:CY186,"u")=0), "u", "")</f>
        <v/>
      </c>
      <c r="DA186" s="80" t="str">
        <f>IF(AND($F186&lt;&gt;"", $F186&gt;=DA$5-4, $F186&lt;=DA$5, COUNTIF($M186:CZ186,"u")=0), "u", "")</f>
        <v/>
      </c>
      <c r="DB186" s="80" t="str">
        <f>IF(AND($F186&lt;&gt;"", $F186&gt;=DB$5-4, $F186&lt;=DB$5, COUNTIF($M186:DA186,"u")=0), "u", "")</f>
        <v/>
      </c>
      <c r="DC186" s="80" t="str">
        <f>IF(AND($F186&lt;&gt;"", $F186&gt;=DC$5-4, $F186&lt;=DC$5, COUNTIF($M186:DB186,"u")=0), "u", "")</f>
        <v/>
      </c>
      <c r="DD186" s="80" t="str">
        <f>IF(AND($F186&lt;&gt;"", $F186&gt;=DD$5-4, $F186&lt;=DD$5, COUNTIF($M186:DC186,"u")=0), "u", "")</f>
        <v/>
      </c>
      <c r="DE186" s="80" t="str">
        <f>IF(AND($F186&lt;&gt;"", $F186&gt;=DE$5-4, $F186&lt;=DE$5, COUNTIF($M186:DD186,"u")=0), "u", "")</f>
        <v/>
      </c>
      <c r="DF186" s="80" t="str">
        <f>IF(AND($F186&lt;&gt;"", $F186&gt;=DF$5-4, $F186&lt;=DF$5, COUNTIF($M186:DE186,"u")=0), "u", "")</f>
        <v/>
      </c>
      <c r="DG186" s="80" t="str">
        <f>IF(AND($F186&lt;&gt;"", $F186&gt;=DG$5-4, $F186&lt;=DG$5, COUNTIF($M186:DF186,"u")=0), "u", "")</f>
        <v/>
      </c>
      <c r="DH186" s="80" t="str">
        <f>IF(AND($F186&lt;&gt;"", $F186&gt;=DH$5-4, $F186&lt;=DH$5, COUNTIF($M186:DG186,"u")=0), "u", "")</f>
        <v/>
      </c>
      <c r="DI186" s="80" t="str">
        <f>IF(AND($F186&lt;&gt;"", $F186&gt;=DI$5-4, $F186&lt;=DI$5, COUNTIF($M186:DH186,"u")=0), "u", "")</f>
        <v/>
      </c>
      <c r="DJ186" s="80" t="str">
        <f>IF(AND($F186&lt;&gt;"", $F186&gt;=DJ$5-4, $F186&lt;=DJ$5, COUNTIF($M186:DI186,"u")=0), "u", "")</f>
        <v/>
      </c>
      <c r="DK186" s="80" t="str">
        <f>IF(AND($F186&lt;&gt;"", $F186&gt;=DK$5-4, $F186&lt;=DK$5, COUNTIF($M186:DJ186,"u")=0), "u", "")</f>
        <v/>
      </c>
      <c r="DL186" s="80" t="str">
        <f>IF(AND($F186&lt;&gt;"", $F186&gt;=DL$5-4, $F186&lt;=DL$5, COUNTIF($M186:DK186,"u")=0), "u", "")</f>
        <v/>
      </c>
    </row>
    <row r="187" spans="1:116" ht="25.05" customHeight="1" x14ac:dyDescent="0.3">
      <c r="A187" s="39"/>
      <c r="B187" s="75">
        <v>182</v>
      </c>
      <c r="C187" s="97"/>
      <c r="D187" s="92"/>
      <c r="E187" s="53"/>
      <c r="F187" s="53"/>
      <c r="G187" s="83" t="str">
        <f t="shared" si="53"/>
        <v/>
      </c>
      <c r="H187" s="83" t="str">
        <f t="shared" si="53"/>
        <v/>
      </c>
      <c r="I187" s="77" t="str">
        <f t="shared" si="51"/>
        <v/>
      </c>
      <c r="J187" s="78"/>
      <c r="K187" s="86"/>
      <c r="L187" s="56"/>
      <c r="M187" s="80" t="str">
        <f t="shared" si="52"/>
        <v/>
      </c>
      <c r="N187" s="80" t="str">
        <f>IF(AND($F187&lt;&gt;"", $F187&gt;=N$5-4, $F187&lt;=N$5, COUNTIF($M187:M187,"u")=0), "u", "")</f>
        <v/>
      </c>
      <c r="O187" s="80" t="str">
        <f>IF(AND($F187&lt;&gt;"", $F187&gt;=O$5-4, $F187&lt;=O$5, COUNTIF($M187:N187,"u")=0), "u", "")</f>
        <v/>
      </c>
      <c r="P187" s="80" t="str">
        <f>IF(AND($F187&lt;&gt;"", $F187&gt;=P$5-4, $F187&lt;=P$5, COUNTIF($M187:O187,"u")=0), "u", "")</f>
        <v/>
      </c>
      <c r="Q187" s="80" t="str">
        <f>IF(AND($F187&lt;&gt;"", $F187&gt;=Q$5-4, $F187&lt;=Q$5, COUNTIF($M187:P187,"u")=0), "u", "")</f>
        <v/>
      </c>
      <c r="R187" s="80" t="str">
        <f>IF(AND($F187&lt;&gt;"", $F187&gt;=R$5-4, $F187&lt;=R$5, COUNTIF($M187:Q187,"u")=0), "u", "")</f>
        <v/>
      </c>
      <c r="S187" s="80" t="str">
        <f>IF(AND($F187&lt;&gt;"", $F187&gt;=S$5-4, $F187&lt;=S$5, COUNTIF($M187:R187,"u")=0), "u", "")</f>
        <v/>
      </c>
      <c r="T187" s="80" t="str">
        <f>IF(AND($F187&lt;&gt;"", $F187&gt;=T$5-4, $F187&lt;=T$5, COUNTIF($M187:S187,"u")=0), "u", "")</f>
        <v/>
      </c>
      <c r="U187" s="80" t="str">
        <f>IF(AND($F187&lt;&gt;"", $F187&gt;=U$5-4, $F187&lt;=U$5, COUNTIF($M187:T187,"u")=0), "u", "")</f>
        <v/>
      </c>
      <c r="V187" s="80" t="str">
        <f>IF(AND($F187&lt;&gt;"", $F187&gt;=V$5-4, $F187&lt;=V$5, COUNTIF($M187:U187,"u")=0), "u", "")</f>
        <v/>
      </c>
      <c r="W187" s="80" t="str">
        <f>IF(AND($F187&lt;&gt;"", $F187&gt;=W$5-4, $F187&lt;=W$5, COUNTIF($M187:V187,"u")=0), "u", "")</f>
        <v/>
      </c>
      <c r="X187" s="80" t="str">
        <f>IF(AND($F187&lt;&gt;"", $F187&gt;=X$5-4, $F187&lt;=X$5, COUNTIF($M187:W187,"u")=0), "u", "")</f>
        <v/>
      </c>
      <c r="Y187" s="80" t="str">
        <f>IF(AND($F187&lt;&gt;"", $F187&gt;=Y$5-4, $F187&lt;=Y$5, COUNTIF($M187:X187,"u")=0), "u", "")</f>
        <v/>
      </c>
      <c r="Z187" s="80" t="str">
        <f>IF(AND($F187&lt;&gt;"", $F187&gt;=Z$5-4, $F187&lt;=Z$5, COUNTIF($M187:Y187,"u")=0), "u", "")</f>
        <v/>
      </c>
      <c r="AA187" s="80" t="str">
        <f>IF(AND($F187&lt;&gt;"", $F187&gt;=AA$5-4, $F187&lt;=AA$5, COUNTIF($M187:Z187,"u")=0), "u", "")</f>
        <v/>
      </c>
      <c r="AB187" s="80" t="str">
        <f>IF(AND($F187&lt;&gt;"", $F187&gt;=AB$5-4, $F187&lt;=AB$5, COUNTIF($M187:AA187,"u")=0), "u", "")</f>
        <v/>
      </c>
      <c r="AC187" s="80" t="str">
        <f>IF(AND($F187&lt;&gt;"", $F187&gt;=AC$5-4, $F187&lt;=AC$5, COUNTIF($M187:AB187,"u")=0), "u", "")</f>
        <v/>
      </c>
      <c r="AD187" s="80" t="str">
        <f>IF(AND($F187&lt;&gt;"", $F187&gt;=AD$5-4, $F187&lt;=AD$5, COUNTIF($M187:AC187,"u")=0), "u", "")</f>
        <v/>
      </c>
      <c r="AE187" s="80" t="str">
        <f>IF(AND($F187&lt;&gt;"", $F187&gt;=AE$5-4, $F187&lt;=AE$5, COUNTIF($M187:AD187,"u")=0), "u", "")</f>
        <v/>
      </c>
      <c r="AF187" s="80" t="str">
        <f>IF(AND($F187&lt;&gt;"", $F187&gt;=AF$5-4, $F187&lt;=AF$5, COUNTIF($M187:AE187,"u")=0), "u", "")</f>
        <v/>
      </c>
      <c r="AG187" s="80" t="str">
        <f>IF(AND($F187&lt;&gt;"", $F187&gt;=AG$5-4, $F187&lt;=AG$5, COUNTIF($M187:AF187,"u")=0), "u", "")</f>
        <v/>
      </c>
      <c r="AH187" s="80" t="str">
        <f>IF(AND($F187&lt;&gt;"", $F187&gt;=AH$5-4, $F187&lt;=AH$5, COUNTIF($M187:AG187,"u")=0), "u", "")</f>
        <v/>
      </c>
      <c r="AI187" s="80" t="str">
        <f>IF(AND($F187&lt;&gt;"", $F187&gt;=AI$5-4, $F187&lt;=AI$5, COUNTIF($M187:AH187,"u")=0), "u", "")</f>
        <v/>
      </c>
      <c r="AJ187" s="80" t="str">
        <f>IF(AND($F187&lt;&gt;"", $F187&gt;=AJ$5-4, $F187&lt;=AJ$5, COUNTIF($M187:AI187,"u")=0), "u", "")</f>
        <v/>
      </c>
      <c r="AK187" s="80" t="str">
        <f>IF(AND($F187&lt;&gt;"", $F187&gt;=AK$5-4, $F187&lt;=AK$5, COUNTIF($M187:AJ187,"u")=0), "u", "")</f>
        <v/>
      </c>
      <c r="AL187" s="80" t="str">
        <f>IF(AND($F187&lt;&gt;"", $F187&gt;=AL$5-4, $F187&lt;=AL$5, COUNTIF($M187:AK187,"u")=0), "u", "")</f>
        <v/>
      </c>
      <c r="AM187" s="80" t="str">
        <f>IF(AND($F187&lt;&gt;"", $F187&gt;=AM$5-4, $F187&lt;=AM$5, COUNTIF($M187:AL187,"u")=0), "u", "")</f>
        <v/>
      </c>
      <c r="AN187" s="80" t="str">
        <f>IF(AND($F187&lt;&gt;"", $F187&gt;=AN$5-4, $F187&lt;=AN$5, COUNTIF($M187:AM187,"u")=0), "u", "")</f>
        <v/>
      </c>
      <c r="AO187" s="80" t="str">
        <f>IF(AND($F187&lt;&gt;"", $F187&gt;=AO$5-4, $F187&lt;=AO$5, COUNTIF($M187:AN187,"u")=0), "u", "")</f>
        <v/>
      </c>
      <c r="AP187" s="80" t="str">
        <f>IF(AND($F187&lt;&gt;"", $F187&gt;=AP$5-4, $F187&lt;=AP$5, COUNTIF($M187:AO187,"u")=0), "u", "")</f>
        <v/>
      </c>
      <c r="AQ187" s="80" t="str">
        <f>IF(AND($F187&lt;&gt;"", $F187&gt;=AQ$5-4, $F187&lt;=AQ$5, COUNTIF($M187:AP187,"u")=0), "u", "")</f>
        <v/>
      </c>
      <c r="AR187" s="80" t="str">
        <f>IF(AND($F187&lt;&gt;"", $F187&gt;=AR$5-4, $F187&lt;=AR$5, COUNTIF($M187:AQ187,"u")=0), "u", "")</f>
        <v/>
      </c>
      <c r="AS187" s="80" t="str">
        <f>IF(AND($F187&lt;&gt;"", $F187&gt;=AS$5-4, $F187&lt;=AS$5, COUNTIF($M187:AR187,"u")=0), "u", "")</f>
        <v/>
      </c>
      <c r="AT187" s="80" t="str">
        <f>IF(AND($F187&lt;&gt;"", $F187&gt;=AT$5-4, $F187&lt;=AT$5, COUNTIF($M187:AS187,"u")=0), "u", "")</f>
        <v/>
      </c>
      <c r="AU187" s="80" t="str">
        <f>IF(AND($F187&lt;&gt;"", $F187&gt;=AU$5-4, $F187&lt;=AU$5, COUNTIF($M187:AT187,"u")=0), "u", "")</f>
        <v/>
      </c>
      <c r="AV187" s="80" t="str">
        <f>IF(AND($F187&lt;&gt;"", $F187&gt;=AV$5-4, $F187&lt;=AV$5, COUNTIF($M187:AU187,"u")=0), "u", "")</f>
        <v/>
      </c>
      <c r="AW187" s="80" t="str">
        <f>IF(AND($F187&lt;&gt;"", $F187&gt;=AW$5-4, $F187&lt;=AW$5, COUNTIF($M187:AV187,"u")=0), "u", "")</f>
        <v/>
      </c>
      <c r="AX187" s="80" t="str">
        <f>IF(AND($F187&lt;&gt;"", $F187&gt;=AX$5-4, $F187&lt;=AX$5, COUNTIF($M187:AW187,"u")=0), "u", "")</f>
        <v/>
      </c>
      <c r="AY187" s="80" t="str">
        <f>IF(AND($F187&lt;&gt;"", $F187&gt;=AY$5-4, $F187&lt;=AY$5, COUNTIF($M187:AX187,"u")=0), "u", "")</f>
        <v/>
      </c>
      <c r="AZ187" s="80" t="str">
        <f>IF(AND($F187&lt;&gt;"", $F187&gt;=AZ$5-4, $F187&lt;=AZ$5, COUNTIF($M187:AY187,"u")=0), "u", "")</f>
        <v/>
      </c>
      <c r="BA187" s="80" t="str">
        <f>IF(AND($F187&lt;&gt;"", $F187&gt;=BA$5-4, $F187&lt;=BA$5, COUNTIF($M187:AZ187,"u")=0), "u", "")</f>
        <v/>
      </c>
      <c r="BB187" s="80" t="str">
        <f>IF(AND($F187&lt;&gt;"", $F187&gt;=BB$5-4, $F187&lt;=BB$5, COUNTIF($M187:BA187,"u")=0), "u", "")</f>
        <v/>
      </c>
      <c r="BC187" s="80" t="str">
        <f>IF(AND($F187&lt;&gt;"", $F187&gt;=BC$5-4, $F187&lt;=BC$5, COUNTIF($M187:BB187,"u")=0), "u", "")</f>
        <v/>
      </c>
      <c r="BD187" s="80" t="str">
        <f>IF(AND($F187&lt;&gt;"", $F187&gt;=BD$5-4, $F187&lt;=BD$5, COUNTIF($M187:BC187,"u")=0), "u", "")</f>
        <v/>
      </c>
      <c r="BE187" s="80" t="str">
        <f>IF(AND($F187&lt;&gt;"", $F187&gt;=BE$5-4, $F187&lt;=BE$5, COUNTIF($M187:BD187,"u")=0), "u", "")</f>
        <v/>
      </c>
      <c r="BF187" s="80" t="str">
        <f>IF(AND($F187&lt;&gt;"", $F187&gt;=BF$5-4, $F187&lt;=BF$5, COUNTIF($M187:BE187,"u")=0), "u", "")</f>
        <v/>
      </c>
      <c r="BG187" s="80" t="str">
        <f>IF(AND($F187&lt;&gt;"", $F187&gt;=BG$5-4, $F187&lt;=BG$5, COUNTIF($M187:BF187,"u")=0), "u", "")</f>
        <v/>
      </c>
      <c r="BH187" s="80" t="str">
        <f>IF(AND($F187&lt;&gt;"", $F187&gt;=BH$5-4, $F187&lt;=BH$5, COUNTIF($M187:BG187,"u")=0), "u", "")</f>
        <v/>
      </c>
      <c r="BI187" s="80" t="str">
        <f>IF(AND($F187&lt;&gt;"", $F187&gt;=BI$5-4, $F187&lt;=BI$5, COUNTIF($M187:BH187,"u")=0), "u", "")</f>
        <v/>
      </c>
      <c r="BJ187" s="80" t="str">
        <f>IF(AND($F187&lt;&gt;"", $F187&gt;=BJ$5-4, $F187&lt;=BJ$5, COUNTIF($M187:BI187,"u")=0), "u", "")</f>
        <v/>
      </c>
      <c r="BK187" s="80" t="str">
        <f>IF(AND($F187&lt;&gt;"", $F187&gt;=BK$5-4, $F187&lt;=BK$5, COUNTIF($M187:BJ187,"u")=0), "u", "")</f>
        <v/>
      </c>
      <c r="BL187" s="80" t="str">
        <f>IF(AND($F187&lt;&gt;"", $F187&gt;=BL$5-4, $F187&lt;=BL$5, COUNTIF($M187:BK187,"u")=0), "u", "")</f>
        <v/>
      </c>
      <c r="BM187" s="80" t="str">
        <f>IF(AND($F187&lt;&gt;"", $F187&gt;=BM$5-4, $F187&lt;=BM$5, COUNTIF($M187:BL187,"u")=0), "u", "")</f>
        <v/>
      </c>
      <c r="BN187" s="80" t="str">
        <f>IF(AND($F187&lt;&gt;"", $F187&gt;=BN$5-4, $F187&lt;=BN$5, COUNTIF($M187:BM187,"u")=0), "u", "")</f>
        <v/>
      </c>
      <c r="BO187" s="80" t="str">
        <f>IF(AND($F187&lt;&gt;"", $F187&gt;=BO$5-4, $F187&lt;=BO$5, COUNTIF($M187:BN187,"u")=0), "u", "")</f>
        <v/>
      </c>
      <c r="BP187" s="80" t="str">
        <f>IF(AND($F187&lt;&gt;"", $F187&gt;=BP$5-4, $F187&lt;=BP$5, COUNTIF($M187:BO187,"u")=0), "u", "")</f>
        <v/>
      </c>
      <c r="BQ187" s="80" t="str">
        <f>IF(AND($F187&lt;&gt;"", $F187&gt;=BQ$5-4, $F187&lt;=BQ$5, COUNTIF($M187:BP187,"u")=0), "u", "")</f>
        <v/>
      </c>
      <c r="BR187" s="80" t="str">
        <f>IF(AND($F187&lt;&gt;"", $F187&gt;=BR$5-4, $F187&lt;=BR$5, COUNTIF($M187:BQ187,"u")=0), "u", "")</f>
        <v/>
      </c>
      <c r="BS187" s="80" t="str">
        <f>IF(AND($F187&lt;&gt;"", $F187&gt;=BS$5-4, $F187&lt;=BS$5, COUNTIF($M187:BR187,"u")=0), "u", "")</f>
        <v/>
      </c>
      <c r="BT187" s="80" t="str">
        <f>IF(AND($F187&lt;&gt;"", $F187&gt;=BT$5-4, $F187&lt;=BT$5, COUNTIF($M187:BS187,"u")=0), "u", "")</f>
        <v/>
      </c>
      <c r="BU187" s="80" t="str">
        <f>IF(AND($F187&lt;&gt;"", $F187&gt;=BU$5-4, $F187&lt;=BU$5, COUNTIF($M187:BT187,"u")=0), "u", "")</f>
        <v/>
      </c>
      <c r="BV187" s="80" t="str">
        <f>IF(AND($F187&lt;&gt;"", $F187&gt;=BV$5-4, $F187&lt;=BV$5, COUNTIF($M187:BU187,"u")=0), "u", "")</f>
        <v/>
      </c>
      <c r="BW187" s="80" t="str">
        <f>IF(AND($F187&lt;&gt;"", $F187&gt;=BW$5-4, $F187&lt;=BW$5, COUNTIF($M187:BV187,"u")=0), "u", "")</f>
        <v/>
      </c>
      <c r="BX187" s="80" t="str">
        <f>IF(AND($F187&lt;&gt;"", $F187&gt;=BX$5-4, $F187&lt;=BX$5, COUNTIF($M187:BW187,"u")=0), "u", "")</f>
        <v/>
      </c>
      <c r="BY187" s="80" t="str">
        <f>IF(AND($F187&lt;&gt;"", $F187&gt;=BY$5-4, $F187&lt;=BY$5, COUNTIF($M187:BX187,"u")=0), "u", "")</f>
        <v/>
      </c>
      <c r="BZ187" s="80" t="str">
        <f>IF(AND($F187&lt;&gt;"", $F187&gt;=BZ$5-4, $F187&lt;=BZ$5, COUNTIF($M187:BY187,"u")=0), "u", "")</f>
        <v/>
      </c>
      <c r="CA187" s="80" t="str">
        <f>IF(AND($F187&lt;&gt;"", $F187&gt;=CA$5-4, $F187&lt;=CA$5, COUNTIF($M187:BZ187,"u")=0), "u", "")</f>
        <v/>
      </c>
      <c r="CB187" s="80" t="str">
        <f>IF(AND($F187&lt;&gt;"", $F187&gt;=CB$5-4, $F187&lt;=CB$5, COUNTIF($M187:CA187,"u")=0), "u", "")</f>
        <v/>
      </c>
      <c r="CC187" s="80" t="str">
        <f>IF(AND($F187&lt;&gt;"", $F187&gt;=CC$5-4, $F187&lt;=CC$5, COUNTIF($M187:CB187,"u")=0), "u", "")</f>
        <v/>
      </c>
      <c r="CD187" s="80" t="str">
        <f>IF(AND($F187&lt;&gt;"", $F187&gt;=CD$5-4, $F187&lt;=CD$5, COUNTIF($M187:CC187,"u")=0), "u", "")</f>
        <v/>
      </c>
      <c r="CE187" s="80" t="str">
        <f>IF(AND($F187&lt;&gt;"", $F187&gt;=CE$5-4, $F187&lt;=CE$5, COUNTIF($M187:CD187,"u")=0), "u", "")</f>
        <v/>
      </c>
      <c r="CF187" s="80" t="str">
        <f>IF(AND($F187&lt;&gt;"", $F187&gt;=CF$5-4, $F187&lt;=CF$5, COUNTIF($M187:CE187,"u")=0), "u", "")</f>
        <v/>
      </c>
      <c r="CG187" s="80" t="str">
        <f>IF(AND($F187&lt;&gt;"", $F187&gt;=CG$5-4, $F187&lt;=CG$5, COUNTIF($M187:CF187,"u")=0), "u", "")</f>
        <v/>
      </c>
      <c r="CH187" s="80" t="str">
        <f>IF(AND($F187&lt;&gt;"", $F187&gt;=CH$5-4, $F187&lt;=CH$5, COUNTIF($M187:CG187,"u")=0), "u", "")</f>
        <v/>
      </c>
      <c r="CI187" s="80" t="str">
        <f>IF(AND($F187&lt;&gt;"", $F187&gt;=CI$5-4, $F187&lt;=CI$5, COUNTIF($M187:CH187,"u")=0), "u", "")</f>
        <v/>
      </c>
      <c r="CJ187" s="80" t="str">
        <f>IF(AND($F187&lt;&gt;"", $F187&gt;=CJ$5-4, $F187&lt;=CJ$5, COUNTIF($M187:CI187,"u")=0), "u", "")</f>
        <v/>
      </c>
      <c r="CK187" s="80" t="str">
        <f>IF(AND($F187&lt;&gt;"", $F187&gt;=CK$5-4, $F187&lt;=CK$5, COUNTIF($M187:CJ187,"u")=0), "u", "")</f>
        <v/>
      </c>
      <c r="CL187" s="80" t="str">
        <f>IF(AND($F187&lt;&gt;"", $F187&gt;=CL$5-4, $F187&lt;=CL$5, COUNTIF($M187:CK187,"u")=0), "u", "")</f>
        <v/>
      </c>
      <c r="CM187" s="80" t="str">
        <f>IF(AND($F187&lt;&gt;"", $F187&gt;=CM$5-4, $F187&lt;=CM$5, COUNTIF($M187:CL187,"u")=0), "u", "")</f>
        <v/>
      </c>
      <c r="CN187" s="80" t="str">
        <f>IF(AND($F187&lt;&gt;"", $F187&gt;=CN$5-4, $F187&lt;=CN$5, COUNTIF($M187:CM187,"u")=0), "u", "")</f>
        <v/>
      </c>
      <c r="CO187" s="80" t="str">
        <f>IF(AND($F187&lt;&gt;"", $F187&gt;=CO$5-4, $F187&lt;=CO$5, COUNTIF($M187:CN187,"u")=0), "u", "")</f>
        <v/>
      </c>
      <c r="CP187" s="80" t="str">
        <f>IF(AND($F187&lt;&gt;"", $F187&gt;=CP$5-4, $F187&lt;=CP$5, COUNTIF($M187:CO187,"u")=0), "u", "")</f>
        <v/>
      </c>
      <c r="CQ187" s="80" t="str">
        <f>IF(AND($F187&lt;&gt;"", $F187&gt;=CQ$5-4, $F187&lt;=CQ$5, COUNTIF($M187:CP187,"u")=0), "u", "")</f>
        <v/>
      </c>
      <c r="CR187" s="80" t="str">
        <f>IF(AND($F187&lt;&gt;"", $F187&gt;=CR$5-4, $F187&lt;=CR$5, COUNTIF($M187:CQ187,"u")=0), "u", "")</f>
        <v/>
      </c>
      <c r="CS187" s="80" t="str">
        <f>IF(AND($F187&lt;&gt;"", $F187&gt;=CS$5-4, $F187&lt;=CS$5, COUNTIF($M187:CR187,"u")=0), "u", "")</f>
        <v/>
      </c>
      <c r="CT187" s="80" t="str">
        <f>IF(AND($F187&lt;&gt;"", $F187&gt;=CT$5-4, $F187&lt;=CT$5, COUNTIF($M187:CS187,"u")=0), "u", "")</f>
        <v/>
      </c>
      <c r="CU187" s="80" t="str">
        <f>IF(AND($F187&lt;&gt;"", $F187&gt;=CU$5-4, $F187&lt;=CU$5, COUNTIF($M187:CT187,"u")=0), "u", "")</f>
        <v/>
      </c>
      <c r="CV187" s="80" t="str">
        <f>IF(AND($F187&lt;&gt;"", $F187&gt;=CV$5-4, $F187&lt;=CV$5, COUNTIF($M187:CU187,"u")=0), "u", "")</f>
        <v/>
      </c>
      <c r="CW187" s="80" t="str">
        <f>IF(AND($F187&lt;&gt;"", $F187&gt;=CW$5-4, $F187&lt;=CW$5, COUNTIF($M187:CV187,"u")=0), "u", "")</f>
        <v/>
      </c>
      <c r="CX187" s="80" t="str">
        <f>IF(AND($F187&lt;&gt;"", $F187&gt;=CX$5-4, $F187&lt;=CX$5, COUNTIF($M187:CW187,"u")=0), "u", "")</f>
        <v/>
      </c>
      <c r="CY187" s="80" t="str">
        <f>IF(AND($F187&lt;&gt;"", $F187&gt;=CY$5-4, $F187&lt;=CY$5, COUNTIF($M187:CX187,"u")=0), "u", "")</f>
        <v/>
      </c>
      <c r="CZ187" s="80" t="str">
        <f>IF(AND($F187&lt;&gt;"", $F187&gt;=CZ$5-4, $F187&lt;=CZ$5, COUNTIF($M187:CY187,"u")=0), "u", "")</f>
        <v/>
      </c>
      <c r="DA187" s="80" t="str">
        <f>IF(AND($F187&lt;&gt;"", $F187&gt;=DA$5-4, $F187&lt;=DA$5, COUNTIF($M187:CZ187,"u")=0), "u", "")</f>
        <v/>
      </c>
      <c r="DB187" s="80" t="str">
        <f>IF(AND($F187&lt;&gt;"", $F187&gt;=DB$5-4, $F187&lt;=DB$5, COUNTIF($M187:DA187,"u")=0), "u", "")</f>
        <v/>
      </c>
      <c r="DC187" s="80" t="str">
        <f>IF(AND($F187&lt;&gt;"", $F187&gt;=DC$5-4, $F187&lt;=DC$5, COUNTIF($M187:DB187,"u")=0), "u", "")</f>
        <v/>
      </c>
      <c r="DD187" s="80" t="str">
        <f>IF(AND($F187&lt;&gt;"", $F187&gt;=DD$5-4, $F187&lt;=DD$5, COUNTIF($M187:DC187,"u")=0), "u", "")</f>
        <v/>
      </c>
      <c r="DE187" s="80" t="str">
        <f>IF(AND($F187&lt;&gt;"", $F187&gt;=DE$5-4, $F187&lt;=DE$5, COUNTIF($M187:DD187,"u")=0), "u", "")</f>
        <v/>
      </c>
      <c r="DF187" s="80" t="str">
        <f>IF(AND($F187&lt;&gt;"", $F187&gt;=DF$5-4, $F187&lt;=DF$5, COUNTIF($M187:DE187,"u")=0), "u", "")</f>
        <v/>
      </c>
      <c r="DG187" s="80" t="str">
        <f>IF(AND($F187&lt;&gt;"", $F187&gt;=DG$5-4, $F187&lt;=DG$5, COUNTIF($M187:DF187,"u")=0), "u", "")</f>
        <v/>
      </c>
      <c r="DH187" s="80" t="str">
        <f>IF(AND($F187&lt;&gt;"", $F187&gt;=DH$5-4, $F187&lt;=DH$5, COUNTIF($M187:DG187,"u")=0), "u", "")</f>
        <v/>
      </c>
      <c r="DI187" s="80" t="str">
        <f>IF(AND($F187&lt;&gt;"", $F187&gt;=DI$5-4, $F187&lt;=DI$5, COUNTIF($M187:DH187,"u")=0), "u", "")</f>
        <v/>
      </c>
      <c r="DJ187" s="80" t="str">
        <f>IF(AND($F187&lt;&gt;"", $F187&gt;=DJ$5-4, $F187&lt;=DJ$5, COUNTIF($M187:DI187,"u")=0), "u", "")</f>
        <v/>
      </c>
      <c r="DK187" s="80" t="str">
        <f>IF(AND($F187&lt;&gt;"", $F187&gt;=DK$5-4, $F187&lt;=DK$5, COUNTIF($M187:DJ187,"u")=0), "u", "")</f>
        <v/>
      </c>
      <c r="DL187" s="80" t="str">
        <f>IF(AND($F187&lt;&gt;"", $F187&gt;=DL$5-4, $F187&lt;=DL$5, COUNTIF($M187:DK187,"u")=0), "u", "")</f>
        <v/>
      </c>
    </row>
    <row r="188" spans="1:116" ht="25.05" customHeight="1" x14ac:dyDescent="0.3">
      <c r="A188" s="39"/>
      <c r="B188" s="75">
        <v>183</v>
      </c>
      <c r="C188" s="97"/>
      <c r="D188" s="92"/>
      <c r="E188" s="53"/>
      <c r="F188" s="53"/>
      <c r="G188" s="83" t="str">
        <f t="shared" si="53"/>
        <v/>
      </c>
      <c r="H188" s="83" t="str">
        <f t="shared" si="53"/>
        <v/>
      </c>
      <c r="I188" s="77" t="str">
        <f t="shared" si="51"/>
        <v/>
      </c>
      <c r="J188" s="78"/>
      <c r="K188" s="86"/>
      <c r="L188" s="56"/>
      <c r="M188" s="80" t="str">
        <f t="shared" si="52"/>
        <v/>
      </c>
      <c r="N188" s="80" t="str">
        <f>IF(AND($F188&lt;&gt;"", $F188&gt;=N$5-4, $F188&lt;=N$5, COUNTIF($M188:M188,"u")=0), "u", "")</f>
        <v/>
      </c>
      <c r="O188" s="80" t="str">
        <f>IF(AND($F188&lt;&gt;"", $F188&gt;=O$5-4, $F188&lt;=O$5, COUNTIF($M188:N188,"u")=0), "u", "")</f>
        <v/>
      </c>
      <c r="P188" s="80" t="str">
        <f>IF(AND($F188&lt;&gt;"", $F188&gt;=P$5-4, $F188&lt;=P$5, COUNTIF($M188:O188,"u")=0), "u", "")</f>
        <v/>
      </c>
      <c r="Q188" s="80" t="str">
        <f>IF(AND($F188&lt;&gt;"", $F188&gt;=Q$5-4, $F188&lt;=Q$5, COUNTIF($M188:P188,"u")=0), "u", "")</f>
        <v/>
      </c>
      <c r="R188" s="80" t="str">
        <f>IF(AND($F188&lt;&gt;"", $F188&gt;=R$5-4, $F188&lt;=R$5, COUNTIF($M188:Q188,"u")=0), "u", "")</f>
        <v/>
      </c>
      <c r="S188" s="80" t="str">
        <f>IF(AND($F188&lt;&gt;"", $F188&gt;=S$5-4, $F188&lt;=S$5, COUNTIF($M188:R188,"u")=0), "u", "")</f>
        <v/>
      </c>
      <c r="T188" s="80" t="str">
        <f>IF(AND($F188&lt;&gt;"", $F188&gt;=T$5-4, $F188&lt;=T$5, COUNTIF($M188:S188,"u")=0), "u", "")</f>
        <v/>
      </c>
      <c r="U188" s="80" t="str">
        <f>IF(AND($F188&lt;&gt;"", $F188&gt;=U$5-4, $F188&lt;=U$5, COUNTIF($M188:T188,"u")=0), "u", "")</f>
        <v/>
      </c>
      <c r="V188" s="80" t="str">
        <f>IF(AND($F188&lt;&gt;"", $F188&gt;=V$5-4, $F188&lt;=V$5, COUNTIF($M188:U188,"u")=0), "u", "")</f>
        <v/>
      </c>
      <c r="W188" s="80" t="str">
        <f>IF(AND($F188&lt;&gt;"", $F188&gt;=W$5-4, $F188&lt;=W$5, COUNTIF($M188:V188,"u")=0), "u", "")</f>
        <v/>
      </c>
      <c r="X188" s="80" t="str">
        <f>IF(AND($F188&lt;&gt;"", $F188&gt;=X$5-4, $F188&lt;=X$5, COUNTIF($M188:W188,"u")=0), "u", "")</f>
        <v/>
      </c>
      <c r="Y188" s="80" t="str">
        <f>IF(AND($F188&lt;&gt;"", $F188&gt;=Y$5-4, $F188&lt;=Y$5, COUNTIF($M188:X188,"u")=0), "u", "")</f>
        <v/>
      </c>
      <c r="Z188" s="80" t="str">
        <f>IF(AND($F188&lt;&gt;"", $F188&gt;=Z$5-4, $F188&lt;=Z$5, COUNTIF($M188:Y188,"u")=0), "u", "")</f>
        <v/>
      </c>
      <c r="AA188" s="80" t="str">
        <f>IF(AND($F188&lt;&gt;"", $F188&gt;=AA$5-4, $F188&lt;=AA$5, COUNTIF($M188:Z188,"u")=0), "u", "")</f>
        <v/>
      </c>
      <c r="AB188" s="80" t="str">
        <f>IF(AND($F188&lt;&gt;"", $F188&gt;=AB$5-4, $F188&lt;=AB$5, COUNTIF($M188:AA188,"u")=0), "u", "")</f>
        <v/>
      </c>
      <c r="AC188" s="80" t="str">
        <f>IF(AND($F188&lt;&gt;"", $F188&gt;=AC$5-4, $F188&lt;=AC$5, COUNTIF($M188:AB188,"u")=0), "u", "")</f>
        <v/>
      </c>
      <c r="AD188" s="80" t="str">
        <f>IF(AND($F188&lt;&gt;"", $F188&gt;=AD$5-4, $F188&lt;=AD$5, COUNTIF($M188:AC188,"u")=0), "u", "")</f>
        <v/>
      </c>
      <c r="AE188" s="80" t="str">
        <f>IF(AND($F188&lt;&gt;"", $F188&gt;=AE$5-4, $F188&lt;=AE$5, COUNTIF($M188:AD188,"u")=0), "u", "")</f>
        <v/>
      </c>
      <c r="AF188" s="80" t="str">
        <f>IF(AND($F188&lt;&gt;"", $F188&gt;=AF$5-4, $F188&lt;=AF$5, COUNTIF($M188:AE188,"u")=0), "u", "")</f>
        <v/>
      </c>
      <c r="AG188" s="80" t="str">
        <f>IF(AND($F188&lt;&gt;"", $F188&gt;=AG$5-4, $F188&lt;=AG$5, COUNTIF($M188:AF188,"u")=0), "u", "")</f>
        <v/>
      </c>
      <c r="AH188" s="80" t="str">
        <f>IF(AND($F188&lt;&gt;"", $F188&gt;=AH$5-4, $F188&lt;=AH$5, COUNTIF($M188:AG188,"u")=0), "u", "")</f>
        <v/>
      </c>
      <c r="AI188" s="80" t="str">
        <f>IF(AND($F188&lt;&gt;"", $F188&gt;=AI$5-4, $F188&lt;=AI$5, COUNTIF($M188:AH188,"u")=0), "u", "")</f>
        <v/>
      </c>
      <c r="AJ188" s="80" t="str">
        <f>IF(AND($F188&lt;&gt;"", $F188&gt;=AJ$5-4, $F188&lt;=AJ$5, COUNTIF($M188:AI188,"u")=0), "u", "")</f>
        <v/>
      </c>
      <c r="AK188" s="80" t="str">
        <f>IF(AND($F188&lt;&gt;"", $F188&gt;=AK$5-4, $F188&lt;=AK$5, COUNTIF($M188:AJ188,"u")=0), "u", "")</f>
        <v/>
      </c>
      <c r="AL188" s="80" t="str">
        <f>IF(AND($F188&lt;&gt;"", $F188&gt;=AL$5-4, $F188&lt;=AL$5, COUNTIF($M188:AK188,"u")=0), "u", "")</f>
        <v/>
      </c>
      <c r="AM188" s="80" t="str">
        <f>IF(AND($F188&lt;&gt;"", $F188&gt;=AM$5-4, $F188&lt;=AM$5, COUNTIF($M188:AL188,"u")=0), "u", "")</f>
        <v/>
      </c>
      <c r="AN188" s="80" t="str">
        <f>IF(AND($F188&lt;&gt;"", $F188&gt;=AN$5-4, $F188&lt;=AN$5, COUNTIF($M188:AM188,"u")=0), "u", "")</f>
        <v/>
      </c>
      <c r="AO188" s="80" t="str">
        <f>IF(AND($F188&lt;&gt;"", $F188&gt;=AO$5-4, $F188&lt;=AO$5, COUNTIF($M188:AN188,"u")=0), "u", "")</f>
        <v/>
      </c>
      <c r="AP188" s="80" t="str">
        <f>IF(AND($F188&lt;&gt;"", $F188&gt;=AP$5-4, $F188&lt;=AP$5, COUNTIF($M188:AO188,"u")=0), "u", "")</f>
        <v/>
      </c>
      <c r="AQ188" s="80" t="str">
        <f>IF(AND($F188&lt;&gt;"", $F188&gt;=AQ$5-4, $F188&lt;=AQ$5, COUNTIF($M188:AP188,"u")=0), "u", "")</f>
        <v/>
      </c>
      <c r="AR188" s="80" t="str">
        <f>IF(AND($F188&lt;&gt;"", $F188&gt;=AR$5-4, $F188&lt;=AR$5, COUNTIF($M188:AQ188,"u")=0), "u", "")</f>
        <v/>
      </c>
      <c r="AS188" s="80" t="str">
        <f>IF(AND($F188&lt;&gt;"", $F188&gt;=AS$5-4, $F188&lt;=AS$5, COUNTIF($M188:AR188,"u")=0), "u", "")</f>
        <v/>
      </c>
      <c r="AT188" s="80" t="str">
        <f>IF(AND($F188&lt;&gt;"", $F188&gt;=AT$5-4, $F188&lt;=AT$5, COUNTIF($M188:AS188,"u")=0), "u", "")</f>
        <v/>
      </c>
      <c r="AU188" s="80" t="str">
        <f>IF(AND($F188&lt;&gt;"", $F188&gt;=AU$5-4, $F188&lt;=AU$5, COUNTIF($M188:AT188,"u")=0), "u", "")</f>
        <v/>
      </c>
      <c r="AV188" s="80" t="str">
        <f>IF(AND($F188&lt;&gt;"", $F188&gt;=AV$5-4, $F188&lt;=AV$5, COUNTIF($M188:AU188,"u")=0), "u", "")</f>
        <v/>
      </c>
      <c r="AW188" s="80" t="str">
        <f>IF(AND($F188&lt;&gt;"", $F188&gt;=AW$5-4, $F188&lt;=AW$5, COUNTIF($M188:AV188,"u")=0), "u", "")</f>
        <v/>
      </c>
      <c r="AX188" s="80" t="str">
        <f>IF(AND($F188&lt;&gt;"", $F188&gt;=AX$5-4, $F188&lt;=AX$5, COUNTIF($M188:AW188,"u")=0), "u", "")</f>
        <v/>
      </c>
      <c r="AY188" s="80" t="str">
        <f>IF(AND($F188&lt;&gt;"", $F188&gt;=AY$5-4, $F188&lt;=AY$5, COUNTIF($M188:AX188,"u")=0), "u", "")</f>
        <v/>
      </c>
      <c r="AZ188" s="80" t="str">
        <f>IF(AND($F188&lt;&gt;"", $F188&gt;=AZ$5-4, $F188&lt;=AZ$5, COUNTIF($M188:AY188,"u")=0), "u", "")</f>
        <v/>
      </c>
      <c r="BA188" s="80" t="str">
        <f>IF(AND($F188&lt;&gt;"", $F188&gt;=BA$5-4, $F188&lt;=BA$5, COUNTIF($M188:AZ188,"u")=0), "u", "")</f>
        <v/>
      </c>
      <c r="BB188" s="80" t="str">
        <f>IF(AND($F188&lt;&gt;"", $F188&gt;=BB$5-4, $F188&lt;=BB$5, COUNTIF($M188:BA188,"u")=0), "u", "")</f>
        <v/>
      </c>
      <c r="BC188" s="80" t="str">
        <f>IF(AND($F188&lt;&gt;"", $F188&gt;=BC$5-4, $F188&lt;=BC$5, COUNTIF($M188:BB188,"u")=0), "u", "")</f>
        <v/>
      </c>
      <c r="BD188" s="80" t="str">
        <f>IF(AND($F188&lt;&gt;"", $F188&gt;=BD$5-4, $F188&lt;=BD$5, COUNTIF($M188:BC188,"u")=0), "u", "")</f>
        <v/>
      </c>
      <c r="BE188" s="80" t="str">
        <f>IF(AND($F188&lt;&gt;"", $F188&gt;=BE$5-4, $F188&lt;=BE$5, COUNTIF($M188:BD188,"u")=0), "u", "")</f>
        <v/>
      </c>
      <c r="BF188" s="80" t="str">
        <f>IF(AND($F188&lt;&gt;"", $F188&gt;=BF$5-4, $F188&lt;=BF$5, COUNTIF($M188:BE188,"u")=0), "u", "")</f>
        <v/>
      </c>
      <c r="BG188" s="80" t="str">
        <f>IF(AND($F188&lt;&gt;"", $F188&gt;=BG$5-4, $F188&lt;=BG$5, COUNTIF($M188:BF188,"u")=0), "u", "")</f>
        <v/>
      </c>
      <c r="BH188" s="80" t="str">
        <f>IF(AND($F188&lt;&gt;"", $F188&gt;=BH$5-4, $F188&lt;=BH$5, COUNTIF($M188:BG188,"u")=0), "u", "")</f>
        <v/>
      </c>
      <c r="BI188" s="80" t="str">
        <f>IF(AND($F188&lt;&gt;"", $F188&gt;=BI$5-4, $F188&lt;=BI$5, COUNTIF($M188:BH188,"u")=0), "u", "")</f>
        <v/>
      </c>
      <c r="BJ188" s="80" t="str">
        <f>IF(AND($F188&lt;&gt;"", $F188&gt;=BJ$5-4, $F188&lt;=BJ$5, COUNTIF($M188:BI188,"u")=0), "u", "")</f>
        <v/>
      </c>
      <c r="BK188" s="80" t="str">
        <f>IF(AND($F188&lt;&gt;"", $F188&gt;=BK$5-4, $F188&lt;=BK$5, COUNTIF($M188:BJ188,"u")=0), "u", "")</f>
        <v/>
      </c>
      <c r="BL188" s="80" t="str">
        <f>IF(AND($F188&lt;&gt;"", $F188&gt;=BL$5-4, $F188&lt;=BL$5, COUNTIF($M188:BK188,"u")=0), "u", "")</f>
        <v/>
      </c>
      <c r="BM188" s="80" t="str">
        <f>IF(AND($F188&lt;&gt;"", $F188&gt;=BM$5-4, $F188&lt;=BM$5, COUNTIF($M188:BL188,"u")=0), "u", "")</f>
        <v/>
      </c>
      <c r="BN188" s="80" t="str">
        <f>IF(AND($F188&lt;&gt;"", $F188&gt;=BN$5-4, $F188&lt;=BN$5, COUNTIF($M188:BM188,"u")=0), "u", "")</f>
        <v/>
      </c>
      <c r="BO188" s="80" t="str">
        <f>IF(AND($F188&lt;&gt;"", $F188&gt;=BO$5-4, $F188&lt;=BO$5, COUNTIF($M188:BN188,"u")=0), "u", "")</f>
        <v/>
      </c>
      <c r="BP188" s="80" t="str">
        <f>IF(AND($F188&lt;&gt;"", $F188&gt;=BP$5-4, $F188&lt;=BP$5, COUNTIF($M188:BO188,"u")=0), "u", "")</f>
        <v/>
      </c>
      <c r="BQ188" s="80" t="str">
        <f>IF(AND($F188&lt;&gt;"", $F188&gt;=BQ$5-4, $F188&lt;=BQ$5, COUNTIF($M188:BP188,"u")=0), "u", "")</f>
        <v/>
      </c>
      <c r="BR188" s="80" t="str">
        <f>IF(AND($F188&lt;&gt;"", $F188&gt;=BR$5-4, $F188&lt;=BR$5, COUNTIF($M188:BQ188,"u")=0), "u", "")</f>
        <v/>
      </c>
      <c r="BS188" s="80" t="str">
        <f>IF(AND($F188&lt;&gt;"", $F188&gt;=BS$5-4, $F188&lt;=BS$5, COUNTIF($M188:BR188,"u")=0), "u", "")</f>
        <v/>
      </c>
      <c r="BT188" s="80" t="str">
        <f>IF(AND($F188&lt;&gt;"", $F188&gt;=BT$5-4, $F188&lt;=BT$5, COUNTIF($M188:BS188,"u")=0), "u", "")</f>
        <v/>
      </c>
      <c r="BU188" s="80" t="str">
        <f>IF(AND($F188&lt;&gt;"", $F188&gt;=BU$5-4, $F188&lt;=BU$5, COUNTIF($M188:BT188,"u")=0), "u", "")</f>
        <v/>
      </c>
      <c r="BV188" s="80" t="str">
        <f>IF(AND($F188&lt;&gt;"", $F188&gt;=BV$5-4, $F188&lt;=BV$5, COUNTIF($M188:BU188,"u")=0), "u", "")</f>
        <v/>
      </c>
      <c r="BW188" s="80" t="str">
        <f>IF(AND($F188&lt;&gt;"", $F188&gt;=BW$5-4, $F188&lt;=BW$5, COUNTIF($M188:BV188,"u")=0), "u", "")</f>
        <v/>
      </c>
      <c r="BX188" s="80" t="str">
        <f>IF(AND($F188&lt;&gt;"", $F188&gt;=BX$5-4, $F188&lt;=BX$5, COUNTIF($M188:BW188,"u")=0), "u", "")</f>
        <v/>
      </c>
      <c r="BY188" s="80" t="str">
        <f>IF(AND($F188&lt;&gt;"", $F188&gt;=BY$5-4, $F188&lt;=BY$5, COUNTIF($M188:BX188,"u")=0), "u", "")</f>
        <v/>
      </c>
      <c r="BZ188" s="80" t="str">
        <f>IF(AND($F188&lt;&gt;"", $F188&gt;=BZ$5-4, $F188&lt;=BZ$5, COUNTIF($M188:BY188,"u")=0), "u", "")</f>
        <v/>
      </c>
      <c r="CA188" s="80" t="str">
        <f>IF(AND($F188&lt;&gt;"", $F188&gt;=CA$5-4, $F188&lt;=CA$5, COUNTIF($M188:BZ188,"u")=0), "u", "")</f>
        <v/>
      </c>
      <c r="CB188" s="80" t="str">
        <f>IF(AND($F188&lt;&gt;"", $F188&gt;=CB$5-4, $F188&lt;=CB$5, COUNTIF($M188:CA188,"u")=0), "u", "")</f>
        <v/>
      </c>
      <c r="CC188" s="80" t="str">
        <f>IF(AND($F188&lt;&gt;"", $F188&gt;=CC$5-4, $F188&lt;=CC$5, COUNTIF($M188:CB188,"u")=0), "u", "")</f>
        <v/>
      </c>
      <c r="CD188" s="80" t="str">
        <f>IF(AND($F188&lt;&gt;"", $F188&gt;=CD$5-4, $F188&lt;=CD$5, COUNTIF($M188:CC188,"u")=0), "u", "")</f>
        <v/>
      </c>
      <c r="CE188" s="80" t="str">
        <f>IF(AND($F188&lt;&gt;"", $F188&gt;=CE$5-4, $F188&lt;=CE$5, COUNTIF($M188:CD188,"u")=0), "u", "")</f>
        <v/>
      </c>
      <c r="CF188" s="80" t="str">
        <f>IF(AND($F188&lt;&gt;"", $F188&gt;=CF$5-4, $F188&lt;=CF$5, COUNTIF($M188:CE188,"u")=0), "u", "")</f>
        <v/>
      </c>
      <c r="CG188" s="80" t="str">
        <f>IF(AND($F188&lt;&gt;"", $F188&gt;=CG$5-4, $F188&lt;=CG$5, COUNTIF($M188:CF188,"u")=0), "u", "")</f>
        <v/>
      </c>
      <c r="CH188" s="80" t="str">
        <f>IF(AND($F188&lt;&gt;"", $F188&gt;=CH$5-4, $F188&lt;=CH$5, COUNTIF($M188:CG188,"u")=0), "u", "")</f>
        <v/>
      </c>
      <c r="CI188" s="80" t="str">
        <f>IF(AND($F188&lt;&gt;"", $F188&gt;=CI$5-4, $F188&lt;=CI$5, COUNTIF($M188:CH188,"u")=0), "u", "")</f>
        <v/>
      </c>
      <c r="CJ188" s="80" t="str">
        <f>IF(AND($F188&lt;&gt;"", $F188&gt;=CJ$5-4, $F188&lt;=CJ$5, COUNTIF($M188:CI188,"u")=0), "u", "")</f>
        <v/>
      </c>
      <c r="CK188" s="80" t="str">
        <f>IF(AND($F188&lt;&gt;"", $F188&gt;=CK$5-4, $F188&lt;=CK$5, COUNTIF($M188:CJ188,"u")=0), "u", "")</f>
        <v/>
      </c>
      <c r="CL188" s="80" t="str">
        <f>IF(AND($F188&lt;&gt;"", $F188&gt;=CL$5-4, $F188&lt;=CL$5, COUNTIF($M188:CK188,"u")=0), "u", "")</f>
        <v/>
      </c>
      <c r="CM188" s="80" t="str">
        <f>IF(AND($F188&lt;&gt;"", $F188&gt;=CM$5-4, $F188&lt;=CM$5, COUNTIF($M188:CL188,"u")=0), "u", "")</f>
        <v/>
      </c>
      <c r="CN188" s="80" t="str">
        <f>IF(AND($F188&lt;&gt;"", $F188&gt;=CN$5-4, $F188&lt;=CN$5, COUNTIF($M188:CM188,"u")=0), "u", "")</f>
        <v/>
      </c>
      <c r="CO188" s="80" t="str">
        <f>IF(AND($F188&lt;&gt;"", $F188&gt;=CO$5-4, $F188&lt;=CO$5, COUNTIF($M188:CN188,"u")=0), "u", "")</f>
        <v/>
      </c>
      <c r="CP188" s="80" t="str">
        <f>IF(AND($F188&lt;&gt;"", $F188&gt;=CP$5-4, $F188&lt;=CP$5, COUNTIF($M188:CO188,"u")=0), "u", "")</f>
        <v/>
      </c>
      <c r="CQ188" s="80" t="str">
        <f>IF(AND($F188&lt;&gt;"", $F188&gt;=CQ$5-4, $F188&lt;=CQ$5, COUNTIF($M188:CP188,"u")=0), "u", "")</f>
        <v/>
      </c>
      <c r="CR188" s="80" t="str">
        <f>IF(AND($F188&lt;&gt;"", $F188&gt;=CR$5-4, $F188&lt;=CR$5, COUNTIF($M188:CQ188,"u")=0), "u", "")</f>
        <v/>
      </c>
      <c r="CS188" s="80" t="str">
        <f>IF(AND($F188&lt;&gt;"", $F188&gt;=CS$5-4, $F188&lt;=CS$5, COUNTIF($M188:CR188,"u")=0), "u", "")</f>
        <v/>
      </c>
      <c r="CT188" s="80" t="str">
        <f>IF(AND($F188&lt;&gt;"", $F188&gt;=CT$5-4, $F188&lt;=CT$5, COUNTIF($M188:CS188,"u")=0), "u", "")</f>
        <v/>
      </c>
      <c r="CU188" s="80" t="str">
        <f>IF(AND($F188&lt;&gt;"", $F188&gt;=CU$5-4, $F188&lt;=CU$5, COUNTIF($M188:CT188,"u")=0), "u", "")</f>
        <v/>
      </c>
      <c r="CV188" s="80" t="str">
        <f>IF(AND($F188&lt;&gt;"", $F188&gt;=CV$5-4, $F188&lt;=CV$5, COUNTIF($M188:CU188,"u")=0), "u", "")</f>
        <v/>
      </c>
      <c r="CW188" s="80" t="str">
        <f>IF(AND($F188&lt;&gt;"", $F188&gt;=CW$5-4, $F188&lt;=CW$5, COUNTIF($M188:CV188,"u")=0), "u", "")</f>
        <v/>
      </c>
      <c r="CX188" s="80" t="str">
        <f>IF(AND($F188&lt;&gt;"", $F188&gt;=CX$5-4, $F188&lt;=CX$5, COUNTIF($M188:CW188,"u")=0), "u", "")</f>
        <v/>
      </c>
      <c r="CY188" s="80" t="str">
        <f>IF(AND($F188&lt;&gt;"", $F188&gt;=CY$5-4, $F188&lt;=CY$5, COUNTIF($M188:CX188,"u")=0), "u", "")</f>
        <v/>
      </c>
      <c r="CZ188" s="80" t="str">
        <f>IF(AND($F188&lt;&gt;"", $F188&gt;=CZ$5-4, $F188&lt;=CZ$5, COUNTIF($M188:CY188,"u")=0), "u", "")</f>
        <v/>
      </c>
      <c r="DA188" s="80" t="str">
        <f>IF(AND($F188&lt;&gt;"", $F188&gt;=DA$5-4, $F188&lt;=DA$5, COUNTIF($M188:CZ188,"u")=0), "u", "")</f>
        <v/>
      </c>
      <c r="DB188" s="80" t="str">
        <f>IF(AND($F188&lt;&gt;"", $F188&gt;=DB$5-4, $F188&lt;=DB$5, COUNTIF($M188:DA188,"u")=0), "u", "")</f>
        <v/>
      </c>
      <c r="DC188" s="80" t="str">
        <f>IF(AND($F188&lt;&gt;"", $F188&gt;=DC$5-4, $F188&lt;=DC$5, COUNTIF($M188:DB188,"u")=0), "u", "")</f>
        <v/>
      </c>
      <c r="DD188" s="80" t="str">
        <f>IF(AND($F188&lt;&gt;"", $F188&gt;=DD$5-4, $F188&lt;=DD$5, COUNTIF($M188:DC188,"u")=0), "u", "")</f>
        <v/>
      </c>
      <c r="DE188" s="80" t="str">
        <f>IF(AND($F188&lt;&gt;"", $F188&gt;=DE$5-4, $F188&lt;=DE$5, COUNTIF($M188:DD188,"u")=0), "u", "")</f>
        <v/>
      </c>
      <c r="DF188" s="80" t="str">
        <f>IF(AND($F188&lt;&gt;"", $F188&gt;=DF$5-4, $F188&lt;=DF$5, COUNTIF($M188:DE188,"u")=0), "u", "")</f>
        <v/>
      </c>
      <c r="DG188" s="80" t="str">
        <f>IF(AND($F188&lt;&gt;"", $F188&gt;=DG$5-4, $F188&lt;=DG$5, COUNTIF($M188:DF188,"u")=0), "u", "")</f>
        <v/>
      </c>
      <c r="DH188" s="80" t="str">
        <f>IF(AND($F188&lt;&gt;"", $F188&gt;=DH$5-4, $F188&lt;=DH$5, COUNTIF($M188:DG188,"u")=0), "u", "")</f>
        <v/>
      </c>
      <c r="DI188" s="80" t="str">
        <f>IF(AND($F188&lt;&gt;"", $F188&gt;=DI$5-4, $F188&lt;=DI$5, COUNTIF($M188:DH188,"u")=0), "u", "")</f>
        <v/>
      </c>
      <c r="DJ188" s="80" t="str">
        <f>IF(AND($F188&lt;&gt;"", $F188&gt;=DJ$5-4, $F188&lt;=DJ$5, COUNTIF($M188:DI188,"u")=0), "u", "")</f>
        <v/>
      </c>
      <c r="DK188" s="80" t="str">
        <f>IF(AND($F188&lt;&gt;"", $F188&gt;=DK$5-4, $F188&lt;=DK$5, COUNTIF($M188:DJ188,"u")=0), "u", "")</f>
        <v/>
      </c>
      <c r="DL188" s="80" t="str">
        <f>IF(AND($F188&lt;&gt;"", $F188&gt;=DL$5-4, $F188&lt;=DL$5, COUNTIF($M188:DK188,"u")=0), "u", "")</f>
        <v/>
      </c>
    </row>
    <row r="189" spans="1:116" ht="25.05" customHeight="1" x14ac:dyDescent="0.3">
      <c r="A189" s="39"/>
      <c r="B189" s="75">
        <v>184</v>
      </c>
      <c r="C189" s="97"/>
      <c r="D189" s="92"/>
      <c r="E189" s="53"/>
      <c r="F189" s="53"/>
      <c r="G189" s="83" t="str">
        <f t="shared" si="53"/>
        <v/>
      </c>
      <c r="H189" s="83" t="str">
        <f t="shared" si="53"/>
        <v/>
      </c>
      <c r="I189" s="77" t="str">
        <f t="shared" si="51"/>
        <v/>
      </c>
      <c r="J189" s="78"/>
      <c r="K189" s="86"/>
      <c r="L189" s="56"/>
      <c r="M189" s="80" t="str">
        <f t="shared" si="52"/>
        <v/>
      </c>
      <c r="N189" s="80" t="str">
        <f>IF(AND($F189&lt;&gt;"", $F189&gt;=N$5-4, $F189&lt;=N$5, COUNTIF($M189:M189,"u")=0), "u", "")</f>
        <v/>
      </c>
      <c r="O189" s="80" t="str">
        <f>IF(AND($F189&lt;&gt;"", $F189&gt;=O$5-4, $F189&lt;=O$5, COUNTIF($M189:N189,"u")=0), "u", "")</f>
        <v/>
      </c>
      <c r="P189" s="80" t="str">
        <f>IF(AND($F189&lt;&gt;"", $F189&gt;=P$5-4, $F189&lt;=P$5, COUNTIF($M189:O189,"u")=0), "u", "")</f>
        <v/>
      </c>
      <c r="Q189" s="80" t="str">
        <f>IF(AND($F189&lt;&gt;"", $F189&gt;=Q$5-4, $F189&lt;=Q$5, COUNTIF($M189:P189,"u")=0), "u", "")</f>
        <v/>
      </c>
      <c r="R189" s="80" t="str">
        <f>IF(AND($F189&lt;&gt;"", $F189&gt;=R$5-4, $F189&lt;=R$5, COUNTIF($M189:Q189,"u")=0), "u", "")</f>
        <v/>
      </c>
      <c r="S189" s="80" t="str">
        <f>IF(AND($F189&lt;&gt;"", $F189&gt;=S$5-4, $F189&lt;=S$5, COUNTIF($M189:R189,"u")=0), "u", "")</f>
        <v/>
      </c>
      <c r="T189" s="80" t="str">
        <f>IF(AND($F189&lt;&gt;"", $F189&gt;=T$5-4, $F189&lt;=T$5, COUNTIF($M189:S189,"u")=0), "u", "")</f>
        <v/>
      </c>
      <c r="U189" s="80" t="str">
        <f>IF(AND($F189&lt;&gt;"", $F189&gt;=U$5-4, $F189&lt;=U$5, COUNTIF($M189:T189,"u")=0), "u", "")</f>
        <v/>
      </c>
      <c r="V189" s="80" t="str">
        <f>IF(AND($F189&lt;&gt;"", $F189&gt;=V$5-4, $F189&lt;=V$5, COUNTIF($M189:U189,"u")=0), "u", "")</f>
        <v/>
      </c>
      <c r="W189" s="80" t="str">
        <f>IF(AND($F189&lt;&gt;"", $F189&gt;=W$5-4, $F189&lt;=W$5, COUNTIF($M189:V189,"u")=0), "u", "")</f>
        <v/>
      </c>
      <c r="X189" s="80" t="str">
        <f>IF(AND($F189&lt;&gt;"", $F189&gt;=X$5-4, $F189&lt;=X$5, COUNTIF($M189:W189,"u")=0), "u", "")</f>
        <v/>
      </c>
      <c r="Y189" s="80" t="str">
        <f>IF(AND($F189&lt;&gt;"", $F189&gt;=Y$5-4, $F189&lt;=Y$5, COUNTIF($M189:X189,"u")=0), "u", "")</f>
        <v/>
      </c>
      <c r="Z189" s="80" t="str">
        <f>IF(AND($F189&lt;&gt;"", $F189&gt;=Z$5-4, $F189&lt;=Z$5, COUNTIF($M189:Y189,"u")=0), "u", "")</f>
        <v/>
      </c>
      <c r="AA189" s="80" t="str">
        <f>IF(AND($F189&lt;&gt;"", $F189&gt;=AA$5-4, $F189&lt;=AA$5, COUNTIF($M189:Z189,"u")=0), "u", "")</f>
        <v/>
      </c>
      <c r="AB189" s="80" t="str">
        <f>IF(AND($F189&lt;&gt;"", $F189&gt;=AB$5-4, $F189&lt;=AB$5, COUNTIF($M189:AA189,"u")=0), "u", "")</f>
        <v/>
      </c>
      <c r="AC189" s="80" t="str">
        <f>IF(AND($F189&lt;&gt;"", $F189&gt;=AC$5-4, $F189&lt;=AC$5, COUNTIF($M189:AB189,"u")=0), "u", "")</f>
        <v/>
      </c>
      <c r="AD189" s="80" t="str">
        <f>IF(AND($F189&lt;&gt;"", $F189&gt;=AD$5-4, $F189&lt;=AD$5, COUNTIF($M189:AC189,"u")=0), "u", "")</f>
        <v/>
      </c>
      <c r="AE189" s="80" t="str">
        <f>IF(AND($F189&lt;&gt;"", $F189&gt;=AE$5-4, $F189&lt;=AE$5, COUNTIF($M189:AD189,"u")=0), "u", "")</f>
        <v/>
      </c>
      <c r="AF189" s="80" t="str">
        <f>IF(AND($F189&lt;&gt;"", $F189&gt;=AF$5-4, $F189&lt;=AF$5, COUNTIF($M189:AE189,"u")=0), "u", "")</f>
        <v/>
      </c>
      <c r="AG189" s="80" t="str">
        <f>IF(AND($F189&lt;&gt;"", $F189&gt;=AG$5-4, $F189&lt;=AG$5, COUNTIF($M189:AF189,"u")=0), "u", "")</f>
        <v/>
      </c>
      <c r="AH189" s="80" t="str">
        <f>IF(AND($F189&lt;&gt;"", $F189&gt;=AH$5-4, $F189&lt;=AH$5, COUNTIF($M189:AG189,"u")=0), "u", "")</f>
        <v/>
      </c>
      <c r="AI189" s="80" t="str">
        <f>IF(AND($F189&lt;&gt;"", $F189&gt;=AI$5-4, $F189&lt;=AI$5, COUNTIF($M189:AH189,"u")=0), "u", "")</f>
        <v/>
      </c>
      <c r="AJ189" s="80" t="str">
        <f>IF(AND($F189&lt;&gt;"", $F189&gt;=AJ$5-4, $F189&lt;=AJ$5, COUNTIF($M189:AI189,"u")=0), "u", "")</f>
        <v/>
      </c>
      <c r="AK189" s="80" t="str">
        <f>IF(AND($F189&lt;&gt;"", $F189&gt;=AK$5-4, $F189&lt;=AK$5, COUNTIF($M189:AJ189,"u")=0), "u", "")</f>
        <v/>
      </c>
      <c r="AL189" s="80" t="str">
        <f>IF(AND($F189&lt;&gt;"", $F189&gt;=AL$5-4, $F189&lt;=AL$5, COUNTIF($M189:AK189,"u")=0), "u", "")</f>
        <v/>
      </c>
      <c r="AM189" s="80" t="str">
        <f>IF(AND($F189&lt;&gt;"", $F189&gt;=AM$5-4, $F189&lt;=AM$5, COUNTIF($M189:AL189,"u")=0), "u", "")</f>
        <v/>
      </c>
      <c r="AN189" s="80" t="str">
        <f>IF(AND($F189&lt;&gt;"", $F189&gt;=AN$5-4, $F189&lt;=AN$5, COUNTIF($M189:AM189,"u")=0), "u", "")</f>
        <v/>
      </c>
      <c r="AO189" s="80" t="str">
        <f>IF(AND($F189&lt;&gt;"", $F189&gt;=AO$5-4, $F189&lt;=AO$5, COUNTIF($M189:AN189,"u")=0), "u", "")</f>
        <v/>
      </c>
      <c r="AP189" s="80" t="str">
        <f>IF(AND($F189&lt;&gt;"", $F189&gt;=AP$5-4, $F189&lt;=AP$5, COUNTIF($M189:AO189,"u")=0), "u", "")</f>
        <v/>
      </c>
      <c r="AQ189" s="80" t="str">
        <f>IF(AND($F189&lt;&gt;"", $F189&gt;=AQ$5-4, $F189&lt;=AQ$5, COUNTIF($M189:AP189,"u")=0), "u", "")</f>
        <v/>
      </c>
      <c r="AR189" s="80" t="str">
        <f>IF(AND($F189&lt;&gt;"", $F189&gt;=AR$5-4, $F189&lt;=AR$5, COUNTIF($M189:AQ189,"u")=0), "u", "")</f>
        <v/>
      </c>
      <c r="AS189" s="80" t="str">
        <f>IF(AND($F189&lt;&gt;"", $F189&gt;=AS$5-4, $F189&lt;=AS$5, COUNTIF($M189:AR189,"u")=0), "u", "")</f>
        <v/>
      </c>
      <c r="AT189" s="80" t="str">
        <f>IF(AND($F189&lt;&gt;"", $F189&gt;=AT$5-4, $F189&lt;=AT$5, COUNTIF($M189:AS189,"u")=0), "u", "")</f>
        <v/>
      </c>
      <c r="AU189" s="80" t="str">
        <f>IF(AND($F189&lt;&gt;"", $F189&gt;=AU$5-4, $F189&lt;=AU$5, COUNTIF($M189:AT189,"u")=0), "u", "")</f>
        <v/>
      </c>
      <c r="AV189" s="80" t="str">
        <f>IF(AND($F189&lt;&gt;"", $F189&gt;=AV$5-4, $F189&lt;=AV$5, COUNTIF($M189:AU189,"u")=0), "u", "")</f>
        <v/>
      </c>
      <c r="AW189" s="80" t="str">
        <f>IF(AND($F189&lt;&gt;"", $F189&gt;=AW$5-4, $F189&lt;=AW$5, COUNTIF($M189:AV189,"u")=0), "u", "")</f>
        <v/>
      </c>
      <c r="AX189" s="80" t="str">
        <f>IF(AND($F189&lt;&gt;"", $F189&gt;=AX$5-4, $F189&lt;=AX$5, COUNTIF($M189:AW189,"u")=0), "u", "")</f>
        <v/>
      </c>
      <c r="AY189" s="80" t="str">
        <f>IF(AND($F189&lt;&gt;"", $F189&gt;=AY$5-4, $F189&lt;=AY$5, COUNTIF($M189:AX189,"u")=0), "u", "")</f>
        <v/>
      </c>
      <c r="AZ189" s="80" t="str">
        <f>IF(AND($F189&lt;&gt;"", $F189&gt;=AZ$5-4, $F189&lt;=AZ$5, COUNTIF($M189:AY189,"u")=0), "u", "")</f>
        <v/>
      </c>
      <c r="BA189" s="80" t="str">
        <f>IF(AND($F189&lt;&gt;"", $F189&gt;=BA$5-4, $F189&lt;=BA$5, COUNTIF($M189:AZ189,"u")=0), "u", "")</f>
        <v/>
      </c>
      <c r="BB189" s="80" t="str">
        <f>IF(AND($F189&lt;&gt;"", $F189&gt;=BB$5-4, $F189&lt;=BB$5, COUNTIF($M189:BA189,"u")=0), "u", "")</f>
        <v/>
      </c>
      <c r="BC189" s="80" t="str">
        <f>IF(AND($F189&lt;&gt;"", $F189&gt;=BC$5-4, $F189&lt;=BC$5, COUNTIF($M189:BB189,"u")=0), "u", "")</f>
        <v/>
      </c>
      <c r="BD189" s="80" t="str">
        <f>IF(AND($F189&lt;&gt;"", $F189&gt;=BD$5-4, $F189&lt;=BD$5, COUNTIF($M189:BC189,"u")=0), "u", "")</f>
        <v/>
      </c>
      <c r="BE189" s="80" t="str">
        <f>IF(AND($F189&lt;&gt;"", $F189&gt;=BE$5-4, $F189&lt;=BE$5, COUNTIF($M189:BD189,"u")=0), "u", "")</f>
        <v/>
      </c>
      <c r="BF189" s="80" t="str">
        <f>IF(AND($F189&lt;&gt;"", $F189&gt;=BF$5-4, $F189&lt;=BF$5, COUNTIF($M189:BE189,"u")=0), "u", "")</f>
        <v/>
      </c>
      <c r="BG189" s="80" t="str">
        <f>IF(AND($F189&lt;&gt;"", $F189&gt;=BG$5-4, $F189&lt;=BG$5, COUNTIF($M189:BF189,"u")=0), "u", "")</f>
        <v/>
      </c>
      <c r="BH189" s="80" t="str">
        <f>IF(AND($F189&lt;&gt;"", $F189&gt;=BH$5-4, $F189&lt;=BH$5, COUNTIF($M189:BG189,"u")=0), "u", "")</f>
        <v/>
      </c>
      <c r="BI189" s="80" t="str">
        <f>IF(AND($F189&lt;&gt;"", $F189&gt;=BI$5-4, $F189&lt;=BI$5, COUNTIF($M189:BH189,"u")=0), "u", "")</f>
        <v/>
      </c>
      <c r="BJ189" s="80" t="str">
        <f>IF(AND($F189&lt;&gt;"", $F189&gt;=BJ$5-4, $F189&lt;=BJ$5, COUNTIF($M189:BI189,"u")=0), "u", "")</f>
        <v/>
      </c>
      <c r="BK189" s="80" t="str">
        <f>IF(AND($F189&lt;&gt;"", $F189&gt;=BK$5-4, $F189&lt;=BK$5, COUNTIF($M189:BJ189,"u")=0), "u", "")</f>
        <v/>
      </c>
      <c r="BL189" s="80" t="str">
        <f>IF(AND($F189&lt;&gt;"", $F189&gt;=BL$5-4, $F189&lt;=BL$5, COUNTIF($M189:BK189,"u")=0), "u", "")</f>
        <v/>
      </c>
      <c r="BM189" s="80" t="str">
        <f>IF(AND($F189&lt;&gt;"", $F189&gt;=BM$5-4, $F189&lt;=BM$5, COUNTIF($M189:BL189,"u")=0), "u", "")</f>
        <v/>
      </c>
      <c r="BN189" s="80" t="str">
        <f>IF(AND($F189&lt;&gt;"", $F189&gt;=BN$5-4, $F189&lt;=BN$5, COUNTIF($M189:BM189,"u")=0), "u", "")</f>
        <v/>
      </c>
      <c r="BO189" s="80" t="str">
        <f>IF(AND($F189&lt;&gt;"", $F189&gt;=BO$5-4, $F189&lt;=BO$5, COUNTIF($M189:BN189,"u")=0), "u", "")</f>
        <v/>
      </c>
      <c r="BP189" s="80" t="str">
        <f>IF(AND($F189&lt;&gt;"", $F189&gt;=BP$5-4, $F189&lt;=BP$5, COUNTIF($M189:BO189,"u")=0), "u", "")</f>
        <v/>
      </c>
      <c r="BQ189" s="80" t="str">
        <f>IF(AND($F189&lt;&gt;"", $F189&gt;=BQ$5-4, $F189&lt;=BQ$5, COUNTIF($M189:BP189,"u")=0), "u", "")</f>
        <v/>
      </c>
      <c r="BR189" s="80" t="str">
        <f>IF(AND($F189&lt;&gt;"", $F189&gt;=BR$5-4, $F189&lt;=BR$5, COUNTIF($M189:BQ189,"u")=0), "u", "")</f>
        <v/>
      </c>
      <c r="BS189" s="80" t="str">
        <f>IF(AND($F189&lt;&gt;"", $F189&gt;=BS$5-4, $F189&lt;=BS$5, COUNTIF($M189:BR189,"u")=0), "u", "")</f>
        <v/>
      </c>
      <c r="BT189" s="80" t="str">
        <f>IF(AND($F189&lt;&gt;"", $F189&gt;=BT$5-4, $F189&lt;=BT$5, COUNTIF($M189:BS189,"u")=0), "u", "")</f>
        <v/>
      </c>
      <c r="BU189" s="80" t="str">
        <f>IF(AND($F189&lt;&gt;"", $F189&gt;=BU$5-4, $F189&lt;=BU$5, COUNTIF($M189:BT189,"u")=0), "u", "")</f>
        <v/>
      </c>
      <c r="BV189" s="80" t="str">
        <f>IF(AND($F189&lt;&gt;"", $F189&gt;=BV$5-4, $F189&lt;=BV$5, COUNTIF($M189:BU189,"u")=0), "u", "")</f>
        <v/>
      </c>
      <c r="BW189" s="80" t="str">
        <f>IF(AND($F189&lt;&gt;"", $F189&gt;=BW$5-4, $F189&lt;=BW$5, COUNTIF($M189:BV189,"u")=0), "u", "")</f>
        <v/>
      </c>
      <c r="BX189" s="80" t="str">
        <f>IF(AND($F189&lt;&gt;"", $F189&gt;=BX$5-4, $F189&lt;=BX$5, COUNTIF($M189:BW189,"u")=0), "u", "")</f>
        <v/>
      </c>
      <c r="BY189" s="80" t="str">
        <f>IF(AND($F189&lt;&gt;"", $F189&gt;=BY$5-4, $F189&lt;=BY$5, COUNTIF($M189:BX189,"u")=0), "u", "")</f>
        <v/>
      </c>
      <c r="BZ189" s="80" t="str">
        <f>IF(AND($F189&lt;&gt;"", $F189&gt;=BZ$5-4, $F189&lt;=BZ$5, COUNTIF($M189:BY189,"u")=0), "u", "")</f>
        <v/>
      </c>
      <c r="CA189" s="80" t="str">
        <f>IF(AND($F189&lt;&gt;"", $F189&gt;=CA$5-4, $F189&lt;=CA$5, COUNTIF($M189:BZ189,"u")=0), "u", "")</f>
        <v/>
      </c>
      <c r="CB189" s="80" t="str">
        <f>IF(AND($F189&lt;&gt;"", $F189&gt;=CB$5-4, $F189&lt;=CB$5, COUNTIF($M189:CA189,"u")=0), "u", "")</f>
        <v/>
      </c>
      <c r="CC189" s="80" t="str">
        <f>IF(AND($F189&lt;&gt;"", $F189&gt;=CC$5-4, $F189&lt;=CC$5, COUNTIF($M189:CB189,"u")=0), "u", "")</f>
        <v/>
      </c>
      <c r="CD189" s="80" t="str">
        <f>IF(AND($F189&lt;&gt;"", $F189&gt;=CD$5-4, $F189&lt;=CD$5, COUNTIF($M189:CC189,"u")=0), "u", "")</f>
        <v/>
      </c>
      <c r="CE189" s="80" t="str">
        <f>IF(AND($F189&lt;&gt;"", $F189&gt;=CE$5-4, $F189&lt;=CE$5, COUNTIF($M189:CD189,"u")=0), "u", "")</f>
        <v/>
      </c>
      <c r="CF189" s="80" t="str">
        <f>IF(AND($F189&lt;&gt;"", $F189&gt;=CF$5-4, $F189&lt;=CF$5, COUNTIF($M189:CE189,"u")=0), "u", "")</f>
        <v/>
      </c>
      <c r="CG189" s="80" t="str">
        <f>IF(AND($F189&lt;&gt;"", $F189&gt;=CG$5-4, $F189&lt;=CG$5, COUNTIF($M189:CF189,"u")=0), "u", "")</f>
        <v/>
      </c>
      <c r="CH189" s="80" t="str">
        <f>IF(AND($F189&lt;&gt;"", $F189&gt;=CH$5-4, $F189&lt;=CH$5, COUNTIF($M189:CG189,"u")=0), "u", "")</f>
        <v/>
      </c>
      <c r="CI189" s="80" t="str">
        <f>IF(AND($F189&lt;&gt;"", $F189&gt;=CI$5-4, $F189&lt;=CI$5, COUNTIF($M189:CH189,"u")=0), "u", "")</f>
        <v/>
      </c>
      <c r="CJ189" s="80" t="str">
        <f>IF(AND($F189&lt;&gt;"", $F189&gt;=CJ$5-4, $F189&lt;=CJ$5, COUNTIF($M189:CI189,"u")=0), "u", "")</f>
        <v/>
      </c>
      <c r="CK189" s="80" t="str">
        <f>IF(AND($F189&lt;&gt;"", $F189&gt;=CK$5-4, $F189&lt;=CK$5, COUNTIF($M189:CJ189,"u")=0), "u", "")</f>
        <v/>
      </c>
      <c r="CL189" s="80" t="str">
        <f>IF(AND($F189&lt;&gt;"", $F189&gt;=CL$5-4, $F189&lt;=CL$5, COUNTIF($M189:CK189,"u")=0), "u", "")</f>
        <v/>
      </c>
      <c r="CM189" s="80" t="str">
        <f>IF(AND($F189&lt;&gt;"", $F189&gt;=CM$5-4, $F189&lt;=CM$5, COUNTIF($M189:CL189,"u")=0), "u", "")</f>
        <v/>
      </c>
      <c r="CN189" s="80" t="str">
        <f>IF(AND($F189&lt;&gt;"", $F189&gt;=CN$5-4, $F189&lt;=CN$5, COUNTIF($M189:CM189,"u")=0), "u", "")</f>
        <v/>
      </c>
      <c r="CO189" s="80" t="str">
        <f>IF(AND($F189&lt;&gt;"", $F189&gt;=CO$5-4, $F189&lt;=CO$5, COUNTIF($M189:CN189,"u")=0), "u", "")</f>
        <v/>
      </c>
      <c r="CP189" s="80" t="str">
        <f>IF(AND($F189&lt;&gt;"", $F189&gt;=CP$5-4, $F189&lt;=CP$5, COUNTIF($M189:CO189,"u")=0), "u", "")</f>
        <v/>
      </c>
      <c r="CQ189" s="80" t="str">
        <f>IF(AND($F189&lt;&gt;"", $F189&gt;=CQ$5-4, $F189&lt;=CQ$5, COUNTIF($M189:CP189,"u")=0), "u", "")</f>
        <v/>
      </c>
      <c r="CR189" s="80" t="str">
        <f>IF(AND($F189&lt;&gt;"", $F189&gt;=CR$5-4, $F189&lt;=CR$5, COUNTIF($M189:CQ189,"u")=0), "u", "")</f>
        <v/>
      </c>
      <c r="CS189" s="80" t="str">
        <f>IF(AND($F189&lt;&gt;"", $F189&gt;=CS$5-4, $F189&lt;=CS$5, COUNTIF($M189:CR189,"u")=0), "u", "")</f>
        <v/>
      </c>
      <c r="CT189" s="80" t="str">
        <f>IF(AND($F189&lt;&gt;"", $F189&gt;=CT$5-4, $F189&lt;=CT$5, COUNTIF($M189:CS189,"u")=0), "u", "")</f>
        <v/>
      </c>
      <c r="CU189" s="80" t="str">
        <f>IF(AND($F189&lt;&gt;"", $F189&gt;=CU$5-4, $F189&lt;=CU$5, COUNTIF($M189:CT189,"u")=0), "u", "")</f>
        <v/>
      </c>
      <c r="CV189" s="80" t="str">
        <f>IF(AND($F189&lt;&gt;"", $F189&gt;=CV$5-4, $F189&lt;=CV$5, COUNTIF($M189:CU189,"u")=0), "u", "")</f>
        <v/>
      </c>
      <c r="CW189" s="80" t="str">
        <f>IF(AND($F189&lt;&gt;"", $F189&gt;=CW$5-4, $F189&lt;=CW$5, COUNTIF($M189:CV189,"u")=0), "u", "")</f>
        <v/>
      </c>
      <c r="CX189" s="80" t="str">
        <f>IF(AND($F189&lt;&gt;"", $F189&gt;=CX$5-4, $F189&lt;=CX$5, COUNTIF($M189:CW189,"u")=0), "u", "")</f>
        <v/>
      </c>
      <c r="CY189" s="80" t="str">
        <f>IF(AND($F189&lt;&gt;"", $F189&gt;=CY$5-4, $F189&lt;=CY$5, COUNTIF($M189:CX189,"u")=0), "u", "")</f>
        <v/>
      </c>
      <c r="CZ189" s="80" t="str">
        <f>IF(AND($F189&lt;&gt;"", $F189&gt;=CZ$5-4, $F189&lt;=CZ$5, COUNTIF($M189:CY189,"u")=0), "u", "")</f>
        <v/>
      </c>
      <c r="DA189" s="80" t="str">
        <f>IF(AND($F189&lt;&gt;"", $F189&gt;=DA$5-4, $F189&lt;=DA$5, COUNTIF($M189:CZ189,"u")=0), "u", "")</f>
        <v/>
      </c>
      <c r="DB189" s="80" t="str">
        <f>IF(AND($F189&lt;&gt;"", $F189&gt;=DB$5-4, $F189&lt;=DB$5, COUNTIF($M189:DA189,"u")=0), "u", "")</f>
        <v/>
      </c>
      <c r="DC189" s="80" t="str">
        <f>IF(AND($F189&lt;&gt;"", $F189&gt;=DC$5-4, $F189&lt;=DC$5, COUNTIF($M189:DB189,"u")=0), "u", "")</f>
        <v/>
      </c>
      <c r="DD189" s="80" t="str">
        <f>IF(AND($F189&lt;&gt;"", $F189&gt;=DD$5-4, $F189&lt;=DD$5, COUNTIF($M189:DC189,"u")=0), "u", "")</f>
        <v/>
      </c>
      <c r="DE189" s="80" t="str">
        <f>IF(AND($F189&lt;&gt;"", $F189&gt;=DE$5-4, $F189&lt;=DE$5, COUNTIF($M189:DD189,"u")=0), "u", "")</f>
        <v/>
      </c>
      <c r="DF189" s="80" t="str">
        <f>IF(AND($F189&lt;&gt;"", $F189&gt;=DF$5-4, $F189&lt;=DF$5, COUNTIF($M189:DE189,"u")=0), "u", "")</f>
        <v/>
      </c>
      <c r="DG189" s="80" t="str">
        <f>IF(AND($F189&lt;&gt;"", $F189&gt;=DG$5-4, $F189&lt;=DG$5, COUNTIF($M189:DF189,"u")=0), "u", "")</f>
        <v/>
      </c>
      <c r="DH189" s="80" t="str">
        <f>IF(AND($F189&lt;&gt;"", $F189&gt;=DH$5-4, $F189&lt;=DH$5, COUNTIF($M189:DG189,"u")=0), "u", "")</f>
        <v/>
      </c>
      <c r="DI189" s="80" t="str">
        <f>IF(AND($F189&lt;&gt;"", $F189&gt;=DI$5-4, $F189&lt;=DI$5, COUNTIF($M189:DH189,"u")=0), "u", "")</f>
        <v/>
      </c>
      <c r="DJ189" s="80" t="str">
        <f>IF(AND($F189&lt;&gt;"", $F189&gt;=DJ$5-4, $F189&lt;=DJ$5, COUNTIF($M189:DI189,"u")=0), "u", "")</f>
        <v/>
      </c>
      <c r="DK189" s="80" t="str">
        <f>IF(AND($F189&lt;&gt;"", $F189&gt;=DK$5-4, $F189&lt;=DK$5, COUNTIF($M189:DJ189,"u")=0), "u", "")</f>
        <v/>
      </c>
      <c r="DL189" s="80" t="str">
        <f>IF(AND($F189&lt;&gt;"", $F189&gt;=DL$5-4, $F189&lt;=DL$5, COUNTIF($M189:DK189,"u")=0), "u", "")</f>
        <v/>
      </c>
    </row>
    <row r="190" spans="1:116" ht="25.05" customHeight="1" x14ac:dyDescent="0.3">
      <c r="A190" s="39"/>
      <c r="B190" s="75">
        <v>185</v>
      </c>
      <c r="C190" s="97"/>
      <c r="D190" s="92"/>
      <c r="E190" s="53"/>
      <c r="F190" s="53"/>
      <c r="G190" s="83" t="str">
        <f t="shared" si="53"/>
        <v/>
      </c>
      <c r="H190" s="83" t="str">
        <f t="shared" si="53"/>
        <v/>
      </c>
      <c r="I190" s="77" t="str">
        <f t="shared" si="51"/>
        <v/>
      </c>
      <c r="J190" s="78"/>
      <c r="K190" s="86"/>
      <c r="L190" s="56"/>
      <c r="M190" s="80" t="str">
        <f t="shared" si="52"/>
        <v/>
      </c>
      <c r="N190" s="80" t="str">
        <f>IF(AND($F190&lt;&gt;"", $F190&gt;=N$5-4, $F190&lt;=N$5, COUNTIF($M190:M190,"u")=0), "u", "")</f>
        <v/>
      </c>
      <c r="O190" s="80" t="str">
        <f>IF(AND($F190&lt;&gt;"", $F190&gt;=O$5-4, $F190&lt;=O$5, COUNTIF($M190:N190,"u")=0), "u", "")</f>
        <v/>
      </c>
      <c r="P190" s="80" t="str">
        <f>IF(AND($F190&lt;&gt;"", $F190&gt;=P$5-4, $F190&lt;=P$5, COUNTIF($M190:O190,"u")=0), "u", "")</f>
        <v/>
      </c>
      <c r="Q190" s="80" t="str">
        <f>IF(AND($F190&lt;&gt;"", $F190&gt;=Q$5-4, $F190&lt;=Q$5, COUNTIF($M190:P190,"u")=0), "u", "")</f>
        <v/>
      </c>
      <c r="R190" s="80" t="str">
        <f>IF(AND($F190&lt;&gt;"", $F190&gt;=R$5-4, $F190&lt;=R$5, COUNTIF($M190:Q190,"u")=0), "u", "")</f>
        <v/>
      </c>
      <c r="S190" s="80" t="str">
        <f>IF(AND($F190&lt;&gt;"", $F190&gt;=S$5-4, $F190&lt;=S$5, COUNTIF($M190:R190,"u")=0), "u", "")</f>
        <v/>
      </c>
      <c r="T190" s="80" t="str">
        <f>IF(AND($F190&lt;&gt;"", $F190&gt;=T$5-4, $F190&lt;=T$5, COUNTIF($M190:S190,"u")=0), "u", "")</f>
        <v/>
      </c>
      <c r="U190" s="80" t="str">
        <f>IF(AND($F190&lt;&gt;"", $F190&gt;=U$5-4, $F190&lt;=U$5, COUNTIF($M190:T190,"u")=0), "u", "")</f>
        <v/>
      </c>
      <c r="V190" s="80" t="str">
        <f>IF(AND($F190&lt;&gt;"", $F190&gt;=V$5-4, $F190&lt;=V$5, COUNTIF($M190:U190,"u")=0), "u", "")</f>
        <v/>
      </c>
      <c r="W190" s="80" t="str">
        <f>IF(AND($F190&lt;&gt;"", $F190&gt;=W$5-4, $F190&lt;=W$5, COUNTIF($M190:V190,"u")=0), "u", "")</f>
        <v/>
      </c>
      <c r="X190" s="80" t="str">
        <f>IF(AND($F190&lt;&gt;"", $F190&gt;=X$5-4, $F190&lt;=X$5, COUNTIF($M190:W190,"u")=0), "u", "")</f>
        <v/>
      </c>
      <c r="Y190" s="80" t="str">
        <f>IF(AND($F190&lt;&gt;"", $F190&gt;=Y$5-4, $F190&lt;=Y$5, COUNTIF($M190:X190,"u")=0), "u", "")</f>
        <v/>
      </c>
      <c r="Z190" s="80" t="str">
        <f>IF(AND($F190&lt;&gt;"", $F190&gt;=Z$5-4, $F190&lt;=Z$5, COUNTIF($M190:Y190,"u")=0), "u", "")</f>
        <v/>
      </c>
      <c r="AA190" s="80" t="str">
        <f>IF(AND($F190&lt;&gt;"", $F190&gt;=AA$5-4, $F190&lt;=AA$5, COUNTIF($M190:Z190,"u")=0), "u", "")</f>
        <v/>
      </c>
      <c r="AB190" s="80" t="str">
        <f>IF(AND($F190&lt;&gt;"", $F190&gt;=AB$5-4, $F190&lt;=AB$5, COUNTIF($M190:AA190,"u")=0), "u", "")</f>
        <v/>
      </c>
      <c r="AC190" s="80" t="str">
        <f>IF(AND($F190&lt;&gt;"", $F190&gt;=AC$5-4, $F190&lt;=AC$5, COUNTIF($M190:AB190,"u")=0), "u", "")</f>
        <v/>
      </c>
      <c r="AD190" s="80" t="str">
        <f>IF(AND($F190&lt;&gt;"", $F190&gt;=AD$5-4, $F190&lt;=AD$5, COUNTIF($M190:AC190,"u")=0), "u", "")</f>
        <v/>
      </c>
      <c r="AE190" s="80" t="str">
        <f>IF(AND($F190&lt;&gt;"", $F190&gt;=AE$5-4, $F190&lt;=AE$5, COUNTIF($M190:AD190,"u")=0), "u", "")</f>
        <v/>
      </c>
      <c r="AF190" s="80" t="str">
        <f>IF(AND($F190&lt;&gt;"", $F190&gt;=AF$5-4, $F190&lt;=AF$5, COUNTIF($M190:AE190,"u")=0), "u", "")</f>
        <v/>
      </c>
      <c r="AG190" s="80" t="str">
        <f>IF(AND($F190&lt;&gt;"", $F190&gt;=AG$5-4, $F190&lt;=AG$5, COUNTIF($M190:AF190,"u")=0), "u", "")</f>
        <v/>
      </c>
      <c r="AH190" s="80" t="str">
        <f>IF(AND($F190&lt;&gt;"", $F190&gt;=AH$5-4, $F190&lt;=AH$5, COUNTIF($M190:AG190,"u")=0), "u", "")</f>
        <v/>
      </c>
      <c r="AI190" s="80" t="str">
        <f>IF(AND($F190&lt;&gt;"", $F190&gt;=AI$5-4, $F190&lt;=AI$5, COUNTIF($M190:AH190,"u")=0), "u", "")</f>
        <v/>
      </c>
      <c r="AJ190" s="80" t="str">
        <f>IF(AND($F190&lt;&gt;"", $F190&gt;=AJ$5-4, $F190&lt;=AJ$5, COUNTIF($M190:AI190,"u")=0), "u", "")</f>
        <v/>
      </c>
      <c r="AK190" s="80" t="str">
        <f>IF(AND($F190&lt;&gt;"", $F190&gt;=AK$5-4, $F190&lt;=AK$5, COUNTIF($M190:AJ190,"u")=0), "u", "")</f>
        <v/>
      </c>
      <c r="AL190" s="80" t="str">
        <f>IF(AND($F190&lt;&gt;"", $F190&gt;=AL$5-4, $F190&lt;=AL$5, COUNTIF($M190:AK190,"u")=0), "u", "")</f>
        <v/>
      </c>
      <c r="AM190" s="80" t="str">
        <f>IF(AND($F190&lt;&gt;"", $F190&gt;=AM$5-4, $F190&lt;=AM$5, COUNTIF($M190:AL190,"u")=0), "u", "")</f>
        <v/>
      </c>
      <c r="AN190" s="80" t="str">
        <f>IF(AND($F190&lt;&gt;"", $F190&gt;=AN$5-4, $F190&lt;=AN$5, COUNTIF($M190:AM190,"u")=0), "u", "")</f>
        <v/>
      </c>
      <c r="AO190" s="80" t="str">
        <f>IF(AND($F190&lt;&gt;"", $F190&gt;=AO$5-4, $F190&lt;=AO$5, COUNTIF($M190:AN190,"u")=0), "u", "")</f>
        <v/>
      </c>
      <c r="AP190" s="80" t="str">
        <f>IF(AND($F190&lt;&gt;"", $F190&gt;=AP$5-4, $F190&lt;=AP$5, COUNTIF($M190:AO190,"u")=0), "u", "")</f>
        <v/>
      </c>
      <c r="AQ190" s="80" t="str">
        <f>IF(AND($F190&lt;&gt;"", $F190&gt;=AQ$5-4, $F190&lt;=AQ$5, COUNTIF($M190:AP190,"u")=0), "u", "")</f>
        <v/>
      </c>
      <c r="AR190" s="80" t="str">
        <f>IF(AND($F190&lt;&gt;"", $F190&gt;=AR$5-4, $F190&lt;=AR$5, COUNTIF($M190:AQ190,"u")=0), "u", "")</f>
        <v/>
      </c>
      <c r="AS190" s="80" t="str">
        <f>IF(AND($F190&lt;&gt;"", $F190&gt;=AS$5-4, $F190&lt;=AS$5, COUNTIF($M190:AR190,"u")=0), "u", "")</f>
        <v/>
      </c>
      <c r="AT190" s="80" t="str">
        <f>IF(AND($F190&lt;&gt;"", $F190&gt;=AT$5-4, $F190&lt;=AT$5, COUNTIF($M190:AS190,"u")=0), "u", "")</f>
        <v/>
      </c>
      <c r="AU190" s="80" t="str">
        <f>IF(AND($F190&lt;&gt;"", $F190&gt;=AU$5-4, $F190&lt;=AU$5, COUNTIF($M190:AT190,"u")=0), "u", "")</f>
        <v/>
      </c>
      <c r="AV190" s="80" t="str">
        <f>IF(AND($F190&lt;&gt;"", $F190&gt;=AV$5-4, $F190&lt;=AV$5, COUNTIF($M190:AU190,"u")=0), "u", "")</f>
        <v/>
      </c>
      <c r="AW190" s="80" t="str">
        <f>IF(AND($F190&lt;&gt;"", $F190&gt;=AW$5-4, $F190&lt;=AW$5, COUNTIF($M190:AV190,"u")=0), "u", "")</f>
        <v/>
      </c>
      <c r="AX190" s="80" t="str">
        <f>IF(AND($F190&lt;&gt;"", $F190&gt;=AX$5-4, $F190&lt;=AX$5, COUNTIF($M190:AW190,"u")=0), "u", "")</f>
        <v/>
      </c>
      <c r="AY190" s="80" t="str">
        <f>IF(AND($F190&lt;&gt;"", $F190&gt;=AY$5-4, $F190&lt;=AY$5, COUNTIF($M190:AX190,"u")=0), "u", "")</f>
        <v/>
      </c>
      <c r="AZ190" s="80" t="str">
        <f>IF(AND($F190&lt;&gt;"", $F190&gt;=AZ$5-4, $F190&lt;=AZ$5, COUNTIF($M190:AY190,"u")=0), "u", "")</f>
        <v/>
      </c>
      <c r="BA190" s="80" t="str">
        <f>IF(AND($F190&lt;&gt;"", $F190&gt;=BA$5-4, $F190&lt;=BA$5, COUNTIF($M190:AZ190,"u")=0), "u", "")</f>
        <v/>
      </c>
      <c r="BB190" s="80" t="str">
        <f>IF(AND($F190&lt;&gt;"", $F190&gt;=BB$5-4, $F190&lt;=BB$5, COUNTIF($M190:BA190,"u")=0), "u", "")</f>
        <v/>
      </c>
      <c r="BC190" s="80" t="str">
        <f>IF(AND($F190&lt;&gt;"", $F190&gt;=BC$5-4, $F190&lt;=BC$5, COUNTIF($M190:BB190,"u")=0), "u", "")</f>
        <v/>
      </c>
      <c r="BD190" s="80" t="str">
        <f>IF(AND($F190&lt;&gt;"", $F190&gt;=BD$5-4, $F190&lt;=BD$5, COUNTIF($M190:BC190,"u")=0), "u", "")</f>
        <v/>
      </c>
      <c r="BE190" s="80" t="str">
        <f>IF(AND($F190&lt;&gt;"", $F190&gt;=BE$5-4, $F190&lt;=BE$5, COUNTIF($M190:BD190,"u")=0), "u", "")</f>
        <v/>
      </c>
      <c r="BF190" s="80" t="str">
        <f>IF(AND($F190&lt;&gt;"", $F190&gt;=BF$5-4, $F190&lt;=BF$5, COUNTIF($M190:BE190,"u")=0), "u", "")</f>
        <v/>
      </c>
      <c r="BG190" s="80" t="str">
        <f>IF(AND($F190&lt;&gt;"", $F190&gt;=BG$5-4, $F190&lt;=BG$5, COUNTIF($M190:BF190,"u")=0), "u", "")</f>
        <v/>
      </c>
      <c r="BH190" s="80" t="str">
        <f>IF(AND($F190&lt;&gt;"", $F190&gt;=BH$5-4, $F190&lt;=BH$5, COUNTIF($M190:BG190,"u")=0), "u", "")</f>
        <v/>
      </c>
      <c r="BI190" s="80" t="str">
        <f>IF(AND($F190&lt;&gt;"", $F190&gt;=BI$5-4, $F190&lt;=BI$5, COUNTIF($M190:BH190,"u")=0), "u", "")</f>
        <v/>
      </c>
      <c r="BJ190" s="80" t="str">
        <f>IF(AND($F190&lt;&gt;"", $F190&gt;=BJ$5-4, $F190&lt;=BJ$5, COUNTIF($M190:BI190,"u")=0), "u", "")</f>
        <v/>
      </c>
      <c r="BK190" s="80" t="str">
        <f>IF(AND($F190&lt;&gt;"", $F190&gt;=BK$5-4, $F190&lt;=BK$5, COUNTIF($M190:BJ190,"u")=0), "u", "")</f>
        <v/>
      </c>
      <c r="BL190" s="80" t="str">
        <f>IF(AND($F190&lt;&gt;"", $F190&gt;=BL$5-4, $F190&lt;=BL$5, COUNTIF($M190:BK190,"u")=0), "u", "")</f>
        <v/>
      </c>
      <c r="BM190" s="80" t="str">
        <f>IF(AND($F190&lt;&gt;"", $F190&gt;=BM$5-4, $F190&lt;=BM$5, COUNTIF($M190:BL190,"u")=0), "u", "")</f>
        <v/>
      </c>
      <c r="BN190" s="80" t="str">
        <f>IF(AND($F190&lt;&gt;"", $F190&gt;=BN$5-4, $F190&lt;=BN$5, COUNTIF($M190:BM190,"u")=0), "u", "")</f>
        <v/>
      </c>
      <c r="BO190" s="80" t="str">
        <f>IF(AND($F190&lt;&gt;"", $F190&gt;=BO$5-4, $F190&lt;=BO$5, COUNTIF($M190:BN190,"u")=0), "u", "")</f>
        <v/>
      </c>
      <c r="BP190" s="80" t="str">
        <f>IF(AND($F190&lt;&gt;"", $F190&gt;=BP$5-4, $F190&lt;=BP$5, COUNTIF($M190:BO190,"u")=0), "u", "")</f>
        <v/>
      </c>
      <c r="BQ190" s="80" t="str">
        <f>IF(AND($F190&lt;&gt;"", $F190&gt;=BQ$5-4, $F190&lt;=BQ$5, COUNTIF($M190:BP190,"u")=0), "u", "")</f>
        <v/>
      </c>
      <c r="BR190" s="80" t="str">
        <f>IF(AND($F190&lt;&gt;"", $F190&gt;=BR$5-4, $F190&lt;=BR$5, COUNTIF($M190:BQ190,"u")=0), "u", "")</f>
        <v/>
      </c>
      <c r="BS190" s="80" t="str">
        <f>IF(AND($F190&lt;&gt;"", $F190&gt;=BS$5-4, $F190&lt;=BS$5, COUNTIF($M190:BR190,"u")=0), "u", "")</f>
        <v/>
      </c>
      <c r="BT190" s="80" t="str">
        <f>IF(AND($F190&lt;&gt;"", $F190&gt;=BT$5-4, $F190&lt;=BT$5, COUNTIF($M190:BS190,"u")=0), "u", "")</f>
        <v/>
      </c>
      <c r="BU190" s="80" t="str">
        <f>IF(AND($F190&lt;&gt;"", $F190&gt;=BU$5-4, $F190&lt;=BU$5, COUNTIF($M190:BT190,"u")=0), "u", "")</f>
        <v/>
      </c>
      <c r="BV190" s="80" t="str">
        <f>IF(AND($F190&lt;&gt;"", $F190&gt;=BV$5-4, $F190&lt;=BV$5, COUNTIF($M190:BU190,"u")=0), "u", "")</f>
        <v/>
      </c>
      <c r="BW190" s="80" t="str">
        <f>IF(AND($F190&lt;&gt;"", $F190&gt;=BW$5-4, $F190&lt;=BW$5, COUNTIF($M190:BV190,"u")=0), "u", "")</f>
        <v/>
      </c>
      <c r="BX190" s="80" t="str">
        <f>IF(AND($F190&lt;&gt;"", $F190&gt;=BX$5-4, $F190&lt;=BX$5, COUNTIF($M190:BW190,"u")=0), "u", "")</f>
        <v/>
      </c>
      <c r="BY190" s="80" t="str">
        <f>IF(AND($F190&lt;&gt;"", $F190&gt;=BY$5-4, $F190&lt;=BY$5, COUNTIF($M190:BX190,"u")=0), "u", "")</f>
        <v/>
      </c>
      <c r="BZ190" s="80" t="str">
        <f>IF(AND($F190&lt;&gt;"", $F190&gt;=BZ$5-4, $F190&lt;=BZ$5, COUNTIF($M190:BY190,"u")=0), "u", "")</f>
        <v/>
      </c>
      <c r="CA190" s="80" t="str">
        <f>IF(AND($F190&lt;&gt;"", $F190&gt;=CA$5-4, $F190&lt;=CA$5, COUNTIF($M190:BZ190,"u")=0), "u", "")</f>
        <v/>
      </c>
      <c r="CB190" s="80" t="str">
        <f>IF(AND($F190&lt;&gt;"", $F190&gt;=CB$5-4, $F190&lt;=CB$5, COUNTIF($M190:CA190,"u")=0), "u", "")</f>
        <v/>
      </c>
      <c r="CC190" s="80" t="str">
        <f>IF(AND($F190&lt;&gt;"", $F190&gt;=CC$5-4, $F190&lt;=CC$5, COUNTIF($M190:CB190,"u")=0), "u", "")</f>
        <v/>
      </c>
      <c r="CD190" s="80" t="str">
        <f>IF(AND($F190&lt;&gt;"", $F190&gt;=CD$5-4, $F190&lt;=CD$5, COUNTIF($M190:CC190,"u")=0), "u", "")</f>
        <v/>
      </c>
      <c r="CE190" s="80" t="str">
        <f>IF(AND($F190&lt;&gt;"", $F190&gt;=CE$5-4, $F190&lt;=CE$5, COUNTIF($M190:CD190,"u")=0), "u", "")</f>
        <v/>
      </c>
      <c r="CF190" s="80" t="str">
        <f>IF(AND($F190&lt;&gt;"", $F190&gt;=CF$5-4, $F190&lt;=CF$5, COUNTIF($M190:CE190,"u")=0), "u", "")</f>
        <v/>
      </c>
      <c r="CG190" s="80" t="str">
        <f>IF(AND($F190&lt;&gt;"", $F190&gt;=CG$5-4, $F190&lt;=CG$5, COUNTIF($M190:CF190,"u")=0), "u", "")</f>
        <v/>
      </c>
      <c r="CH190" s="80" t="str">
        <f>IF(AND($F190&lt;&gt;"", $F190&gt;=CH$5-4, $F190&lt;=CH$5, COUNTIF($M190:CG190,"u")=0), "u", "")</f>
        <v/>
      </c>
      <c r="CI190" s="80" t="str">
        <f>IF(AND($F190&lt;&gt;"", $F190&gt;=CI$5-4, $F190&lt;=CI$5, COUNTIF($M190:CH190,"u")=0), "u", "")</f>
        <v/>
      </c>
      <c r="CJ190" s="80" t="str">
        <f>IF(AND($F190&lt;&gt;"", $F190&gt;=CJ$5-4, $F190&lt;=CJ$5, COUNTIF($M190:CI190,"u")=0), "u", "")</f>
        <v/>
      </c>
      <c r="CK190" s="80" t="str">
        <f>IF(AND($F190&lt;&gt;"", $F190&gt;=CK$5-4, $F190&lt;=CK$5, COUNTIF($M190:CJ190,"u")=0), "u", "")</f>
        <v/>
      </c>
      <c r="CL190" s="80" t="str">
        <f>IF(AND($F190&lt;&gt;"", $F190&gt;=CL$5-4, $F190&lt;=CL$5, COUNTIF($M190:CK190,"u")=0), "u", "")</f>
        <v/>
      </c>
      <c r="CM190" s="80" t="str">
        <f>IF(AND($F190&lt;&gt;"", $F190&gt;=CM$5-4, $F190&lt;=CM$5, COUNTIF($M190:CL190,"u")=0), "u", "")</f>
        <v/>
      </c>
      <c r="CN190" s="80" t="str">
        <f>IF(AND($F190&lt;&gt;"", $F190&gt;=CN$5-4, $F190&lt;=CN$5, COUNTIF($M190:CM190,"u")=0), "u", "")</f>
        <v/>
      </c>
      <c r="CO190" s="80" t="str">
        <f>IF(AND($F190&lt;&gt;"", $F190&gt;=CO$5-4, $F190&lt;=CO$5, COUNTIF($M190:CN190,"u")=0), "u", "")</f>
        <v/>
      </c>
      <c r="CP190" s="80" t="str">
        <f>IF(AND($F190&lt;&gt;"", $F190&gt;=CP$5-4, $F190&lt;=CP$5, COUNTIF($M190:CO190,"u")=0), "u", "")</f>
        <v/>
      </c>
      <c r="CQ190" s="80" t="str">
        <f>IF(AND($F190&lt;&gt;"", $F190&gt;=CQ$5-4, $F190&lt;=CQ$5, COUNTIF($M190:CP190,"u")=0), "u", "")</f>
        <v/>
      </c>
      <c r="CR190" s="80" t="str">
        <f>IF(AND($F190&lt;&gt;"", $F190&gt;=CR$5-4, $F190&lt;=CR$5, COUNTIF($M190:CQ190,"u")=0), "u", "")</f>
        <v/>
      </c>
      <c r="CS190" s="80" t="str">
        <f>IF(AND($F190&lt;&gt;"", $F190&gt;=CS$5-4, $F190&lt;=CS$5, COUNTIF($M190:CR190,"u")=0), "u", "")</f>
        <v/>
      </c>
      <c r="CT190" s="80" t="str">
        <f>IF(AND($F190&lt;&gt;"", $F190&gt;=CT$5-4, $F190&lt;=CT$5, COUNTIF($M190:CS190,"u")=0), "u", "")</f>
        <v/>
      </c>
      <c r="CU190" s="80" t="str">
        <f>IF(AND($F190&lt;&gt;"", $F190&gt;=CU$5-4, $F190&lt;=CU$5, COUNTIF($M190:CT190,"u")=0), "u", "")</f>
        <v/>
      </c>
      <c r="CV190" s="80" t="str">
        <f>IF(AND($F190&lt;&gt;"", $F190&gt;=CV$5-4, $F190&lt;=CV$5, COUNTIF($M190:CU190,"u")=0), "u", "")</f>
        <v/>
      </c>
      <c r="CW190" s="80" t="str">
        <f>IF(AND($F190&lt;&gt;"", $F190&gt;=CW$5-4, $F190&lt;=CW$5, COUNTIF($M190:CV190,"u")=0), "u", "")</f>
        <v/>
      </c>
      <c r="CX190" s="80" t="str">
        <f>IF(AND($F190&lt;&gt;"", $F190&gt;=CX$5-4, $F190&lt;=CX$5, COUNTIF($M190:CW190,"u")=0), "u", "")</f>
        <v/>
      </c>
      <c r="CY190" s="80" t="str">
        <f>IF(AND($F190&lt;&gt;"", $F190&gt;=CY$5-4, $F190&lt;=CY$5, COUNTIF($M190:CX190,"u")=0), "u", "")</f>
        <v/>
      </c>
      <c r="CZ190" s="80" t="str">
        <f>IF(AND($F190&lt;&gt;"", $F190&gt;=CZ$5-4, $F190&lt;=CZ$5, COUNTIF($M190:CY190,"u")=0), "u", "")</f>
        <v/>
      </c>
      <c r="DA190" s="80" t="str">
        <f>IF(AND($F190&lt;&gt;"", $F190&gt;=DA$5-4, $F190&lt;=DA$5, COUNTIF($M190:CZ190,"u")=0), "u", "")</f>
        <v/>
      </c>
      <c r="DB190" s="80" t="str">
        <f>IF(AND($F190&lt;&gt;"", $F190&gt;=DB$5-4, $F190&lt;=DB$5, COUNTIF($M190:DA190,"u")=0), "u", "")</f>
        <v/>
      </c>
      <c r="DC190" s="80" t="str">
        <f>IF(AND($F190&lt;&gt;"", $F190&gt;=DC$5-4, $F190&lt;=DC$5, COUNTIF($M190:DB190,"u")=0), "u", "")</f>
        <v/>
      </c>
      <c r="DD190" s="80" t="str">
        <f>IF(AND($F190&lt;&gt;"", $F190&gt;=DD$5-4, $F190&lt;=DD$5, COUNTIF($M190:DC190,"u")=0), "u", "")</f>
        <v/>
      </c>
      <c r="DE190" s="80" t="str">
        <f>IF(AND($F190&lt;&gt;"", $F190&gt;=DE$5-4, $F190&lt;=DE$5, COUNTIF($M190:DD190,"u")=0), "u", "")</f>
        <v/>
      </c>
      <c r="DF190" s="80" t="str">
        <f>IF(AND($F190&lt;&gt;"", $F190&gt;=DF$5-4, $F190&lt;=DF$5, COUNTIF($M190:DE190,"u")=0), "u", "")</f>
        <v/>
      </c>
      <c r="DG190" s="80" t="str">
        <f>IF(AND($F190&lt;&gt;"", $F190&gt;=DG$5-4, $F190&lt;=DG$5, COUNTIF($M190:DF190,"u")=0), "u", "")</f>
        <v/>
      </c>
      <c r="DH190" s="80" t="str">
        <f>IF(AND($F190&lt;&gt;"", $F190&gt;=DH$5-4, $F190&lt;=DH$5, COUNTIF($M190:DG190,"u")=0), "u", "")</f>
        <v/>
      </c>
      <c r="DI190" s="80" t="str">
        <f>IF(AND($F190&lt;&gt;"", $F190&gt;=DI$5-4, $F190&lt;=DI$5, COUNTIF($M190:DH190,"u")=0), "u", "")</f>
        <v/>
      </c>
      <c r="DJ190" s="80" t="str">
        <f>IF(AND($F190&lt;&gt;"", $F190&gt;=DJ$5-4, $F190&lt;=DJ$5, COUNTIF($M190:DI190,"u")=0), "u", "")</f>
        <v/>
      </c>
      <c r="DK190" s="80" t="str">
        <f>IF(AND($F190&lt;&gt;"", $F190&gt;=DK$5-4, $F190&lt;=DK$5, COUNTIF($M190:DJ190,"u")=0), "u", "")</f>
        <v/>
      </c>
      <c r="DL190" s="80" t="str">
        <f>IF(AND($F190&lt;&gt;"", $F190&gt;=DL$5-4, $F190&lt;=DL$5, COUNTIF($M190:DK190,"u")=0), "u", "")</f>
        <v/>
      </c>
    </row>
    <row r="191" spans="1:116" ht="25.05" customHeight="1" x14ac:dyDescent="0.3">
      <c r="A191" s="39"/>
      <c r="B191" s="75">
        <v>186</v>
      </c>
      <c r="C191" s="97"/>
      <c r="D191" s="92"/>
      <c r="E191" s="53"/>
      <c r="F191" s="53"/>
      <c r="G191" s="83" t="str">
        <f t="shared" si="53"/>
        <v/>
      </c>
      <c r="H191" s="83" t="str">
        <f t="shared" si="53"/>
        <v/>
      </c>
      <c r="I191" s="77" t="str">
        <f t="shared" si="51"/>
        <v/>
      </c>
      <c r="J191" s="78"/>
      <c r="K191" s="86"/>
      <c r="L191" s="56"/>
      <c r="M191" s="80" t="str">
        <f t="shared" si="52"/>
        <v/>
      </c>
      <c r="N191" s="80" t="str">
        <f>IF(AND($F191&lt;&gt;"", $F191&gt;=N$5-4, $F191&lt;=N$5, COUNTIF($M191:M191,"u")=0), "u", "")</f>
        <v/>
      </c>
      <c r="O191" s="80" t="str">
        <f>IF(AND($F191&lt;&gt;"", $F191&gt;=O$5-4, $F191&lt;=O$5, COUNTIF($M191:N191,"u")=0), "u", "")</f>
        <v/>
      </c>
      <c r="P191" s="80" t="str">
        <f>IF(AND($F191&lt;&gt;"", $F191&gt;=P$5-4, $F191&lt;=P$5, COUNTIF($M191:O191,"u")=0), "u", "")</f>
        <v/>
      </c>
      <c r="Q191" s="80" t="str">
        <f>IF(AND($F191&lt;&gt;"", $F191&gt;=Q$5-4, $F191&lt;=Q$5, COUNTIF($M191:P191,"u")=0), "u", "")</f>
        <v/>
      </c>
      <c r="R191" s="80" t="str">
        <f>IF(AND($F191&lt;&gt;"", $F191&gt;=R$5-4, $F191&lt;=R$5, COUNTIF($M191:Q191,"u")=0), "u", "")</f>
        <v/>
      </c>
      <c r="S191" s="80" t="str">
        <f>IF(AND($F191&lt;&gt;"", $F191&gt;=S$5-4, $F191&lt;=S$5, COUNTIF($M191:R191,"u")=0), "u", "")</f>
        <v/>
      </c>
      <c r="T191" s="80" t="str">
        <f>IF(AND($F191&lt;&gt;"", $F191&gt;=T$5-4, $F191&lt;=T$5, COUNTIF($M191:S191,"u")=0), "u", "")</f>
        <v/>
      </c>
      <c r="U191" s="80" t="str">
        <f>IF(AND($F191&lt;&gt;"", $F191&gt;=U$5-4, $F191&lt;=U$5, COUNTIF($M191:T191,"u")=0), "u", "")</f>
        <v/>
      </c>
      <c r="V191" s="80" t="str">
        <f>IF(AND($F191&lt;&gt;"", $F191&gt;=V$5-4, $F191&lt;=V$5, COUNTIF($M191:U191,"u")=0), "u", "")</f>
        <v/>
      </c>
      <c r="W191" s="80" t="str">
        <f>IF(AND($F191&lt;&gt;"", $F191&gt;=W$5-4, $F191&lt;=W$5, COUNTIF($M191:V191,"u")=0), "u", "")</f>
        <v/>
      </c>
      <c r="X191" s="80" t="str">
        <f>IF(AND($F191&lt;&gt;"", $F191&gt;=X$5-4, $F191&lt;=X$5, COUNTIF($M191:W191,"u")=0), "u", "")</f>
        <v/>
      </c>
      <c r="Y191" s="80" t="str">
        <f>IF(AND($F191&lt;&gt;"", $F191&gt;=Y$5-4, $F191&lt;=Y$5, COUNTIF($M191:X191,"u")=0), "u", "")</f>
        <v/>
      </c>
      <c r="Z191" s="80" t="str">
        <f>IF(AND($F191&lt;&gt;"", $F191&gt;=Z$5-4, $F191&lt;=Z$5, COUNTIF($M191:Y191,"u")=0), "u", "")</f>
        <v/>
      </c>
      <c r="AA191" s="80" t="str">
        <f>IF(AND($F191&lt;&gt;"", $F191&gt;=AA$5-4, $F191&lt;=AA$5, COUNTIF($M191:Z191,"u")=0), "u", "")</f>
        <v/>
      </c>
      <c r="AB191" s="80" t="str">
        <f>IF(AND($F191&lt;&gt;"", $F191&gt;=AB$5-4, $F191&lt;=AB$5, COUNTIF($M191:AA191,"u")=0), "u", "")</f>
        <v/>
      </c>
      <c r="AC191" s="80" t="str">
        <f>IF(AND($F191&lt;&gt;"", $F191&gt;=AC$5-4, $F191&lt;=AC$5, COUNTIF($M191:AB191,"u")=0), "u", "")</f>
        <v/>
      </c>
      <c r="AD191" s="80" t="str">
        <f>IF(AND($F191&lt;&gt;"", $F191&gt;=AD$5-4, $F191&lt;=AD$5, COUNTIF($M191:AC191,"u")=0), "u", "")</f>
        <v/>
      </c>
      <c r="AE191" s="80" t="str">
        <f>IF(AND($F191&lt;&gt;"", $F191&gt;=AE$5-4, $F191&lt;=AE$5, COUNTIF($M191:AD191,"u")=0), "u", "")</f>
        <v/>
      </c>
      <c r="AF191" s="80" t="str">
        <f>IF(AND($F191&lt;&gt;"", $F191&gt;=AF$5-4, $F191&lt;=AF$5, COUNTIF($M191:AE191,"u")=0), "u", "")</f>
        <v/>
      </c>
      <c r="AG191" s="80" t="str">
        <f>IF(AND($F191&lt;&gt;"", $F191&gt;=AG$5-4, $F191&lt;=AG$5, COUNTIF($M191:AF191,"u")=0), "u", "")</f>
        <v/>
      </c>
      <c r="AH191" s="80" t="str">
        <f>IF(AND($F191&lt;&gt;"", $F191&gt;=AH$5-4, $F191&lt;=AH$5, COUNTIF($M191:AG191,"u")=0), "u", "")</f>
        <v/>
      </c>
      <c r="AI191" s="80" t="str">
        <f>IF(AND($F191&lt;&gt;"", $F191&gt;=AI$5-4, $F191&lt;=AI$5, COUNTIF($M191:AH191,"u")=0), "u", "")</f>
        <v/>
      </c>
      <c r="AJ191" s="80" t="str">
        <f>IF(AND($F191&lt;&gt;"", $F191&gt;=AJ$5-4, $F191&lt;=AJ$5, COUNTIF($M191:AI191,"u")=0), "u", "")</f>
        <v/>
      </c>
      <c r="AK191" s="80" t="str">
        <f>IF(AND($F191&lt;&gt;"", $F191&gt;=AK$5-4, $F191&lt;=AK$5, COUNTIF($M191:AJ191,"u")=0), "u", "")</f>
        <v/>
      </c>
      <c r="AL191" s="80" t="str">
        <f>IF(AND($F191&lt;&gt;"", $F191&gt;=AL$5-4, $F191&lt;=AL$5, COUNTIF($M191:AK191,"u")=0), "u", "")</f>
        <v/>
      </c>
      <c r="AM191" s="80" t="str">
        <f>IF(AND($F191&lt;&gt;"", $F191&gt;=AM$5-4, $F191&lt;=AM$5, COUNTIF($M191:AL191,"u")=0), "u", "")</f>
        <v/>
      </c>
      <c r="AN191" s="80" t="str">
        <f>IF(AND($F191&lt;&gt;"", $F191&gt;=AN$5-4, $F191&lt;=AN$5, COUNTIF($M191:AM191,"u")=0), "u", "")</f>
        <v/>
      </c>
      <c r="AO191" s="80" t="str">
        <f>IF(AND($F191&lt;&gt;"", $F191&gt;=AO$5-4, $F191&lt;=AO$5, COUNTIF($M191:AN191,"u")=0), "u", "")</f>
        <v/>
      </c>
      <c r="AP191" s="80" t="str">
        <f>IF(AND($F191&lt;&gt;"", $F191&gt;=AP$5-4, $F191&lt;=AP$5, COUNTIF($M191:AO191,"u")=0), "u", "")</f>
        <v/>
      </c>
      <c r="AQ191" s="80" t="str">
        <f>IF(AND($F191&lt;&gt;"", $F191&gt;=AQ$5-4, $F191&lt;=AQ$5, COUNTIF($M191:AP191,"u")=0), "u", "")</f>
        <v/>
      </c>
      <c r="AR191" s="80" t="str">
        <f>IF(AND($F191&lt;&gt;"", $F191&gt;=AR$5-4, $F191&lt;=AR$5, COUNTIF($M191:AQ191,"u")=0), "u", "")</f>
        <v/>
      </c>
      <c r="AS191" s="80" t="str">
        <f>IF(AND($F191&lt;&gt;"", $F191&gt;=AS$5-4, $F191&lt;=AS$5, COUNTIF($M191:AR191,"u")=0), "u", "")</f>
        <v/>
      </c>
      <c r="AT191" s="80" t="str">
        <f>IF(AND($F191&lt;&gt;"", $F191&gt;=AT$5-4, $F191&lt;=AT$5, COUNTIF($M191:AS191,"u")=0), "u", "")</f>
        <v/>
      </c>
      <c r="AU191" s="80" t="str">
        <f>IF(AND($F191&lt;&gt;"", $F191&gt;=AU$5-4, $F191&lt;=AU$5, COUNTIF($M191:AT191,"u")=0), "u", "")</f>
        <v/>
      </c>
      <c r="AV191" s="80" t="str">
        <f>IF(AND($F191&lt;&gt;"", $F191&gt;=AV$5-4, $F191&lt;=AV$5, COUNTIF($M191:AU191,"u")=0), "u", "")</f>
        <v/>
      </c>
      <c r="AW191" s="80" t="str">
        <f>IF(AND($F191&lt;&gt;"", $F191&gt;=AW$5-4, $F191&lt;=AW$5, COUNTIF($M191:AV191,"u")=0), "u", "")</f>
        <v/>
      </c>
      <c r="AX191" s="80" t="str">
        <f>IF(AND($F191&lt;&gt;"", $F191&gt;=AX$5-4, $F191&lt;=AX$5, COUNTIF($M191:AW191,"u")=0), "u", "")</f>
        <v/>
      </c>
      <c r="AY191" s="80" t="str">
        <f>IF(AND($F191&lt;&gt;"", $F191&gt;=AY$5-4, $F191&lt;=AY$5, COUNTIF($M191:AX191,"u")=0), "u", "")</f>
        <v/>
      </c>
      <c r="AZ191" s="80" t="str">
        <f>IF(AND($F191&lt;&gt;"", $F191&gt;=AZ$5-4, $F191&lt;=AZ$5, COUNTIF($M191:AY191,"u")=0), "u", "")</f>
        <v/>
      </c>
      <c r="BA191" s="80" t="str">
        <f>IF(AND($F191&lt;&gt;"", $F191&gt;=BA$5-4, $F191&lt;=BA$5, COUNTIF($M191:AZ191,"u")=0), "u", "")</f>
        <v/>
      </c>
      <c r="BB191" s="80" t="str">
        <f>IF(AND($F191&lt;&gt;"", $F191&gt;=BB$5-4, $F191&lt;=BB$5, COUNTIF($M191:BA191,"u")=0), "u", "")</f>
        <v/>
      </c>
      <c r="BC191" s="80" t="str">
        <f>IF(AND($F191&lt;&gt;"", $F191&gt;=BC$5-4, $F191&lt;=BC$5, COUNTIF($M191:BB191,"u")=0), "u", "")</f>
        <v/>
      </c>
      <c r="BD191" s="80" t="str">
        <f>IF(AND($F191&lt;&gt;"", $F191&gt;=BD$5-4, $F191&lt;=BD$5, COUNTIF($M191:BC191,"u")=0), "u", "")</f>
        <v/>
      </c>
      <c r="BE191" s="80" t="str">
        <f>IF(AND($F191&lt;&gt;"", $F191&gt;=BE$5-4, $F191&lt;=BE$5, COUNTIF($M191:BD191,"u")=0), "u", "")</f>
        <v/>
      </c>
      <c r="BF191" s="80" t="str">
        <f>IF(AND($F191&lt;&gt;"", $F191&gt;=BF$5-4, $F191&lt;=BF$5, COUNTIF($M191:BE191,"u")=0), "u", "")</f>
        <v/>
      </c>
      <c r="BG191" s="80" t="str">
        <f>IF(AND($F191&lt;&gt;"", $F191&gt;=BG$5-4, $F191&lt;=BG$5, COUNTIF($M191:BF191,"u")=0), "u", "")</f>
        <v/>
      </c>
      <c r="BH191" s="80" t="str">
        <f>IF(AND($F191&lt;&gt;"", $F191&gt;=BH$5-4, $F191&lt;=BH$5, COUNTIF($M191:BG191,"u")=0), "u", "")</f>
        <v/>
      </c>
      <c r="BI191" s="80" t="str">
        <f>IF(AND($F191&lt;&gt;"", $F191&gt;=BI$5-4, $F191&lt;=BI$5, COUNTIF($M191:BH191,"u")=0), "u", "")</f>
        <v/>
      </c>
      <c r="BJ191" s="80" t="str">
        <f>IF(AND($F191&lt;&gt;"", $F191&gt;=BJ$5-4, $F191&lt;=BJ$5, COUNTIF($M191:BI191,"u")=0), "u", "")</f>
        <v/>
      </c>
      <c r="BK191" s="80" t="str">
        <f>IF(AND($F191&lt;&gt;"", $F191&gt;=BK$5-4, $F191&lt;=BK$5, COUNTIF($M191:BJ191,"u")=0), "u", "")</f>
        <v/>
      </c>
      <c r="BL191" s="80" t="str">
        <f>IF(AND($F191&lt;&gt;"", $F191&gt;=BL$5-4, $F191&lt;=BL$5, COUNTIF($M191:BK191,"u")=0), "u", "")</f>
        <v/>
      </c>
      <c r="BM191" s="80" t="str">
        <f>IF(AND($F191&lt;&gt;"", $F191&gt;=BM$5-4, $F191&lt;=BM$5, COUNTIF($M191:BL191,"u")=0), "u", "")</f>
        <v/>
      </c>
      <c r="BN191" s="80" t="str">
        <f>IF(AND($F191&lt;&gt;"", $F191&gt;=BN$5-4, $F191&lt;=BN$5, COUNTIF($M191:BM191,"u")=0), "u", "")</f>
        <v/>
      </c>
      <c r="BO191" s="80" t="str">
        <f>IF(AND($F191&lt;&gt;"", $F191&gt;=BO$5-4, $F191&lt;=BO$5, COUNTIF($M191:BN191,"u")=0), "u", "")</f>
        <v/>
      </c>
      <c r="BP191" s="80" t="str">
        <f>IF(AND($F191&lt;&gt;"", $F191&gt;=BP$5-4, $F191&lt;=BP$5, COUNTIF($M191:BO191,"u")=0), "u", "")</f>
        <v/>
      </c>
      <c r="BQ191" s="80" t="str">
        <f>IF(AND($F191&lt;&gt;"", $F191&gt;=BQ$5-4, $F191&lt;=BQ$5, COUNTIF($M191:BP191,"u")=0), "u", "")</f>
        <v/>
      </c>
      <c r="BR191" s="80" t="str">
        <f>IF(AND($F191&lt;&gt;"", $F191&gt;=BR$5-4, $F191&lt;=BR$5, COUNTIF($M191:BQ191,"u")=0), "u", "")</f>
        <v/>
      </c>
      <c r="BS191" s="80" t="str">
        <f>IF(AND($F191&lt;&gt;"", $F191&gt;=BS$5-4, $F191&lt;=BS$5, COUNTIF($M191:BR191,"u")=0), "u", "")</f>
        <v/>
      </c>
      <c r="BT191" s="80" t="str">
        <f>IF(AND($F191&lt;&gt;"", $F191&gt;=BT$5-4, $F191&lt;=BT$5, COUNTIF($M191:BS191,"u")=0), "u", "")</f>
        <v/>
      </c>
      <c r="BU191" s="80" t="str">
        <f>IF(AND($F191&lt;&gt;"", $F191&gt;=BU$5-4, $F191&lt;=BU$5, COUNTIF($M191:BT191,"u")=0), "u", "")</f>
        <v/>
      </c>
      <c r="BV191" s="80" t="str">
        <f>IF(AND($F191&lt;&gt;"", $F191&gt;=BV$5-4, $F191&lt;=BV$5, COUNTIF($M191:BU191,"u")=0), "u", "")</f>
        <v/>
      </c>
      <c r="BW191" s="80" t="str">
        <f>IF(AND($F191&lt;&gt;"", $F191&gt;=BW$5-4, $F191&lt;=BW$5, COUNTIF($M191:BV191,"u")=0), "u", "")</f>
        <v/>
      </c>
      <c r="BX191" s="80" t="str">
        <f>IF(AND($F191&lt;&gt;"", $F191&gt;=BX$5-4, $F191&lt;=BX$5, COUNTIF($M191:BW191,"u")=0), "u", "")</f>
        <v/>
      </c>
      <c r="BY191" s="80" t="str">
        <f>IF(AND($F191&lt;&gt;"", $F191&gt;=BY$5-4, $F191&lt;=BY$5, COUNTIF($M191:BX191,"u")=0), "u", "")</f>
        <v/>
      </c>
      <c r="BZ191" s="80" t="str">
        <f>IF(AND($F191&lt;&gt;"", $F191&gt;=BZ$5-4, $F191&lt;=BZ$5, COUNTIF($M191:BY191,"u")=0), "u", "")</f>
        <v/>
      </c>
      <c r="CA191" s="80" t="str">
        <f>IF(AND($F191&lt;&gt;"", $F191&gt;=CA$5-4, $F191&lt;=CA$5, COUNTIF($M191:BZ191,"u")=0), "u", "")</f>
        <v/>
      </c>
      <c r="CB191" s="80" t="str">
        <f>IF(AND($F191&lt;&gt;"", $F191&gt;=CB$5-4, $F191&lt;=CB$5, COUNTIF($M191:CA191,"u")=0), "u", "")</f>
        <v/>
      </c>
      <c r="CC191" s="80" t="str">
        <f>IF(AND($F191&lt;&gt;"", $F191&gt;=CC$5-4, $F191&lt;=CC$5, COUNTIF($M191:CB191,"u")=0), "u", "")</f>
        <v/>
      </c>
      <c r="CD191" s="80" t="str">
        <f>IF(AND($F191&lt;&gt;"", $F191&gt;=CD$5-4, $F191&lt;=CD$5, COUNTIF($M191:CC191,"u")=0), "u", "")</f>
        <v/>
      </c>
      <c r="CE191" s="80" t="str">
        <f>IF(AND($F191&lt;&gt;"", $F191&gt;=CE$5-4, $F191&lt;=CE$5, COUNTIF($M191:CD191,"u")=0), "u", "")</f>
        <v/>
      </c>
      <c r="CF191" s="80" t="str">
        <f>IF(AND($F191&lt;&gt;"", $F191&gt;=CF$5-4, $F191&lt;=CF$5, COUNTIF($M191:CE191,"u")=0), "u", "")</f>
        <v/>
      </c>
      <c r="CG191" s="80" t="str">
        <f>IF(AND($F191&lt;&gt;"", $F191&gt;=CG$5-4, $F191&lt;=CG$5, COUNTIF($M191:CF191,"u")=0), "u", "")</f>
        <v/>
      </c>
      <c r="CH191" s="80" t="str">
        <f>IF(AND($F191&lt;&gt;"", $F191&gt;=CH$5-4, $F191&lt;=CH$5, COUNTIF($M191:CG191,"u")=0), "u", "")</f>
        <v/>
      </c>
      <c r="CI191" s="80" t="str">
        <f>IF(AND($F191&lt;&gt;"", $F191&gt;=CI$5-4, $F191&lt;=CI$5, COUNTIF($M191:CH191,"u")=0), "u", "")</f>
        <v/>
      </c>
      <c r="CJ191" s="80" t="str">
        <f>IF(AND($F191&lt;&gt;"", $F191&gt;=CJ$5-4, $F191&lt;=CJ$5, COUNTIF($M191:CI191,"u")=0), "u", "")</f>
        <v/>
      </c>
      <c r="CK191" s="80" t="str">
        <f>IF(AND($F191&lt;&gt;"", $F191&gt;=CK$5-4, $F191&lt;=CK$5, COUNTIF($M191:CJ191,"u")=0), "u", "")</f>
        <v/>
      </c>
      <c r="CL191" s="80" t="str">
        <f>IF(AND($F191&lt;&gt;"", $F191&gt;=CL$5-4, $F191&lt;=CL$5, COUNTIF($M191:CK191,"u")=0), "u", "")</f>
        <v/>
      </c>
      <c r="CM191" s="80" t="str">
        <f>IF(AND($F191&lt;&gt;"", $F191&gt;=CM$5-4, $F191&lt;=CM$5, COUNTIF($M191:CL191,"u")=0), "u", "")</f>
        <v/>
      </c>
      <c r="CN191" s="80" t="str">
        <f>IF(AND($F191&lt;&gt;"", $F191&gt;=CN$5-4, $F191&lt;=CN$5, COUNTIF($M191:CM191,"u")=0), "u", "")</f>
        <v/>
      </c>
      <c r="CO191" s="80" t="str">
        <f>IF(AND($F191&lt;&gt;"", $F191&gt;=CO$5-4, $F191&lt;=CO$5, COUNTIF($M191:CN191,"u")=0), "u", "")</f>
        <v/>
      </c>
      <c r="CP191" s="80" t="str">
        <f>IF(AND($F191&lt;&gt;"", $F191&gt;=CP$5-4, $F191&lt;=CP$5, COUNTIF($M191:CO191,"u")=0), "u", "")</f>
        <v/>
      </c>
      <c r="CQ191" s="80" t="str">
        <f>IF(AND($F191&lt;&gt;"", $F191&gt;=CQ$5-4, $F191&lt;=CQ$5, COUNTIF($M191:CP191,"u")=0), "u", "")</f>
        <v/>
      </c>
      <c r="CR191" s="80" t="str">
        <f>IF(AND($F191&lt;&gt;"", $F191&gt;=CR$5-4, $F191&lt;=CR$5, COUNTIF($M191:CQ191,"u")=0), "u", "")</f>
        <v/>
      </c>
      <c r="CS191" s="80" t="str">
        <f>IF(AND($F191&lt;&gt;"", $F191&gt;=CS$5-4, $F191&lt;=CS$5, COUNTIF($M191:CR191,"u")=0), "u", "")</f>
        <v/>
      </c>
      <c r="CT191" s="80" t="str">
        <f>IF(AND($F191&lt;&gt;"", $F191&gt;=CT$5-4, $F191&lt;=CT$5, COUNTIF($M191:CS191,"u")=0), "u", "")</f>
        <v/>
      </c>
      <c r="CU191" s="80" t="str">
        <f>IF(AND($F191&lt;&gt;"", $F191&gt;=CU$5-4, $F191&lt;=CU$5, COUNTIF($M191:CT191,"u")=0), "u", "")</f>
        <v/>
      </c>
      <c r="CV191" s="80" t="str">
        <f>IF(AND($F191&lt;&gt;"", $F191&gt;=CV$5-4, $F191&lt;=CV$5, COUNTIF($M191:CU191,"u")=0), "u", "")</f>
        <v/>
      </c>
      <c r="CW191" s="80" t="str">
        <f>IF(AND($F191&lt;&gt;"", $F191&gt;=CW$5-4, $F191&lt;=CW$5, COUNTIF($M191:CV191,"u")=0), "u", "")</f>
        <v/>
      </c>
      <c r="CX191" s="80" t="str">
        <f>IF(AND($F191&lt;&gt;"", $F191&gt;=CX$5-4, $F191&lt;=CX$5, COUNTIF($M191:CW191,"u")=0), "u", "")</f>
        <v/>
      </c>
      <c r="CY191" s="80" t="str">
        <f>IF(AND($F191&lt;&gt;"", $F191&gt;=CY$5-4, $F191&lt;=CY$5, COUNTIF($M191:CX191,"u")=0), "u", "")</f>
        <v/>
      </c>
      <c r="CZ191" s="80" t="str">
        <f>IF(AND($F191&lt;&gt;"", $F191&gt;=CZ$5-4, $F191&lt;=CZ$5, COUNTIF($M191:CY191,"u")=0), "u", "")</f>
        <v/>
      </c>
      <c r="DA191" s="80" t="str">
        <f>IF(AND($F191&lt;&gt;"", $F191&gt;=DA$5-4, $F191&lt;=DA$5, COUNTIF($M191:CZ191,"u")=0), "u", "")</f>
        <v/>
      </c>
      <c r="DB191" s="80" t="str">
        <f>IF(AND($F191&lt;&gt;"", $F191&gt;=DB$5-4, $F191&lt;=DB$5, COUNTIF($M191:DA191,"u")=0), "u", "")</f>
        <v/>
      </c>
      <c r="DC191" s="80" t="str">
        <f>IF(AND($F191&lt;&gt;"", $F191&gt;=DC$5-4, $F191&lt;=DC$5, COUNTIF($M191:DB191,"u")=0), "u", "")</f>
        <v/>
      </c>
      <c r="DD191" s="80" t="str">
        <f>IF(AND($F191&lt;&gt;"", $F191&gt;=DD$5-4, $F191&lt;=DD$5, COUNTIF($M191:DC191,"u")=0), "u", "")</f>
        <v/>
      </c>
      <c r="DE191" s="80" t="str">
        <f>IF(AND($F191&lt;&gt;"", $F191&gt;=DE$5-4, $F191&lt;=DE$5, COUNTIF($M191:DD191,"u")=0), "u", "")</f>
        <v/>
      </c>
      <c r="DF191" s="80" t="str">
        <f>IF(AND($F191&lt;&gt;"", $F191&gt;=DF$5-4, $F191&lt;=DF$5, COUNTIF($M191:DE191,"u")=0), "u", "")</f>
        <v/>
      </c>
      <c r="DG191" s="80" t="str">
        <f>IF(AND($F191&lt;&gt;"", $F191&gt;=DG$5-4, $F191&lt;=DG$5, COUNTIF($M191:DF191,"u")=0), "u", "")</f>
        <v/>
      </c>
      <c r="DH191" s="80" t="str">
        <f>IF(AND($F191&lt;&gt;"", $F191&gt;=DH$5-4, $F191&lt;=DH$5, COUNTIF($M191:DG191,"u")=0), "u", "")</f>
        <v/>
      </c>
      <c r="DI191" s="80" t="str">
        <f>IF(AND($F191&lt;&gt;"", $F191&gt;=DI$5-4, $F191&lt;=DI$5, COUNTIF($M191:DH191,"u")=0), "u", "")</f>
        <v/>
      </c>
      <c r="DJ191" s="80" t="str">
        <f>IF(AND($F191&lt;&gt;"", $F191&gt;=DJ$5-4, $F191&lt;=DJ$5, COUNTIF($M191:DI191,"u")=0), "u", "")</f>
        <v/>
      </c>
      <c r="DK191" s="80" t="str">
        <f>IF(AND($F191&lt;&gt;"", $F191&gt;=DK$5-4, $F191&lt;=DK$5, COUNTIF($M191:DJ191,"u")=0), "u", "")</f>
        <v/>
      </c>
      <c r="DL191" s="80" t="str">
        <f>IF(AND($F191&lt;&gt;"", $F191&gt;=DL$5-4, $F191&lt;=DL$5, COUNTIF($M191:DK191,"u")=0), "u", "")</f>
        <v/>
      </c>
    </row>
    <row r="192" spans="1:116" ht="25.05" customHeight="1" x14ac:dyDescent="0.3">
      <c r="A192" s="39"/>
      <c r="B192" s="75">
        <v>187</v>
      </c>
      <c r="C192" s="97"/>
      <c r="D192" s="92"/>
      <c r="E192" s="53"/>
      <c r="F192" s="53"/>
      <c r="G192" s="83" t="str">
        <f t="shared" si="53"/>
        <v/>
      </c>
      <c r="H192" s="83" t="str">
        <f t="shared" si="53"/>
        <v/>
      </c>
      <c r="I192" s="77" t="str">
        <f t="shared" si="51"/>
        <v/>
      </c>
      <c r="J192" s="78"/>
      <c r="K192" s="86"/>
      <c r="L192" s="56"/>
      <c r="M192" s="80" t="str">
        <f t="shared" si="52"/>
        <v/>
      </c>
      <c r="N192" s="80" t="str">
        <f>IF(AND($F192&lt;&gt;"", $F192&gt;=N$5-4, $F192&lt;=N$5, COUNTIF($M192:M192,"u")=0), "u", "")</f>
        <v/>
      </c>
      <c r="O192" s="80" t="str">
        <f>IF(AND($F192&lt;&gt;"", $F192&gt;=O$5-4, $F192&lt;=O$5, COUNTIF($M192:N192,"u")=0), "u", "")</f>
        <v/>
      </c>
      <c r="P192" s="80" t="str">
        <f>IF(AND($F192&lt;&gt;"", $F192&gt;=P$5-4, $F192&lt;=P$5, COUNTIF($M192:O192,"u")=0), "u", "")</f>
        <v/>
      </c>
      <c r="Q192" s="80" t="str">
        <f>IF(AND($F192&lt;&gt;"", $F192&gt;=Q$5-4, $F192&lt;=Q$5, COUNTIF($M192:P192,"u")=0), "u", "")</f>
        <v/>
      </c>
      <c r="R192" s="80" t="str">
        <f>IF(AND($F192&lt;&gt;"", $F192&gt;=R$5-4, $F192&lt;=R$5, COUNTIF($M192:Q192,"u")=0), "u", "")</f>
        <v/>
      </c>
      <c r="S192" s="80" t="str">
        <f>IF(AND($F192&lt;&gt;"", $F192&gt;=S$5-4, $F192&lt;=S$5, COUNTIF($M192:R192,"u")=0), "u", "")</f>
        <v/>
      </c>
      <c r="T192" s="80" t="str">
        <f>IF(AND($F192&lt;&gt;"", $F192&gt;=T$5-4, $F192&lt;=T$5, COUNTIF($M192:S192,"u")=0), "u", "")</f>
        <v/>
      </c>
      <c r="U192" s="80" t="str">
        <f>IF(AND($F192&lt;&gt;"", $F192&gt;=U$5-4, $F192&lt;=U$5, COUNTIF($M192:T192,"u")=0), "u", "")</f>
        <v/>
      </c>
      <c r="V192" s="80" t="str">
        <f>IF(AND($F192&lt;&gt;"", $F192&gt;=V$5-4, $F192&lt;=V$5, COUNTIF($M192:U192,"u")=0), "u", "")</f>
        <v/>
      </c>
      <c r="W192" s="80" t="str">
        <f>IF(AND($F192&lt;&gt;"", $F192&gt;=W$5-4, $F192&lt;=W$5, COUNTIF($M192:V192,"u")=0), "u", "")</f>
        <v/>
      </c>
      <c r="X192" s="80" t="str">
        <f>IF(AND($F192&lt;&gt;"", $F192&gt;=X$5-4, $F192&lt;=X$5, COUNTIF($M192:W192,"u")=0), "u", "")</f>
        <v/>
      </c>
      <c r="Y192" s="80" t="str">
        <f>IF(AND($F192&lt;&gt;"", $F192&gt;=Y$5-4, $F192&lt;=Y$5, COUNTIF($M192:X192,"u")=0), "u", "")</f>
        <v/>
      </c>
      <c r="Z192" s="80" t="str">
        <f>IF(AND($F192&lt;&gt;"", $F192&gt;=Z$5-4, $F192&lt;=Z$5, COUNTIF($M192:Y192,"u")=0), "u", "")</f>
        <v/>
      </c>
      <c r="AA192" s="80" t="str">
        <f>IF(AND($F192&lt;&gt;"", $F192&gt;=AA$5-4, $F192&lt;=AA$5, COUNTIF($M192:Z192,"u")=0), "u", "")</f>
        <v/>
      </c>
      <c r="AB192" s="80" t="str">
        <f>IF(AND($F192&lt;&gt;"", $F192&gt;=AB$5-4, $F192&lt;=AB$5, COUNTIF($M192:AA192,"u")=0), "u", "")</f>
        <v/>
      </c>
      <c r="AC192" s="80" t="str">
        <f>IF(AND($F192&lt;&gt;"", $F192&gt;=AC$5-4, $F192&lt;=AC$5, COUNTIF($M192:AB192,"u")=0), "u", "")</f>
        <v/>
      </c>
      <c r="AD192" s="80" t="str">
        <f>IF(AND($F192&lt;&gt;"", $F192&gt;=AD$5-4, $F192&lt;=AD$5, COUNTIF($M192:AC192,"u")=0), "u", "")</f>
        <v/>
      </c>
      <c r="AE192" s="80" t="str">
        <f>IF(AND($F192&lt;&gt;"", $F192&gt;=AE$5-4, $F192&lt;=AE$5, COUNTIF($M192:AD192,"u")=0), "u", "")</f>
        <v/>
      </c>
      <c r="AF192" s="80" t="str">
        <f>IF(AND($F192&lt;&gt;"", $F192&gt;=AF$5-4, $F192&lt;=AF$5, COUNTIF($M192:AE192,"u")=0), "u", "")</f>
        <v/>
      </c>
      <c r="AG192" s="80" t="str">
        <f>IF(AND($F192&lt;&gt;"", $F192&gt;=AG$5-4, $F192&lt;=AG$5, COUNTIF($M192:AF192,"u")=0), "u", "")</f>
        <v/>
      </c>
      <c r="AH192" s="80" t="str">
        <f>IF(AND($F192&lt;&gt;"", $F192&gt;=AH$5-4, $F192&lt;=AH$5, COUNTIF($M192:AG192,"u")=0), "u", "")</f>
        <v/>
      </c>
      <c r="AI192" s="80" t="str">
        <f>IF(AND($F192&lt;&gt;"", $F192&gt;=AI$5-4, $F192&lt;=AI$5, COUNTIF($M192:AH192,"u")=0), "u", "")</f>
        <v/>
      </c>
      <c r="AJ192" s="80" t="str">
        <f>IF(AND($F192&lt;&gt;"", $F192&gt;=AJ$5-4, $F192&lt;=AJ$5, COUNTIF($M192:AI192,"u")=0), "u", "")</f>
        <v/>
      </c>
      <c r="AK192" s="80" t="str">
        <f>IF(AND($F192&lt;&gt;"", $F192&gt;=AK$5-4, $F192&lt;=AK$5, COUNTIF($M192:AJ192,"u")=0), "u", "")</f>
        <v/>
      </c>
      <c r="AL192" s="80" t="str">
        <f>IF(AND($F192&lt;&gt;"", $F192&gt;=AL$5-4, $F192&lt;=AL$5, COUNTIF($M192:AK192,"u")=0), "u", "")</f>
        <v/>
      </c>
      <c r="AM192" s="80" t="str">
        <f>IF(AND($F192&lt;&gt;"", $F192&gt;=AM$5-4, $F192&lt;=AM$5, COUNTIF($M192:AL192,"u")=0), "u", "")</f>
        <v/>
      </c>
      <c r="AN192" s="80" t="str">
        <f>IF(AND($F192&lt;&gt;"", $F192&gt;=AN$5-4, $F192&lt;=AN$5, COUNTIF($M192:AM192,"u")=0), "u", "")</f>
        <v/>
      </c>
      <c r="AO192" s="80" t="str">
        <f>IF(AND($F192&lt;&gt;"", $F192&gt;=AO$5-4, $F192&lt;=AO$5, COUNTIF($M192:AN192,"u")=0), "u", "")</f>
        <v/>
      </c>
      <c r="AP192" s="80" t="str">
        <f>IF(AND($F192&lt;&gt;"", $F192&gt;=AP$5-4, $F192&lt;=AP$5, COUNTIF($M192:AO192,"u")=0), "u", "")</f>
        <v/>
      </c>
      <c r="AQ192" s="80" t="str">
        <f>IF(AND($F192&lt;&gt;"", $F192&gt;=AQ$5-4, $F192&lt;=AQ$5, COUNTIF($M192:AP192,"u")=0), "u", "")</f>
        <v/>
      </c>
      <c r="AR192" s="80" t="str">
        <f>IF(AND($F192&lt;&gt;"", $F192&gt;=AR$5-4, $F192&lt;=AR$5, COUNTIF($M192:AQ192,"u")=0), "u", "")</f>
        <v/>
      </c>
      <c r="AS192" s="80" t="str">
        <f>IF(AND($F192&lt;&gt;"", $F192&gt;=AS$5-4, $F192&lt;=AS$5, COUNTIF($M192:AR192,"u")=0), "u", "")</f>
        <v/>
      </c>
      <c r="AT192" s="80" t="str">
        <f>IF(AND($F192&lt;&gt;"", $F192&gt;=AT$5-4, $F192&lt;=AT$5, COUNTIF($M192:AS192,"u")=0), "u", "")</f>
        <v/>
      </c>
      <c r="AU192" s="80" t="str">
        <f>IF(AND($F192&lt;&gt;"", $F192&gt;=AU$5-4, $F192&lt;=AU$5, COUNTIF($M192:AT192,"u")=0), "u", "")</f>
        <v/>
      </c>
      <c r="AV192" s="80" t="str">
        <f>IF(AND($F192&lt;&gt;"", $F192&gt;=AV$5-4, $F192&lt;=AV$5, COUNTIF($M192:AU192,"u")=0), "u", "")</f>
        <v/>
      </c>
      <c r="AW192" s="80" t="str">
        <f>IF(AND($F192&lt;&gt;"", $F192&gt;=AW$5-4, $F192&lt;=AW$5, COUNTIF($M192:AV192,"u")=0), "u", "")</f>
        <v/>
      </c>
      <c r="AX192" s="80" t="str">
        <f>IF(AND($F192&lt;&gt;"", $F192&gt;=AX$5-4, $F192&lt;=AX$5, COUNTIF($M192:AW192,"u")=0), "u", "")</f>
        <v/>
      </c>
      <c r="AY192" s="80" t="str">
        <f>IF(AND($F192&lt;&gt;"", $F192&gt;=AY$5-4, $F192&lt;=AY$5, COUNTIF($M192:AX192,"u")=0), "u", "")</f>
        <v/>
      </c>
      <c r="AZ192" s="80" t="str">
        <f>IF(AND($F192&lt;&gt;"", $F192&gt;=AZ$5-4, $F192&lt;=AZ$5, COUNTIF($M192:AY192,"u")=0), "u", "")</f>
        <v/>
      </c>
      <c r="BA192" s="80" t="str">
        <f>IF(AND($F192&lt;&gt;"", $F192&gt;=BA$5-4, $F192&lt;=BA$5, COUNTIF($M192:AZ192,"u")=0), "u", "")</f>
        <v/>
      </c>
      <c r="BB192" s="80" t="str">
        <f>IF(AND($F192&lt;&gt;"", $F192&gt;=BB$5-4, $F192&lt;=BB$5, COUNTIF($M192:BA192,"u")=0), "u", "")</f>
        <v/>
      </c>
      <c r="BC192" s="80" t="str">
        <f>IF(AND($F192&lt;&gt;"", $F192&gt;=BC$5-4, $F192&lt;=BC$5, COUNTIF($M192:BB192,"u")=0), "u", "")</f>
        <v/>
      </c>
      <c r="BD192" s="80" t="str">
        <f>IF(AND($F192&lt;&gt;"", $F192&gt;=BD$5-4, $F192&lt;=BD$5, COUNTIF($M192:BC192,"u")=0), "u", "")</f>
        <v/>
      </c>
      <c r="BE192" s="80" t="str">
        <f>IF(AND($F192&lt;&gt;"", $F192&gt;=BE$5-4, $F192&lt;=BE$5, COUNTIF($M192:BD192,"u")=0), "u", "")</f>
        <v/>
      </c>
      <c r="BF192" s="80" t="str">
        <f>IF(AND($F192&lt;&gt;"", $F192&gt;=BF$5-4, $F192&lt;=BF$5, COUNTIF($M192:BE192,"u")=0), "u", "")</f>
        <v/>
      </c>
      <c r="BG192" s="80" t="str">
        <f>IF(AND($F192&lt;&gt;"", $F192&gt;=BG$5-4, $F192&lt;=BG$5, COUNTIF($M192:BF192,"u")=0), "u", "")</f>
        <v/>
      </c>
      <c r="BH192" s="80" t="str">
        <f>IF(AND($F192&lt;&gt;"", $F192&gt;=BH$5-4, $F192&lt;=BH$5, COUNTIF($M192:BG192,"u")=0), "u", "")</f>
        <v/>
      </c>
      <c r="BI192" s="80" t="str">
        <f>IF(AND($F192&lt;&gt;"", $F192&gt;=BI$5-4, $F192&lt;=BI$5, COUNTIF($M192:BH192,"u")=0), "u", "")</f>
        <v/>
      </c>
      <c r="BJ192" s="80" t="str">
        <f>IF(AND($F192&lt;&gt;"", $F192&gt;=BJ$5-4, $F192&lt;=BJ$5, COUNTIF($M192:BI192,"u")=0), "u", "")</f>
        <v/>
      </c>
      <c r="BK192" s="80" t="str">
        <f>IF(AND($F192&lt;&gt;"", $F192&gt;=BK$5-4, $F192&lt;=BK$5, COUNTIF($M192:BJ192,"u")=0), "u", "")</f>
        <v/>
      </c>
      <c r="BL192" s="80" t="str">
        <f>IF(AND($F192&lt;&gt;"", $F192&gt;=BL$5-4, $F192&lt;=BL$5, COUNTIF($M192:BK192,"u")=0), "u", "")</f>
        <v/>
      </c>
      <c r="BM192" s="80" t="str">
        <f>IF(AND($F192&lt;&gt;"", $F192&gt;=BM$5-4, $F192&lt;=BM$5, COUNTIF($M192:BL192,"u")=0), "u", "")</f>
        <v/>
      </c>
      <c r="BN192" s="80" t="str">
        <f>IF(AND($F192&lt;&gt;"", $F192&gt;=BN$5-4, $F192&lt;=BN$5, COUNTIF($M192:BM192,"u")=0), "u", "")</f>
        <v/>
      </c>
      <c r="BO192" s="80" t="str">
        <f>IF(AND($F192&lt;&gt;"", $F192&gt;=BO$5-4, $F192&lt;=BO$5, COUNTIF($M192:BN192,"u")=0), "u", "")</f>
        <v/>
      </c>
      <c r="BP192" s="80" t="str">
        <f>IF(AND($F192&lt;&gt;"", $F192&gt;=BP$5-4, $F192&lt;=BP$5, COUNTIF($M192:BO192,"u")=0), "u", "")</f>
        <v/>
      </c>
      <c r="BQ192" s="80" t="str">
        <f>IF(AND($F192&lt;&gt;"", $F192&gt;=BQ$5-4, $F192&lt;=BQ$5, COUNTIF($M192:BP192,"u")=0), "u", "")</f>
        <v/>
      </c>
      <c r="BR192" s="80" t="str">
        <f>IF(AND($F192&lt;&gt;"", $F192&gt;=BR$5-4, $F192&lt;=BR$5, COUNTIF($M192:BQ192,"u")=0), "u", "")</f>
        <v/>
      </c>
      <c r="BS192" s="80" t="str">
        <f>IF(AND($F192&lt;&gt;"", $F192&gt;=BS$5-4, $F192&lt;=BS$5, COUNTIF($M192:BR192,"u")=0), "u", "")</f>
        <v/>
      </c>
      <c r="BT192" s="80" t="str">
        <f>IF(AND($F192&lt;&gt;"", $F192&gt;=BT$5-4, $F192&lt;=BT$5, COUNTIF($M192:BS192,"u")=0), "u", "")</f>
        <v/>
      </c>
      <c r="BU192" s="80" t="str">
        <f>IF(AND($F192&lt;&gt;"", $F192&gt;=BU$5-4, $F192&lt;=BU$5, COUNTIF($M192:BT192,"u")=0), "u", "")</f>
        <v/>
      </c>
      <c r="BV192" s="80" t="str">
        <f>IF(AND($F192&lt;&gt;"", $F192&gt;=BV$5-4, $F192&lt;=BV$5, COUNTIF($M192:BU192,"u")=0), "u", "")</f>
        <v/>
      </c>
      <c r="BW192" s="80" t="str">
        <f>IF(AND($F192&lt;&gt;"", $F192&gt;=BW$5-4, $F192&lt;=BW$5, COUNTIF($M192:BV192,"u")=0), "u", "")</f>
        <v/>
      </c>
      <c r="BX192" s="80" t="str">
        <f>IF(AND($F192&lt;&gt;"", $F192&gt;=BX$5-4, $F192&lt;=BX$5, COUNTIF($M192:BW192,"u")=0), "u", "")</f>
        <v/>
      </c>
      <c r="BY192" s="80" t="str">
        <f>IF(AND($F192&lt;&gt;"", $F192&gt;=BY$5-4, $F192&lt;=BY$5, COUNTIF($M192:BX192,"u")=0), "u", "")</f>
        <v/>
      </c>
      <c r="BZ192" s="80" t="str">
        <f>IF(AND($F192&lt;&gt;"", $F192&gt;=BZ$5-4, $F192&lt;=BZ$5, COUNTIF($M192:BY192,"u")=0), "u", "")</f>
        <v/>
      </c>
      <c r="CA192" s="80" t="str">
        <f>IF(AND($F192&lt;&gt;"", $F192&gt;=CA$5-4, $F192&lt;=CA$5, COUNTIF($M192:BZ192,"u")=0), "u", "")</f>
        <v/>
      </c>
      <c r="CB192" s="80" t="str">
        <f>IF(AND($F192&lt;&gt;"", $F192&gt;=CB$5-4, $F192&lt;=CB$5, COUNTIF($M192:CA192,"u")=0), "u", "")</f>
        <v/>
      </c>
      <c r="CC192" s="80" t="str">
        <f>IF(AND($F192&lt;&gt;"", $F192&gt;=CC$5-4, $F192&lt;=CC$5, COUNTIF($M192:CB192,"u")=0), "u", "")</f>
        <v/>
      </c>
      <c r="CD192" s="80" t="str">
        <f>IF(AND($F192&lt;&gt;"", $F192&gt;=CD$5-4, $F192&lt;=CD$5, COUNTIF($M192:CC192,"u")=0), "u", "")</f>
        <v/>
      </c>
      <c r="CE192" s="80" t="str">
        <f>IF(AND($F192&lt;&gt;"", $F192&gt;=CE$5-4, $F192&lt;=CE$5, COUNTIF($M192:CD192,"u")=0), "u", "")</f>
        <v/>
      </c>
      <c r="CF192" s="80" t="str">
        <f>IF(AND($F192&lt;&gt;"", $F192&gt;=CF$5-4, $F192&lt;=CF$5, COUNTIF($M192:CE192,"u")=0), "u", "")</f>
        <v/>
      </c>
      <c r="CG192" s="80" t="str">
        <f>IF(AND($F192&lt;&gt;"", $F192&gt;=CG$5-4, $F192&lt;=CG$5, COUNTIF($M192:CF192,"u")=0), "u", "")</f>
        <v/>
      </c>
      <c r="CH192" s="80" t="str">
        <f>IF(AND($F192&lt;&gt;"", $F192&gt;=CH$5-4, $F192&lt;=CH$5, COUNTIF($M192:CG192,"u")=0), "u", "")</f>
        <v/>
      </c>
      <c r="CI192" s="80" t="str">
        <f>IF(AND($F192&lt;&gt;"", $F192&gt;=CI$5-4, $F192&lt;=CI$5, COUNTIF($M192:CH192,"u")=0), "u", "")</f>
        <v/>
      </c>
      <c r="CJ192" s="80" t="str">
        <f>IF(AND($F192&lt;&gt;"", $F192&gt;=CJ$5-4, $F192&lt;=CJ$5, COUNTIF($M192:CI192,"u")=0), "u", "")</f>
        <v/>
      </c>
      <c r="CK192" s="80" t="str">
        <f>IF(AND($F192&lt;&gt;"", $F192&gt;=CK$5-4, $F192&lt;=CK$5, COUNTIF($M192:CJ192,"u")=0), "u", "")</f>
        <v/>
      </c>
      <c r="CL192" s="80" t="str">
        <f>IF(AND($F192&lt;&gt;"", $F192&gt;=CL$5-4, $F192&lt;=CL$5, COUNTIF($M192:CK192,"u")=0), "u", "")</f>
        <v/>
      </c>
      <c r="CM192" s="80" t="str">
        <f>IF(AND($F192&lt;&gt;"", $F192&gt;=CM$5-4, $F192&lt;=CM$5, COUNTIF($M192:CL192,"u")=0), "u", "")</f>
        <v/>
      </c>
      <c r="CN192" s="80" t="str">
        <f>IF(AND($F192&lt;&gt;"", $F192&gt;=CN$5-4, $F192&lt;=CN$5, COUNTIF($M192:CM192,"u")=0), "u", "")</f>
        <v/>
      </c>
      <c r="CO192" s="80" t="str">
        <f>IF(AND($F192&lt;&gt;"", $F192&gt;=CO$5-4, $F192&lt;=CO$5, COUNTIF($M192:CN192,"u")=0), "u", "")</f>
        <v/>
      </c>
      <c r="CP192" s="80" t="str">
        <f>IF(AND($F192&lt;&gt;"", $F192&gt;=CP$5-4, $F192&lt;=CP$5, COUNTIF($M192:CO192,"u")=0), "u", "")</f>
        <v/>
      </c>
      <c r="CQ192" s="80" t="str">
        <f>IF(AND($F192&lt;&gt;"", $F192&gt;=CQ$5-4, $F192&lt;=CQ$5, COUNTIF($M192:CP192,"u")=0), "u", "")</f>
        <v/>
      </c>
      <c r="CR192" s="80" t="str">
        <f>IF(AND($F192&lt;&gt;"", $F192&gt;=CR$5-4, $F192&lt;=CR$5, COUNTIF($M192:CQ192,"u")=0), "u", "")</f>
        <v/>
      </c>
      <c r="CS192" s="80" t="str">
        <f>IF(AND($F192&lt;&gt;"", $F192&gt;=CS$5-4, $F192&lt;=CS$5, COUNTIF($M192:CR192,"u")=0), "u", "")</f>
        <v/>
      </c>
      <c r="CT192" s="80" t="str">
        <f>IF(AND($F192&lt;&gt;"", $F192&gt;=CT$5-4, $F192&lt;=CT$5, COUNTIF($M192:CS192,"u")=0), "u", "")</f>
        <v/>
      </c>
      <c r="CU192" s="80" t="str">
        <f>IF(AND($F192&lt;&gt;"", $F192&gt;=CU$5-4, $F192&lt;=CU$5, COUNTIF($M192:CT192,"u")=0), "u", "")</f>
        <v/>
      </c>
      <c r="CV192" s="80" t="str">
        <f>IF(AND($F192&lt;&gt;"", $F192&gt;=CV$5-4, $F192&lt;=CV$5, COUNTIF($M192:CU192,"u")=0), "u", "")</f>
        <v/>
      </c>
      <c r="CW192" s="80" t="str">
        <f>IF(AND($F192&lt;&gt;"", $F192&gt;=CW$5-4, $F192&lt;=CW$5, COUNTIF($M192:CV192,"u")=0), "u", "")</f>
        <v/>
      </c>
      <c r="CX192" s="80" t="str">
        <f>IF(AND($F192&lt;&gt;"", $F192&gt;=CX$5-4, $F192&lt;=CX$5, COUNTIF($M192:CW192,"u")=0), "u", "")</f>
        <v/>
      </c>
      <c r="CY192" s="80" t="str">
        <f>IF(AND($F192&lt;&gt;"", $F192&gt;=CY$5-4, $F192&lt;=CY$5, COUNTIF($M192:CX192,"u")=0), "u", "")</f>
        <v/>
      </c>
      <c r="CZ192" s="80" t="str">
        <f>IF(AND($F192&lt;&gt;"", $F192&gt;=CZ$5-4, $F192&lt;=CZ$5, COUNTIF($M192:CY192,"u")=0), "u", "")</f>
        <v/>
      </c>
      <c r="DA192" s="80" t="str">
        <f>IF(AND($F192&lt;&gt;"", $F192&gt;=DA$5-4, $F192&lt;=DA$5, COUNTIF($M192:CZ192,"u")=0), "u", "")</f>
        <v/>
      </c>
      <c r="DB192" s="80" t="str">
        <f>IF(AND($F192&lt;&gt;"", $F192&gt;=DB$5-4, $F192&lt;=DB$5, COUNTIF($M192:DA192,"u")=0), "u", "")</f>
        <v/>
      </c>
      <c r="DC192" s="80" t="str">
        <f>IF(AND($F192&lt;&gt;"", $F192&gt;=DC$5-4, $F192&lt;=DC$5, COUNTIF($M192:DB192,"u")=0), "u", "")</f>
        <v/>
      </c>
      <c r="DD192" s="80" t="str">
        <f>IF(AND($F192&lt;&gt;"", $F192&gt;=DD$5-4, $F192&lt;=DD$5, COUNTIF($M192:DC192,"u")=0), "u", "")</f>
        <v/>
      </c>
      <c r="DE192" s="80" t="str">
        <f>IF(AND($F192&lt;&gt;"", $F192&gt;=DE$5-4, $F192&lt;=DE$5, COUNTIF($M192:DD192,"u")=0), "u", "")</f>
        <v/>
      </c>
      <c r="DF192" s="80" t="str">
        <f>IF(AND($F192&lt;&gt;"", $F192&gt;=DF$5-4, $F192&lt;=DF$5, COUNTIF($M192:DE192,"u")=0), "u", "")</f>
        <v/>
      </c>
      <c r="DG192" s="80" t="str">
        <f>IF(AND($F192&lt;&gt;"", $F192&gt;=DG$5-4, $F192&lt;=DG$5, COUNTIF($M192:DF192,"u")=0), "u", "")</f>
        <v/>
      </c>
      <c r="DH192" s="80" t="str">
        <f>IF(AND($F192&lt;&gt;"", $F192&gt;=DH$5-4, $F192&lt;=DH$5, COUNTIF($M192:DG192,"u")=0), "u", "")</f>
        <v/>
      </c>
      <c r="DI192" s="80" t="str">
        <f>IF(AND($F192&lt;&gt;"", $F192&gt;=DI$5-4, $F192&lt;=DI$5, COUNTIF($M192:DH192,"u")=0), "u", "")</f>
        <v/>
      </c>
      <c r="DJ192" s="80" t="str">
        <f>IF(AND($F192&lt;&gt;"", $F192&gt;=DJ$5-4, $F192&lt;=DJ$5, COUNTIF($M192:DI192,"u")=0), "u", "")</f>
        <v/>
      </c>
      <c r="DK192" s="80" t="str">
        <f>IF(AND($F192&lt;&gt;"", $F192&gt;=DK$5-4, $F192&lt;=DK$5, COUNTIF($M192:DJ192,"u")=0), "u", "")</f>
        <v/>
      </c>
      <c r="DL192" s="80" t="str">
        <f>IF(AND($F192&lt;&gt;"", $F192&gt;=DL$5-4, $F192&lt;=DL$5, COUNTIF($M192:DK192,"u")=0), "u", "")</f>
        <v/>
      </c>
    </row>
    <row r="193" spans="1:116" ht="25.05" customHeight="1" x14ac:dyDescent="0.3">
      <c r="A193" s="39"/>
      <c r="B193" s="75">
        <v>188</v>
      </c>
      <c r="C193" s="97"/>
      <c r="D193" s="92"/>
      <c r="E193" s="53"/>
      <c r="F193" s="53"/>
      <c r="G193" s="83" t="str">
        <f t="shared" si="53"/>
        <v/>
      </c>
      <c r="H193" s="83" t="str">
        <f t="shared" si="53"/>
        <v/>
      </c>
      <c r="I193" s="77" t="str">
        <f t="shared" si="51"/>
        <v/>
      </c>
      <c r="J193" s="78"/>
      <c r="K193" s="86"/>
      <c r="L193" s="56"/>
      <c r="M193" s="80" t="str">
        <f t="shared" si="52"/>
        <v/>
      </c>
      <c r="N193" s="80" t="str">
        <f>IF(AND($F193&lt;&gt;"", $F193&gt;=N$5-4, $F193&lt;=N$5, COUNTIF($M193:M193,"u")=0), "u", "")</f>
        <v/>
      </c>
      <c r="O193" s="80" t="str">
        <f>IF(AND($F193&lt;&gt;"", $F193&gt;=O$5-4, $F193&lt;=O$5, COUNTIF($M193:N193,"u")=0), "u", "")</f>
        <v/>
      </c>
      <c r="P193" s="80" t="str">
        <f>IF(AND($F193&lt;&gt;"", $F193&gt;=P$5-4, $F193&lt;=P$5, COUNTIF($M193:O193,"u")=0), "u", "")</f>
        <v/>
      </c>
      <c r="Q193" s="80" t="str">
        <f>IF(AND($F193&lt;&gt;"", $F193&gt;=Q$5-4, $F193&lt;=Q$5, COUNTIF($M193:P193,"u")=0), "u", "")</f>
        <v/>
      </c>
      <c r="R193" s="80" t="str">
        <f>IF(AND($F193&lt;&gt;"", $F193&gt;=R$5-4, $F193&lt;=R$5, COUNTIF($M193:Q193,"u")=0), "u", "")</f>
        <v/>
      </c>
      <c r="S193" s="80" t="str">
        <f>IF(AND($F193&lt;&gt;"", $F193&gt;=S$5-4, $F193&lt;=S$5, COUNTIF($M193:R193,"u")=0), "u", "")</f>
        <v/>
      </c>
      <c r="T193" s="80" t="str">
        <f>IF(AND($F193&lt;&gt;"", $F193&gt;=T$5-4, $F193&lt;=T$5, COUNTIF($M193:S193,"u")=0), "u", "")</f>
        <v/>
      </c>
      <c r="U193" s="80" t="str">
        <f>IF(AND($F193&lt;&gt;"", $F193&gt;=U$5-4, $F193&lt;=U$5, COUNTIF($M193:T193,"u")=0), "u", "")</f>
        <v/>
      </c>
      <c r="V193" s="80" t="str">
        <f>IF(AND($F193&lt;&gt;"", $F193&gt;=V$5-4, $F193&lt;=V$5, COUNTIF($M193:U193,"u")=0), "u", "")</f>
        <v/>
      </c>
      <c r="W193" s="80" t="str">
        <f>IF(AND($F193&lt;&gt;"", $F193&gt;=W$5-4, $F193&lt;=W$5, COUNTIF($M193:V193,"u")=0), "u", "")</f>
        <v/>
      </c>
      <c r="X193" s="80" t="str">
        <f>IF(AND($F193&lt;&gt;"", $F193&gt;=X$5-4, $F193&lt;=X$5, COUNTIF($M193:W193,"u")=0), "u", "")</f>
        <v/>
      </c>
      <c r="Y193" s="80" t="str">
        <f>IF(AND($F193&lt;&gt;"", $F193&gt;=Y$5-4, $F193&lt;=Y$5, COUNTIF($M193:X193,"u")=0), "u", "")</f>
        <v/>
      </c>
      <c r="Z193" s="80" t="str">
        <f>IF(AND($F193&lt;&gt;"", $F193&gt;=Z$5-4, $F193&lt;=Z$5, COUNTIF($M193:Y193,"u")=0), "u", "")</f>
        <v/>
      </c>
      <c r="AA193" s="80" t="str">
        <f>IF(AND($F193&lt;&gt;"", $F193&gt;=AA$5-4, $F193&lt;=AA$5, COUNTIF($M193:Z193,"u")=0), "u", "")</f>
        <v/>
      </c>
      <c r="AB193" s="80" t="str">
        <f>IF(AND($F193&lt;&gt;"", $F193&gt;=AB$5-4, $F193&lt;=AB$5, COUNTIF($M193:AA193,"u")=0), "u", "")</f>
        <v/>
      </c>
      <c r="AC193" s="80" t="str">
        <f>IF(AND($F193&lt;&gt;"", $F193&gt;=AC$5-4, $F193&lt;=AC$5, COUNTIF($M193:AB193,"u")=0), "u", "")</f>
        <v/>
      </c>
      <c r="AD193" s="80" t="str">
        <f>IF(AND($F193&lt;&gt;"", $F193&gt;=AD$5-4, $F193&lt;=AD$5, COUNTIF($M193:AC193,"u")=0), "u", "")</f>
        <v/>
      </c>
      <c r="AE193" s="80" t="str">
        <f>IF(AND($F193&lt;&gt;"", $F193&gt;=AE$5-4, $F193&lt;=AE$5, COUNTIF($M193:AD193,"u")=0), "u", "")</f>
        <v/>
      </c>
      <c r="AF193" s="80" t="str">
        <f>IF(AND($F193&lt;&gt;"", $F193&gt;=AF$5-4, $F193&lt;=AF$5, COUNTIF($M193:AE193,"u")=0), "u", "")</f>
        <v/>
      </c>
      <c r="AG193" s="80" t="str">
        <f>IF(AND($F193&lt;&gt;"", $F193&gt;=AG$5-4, $F193&lt;=AG$5, COUNTIF($M193:AF193,"u")=0), "u", "")</f>
        <v/>
      </c>
      <c r="AH193" s="80" t="str">
        <f>IF(AND($F193&lt;&gt;"", $F193&gt;=AH$5-4, $F193&lt;=AH$5, COUNTIF($M193:AG193,"u")=0), "u", "")</f>
        <v/>
      </c>
      <c r="AI193" s="80" t="str">
        <f>IF(AND($F193&lt;&gt;"", $F193&gt;=AI$5-4, $F193&lt;=AI$5, COUNTIF($M193:AH193,"u")=0), "u", "")</f>
        <v/>
      </c>
      <c r="AJ193" s="80" t="str">
        <f>IF(AND($F193&lt;&gt;"", $F193&gt;=AJ$5-4, $F193&lt;=AJ$5, COUNTIF($M193:AI193,"u")=0), "u", "")</f>
        <v/>
      </c>
      <c r="AK193" s="80" t="str">
        <f>IF(AND($F193&lt;&gt;"", $F193&gt;=AK$5-4, $F193&lt;=AK$5, COUNTIF($M193:AJ193,"u")=0), "u", "")</f>
        <v/>
      </c>
      <c r="AL193" s="80" t="str">
        <f>IF(AND($F193&lt;&gt;"", $F193&gt;=AL$5-4, $F193&lt;=AL$5, COUNTIF($M193:AK193,"u")=0), "u", "")</f>
        <v/>
      </c>
      <c r="AM193" s="80" t="str">
        <f>IF(AND($F193&lt;&gt;"", $F193&gt;=AM$5-4, $F193&lt;=AM$5, COUNTIF($M193:AL193,"u")=0), "u", "")</f>
        <v/>
      </c>
      <c r="AN193" s="80" t="str">
        <f>IF(AND($F193&lt;&gt;"", $F193&gt;=AN$5-4, $F193&lt;=AN$5, COUNTIF($M193:AM193,"u")=0), "u", "")</f>
        <v/>
      </c>
      <c r="AO193" s="80" t="str">
        <f>IF(AND($F193&lt;&gt;"", $F193&gt;=AO$5-4, $F193&lt;=AO$5, COUNTIF($M193:AN193,"u")=0), "u", "")</f>
        <v/>
      </c>
      <c r="AP193" s="80" t="str">
        <f>IF(AND($F193&lt;&gt;"", $F193&gt;=AP$5-4, $F193&lt;=AP$5, COUNTIF($M193:AO193,"u")=0), "u", "")</f>
        <v/>
      </c>
      <c r="AQ193" s="80" t="str">
        <f>IF(AND($F193&lt;&gt;"", $F193&gt;=AQ$5-4, $F193&lt;=AQ$5, COUNTIF($M193:AP193,"u")=0), "u", "")</f>
        <v/>
      </c>
      <c r="AR193" s="80" t="str">
        <f>IF(AND($F193&lt;&gt;"", $F193&gt;=AR$5-4, $F193&lt;=AR$5, COUNTIF($M193:AQ193,"u")=0), "u", "")</f>
        <v/>
      </c>
      <c r="AS193" s="80" t="str">
        <f>IF(AND($F193&lt;&gt;"", $F193&gt;=AS$5-4, $F193&lt;=AS$5, COUNTIF($M193:AR193,"u")=0), "u", "")</f>
        <v/>
      </c>
      <c r="AT193" s="80" t="str">
        <f>IF(AND($F193&lt;&gt;"", $F193&gt;=AT$5-4, $F193&lt;=AT$5, COUNTIF($M193:AS193,"u")=0), "u", "")</f>
        <v/>
      </c>
      <c r="AU193" s="80" t="str">
        <f>IF(AND($F193&lt;&gt;"", $F193&gt;=AU$5-4, $F193&lt;=AU$5, COUNTIF($M193:AT193,"u")=0), "u", "")</f>
        <v/>
      </c>
      <c r="AV193" s="80" t="str">
        <f>IF(AND($F193&lt;&gt;"", $F193&gt;=AV$5-4, $F193&lt;=AV$5, COUNTIF($M193:AU193,"u")=0), "u", "")</f>
        <v/>
      </c>
      <c r="AW193" s="80" t="str">
        <f>IF(AND($F193&lt;&gt;"", $F193&gt;=AW$5-4, $F193&lt;=AW$5, COUNTIF($M193:AV193,"u")=0), "u", "")</f>
        <v/>
      </c>
      <c r="AX193" s="80" t="str">
        <f>IF(AND($F193&lt;&gt;"", $F193&gt;=AX$5-4, $F193&lt;=AX$5, COUNTIF($M193:AW193,"u")=0), "u", "")</f>
        <v/>
      </c>
      <c r="AY193" s="80" t="str">
        <f>IF(AND($F193&lt;&gt;"", $F193&gt;=AY$5-4, $F193&lt;=AY$5, COUNTIF($M193:AX193,"u")=0), "u", "")</f>
        <v/>
      </c>
      <c r="AZ193" s="80" t="str">
        <f>IF(AND($F193&lt;&gt;"", $F193&gt;=AZ$5-4, $F193&lt;=AZ$5, COUNTIF($M193:AY193,"u")=0), "u", "")</f>
        <v/>
      </c>
      <c r="BA193" s="80" t="str">
        <f>IF(AND($F193&lt;&gt;"", $F193&gt;=BA$5-4, $F193&lt;=BA$5, COUNTIF($M193:AZ193,"u")=0), "u", "")</f>
        <v/>
      </c>
      <c r="BB193" s="80" t="str">
        <f>IF(AND($F193&lt;&gt;"", $F193&gt;=BB$5-4, $F193&lt;=BB$5, COUNTIF($M193:BA193,"u")=0), "u", "")</f>
        <v/>
      </c>
      <c r="BC193" s="80" t="str">
        <f>IF(AND($F193&lt;&gt;"", $F193&gt;=BC$5-4, $F193&lt;=BC$5, COUNTIF($M193:BB193,"u")=0), "u", "")</f>
        <v/>
      </c>
      <c r="BD193" s="80" t="str">
        <f>IF(AND($F193&lt;&gt;"", $F193&gt;=BD$5-4, $F193&lt;=BD$5, COUNTIF($M193:BC193,"u")=0), "u", "")</f>
        <v/>
      </c>
      <c r="BE193" s="80" t="str">
        <f>IF(AND($F193&lt;&gt;"", $F193&gt;=BE$5-4, $F193&lt;=BE$5, COUNTIF($M193:BD193,"u")=0), "u", "")</f>
        <v/>
      </c>
      <c r="BF193" s="80" t="str">
        <f>IF(AND($F193&lt;&gt;"", $F193&gt;=BF$5-4, $F193&lt;=BF$5, COUNTIF($M193:BE193,"u")=0), "u", "")</f>
        <v/>
      </c>
      <c r="BG193" s="80" t="str">
        <f>IF(AND($F193&lt;&gt;"", $F193&gt;=BG$5-4, $F193&lt;=BG$5, COUNTIF($M193:BF193,"u")=0), "u", "")</f>
        <v/>
      </c>
      <c r="BH193" s="80" t="str">
        <f>IF(AND($F193&lt;&gt;"", $F193&gt;=BH$5-4, $F193&lt;=BH$5, COUNTIF($M193:BG193,"u")=0), "u", "")</f>
        <v/>
      </c>
      <c r="BI193" s="80" t="str">
        <f>IF(AND($F193&lt;&gt;"", $F193&gt;=BI$5-4, $F193&lt;=BI$5, COUNTIF($M193:BH193,"u")=0), "u", "")</f>
        <v/>
      </c>
      <c r="BJ193" s="80" t="str">
        <f>IF(AND($F193&lt;&gt;"", $F193&gt;=BJ$5-4, $F193&lt;=BJ$5, COUNTIF($M193:BI193,"u")=0), "u", "")</f>
        <v/>
      </c>
      <c r="BK193" s="80" t="str">
        <f>IF(AND($F193&lt;&gt;"", $F193&gt;=BK$5-4, $F193&lt;=BK$5, COUNTIF($M193:BJ193,"u")=0), "u", "")</f>
        <v/>
      </c>
      <c r="BL193" s="80" t="str">
        <f>IF(AND($F193&lt;&gt;"", $F193&gt;=BL$5-4, $F193&lt;=BL$5, COUNTIF($M193:BK193,"u")=0), "u", "")</f>
        <v/>
      </c>
      <c r="BM193" s="80" t="str">
        <f>IF(AND($F193&lt;&gt;"", $F193&gt;=BM$5-4, $F193&lt;=BM$5, COUNTIF($M193:BL193,"u")=0), "u", "")</f>
        <v/>
      </c>
      <c r="BN193" s="80" t="str">
        <f>IF(AND($F193&lt;&gt;"", $F193&gt;=BN$5-4, $F193&lt;=BN$5, COUNTIF($M193:BM193,"u")=0), "u", "")</f>
        <v/>
      </c>
      <c r="BO193" s="80" t="str">
        <f>IF(AND($F193&lt;&gt;"", $F193&gt;=BO$5-4, $F193&lt;=BO$5, COUNTIF($M193:BN193,"u")=0), "u", "")</f>
        <v/>
      </c>
      <c r="BP193" s="80" t="str">
        <f>IF(AND($F193&lt;&gt;"", $F193&gt;=BP$5-4, $F193&lt;=BP$5, COUNTIF($M193:BO193,"u")=0), "u", "")</f>
        <v/>
      </c>
      <c r="BQ193" s="80" t="str">
        <f>IF(AND($F193&lt;&gt;"", $F193&gt;=BQ$5-4, $F193&lt;=BQ$5, COUNTIF($M193:BP193,"u")=0), "u", "")</f>
        <v/>
      </c>
      <c r="BR193" s="80" t="str">
        <f>IF(AND($F193&lt;&gt;"", $F193&gt;=BR$5-4, $F193&lt;=BR$5, COUNTIF($M193:BQ193,"u")=0), "u", "")</f>
        <v/>
      </c>
      <c r="BS193" s="80" t="str">
        <f>IF(AND($F193&lt;&gt;"", $F193&gt;=BS$5-4, $F193&lt;=BS$5, COUNTIF($M193:BR193,"u")=0), "u", "")</f>
        <v/>
      </c>
      <c r="BT193" s="80" t="str">
        <f>IF(AND($F193&lt;&gt;"", $F193&gt;=BT$5-4, $F193&lt;=BT$5, COUNTIF($M193:BS193,"u")=0), "u", "")</f>
        <v/>
      </c>
      <c r="BU193" s="80" t="str">
        <f>IF(AND($F193&lt;&gt;"", $F193&gt;=BU$5-4, $F193&lt;=BU$5, COUNTIF($M193:BT193,"u")=0), "u", "")</f>
        <v/>
      </c>
      <c r="BV193" s="80" t="str">
        <f>IF(AND($F193&lt;&gt;"", $F193&gt;=BV$5-4, $F193&lt;=BV$5, COUNTIF($M193:BU193,"u")=0), "u", "")</f>
        <v/>
      </c>
      <c r="BW193" s="80" t="str">
        <f>IF(AND($F193&lt;&gt;"", $F193&gt;=BW$5-4, $F193&lt;=BW$5, COUNTIF($M193:BV193,"u")=0), "u", "")</f>
        <v/>
      </c>
      <c r="BX193" s="80" t="str">
        <f>IF(AND($F193&lt;&gt;"", $F193&gt;=BX$5-4, $F193&lt;=BX$5, COUNTIF($M193:BW193,"u")=0), "u", "")</f>
        <v/>
      </c>
      <c r="BY193" s="80" t="str">
        <f>IF(AND($F193&lt;&gt;"", $F193&gt;=BY$5-4, $F193&lt;=BY$5, COUNTIF($M193:BX193,"u")=0), "u", "")</f>
        <v/>
      </c>
      <c r="BZ193" s="80" t="str">
        <f>IF(AND($F193&lt;&gt;"", $F193&gt;=BZ$5-4, $F193&lt;=BZ$5, COUNTIF($M193:BY193,"u")=0), "u", "")</f>
        <v/>
      </c>
      <c r="CA193" s="80" t="str">
        <f>IF(AND($F193&lt;&gt;"", $F193&gt;=CA$5-4, $F193&lt;=CA$5, COUNTIF($M193:BZ193,"u")=0), "u", "")</f>
        <v/>
      </c>
      <c r="CB193" s="80" t="str">
        <f>IF(AND($F193&lt;&gt;"", $F193&gt;=CB$5-4, $F193&lt;=CB$5, COUNTIF($M193:CA193,"u")=0), "u", "")</f>
        <v/>
      </c>
      <c r="CC193" s="80" t="str">
        <f>IF(AND($F193&lt;&gt;"", $F193&gt;=CC$5-4, $F193&lt;=CC$5, COUNTIF($M193:CB193,"u")=0), "u", "")</f>
        <v/>
      </c>
      <c r="CD193" s="80" t="str">
        <f>IF(AND($F193&lt;&gt;"", $F193&gt;=CD$5-4, $F193&lt;=CD$5, COUNTIF($M193:CC193,"u")=0), "u", "")</f>
        <v/>
      </c>
      <c r="CE193" s="80" t="str">
        <f>IF(AND($F193&lt;&gt;"", $F193&gt;=CE$5-4, $F193&lt;=CE$5, COUNTIF($M193:CD193,"u")=0), "u", "")</f>
        <v/>
      </c>
      <c r="CF193" s="80" t="str">
        <f>IF(AND($F193&lt;&gt;"", $F193&gt;=CF$5-4, $F193&lt;=CF$5, COUNTIF($M193:CE193,"u")=0), "u", "")</f>
        <v/>
      </c>
      <c r="CG193" s="80" t="str">
        <f>IF(AND($F193&lt;&gt;"", $F193&gt;=CG$5-4, $F193&lt;=CG$5, COUNTIF($M193:CF193,"u")=0), "u", "")</f>
        <v/>
      </c>
      <c r="CH193" s="80" t="str">
        <f>IF(AND($F193&lt;&gt;"", $F193&gt;=CH$5-4, $F193&lt;=CH$5, COUNTIF($M193:CG193,"u")=0), "u", "")</f>
        <v/>
      </c>
      <c r="CI193" s="80" t="str">
        <f>IF(AND($F193&lt;&gt;"", $F193&gt;=CI$5-4, $F193&lt;=CI$5, COUNTIF($M193:CH193,"u")=0), "u", "")</f>
        <v/>
      </c>
      <c r="CJ193" s="80" t="str">
        <f>IF(AND($F193&lt;&gt;"", $F193&gt;=CJ$5-4, $F193&lt;=CJ$5, COUNTIF($M193:CI193,"u")=0), "u", "")</f>
        <v/>
      </c>
      <c r="CK193" s="80" t="str">
        <f>IF(AND($F193&lt;&gt;"", $F193&gt;=CK$5-4, $F193&lt;=CK$5, COUNTIF($M193:CJ193,"u")=0), "u", "")</f>
        <v/>
      </c>
      <c r="CL193" s="80" t="str">
        <f>IF(AND($F193&lt;&gt;"", $F193&gt;=CL$5-4, $F193&lt;=CL$5, COUNTIF($M193:CK193,"u")=0), "u", "")</f>
        <v/>
      </c>
      <c r="CM193" s="80" t="str">
        <f>IF(AND($F193&lt;&gt;"", $F193&gt;=CM$5-4, $F193&lt;=CM$5, COUNTIF($M193:CL193,"u")=0), "u", "")</f>
        <v/>
      </c>
      <c r="CN193" s="80" t="str">
        <f>IF(AND($F193&lt;&gt;"", $F193&gt;=CN$5-4, $F193&lt;=CN$5, COUNTIF($M193:CM193,"u")=0), "u", "")</f>
        <v/>
      </c>
      <c r="CO193" s="80" t="str">
        <f>IF(AND($F193&lt;&gt;"", $F193&gt;=CO$5-4, $F193&lt;=CO$5, COUNTIF($M193:CN193,"u")=0), "u", "")</f>
        <v/>
      </c>
      <c r="CP193" s="80" t="str">
        <f>IF(AND($F193&lt;&gt;"", $F193&gt;=CP$5-4, $F193&lt;=CP$5, COUNTIF($M193:CO193,"u")=0), "u", "")</f>
        <v/>
      </c>
      <c r="CQ193" s="80" t="str">
        <f>IF(AND($F193&lt;&gt;"", $F193&gt;=CQ$5-4, $F193&lt;=CQ$5, COUNTIF($M193:CP193,"u")=0), "u", "")</f>
        <v/>
      </c>
      <c r="CR193" s="80" t="str">
        <f>IF(AND($F193&lt;&gt;"", $F193&gt;=CR$5-4, $F193&lt;=CR$5, COUNTIF($M193:CQ193,"u")=0), "u", "")</f>
        <v/>
      </c>
      <c r="CS193" s="80" t="str">
        <f>IF(AND($F193&lt;&gt;"", $F193&gt;=CS$5-4, $F193&lt;=CS$5, COUNTIF($M193:CR193,"u")=0), "u", "")</f>
        <v/>
      </c>
      <c r="CT193" s="80" t="str">
        <f>IF(AND($F193&lt;&gt;"", $F193&gt;=CT$5-4, $F193&lt;=CT$5, COUNTIF($M193:CS193,"u")=0), "u", "")</f>
        <v/>
      </c>
      <c r="CU193" s="80" t="str">
        <f>IF(AND($F193&lt;&gt;"", $F193&gt;=CU$5-4, $F193&lt;=CU$5, COUNTIF($M193:CT193,"u")=0), "u", "")</f>
        <v/>
      </c>
      <c r="CV193" s="80" t="str">
        <f>IF(AND($F193&lt;&gt;"", $F193&gt;=CV$5-4, $F193&lt;=CV$5, COUNTIF($M193:CU193,"u")=0), "u", "")</f>
        <v/>
      </c>
      <c r="CW193" s="80" t="str">
        <f>IF(AND($F193&lt;&gt;"", $F193&gt;=CW$5-4, $F193&lt;=CW$5, COUNTIF($M193:CV193,"u")=0), "u", "")</f>
        <v/>
      </c>
      <c r="CX193" s="80" t="str">
        <f>IF(AND($F193&lt;&gt;"", $F193&gt;=CX$5-4, $F193&lt;=CX$5, COUNTIF($M193:CW193,"u")=0), "u", "")</f>
        <v/>
      </c>
      <c r="CY193" s="80" t="str">
        <f>IF(AND($F193&lt;&gt;"", $F193&gt;=CY$5-4, $F193&lt;=CY$5, COUNTIF($M193:CX193,"u")=0), "u", "")</f>
        <v/>
      </c>
      <c r="CZ193" s="80" t="str">
        <f>IF(AND($F193&lt;&gt;"", $F193&gt;=CZ$5-4, $F193&lt;=CZ$5, COUNTIF($M193:CY193,"u")=0), "u", "")</f>
        <v/>
      </c>
      <c r="DA193" s="80" t="str">
        <f>IF(AND($F193&lt;&gt;"", $F193&gt;=DA$5-4, $F193&lt;=DA$5, COUNTIF($M193:CZ193,"u")=0), "u", "")</f>
        <v/>
      </c>
      <c r="DB193" s="80" t="str">
        <f>IF(AND($F193&lt;&gt;"", $F193&gt;=DB$5-4, $F193&lt;=DB$5, COUNTIF($M193:DA193,"u")=0), "u", "")</f>
        <v/>
      </c>
      <c r="DC193" s="80" t="str">
        <f>IF(AND($F193&lt;&gt;"", $F193&gt;=DC$5-4, $F193&lt;=DC$5, COUNTIF($M193:DB193,"u")=0), "u", "")</f>
        <v/>
      </c>
      <c r="DD193" s="80" t="str">
        <f>IF(AND($F193&lt;&gt;"", $F193&gt;=DD$5-4, $F193&lt;=DD$5, COUNTIF($M193:DC193,"u")=0), "u", "")</f>
        <v/>
      </c>
      <c r="DE193" s="80" t="str">
        <f>IF(AND($F193&lt;&gt;"", $F193&gt;=DE$5-4, $F193&lt;=DE$5, COUNTIF($M193:DD193,"u")=0), "u", "")</f>
        <v/>
      </c>
      <c r="DF193" s="80" t="str">
        <f>IF(AND($F193&lt;&gt;"", $F193&gt;=DF$5-4, $F193&lt;=DF$5, COUNTIF($M193:DE193,"u")=0), "u", "")</f>
        <v/>
      </c>
      <c r="DG193" s="80" t="str">
        <f>IF(AND($F193&lt;&gt;"", $F193&gt;=DG$5-4, $F193&lt;=DG$5, COUNTIF($M193:DF193,"u")=0), "u", "")</f>
        <v/>
      </c>
      <c r="DH193" s="80" t="str">
        <f>IF(AND($F193&lt;&gt;"", $F193&gt;=DH$5-4, $F193&lt;=DH$5, COUNTIF($M193:DG193,"u")=0), "u", "")</f>
        <v/>
      </c>
      <c r="DI193" s="80" t="str">
        <f>IF(AND($F193&lt;&gt;"", $F193&gt;=DI$5-4, $F193&lt;=DI$5, COUNTIF($M193:DH193,"u")=0), "u", "")</f>
        <v/>
      </c>
      <c r="DJ193" s="80" t="str">
        <f>IF(AND($F193&lt;&gt;"", $F193&gt;=DJ$5-4, $F193&lt;=DJ$5, COUNTIF($M193:DI193,"u")=0), "u", "")</f>
        <v/>
      </c>
      <c r="DK193" s="80" t="str">
        <f>IF(AND($F193&lt;&gt;"", $F193&gt;=DK$5-4, $F193&lt;=DK$5, COUNTIF($M193:DJ193,"u")=0), "u", "")</f>
        <v/>
      </c>
      <c r="DL193" s="80" t="str">
        <f>IF(AND($F193&lt;&gt;"", $F193&gt;=DL$5-4, $F193&lt;=DL$5, COUNTIF($M193:DK193,"u")=0), "u", "")</f>
        <v/>
      </c>
    </row>
    <row r="194" spans="1:116" ht="25.05" customHeight="1" x14ac:dyDescent="0.3">
      <c r="A194" s="39"/>
      <c r="B194" s="75">
        <v>189</v>
      </c>
      <c r="C194" s="97"/>
      <c r="D194" s="92"/>
      <c r="E194" s="53"/>
      <c r="F194" s="53"/>
      <c r="G194" s="83" t="str">
        <f t="shared" si="53"/>
        <v/>
      </c>
      <c r="H194" s="83" t="str">
        <f t="shared" si="53"/>
        <v/>
      </c>
      <c r="I194" s="77" t="str">
        <f t="shared" si="51"/>
        <v/>
      </c>
      <c r="J194" s="78"/>
      <c r="K194" s="86"/>
      <c r="L194" s="56"/>
      <c r="M194" s="80" t="str">
        <f t="shared" si="52"/>
        <v/>
      </c>
      <c r="N194" s="80" t="str">
        <f>IF(AND($F194&lt;&gt;"", $F194&gt;=N$5-4, $F194&lt;=N$5, COUNTIF($M194:M194,"u")=0), "u", "")</f>
        <v/>
      </c>
      <c r="O194" s="80" t="str">
        <f>IF(AND($F194&lt;&gt;"", $F194&gt;=O$5-4, $F194&lt;=O$5, COUNTIF($M194:N194,"u")=0), "u", "")</f>
        <v/>
      </c>
      <c r="P194" s="80" t="str">
        <f>IF(AND($F194&lt;&gt;"", $F194&gt;=P$5-4, $F194&lt;=P$5, COUNTIF($M194:O194,"u")=0), "u", "")</f>
        <v/>
      </c>
      <c r="Q194" s="80" t="str">
        <f>IF(AND($F194&lt;&gt;"", $F194&gt;=Q$5-4, $F194&lt;=Q$5, COUNTIF($M194:P194,"u")=0), "u", "")</f>
        <v/>
      </c>
      <c r="R194" s="80" t="str">
        <f>IF(AND($F194&lt;&gt;"", $F194&gt;=R$5-4, $F194&lt;=R$5, COUNTIF($M194:Q194,"u")=0), "u", "")</f>
        <v/>
      </c>
      <c r="S194" s="80" t="str">
        <f>IF(AND($F194&lt;&gt;"", $F194&gt;=S$5-4, $F194&lt;=S$5, COUNTIF($M194:R194,"u")=0), "u", "")</f>
        <v/>
      </c>
      <c r="T194" s="80" t="str">
        <f>IF(AND($F194&lt;&gt;"", $F194&gt;=T$5-4, $F194&lt;=T$5, COUNTIF($M194:S194,"u")=0), "u", "")</f>
        <v/>
      </c>
      <c r="U194" s="80" t="str">
        <f>IF(AND($F194&lt;&gt;"", $F194&gt;=U$5-4, $F194&lt;=U$5, COUNTIF($M194:T194,"u")=0), "u", "")</f>
        <v/>
      </c>
      <c r="V194" s="80" t="str">
        <f>IF(AND($F194&lt;&gt;"", $F194&gt;=V$5-4, $F194&lt;=V$5, COUNTIF($M194:U194,"u")=0), "u", "")</f>
        <v/>
      </c>
      <c r="W194" s="80" t="str">
        <f>IF(AND($F194&lt;&gt;"", $F194&gt;=W$5-4, $F194&lt;=W$5, COUNTIF($M194:V194,"u")=0), "u", "")</f>
        <v/>
      </c>
      <c r="X194" s="80" t="str">
        <f>IF(AND($F194&lt;&gt;"", $F194&gt;=X$5-4, $F194&lt;=X$5, COUNTIF($M194:W194,"u")=0), "u", "")</f>
        <v/>
      </c>
      <c r="Y194" s="80" t="str">
        <f>IF(AND($F194&lt;&gt;"", $F194&gt;=Y$5-4, $F194&lt;=Y$5, COUNTIF($M194:X194,"u")=0), "u", "")</f>
        <v/>
      </c>
      <c r="Z194" s="80" t="str">
        <f>IF(AND($F194&lt;&gt;"", $F194&gt;=Z$5-4, $F194&lt;=Z$5, COUNTIF($M194:Y194,"u")=0), "u", "")</f>
        <v/>
      </c>
      <c r="AA194" s="80" t="str">
        <f>IF(AND($F194&lt;&gt;"", $F194&gt;=AA$5-4, $F194&lt;=AA$5, COUNTIF($M194:Z194,"u")=0), "u", "")</f>
        <v/>
      </c>
      <c r="AB194" s="80" t="str">
        <f>IF(AND($F194&lt;&gt;"", $F194&gt;=AB$5-4, $F194&lt;=AB$5, COUNTIF($M194:AA194,"u")=0), "u", "")</f>
        <v/>
      </c>
      <c r="AC194" s="80" t="str">
        <f>IF(AND($F194&lt;&gt;"", $F194&gt;=AC$5-4, $F194&lt;=AC$5, COUNTIF($M194:AB194,"u")=0), "u", "")</f>
        <v/>
      </c>
      <c r="AD194" s="80" t="str">
        <f>IF(AND($F194&lt;&gt;"", $F194&gt;=AD$5-4, $F194&lt;=AD$5, COUNTIF($M194:AC194,"u")=0), "u", "")</f>
        <v/>
      </c>
      <c r="AE194" s="80" t="str">
        <f>IF(AND($F194&lt;&gt;"", $F194&gt;=AE$5-4, $F194&lt;=AE$5, COUNTIF($M194:AD194,"u")=0), "u", "")</f>
        <v/>
      </c>
      <c r="AF194" s="80" t="str">
        <f>IF(AND($F194&lt;&gt;"", $F194&gt;=AF$5-4, $F194&lt;=AF$5, COUNTIF($M194:AE194,"u")=0), "u", "")</f>
        <v/>
      </c>
      <c r="AG194" s="80" t="str">
        <f>IF(AND($F194&lt;&gt;"", $F194&gt;=AG$5-4, $F194&lt;=AG$5, COUNTIF($M194:AF194,"u")=0), "u", "")</f>
        <v/>
      </c>
      <c r="AH194" s="80" t="str">
        <f>IF(AND($F194&lt;&gt;"", $F194&gt;=AH$5-4, $F194&lt;=AH$5, COUNTIF($M194:AG194,"u")=0), "u", "")</f>
        <v/>
      </c>
      <c r="AI194" s="80" t="str">
        <f>IF(AND($F194&lt;&gt;"", $F194&gt;=AI$5-4, $F194&lt;=AI$5, COUNTIF($M194:AH194,"u")=0), "u", "")</f>
        <v/>
      </c>
      <c r="AJ194" s="80" t="str">
        <f>IF(AND($F194&lt;&gt;"", $F194&gt;=AJ$5-4, $F194&lt;=AJ$5, COUNTIF($M194:AI194,"u")=0), "u", "")</f>
        <v/>
      </c>
      <c r="AK194" s="80" t="str">
        <f>IF(AND($F194&lt;&gt;"", $F194&gt;=AK$5-4, $F194&lt;=AK$5, COUNTIF($M194:AJ194,"u")=0), "u", "")</f>
        <v/>
      </c>
      <c r="AL194" s="80" t="str">
        <f>IF(AND($F194&lt;&gt;"", $F194&gt;=AL$5-4, $F194&lt;=AL$5, COUNTIF($M194:AK194,"u")=0), "u", "")</f>
        <v/>
      </c>
      <c r="AM194" s="80" t="str">
        <f>IF(AND($F194&lt;&gt;"", $F194&gt;=AM$5-4, $F194&lt;=AM$5, COUNTIF($M194:AL194,"u")=0), "u", "")</f>
        <v/>
      </c>
      <c r="AN194" s="80" t="str">
        <f>IF(AND($F194&lt;&gt;"", $F194&gt;=AN$5-4, $F194&lt;=AN$5, COUNTIF($M194:AM194,"u")=0), "u", "")</f>
        <v/>
      </c>
      <c r="AO194" s="80" t="str">
        <f>IF(AND($F194&lt;&gt;"", $F194&gt;=AO$5-4, $F194&lt;=AO$5, COUNTIF($M194:AN194,"u")=0), "u", "")</f>
        <v/>
      </c>
      <c r="AP194" s="80" t="str">
        <f>IF(AND($F194&lt;&gt;"", $F194&gt;=AP$5-4, $F194&lt;=AP$5, COUNTIF($M194:AO194,"u")=0), "u", "")</f>
        <v/>
      </c>
      <c r="AQ194" s="80" t="str">
        <f>IF(AND($F194&lt;&gt;"", $F194&gt;=AQ$5-4, $F194&lt;=AQ$5, COUNTIF($M194:AP194,"u")=0), "u", "")</f>
        <v/>
      </c>
      <c r="AR194" s="80" t="str">
        <f>IF(AND($F194&lt;&gt;"", $F194&gt;=AR$5-4, $F194&lt;=AR$5, COUNTIF($M194:AQ194,"u")=0), "u", "")</f>
        <v/>
      </c>
      <c r="AS194" s="80" t="str">
        <f>IF(AND($F194&lt;&gt;"", $F194&gt;=AS$5-4, $F194&lt;=AS$5, COUNTIF($M194:AR194,"u")=0), "u", "")</f>
        <v/>
      </c>
      <c r="AT194" s="80" t="str">
        <f>IF(AND($F194&lt;&gt;"", $F194&gt;=AT$5-4, $F194&lt;=AT$5, COUNTIF($M194:AS194,"u")=0), "u", "")</f>
        <v/>
      </c>
      <c r="AU194" s="80" t="str">
        <f>IF(AND($F194&lt;&gt;"", $F194&gt;=AU$5-4, $F194&lt;=AU$5, COUNTIF($M194:AT194,"u")=0), "u", "")</f>
        <v/>
      </c>
      <c r="AV194" s="80" t="str">
        <f>IF(AND($F194&lt;&gt;"", $F194&gt;=AV$5-4, $F194&lt;=AV$5, COUNTIF($M194:AU194,"u")=0), "u", "")</f>
        <v/>
      </c>
      <c r="AW194" s="80" t="str">
        <f>IF(AND($F194&lt;&gt;"", $F194&gt;=AW$5-4, $F194&lt;=AW$5, COUNTIF($M194:AV194,"u")=0), "u", "")</f>
        <v/>
      </c>
      <c r="AX194" s="80" t="str">
        <f>IF(AND($F194&lt;&gt;"", $F194&gt;=AX$5-4, $F194&lt;=AX$5, COUNTIF($M194:AW194,"u")=0), "u", "")</f>
        <v/>
      </c>
      <c r="AY194" s="80" t="str">
        <f>IF(AND($F194&lt;&gt;"", $F194&gt;=AY$5-4, $F194&lt;=AY$5, COUNTIF($M194:AX194,"u")=0), "u", "")</f>
        <v/>
      </c>
      <c r="AZ194" s="80" t="str">
        <f>IF(AND($F194&lt;&gt;"", $F194&gt;=AZ$5-4, $F194&lt;=AZ$5, COUNTIF($M194:AY194,"u")=0), "u", "")</f>
        <v/>
      </c>
      <c r="BA194" s="80" t="str">
        <f>IF(AND($F194&lt;&gt;"", $F194&gt;=BA$5-4, $F194&lt;=BA$5, COUNTIF($M194:AZ194,"u")=0), "u", "")</f>
        <v/>
      </c>
      <c r="BB194" s="80" t="str">
        <f>IF(AND($F194&lt;&gt;"", $F194&gt;=BB$5-4, $F194&lt;=BB$5, COUNTIF($M194:BA194,"u")=0), "u", "")</f>
        <v/>
      </c>
      <c r="BC194" s="80" t="str">
        <f>IF(AND($F194&lt;&gt;"", $F194&gt;=BC$5-4, $F194&lt;=BC$5, COUNTIF($M194:BB194,"u")=0), "u", "")</f>
        <v/>
      </c>
      <c r="BD194" s="80" t="str">
        <f>IF(AND($F194&lt;&gt;"", $F194&gt;=BD$5-4, $F194&lt;=BD$5, COUNTIF($M194:BC194,"u")=0), "u", "")</f>
        <v/>
      </c>
      <c r="BE194" s="80" t="str">
        <f>IF(AND($F194&lt;&gt;"", $F194&gt;=BE$5-4, $F194&lt;=BE$5, COUNTIF($M194:BD194,"u")=0), "u", "")</f>
        <v/>
      </c>
      <c r="BF194" s="80" t="str">
        <f>IF(AND($F194&lt;&gt;"", $F194&gt;=BF$5-4, $F194&lt;=BF$5, COUNTIF($M194:BE194,"u")=0), "u", "")</f>
        <v/>
      </c>
      <c r="BG194" s="80" t="str">
        <f>IF(AND($F194&lt;&gt;"", $F194&gt;=BG$5-4, $F194&lt;=BG$5, COUNTIF($M194:BF194,"u")=0), "u", "")</f>
        <v/>
      </c>
      <c r="BH194" s="80" t="str">
        <f>IF(AND($F194&lt;&gt;"", $F194&gt;=BH$5-4, $F194&lt;=BH$5, COUNTIF($M194:BG194,"u")=0), "u", "")</f>
        <v/>
      </c>
      <c r="BI194" s="80" t="str">
        <f>IF(AND($F194&lt;&gt;"", $F194&gt;=BI$5-4, $F194&lt;=BI$5, COUNTIF($M194:BH194,"u")=0), "u", "")</f>
        <v/>
      </c>
      <c r="BJ194" s="80" t="str">
        <f>IF(AND($F194&lt;&gt;"", $F194&gt;=BJ$5-4, $F194&lt;=BJ$5, COUNTIF($M194:BI194,"u")=0), "u", "")</f>
        <v/>
      </c>
      <c r="BK194" s="80" t="str">
        <f>IF(AND($F194&lt;&gt;"", $F194&gt;=BK$5-4, $F194&lt;=BK$5, COUNTIF($M194:BJ194,"u")=0), "u", "")</f>
        <v/>
      </c>
      <c r="BL194" s="80" t="str">
        <f>IF(AND($F194&lt;&gt;"", $F194&gt;=BL$5-4, $F194&lt;=BL$5, COUNTIF($M194:BK194,"u")=0), "u", "")</f>
        <v/>
      </c>
      <c r="BM194" s="80" t="str">
        <f>IF(AND($F194&lt;&gt;"", $F194&gt;=BM$5-4, $F194&lt;=BM$5, COUNTIF($M194:BL194,"u")=0), "u", "")</f>
        <v/>
      </c>
      <c r="BN194" s="80" t="str">
        <f>IF(AND($F194&lt;&gt;"", $F194&gt;=BN$5-4, $F194&lt;=BN$5, COUNTIF($M194:BM194,"u")=0), "u", "")</f>
        <v/>
      </c>
      <c r="BO194" s="80" t="str">
        <f>IF(AND($F194&lt;&gt;"", $F194&gt;=BO$5-4, $F194&lt;=BO$5, COUNTIF($M194:BN194,"u")=0), "u", "")</f>
        <v/>
      </c>
      <c r="BP194" s="80" t="str">
        <f>IF(AND($F194&lt;&gt;"", $F194&gt;=BP$5-4, $F194&lt;=BP$5, COUNTIF($M194:BO194,"u")=0), "u", "")</f>
        <v/>
      </c>
      <c r="BQ194" s="80" t="str">
        <f>IF(AND($F194&lt;&gt;"", $F194&gt;=BQ$5-4, $F194&lt;=BQ$5, COUNTIF($M194:BP194,"u")=0), "u", "")</f>
        <v/>
      </c>
      <c r="BR194" s="80" t="str">
        <f>IF(AND($F194&lt;&gt;"", $F194&gt;=BR$5-4, $F194&lt;=BR$5, COUNTIF($M194:BQ194,"u")=0), "u", "")</f>
        <v/>
      </c>
      <c r="BS194" s="80" t="str">
        <f>IF(AND($F194&lt;&gt;"", $F194&gt;=BS$5-4, $F194&lt;=BS$5, COUNTIF($M194:BR194,"u")=0), "u", "")</f>
        <v/>
      </c>
      <c r="BT194" s="80" t="str">
        <f>IF(AND($F194&lt;&gt;"", $F194&gt;=BT$5-4, $F194&lt;=BT$5, COUNTIF($M194:BS194,"u")=0), "u", "")</f>
        <v/>
      </c>
      <c r="BU194" s="80" t="str">
        <f>IF(AND($F194&lt;&gt;"", $F194&gt;=BU$5-4, $F194&lt;=BU$5, COUNTIF($M194:BT194,"u")=0), "u", "")</f>
        <v/>
      </c>
      <c r="BV194" s="80" t="str">
        <f>IF(AND($F194&lt;&gt;"", $F194&gt;=BV$5-4, $F194&lt;=BV$5, COUNTIF($M194:BU194,"u")=0), "u", "")</f>
        <v/>
      </c>
      <c r="BW194" s="80" t="str">
        <f>IF(AND($F194&lt;&gt;"", $F194&gt;=BW$5-4, $F194&lt;=BW$5, COUNTIF($M194:BV194,"u")=0), "u", "")</f>
        <v/>
      </c>
      <c r="BX194" s="80" t="str">
        <f>IF(AND($F194&lt;&gt;"", $F194&gt;=BX$5-4, $F194&lt;=BX$5, COUNTIF($M194:BW194,"u")=0), "u", "")</f>
        <v/>
      </c>
      <c r="BY194" s="80" t="str">
        <f>IF(AND($F194&lt;&gt;"", $F194&gt;=BY$5-4, $F194&lt;=BY$5, COUNTIF($M194:BX194,"u")=0), "u", "")</f>
        <v/>
      </c>
      <c r="BZ194" s="80" t="str">
        <f>IF(AND($F194&lt;&gt;"", $F194&gt;=BZ$5-4, $F194&lt;=BZ$5, COUNTIF($M194:BY194,"u")=0), "u", "")</f>
        <v/>
      </c>
      <c r="CA194" s="80" t="str">
        <f>IF(AND($F194&lt;&gt;"", $F194&gt;=CA$5-4, $F194&lt;=CA$5, COUNTIF($M194:BZ194,"u")=0), "u", "")</f>
        <v/>
      </c>
      <c r="CB194" s="80" t="str">
        <f>IF(AND($F194&lt;&gt;"", $F194&gt;=CB$5-4, $F194&lt;=CB$5, COUNTIF($M194:CA194,"u")=0), "u", "")</f>
        <v/>
      </c>
      <c r="CC194" s="80" t="str">
        <f>IF(AND($F194&lt;&gt;"", $F194&gt;=CC$5-4, $F194&lt;=CC$5, COUNTIF($M194:CB194,"u")=0), "u", "")</f>
        <v/>
      </c>
      <c r="CD194" s="80" t="str">
        <f>IF(AND($F194&lt;&gt;"", $F194&gt;=CD$5-4, $F194&lt;=CD$5, COUNTIF($M194:CC194,"u")=0), "u", "")</f>
        <v/>
      </c>
      <c r="CE194" s="80" t="str">
        <f>IF(AND($F194&lt;&gt;"", $F194&gt;=CE$5-4, $F194&lt;=CE$5, COUNTIF($M194:CD194,"u")=0), "u", "")</f>
        <v/>
      </c>
      <c r="CF194" s="80" t="str">
        <f>IF(AND($F194&lt;&gt;"", $F194&gt;=CF$5-4, $F194&lt;=CF$5, COUNTIF($M194:CE194,"u")=0), "u", "")</f>
        <v/>
      </c>
      <c r="CG194" s="80" t="str">
        <f>IF(AND($F194&lt;&gt;"", $F194&gt;=CG$5-4, $F194&lt;=CG$5, COUNTIF($M194:CF194,"u")=0), "u", "")</f>
        <v/>
      </c>
      <c r="CH194" s="80" t="str">
        <f>IF(AND($F194&lt;&gt;"", $F194&gt;=CH$5-4, $F194&lt;=CH$5, COUNTIF($M194:CG194,"u")=0), "u", "")</f>
        <v/>
      </c>
      <c r="CI194" s="80" t="str">
        <f>IF(AND($F194&lt;&gt;"", $F194&gt;=CI$5-4, $F194&lt;=CI$5, COUNTIF($M194:CH194,"u")=0), "u", "")</f>
        <v/>
      </c>
      <c r="CJ194" s="80" t="str">
        <f>IF(AND($F194&lt;&gt;"", $F194&gt;=CJ$5-4, $F194&lt;=CJ$5, COUNTIF($M194:CI194,"u")=0), "u", "")</f>
        <v/>
      </c>
      <c r="CK194" s="80" t="str">
        <f>IF(AND($F194&lt;&gt;"", $F194&gt;=CK$5-4, $F194&lt;=CK$5, COUNTIF($M194:CJ194,"u")=0), "u", "")</f>
        <v/>
      </c>
      <c r="CL194" s="80" t="str">
        <f>IF(AND($F194&lt;&gt;"", $F194&gt;=CL$5-4, $F194&lt;=CL$5, COUNTIF($M194:CK194,"u")=0), "u", "")</f>
        <v/>
      </c>
      <c r="CM194" s="80" t="str">
        <f>IF(AND($F194&lt;&gt;"", $F194&gt;=CM$5-4, $F194&lt;=CM$5, COUNTIF($M194:CL194,"u")=0), "u", "")</f>
        <v/>
      </c>
      <c r="CN194" s="80" t="str">
        <f>IF(AND($F194&lt;&gt;"", $F194&gt;=CN$5-4, $F194&lt;=CN$5, COUNTIF($M194:CM194,"u")=0), "u", "")</f>
        <v/>
      </c>
      <c r="CO194" s="80" t="str">
        <f>IF(AND($F194&lt;&gt;"", $F194&gt;=CO$5-4, $F194&lt;=CO$5, COUNTIF($M194:CN194,"u")=0), "u", "")</f>
        <v/>
      </c>
      <c r="CP194" s="80" t="str">
        <f>IF(AND($F194&lt;&gt;"", $F194&gt;=CP$5-4, $F194&lt;=CP$5, COUNTIF($M194:CO194,"u")=0), "u", "")</f>
        <v/>
      </c>
      <c r="CQ194" s="80" t="str">
        <f>IF(AND($F194&lt;&gt;"", $F194&gt;=CQ$5-4, $F194&lt;=CQ$5, COUNTIF($M194:CP194,"u")=0), "u", "")</f>
        <v/>
      </c>
      <c r="CR194" s="80" t="str">
        <f>IF(AND($F194&lt;&gt;"", $F194&gt;=CR$5-4, $F194&lt;=CR$5, COUNTIF($M194:CQ194,"u")=0), "u", "")</f>
        <v/>
      </c>
      <c r="CS194" s="80" t="str">
        <f>IF(AND($F194&lt;&gt;"", $F194&gt;=CS$5-4, $F194&lt;=CS$5, COUNTIF($M194:CR194,"u")=0), "u", "")</f>
        <v/>
      </c>
      <c r="CT194" s="80" t="str">
        <f>IF(AND($F194&lt;&gt;"", $F194&gt;=CT$5-4, $F194&lt;=CT$5, COUNTIF($M194:CS194,"u")=0), "u", "")</f>
        <v/>
      </c>
      <c r="CU194" s="80" t="str">
        <f>IF(AND($F194&lt;&gt;"", $F194&gt;=CU$5-4, $F194&lt;=CU$5, COUNTIF($M194:CT194,"u")=0), "u", "")</f>
        <v/>
      </c>
      <c r="CV194" s="80" t="str">
        <f>IF(AND($F194&lt;&gt;"", $F194&gt;=CV$5-4, $F194&lt;=CV$5, COUNTIF($M194:CU194,"u")=0), "u", "")</f>
        <v/>
      </c>
      <c r="CW194" s="80" t="str">
        <f>IF(AND($F194&lt;&gt;"", $F194&gt;=CW$5-4, $F194&lt;=CW$5, COUNTIF($M194:CV194,"u")=0), "u", "")</f>
        <v/>
      </c>
      <c r="CX194" s="80" t="str">
        <f>IF(AND($F194&lt;&gt;"", $F194&gt;=CX$5-4, $F194&lt;=CX$5, COUNTIF($M194:CW194,"u")=0), "u", "")</f>
        <v/>
      </c>
      <c r="CY194" s="80" t="str">
        <f>IF(AND($F194&lt;&gt;"", $F194&gt;=CY$5-4, $F194&lt;=CY$5, COUNTIF($M194:CX194,"u")=0), "u", "")</f>
        <v/>
      </c>
      <c r="CZ194" s="80" t="str">
        <f>IF(AND($F194&lt;&gt;"", $F194&gt;=CZ$5-4, $F194&lt;=CZ$5, COUNTIF($M194:CY194,"u")=0), "u", "")</f>
        <v/>
      </c>
      <c r="DA194" s="80" t="str">
        <f>IF(AND($F194&lt;&gt;"", $F194&gt;=DA$5-4, $F194&lt;=DA$5, COUNTIF($M194:CZ194,"u")=0), "u", "")</f>
        <v/>
      </c>
      <c r="DB194" s="80" t="str">
        <f>IF(AND($F194&lt;&gt;"", $F194&gt;=DB$5-4, $F194&lt;=DB$5, COUNTIF($M194:DA194,"u")=0), "u", "")</f>
        <v/>
      </c>
      <c r="DC194" s="80" t="str">
        <f>IF(AND($F194&lt;&gt;"", $F194&gt;=DC$5-4, $F194&lt;=DC$5, COUNTIF($M194:DB194,"u")=0), "u", "")</f>
        <v/>
      </c>
      <c r="DD194" s="80" t="str">
        <f>IF(AND($F194&lt;&gt;"", $F194&gt;=DD$5-4, $F194&lt;=DD$5, COUNTIF($M194:DC194,"u")=0), "u", "")</f>
        <v/>
      </c>
      <c r="DE194" s="80" t="str">
        <f>IF(AND($F194&lt;&gt;"", $F194&gt;=DE$5-4, $F194&lt;=DE$5, COUNTIF($M194:DD194,"u")=0), "u", "")</f>
        <v/>
      </c>
      <c r="DF194" s="80" t="str">
        <f>IF(AND($F194&lt;&gt;"", $F194&gt;=DF$5-4, $F194&lt;=DF$5, COUNTIF($M194:DE194,"u")=0), "u", "")</f>
        <v/>
      </c>
      <c r="DG194" s="80" t="str">
        <f>IF(AND($F194&lt;&gt;"", $F194&gt;=DG$5-4, $F194&lt;=DG$5, COUNTIF($M194:DF194,"u")=0), "u", "")</f>
        <v/>
      </c>
      <c r="DH194" s="80" t="str">
        <f>IF(AND($F194&lt;&gt;"", $F194&gt;=DH$5-4, $F194&lt;=DH$5, COUNTIF($M194:DG194,"u")=0), "u", "")</f>
        <v/>
      </c>
      <c r="DI194" s="80" t="str">
        <f>IF(AND($F194&lt;&gt;"", $F194&gt;=DI$5-4, $F194&lt;=DI$5, COUNTIF($M194:DH194,"u")=0), "u", "")</f>
        <v/>
      </c>
      <c r="DJ194" s="80" t="str">
        <f>IF(AND($F194&lt;&gt;"", $F194&gt;=DJ$5-4, $F194&lt;=DJ$5, COUNTIF($M194:DI194,"u")=0), "u", "")</f>
        <v/>
      </c>
      <c r="DK194" s="80" t="str">
        <f>IF(AND($F194&lt;&gt;"", $F194&gt;=DK$5-4, $F194&lt;=DK$5, COUNTIF($M194:DJ194,"u")=0), "u", "")</f>
        <v/>
      </c>
      <c r="DL194" s="80" t="str">
        <f>IF(AND($F194&lt;&gt;"", $F194&gt;=DL$5-4, $F194&lt;=DL$5, COUNTIF($M194:DK194,"u")=0), "u", "")</f>
        <v/>
      </c>
    </row>
    <row r="195" spans="1:116" ht="25.05" customHeight="1" x14ac:dyDescent="0.3">
      <c r="A195" s="39"/>
      <c r="B195" s="75">
        <v>190</v>
      </c>
      <c r="C195" s="97"/>
      <c r="D195" s="92"/>
      <c r="E195" s="53"/>
      <c r="F195" s="53"/>
      <c r="G195" s="83" t="str">
        <f t="shared" si="53"/>
        <v/>
      </c>
      <c r="H195" s="83" t="str">
        <f t="shared" si="53"/>
        <v/>
      </c>
      <c r="I195" s="77" t="str">
        <f t="shared" si="51"/>
        <v/>
      </c>
      <c r="J195" s="78"/>
      <c r="K195" s="86"/>
      <c r="L195" s="56"/>
      <c r="M195" s="80" t="str">
        <f t="shared" si="52"/>
        <v/>
      </c>
      <c r="N195" s="80" t="str">
        <f>IF(AND($F195&lt;&gt;"", $F195&gt;=N$5-4, $F195&lt;=N$5, COUNTIF($M195:M195,"u")=0), "u", "")</f>
        <v/>
      </c>
      <c r="O195" s="80" t="str">
        <f>IF(AND($F195&lt;&gt;"", $F195&gt;=O$5-4, $F195&lt;=O$5, COUNTIF($M195:N195,"u")=0), "u", "")</f>
        <v/>
      </c>
      <c r="P195" s="80" t="str">
        <f>IF(AND($F195&lt;&gt;"", $F195&gt;=P$5-4, $F195&lt;=P$5, COUNTIF($M195:O195,"u")=0), "u", "")</f>
        <v/>
      </c>
      <c r="Q195" s="80" t="str">
        <f>IF(AND($F195&lt;&gt;"", $F195&gt;=Q$5-4, $F195&lt;=Q$5, COUNTIF($M195:P195,"u")=0), "u", "")</f>
        <v/>
      </c>
      <c r="R195" s="80" t="str">
        <f>IF(AND($F195&lt;&gt;"", $F195&gt;=R$5-4, $F195&lt;=R$5, COUNTIF($M195:Q195,"u")=0), "u", "")</f>
        <v/>
      </c>
      <c r="S195" s="80" t="str">
        <f>IF(AND($F195&lt;&gt;"", $F195&gt;=S$5-4, $F195&lt;=S$5, COUNTIF($M195:R195,"u")=0), "u", "")</f>
        <v/>
      </c>
      <c r="T195" s="80" t="str">
        <f>IF(AND($F195&lt;&gt;"", $F195&gt;=T$5-4, $F195&lt;=T$5, COUNTIF($M195:S195,"u")=0), "u", "")</f>
        <v/>
      </c>
      <c r="U195" s="80" t="str">
        <f>IF(AND($F195&lt;&gt;"", $F195&gt;=U$5-4, $F195&lt;=U$5, COUNTIF($M195:T195,"u")=0), "u", "")</f>
        <v/>
      </c>
      <c r="V195" s="80" t="str">
        <f>IF(AND($F195&lt;&gt;"", $F195&gt;=V$5-4, $F195&lt;=V$5, COUNTIF($M195:U195,"u")=0), "u", "")</f>
        <v/>
      </c>
      <c r="W195" s="80" t="str">
        <f>IF(AND($F195&lt;&gt;"", $F195&gt;=W$5-4, $F195&lt;=W$5, COUNTIF($M195:V195,"u")=0), "u", "")</f>
        <v/>
      </c>
      <c r="X195" s="80" t="str">
        <f>IF(AND($F195&lt;&gt;"", $F195&gt;=X$5-4, $F195&lt;=X$5, COUNTIF($M195:W195,"u")=0), "u", "")</f>
        <v/>
      </c>
      <c r="Y195" s="80" t="str">
        <f>IF(AND($F195&lt;&gt;"", $F195&gt;=Y$5-4, $F195&lt;=Y$5, COUNTIF($M195:X195,"u")=0), "u", "")</f>
        <v/>
      </c>
      <c r="Z195" s="80" t="str">
        <f>IF(AND($F195&lt;&gt;"", $F195&gt;=Z$5-4, $F195&lt;=Z$5, COUNTIF($M195:Y195,"u")=0), "u", "")</f>
        <v/>
      </c>
      <c r="AA195" s="80" t="str">
        <f>IF(AND($F195&lt;&gt;"", $F195&gt;=AA$5-4, $F195&lt;=AA$5, COUNTIF($M195:Z195,"u")=0), "u", "")</f>
        <v/>
      </c>
      <c r="AB195" s="80" t="str">
        <f>IF(AND($F195&lt;&gt;"", $F195&gt;=AB$5-4, $F195&lt;=AB$5, COUNTIF($M195:AA195,"u")=0), "u", "")</f>
        <v/>
      </c>
      <c r="AC195" s="80" t="str">
        <f>IF(AND($F195&lt;&gt;"", $F195&gt;=AC$5-4, $F195&lt;=AC$5, COUNTIF($M195:AB195,"u")=0), "u", "")</f>
        <v/>
      </c>
      <c r="AD195" s="80" t="str">
        <f>IF(AND($F195&lt;&gt;"", $F195&gt;=AD$5-4, $F195&lt;=AD$5, COUNTIF($M195:AC195,"u")=0), "u", "")</f>
        <v/>
      </c>
      <c r="AE195" s="80" t="str">
        <f>IF(AND($F195&lt;&gt;"", $F195&gt;=AE$5-4, $F195&lt;=AE$5, COUNTIF($M195:AD195,"u")=0), "u", "")</f>
        <v/>
      </c>
      <c r="AF195" s="80" t="str">
        <f>IF(AND($F195&lt;&gt;"", $F195&gt;=AF$5-4, $F195&lt;=AF$5, COUNTIF($M195:AE195,"u")=0), "u", "")</f>
        <v/>
      </c>
      <c r="AG195" s="80" t="str">
        <f>IF(AND($F195&lt;&gt;"", $F195&gt;=AG$5-4, $F195&lt;=AG$5, COUNTIF($M195:AF195,"u")=0), "u", "")</f>
        <v/>
      </c>
      <c r="AH195" s="80" t="str">
        <f>IF(AND($F195&lt;&gt;"", $F195&gt;=AH$5-4, $F195&lt;=AH$5, COUNTIF($M195:AG195,"u")=0), "u", "")</f>
        <v/>
      </c>
      <c r="AI195" s="80" t="str">
        <f>IF(AND($F195&lt;&gt;"", $F195&gt;=AI$5-4, $F195&lt;=AI$5, COUNTIF($M195:AH195,"u")=0), "u", "")</f>
        <v/>
      </c>
      <c r="AJ195" s="80" t="str">
        <f>IF(AND($F195&lt;&gt;"", $F195&gt;=AJ$5-4, $F195&lt;=AJ$5, COUNTIF($M195:AI195,"u")=0), "u", "")</f>
        <v/>
      </c>
      <c r="AK195" s="80" t="str">
        <f>IF(AND($F195&lt;&gt;"", $F195&gt;=AK$5-4, $F195&lt;=AK$5, COUNTIF($M195:AJ195,"u")=0), "u", "")</f>
        <v/>
      </c>
      <c r="AL195" s="80" t="str">
        <f>IF(AND($F195&lt;&gt;"", $F195&gt;=AL$5-4, $F195&lt;=AL$5, COUNTIF($M195:AK195,"u")=0), "u", "")</f>
        <v/>
      </c>
      <c r="AM195" s="80" t="str">
        <f>IF(AND($F195&lt;&gt;"", $F195&gt;=AM$5-4, $F195&lt;=AM$5, COUNTIF($M195:AL195,"u")=0), "u", "")</f>
        <v/>
      </c>
      <c r="AN195" s="80" t="str">
        <f>IF(AND($F195&lt;&gt;"", $F195&gt;=AN$5-4, $F195&lt;=AN$5, COUNTIF($M195:AM195,"u")=0), "u", "")</f>
        <v/>
      </c>
      <c r="AO195" s="80" t="str">
        <f>IF(AND($F195&lt;&gt;"", $F195&gt;=AO$5-4, $F195&lt;=AO$5, COUNTIF($M195:AN195,"u")=0), "u", "")</f>
        <v/>
      </c>
      <c r="AP195" s="80" t="str">
        <f>IF(AND($F195&lt;&gt;"", $F195&gt;=AP$5-4, $F195&lt;=AP$5, COUNTIF($M195:AO195,"u")=0), "u", "")</f>
        <v/>
      </c>
      <c r="AQ195" s="80" t="str">
        <f>IF(AND($F195&lt;&gt;"", $F195&gt;=AQ$5-4, $F195&lt;=AQ$5, COUNTIF($M195:AP195,"u")=0), "u", "")</f>
        <v/>
      </c>
      <c r="AR195" s="80" t="str">
        <f>IF(AND($F195&lt;&gt;"", $F195&gt;=AR$5-4, $F195&lt;=AR$5, COUNTIF($M195:AQ195,"u")=0), "u", "")</f>
        <v/>
      </c>
      <c r="AS195" s="80" t="str">
        <f>IF(AND($F195&lt;&gt;"", $F195&gt;=AS$5-4, $F195&lt;=AS$5, COUNTIF($M195:AR195,"u")=0), "u", "")</f>
        <v/>
      </c>
      <c r="AT195" s="80" t="str">
        <f>IF(AND($F195&lt;&gt;"", $F195&gt;=AT$5-4, $F195&lt;=AT$5, COUNTIF($M195:AS195,"u")=0), "u", "")</f>
        <v/>
      </c>
      <c r="AU195" s="80" t="str">
        <f>IF(AND($F195&lt;&gt;"", $F195&gt;=AU$5-4, $F195&lt;=AU$5, COUNTIF($M195:AT195,"u")=0), "u", "")</f>
        <v/>
      </c>
      <c r="AV195" s="80" t="str">
        <f>IF(AND($F195&lt;&gt;"", $F195&gt;=AV$5-4, $F195&lt;=AV$5, COUNTIF($M195:AU195,"u")=0), "u", "")</f>
        <v/>
      </c>
      <c r="AW195" s="80" t="str">
        <f>IF(AND($F195&lt;&gt;"", $F195&gt;=AW$5-4, $F195&lt;=AW$5, COUNTIF($M195:AV195,"u")=0), "u", "")</f>
        <v/>
      </c>
      <c r="AX195" s="80" t="str">
        <f>IF(AND($F195&lt;&gt;"", $F195&gt;=AX$5-4, $F195&lt;=AX$5, COUNTIF($M195:AW195,"u")=0), "u", "")</f>
        <v/>
      </c>
      <c r="AY195" s="80" t="str">
        <f>IF(AND($F195&lt;&gt;"", $F195&gt;=AY$5-4, $F195&lt;=AY$5, COUNTIF($M195:AX195,"u")=0), "u", "")</f>
        <v/>
      </c>
      <c r="AZ195" s="80" t="str">
        <f>IF(AND($F195&lt;&gt;"", $F195&gt;=AZ$5-4, $F195&lt;=AZ$5, COUNTIF($M195:AY195,"u")=0), "u", "")</f>
        <v/>
      </c>
      <c r="BA195" s="80" t="str">
        <f>IF(AND($F195&lt;&gt;"", $F195&gt;=BA$5-4, $F195&lt;=BA$5, COUNTIF($M195:AZ195,"u")=0), "u", "")</f>
        <v/>
      </c>
      <c r="BB195" s="80" t="str">
        <f>IF(AND($F195&lt;&gt;"", $F195&gt;=BB$5-4, $F195&lt;=BB$5, COUNTIF($M195:BA195,"u")=0), "u", "")</f>
        <v/>
      </c>
      <c r="BC195" s="80" t="str">
        <f>IF(AND($F195&lt;&gt;"", $F195&gt;=BC$5-4, $F195&lt;=BC$5, COUNTIF($M195:BB195,"u")=0), "u", "")</f>
        <v/>
      </c>
      <c r="BD195" s="80" t="str">
        <f>IF(AND($F195&lt;&gt;"", $F195&gt;=BD$5-4, $F195&lt;=BD$5, COUNTIF($M195:BC195,"u")=0), "u", "")</f>
        <v/>
      </c>
      <c r="BE195" s="80" t="str">
        <f>IF(AND($F195&lt;&gt;"", $F195&gt;=BE$5-4, $F195&lt;=BE$5, COUNTIF($M195:BD195,"u")=0), "u", "")</f>
        <v/>
      </c>
      <c r="BF195" s="80" t="str">
        <f>IF(AND($F195&lt;&gt;"", $F195&gt;=BF$5-4, $F195&lt;=BF$5, COUNTIF($M195:BE195,"u")=0), "u", "")</f>
        <v/>
      </c>
      <c r="BG195" s="80" t="str">
        <f>IF(AND($F195&lt;&gt;"", $F195&gt;=BG$5-4, $F195&lt;=BG$5, COUNTIF($M195:BF195,"u")=0), "u", "")</f>
        <v/>
      </c>
      <c r="BH195" s="80" t="str">
        <f>IF(AND($F195&lt;&gt;"", $F195&gt;=BH$5-4, $F195&lt;=BH$5, COUNTIF($M195:BG195,"u")=0), "u", "")</f>
        <v/>
      </c>
      <c r="BI195" s="80" t="str">
        <f>IF(AND($F195&lt;&gt;"", $F195&gt;=BI$5-4, $F195&lt;=BI$5, COUNTIF($M195:BH195,"u")=0), "u", "")</f>
        <v/>
      </c>
      <c r="BJ195" s="80" t="str">
        <f>IF(AND($F195&lt;&gt;"", $F195&gt;=BJ$5-4, $F195&lt;=BJ$5, COUNTIF($M195:BI195,"u")=0), "u", "")</f>
        <v/>
      </c>
      <c r="BK195" s="80" t="str">
        <f>IF(AND($F195&lt;&gt;"", $F195&gt;=BK$5-4, $F195&lt;=BK$5, COUNTIF($M195:BJ195,"u")=0), "u", "")</f>
        <v/>
      </c>
      <c r="BL195" s="80" t="str">
        <f>IF(AND($F195&lt;&gt;"", $F195&gt;=BL$5-4, $F195&lt;=BL$5, COUNTIF($M195:BK195,"u")=0), "u", "")</f>
        <v/>
      </c>
      <c r="BM195" s="80" t="str">
        <f>IF(AND($F195&lt;&gt;"", $F195&gt;=BM$5-4, $F195&lt;=BM$5, COUNTIF($M195:BL195,"u")=0), "u", "")</f>
        <v/>
      </c>
      <c r="BN195" s="80" t="str">
        <f>IF(AND($F195&lt;&gt;"", $F195&gt;=BN$5-4, $F195&lt;=BN$5, COUNTIF($M195:BM195,"u")=0), "u", "")</f>
        <v/>
      </c>
      <c r="BO195" s="80" t="str">
        <f>IF(AND($F195&lt;&gt;"", $F195&gt;=BO$5-4, $F195&lt;=BO$5, COUNTIF($M195:BN195,"u")=0), "u", "")</f>
        <v/>
      </c>
      <c r="BP195" s="80" t="str">
        <f>IF(AND($F195&lt;&gt;"", $F195&gt;=BP$5-4, $F195&lt;=BP$5, COUNTIF($M195:BO195,"u")=0), "u", "")</f>
        <v/>
      </c>
      <c r="BQ195" s="80" t="str">
        <f>IF(AND($F195&lt;&gt;"", $F195&gt;=BQ$5-4, $F195&lt;=BQ$5, COUNTIF($M195:BP195,"u")=0), "u", "")</f>
        <v/>
      </c>
      <c r="BR195" s="80" t="str">
        <f>IF(AND($F195&lt;&gt;"", $F195&gt;=BR$5-4, $F195&lt;=BR$5, COUNTIF($M195:BQ195,"u")=0), "u", "")</f>
        <v/>
      </c>
      <c r="BS195" s="80" t="str">
        <f>IF(AND($F195&lt;&gt;"", $F195&gt;=BS$5-4, $F195&lt;=BS$5, COUNTIF($M195:BR195,"u")=0), "u", "")</f>
        <v/>
      </c>
      <c r="BT195" s="80" t="str">
        <f>IF(AND($F195&lt;&gt;"", $F195&gt;=BT$5-4, $F195&lt;=BT$5, COUNTIF($M195:BS195,"u")=0), "u", "")</f>
        <v/>
      </c>
      <c r="BU195" s="80" t="str">
        <f>IF(AND($F195&lt;&gt;"", $F195&gt;=BU$5-4, $F195&lt;=BU$5, COUNTIF($M195:BT195,"u")=0), "u", "")</f>
        <v/>
      </c>
      <c r="BV195" s="80" t="str">
        <f>IF(AND($F195&lt;&gt;"", $F195&gt;=BV$5-4, $F195&lt;=BV$5, COUNTIF($M195:BU195,"u")=0), "u", "")</f>
        <v/>
      </c>
      <c r="BW195" s="80" t="str">
        <f>IF(AND($F195&lt;&gt;"", $F195&gt;=BW$5-4, $F195&lt;=BW$5, COUNTIF($M195:BV195,"u")=0), "u", "")</f>
        <v/>
      </c>
      <c r="BX195" s="80" t="str">
        <f>IF(AND($F195&lt;&gt;"", $F195&gt;=BX$5-4, $F195&lt;=BX$5, COUNTIF($M195:BW195,"u")=0), "u", "")</f>
        <v/>
      </c>
      <c r="BY195" s="80" t="str">
        <f>IF(AND($F195&lt;&gt;"", $F195&gt;=BY$5-4, $F195&lt;=BY$5, COUNTIF($M195:BX195,"u")=0), "u", "")</f>
        <v/>
      </c>
      <c r="BZ195" s="80" t="str">
        <f>IF(AND($F195&lt;&gt;"", $F195&gt;=BZ$5-4, $F195&lt;=BZ$5, COUNTIF($M195:BY195,"u")=0), "u", "")</f>
        <v/>
      </c>
      <c r="CA195" s="80" t="str">
        <f>IF(AND($F195&lt;&gt;"", $F195&gt;=CA$5-4, $F195&lt;=CA$5, COUNTIF($M195:BZ195,"u")=0), "u", "")</f>
        <v/>
      </c>
      <c r="CB195" s="80" t="str">
        <f>IF(AND($F195&lt;&gt;"", $F195&gt;=CB$5-4, $F195&lt;=CB$5, COUNTIF($M195:CA195,"u")=0), "u", "")</f>
        <v/>
      </c>
      <c r="CC195" s="80" t="str">
        <f>IF(AND($F195&lt;&gt;"", $F195&gt;=CC$5-4, $F195&lt;=CC$5, COUNTIF($M195:CB195,"u")=0), "u", "")</f>
        <v/>
      </c>
      <c r="CD195" s="80" t="str">
        <f>IF(AND($F195&lt;&gt;"", $F195&gt;=CD$5-4, $F195&lt;=CD$5, COUNTIF($M195:CC195,"u")=0), "u", "")</f>
        <v/>
      </c>
      <c r="CE195" s="80" t="str">
        <f>IF(AND($F195&lt;&gt;"", $F195&gt;=CE$5-4, $F195&lt;=CE$5, COUNTIF($M195:CD195,"u")=0), "u", "")</f>
        <v/>
      </c>
      <c r="CF195" s="80" t="str">
        <f>IF(AND($F195&lt;&gt;"", $F195&gt;=CF$5-4, $F195&lt;=CF$5, COUNTIF($M195:CE195,"u")=0), "u", "")</f>
        <v/>
      </c>
      <c r="CG195" s="80" t="str">
        <f>IF(AND($F195&lt;&gt;"", $F195&gt;=CG$5-4, $F195&lt;=CG$5, COUNTIF($M195:CF195,"u")=0), "u", "")</f>
        <v/>
      </c>
      <c r="CH195" s="80" t="str">
        <f>IF(AND($F195&lt;&gt;"", $F195&gt;=CH$5-4, $F195&lt;=CH$5, COUNTIF($M195:CG195,"u")=0), "u", "")</f>
        <v/>
      </c>
      <c r="CI195" s="80" t="str">
        <f>IF(AND($F195&lt;&gt;"", $F195&gt;=CI$5-4, $F195&lt;=CI$5, COUNTIF($M195:CH195,"u")=0), "u", "")</f>
        <v/>
      </c>
      <c r="CJ195" s="80" t="str">
        <f>IF(AND($F195&lt;&gt;"", $F195&gt;=CJ$5-4, $F195&lt;=CJ$5, COUNTIF($M195:CI195,"u")=0), "u", "")</f>
        <v/>
      </c>
      <c r="CK195" s="80" t="str">
        <f>IF(AND($F195&lt;&gt;"", $F195&gt;=CK$5-4, $F195&lt;=CK$5, COUNTIF($M195:CJ195,"u")=0), "u", "")</f>
        <v/>
      </c>
      <c r="CL195" s="80" t="str">
        <f>IF(AND($F195&lt;&gt;"", $F195&gt;=CL$5-4, $F195&lt;=CL$5, COUNTIF($M195:CK195,"u")=0), "u", "")</f>
        <v/>
      </c>
      <c r="CM195" s="80" t="str">
        <f>IF(AND($F195&lt;&gt;"", $F195&gt;=CM$5-4, $F195&lt;=CM$5, COUNTIF($M195:CL195,"u")=0), "u", "")</f>
        <v/>
      </c>
      <c r="CN195" s="80" t="str">
        <f>IF(AND($F195&lt;&gt;"", $F195&gt;=CN$5-4, $F195&lt;=CN$5, COUNTIF($M195:CM195,"u")=0), "u", "")</f>
        <v/>
      </c>
      <c r="CO195" s="80" t="str">
        <f>IF(AND($F195&lt;&gt;"", $F195&gt;=CO$5-4, $F195&lt;=CO$5, COUNTIF($M195:CN195,"u")=0), "u", "")</f>
        <v/>
      </c>
      <c r="CP195" s="80" t="str">
        <f>IF(AND($F195&lt;&gt;"", $F195&gt;=CP$5-4, $F195&lt;=CP$5, COUNTIF($M195:CO195,"u")=0), "u", "")</f>
        <v/>
      </c>
      <c r="CQ195" s="80" t="str">
        <f>IF(AND($F195&lt;&gt;"", $F195&gt;=CQ$5-4, $F195&lt;=CQ$5, COUNTIF($M195:CP195,"u")=0), "u", "")</f>
        <v/>
      </c>
      <c r="CR195" s="80" t="str">
        <f>IF(AND($F195&lt;&gt;"", $F195&gt;=CR$5-4, $F195&lt;=CR$5, COUNTIF($M195:CQ195,"u")=0), "u", "")</f>
        <v/>
      </c>
      <c r="CS195" s="80" t="str">
        <f>IF(AND($F195&lt;&gt;"", $F195&gt;=CS$5-4, $F195&lt;=CS$5, COUNTIF($M195:CR195,"u")=0), "u", "")</f>
        <v/>
      </c>
      <c r="CT195" s="80" t="str">
        <f>IF(AND($F195&lt;&gt;"", $F195&gt;=CT$5-4, $F195&lt;=CT$5, COUNTIF($M195:CS195,"u")=0), "u", "")</f>
        <v/>
      </c>
      <c r="CU195" s="80" t="str">
        <f>IF(AND($F195&lt;&gt;"", $F195&gt;=CU$5-4, $F195&lt;=CU$5, COUNTIF($M195:CT195,"u")=0), "u", "")</f>
        <v/>
      </c>
      <c r="CV195" s="80" t="str">
        <f>IF(AND($F195&lt;&gt;"", $F195&gt;=CV$5-4, $F195&lt;=CV$5, COUNTIF($M195:CU195,"u")=0), "u", "")</f>
        <v/>
      </c>
      <c r="CW195" s="80" t="str">
        <f>IF(AND($F195&lt;&gt;"", $F195&gt;=CW$5-4, $F195&lt;=CW$5, COUNTIF($M195:CV195,"u")=0), "u", "")</f>
        <v/>
      </c>
      <c r="CX195" s="80" t="str">
        <f>IF(AND($F195&lt;&gt;"", $F195&gt;=CX$5-4, $F195&lt;=CX$5, COUNTIF($M195:CW195,"u")=0), "u", "")</f>
        <v/>
      </c>
      <c r="CY195" s="80" t="str">
        <f>IF(AND($F195&lt;&gt;"", $F195&gt;=CY$5-4, $F195&lt;=CY$5, COUNTIF($M195:CX195,"u")=0), "u", "")</f>
        <v/>
      </c>
      <c r="CZ195" s="80" t="str">
        <f>IF(AND($F195&lt;&gt;"", $F195&gt;=CZ$5-4, $F195&lt;=CZ$5, COUNTIF($M195:CY195,"u")=0), "u", "")</f>
        <v/>
      </c>
      <c r="DA195" s="80" t="str">
        <f>IF(AND($F195&lt;&gt;"", $F195&gt;=DA$5-4, $F195&lt;=DA$5, COUNTIF($M195:CZ195,"u")=0), "u", "")</f>
        <v/>
      </c>
      <c r="DB195" s="80" t="str">
        <f>IF(AND($F195&lt;&gt;"", $F195&gt;=DB$5-4, $F195&lt;=DB$5, COUNTIF($M195:DA195,"u")=0), "u", "")</f>
        <v/>
      </c>
      <c r="DC195" s="80" t="str">
        <f>IF(AND($F195&lt;&gt;"", $F195&gt;=DC$5-4, $F195&lt;=DC$5, COUNTIF($M195:DB195,"u")=0), "u", "")</f>
        <v/>
      </c>
      <c r="DD195" s="80" t="str">
        <f>IF(AND($F195&lt;&gt;"", $F195&gt;=DD$5-4, $F195&lt;=DD$5, COUNTIF($M195:DC195,"u")=0), "u", "")</f>
        <v/>
      </c>
      <c r="DE195" s="80" t="str">
        <f>IF(AND($F195&lt;&gt;"", $F195&gt;=DE$5-4, $F195&lt;=DE$5, COUNTIF($M195:DD195,"u")=0), "u", "")</f>
        <v/>
      </c>
      <c r="DF195" s="80" t="str">
        <f>IF(AND($F195&lt;&gt;"", $F195&gt;=DF$5-4, $F195&lt;=DF$5, COUNTIF($M195:DE195,"u")=0), "u", "")</f>
        <v/>
      </c>
      <c r="DG195" s="80" t="str">
        <f>IF(AND($F195&lt;&gt;"", $F195&gt;=DG$5-4, $F195&lt;=DG$5, COUNTIF($M195:DF195,"u")=0), "u", "")</f>
        <v/>
      </c>
      <c r="DH195" s="80" t="str">
        <f>IF(AND($F195&lt;&gt;"", $F195&gt;=DH$5-4, $F195&lt;=DH$5, COUNTIF($M195:DG195,"u")=0), "u", "")</f>
        <v/>
      </c>
      <c r="DI195" s="80" t="str">
        <f>IF(AND($F195&lt;&gt;"", $F195&gt;=DI$5-4, $F195&lt;=DI$5, COUNTIF($M195:DH195,"u")=0), "u", "")</f>
        <v/>
      </c>
      <c r="DJ195" s="80" t="str">
        <f>IF(AND($F195&lt;&gt;"", $F195&gt;=DJ$5-4, $F195&lt;=DJ$5, COUNTIF($M195:DI195,"u")=0), "u", "")</f>
        <v/>
      </c>
      <c r="DK195" s="80" t="str">
        <f>IF(AND($F195&lt;&gt;"", $F195&gt;=DK$5-4, $F195&lt;=DK$5, COUNTIF($M195:DJ195,"u")=0), "u", "")</f>
        <v/>
      </c>
      <c r="DL195" s="80" t="str">
        <f>IF(AND($F195&lt;&gt;"", $F195&gt;=DL$5-4, $F195&lt;=DL$5, COUNTIF($M195:DK195,"u")=0), "u", "")</f>
        <v/>
      </c>
    </row>
    <row r="196" spans="1:116" ht="25.05" customHeight="1" x14ac:dyDescent="0.3">
      <c r="A196" s="39"/>
      <c r="B196" s="75">
        <v>191</v>
      </c>
      <c r="C196" s="97"/>
      <c r="D196" s="92"/>
      <c r="E196" s="53"/>
      <c r="F196" s="53"/>
      <c r="G196" s="83" t="str">
        <f t="shared" si="53"/>
        <v/>
      </c>
      <c r="H196" s="83" t="str">
        <f t="shared" si="53"/>
        <v/>
      </c>
      <c r="I196" s="77" t="str">
        <f t="shared" si="51"/>
        <v/>
      </c>
      <c r="J196" s="78"/>
      <c r="K196" s="86"/>
      <c r="L196" s="56"/>
      <c r="M196" s="80" t="str">
        <f t="shared" si="52"/>
        <v/>
      </c>
      <c r="N196" s="80" t="str">
        <f>IF(AND($F196&lt;&gt;"", $F196&gt;=N$5-4, $F196&lt;=N$5, COUNTIF($M196:M196,"u")=0), "u", "")</f>
        <v/>
      </c>
      <c r="O196" s="80" t="str">
        <f>IF(AND($F196&lt;&gt;"", $F196&gt;=O$5-4, $F196&lt;=O$5, COUNTIF($M196:N196,"u")=0), "u", "")</f>
        <v/>
      </c>
      <c r="P196" s="80" t="str">
        <f>IF(AND($F196&lt;&gt;"", $F196&gt;=P$5-4, $F196&lt;=P$5, COUNTIF($M196:O196,"u")=0), "u", "")</f>
        <v/>
      </c>
      <c r="Q196" s="80" t="str">
        <f>IF(AND($F196&lt;&gt;"", $F196&gt;=Q$5-4, $F196&lt;=Q$5, COUNTIF($M196:P196,"u")=0), "u", "")</f>
        <v/>
      </c>
      <c r="R196" s="80" t="str">
        <f>IF(AND($F196&lt;&gt;"", $F196&gt;=R$5-4, $F196&lt;=R$5, COUNTIF($M196:Q196,"u")=0), "u", "")</f>
        <v/>
      </c>
      <c r="S196" s="80" t="str">
        <f>IF(AND($F196&lt;&gt;"", $F196&gt;=S$5-4, $F196&lt;=S$5, COUNTIF($M196:R196,"u")=0), "u", "")</f>
        <v/>
      </c>
      <c r="T196" s="80" t="str">
        <f>IF(AND($F196&lt;&gt;"", $F196&gt;=T$5-4, $F196&lt;=T$5, COUNTIF($M196:S196,"u")=0), "u", "")</f>
        <v/>
      </c>
      <c r="U196" s="80" t="str">
        <f>IF(AND($F196&lt;&gt;"", $F196&gt;=U$5-4, $F196&lt;=U$5, COUNTIF($M196:T196,"u")=0), "u", "")</f>
        <v/>
      </c>
      <c r="V196" s="80" t="str">
        <f>IF(AND($F196&lt;&gt;"", $F196&gt;=V$5-4, $F196&lt;=V$5, COUNTIF($M196:U196,"u")=0), "u", "")</f>
        <v/>
      </c>
      <c r="W196" s="80" t="str">
        <f>IF(AND($F196&lt;&gt;"", $F196&gt;=W$5-4, $F196&lt;=W$5, COUNTIF($M196:V196,"u")=0), "u", "")</f>
        <v/>
      </c>
      <c r="X196" s="80" t="str">
        <f>IF(AND($F196&lt;&gt;"", $F196&gt;=X$5-4, $F196&lt;=X$5, COUNTIF($M196:W196,"u")=0), "u", "")</f>
        <v/>
      </c>
      <c r="Y196" s="80" t="str">
        <f>IF(AND($F196&lt;&gt;"", $F196&gt;=Y$5-4, $F196&lt;=Y$5, COUNTIF($M196:X196,"u")=0), "u", "")</f>
        <v/>
      </c>
      <c r="Z196" s="80" t="str">
        <f>IF(AND($F196&lt;&gt;"", $F196&gt;=Z$5-4, $F196&lt;=Z$5, COUNTIF($M196:Y196,"u")=0), "u", "")</f>
        <v/>
      </c>
      <c r="AA196" s="80" t="str">
        <f>IF(AND($F196&lt;&gt;"", $F196&gt;=AA$5-4, $F196&lt;=AA$5, COUNTIF($M196:Z196,"u")=0), "u", "")</f>
        <v/>
      </c>
      <c r="AB196" s="80" t="str">
        <f>IF(AND($F196&lt;&gt;"", $F196&gt;=AB$5-4, $F196&lt;=AB$5, COUNTIF($M196:AA196,"u")=0), "u", "")</f>
        <v/>
      </c>
      <c r="AC196" s="80" t="str">
        <f>IF(AND($F196&lt;&gt;"", $F196&gt;=AC$5-4, $F196&lt;=AC$5, COUNTIF($M196:AB196,"u")=0), "u", "")</f>
        <v/>
      </c>
      <c r="AD196" s="80" t="str">
        <f>IF(AND($F196&lt;&gt;"", $F196&gt;=AD$5-4, $F196&lt;=AD$5, COUNTIF($M196:AC196,"u")=0), "u", "")</f>
        <v/>
      </c>
      <c r="AE196" s="80" t="str">
        <f>IF(AND($F196&lt;&gt;"", $F196&gt;=AE$5-4, $F196&lt;=AE$5, COUNTIF($M196:AD196,"u")=0), "u", "")</f>
        <v/>
      </c>
      <c r="AF196" s="80" t="str">
        <f>IF(AND($F196&lt;&gt;"", $F196&gt;=AF$5-4, $F196&lt;=AF$5, COUNTIF($M196:AE196,"u")=0), "u", "")</f>
        <v/>
      </c>
      <c r="AG196" s="80" t="str">
        <f>IF(AND($F196&lt;&gt;"", $F196&gt;=AG$5-4, $F196&lt;=AG$5, COUNTIF($M196:AF196,"u")=0), "u", "")</f>
        <v/>
      </c>
      <c r="AH196" s="80" t="str">
        <f>IF(AND($F196&lt;&gt;"", $F196&gt;=AH$5-4, $F196&lt;=AH$5, COUNTIF($M196:AG196,"u")=0), "u", "")</f>
        <v/>
      </c>
      <c r="AI196" s="80" t="str">
        <f>IF(AND($F196&lt;&gt;"", $F196&gt;=AI$5-4, $F196&lt;=AI$5, COUNTIF($M196:AH196,"u")=0), "u", "")</f>
        <v/>
      </c>
      <c r="AJ196" s="80" t="str">
        <f>IF(AND($F196&lt;&gt;"", $F196&gt;=AJ$5-4, $F196&lt;=AJ$5, COUNTIF($M196:AI196,"u")=0), "u", "")</f>
        <v/>
      </c>
      <c r="AK196" s="80" t="str">
        <f>IF(AND($F196&lt;&gt;"", $F196&gt;=AK$5-4, $F196&lt;=AK$5, COUNTIF($M196:AJ196,"u")=0), "u", "")</f>
        <v/>
      </c>
      <c r="AL196" s="80" t="str">
        <f>IF(AND($F196&lt;&gt;"", $F196&gt;=AL$5-4, $F196&lt;=AL$5, COUNTIF($M196:AK196,"u")=0), "u", "")</f>
        <v/>
      </c>
      <c r="AM196" s="80" t="str">
        <f>IF(AND($F196&lt;&gt;"", $F196&gt;=AM$5-4, $F196&lt;=AM$5, COUNTIF($M196:AL196,"u")=0), "u", "")</f>
        <v/>
      </c>
      <c r="AN196" s="80" t="str">
        <f>IF(AND($F196&lt;&gt;"", $F196&gt;=AN$5-4, $F196&lt;=AN$5, COUNTIF($M196:AM196,"u")=0), "u", "")</f>
        <v/>
      </c>
      <c r="AO196" s="80" t="str">
        <f>IF(AND($F196&lt;&gt;"", $F196&gt;=AO$5-4, $F196&lt;=AO$5, COUNTIF($M196:AN196,"u")=0), "u", "")</f>
        <v/>
      </c>
      <c r="AP196" s="80" t="str">
        <f>IF(AND($F196&lt;&gt;"", $F196&gt;=AP$5-4, $F196&lt;=AP$5, COUNTIF($M196:AO196,"u")=0), "u", "")</f>
        <v/>
      </c>
      <c r="AQ196" s="80" t="str">
        <f>IF(AND($F196&lt;&gt;"", $F196&gt;=AQ$5-4, $F196&lt;=AQ$5, COUNTIF($M196:AP196,"u")=0), "u", "")</f>
        <v/>
      </c>
      <c r="AR196" s="80" t="str">
        <f>IF(AND($F196&lt;&gt;"", $F196&gt;=AR$5-4, $F196&lt;=AR$5, COUNTIF($M196:AQ196,"u")=0), "u", "")</f>
        <v/>
      </c>
      <c r="AS196" s="80" t="str">
        <f>IF(AND($F196&lt;&gt;"", $F196&gt;=AS$5-4, $F196&lt;=AS$5, COUNTIF($M196:AR196,"u")=0), "u", "")</f>
        <v/>
      </c>
      <c r="AT196" s="80" t="str">
        <f>IF(AND($F196&lt;&gt;"", $F196&gt;=AT$5-4, $F196&lt;=AT$5, COUNTIF($M196:AS196,"u")=0), "u", "")</f>
        <v/>
      </c>
      <c r="AU196" s="80" t="str">
        <f>IF(AND($F196&lt;&gt;"", $F196&gt;=AU$5-4, $F196&lt;=AU$5, COUNTIF($M196:AT196,"u")=0), "u", "")</f>
        <v/>
      </c>
      <c r="AV196" s="80" t="str">
        <f>IF(AND($F196&lt;&gt;"", $F196&gt;=AV$5-4, $F196&lt;=AV$5, COUNTIF($M196:AU196,"u")=0), "u", "")</f>
        <v/>
      </c>
      <c r="AW196" s="80" t="str">
        <f>IF(AND($F196&lt;&gt;"", $F196&gt;=AW$5-4, $F196&lt;=AW$5, COUNTIF($M196:AV196,"u")=0), "u", "")</f>
        <v/>
      </c>
      <c r="AX196" s="80" t="str">
        <f>IF(AND($F196&lt;&gt;"", $F196&gt;=AX$5-4, $F196&lt;=AX$5, COUNTIF($M196:AW196,"u")=0), "u", "")</f>
        <v/>
      </c>
      <c r="AY196" s="80" t="str">
        <f>IF(AND($F196&lt;&gt;"", $F196&gt;=AY$5-4, $F196&lt;=AY$5, COUNTIF($M196:AX196,"u")=0), "u", "")</f>
        <v/>
      </c>
      <c r="AZ196" s="80" t="str">
        <f>IF(AND($F196&lt;&gt;"", $F196&gt;=AZ$5-4, $F196&lt;=AZ$5, COUNTIF($M196:AY196,"u")=0), "u", "")</f>
        <v/>
      </c>
      <c r="BA196" s="80" t="str">
        <f>IF(AND($F196&lt;&gt;"", $F196&gt;=BA$5-4, $F196&lt;=BA$5, COUNTIF($M196:AZ196,"u")=0), "u", "")</f>
        <v/>
      </c>
      <c r="BB196" s="80" t="str">
        <f>IF(AND($F196&lt;&gt;"", $F196&gt;=BB$5-4, $F196&lt;=BB$5, COUNTIF($M196:BA196,"u")=0), "u", "")</f>
        <v/>
      </c>
      <c r="BC196" s="80" t="str">
        <f>IF(AND($F196&lt;&gt;"", $F196&gt;=BC$5-4, $F196&lt;=BC$5, COUNTIF($M196:BB196,"u")=0), "u", "")</f>
        <v/>
      </c>
      <c r="BD196" s="80" t="str">
        <f>IF(AND($F196&lt;&gt;"", $F196&gt;=BD$5-4, $F196&lt;=BD$5, COUNTIF($M196:BC196,"u")=0), "u", "")</f>
        <v/>
      </c>
      <c r="BE196" s="80" t="str">
        <f>IF(AND($F196&lt;&gt;"", $F196&gt;=BE$5-4, $F196&lt;=BE$5, COUNTIF($M196:BD196,"u")=0), "u", "")</f>
        <v/>
      </c>
      <c r="BF196" s="80" t="str">
        <f>IF(AND($F196&lt;&gt;"", $F196&gt;=BF$5-4, $F196&lt;=BF$5, COUNTIF($M196:BE196,"u")=0), "u", "")</f>
        <v/>
      </c>
      <c r="BG196" s="80" t="str">
        <f>IF(AND($F196&lt;&gt;"", $F196&gt;=BG$5-4, $F196&lt;=BG$5, COUNTIF($M196:BF196,"u")=0), "u", "")</f>
        <v/>
      </c>
      <c r="BH196" s="80" t="str">
        <f>IF(AND($F196&lt;&gt;"", $F196&gt;=BH$5-4, $F196&lt;=BH$5, COUNTIF($M196:BG196,"u")=0), "u", "")</f>
        <v/>
      </c>
      <c r="BI196" s="80" t="str">
        <f>IF(AND($F196&lt;&gt;"", $F196&gt;=BI$5-4, $F196&lt;=BI$5, COUNTIF($M196:BH196,"u")=0), "u", "")</f>
        <v/>
      </c>
      <c r="BJ196" s="80" t="str">
        <f>IF(AND($F196&lt;&gt;"", $F196&gt;=BJ$5-4, $F196&lt;=BJ$5, COUNTIF($M196:BI196,"u")=0), "u", "")</f>
        <v/>
      </c>
      <c r="BK196" s="80" t="str">
        <f>IF(AND($F196&lt;&gt;"", $F196&gt;=BK$5-4, $F196&lt;=BK$5, COUNTIF($M196:BJ196,"u")=0), "u", "")</f>
        <v/>
      </c>
      <c r="BL196" s="80" t="str">
        <f>IF(AND($F196&lt;&gt;"", $F196&gt;=BL$5-4, $F196&lt;=BL$5, COUNTIF($M196:BK196,"u")=0), "u", "")</f>
        <v/>
      </c>
      <c r="BM196" s="80" t="str">
        <f>IF(AND($F196&lt;&gt;"", $F196&gt;=BM$5-4, $F196&lt;=BM$5, COUNTIF($M196:BL196,"u")=0), "u", "")</f>
        <v/>
      </c>
      <c r="BN196" s="80" t="str">
        <f>IF(AND($F196&lt;&gt;"", $F196&gt;=BN$5-4, $F196&lt;=BN$5, COUNTIF($M196:BM196,"u")=0), "u", "")</f>
        <v/>
      </c>
      <c r="BO196" s="80" t="str">
        <f>IF(AND($F196&lt;&gt;"", $F196&gt;=BO$5-4, $F196&lt;=BO$5, COUNTIF($M196:BN196,"u")=0), "u", "")</f>
        <v/>
      </c>
      <c r="BP196" s="80" t="str">
        <f>IF(AND($F196&lt;&gt;"", $F196&gt;=BP$5-4, $F196&lt;=BP$5, COUNTIF($M196:BO196,"u")=0), "u", "")</f>
        <v/>
      </c>
      <c r="BQ196" s="80" t="str">
        <f>IF(AND($F196&lt;&gt;"", $F196&gt;=BQ$5-4, $F196&lt;=BQ$5, COUNTIF($M196:BP196,"u")=0), "u", "")</f>
        <v/>
      </c>
      <c r="BR196" s="80" t="str">
        <f>IF(AND($F196&lt;&gt;"", $F196&gt;=BR$5-4, $F196&lt;=BR$5, COUNTIF($M196:BQ196,"u")=0), "u", "")</f>
        <v/>
      </c>
      <c r="BS196" s="80" t="str">
        <f>IF(AND($F196&lt;&gt;"", $F196&gt;=BS$5-4, $F196&lt;=BS$5, COUNTIF($M196:BR196,"u")=0), "u", "")</f>
        <v/>
      </c>
      <c r="BT196" s="80" t="str">
        <f>IF(AND($F196&lt;&gt;"", $F196&gt;=BT$5-4, $F196&lt;=BT$5, COUNTIF($M196:BS196,"u")=0), "u", "")</f>
        <v/>
      </c>
      <c r="BU196" s="80" t="str">
        <f>IF(AND($F196&lt;&gt;"", $F196&gt;=BU$5-4, $F196&lt;=BU$5, COUNTIF($M196:BT196,"u")=0), "u", "")</f>
        <v/>
      </c>
      <c r="BV196" s="80" t="str">
        <f>IF(AND($F196&lt;&gt;"", $F196&gt;=BV$5-4, $F196&lt;=BV$5, COUNTIF($M196:BU196,"u")=0), "u", "")</f>
        <v/>
      </c>
      <c r="BW196" s="80" t="str">
        <f>IF(AND($F196&lt;&gt;"", $F196&gt;=BW$5-4, $F196&lt;=BW$5, COUNTIF($M196:BV196,"u")=0), "u", "")</f>
        <v/>
      </c>
      <c r="BX196" s="80" t="str">
        <f>IF(AND($F196&lt;&gt;"", $F196&gt;=BX$5-4, $F196&lt;=BX$5, COUNTIF($M196:BW196,"u")=0), "u", "")</f>
        <v/>
      </c>
      <c r="BY196" s="80" t="str">
        <f>IF(AND($F196&lt;&gt;"", $F196&gt;=BY$5-4, $F196&lt;=BY$5, COUNTIF($M196:BX196,"u")=0), "u", "")</f>
        <v/>
      </c>
      <c r="BZ196" s="80" t="str">
        <f>IF(AND($F196&lt;&gt;"", $F196&gt;=BZ$5-4, $F196&lt;=BZ$5, COUNTIF($M196:BY196,"u")=0), "u", "")</f>
        <v/>
      </c>
      <c r="CA196" s="80" t="str">
        <f>IF(AND($F196&lt;&gt;"", $F196&gt;=CA$5-4, $F196&lt;=CA$5, COUNTIF($M196:BZ196,"u")=0), "u", "")</f>
        <v/>
      </c>
      <c r="CB196" s="80" t="str">
        <f>IF(AND($F196&lt;&gt;"", $F196&gt;=CB$5-4, $F196&lt;=CB$5, COUNTIF($M196:CA196,"u")=0), "u", "")</f>
        <v/>
      </c>
      <c r="CC196" s="80" t="str">
        <f>IF(AND($F196&lt;&gt;"", $F196&gt;=CC$5-4, $F196&lt;=CC$5, COUNTIF($M196:CB196,"u")=0), "u", "")</f>
        <v/>
      </c>
      <c r="CD196" s="80" t="str">
        <f>IF(AND($F196&lt;&gt;"", $F196&gt;=CD$5-4, $F196&lt;=CD$5, COUNTIF($M196:CC196,"u")=0), "u", "")</f>
        <v/>
      </c>
      <c r="CE196" s="80" t="str">
        <f>IF(AND($F196&lt;&gt;"", $F196&gt;=CE$5-4, $F196&lt;=CE$5, COUNTIF($M196:CD196,"u")=0), "u", "")</f>
        <v/>
      </c>
      <c r="CF196" s="80" t="str">
        <f>IF(AND($F196&lt;&gt;"", $F196&gt;=CF$5-4, $F196&lt;=CF$5, COUNTIF($M196:CE196,"u")=0), "u", "")</f>
        <v/>
      </c>
      <c r="CG196" s="80" t="str">
        <f>IF(AND($F196&lt;&gt;"", $F196&gt;=CG$5-4, $F196&lt;=CG$5, COUNTIF($M196:CF196,"u")=0), "u", "")</f>
        <v/>
      </c>
      <c r="CH196" s="80" t="str">
        <f>IF(AND($F196&lt;&gt;"", $F196&gt;=CH$5-4, $F196&lt;=CH$5, COUNTIF($M196:CG196,"u")=0), "u", "")</f>
        <v/>
      </c>
      <c r="CI196" s="80" t="str">
        <f>IF(AND($F196&lt;&gt;"", $F196&gt;=CI$5-4, $F196&lt;=CI$5, COUNTIF($M196:CH196,"u")=0), "u", "")</f>
        <v/>
      </c>
      <c r="CJ196" s="80" t="str">
        <f>IF(AND($F196&lt;&gt;"", $F196&gt;=CJ$5-4, $F196&lt;=CJ$5, COUNTIF($M196:CI196,"u")=0), "u", "")</f>
        <v/>
      </c>
      <c r="CK196" s="80" t="str">
        <f>IF(AND($F196&lt;&gt;"", $F196&gt;=CK$5-4, $F196&lt;=CK$5, COUNTIF($M196:CJ196,"u")=0), "u", "")</f>
        <v/>
      </c>
      <c r="CL196" s="80" t="str">
        <f>IF(AND($F196&lt;&gt;"", $F196&gt;=CL$5-4, $F196&lt;=CL$5, COUNTIF($M196:CK196,"u")=0), "u", "")</f>
        <v/>
      </c>
      <c r="CM196" s="80" t="str">
        <f>IF(AND($F196&lt;&gt;"", $F196&gt;=CM$5-4, $F196&lt;=CM$5, COUNTIF($M196:CL196,"u")=0), "u", "")</f>
        <v/>
      </c>
      <c r="CN196" s="80" t="str">
        <f>IF(AND($F196&lt;&gt;"", $F196&gt;=CN$5-4, $F196&lt;=CN$5, COUNTIF($M196:CM196,"u")=0), "u", "")</f>
        <v/>
      </c>
      <c r="CO196" s="80" t="str">
        <f>IF(AND($F196&lt;&gt;"", $F196&gt;=CO$5-4, $F196&lt;=CO$5, COUNTIF($M196:CN196,"u")=0), "u", "")</f>
        <v/>
      </c>
      <c r="CP196" s="80" t="str">
        <f>IF(AND($F196&lt;&gt;"", $F196&gt;=CP$5-4, $F196&lt;=CP$5, COUNTIF($M196:CO196,"u")=0), "u", "")</f>
        <v/>
      </c>
      <c r="CQ196" s="80" t="str">
        <f>IF(AND($F196&lt;&gt;"", $F196&gt;=CQ$5-4, $F196&lt;=CQ$5, COUNTIF($M196:CP196,"u")=0), "u", "")</f>
        <v/>
      </c>
      <c r="CR196" s="80" t="str">
        <f>IF(AND($F196&lt;&gt;"", $F196&gt;=CR$5-4, $F196&lt;=CR$5, COUNTIF($M196:CQ196,"u")=0), "u", "")</f>
        <v/>
      </c>
      <c r="CS196" s="80" t="str">
        <f>IF(AND($F196&lt;&gt;"", $F196&gt;=CS$5-4, $F196&lt;=CS$5, COUNTIF($M196:CR196,"u")=0), "u", "")</f>
        <v/>
      </c>
      <c r="CT196" s="80" t="str">
        <f>IF(AND($F196&lt;&gt;"", $F196&gt;=CT$5-4, $F196&lt;=CT$5, COUNTIF($M196:CS196,"u")=0), "u", "")</f>
        <v/>
      </c>
      <c r="CU196" s="80" t="str">
        <f>IF(AND($F196&lt;&gt;"", $F196&gt;=CU$5-4, $F196&lt;=CU$5, COUNTIF($M196:CT196,"u")=0), "u", "")</f>
        <v/>
      </c>
      <c r="CV196" s="80" t="str">
        <f>IF(AND($F196&lt;&gt;"", $F196&gt;=CV$5-4, $F196&lt;=CV$5, COUNTIF($M196:CU196,"u")=0), "u", "")</f>
        <v/>
      </c>
      <c r="CW196" s="80" t="str">
        <f>IF(AND($F196&lt;&gt;"", $F196&gt;=CW$5-4, $F196&lt;=CW$5, COUNTIF($M196:CV196,"u")=0), "u", "")</f>
        <v/>
      </c>
      <c r="CX196" s="80" t="str">
        <f>IF(AND($F196&lt;&gt;"", $F196&gt;=CX$5-4, $F196&lt;=CX$5, COUNTIF($M196:CW196,"u")=0), "u", "")</f>
        <v/>
      </c>
      <c r="CY196" s="80" t="str">
        <f>IF(AND($F196&lt;&gt;"", $F196&gt;=CY$5-4, $F196&lt;=CY$5, COUNTIF($M196:CX196,"u")=0), "u", "")</f>
        <v/>
      </c>
      <c r="CZ196" s="80" t="str">
        <f>IF(AND($F196&lt;&gt;"", $F196&gt;=CZ$5-4, $F196&lt;=CZ$5, COUNTIF($M196:CY196,"u")=0), "u", "")</f>
        <v/>
      </c>
      <c r="DA196" s="80" t="str">
        <f>IF(AND($F196&lt;&gt;"", $F196&gt;=DA$5-4, $F196&lt;=DA$5, COUNTIF($M196:CZ196,"u")=0), "u", "")</f>
        <v/>
      </c>
      <c r="DB196" s="80" t="str">
        <f>IF(AND($F196&lt;&gt;"", $F196&gt;=DB$5-4, $F196&lt;=DB$5, COUNTIF($M196:DA196,"u")=0), "u", "")</f>
        <v/>
      </c>
      <c r="DC196" s="80" t="str">
        <f>IF(AND($F196&lt;&gt;"", $F196&gt;=DC$5-4, $F196&lt;=DC$5, COUNTIF($M196:DB196,"u")=0), "u", "")</f>
        <v/>
      </c>
      <c r="DD196" s="80" t="str">
        <f>IF(AND($F196&lt;&gt;"", $F196&gt;=DD$5-4, $F196&lt;=DD$5, COUNTIF($M196:DC196,"u")=0), "u", "")</f>
        <v/>
      </c>
      <c r="DE196" s="80" t="str">
        <f>IF(AND($F196&lt;&gt;"", $F196&gt;=DE$5-4, $F196&lt;=DE$5, COUNTIF($M196:DD196,"u")=0), "u", "")</f>
        <v/>
      </c>
      <c r="DF196" s="80" t="str">
        <f>IF(AND($F196&lt;&gt;"", $F196&gt;=DF$5-4, $F196&lt;=DF$5, COUNTIF($M196:DE196,"u")=0), "u", "")</f>
        <v/>
      </c>
      <c r="DG196" s="80" t="str">
        <f>IF(AND($F196&lt;&gt;"", $F196&gt;=DG$5-4, $F196&lt;=DG$5, COUNTIF($M196:DF196,"u")=0), "u", "")</f>
        <v/>
      </c>
      <c r="DH196" s="80" t="str">
        <f>IF(AND($F196&lt;&gt;"", $F196&gt;=DH$5-4, $F196&lt;=DH$5, COUNTIF($M196:DG196,"u")=0), "u", "")</f>
        <v/>
      </c>
      <c r="DI196" s="80" t="str">
        <f>IF(AND($F196&lt;&gt;"", $F196&gt;=DI$5-4, $F196&lt;=DI$5, COUNTIF($M196:DH196,"u")=0), "u", "")</f>
        <v/>
      </c>
      <c r="DJ196" s="80" t="str">
        <f>IF(AND($F196&lt;&gt;"", $F196&gt;=DJ$5-4, $F196&lt;=DJ$5, COUNTIF($M196:DI196,"u")=0), "u", "")</f>
        <v/>
      </c>
      <c r="DK196" s="80" t="str">
        <f>IF(AND($F196&lt;&gt;"", $F196&gt;=DK$5-4, $F196&lt;=DK$5, COUNTIF($M196:DJ196,"u")=0), "u", "")</f>
        <v/>
      </c>
      <c r="DL196" s="80" t="str">
        <f>IF(AND($F196&lt;&gt;"", $F196&gt;=DL$5-4, $F196&lt;=DL$5, COUNTIF($M196:DK196,"u")=0), "u", "")</f>
        <v/>
      </c>
    </row>
    <row r="197" spans="1:116" ht="25.05" customHeight="1" x14ac:dyDescent="0.3">
      <c r="A197" s="39"/>
      <c r="B197" s="75">
        <v>192</v>
      </c>
      <c r="C197" s="97"/>
      <c r="D197" s="92"/>
      <c r="E197" s="53"/>
      <c r="F197" s="53"/>
      <c r="G197" s="83" t="str">
        <f t="shared" si="53"/>
        <v/>
      </c>
      <c r="H197" s="83" t="str">
        <f t="shared" si="53"/>
        <v/>
      </c>
      <c r="I197" s="77" t="str">
        <f t="shared" si="51"/>
        <v/>
      </c>
      <c r="J197" s="78"/>
      <c r="K197" s="86"/>
      <c r="L197" s="56"/>
      <c r="M197" s="80" t="str">
        <f t="shared" si="52"/>
        <v/>
      </c>
      <c r="N197" s="80" t="str">
        <f>IF(AND($F197&lt;&gt;"", $F197&gt;=N$5-4, $F197&lt;=N$5, COUNTIF($M197:M197,"u")=0), "u", "")</f>
        <v/>
      </c>
      <c r="O197" s="80" t="str">
        <f>IF(AND($F197&lt;&gt;"", $F197&gt;=O$5-4, $F197&lt;=O$5, COUNTIF($M197:N197,"u")=0), "u", "")</f>
        <v/>
      </c>
      <c r="P197" s="80" t="str">
        <f>IF(AND($F197&lt;&gt;"", $F197&gt;=P$5-4, $F197&lt;=P$5, COUNTIF($M197:O197,"u")=0), "u", "")</f>
        <v/>
      </c>
      <c r="Q197" s="80" t="str">
        <f>IF(AND($F197&lt;&gt;"", $F197&gt;=Q$5-4, $F197&lt;=Q$5, COUNTIF($M197:P197,"u")=0), "u", "")</f>
        <v/>
      </c>
      <c r="R197" s="80" t="str">
        <f>IF(AND($F197&lt;&gt;"", $F197&gt;=R$5-4, $F197&lt;=R$5, COUNTIF($M197:Q197,"u")=0), "u", "")</f>
        <v/>
      </c>
      <c r="S197" s="80" t="str">
        <f>IF(AND($F197&lt;&gt;"", $F197&gt;=S$5-4, $F197&lt;=S$5, COUNTIF($M197:R197,"u")=0), "u", "")</f>
        <v/>
      </c>
      <c r="T197" s="80" t="str">
        <f>IF(AND($F197&lt;&gt;"", $F197&gt;=T$5-4, $F197&lt;=T$5, COUNTIF($M197:S197,"u")=0), "u", "")</f>
        <v/>
      </c>
      <c r="U197" s="80" t="str">
        <f>IF(AND($F197&lt;&gt;"", $F197&gt;=U$5-4, $F197&lt;=U$5, COUNTIF($M197:T197,"u")=0), "u", "")</f>
        <v/>
      </c>
      <c r="V197" s="80" t="str">
        <f>IF(AND($F197&lt;&gt;"", $F197&gt;=V$5-4, $F197&lt;=V$5, COUNTIF($M197:U197,"u")=0), "u", "")</f>
        <v/>
      </c>
      <c r="W197" s="80" t="str">
        <f>IF(AND($F197&lt;&gt;"", $F197&gt;=W$5-4, $F197&lt;=W$5, COUNTIF($M197:V197,"u")=0), "u", "")</f>
        <v/>
      </c>
      <c r="X197" s="80" t="str">
        <f>IF(AND($F197&lt;&gt;"", $F197&gt;=X$5-4, $F197&lt;=X$5, COUNTIF($M197:W197,"u")=0), "u", "")</f>
        <v/>
      </c>
      <c r="Y197" s="80" t="str">
        <f>IF(AND($F197&lt;&gt;"", $F197&gt;=Y$5-4, $F197&lt;=Y$5, COUNTIF($M197:X197,"u")=0), "u", "")</f>
        <v/>
      </c>
      <c r="Z197" s="80" t="str">
        <f>IF(AND($F197&lt;&gt;"", $F197&gt;=Z$5-4, $F197&lt;=Z$5, COUNTIF($M197:Y197,"u")=0), "u", "")</f>
        <v/>
      </c>
      <c r="AA197" s="80" t="str">
        <f>IF(AND($F197&lt;&gt;"", $F197&gt;=AA$5-4, $F197&lt;=AA$5, COUNTIF($M197:Z197,"u")=0), "u", "")</f>
        <v/>
      </c>
      <c r="AB197" s="80" t="str">
        <f>IF(AND($F197&lt;&gt;"", $F197&gt;=AB$5-4, $F197&lt;=AB$5, COUNTIF($M197:AA197,"u")=0), "u", "")</f>
        <v/>
      </c>
      <c r="AC197" s="80" t="str">
        <f>IF(AND($F197&lt;&gt;"", $F197&gt;=AC$5-4, $F197&lt;=AC$5, COUNTIF($M197:AB197,"u")=0), "u", "")</f>
        <v/>
      </c>
      <c r="AD197" s="80" t="str">
        <f>IF(AND($F197&lt;&gt;"", $F197&gt;=AD$5-4, $F197&lt;=AD$5, COUNTIF($M197:AC197,"u")=0), "u", "")</f>
        <v/>
      </c>
      <c r="AE197" s="80" t="str">
        <f>IF(AND($F197&lt;&gt;"", $F197&gt;=AE$5-4, $F197&lt;=AE$5, COUNTIF($M197:AD197,"u")=0), "u", "")</f>
        <v/>
      </c>
      <c r="AF197" s="80" t="str">
        <f>IF(AND($F197&lt;&gt;"", $F197&gt;=AF$5-4, $F197&lt;=AF$5, COUNTIF($M197:AE197,"u")=0), "u", "")</f>
        <v/>
      </c>
      <c r="AG197" s="80" t="str">
        <f>IF(AND($F197&lt;&gt;"", $F197&gt;=AG$5-4, $F197&lt;=AG$5, COUNTIF($M197:AF197,"u")=0), "u", "")</f>
        <v/>
      </c>
      <c r="AH197" s="80" t="str">
        <f>IF(AND($F197&lt;&gt;"", $F197&gt;=AH$5-4, $F197&lt;=AH$5, COUNTIF($M197:AG197,"u")=0), "u", "")</f>
        <v/>
      </c>
      <c r="AI197" s="80" t="str">
        <f>IF(AND($F197&lt;&gt;"", $F197&gt;=AI$5-4, $F197&lt;=AI$5, COUNTIF($M197:AH197,"u")=0), "u", "")</f>
        <v/>
      </c>
      <c r="AJ197" s="80" t="str">
        <f>IF(AND($F197&lt;&gt;"", $F197&gt;=AJ$5-4, $F197&lt;=AJ$5, COUNTIF($M197:AI197,"u")=0), "u", "")</f>
        <v/>
      </c>
      <c r="AK197" s="80" t="str">
        <f>IF(AND($F197&lt;&gt;"", $F197&gt;=AK$5-4, $F197&lt;=AK$5, COUNTIF($M197:AJ197,"u")=0), "u", "")</f>
        <v/>
      </c>
      <c r="AL197" s="80" t="str">
        <f>IF(AND($F197&lt;&gt;"", $F197&gt;=AL$5-4, $F197&lt;=AL$5, COUNTIF($M197:AK197,"u")=0), "u", "")</f>
        <v/>
      </c>
      <c r="AM197" s="80" t="str">
        <f>IF(AND($F197&lt;&gt;"", $F197&gt;=AM$5-4, $F197&lt;=AM$5, COUNTIF($M197:AL197,"u")=0), "u", "")</f>
        <v/>
      </c>
      <c r="AN197" s="80" t="str">
        <f>IF(AND($F197&lt;&gt;"", $F197&gt;=AN$5-4, $F197&lt;=AN$5, COUNTIF($M197:AM197,"u")=0), "u", "")</f>
        <v/>
      </c>
      <c r="AO197" s="80" t="str">
        <f>IF(AND($F197&lt;&gt;"", $F197&gt;=AO$5-4, $F197&lt;=AO$5, COUNTIF($M197:AN197,"u")=0), "u", "")</f>
        <v/>
      </c>
      <c r="AP197" s="80" t="str">
        <f>IF(AND($F197&lt;&gt;"", $F197&gt;=AP$5-4, $F197&lt;=AP$5, COUNTIF($M197:AO197,"u")=0), "u", "")</f>
        <v/>
      </c>
      <c r="AQ197" s="80" t="str">
        <f>IF(AND($F197&lt;&gt;"", $F197&gt;=AQ$5-4, $F197&lt;=AQ$5, COUNTIF($M197:AP197,"u")=0), "u", "")</f>
        <v/>
      </c>
      <c r="AR197" s="80" t="str">
        <f>IF(AND($F197&lt;&gt;"", $F197&gt;=AR$5-4, $F197&lt;=AR$5, COUNTIF($M197:AQ197,"u")=0), "u", "")</f>
        <v/>
      </c>
      <c r="AS197" s="80" t="str">
        <f>IF(AND($F197&lt;&gt;"", $F197&gt;=AS$5-4, $F197&lt;=AS$5, COUNTIF($M197:AR197,"u")=0), "u", "")</f>
        <v/>
      </c>
      <c r="AT197" s="80" t="str">
        <f>IF(AND($F197&lt;&gt;"", $F197&gt;=AT$5-4, $F197&lt;=AT$5, COUNTIF($M197:AS197,"u")=0), "u", "")</f>
        <v/>
      </c>
      <c r="AU197" s="80" t="str">
        <f>IF(AND($F197&lt;&gt;"", $F197&gt;=AU$5-4, $F197&lt;=AU$5, COUNTIF($M197:AT197,"u")=0), "u", "")</f>
        <v/>
      </c>
      <c r="AV197" s="80" t="str">
        <f>IF(AND($F197&lt;&gt;"", $F197&gt;=AV$5-4, $F197&lt;=AV$5, COUNTIF($M197:AU197,"u")=0), "u", "")</f>
        <v/>
      </c>
      <c r="AW197" s="80" t="str">
        <f>IF(AND($F197&lt;&gt;"", $F197&gt;=AW$5-4, $F197&lt;=AW$5, COUNTIF($M197:AV197,"u")=0), "u", "")</f>
        <v/>
      </c>
      <c r="AX197" s="80" t="str">
        <f>IF(AND($F197&lt;&gt;"", $F197&gt;=AX$5-4, $F197&lt;=AX$5, COUNTIF($M197:AW197,"u")=0), "u", "")</f>
        <v/>
      </c>
      <c r="AY197" s="80" t="str">
        <f>IF(AND($F197&lt;&gt;"", $F197&gt;=AY$5-4, $F197&lt;=AY$5, COUNTIF($M197:AX197,"u")=0), "u", "")</f>
        <v/>
      </c>
      <c r="AZ197" s="80" t="str">
        <f>IF(AND($F197&lt;&gt;"", $F197&gt;=AZ$5-4, $F197&lt;=AZ$5, COUNTIF($M197:AY197,"u")=0), "u", "")</f>
        <v/>
      </c>
      <c r="BA197" s="80" t="str">
        <f>IF(AND($F197&lt;&gt;"", $F197&gt;=BA$5-4, $F197&lt;=BA$5, COUNTIF($M197:AZ197,"u")=0), "u", "")</f>
        <v/>
      </c>
      <c r="BB197" s="80" t="str">
        <f>IF(AND($F197&lt;&gt;"", $F197&gt;=BB$5-4, $F197&lt;=BB$5, COUNTIF($M197:BA197,"u")=0), "u", "")</f>
        <v/>
      </c>
      <c r="BC197" s="80" t="str">
        <f>IF(AND($F197&lt;&gt;"", $F197&gt;=BC$5-4, $F197&lt;=BC$5, COUNTIF($M197:BB197,"u")=0), "u", "")</f>
        <v/>
      </c>
      <c r="BD197" s="80" t="str">
        <f>IF(AND($F197&lt;&gt;"", $F197&gt;=BD$5-4, $F197&lt;=BD$5, COUNTIF($M197:BC197,"u")=0), "u", "")</f>
        <v/>
      </c>
      <c r="BE197" s="80" t="str">
        <f>IF(AND($F197&lt;&gt;"", $F197&gt;=BE$5-4, $F197&lt;=BE$5, COUNTIF($M197:BD197,"u")=0), "u", "")</f>
        <v/>
      </c>
      <c r="BF197" s="80" t="str">
        <f>IF(AND($F197&lt;&gt;"", $F197&gt;=BF$5-4, $F197&lt;=BF$5, COUNTIF($M197:BE197,"u")=0), "u", "")</f>
        <v/>
      </c>
      <c r="BG197" s="80" t="str">
        <f>IF(AND($F197&lt;&gt;"", $F197&gt;=BG$5-4, $F197&lt;=BG$5, COUNTIF($M197:BF197,"u")=0), "u", "")</f>
        <v/>
      </c>
      <c r="BH197" s="80" t="str">
        <f>IF(AND($F197&lt;&gt;"", $F197&gt;=BH$5-4, $F197&lt;=BH$5, COUNTIF($M197:BG197,"u")=0), "u", "")</f>
        <v/>
      </c>
      <c r="BI197" s="80" t="str">
        <f>IF(AND($F197&lt;&gt;"", $F197&gt;=BI$5-4, $F197&lt;=BI$5, COUNTIF($M197:BH197,"u")=0), "u", "")</f>
        <v/>
      </c>
      <c r="BJ197" s="80" t="str">
        <f>IF(AND($F197&lt;&gt;"", $F197&gt;=BJ$5-4, $F197&lt;=BJ$5, COUNTIF($M197:BI197,"u")=0), "u", "")</f>
        <v/>
      </c>
      <c r="BK197" s="80" t="str">
        <f>IF(AND($F197&lt;&gt;"", $F197&gt;=BK$5-4, $F197&lt;=BK$5, COUNTIF($M197:BJ197,"u")=0), "u", "")</f>
        <v/>
      </c>
      <c r="BL197" s="80" t="str">
        <f>IF(AND($F197&lt;&gt;"", $F197&gt;=BL$5-4, $F197&lt;=BL$5, COUNTIF($M197:BK197,"u")=0), "u", "")</f>
        <v/>
      </c>
      <c r="BM197" s="80" t="str">
        <f>IF(AND($F197&lt;&gt;"", $F197&gt;=BM$5-4, $F197&lt;=BM$5, COUNTIF($M197:BL197,"u")=0), "u", "")</f>
        <v/>
      </c>
      <c r="BN197" s="80" t="str">
        <f>IF(AND($F197&lt;&gt;"", $F197&gt;=BN$5-4, $F197&lt;=BN$5, COUNTIF($M197:BM197,"u")=0), "u", "")</f>
        <v/>
      </c>
      <c r="BO197" s="80" t="str">
        <f>IF(AND($F197&lt;&gt;"", $F197&gt;=BO$5-4, $F197&lt;=BO$5, COUNTIF($M197:BN197,"u")=0), "u", "")</f>
        <v/>
      </c>
      <c r="BP197" s="80" t="str">
        <f>IF(AND($F197&lt;&gt;"", $F197&gt;=BP$5-4, $F197&lt;=BP$5, COUNTIF($M197:BO197,"u")=0), "u", "")</f>
        <v/>
      </c>
      <c r="BQ197" s="80" t="str">
        <f>IF(AND($F197&lt;&gt;"", $F197&gt;=BQ$5-4, $F197&lt;=BQ$5, COUNTIF($M197:BP197,"u")=0), "u", "")</f>
        <v/>
      </c>
      <c r="BR197" s="80" t="str">
        <f>IF(AND($F197&lt;&gt;"", $F197&gt;=BR$5-4, $F197&lt;=BR$5, COUNTIF($M197:BQ197,"u")=0), "u", "")</f>
        <v/>
      </c>
      <c r="BS197" s="80" t="str">
        <f>IF(AND($F197&lt;&gt;"", $F197&gt;=BS$5-4, $F197&lt;=BS$5, COUNTIF($M197:BR197,"u")=0), "u", "")</f>
        <v/>
      </c>
      <c r="BT197" s="80" t="str">
        <f>IF(AND($F197&lt;&gt;"", $F197&gt;=BT$5-4, $F197&lt;=BT$5, COUNTIF($M197:BS197,"u")=0), "u", "")</f>
        <v/>
      </c>
      <c r="BU197" s="80" t="str">
        <f>IF(AND($F197&lt;&gt;"", $F197&gt;=BU$5-4, $F197&lt;=BU$5, COUNTIF($M197:BT197,"u")=0), "u", "")</f>
        <v/>
      </c>
      <c r="BV197" s="80" t="str">
        <f>IF(AND($F197&lt;&gt;"", $F197&gt;=BV$5-4, $F197&lt;=BV$5, COUNTIF($M197:BU197,"u")=0), "u", "")</f>
        <v/>
      </c>
      <c r="BW197" s="80" t="str">
        <f>IF(AND($F197&lt;&gt;"", $F197&gt;=BW$5-4, $F197&lt;=BW$5, COUNTIF($M197:BV197,"u")=0), "u", "")</f>
        <v/>
      </c>
      <c r="BX197" s="80" t="str">
        <f>IF(AND($F197&lt;&gt;"", $F197&gt;=BX$5-4, $F197&lt;=BX$5, COUNTIF($M197:BW197,"u")=0), "u", "")</f>
        <v/>
      </c>
      <c r="BY197" s="80" t="str">
        <f>IF(AND($F197&lt;&gt;"", $F197&gt;=BY$5-4, $F197&lt;=BY$5, COUNTIF($M197:BX197,"u")=0), "u", "")</f>
        <v/>
      </c>
      <c r="BZ197" s="80" t="str">
        <f>IF(AND($F197&lt;&gt;"", $F197&gt;=BZ$5-4, $F197&lt;=BZ$5, COUNTIF($M197:BY197,"u")=0), "u", "")</f>
        <v/>
      </c>
      <c r="CA197" s="80" t="str">
        <f>IF(AND($F197&lt;&gt;"", $F197&gt;=CA$5-4, $F197&lt;=CA$5, COUNTIF($M197:BZ197,"u")=0), "u", "")</f>
        <v/>
      </c>
      <c r="CB197" s="80" t="str">
        <f>IF(AND($F197&lt;&gt;"", $F197&gt;=CB$5-4, $F197&lt;=CB$5, COUNTIF($M197:CA197,"u")=0), "u", "")</f>
        <v/>
      </c>
      <c r="CC197" s="80" t="str">
        <f>IF(AND($F197&lt;&gt;"", $F197&gt;=CC$5-4, $F197&lt;=CC$5, COUNTIF($M197:CB197,"u")=0), "u", "")</f>
        <v/>
      </c>
      <c r="CD197" s="80" t="str">
        <f>IF(AND($F197&lt;&gt;"", $F197&gt;=CD$5-4, $F197&lt;=CD$5, COUNTIF($M197:CC197,"u")=0), "u", "")</f>
        <v/>
      </c>
      <c r="CE197" s="80" t="str">
        <f>IF(AND($F197&lt;&gt;"", $F197&gt;=CE$5-4, $F197&lt;=CE$5, COUNTIF($M197:CD197,"u")=0), "u", "")</f>
        <v/>
      </c>
      <c r="CF197" s="80" t="str">
        <f>IF(AND($F197&lt;&gt;"", $F197&gt;=CF$5-4, $F197&lt;=CF$5, COUNTIF($M197:CE197,"u")=0), "u", "")</f>
        <v/>
      </c>
      <c r="CG197" s="80" t="str">
        <f>IF(AND($F197&lt;&gt;"", $F197&gt;=CG$5-4, $F197&lt;=CG$5, COUNTIF($M197:CF197,"u")=0), "u", "")</f>
        <v/>
      </c>
      <c r="CH197" s="80" t="str">
        <f>IF(AND($F197&lt;&gt;"", $F197&gt;=CH$5-4, $F197&lt;=CH$5, COUNTIF($M197:CG197,"u")=0), "u", "")</f>
        <v/>
      </c>
      <c r="CI197" s="80" t="str">
        <f>IF(AND($F197&lt;&gt;"", $F197&gt;=CI$5-4, $F197&lt;=CI$5, COUNTIF($M197:CH197,"u")=0), "u", "")</f>
        <v/>
      </c>
      <c r="CJ197" s="80" t="str">
        <f>IF(AND($F197&lt;&gt;"", $F197&gt;=CJ$5-4, $F197&lt;=CJ$5, COUNTIF($M197:CI197,"u")=0), "u", "")</f>
        <v/>
      </c>
      <c r="CK197" s="80" t="str">
        <f>IF(AND($F197&lt;&gt;"", $F197&gt;=CK$5-4, $F197&lt;=CK$5, COUNTIF($M197:CJ197,"u")=0), "u", "")</f>
        <v/>
      </c>
      <c r="CL197" s="80" t="str">
        <f>IF(AND($F197&lt;&gt;"", $F197&gt;=CL$5-4, $F197&lt;=CL$5, COUNTIF($M197:CK197,"u")=0), "u", "")</f>
        <v/>
      </c>
      <c r="CM197" s="80" t="str">
        <f>IF(AND($F197&lt;&gt;"", $F197&gt;=CM$5-4, $F197&lt;=CM$5, COUNTIF($M197:CL197,"u")=0), "u", "")</f>
        <v/>
      </c>
      <c r="CN197" s="80" t="str">
        <f>IF(AND($F197&lt;&gt;"", $F197&gt;=CN$5-4, $F197&lt;=CN$5, COUNTIF($M197:CM197,"u")=0), "u", "")</f>
        <v/>
      </c>
      <c r="CO197" s="80" t="str">
        <f>IF(AND($F197&lt;&gt;"", $F197&gt;=CO$5-4, $F197&lt;=CO$5, COUNTIF($M197:CN197,"u")=0), "u", "")</f>
        <v/>
      </c>
      <c r="CP197" s="80" t="str">
        <f>IF(AND($F197&lt;&gt;"", $F197&gt;=CP$5-4, $F197&lt;=CP$5, COUNTIF($M197:CO197,"u")=0), "u", "")</f>
        <v/>
      </c>
      <c r="CQ197" s="80" t="str">
        <f>IF(AND($F197&lt;&gt;"", $F197&gt;=CQ$5-4, $F197&lt;=CQ$5, COUNTIF($M197:CP197,"u")=0), "u", "")</f>
        <v/>
      </c>
      <c r="CR197" s="80" t="str">
        <f>IF(AND($F197&lt;&gt;"", $F197&gt;=CR$5-4, $F197&lt;=CR$5, COUNTIF($M197:CQ197,"u")=0), "u", "")</f>
        <v/>
      </c>
      <c r="CS197" s="80" t="str">
        <f>IF(AND($F197&lt;&gt;"", $F197&gt;=CS$5-4, $F197&lt;=CS$5, COUNTIF($M197:CR197,"u")=0), "u", "")</f>
        <v/>
      </c>
      <c r="CT197" s="80" t="str">
        <f>IF(AND($F197&lt;&gt;"", $F197&gt;=CT$5-4, $F197&lt;=CT$5, COUNTIF($M197:CS197,"u")=0), "u", "")</f>
        <v/>
      </c>
      <c r="CU197" s="80" t="str">
        <f>IF(AND($F197&lt;&gt;"", $F197&gt;=CU$5-4, $F197&lt;=CU$5, COUNTIF($M197:CT197,"u")=0), "u", "")</f>
        <v/>
      </c>
      <c r="CV197" s="80" t="str">
        <f>IF(AND($F197&lt;&gt;"", $F197&gt;=CV$5-4, $F197&lt;=CV$5, COUNTIF($M197:CU197,"u")=0), "u", "")</f>
        <v/>
      </c>
      <c r="CW197" s="80" t="str">
        <f>IF(AND($F197&lt;&gt;"", $F197&gt;=CW$5-4, $F197&lt;=CW$5, COUNTIF($M197:CV197,"u")=0), "u", "")</f>
        <v/>
      </c>
      <c r="CX197" s="80" t="str">
        <f>IF(AND($F197&lt;&gt;"", $F197&gt;=CX$5-4, $F197&lt;=CX$5, COUNTIF($M197:CW197,"u")=0), "u", "")</f>
        <v/>
      </c>
      <c r="CY197" s="80" t="str">
        <f>IF(AND($F197&lt;&gt;"", $F197&gt;=CY$5-4, $F197&lt;=CY$5, COUNTIF($M197:CX197,"u")=0), "u", "")</f>
        <v/>
      </c>
      <c r="CZ197" s="80" t="str">
        <f>IF(AND($F197&lt;&gt;"", $F197&gt;=CZ$5-4, $F197&lt;=CZ$5, COUNTIF($M197:CY197,"u")=0), "u", "")</f>
        <v/>
      </c>
      <c r="DA197" s="80" t="str">
        <f>IF(AND($F197&lt;&gt;"", $F197&gt;=DA$5-4, $F197&lt;=DA$5, COUNTIF($M197:CZ197,"u")=0), "u", "")</f>
        <v/>
      </c>
      <c r="DB197" s="80" t="str">
        <f>IF(AND($F197&lt;&gt;"", $F197&gt;=DB$5-4, $F197&lt;=DB$5, COUNTIF($M197:DA197,"u")=0), "u", "")</f>
        <v/>
      </c>
      <c r="DC197" s="80" t="str">
        <f>IF(AND($F197&lt;&gt;"", $F197&gt;=DC$5-4, $F197&lt;=DC$5, COUNTIF($M197:DB197,"u")=0), "u", "")</f>
        <v/>
      </c>
      <c r="DD197" s="80" t="str">
        <f>IF(AND($F197&lt;&gt;"", $F197&gt;=DD$5-4, $F197&lt;=DD$5, COUNTIF($M197:DC197,"u")=0), "u", "")</f>
        <v/>
      </c>
      <c r="DE197" s="80" t="str">
        <f>IF(AND($F197&lt;&gt;"", $F197&gt;=DE$5-4, $F197&lt;=DE$5, COUNTIF($M197:DD197,"u")=0), "u", "")</f>
        <v/>
      </c>
      <c r="DF197" s="80" t="str">
        <f>IF(AND($F197&lt;&gt;"", $F197&gt;=DF$5-4, $F197&lt;=DF$5, COUNTIF($M197:DE197,"u")=0), "u", "")</f>
        <v/>
      </c>
      <c r="DG197" s="80" t="str">
        <f>IF(AND($F197&lt;&gt;"", $F197&gt;=DG$5-4, $F197&lt;=DG$5, COUNTIF($M197:DF197,"u")=0), "u", "")</f>
        <v/>
      </c>
      <c r="DH197" s="80" t="str">
        <f>IF(AND($F197&lt;&gt;"", $F197&gt;=DH$5-4, $F197&lt;=DH$5, COUNTIF($M197:DG197,"u")=0), "u", "")</f>
        <v/>
      </c>
      <c r="DI197" s="80" t="str">
        <f>IF(AND($F197&lt;&gt;"", $F197&gt;=DI$5-4, $F197&lt;=DI$5, COUNTIF($M197:DH197,"u")=0), "u", "")</f>
        <v/>
      </c>
      <c r="DJ197" s="80" t="str">
        <f>IF(AND($F197&lt;&gt;"", $F197&gt;=DJ$5-4, $F197&lt;=DJ$5, COUNTIF($M197:DI197,"u")=0), "u", "")</f>
        <v/>
      </c>
      <c r="DK197" s="80" t="str">
        <f>IF(AND($F197&lt;&gt;"", $F197&gt;=DK$5-4, $F197&lt;=DK$5, COUNTIF($M197:DJ197,"u")=0), "u", "")</f>
        <v/>
      </c>
      <c r="DL197" s="80" t="str">
        <f>IF(AND($F197&lt;&gt;"", $F197&gt;=DL$5-4, $F197&lt;=DL$5, COUNTIF($M197:DK197,"u")=0), "u", "")</f>
        <v/>
      </c>
    </row>
    <row r="198" spans="1:116" ht="25.05" customHeight="1" x14ac:dyDescent="0.3">
      <c r="A198" s="39"/>
      <c r="B198" s="75">
        <v>193</v>
      </c>
      <c r="C198" s="97"/>
      <c r="D198" s="92"/>
      <c r="E198" s="53"/>
      <c r="F198" s="53"/>
      <c r="G198" s="83" t="str">
        <f t="shared" si="53"/>
        <v/>
      </c>
      <c r="H198" s="83" t="str">
        <f t="shared" si="53"/>
        <v/>
      </c>
      <c r="I198" s="77" t="str">
        <f t="shared" ref="I198:I261" si="54">IF(F198="","",NETWORKDAYS(E198,F198))</f>
        <v/>
      </c>
      <c r="J198" s="78"/>
      <c r="K198" s="86"/>
      <c r="L198" s="56"/>
      <c r="M198" s="80" t="str">
        <f t="shared" si="52"/>
        <v/>
      </c>
      <c r="N198" s="80" t="str">
        <f>IF(AND($F198&lt;&gt;"", $F198&gt;=N$5-4, $F198&lt;=N$5, COUNTIF($M198:M198,"u")=0), "u", "")</f>
        <v/>
      </c>
      <c r="O198" s="80" t="str">
        <f>IF(AND($F198&lt;&gt;"", $F198&gt;=O$5-4, $F198&lt;=O$5, COUNTIF($M198:N198,"u")=0), "u", "")</f>
        <v/>
      </c>
      <c r="P198" s="80" t="str">
        <f>IF(AND($F198&lt;&gt;"", $F198&gt;=P$5-4, $F198&lt;=P$5, COUNTIF($M198:O198,"u")=0), "u", "")</f>
        <v/>
      </c>
      <c r="Q198" s="80" t="str">
        <f>IF(AND($F198&lt;&gt;"", $F198&gt;=Q$5-4, $F198&lt;=Q$5, COUNTIF($M198:P198,"u")=0), "u", "")</f>
        <v/>
      </c>
      <c r="R198" s="80" t="str">
        <f>IF(AND($F198&lt;&gt;"", $F198&gt;=R$5-4, $F198&lt;=R$5, COUNTIF($M198:Q198,"u")=0), "u", "")</f>
        <v/>
      </c>
      <c r="S198" s="80" t="str">
        <f>IF(AND($F198&lt;&gt;"", $F198&gt;=S$5-4, $F198&lt;=S$5, COUNTIF($M198:R198,"u")=0), "u", "")</f>
        <v/>
      </c>
      <c r="T198" s="80" t="str">
        <f>IF(AND($F198&lt;&gt;"", $F198&gt;=T$5-4, $F198&lt;=T$5, COUNTIF($M198:S198,"u")=0), "u", "")</f>
        <v/>
      </c>
      <c r="U198" s="80" t="str">
        <f>IF(AND($F198&lt;&gt;"", $F198&gt;=U$5-4, $F198&lt;=U$5, COUNTIF($M198:T198,"u")=0), "u", "")</f>
        <v/>
      </c>
      <c r="V198" s="80" t="str">
        <f>IF(AND($F198&lt;&gt;"", $F198&gt;=V$5-4, $F198&lt;=V$5, COUNTIF($M198:U198,"u")=0), "u", "")</f>
        <v/>
      </c>
      <c r="W198" s="80" t="str">
        <f>IF(AND($F198&lt;&gt;"", $F198&gt;=W$5-4, $F198&lt;=W$5, COUNTIF($M198:V198,"u")=0), "u", "")</f>
        <v/>
      </c>
      <c r="X198" s="80" t="str">
        <f>IF(AND($F198&lt;&gt;"", $F198&gt;=X$5-4, $F198&lt;=X$5, COUNTIF($M198:W198,"u")=0), "u", "")</f>
        <v/>
      </c>
      <c r="Y198" s="80" t="str">
        <f>IF(AND($F198&lt;&gt;"", $F198&gt;=Y$5-4, $F198&lt;=Y$5, COUNTIF($M198:X198,"u")=0), "u", "")</f>
        <v/>
      </c>
      <c r="Z198" s="80" t="str">
        <f>IF(AND($F198&lt;&gt;"", $F198&gt;=Z$5-4, $F198&lt;=Z$5, COUNTIF($M198:Y198,"u")=0), "u", "")</f>
        <v/>
      </c>
      <c r="AA198" s="80" t="str">
        <f>IF(AND($F198&lt;&gt;"", $F198&gt;=AA$5-4, $F198&lt;=AA$5, COUNTIF($M198:Z198,"u")=0), "u", "")</f>
        <v/>
      </c>
      <c r="AB198" s="80" t="str">
        <f>IF(AND($F198&lt;&gt;"", $F198&gt;=AB$5-4, $F198&lt;=AB$5, COUNTIF($M198:AA198,"u")=0), "u", "")</f>
        <v/>
      </c>
      <c r="AC198" s="80" t="str">
        <f>IF(AND($F198&lt;&gt;"", $F198&gt;=AC$5-4, $F198&lt;=AC$5, COUNTIF($M198:AB198,"u")=0), "u", "")</f>
        <v/>
      </c>
      <c r="AD198" s="80" t="str">
        <f>IF(AND($F198&lt;&gt;"", $F198&gt;=AD$5-4, $F198&lt;=AD$5, COUNTIF($M198:AC198,"u")=0), "u", "")</f>
        <v/>
      </c>
      <c r="AE198" s="80" t="str">
        <f>IF(AND($F198&lt;&gt;"", $F198&gt;=AE$5-4, $F198&lt;=AE$5, COUNTIF($M198:AD198,"u")=0), "u", "")</f>
        <v/>
      </c>
      <c r="AF198" s="80" t="str">
        <f>IF(AND($F198&lt;&gt;"", $F198&gt;=AF$5-4, $F198&lt;=AF$5, COUNTIF($M198:AE198,"u")=0), "u", "")</f>
        <v/>
      </c>
      <c r="AG198" s="80" t="str">
        <f>IF(AND($F198&lt;&gt;"", $F198&gt;=AG$5-4, $F198&lt;=AG$5, COUNTIF($M198:AF198,"u")=0), "u", "")</f>
        <v/>
      </c>
      <c r="AH198" s="80" t="str">
        <f>IF(AND($F198&lt;&gt;"", $F198&gt;=AH$5-4, $F198&lt;=AH$5, COUNTIF($M198:AG198,"u")=0), "u", "")</f>
        <v/>
      </c>
      <c r="AI198" s="80" t="str">
        <f>IF(AND($F198&lt;&gt;"", $F198&gt;=AI$5-4, $F198&lt;=AI$5, COUNTIF($M198:AH198,"u")=0), "u", "")</f>
        <v/>
      </c>
      <c r="AJ198" s="80" t="str">
        <f>IF(AND($F198&lt;&gt;"", $F198&gt;=AJ$5-4, $F198&lt;=AJ$5, COUNTIF($M198:AI198,"u")=0), "u", "")</f>
        <v/>
      </c>
      <c r="AK198" s="80" t="str">
        <f>IF(AND($F198&lt;&gt;"", $F198&gt;=AK$5-4, $F198&lt;=AK$5, COUNTIF($M198:AJ198,"u")=0), "u", "")</f>
        <v/>
      </c>
      <c r="AL198" s="80" t="str">
        <f>IF(AND($F198&lt;&gt;"", $F198&gt;=AL$5-4, $F198&lt;=AL$5, COUNTIF($M198:AK198,"u")=0), "u", "")</f>
        <v/>
      </c>
      <c r="AM198" s="80" t="str">
        <f>IF(AND($F198&lt;&gt;"", $F198&gt;=AM$5-4, $F198&lt;=AM$5, COUNTIF($M198:AL198,"u")=0), "u", "")</f>
        <v/>
      </c>
      <c r="AN198" s="80" t="str">
        <f>IF(AND($F198&lt;&gt;"", $F198&gt;=AN$5-4, $F198&lt;=AN$5, COUNTIF($M198:AM198,"u")=0), "u", "")</f>
        <v/>
      </c>
      <c r="AO198" s="80" t="str">
        <f>IF(AND($F198&lt;&gt;"", $F198&gt;=AO$5-4, $F198&lt;=AO$5, COUNTIF($M198:AN198,"u")=0), "u", "")</f>
        <v/>
      </c>
      <c r="AP198" s="80" t="str">
        <f>IF(AND($F198&lt;&gt;"", $F198&gt;=AP$5-4, $F198&lt;=AP$5, COUNTIF($M198:AO198,"u")=0), "u", "")</f>
        <v/>
      </c>
      <c r="AQ198" s="80" t="str">
        <f>IF(AND($F198&lt;&gt;"", $F198&gt;=AQ$5-4, $F198&lt;=AQ$5, COUNTIF($M198:AP198,"u")=0), "u", "")</f>
        <v/>
      </c>
      <c r="AR198" s="80" t="str">
        <f>IF(AND($F198&lt;&gt;"", $F198&gt;=AR$5-4, $F198&lt;=AR$5, COUNTIF($M198:AQ198,"u")=0), "u", "")</f>
        <v/>
      </c>
      <c r="AS198" s="80" t="str">
        <f>IF(AND($F198&lt;&gt;"", $F198&gt;=AS$5-4, $F198&lt;=AS$5, COUNTIF($M198:AR198,"u")=0), "u", "")</f>
        <v/>
      </c>
      <c r="AT198" s="80" t="str">
        <f>IF(AND($F198&lt;&gt;"", $F198&gt;=AT$5-4, $F198&lt;=AT$5, COUNTIF($M198:AS198,"u")=0), "u", "")</f>
        <v/>
      </c>
      <c r="AU198" s="80" t="str">
        <f>IF(AND($F198&lt;&gt;"", $F198&gt;=AU$5-4, $F198&lt;=AU$5, COUNTIF($M198:AT198,"u")=0), "u", "")</f>
        <v/>
      </c>
      <c r="AV198" s="80" t="str">
        <f>IF(AND($F198&lt;&gt;"", $F198&gt;=AV$5-4, $F198&lt;=AV$5, COUNTIF($M198:AU198,"u")=0), "u", "")</f>
        <v/>
      </c>
      <c r="AW198" s="80" t="str">
        <f>IF(AND($F198&lt;&gt;"", $F198&gt;=AW$5-4, $F198&lt;=AW$5, COUNTIF($M198:AV198,"u")=0), "u", "")</f>
        <v/>
      </c>
      <c r="AX198" s="80" t="str">
        <f>IF(AND($F198&lt;&gt;"", $F198&gt;=AX$5-4, $F198&lt;=AX$5, COUNTIF($M198:AW198,"u")=0), "u", "")</f>
        <v/>
      </c>
      <c r="AY198" s="80" t="str">
        <f>IF(AND($F198&lt;&gt;"", $F198&gt;=AY$5-4, $F198&lt;=AY$5, COUNTIF($M198:AX198,"u")=0), "u", "")</f>
        <v/>
      </c>
      <c r="AZ198" s="80" t="str">
        <f>IF(AND($F198&lt;&gt;"", $F198&gt;=AZ$5-4, $F198&lt;=AZ$5, COUNTIF($M198:AY198,"u")=0), "u", "")</f>
        <v/>
      </c>
      <c r="BA198" s="80" t="str">
        <f>IF(AND($F198&lt;&gt;"", $F198&gt;=BA$5-4, $F198&lt;=BA$5, COUNTIF($M198:AZ198,"u")=0), "u", "")</f>
        <v/>
      </c>
      <c r="BB198" s="80" t="str">
        <f>IF(AND($F198&lt;&gt;"", $F198&gt;=BB$5-4, $F198&lt;=BB$5, COUNTIF($M198:BA198,"u")=0), "u", "")</f>
        <v/>
      </c>
      <c r="BC198" s="80" t="str">
        <f>IF(AND($F198&lt;&gt;"", $F198&gt;=BC$5-4, $F198&lt;=BC$5, COUNTIF($M198:BB198,"u")=0), "u", "")</f>
        <v/>
      </c>
      <c r="BD198" s="80" t="str">
        <f>IF(AND($F198&lt;&gt;"", $F198&gt;=BD$5-4, $F198&lt;=BD$5, COUNTIF($M198:BC198,"u")=0), "u", "")</f>
        <v/>
      </c>
      <c r="BE198" s="80" t="str">
        <f>IF(AND($F198&lt;&gt;"", $F198&gt;=BE$5-4, $F198&lt;=BE$5, COUNTIF($M198:BD198,"u")=0), "u", "")</f>
        <v/>
      </c>
      <c r="BF198" s="80" t="str">
        <f>IF(AND($F198&lt;&gt;"", $F198&gt;=BF$5-4, $F198&lt;=BF$5, COUNTIF($M198:BE198,"u")=0), "u", "")</f>
        <v/>
      </c>
      <c r="BG198" s="80" t="str">
        <f>IF(AND($F198&lt;&gt;"", $F198&gt;=BG$5-4, $F198&lt;=BG$5, COUNTIF($M198:BF198,"u")=0), "u", "")</f>
        <v/>
      </c>
      <c r="BH198" s="80" t="str">
        <f>IF(AND($F198&lt;&gt;"", $F198&gt;=BH$5-4, $F198&lt;=BH$5, COUNTIF($M198:BG198,"u")=0), "u", "")</f>
        <v/>
      </c>
      <c r="BI198" s="80" t="str">
        <f>IF(AND($F198&lt;&gt;"", $F198&gt;=BI$5-4, $F198&lt;=BI$5, COUNTIF($M198:BH198,"u")=0), "u", "")</f>
        <v/>
      </c>
      <c r="BJ198" s="80" t="str">
        <f>IF(AND($F198&lt;&gt;"", $F198&gt;=BJ$5-4, $F198&lt;=BJ$5, COUNTIF($M198:BI198,"u")=0), "u", "")</f>
        <v/>
      </c>
      <c r="BK198" s="80" t="str">
        <f>IF(AND($F198&lt;&gt;"", $F198&gt;=BK$5-4, $F198&lt;=BK$5, COUNTIF($M198:BJ198,"u")=0), "u", "")</f>
        <v/>
      </c>
      <c r="BL198" s="80" t="str">
        <f>IF(AND($F198&lt;&gt;"", $F198&gt;=BL$5-4, $F198&lt;=BL$5, COUNTIF($M198:BK198,"u")=0), "u", "")</f>
        <v/>
      </c>
      <c r="BM198" s="80" t="str">
        <f>IF(AND($F198&lt;&gt;"", $F198&gt;=BM$5-4, $F198&lt;=BM$5, COUNTIF($M198:BL198,"u")=0), "u", "")</f>
        <v/>
      </c>
      <c r="BN198" s="80" t="str">
        <f>IF(AND($F198&lt;&gt;"", $F198&gt;=BN$5-4, $F198&lt;=BN$5, COUNTIF($M198:BM198,"u")=0), "u", "")</f>
        <v/>
      </c>
      <c r="BO198" s="80" t="str">
        <f>IF(AND($F198&lt;&gt;"", $F198&gt;=BO$5-4, $F198&lt;=BO$5, COUNTIF($M198:BN198,"u")=0), "u", "")</f>
        <v/>
      </c>
      <c r="BP198" s="80" t="str">
        <f>IF(AND($F198&lt;&gt;"", $F198&gt;=BP$5-4, $F198&lt;=BP$5, COUNTIF($M198:BO198,"u")=0), "u", "")</f>
        <v/>
      </c>
      <c r="BQ198" s="80" t="str">
        <f>IF(AND($F198&lt;&gt;"", $F198&gt;=BQ$5-4, $F198&lt;=BQ$5, COUNTIF($M198:BP198,"u")=0), "u", "")</f>
        <v/>
      </c>
      <c r="BR198" s="80" t="str">
        <f>IF(AND($F198&lt;&gt;"", $F198&gt;=BR$5-4, $F198&lt;=BR$5, COUNTIF($M198:BQ198,"u")=0), "u", "")</f>
        <v/>
      </c>
      <c r="BS198" s="80" t="str">
        <f>IF(AND($F198&lt;&gt;"", $F198&gt;=BS$5-4, $F198&lt;=BS$5, COUNTIF($M198:BR198,"u")=0), "u", "")</f>
        <v/>
      </c>
      <c r="BT198" s="80" t="str">
        <f>IF(AND($F198&lt;&gt;"", $F198&gt;=BT$5-4, $F198&lt;=BT$5, COUNTIF($M198:BS198,"u")=0), "u", "")</f>
        <v/>
      </c>
      <c r="BU198" s="80" t="str">
        <f>IF(AND($F198&lt;&gt;"", $F198&gt;=BU$5-4, $F198&lt;=BU$5, COUNTIF($M198:BT198,"u")=0), "u", "")</f>
        <v/>
      </c>
      <c r="BV198" s="80" t="str">
        <f>IF(AND($F198&lt;&gt;"", $F198&gt;=BV$5-4, $F198&lt;=BV$5, COUNTIF($M198:BU198,"u")=0), "u", "")</f>
        <v/>
      </c>
      <c r="BW198" s="80" t="str">
        <f>IF(AND($F198&lt;&gt;"", $F198&gt;=BW$5-4, $F198&lt;=BW$5, COUNTIF($M198:BV198,"u")=0), "u", "")</f>
        <v/>
      </c>
      <c r="BX198" s="80" t="str">
        <f>IF(AND($F198&lt;&gt;"", $F198&gt;=BX$5-4, $F198&lt;=BX$5, COUNTIF($M198:BW198,"u")=0), "u", "")</f>
        <v/>
      </c>
      <c r="BY198" s="80" t="str">
        <f>IF(AND($F198&lt;&gt;"", $F198&gt;=BY$5-4, $F198&lt;=BY$5, COUNTIF($M198:BX198,"u")=0), "u", "")</f>
        <v/>
      </c>
      <c r="BZ198" s="80" t="str">
        <f>IF(AND($F198&lt;&gt;"", $F198&gt;=BZ$5-4, $F198&lt;=BZ$5, COUNTIF($M198:BY198,"u")=0), "u", "")</f>
        <v/>
      </c>
      <c r="CA198" s="80" t="str">
        <f>IF(AND($F198&lt;&gt;"", $F198&gt;=CA$5-4, $F198&lt;=CA$5, COUNTIF($M198:BZ198,"u")=0), "u", "")</f>
        <v/>
      </c>
      <c r="CB198" s="80" t="str">
        <f>IF(AND($F198&lt;&gt;"", $F198&gt;=CB$5-4, $F198&lt;=CB$5, COUNTIF($M198:CA198,"u")=0), "u", "")</f>
        <v/>
      </c>
      <c r="CC198" s="80" t="str">
        <f>IF(AND($F198&lt;&gt;"", $F198&gt;=CC$5-4, $F198&lt;=CC$5, COUNTIF($M198:CB198,"u")=0), "u", "")</f>
        <v/>
      </c>
      <c r="CD198" s="80" t="str">
        <f>IF(AND($F198&lt;&gt;"", $F198&gt;=CD$5-4, $F198&lt;=CD$5, COUNTIF($M198:CC198,"u")=0), "u", "")</f>
        <v/>
      </c>
      <c r="CE198" s="80" t="str">
        <f>IF(AND($F198&lt;&gt;"", $F198&gt;=CE$5-4, $F198&lt;=CE$5, COUNTIF($M198:CD198,"u")=0), "u", "")</f>
        <v/>
      </c>
      <c r="CF198" s="80" t="str">
        <f>IF(AND($F198&lt;&gt;"", $F198&gt;=CF$5-4, $F198&lt;=CF$5, COUNTIF($M198:CE198,"u")=0), "u", "")</f>
        <v/>
      </c>
      <c r="CG198" s="80" t="str">
        <f>IF(AND($F198&lt;&gt;"", $F198&gt;=CG$5-4, $F198&lt;=CG$5, COUNTIF($M198:CF198,"u")=0), "u", "")</f>
        <v/>
      </c>
      <c r="CH198" s="80" t="str">
        <f>IF(AND($F198&lt;&gt;"", $F198&gt;=CH$5-4, $F198&lt;=CH$5, COUNTIF($M198:CG198,"u")=0), "u", "")</f>
        <v/>
      </c>
      <c r="CI198" s="80" t="str">
        <f>IF(AND($F198&lt;&gt;"", $F198&gt;=CI$5-4, $F198&lt;=CI$5, COUNTIF($M198:CH198,"u")=0), "u", "")</f>
        <v/>
      </c>
      <c r="CJ198" s="80" t="str">
        <f>IF(AND($F198&lt;&gt;"", $F198&gt;=CJ$5-4, $F198&lt;=CJ$5, COUNTIF($M198:CI198,"u")=0), "u", "")</f>
        <v/>
      </c>
      <c r="CK198" s="80" t="str">
        <f>IF(AND($F198&lt;&gt;"", $F198&gt;=CK$5-4, $F198&lt;=CK$5, COUNTIF($M198:CJ198,"u")=0), "u", "")</f>
        <v/>
      </c>
      <c r="CL198" s="80" t="str">
        <f>IF(AND($F198&lt;&gt;"", $F198&gt;=CL$5-4, $F198&lt;=CL$5, COUNTIF($M198:CK198,"u")=0), "u", "")</f>
        <v/>
      </c>
      <c r="CM198" s="80" t="str">
        <f>IF(AND($F198&lt;&gt;"", $F198&gt;=CM$5-4, $F198&lt;=CM$5, COUNTIF($M198:CL198,"u")=0), "u", "")</f>
        <v/>
      </c>
      <c r="CN198" s="80" t="str">
        <f>IF(AND($F198&lt;&gt;"", $F198&gt;=CN$5-4, $F198&lt;=CN$5, COUNTIF($M198:CM198,"u")=0), "u", "")</f>
        <v/>
      </c>
      <c r="CO198" s="80" t="str">
        <f>IF(AND($F198&lt;&gt;"", $F198&gt;=CO$5-4, $F198&lt;=CO$5, COUNTIF($M198:CN198,"u")=0), "u", "")</f>
        <v/>
      </c>
      <c r="CP198" s="80" t="str">
        <f>IF(AND($F198&lt;&gt;"", $F198&gt;=CP$5-4, $F198&lt;=CP$5, COUNTIF($M198:CO198,"u")=0), "u", "")</f>
        <v/>
      </c>
      <c r="CQ198" s="80" t="str">
        <f>IF(AND($F198&lt;&gt;"", $F198&gt;=CQ$5-4, $F198&lt;=CQ$5, COUNTIF($M198:CP198,"u")=0), "u", "")</f>
        <v/>
      </c>
      <c r="CR198" s="80" t="str">
        <f>IF(AND($F198&lt;&gt;"", $F198&gt;=CR$5-4, $F198&lt;=CR$5, COUNTIF($M198:CQ198,"u")=0), "u", "")</f>
        <v/>
      </c>
      <c r="CS198" s="80" t="str">
        <f>IF(AND($F198&lt;&gt;"", $F198&gt;=CS$5-4, $F198&lt;=CS$5, COUNTIF($M198:CR198,"u")=0), "u", "")</f>
        <v/>
      </c>
      <c r="CT198" s="80" t="str">
        <f>IF(AND($F198&lt;&gt;"", $F198&gt;=CT$5-4, $F198&lt;=CT$5, COUNTIF($M198:CS198,"u")=0), "u", "")</f>
        <v/>
      </c>
      <c r="CU198" s="80" t="str">
        <f>IF(AND($F198&lt;&gt;"", $F198&gt;=CU$5-4, $F198&lt;=CU$5, COUNTIF($M198:CT198,"u")=0), "u", "")</f>
        <v/>
      </c>
      <c r="CV198" s="80" t="str">
        <f>IF(AND($F198&lt;&gt;"", $F198&gt;=CV$5-4, $F198&lt;=CV$5, COUNTIF($M198:CU198,"u")=0), "u", "")</f>
        <v/>
      </c>
      <c r="CW198" s="80" t="str">
        <f>IF(AND($F198&lt;&gt;"", $F198&gt;=CW$5-4, $F198&lt;=CW$5, COUNTIF($M198:CV198,"u")=0), "u", "")</f>
        <v/>
      </c>
      <c r="CX198" s="80" t="str">
        <f>IF(AND($F198&lt;&gt;"", $F198&gt;=CX$5-4, $F198&lt;=CX$5, COUNTIF($M198:CW198,"u")=0), "u", "")</f>
        <v/>
      </c>
      <c r="CY198" s="80" t="str">
        <f>IF(AND($F198&lt;&gt;"", $F198&gt;=CY$5-4, $F198&lt;=CY$5, COUNTIF($M198:CX198,"u")=0), "u", "")</f>
        <v/>
      </c>
      <c r="CZ198" s="80" t="str">
        <f>IF(AND($F198&lt;&gt;"", $F198&gt;=CZ$5-4, $F198&lt;=CZ$5, COUNTIF($M198:CY198,"u")=0), "u", "")</f>
        <v/>
      </c>
      <c r="DA198" s="80" t="str">
        <f>IF(AND($F198&lt;&gt;"", $F198&gt;=DA$5-4, $F198&lt;=DA$5, COUNTIF($M198:CZ198,"u")=0), "u", "")</f>
        <v/>
      </c>
      <c r="DB198" s="80" t="str">
        <f>IF(AND($F198&lt;&gt;"", $F198&gt;=DB$5-4, $F198&lt;=DB$5, COUNTIF($M198:DA198,"u")=0), "u", "")</f>
        <v/>
      </c>
      <c r="DC198" s="80" t="str">
        <f>IF(AND($F198&lt;&gt;"", $F198&gt;=DC$5-4, $F198&lt;=DC$5, COUNTIF($M198:DB198,"u")=0), "u", "")</f>
        <v/>
      </c>
      <c r="DD198" s="80" t="str">
        <f>IF(AND($F198&lt;&gt;"", $F198&gt;=DD$5-4, $F198&lt;=DD$5, COUNTIF($M198:DC198,"u")=0), "u", "")</f>
        <v/>
      </c>
      <c r="DE198" s="80" t="str">
        <f>IF(AND($F198&lt;&gt;"", $F198&gt;=DE$5-4, $F198&lt;=DE$5, COUNTIF($M198:DD198,"u")=0), "u", "")</f>
        <v/>
      </c>
      <c r="DF198" s="80" t="str">
        <f>IF(AND($F198&lt;&gt;"", $F198&gt;=DF$5-4, $F198&lt;=DF$5, COUNTIF($M198:DE198,"u")=0), "u", "")</f>
        <v/>
      </c>
      <c r="DG198" s="80" t="str">
        <f>IF(AND($F198&lt;&gt;"", $F198&gt;=DG$5-4, $F198&lt;=DG$5, COUNTIF($M198:DF198,"u")=0), "u", "")</f>
        <v/>
      </c>
      <c r="DH198" s="80" t="str">
        <f>IF(AND($F198&lt;&gt;"", $F198&gt;=DH$5-4, $F198&lt;=DH$5, COUNTIF($M198:DG198,"u")=0), "u", "")</f>
        <v/>
      </c>
      <c r="DI198" s="80" t="str">
        <f>IF(AND($F198&lt;&gt;"", $F198&gt;=DI$5-4, $F198&lt;=DI$5, COUNTIF($M198:DH198,"u")=0), "u", "")</f>
        <v/>
      </c>
      <c r="DJ198" s="80" t="str">
        <f>IF(AND($F198&lt;&gt;"", $F198&gt;=DJ$5-4, $F198&lt;=DJ$5, COUNTIF($M198:DI198,"u")=0), "u", "")</f>
        <v/>
      </c>
      <c r="DK198" s="80" t="str">
        <f>IF(AND($F198&lt;&gt;"", $F198&gt;=DK$5-4, $F198&lt;=DK$5, COUNTIF($M198:DJ198,"u")=0), "u", "")</f>
        <v/>
      </c>
      <c r="DL198" s="80" t="str">
        <f>IF(AND($F198&lt;&gt;"", $F198&gt;=DL$5-4, $F198&lt;=DL$5, COUNTIF($M198:DK198,"u")=0), "u", "")</f>
        <v/>
      </c>
    </row>
    <row r="199" spans="1:116" ht="25.05" customHeight="1" x14ac:dyDescent="0.3">
      <c r="A199" s="39"/>
      <c r="B199" s="75">
        <v>194</v>
      </c>
      <c r="C199" s="97"/>
      <c r="D199" s="92"/>
      <c r="E199" s="53"/>
      <c r="F199" s="53"/>
      <c r="G199" s="83" t="str">
        <f t="shared" si="53"/>
        <v/>
      </c>
      <c r="H199" s="83" t="str">
        <f t="shared" si="53"/>
        <v/>
      </c>
      <c r="I199" s="77" t="str">
        <f t="shared" si="54"/>
        <v/>
      </c>
      <c r="J199" s="78"/>
      <c r="K199" s="86"/>
      <c r="L199" s="56"/>
      <c r="M199" s="80" t="str">
        <f t="shared" ref="M199:M262" si="55">IF(AND($F199&lt;&gt;"", $F199&gt;=M$5-4, $F199&lt;=M$5), "u", "")</f>
        <v/>
      </c>
      <c r="N199" s="80" t="str">
        <f>IF(AND($F199&lt;&gt;"", $F199&gt;=N$5-4, $F199&lt;=N$5, COUNTIF($M199:M199,"u")=0), "u", "")</f>
        <v/>
      </c>
      <c r="O199" s="80" t="str">
        <f>IF(AND($F199&lt;&gt;"", $F199&gt;=O$5-4, $F199&lt;=O$5, COUNTIF($M199:N199,"u")=0), "u", "")</f>
        <v/>
      </c>
      <c r="P199" s="80" t="str">
        <f>IF(AND($F199&lt;&gt;"", $F199&gt;=P$5-4, $F199&lt;=P$5, COUNTIF($M199:O199,"u")=0), "u", "")</f>
        <v/>
      </c>
      <c r="Q199" s="80" t="str">
        <f>IF(AND($F199&lt;&gt;"", $F199&gt;=Q$5-4, $F199&lt;=Q$5, COUNTIF($M199:P199,"u")=0), "u", "")</f>
        <v/>
      </c>
      <c r="R199" s="80" t="str">
        <f>IF(AND($F199&lt;&gt;"", $F199&gt;=R$5-4, $F199&lt;=R$5, COUNTIF($M199:Q199,"u")=0), "u", "")</f>
        <v/>
      </c>
      <c r="S199" s="80" t="str">
        <f>IF(AND($F199&lt;&gt;"", $F199&gt;=S$5-4, $F199&lt;=S$5, COUNTIF($M199:R199,"u")=0), "u", "")</f>
        <v/>
      </c>
      <c r="T199" s="80" t="str">
        <f>IF(AND($F199&lt;&gt;"", $F199&gt;=T$5-4, $F199&lt;=T$5, COUNTIF($M199:S199,"u")=0), "u", "")</f>
        <v/>
      </c>
      <c r="U199" s="80" t="str">
        <f>IF(AND($F199&lt;&gt;"", $F199&gt;=U$5-4, $F199&lt;=U$5, COUNTIF($M199:T199,"u")=0), "u", "")</f>
        <v/>
      </c>
      <c r="V199" s="80" t="str">
        <f>IF(AND($F199&lt;&gt;"", $F199&gt;=V$5-4, $F199&lt;=V$5, COUNTIF($M199:U199,"u")=0), "u", "")</f>
        <v/>
      </c>
      <c r="W199" s="80" t="str">
        <f>IF(AND($F199&lt;&gt;"", $F199&gt;=W$5-4, $F199&lt;=W$5, COUNTIF($M199:V199,"u")=0), "u", "")</f>
        <v/>
      </c>
      <c r="X199" s="80" t="str">
        <f>IF(AND($F199&lt;&gt;"", $F199&gt;=X$5-4, $F199&lt;=X$5, COUNTIF($M199:W199,"u")=0), "u", "")</f>
        <v/>
      </c>
      <c r="Y199" s="80" t="str">
        <f>IF(AND($F199&lt;&gt;"", $F199&gt;=Y$5-4, $F199&lt;=Y$5, COUNTIF($M199:X199,"u")=0), "u", "")</f>
        <v/>
      </c>
      <c r="Z199" s="80" t="str">
        <f>IF(AND($F199&lt;&gt;"", $F199&gt;=Z$5-4, $F199&lt;=Z$5, COUNTIF($M199:Y199,"u")=0), "u", "")</f>
        <v/>
      </c>
      <c r="AA199" s="80" t="str">
        <f>IF(AND($F199&lt;&gt;"", $F199&gt;=AA$5-4, $F199&lt;=AA$5, COUNTIF($M199:Z199,"u")=0), "u", "")</f>
        <v/>
      </c>
      <c r="AB199" s="80" t="str">
        <f>IF(AND($F199&lt;&gt;"", $F199&gt;=AB$5-4, $F199&lt;=AB$5, COUNTIF($M199:AA199,"u")=0), "u", "")</f>
        <v/>
      </c>
      <c r="AC199" s="80" t="str">
        <f>IF(AND($F199&lt;&gt;"", $F199&gt;=AC$5-4, $F199&lt;=AC$5, COUNTIF($M199:AB199,"u")=0), "u", "")</f>
        <v/>
      </c>
      <c r="AD199" s="80" t="str">
        <f>IF(AND($F199&lt;&gt;"", $F199&gt;=AD$5-4, $F199&lt;=AD$5, COUNTIF($M199:AC199,"u")=0), "u", "")</f>
        <v/>
      </c>
      <c r="AE199" s="80" t="str">
        <f>IF(AND($F199&lt;&gt;"", $F199&gt;=AE$5-4, $F199&lt;=AE$5, COUNTIF($M199:AD199,"u")=0), "u", "")</f>
        <v/>
      </c>
      <c r="AF199" s="80" t="str">
        <f>IF(AND($F199&lt;&gt;"", $F199&gt;=AF$5-4, $F199&lt;=AF$5, COUNTIF($M199:AE199,"u")=0), "u", "")</f>
        <v/>
      </c>
      <c r="AG199" s="80" t="str">
        <f>IF(AND($F199&lt;&gt;"", $F199&gt;=AG$5-4, $F199&lt;=AG$5, COUNTIF($M199:AF199,"u")=0), "u", "")</f>
        <v/>
      </c>
      <c r="AH199" s="80" t="str">
        <f>IF(AND($F199&lt;&gt;"", $F199&gt;=AH$5-4, $F199&lt;=AH$5, COUNTIF($M199:AG199,"u")=0), "u", "")</f>
        <v/>
      </c>
      <c r="AI199" s="80" t="str">
        <f>IF(AND($F199&lt;&gt;"", $F199&gt;=AI$5-4, $F199&lt;=AI$5, COUNTIF($M199:AH199,"u")=0), "u", "")</f>
        <v/>
      </c>
      <c r="AJ199" s="80" t="str">
        <f>IF(AND($F199&lt;&gt;"", $F199&gt;=AJ$5-4, $F199&lt;=AJ$5, COUNTIF($M199:AI199,"u")=0), "u", "")</f>
        <v/>
      </c>
      <c r="AK199" s="80" t="str">
        <f>IF(AND($F199&lt;&gt;"", $F199&gt;=AK$5-4, $F199&lt;=AK$5, COUNTIF($M199:AJ199,"u")=0), "u", "")</f>
        <v/>
      </c>
      <c r="AL199" s="80" t="str">
        <f>IF(AND($F199&lt;&gt;"", $F199&gt;=AL$5-4, $F199&lt;=AL$5, COUNTIF($M199:AK199,"u")=0), "u", "")</f>
        <v/>
      </c>
      <c r="AM199" s="80" t="str">
        <f>IF(AND($F199&lt;&gt;"", $F199&gt;=AM$5-4, $F199&lt;=AM$5, COUNTIF($M199:AL199,"u")=0), "u", "")</f>
        <v/>
      </c>
      <c r="AN199" s="80" t="str">
        <f>IF(AND($F199&lt;&gt;"", $F199&gt;=AN$5-4, $F199&lt;=AN$5, COUNTIF($M199:AM199,"u")=0), "u", "")</f>
        <v/>
      </c>
      <c r="AO199" s="80" t="str">
        <f>IF(AND($F199&lt;&gt;"", $F199&gt;=AO$5-4, $F199&lt;=AO$5, COUNTIF($M199:AN199,"u")=0), "u", "")</f>
        <v/>
      </c>
      <c r="AP199" s="80" t="str">
        <f>IF(AND($F199&lt;&gt;"", $F199&gt;=AP$5-4, $F199&lt;=AP$5, COUNTIF($M199:AO199,"u")=0), "u", "")</f>
        <v/>
      </c>
      <c r="AQ199" s="80" t="str">
        <f>IF(AND($F199&lt;&gt;"", $F199&gt;=AQ$5-4, $F199&lt;=AQ$5, COUNTIF($M199:AP199,"u")=0), "u", "")</f>
        <v/>
      </c>
      <c r="AR199" s="80" t="str">
        <f>IF(AND($F199&lt;&gt;"", $F199&gt;=AR$5-4, $F199&lt;=AR$5, COUNTIF($M199:AQ199,"u")=0), "u", "")</f>
        <v/>
      </c>
      <c r="AS199" s="80" t="str">
        <f>IF(AND($F199&lt;&gt;"", $F199&gt;=AS$5-4, $F199&lt;=AS$5, COUNTIF($M199:AR199,"u")=0), "u", "")</f>
        <v/>
      </c>
      <c r="AT199" s="80" t="str">
        <f>IF(AND($F199&lt;&gt;"", $F199&gt;=AT$5-4, $F199&lt;=AT$5, COUNTIF($M199:AS199,"u")=0), "u", "")</f>
        <v/>
      </c>
      <c r="AU199" s="80" t="str">
        <f>IF(AND($F199&lt;&gt;"", $F199&gt;=AU$5-4, $F199&lt;=AU$5, COUNTIF($M199:AT199,"u")=0), "u", "")</f>
        <v/>
      </c>
      <c r="AV199" s="80" t="str">
        <f>IF(AND($F199&lt;&gt;"", $F199&gt;=AV$5-4, $F199&lt;=AV$5, COUNTIF($M199:AU199,"u")=0), "u", "")</f>
        <v/>
      </c>
      <c r="AW199" s="80" t="str">
        <f>IF(AND($F199&lt;&gt;"", $F199&gt;=AW$5-4, $F199&lt;=AW$5, COUNTIF($M199:AV199,"u")=0), "u", "")</f>
        <v/>
      </c>
      <c r="AX199" s="80" t="str">
        <f>IF(AND($F199&lt;&gt;"", $F199&gt;=AX$5-4, $F199&lt;=AX$5, COUNTIF($M199:AW199,"u")=0), "u", "")</f>
        <v/>
      </c>
      <c r="AY199" s="80" t="str">
        <f>IF(AND($F199&lt;&gt;"", $F199&gt;=AY$5-4, $F199&lt;=AY$5, COUNTIF($M199:AX199,"u")=0), "u", "")</f>
        <v/>
      </c>
      <c r="AZ199" s="80" t="str">
        <f>IF(AND($F199&lt;&gt;"", $F199&gt;=AZ$5-4, $F199&lt;=AZ$5, COUNTIF($M199:AY199,"u")=0), "u", "")</f>
        <v/>
      </c>
      <c r="BA199" s="80" t="str">
        <f>IF(AND($F199&lt;&gt;"", $F199&gt;=BA$5-4, $F199&lt;=BA$5, COUNTIF($M199:AZ199,"u")=0), "u", "")</f>
        <v/>
      </c>
      <c r="BB199" s="80" t="str">
        <f>IF(AND($F199&lt;&gt;"", $F199&gt;=BB$5-4, $F199&lt;=BB$5, COUNTIF($M199:BA199,"u")=0), "u", "")</f>
        <v/>
      </c>
      <c r="BC199" s="80" t="str">
        <f>IF(AND($F199&lt;&gt;"", $F199&gt;=BC$5-4, $F199&lt;=BC$5, COUNTIF($M199:BB199,"u")=0), "u", "")</f>
        <v/>
      </c>
      <c r="BD199" s="80" t="str">
        <f>IF(AND($F199&lt;&gt;"", $F199&gt;=BD$5-4, $F199&lt;=BD$5, COUNTIF($M199:BC199,"u")=0), "u", "")</f>
        <v/>
      </c>
      <c r="BE199" s="80" t="str">
        <f>IF(AND($F199&lt;&gt;"", $F199&gt;=BE$5-4, $F199&lt;=BE$5, COUNTIF($M199:BD199,"u")=0), "u", "")</f>
        <v/>
      </c>
      <c r="BF199" s="80" t="str">
        <f>IF(AND($F199&lt;&gt;"", $F199&gt;=BF$5-4, $F199&lt;=BF$5, COUNTIF($M199:BE199,"u")=0), "u", "")</f>
        <v/>
      </c>
      <c r="BG199" s="80" t="str">
        <f>IF(AND($F199&lt;&gt;"", $F199&gt;=BG$5-4, $F199&lt;=BG$5, COUNTIF($M199:BF199,"u")=0), "u", "")</f>
        <v/>
      </c>
      <c r="BH199" s="80" t="str">
        <f>IF(AND($F199&lt;&gt;"", $F199&gt;=BH$5-4, $F199&lt;=BH$5, COUNTIF($M199:BG199,"u")=0), "u", "")</f>
        <v/>
      </c>
      <c r="BI199" s="80" t="str">
        <f>IF(AND($F199&lt;&gt;"", $F199&gt;=BI$5-4, $F199&lt;=BI$5, COUNTIF($M199:BH199,"u")=0), "u", "")</f>
        <v/>
      </c>
      <c r="BJ199" s="80" t="str">
        <f>IF(AND($F199&lt;&gt;"", $F199&gt;=BJ$5-4, $F199&lt;=BJ$5, COUNTIF($M199:BI199,"u")=0), "u", "")</f>
        <v/>
      </c>
      <c r="BK199" s="80" t="str">
        <f>IF(AND($F199&lt;&gt;"", $F199&gt;=BK$5-4, $F199&lt;=BK$5, COUNTIF($M199:BJ199,"u")=0), "u", "")</f>
        <v/>
      </c>
      <c r="BL199" s="80" t="str">
        <f>IF(AND($F199&lt;&gt;"", $F199&gt;=BL$5-4, $F199&lt;=BL$5, COUNTIF($M199:BK199,"u")=0), "u", "")</f>
        <v/>
      </c>
      <c r="BM199" s="80" t="str">
        <f>IF(AND($F199&lt;&gt;"", $F199&gt;=BM$5-4, $F199&lt;=BM$5, COUNTIF($M199:BL199,"u")=0), "u", "")</f>
        <v/>
      </c>
      <c r="BN199" s="80" t="str">
        <f>IF(AND($F199&lt;&gt;"", $F199&gt;=BN$5-4, $F199&lt;=BN$5, COUNTIF($M199:BM199,"u")=0), "u", "")</f>
        <v/>
      </c>
      <c r="BO199" s="80" t="str">
        <f>IF(AND($F199&lt;&gt;"", $F199&gt;=BO$5-4, $F199&lt;=BO$5, COUNTIF($M199:BN199,"u")=0), "u", "")</f>
        <v/>
      </c>
      <c r="BP199" s="80" t="str">
        <f>IF(AND($F199&lt;&gt;"", $F199&gt;=BP$5-4, $F199&lt;=BP$5, COUNTIF($M199:BO199,"u")=0), "u", "")</f>
        <v/>
      </c>
      <c r="BQ199" s="80" t="str">
        <f>IF(AND($F199&lt;&gt;"", $F199&gt;=BQ$5-4, $F199&lt;=BQ$5, COUNTIF($M199:BP199,"u")=0), "u", "")</f>
        <v/>
      </c>
      <c r="BR199" s="80" t="str">
        <f>IF(AND($F199&lt;&gt;"", $F199&gt;=BR$5-4, $F199&lt;=BR$5, COUNTIF($M199:BQ199,"u")=0), "u", "")</f>
        <v/>
      </c>
      <c r="BS199" s="80" t="str">
        <f>IF(AND($F199&lt;&gt;"", $F199&gt;=BS$5-4, $F199&lt;=BS$5, COUNTIF($M199:BR199,"u")=0), "u", "")</f>
        <v/>
      </c>
      <c r="BT199" s="80" t="str">
        <f>IF(AND($F199&lt;&gt;"", $F199&gt;=BT$5-4, $F199&lt;=BT$5, COUNTIF($M199:BS199,"u")=0), "u", "")</f>
        <v/>
      </c>
      <c r="BU199" s="80" t="str">
        <f>IF(AND($F199&lt;&gt;"", $F199&gt;=BU$5-4, $F199&lt;=BU$5, COUNTIF($M199:BT199,"u")=0), "u", "")</f>
        <v/>
      </c>
      <c r="BV199" s="80" t="str">
        <f>IF(AND($F199&lt;&gt;"", $F199&gt;=BV$5-4, $F199&lt;=BV$5, COUNTIF($M199:BU199,"u")=0), "u", "")</f>
        <v/>
      </c>
      <c r="BW199" s="80" t="str">
        <f>IF(AND($F199&lt;&gt;"", $F199&gt;=BW$5-4, $F199&lt;=BW$5, COUNTIF($M199:BV199,"u")=0), "u", "")</f>
        <v/>
      </c>
      <c r="BX199" s="80" t="str">
        <f>IF(AND($F199&lt;&gt;"", $F199&gt;=BX$5-4, $F199&lt;=BX$5, COUNTIF($M199:BW199,"u")=0), "u", "")</f>
        <v/>
      </c>
      <c r="BY199" s="80" t="str">
        <f>IF(AND($F199&lt;&gt;"", $F199&gt;=BY$5-4, $F199&lt;=BY$5, COUNTIF($M199:BX199,"u")=0), "u", "")</f>
        <v/>
      </c>
      <c r="BZ199" s="80" t="str">
        <f>IF(AND($F199&lt;&gt;"", $F199&gt;=BZ$5-4, $F199&lt;=BZ$5, COUNTIF($M199:BY199,"u")=0), "u", "")</f>
        <v/>
      </c>
      <c r="CA199" s="80" t="str">
        <f>IF(AND($F199&lt;&gt;"", $F199&gt;=CA$5-4, $F199&lt;=CA$5, COUNTIF($M199:BZ199,"u")=0), "u", "")</f>
        <v/>
      </c>
      <c r="CB199" s="80" t="str">
        <f>IF(AND($F199&lt;&gt;"", $F199&gt;=CB$5-4, $F199&lt;=CB$5, COUNTIF($M199:CA199,"u")=0), "u", "")</f>
        <v/>
      </c>
      <c r="CC199" s="80" t="str">
        <f>IF(AND($F199&lt;&gt;"", $F199&gt;=CC$5-4, $F199&lt;=CC$5, COUNTIF($M199:CB199,"u")=0), "u", "")</f>
        <v/>
      </c>
      <c r="CD199" s="80" t="str">
        <f>IF(AND($F199&lt;&gt;"", $F199&gt;=CD$5-4, $F199&lt;=CD$5, COUNTIF($M199:CC199,"u")=0), "u", "")</f>
        <v/>
      </c>
      <c r="CE199" s="80" t="str">
        <f>IF(AND($F199&lt;&gt;"", $F199&gt;=CE$5-4, $F199&lt;=CE$5, COUNTIF($M199:CD199,"u")=0), "u", "")</f>
        <v/>
      </c>
      <c r="CF199" s="80" t="str">
        <f>IF(AND($F199&lt;&gt;"", $F199&gt;=CF$5-4, $F199&lt;=CF$5, COUNTIF($M199:CE199,"u")=0), "u", "")</f>
        <v/>
      </c>
      <c r="CG199" s="80" t="str">
        <f>IF(AND($F199&lt;&gt;"", $F199&gt;=CG$5-4, $F199&lt;=CG$5, COUNTIF($M199:CF199,"u")=0), "u", "")</f>
        <v/>
      </c>
      <c r="CH199" s="80" t="str">
        <f>IF(AND($F199&lt;&gt;"", $F199&gt;=CH$5-4, $F199&lt;=CH$5, COUNTIF($M199:CG199,"u")=0), "u", "")</f>
        <v/>
      </c>
      <c r="CI199" s="80" t="str">
        <f>IF(AND($F199&lt;&gt;"", $F199&gt;=CI$5-4, $F199&lt;=CI$5, COUNTIF($M199:CH199,"u")=0), "u", "")</f>
        <v/>
      </c>
      <c r="CJ199" s="80" t="str">
        <f>IF(AND($F199&lt;&gt;"", $F199&gt;=CJ$5-4, $F199&lt;=CJ$5, COUNTIF($M199:CI199,"u")=0), "u", "")</f>
        <v/>
      </c>
      <c r="CK199" s="80" t="str">
        <f>IF(AND($F199&lt;&gt;"", $F199&gt;=CK$5-4, $F199&lt;=CK$5, COUNTIF($M199:CJ199,"u")=0), "u", "")</f>
        <v/>
      </c>
      <c r="CL199" s="80" t="str">
        <f>IF(AND($F199&lt;&gt;"", $F199&gt;=CL$5-4, $F199&lt;=CL$5, COUNTIF($M199:CK199,"u")=0), "u", "")</f>
        <v/>
      </c>
      <c r="CM199" s="80" t="str">
        <f>IF(AND($F199&lt;&gt;"", $F199&gt;=CM$5-4, $F199&lt;=CM$5, COUNTIF($M199:CL199,"u")=0), "u", "")</f>
        <v/>
      </c>
      <c r="CN199" s="80" t="str">
        <f>IF(AND($F199&lt;&gt;"", $F199&gt;=CN$5-4, $F199&lt;=CN$5, COUNTIF($M199:CM199,"u")=0), "u", "")</f>
        <v/>
      </c>
      <c r="CO199" s="80" t="str">
        <f>IF(AND($F199&lt;&gt;"", $F199&gt;=CO$5-4, $F199&lt;=CO$5, COUNTIF($M199:CN199,"u")=0), "u", "")</f>
        <v/>
      </c>
      <c r="CP199" s="80" t="str">
        <f>IF(AND($F199&lt;&gt;"", $F199&gt;=CP$5-4, $F199&lt;=CP$5, COUNTIF($M199:CO199,"u")=0), "u", "")</f>
        <v/>
      </c>
      <c r="CQ199" s="80" t="str">
        <f>IF(AND($F199&lt;&gt;"", $F199&gt;=CQ$5-4, $F199&lt;=CQ$5, COUNTIF($M199:CP199,"u")=0), "u", "")</f>
        <v/>
      </c>
      <c r="CR199" s="80" t="str">
        <f>IF(AND($F199&lt;&gt;"", $F199&gt;=CR$5-4, $F199&lt;=CR$5, COUNTIF($M199:CQ199,"u")=0), "u", "")</f>
        <v/>
      </c>
      <c r="CS199" s="80" t="str">
        <f>IF(AND($F199&lt;&gt;"", $F199&gt;=CS$5-4, $F199&lt;=CS$5, COUNTIF($M199:CR199,"u")=0), "u", "")</f>
        <v/>
      </c>
      <c r="CT199" s="80" t="str">
        <f>IF(AND($F199&lt;&gt;"", $F199&gt;=CT$5-4, $F199&lt;=CT$5, COUNTIF($M199:CS199,"u")=0), "u", "")</f>
        <v/>
      </c>
      <c r="CU199" s="80" t="str">
        <f>IF(AND($F199&lt;&gt;"", $F199&gt;=CU$5-4, $F199&lt;=CU$5, COUNTIF($M199:CT199,"u")=0), "u", "")</f>
        <v/>
      </c>
      <c r="CV199" s="80" t="str">
        <f>IF(AND($F199&lt;&gt;"", $F199&gt;=CV$5-4, $F199&lt;=CV$5, COUNTIF($M199:CU199,"u")=0), "u", "")</f>
        <v/>
      </c>
      <c r="CW199" s="80" t="str">
        <f>IF(AND($F199&lt;&gt;"", $F199&gt;=CW$5-4, $F199&lt;=CW$5, COUNTIF($M199:CV199,"u")=0), "u", "")</f>
        <v/>
      </c>
      <c r="CX199" s="80" t="str">
        <f>IF(AND($F199&lt;&gt;"", $F199&gt;=CX$5-4, $F199&lt;=CX$5, COUNTIF($M199:CW199,"u")=0), "u", "")</f>
        <v/>
      </c>
      <c r="CY199" s="80" t="str">
        <f>IF(AND($F199&lt;&gt;"", $F199&gt;=CY$5-4, $F199&lt;=CY$5, COUNTIF($M199:CX199,"u")=0), "u", "")</f>
        <v/>
      </c>
      <c r="CZ199" s="80" t="str">
        <f>IF(AND($F199&lt;&gt;"", $F199&gt;=CZ$5-4, $F199&lt;=CZ$5, COUNTIF($M199:CY199,"u")=0), "u", "")</f>
        <v/>
      </c>
      <c r="DA199" s="80" t="str">
        <f>IF(AND($F199&lt;&gt;"", $F199&gt;=DA$5-4, $F199&lt;=DA$5, COUNTIF($M199:CZ199,"u")=0), "u", "")</f>
        <v/>
      </c>
      <c r="DB199" s="80" t="str">
        <f>IF(AND($F199&lt;&gt;"", $F199&gt;=DB$5-4, $F199&lt;=DB$5, COUNTIF($M199:DA199,"u")=0), "u", "")</f>
        <v/>
      </c>
      <c r="DC199" s="80" t="str">
        <f>IF(AND($F199&lt;&gt;"", $F199&gt;=DC$5-4, $F199&lt;=DC$5, COUNTIF($M199:DB199,"u")=0), "u", "")</f>
        <v/>
      </c>
      <c r="DD199" s="80" t="str">
        <f>IF(AND($F199&lt;&gt;"", $F199&gt;=DD$5-4, $F199&lt;=DD$5, COUNTIF($M199:DC199,"u")=0), "u", "")</f>
        <v/>
      </c>
      <c r="DE199" s="80" t="str">
        <f>IF(AND($F199&lt;&gt;"", $F199&gt;=DE$5-4, $F199&lt;=DE$5, COUNTIF($M199:DD199,"u")=0), "u", "")</f>
        <v/>
      </c>
      <c r="DF199" s="80" t="str">
        <f>IF(AND($F199&lt;&gt;"", $F199&gt;=DF$5-4, $F199&lt;=DF$5, COUNTIF($M199:DE199,"u")=0), "u", "")</f>
        <v/>
      </c>
      <c r="DG199" s="80" t="str">
        <f>IF(AND($F199&lt;&gt;"", $F199&gt;=DG$5-4, $F199&lt;=DG$5, COUNTIF($M199:DF199,"u")=0), "u", "")</f>
        <v/>
      </c>
      <c r="DH199" s="80" t="str">
        <f>IF(AND($F199&lt;&gt;"", $F199&gt;=DH$5-4, $F199&lt;=DH$5, COUNTIF($M199:DG199,"u")=0), "u", "")</f>
        <v/>
      </c>
      <c r="DI199" s="80" t="str">
        <f>IF(AND($F199&lt;&gt;"", $F199&gt;=DI$5-4, $F199&lt;=DI$5, COUNTIF($M199:DH199,"u")=0), "u", "")</f>
        <v/>
      </c>
      <c r="DJ199" s="80" t="str">
        <f>IF(AND($F199&lt;&gt;"", $F199&gt;=DJ$5-4, $F199&lt;=DJ$5, COUNTIF($M199:DI199,"u")=0), "u", "")</f>
        <v/>
      </c>
      <c r="DK199" s="80" t="str">
        <f>IF(AND($F199&lt;&gt;"", $F199&gt;=DK$5-4, $F199&lt;=DK$5, COUNTIF($M199:DJ199,"u")=0), "u", "")</f>
        <v/>
      </c>
      <c r="DL199" s="80" t="str">
        <f>IF(AND($F199&lt;&gt;"", $F199&gt;=DL$5-4, $F199&lt;=DL$5, COUNTIF($M199:DK199,"u")=0), "u", "")</f>
        <v/>
      </c>
    </row>
    <row r="200" spans="1:116" ht="25.05" customHeight="1" x14ac:dyDescent="0.3">
      <c r="A200" s="39"/>
      <c r="B200" s="75">
        <v>195</v>
      </c>
      <c r="C200" s="97"/>
      <c r="D200" s="92"/>
      <c r="E200" s="53"/>
      <c r="F200" s="53"/>
      <c r="G200" s="83" t="str">
        <f t="shared" si="53"/>
        <v/>
      </c>
      <c r="H200" s="83" t="str">
        <f t="shared" si="53"/>
        <v/>
      </c>
      <c r="I200" s="77" t="str">
        <f t="shared" si="54"/>
        <v/>
      </c>
      <c r="J200" s="78"/>
      <c r="K200" s="86"/>
      <c r="L200" s="56"/>
      <c r="M200" s="80" t="str">
        <f t="shared" si="55"/>
        <v/>
      </c>
      <c r="N200" s="80" t="str">
        <f>IF(AND($F200&lt;&gt;"", $F200&gt;=N$5-4, $F200&lt;=N$5, COUNTIF($M200:M200,"u")=0), "u", "")</f>
        <v/>
      </c>
      <c r="O200" s="80" t="str">
        <f>IF(AND($F200&lt;&gt;"", $F200&gt;=O$5-4, $F200&lt;=O$5, COUNTIF($M200:N200,"u")=0), "u", "")</f>
        <v/>
      </c>
      <c r="P200" s="80" t="str">
        <f>IF(AND($F200&lt;&gt;"", $F200&gt;=P$5-4, $F200&lt;=P$5, COUNTIF($M200:O200,"u")=0), "u", "")</f>
        <v/>
      </c>
      <c r="Q200" s="80" t="str">
        <f>IF(AND($F200&lt;&gt;"", $F200&gt;=Q$5-4, $F200&lt;=Q$5, COUNTIF($M200:P200,"u")=0), "u", "")</f>
        <v/>
      </c>
      <c r="R200" s="80" t="str">
        <f>IF(AND($F200&lt;&gt;"", $F200&gt;=R$5-4, $F200&lt;=R$5, COUNTIF($M200:Q200,"u")=0), "u", "")</f>
        <v/>
      </c>
      <c r="S200" s="80" t="str">
        <f>IF(AND($F200&lt;&gt;"", $F200&gt;=S$5-4, $F200&lt;=S$5, COUNTIF($M200:R200,"u")=0), "u", "")</f>
        <v/>
      </c>
      <c r="T200" s="80" t="str">
        <f>IF(AND($F200&lt;&gt;"", $F200&gt;=T$5-4, $F200&lt;=T$5, COUNTIF($M200:S200,"u")=0), "u", "")</f>
        <v/>
      </c>
      <c r="U200" s="80" t="str">
        <f>IF(AND($F200&lt;&gt;"", $F200&gt;=U$5-4, $F200&lt;=U$5, COUNTIF($M200:T200,"u")=0), "u", "")</f>
        <v/>
      </c>
      <c r="V200" s="80" t="str">
        <f>IF(AND($F200&lt;&gt;"", $F200&gt;=V$5-4, $F200&lt;=V$5, COUNTIF($M200:U200,"u")=0), "u", "")</f>
        <v/>
      </c>
      <c r="W200" s="80" t="str">
        <f>IF(AND($F200&lt;&gt;"", $F200&gt;=W$5-4, $F200&lt;=W$5, COUNTIF($M200:V200,"u")=0), "u", "")</f>
        <v/>
      </c>
      <c r="X200" s="80" t="str">
        <f>IF(AND($F200&lt;&gt;"", $F200&gt;=X$5-4, $F200&lt;=X$5, COUNTIF($M200:W200,"u")=0), "u", "")</f>
        <v/>
      </c>
      <c r="Y200" s="80" t="str">
        <f>IF(AND($F200&lt;&gt;"", $F200&gt;=Y$5-4, $F200&lt;=Y$5, COUNTIF($M200:X200,"u")=0), "u", "")</f>
        <v/>
      </c>
      <c r="Z200" s="80" t="str">
        <f>IF(AND($F200&lt;&gt;"", $F200&gt;=Z$5-4, $F200&lt;=Z$5, COUNTIF($M200:Y200,"u")=0), "u", "")</f>
        <v/>
      </c>
      <c r="AA200" s="80" t="str">
        <f>IF(AND($F200&lt;&gt;"", $F200&gt;=AA$5-4, $F200&lt;=AA$5, COUNTIF($M200:Z200,"u")=0), "u", "")</f>
        <v/>
      </c>
      <c r="AB200" s="80" t="str">
        <f>IF(AND($F200&lt;&gt;"", $F200&gt;=AB$5-4, $F200&lt;=AB$5, COUNTIF($M200:AA200,"u")=0), "u", "")</f>
        <v/>
      </c>
      <c r="AC200" s="80" t="str">
        <f>IF(AND($F200&lt;&gt;"", $F200&gt;=AC$5-4, $F200&lt;=AC$5, COUNTIF($M200:AB200,"u")=0), "u", "")</f>
        <v/>
      </c>
      <c r="AD200" s="80" t="str">
        <f>IF(AND($F200&lt;&gt;"", $F200&gt;=AD$5-4, $F200&lt;=AD$5, COUNTIF($M200:AC200,"u")=0), "u", "")</f>
        <v/>
      </c>
      <c r="AE200" s="80" t="str">
        <f>IF(AND($F200&lt;&gt;"", $F200&gt;=AE$5-4, $F200&lt;=AE$5, COUNTIF($M200:AD200,"u")=0), "u", "")</f>
        <v/>
      </c>
      <c r="AF200" s="80" t="str">
        <f>IF(AND($F200&lt;&gt;"", $F200&gt;=AF$5-4, $F200&lt;=AF$5, COUNTIF($M200:AE200,"u")=0), "u", "")</f>
        <v/>
      </c>
      <c r="AG200" s="80" t="str">
        <f>IF(AND($F200&lt;&gt;"", $F200&gt;=AG$5-4, $F200&lt;=AG$5, COUNTIF($M200:AF200,"u")=0), "u", "")</f>
        <v/>
      </c>
      <c r="AH200" s="80" t="str">
        <f>IF(AND($F200&lt;&gt;"", $F200&gt;=AH$5-4, $F200&lt;=AH$5, COUNTIF($M200:AG200,"u")=0), "u", "")</f>
        <v/>
      </c>
      <c r="AI200" s="80" t="str">
        <f>IF(AND($F200&lt;&gt;"", $F200&gt;=AI$5-4, $F200&lt;=AI$5, COUNTIF($M200:AH200,"u")=0), "u", "")</f>
        <v/>
      </c>
      <c r="AJ200" s="80" t="str">
        <f>IF(AND($F200&lt;&gt;"", $F200&gt;=AJ$5-4, $F200&lt;=AJ$5, COUNTIF($M200:AI200,"u")=0), "u", "")</f>
        <v/>
      </c>
      <c r="AK200" s="80" t="str">
        <f>IF(AND($F200&lt;&gt;"", $F200&gt;=AK$5-4, $F200&lt;=AK$5, COUNTIF($M200:AJ200,"u")=0), "u", "")</f>
        <v/>
      </c>
      <c r="AL200" s="80" t="str">
        <f>IF(AND($F200&lt;&gt;"", $F200&gt;=AL$5-4, $F200&lt;=AL$5, COUNTIF($M200:AK200,"u")=0), "u", "")</f>
        <v/>
      </c>
      <c r="AM200" s="80" t="str">
        <f>IF(AND($F200&lt;&gt;"", $F200&gt;=AM$5-4, $F200&lt;=AM$5, COUNTIF($M200:AL200,"u")=0), "u", "")</f>
        <v/>
      </c>
      <c r="AN200" s="80" t="str">
        <f>IF(AND($F200&lt;&gt;"", $F200&gt;=AN$5-4, $F200&lt;=AN$5, COUNTIF($M200:AM200,"u")=0), "u", "")</f>
        <v/>
      </c>
      <c r="AO200" s="80" t="str">
        <f>IF(AND($F200&lt;&gt;"", $F200&gt;=AO$5-4, $F200&lt;=AO$5, COUNTIF($M200:AN200,"u")=0), "u", "")</f>
        <v/>
      </c>
      <c r="AP200" s="80" t="str">
        <f>IF(AND($F200&lt;&gt;"", $F200&gt;=AP$5-4, $F200&lt;=AP$5, COUNTIF($M200:AO200,"u")=0), "u", "")</f>
        <v/>
      </c>
      <c r="AQ200" s="80" t="str">
        <f>IF(AND($F200&lt;&gt;"", $F200&gt;=AQ$5-4, $F200&lt;=AQ$5, COUNTIF($M200:AP200,"u")=0), "u", "")</f>
        <v/>
      </c>
      <c r="AR200" s="80" t="str">
        <f>IF(AND($F200&lt;&gt;"", $F200&gt;=AR$5-4, $F200&lt;=AR$5, COUNTIF($M200:AQ200,"u")=0), "u", "")</f>
        <v/>
      </c>
      <c r="AS200" s="80" t="str">
        <f>IF(AND($F200&lt;&gt;"", $F200&gt;=AS$5-4, $F200&lt;=AS$5, COUNTIF($M200:AR200,"u")=0), "u", "")</f>
        <v/>
      </c>
      <c r="AT200" s="80" t="str">
        <f>IF(AND($F200&lt;&gt;"", $F200&gt;=AT$5-4, $F200&lt;=AT$5, COUNTIF($M200:AS200,"u")=0), "u", "")</f>
        <v/>
      </c>
      <c r="AU200" s="80" t="str">
        <f>IF(AND($F200&lt;&gt;"", $F200&gt;=AU$5-4, $F200&lt;=AU$5, COUNTIF($M200:AT200,"u")=0), "u", "")</f>
        <v/>
      </c>
      <c r="AV200" s="80" t="str">
        <f>IF(AND($F200&lt;&gt;"", $F200&gt;=AV$5-4, $F200&lt;=AV$5, COUNTIF($M200:AU200,"u")=0), "u", "")</f>
        <v/>
      </c>
      <c r="AW200" s="80" t="str">
        <f>IF(AND($F200&lt;&gt;"", $F200&gt;=AW$5-4, $F200&lt;=AW$5, COUNTIF($M200:AV200,"u")=0), "u", "")</f>
        <v/>
      </c>
      <c r="AX200" s="80" t="str">
        <f>IF(AND($F200&lt;&gt;"", $F200&gt;=AX$5-4, $F200&lt;=AX$5, COUNTIF($M200:AW200,"u")=0), "u", "")</f>
        <v/>
      </c>
      <c r="AY200" s="80" t="str">
        <f>IF(AND($F200&lt;&gt;"", $F200&gt;=AY$5-4, $F200&lt;=AY$5, COUNTIF($M200:AX200,"u")=0), "u", "")</f>
        <v/>
      </c>
      <c r="AZ200" s="80" t="str">
        <f>IF(AND($F200&lt;&gt;"", $F200&gt;=AZ$5-4, $F200&lt;=AZ$5, COUNTIF($M200:AY200,"u")=0), "u", "")</f>
        <v/>
      </c>
      <c r="BA200" s="80" t="str">
        <f>IF(AND($F200&lt;&gt;"", $F200&gt;=BA$5-4, $F200&lt;=BA$5, COUNTIF($M200:AZ200,"u")=0), "u", "")</f>
        <v/>
      </c>
      <c r="BB200" s="80" t="str">
        <f>IF(AND($F200&lt;&gt;"", $F200&gt;=BB$5-4, $F200&lt;=BB$5, COUNTIF($M200:BA200,"u")=0), "u", "")</f>
        <v/>
      </c>
      <c r="BC200" s="80" t="str">
        <f>IF(AND($F200&lt;&gt;"", $F200&gt;=BC$5-4, $F200&lt;=BC$5, COUNTIF($M200:BB200,"u")=0), "u", "")</f>
        <v/>
      </c>
      <c r="BD200" s="80" t="str">
        <f>IF(AND($F200&lt;&gt;"", $F200&gt;=BD$5-4, $F200&lt;=BD$5, COUNTIF($M200:BC200,"u")=0), "u", "")</f>
        <v/>
      </c>
      <c r="BE200" s="80" t="str">
        <f>IF(AND($F200&lt;&gt;"", $F200&gt;=BE$5-4, $F200&lt;=BE$5, COUNTIF($M200:BD200,"u")=0), "u", "")</f>
        <v/>
      </c>
      <c r="BF200" s="80" t="str">
        <f>IF(AND($F200&lt;&gt;"", $F200&gt;=BF$5-4, $F200&lt;=BF$5, COUNTIF($M200:BE200,"u")=0), "u", "")</f>
        <v/>
      </c>
      <c r="BG200" s="80" t="str">
        <f>IF(AND($F200&lt;&gt;"", $F200&gt;=BG$5-4, $F200&lt;=BG$5, COUNTIF($M200:BF200,"u")=0), "u", "")</f>
        <v/>
      </c>
      <c r="BH200" s="80" t="str">
        <f>IF(AND($F200&lt;&gt;"", $F200&gt;=BH$5-4, $F200&lt;=BH$5, COUNTIF($M200:BG200,"u")=0), "u", "")</f>
        <v/>
      </c>
      <c r="BI200" s="80" t="str">
        <f>IF(AND($F200&lt;&gt;"", $F200&gt;=BI$5-4, $F200&lt;=BI$5, COUNTIF($M200:BH200,"u")=0), "u", "")</f>
        <v/>
      </c>
      <c r="BJ200" s="80" t="str">
        <f>IF(AND($F200&lt;&gt;"", $F200&gt;=BJ$5-4, $F200&lt;=BJ$5, COUNTIF($M200:BI200,"u")=0), "u", "")</f>
        <v/>
      </c>
      <c r="BK200" s="80" t="str">
        <f>IF(AND($F200&lt;&gt;"", $F200&gt;=BK$5-4, $F200&lt;=BK$5, COUNTIF($M200:BJ200,"u")=0), "u", "")</f>
        <v/>
      </c>
      <c r="BL200" s="80" t="str">
        <f>IF(AND($F200&lt;&gt;"", $F200&gt;=BL$5-4, $F200&lt;=BL$5, COUNTIF($M200:BK200,"u")=0), "u", "")</f>
        <v/>
      </c>
      <c r="BM200" s="80" t="str">
        <f>IF(AND($F200&lt;&gt;"", $F200&gt;=BM$5-4, $F200&lt;=BM$5, COUNTIF($M200:BL200,"u")=0), "u", "")</f>
        <v/>
      </c>
      <c r="BN200" s="80" t="str">
        <f>IF(AND($F200&lt;&gt;"", $F200&gt;=BN$5-4, $F200&lt;=BN$5, COUNTIF($M200:BM200,"u")=0), "u", "")</f>
        <v/>
      </c>
      <c r="BO200" s="80" t="str">
        <f>IF(AND($F200&lt;&gt;"", $F200&gt;=BO$5-4, $F200&lt;=BO$5, COUNTIF($M200:BN200,"u")=0), "u", "")</f>
        <v/>
      </c>
      <c r="BP200" s="80" t="str">
        <f>IF(AND($F200&lt;&gt;"", $F200&gt;=BP$5-4, $F200&lt;=BP$5, COUNTIF($M200:BO200,"u")=0), "u", "")</f>
        <v/>
      </c>
      <c r="BQ200" s="80" t="str">
        <f>IF(AND($F200&lt;&gt;"", $F200&gt;=BQ$5-4, $F200&lt;=BQ$5, COUNTIF($M200:BP200,"u")=0), "u", "")</f>
        <v/>
      </c>
      <c r="BR200" s="80" t="str">
        <f>IF(AND($F200&lt;&gt;"", $F200&gt;=BR$5-4, $F200&lt;=BR$5, COUNTIF($M200:BQ200,"u")=0), "u", "")</f>
        <v/>
      </c>
      <c r="BS200" s="80" t="str">
        <f>IF(AND($F200&lt;&gt;"", $F200&gt;=BS$5-4, $F200&lt;=BS$5, COUNTIF($M200:BR200,"u")=0), "u", "")</f>
        <v/>
      </c>
      <c r="BT200" s="80" t="str">
        <f>IF(AND($F200&lt;&gt;"", $F200&gt;=BT$5-4, $F200&lt;=BT$5, COUNTIF($M200:BS200,"u")=0), "u", "")</f>
        <v/>
      </c>
      <c r="BU200" s="80" t="str">
        <f>IF(AND($F200&lt;&gt;"", $F200&gt;=BU$5-4, $F200&lt;=BU$5, COUNTIF($M200:BT200,"u")=0), "u", "")</f>
        <v/>
      </c>
      <c r="BV200" s="80" t="str">
        <f>IF(AND($F200&lt;&gt;"", $F200&gt;=BV$5-4, $F200&lt;=BV$5, COUNTIF($M200:BU200,"u")=0), "u", "")</f>
        <v/>
      </c>
      <c r="BW200" s="80" t="str">
        <f>IF(AND($F200&lt;&gt;"", $F200&gt;=BW$5-4, $F200&lt;=BW$5, COUNTIF($M200:BV200,"u")=0), "u", "")</f>
        <v/>
      </c>
      <c r="BX200" s="80" t="str">
        <f>IF(AND($F200&lt;&gt;"", $F200&gt;=BX$5-4, $F200&lt;=BX$5, COUNTIF($M200:BW200,"u")=0), "u", "")</f>
        <v/>
      </c>
      <c r="BY200" s="80" t="str">
        <f>IF(AND($F200&lt;&gt;"", $F200&gt;=BY$5-4, $F200&lt;=BY$5, COUNTIF($M200:BX200,"u")=0), "u", "")</f>
        <v/>
      </c>
      <c r="BZ200" s="80" t="str">
        <f>IF(AND($F200&lt;&gt;"", $F200&gt;=BZ$5-4, $F200&lt;=BZ$5, COUNTIF($M200:BY200,"u")=0), "u", "")</f>
        <v/>
      </c>
      <c r="CA200" s="80" t="str">
        <f>IF(AND($F200&lt;&gt;"", $F200&gt;=CA$5-4, $F200&lt;=CA$5, COUNTIF($M200:BZ200,"u")=0), "u", "")</f>
        <v/>
      </c>
      <c r="CB200" s="80" t="str">
        <f>IF(AND($F200&lt;&gt;"", $F200&gt;=CB$5-4, $F200&lt;=CB$5, COUNTIF($M200:CA200,"u")=0), "u", "")</f>
        <v/>
      </c>
      <c r="CC200" s="80" t="str">
        <f>IF(AND($F200&lt;&gt;"", $F200&gt;=CC$5-4, $F200&lt;=CC$5, COUNTIF($M200:CB200,"u")=0), "u", "")</f>
        <v/>
      </c>
      <c r="CD200" s="80" t="str">
        <f>IF(AND($F200&lt;&gt;"", $F200&gt;=CD$5-4, $F200&lt;=CD$5, COUNTIF($M200:CC200,"u")=0), "u", "")</f>
        <v/>
      </c>
      <c r="CE200" s="80" t="str">
        <f>IF(AND($F200&lt;&gt;"", $F200&gt;=CE$5-4, $F200&lt;=CE$5, COUNTIF($M200:CD200,"u")=0), "u", "")</f>
        <v/>
      </c>
      <c r="CF200" s="80" t="str">
        <f>IF(AND($F200&lt;&gt;"", $F200&gt;=CF$5-4, $F200&lt;=CF$5, COUNTIF($M200:CE200,"u")=0), "u", "")</f>
        <v/>
      </c>
      <c r="CG200" s="80" t="str">
        <f>IF(AND($F200&lt;&gt;"", $F200&gt;=CG$5-4, $F200&lt;=CG$5, COUNTIF($M200:CF200,"u")=0), "u", "")</f>
        <v/>
      </c>
      <c r="CH200" s="80" t="str">
        <f>IF(AND($F200&lt;&gt;"", $F200&gt;=CH$5-4, $F200&lt;=CH$5, COUNTIF($M200:CG200,"u")=0), "u", "")</f>
        <v/>
      </c>
      <c r="CI200" s="80" t="str">
        <f>IF(AND($F200&lt;&gt;"", $F200&gt;=CI$5-4, $F200&lt;=CI$5, COUNTIF($M200:CH200,"u")=0), "u", "")</f>
        <v/>
      </c>
      <c r="CJ200" s="80" t="str">
        <f>IF(AND($F200&lt;&gt;"", $F200&gt;=CJ$5-4, $F200&lt;=CJ$5, COUNTIF($M200:CI200,"u")=0), "u", "")</f>
        <v/>
      </c>
      <c r="CK200" s="80" t="str">
        <f>IF(AND($F200&lt;&gt;"", $F200&gt;=CK$5-4, $F200&lt;=CK$5, COUNTIF($M200:CJ200,"u")=0), "u", "")</f>
        <v/>
      </c>
      <c r="CL200" s="80" t="str">
        <f>IF(AND($F200&lt;&gt;"", $F200&gt;=CL$5-4, $F200&lt;=CL$5, COUNTIF($M200:CK200,"u")=0), "u", "")</f>
        <v/>
      </c>
      <c r="CM200" s="80" t="str">
        <f>IF(AND($F200&lt;&gt;"", $F200&gt;=CM$5-4, $F200&lt;=CM$5, COUNTIF($M200:CL200,"u")=0), "u", "")</f>
        <v/>
      </c>
      <c r="CN200" s="80" t="str">
        <f>IF(AND($F200&lt;&gt;"", $F200&gt;=CN$5-4, $F200&lt;=CN$5, COUNTIF($M200:CM200,"u")=0), "u", "")</f>
        <v/>
      </c>
      <c r="CO200" s="80" t="str">
        <f>IF(AND($F200&lt;&gt;"", $F200&gt;=CO$5-4, $F200&lt;=CO$5, COUNTIF($M200:CN200,"u")=0), "u", "")</f>
        <v/>
      </c>
      <c r="CP200" s="80" t="str">
        <f>IF(AND($F200&lt;&gt;"", $F200&gt;=CP$5-4, $F200&lt;=CP$5, COUNTIF($M200:CO200,"u")=0), "u", "")</f>
        <v/>
      </c>
      <c r="CQ200" s="80" t="str">
        <f>IF(AND($F200&lt;&gt;"", $F200&gt;=CQ$5-4, $F200&lt;=CQ$5, COUNTIF($M200:CP200,"u")=0), "u", "")</f>
        <v/>
      </c>
      <c r="CR200" s="80" t="str">
        <f>IF(AND($F200&lt;&gt;"", $F200&gt;=CR$5-4, $F200&lt;=CR$5, COUNTIF($M200:CQ200,"u")=0), "u", "")</f>
        <v/>
      </c>
      <c r="CS200" s="80" t="str">
        <f>IF(AND($F200&lt;&gt;"", $F200&gt;=CS$5-4, $F200&lt;=CS$5, COUNTIF($M200:CR200,"u")=0), "u", "")</f>
        <v/>
      </c>
      <c r="CT200" s="80" t="str">
        <f>IF(AND($F200&lt;&gt;"", $F200&gt;=CT$5-4, $F200&lt;=CT$5, COUNTIF($M200:CS200,"u")=0), "u", "")</f>
        <v/>
      </c>
      <c r="CU200" s="80" t="str">
        <f>IF(AND($F200&lt;&gt;"", $F200&gt;=CU$5-4, $F200&lt;=CU$5, COUNTIF($M200:CT200,"u")=0), "u", "")</f>
        <v/>
      </c>
      <c r="CV200" s="80" t="str">
        <f>IF(AND($F200&lt;&gt;"", $F200&gt;=CV$5-4, $F200&lt;=CV$5, COUNTIF($M200:CU200,"u")=0), "u", "")</f>
        <v/>
      </c>
      <c r="CW200" s="80" t="str">
        <f>IF(AND($F200&lt;&gt;"", $F200&gt;=CW$5-4, $F200&lt;=CW$5, COUNTIF($M200:CV200,"u")=0), "u", "")</f>
        <v/>
      </c>
      <c r="CX200" s="80" t="str">
        <f>IF(AND($F200&lt;&gt;"", $F200&gt;=CX$5-4, $F200&lt;=CX$5, COUNTIF($M200:CW200,"u")=0), "u", "")</f>
        <v/>
      </c>
      <c r="CY200" s="80" t="str">
        <f>IF(AND($F200&lt;&gt;"", $F200&gt;=CY$5-4, $F200&lt;=CY$5, COUNTIF($M200:CX200,"u")=0), "u", "")</f>
        <v/>
      </c>
      <c r="CZ200" s="80" t="str">
        <f>IF(AND($F200&lt;&gt;"", $F200&gt;=CZ$5-4, $F200&lt;=CZ$5, COUNTIF($M200:CY200,"u")=0), "u", "")</f>
        <v/>
      </c>
      <c r="DA200" s="80" t="str">
        <f>IF(AND($F200&lt;&gt;"", $F200&gt;=DA$5-4, $F200&lt;=DA$5, COUNTIF($M200:CZ200,"u")=0), "u", "")</f>
        <v/>
      </c>
      <c r="DB200" s="80" t="str">
        <f>IF(AND($F200&lt;&gt;"", $F200&gt;=DB$5-4, $F200&lt;=DB$5, COUNTIF($M200:DA200,"u")=0), "u", "")</f>
        <v/>
      </c>
      <c r="DC200" s="80" t="str">
        <f>IF(AND($F200&lt;&gt;"", $F200&gt;=DC$5-4, $F200&lt;=DC$5, COUNTIF($M200:DB200,"u")=0), "u", "")</f>
        <v/>
      </c>
      <c r="DD200" s="80" t="str">
        <f>IF(AND($F200&lt;&gt;"", $F200&gt;=DD$5-4, $F200&lt;=DD$5, COUNTIF($M200:DC200,"u")=0), "u", "")</f>
        <v/>
      </c>
      <c r="DE200" s="80" t="str">
        <f>IF(AND($F200&lt;&gt;"", $F200&gt;=DE$5-4, $F200&lt;=DE$5, COUNTIF($M200:DD200,"u")=0), "u", "")</f>
        <v/>
      </c>
      <c r="DF200" s="80" t="str">
        <f>IF(AND($F200&lt;&gt;"", $F200&gt;=DF$5-4, $F200&lt;=DF$5, COUNTIF($M200:DE200,"u")=0), "u", "")</f>
        <v/>
      </c>
      <c r="DG200" s="80" t="str">
        <f>IF(AND($F200&lt;&gt;"", $F200&gt;=DG$5-4, $F200&lt;=DG$5, COUNTIF($M200:DF200,"u")=0), "u", "")</f>
        <v/>
      </c>
      <c r="DH200" s="80" t="str">
        <f>IF(AND($F200&lt;&gt;"", $F200&gt;=DH$5-4, $F200&lt;=DH$5, COUNTIF($M200:DG200,"u")=0), "u", "")</f>
        <v/>
      </c>
      <c r="DI200" s="80" t="str">
        <f>IF(AND($F200&lt;&gt;"", $F200&gt;=DI$5-4, $F200&lt;=DI$5, COUNTIF($M200:DH200,"u")=0), "u", "")</f>
        <v/>
      </c>
      <c r="DJ200" s="80" t="str">
        <f>IF(AND($F200&lt;&gt;"", $F200&gt;=DJ$5-4, $F200&lt;=DJ$5, COUNTIF($M200:DI200,"u")=0), "u", "")</f>
        <v/>
      </c>
      <c r="DK200" s="80" t="str">
        <f>IF(AND($F200&lt;&gt;"", $F200&gt;=DK$5-4, $F200&lt;=DK$5, COUNTIF($M200:DJ200,"u")=0), "u", "")</f>
        <v/>
      </c>
      <c r="DL200" s="80" t="str">
        <f>IF(AND($F200&lt;&gt;"", $F200&gt;=DL$5-4, $F200&lt;=DL$5, COUNTIF($M200:DK200,"u")=0), "u", "")</f>
        <v/>
      </c>
    </row>
    <row r="201" spans="1:116" ht="25.05" customHeight="1" x14ac:dyDescent="0.3">
      <c r="A201" s="39"/>
      <c r="B201" s="75">
        <v>196</v>
      </c>
      <c r="C201" s="97"/>
      <c r="D201" s="92"/>
      <c r="E201" s="53"/>
      <c r="F201" s="53"/>
      <c r="G201" s="83" t="str">
        <f t="shared" si="53"/>
        <v/>
      </c>
      <c r="H201" s="83" t="str">
        <f t="shared" si="53"/>
        <v/>
      </c>
      <c r="I201" s="77" t="str">
        <f t="shared" si="54"/>
        <v/>
      </c>
      <c r="J201" s="78"/>
      <c r="K201" s="86"/>
      <c r="L201" s="56"/>
      <c r="M201" s="80" t="str">
        <f t="shared" si="55"/>
        <v/>
      </c>
      <c r="N201" s="80" t="str">
        <f>IF(AND($F201&lt;&gt;"", $F201&gt;=N$5-4, $F201&lt;=N$5, COUNTIF($M201:M201,"u")=0), "u", "")</f>
        <v/>
      </c>
      <c r="O201" s="80" t="str">
        <f>IF(AND($F201&lt;&gt;"", $F201&gt;=O$5-4, $F201&lt;=O$5, COUNTIF($M201:N201,"u")=0), "u", "")</f>
        <v/>
      </c>
      <c r="P201" s="80" t="str">
        <f>IF(AND($F201&lt;&gt;"", $F201&gt;=P$5-4, $F201&lt;=P$5, COUNTIF($M201:O201,"u")=0), "u", "")</f>
        <v/>
      </c>
      <c r="Q201" s="80" t="str">
        <f>IF(AND($F201&lt;&gt;"", $F201&gt;=Q$5-4, $F201&lt;=Q$5, COUNTIF($M201:P201,"u")=0), "u", "")</f>
        <v/>
      </c>
      <c r="R201" s="80" t="str">
        <f>IF(AND($F201&lt;&gt;"", $F201&gt;=R$5-4, $F201&lt;=R$5, COUNTIF($M201:Q201,"u")=0), "u", "")</f>
        <v/>
      </c>
      <c r="S201" s="80" t="str">
        <f>IF(AND($F201&lt;&gt;"", $F201&gt;=S$5-4, $F201&lt;=S$5, COUNTIF($M201:R201,"u")=0), "u", "")</f>
        <v/>
      </c>
      <c r="T201" s="80" t="str">
        <f>IF(AND($F201&lt;&gt;"", $F201&gt;=T$5-4, $F201&lt;=T$5, COUNTIF($M201:S201,"u")=0), "u", "")</f>
        <v/>
      </c>
      <c r="U201" s="80" t="str">
        <f>IF(AND($F201&lt;&gt;"", $F201&gt;=U$5-4, $F201&lt;=U$5, COUNTIF($M201:T201,"u")=0), "u", "")</f>
        <v/>
      </c>
      <c r="V201" s="80" t="str">
        <f>IF(AND($F201&lt;&gt;"", $F201&gt;=V$5-4, $F201&lt;=V$5, COUNTIF($M201:U201,"u")=0), "u", "")</f>
        <v/>
      </c>
      <c r="W201" s="80" t="str">
        <f>IF(AND($F201&lt;&gt;"", $F201&gt;=W$5-4, $F201&lt;=W$5, COUNTIF($M201:V201,"u")=0), "u", "")</f>
        <v/>
      </c>
      <c r="X201" s="80" t="str">
        <f>IF(AND($F201&lt;&gt;"", $F201&gt;=X$5-4, $F201&lt;=X$5, COUNTIF($M201:W201,"u")=0), "u", "")</f>
        <v/>
      </c>
      <c r="Y201" s="80" t="str">
        <f>IF(AND($F201&lt;&gt;"", $F201&gt;=Y$5-4, $F201&lt;=Y$5, COUNTIF($M201:X201,"u")=0), "u", "")</f>
        <v/>
      </c>
      <c r="Z201" s="80" t="str">
        <f>IF(AND($F201&lt;&gt;"", $F201&gt;=Z$5-4, $F201&lt;=Z$5, COUNTIF($M201:Y201,"u")=0), "u", "")</f>
        <v/>
      </c>
      <c r="AA201" s="80" t="str">
        <f>IF(AND($F201&lt;&gt;"", $F201&gt;=AA$5-4, $F201&lt;=AA$5, COUNTIF($M201:Z201,"u")=0), "u", "")</f>
        <v/>
      </c>
      <c r="AB201" s="80" t="str">
        <f>IF(AND($F201&lt;&gt;"", $F201&gt;=AB$5-4, $F201&lt;=AB$5, COUNTIF($M201:AA201,"u")=0), "u", "")</f>
        <v/>
      </c>
      <c r="AC201" s="80" t="str">
        <f>IF(AND($F201&lt;&gt;"", $F201&gt;=AC$5-4, $F201&lt;=AC$5, COUNTIF($M201:AB201,"u")=0), "u", "")</f>
        <v/>
      </c>
      <c r="AD201" s="80" t="str">
        <f>IF(AND($F201&lt;&gt;"", $F201&gt;=AD$5-4, $F201&lt;=AD$5, COUNTIF($M201:AC201,"u")=0), "u", "")</f>
        <v/>
      </c>
      <c r="AE201" s="80" t="str">
        <f>IF(AND($F201&lt;&gt;"", $F201&gt;=AE$5-4, $F201&lt;=AE$5, COUNTIF($M201:AD201,"u")=0), "u", "")</f>
        <v/>
      </c>
      <c r="AF201" s="80" t="str">
        <f>IF(AND($F201&lt;&gt;"", $F201&gt;=AF$5-4, $F201&lt;=AF$5, COUNTIF($M201:AE201,"u")=0), "u", "")</f>
        <v/>
      </c>
      <c r="AG201" s="80" t="str">
        <f>IF(AND($F201&lt;&gt;"", $F201&gt;=AG$5-4, $F201&lt;=AG$5, COUNTIF($M201:AF201,"u")=0), "u", "")</f>
        <v/>
      </c>
      <c r="AH201" s="80" t="str">
        <f>IF(AND($F201&lt;&gt;"", $F201&gt;=AH$5-4, $F201&lt;=AH$5, COUNTIF($M201:AG201,"u")=0), "u", "")</f>
        <v/>
      </c>
      <c r="AI201" s="80" t="str">
        <f>IF(AND($F201&lt;&gt;"", $F201&gt;=AI$5-4, $F201&lt;=AI$5, COUNTIF($M201:AH201,"u")=0), "u", "")</f>
        <v/>
      </c>
      <c r="AJ201" s="80" t="str">
        <f>IF(AND($F201&lt;&gt;"", $F201&gt;=AJ$5-4, $F201&lt;=AJ$5, COUNTIF($M201:AI201,"u")=0), "u", "")</f>
        <v/>
      </c>
      <c r="AK201" s="80" t="str">
        <f>IF(AND($F201&lt;&gt;"", $F201&gt;=AK$5-4, $F201&lt;=AK$5, COUNTIF($M201:AJ201,"u")=0), "u", "")</f>
        <v/>
      </c>
      <c r="AL201" s="80" t="str">
        <f>IF(AND($F201&lt;&gt;"", $F201&gt;=AL$5-4, $F201&lt;=AL$5, COUNTIF($M201:AK201,"u")=0), "u", "")</f>
        <v/>
      </c>
      <c r="AM201" s="80" t="str">
        <f>IF(AND($F201&lt;&gt;"", $F201&gt;=AM$5-4, $F201&lt;=AM$5, COUNTIF($M201:AL201,"u")=0), "u", "")</f>
        <v/>
      </c>
      <c r="AN201" s="80" t="str">
        <f>IF(AND($F201&lt;&gt;"", $F201&gt;=AN$5-4, $F201&lt;=AN$5, COUNTIF($M201:AM201,"u")=0), "u", "")</f>
        <v/>
      </c>
      <c r="AO201" s="80" t="str">
        <f>IF(AND($F201&lt;&gt;"", $F201&gt;=AO$5-4, $F201&lt;=AO$5, COUNTIF($M201:AN201,"u")=0), "u", "")</f>
        <v/>
      </c>
      <c r="AP201" s="80" t="str">
        <f>IF(AND($F201&lt;&gt;"", $F201&gt;=AP$5-4, $F201&lt;=AP$5, COUNTIF($M201:AO201,"u")=0), "u", "")</f>
        <v/>
      </c>
      <c r="AQ201" s="80" t="str">
        <f>IF(AND($F201&lt;&gt;"", $F201&gt;=AQ$5-4, $F201&lt;=AQ$5, COUNTIF($M201:AP201,"u")=0), "u", "")</f>
        <v/>
      </c>
      <c r="AR201" s="80" t="str">
        <f>IF(AND($F201&lt;&gt;"", $F201&gt;=AR$5-4, $F201&lt;=AR$5, COUNTIF($M201:AQ201,"u")=0), "u", "")</f>
        <v/>
      </c>
      <c r="AS201" s="80" t="str">
        <f>IF(AND($F201&lt;&gt;"", $F201&gt;=AS$5-4, $F201&lt;=AS$5, COUNTIF($M201:AR201,"u")=0), "u", "")</f>
        <v/>
      </c>
      <c r="AT201" s="80" t="str">
        <f>IF(AND($F201&lt;&gt;"", $F201&gt;=AT$5-4, $F201&lt;=AT$5, COUNTIF($M201:AS201,"u")=0), "u", "")</f>
        <v/>
      </c>
      <c r="AU201" s="80" t="str">
        <f>IF(AND($F201&lt;&gt;"", $F201&gt;=AU$5-4, $F201&lt;=AU$5, COUNTIF($M201:AT201,"u")=0), "u", "")</f>
        <v/>
      </c>
      <c r="AV201" s="80" t="str">
        <f>IF(AND($F201&lt;&gt;"", $F201&gt;=AV$5-4, $F201&lt;=AV$5, COUNTIF($M201:AU201,"u")=0), "u", "")</f>
        <v/>
      </c>
      <c r="AW201" s="80" t="str">
        <f>IF(AND($F201&lt;&gt;"", $F201&gt;=AW$5-4, $F201&lt;=AW$5, COUNTIF($M201:AV201,"u")=0), "u", "")</f>
        <v/>
      </c>
      <c r="AX201" s="80" t="str">
        <f>IF(AND($F201&lt;&gt;"", $F201&gt;=AX$5-4, $F201&lt;=AX$5, COUNTIF($M201:AW201,"u")=0), "u", "")</f>
        <v/>
      </c>
      <c r="AY201" s="80" t="str">
        <f>IF(AND($F201&lt;&gt;"", $F201&gt;=AY$5-4, $F201&lt;=AY$5, COUNTIF($M201:AX201,"u")=0), "u", "")</f>
        <v/>
      </c>
      <c r="AZ201" s="80" t="str">
        <f>IF(AND($F201&lt;&gt;"", $F201&gt;=AZ$5-4, $F201&lt;=AZ$5, COUNTIF($M201:AY201,"u")=0), "u", "")</f>
        <v/>
      </c>
      <c r="BA201" s="80" t="str">
        <f>IF(AND($F201&lt;&gt;"", $F201&gt;=BA$5-4, $F201&lt;=BA$5, COUNTIF($M201:AZ201,"u")=0), "u", "")</f>
        <v/>
      </c>
      <c r="BB201" s="80" t="str">
        <f>IF(AND($F201&lt;&gt;"", $F201&gt;=BB$5-4, $F201&lt;=BB$5, COUNTIF($M201:BA201,"u")=0), "u", "")</f>
        <v/>
      </c>
      <c r="BC201" s="80" t="str">
        <f>IF(AND($F201&lt;&gt;"", $F201&gt;=BC$5-4, $F201&lt;=BC$5, COUNTIF($M201:BB201,"u")=0), "u", "")</f>
        <v/>
      </c>
      <c r="BD201" s="80" t="str">
        <f>IF(AND($F201&lt;&gt;"", $F201&gt;=BD$5-4, $F201&lt;=BD$5, COUNTIF($M201:BC201,"u")=0), "u", "")</f>
        <v/>
      </c>
      <c r="BE201" s="80" t="str">
        <f>IF(AND($F201&lt;&gt;"", $F201&gt;=BE$5-4, $F201&lt;=BE$5, COUNTIF($M201:BD201,"u")=0), "u", "")</f>
        <v/>
      </c>
      <c r="BF201" s="80" t="str">
        <f>IF(AND($F201&lt;&gt;"", $F201&gt;=BF$5-4, $F201&lt;=BF$5, COUNTIF($M201:BE201,"u")=0), "u", "")</f>
        <v/>
      </c>
      <c r="BG201" s="80" t="str">
        <f>IF(AND($F201&lt;&gt;"", $F201&gt;=BG$5-4, $F201&lt;=BG$5, COUNTIF($M201:BF201,"u")=0), "u", "")</f>
        <v/>
      </c>
      <c r="BH201" s="80" t="str">
        <f>IF(AND($F201&lt;&gt;"", $F201&gt;=BH$5-4, $F201&lt;=BH$5, COUNTIF($M201:BG201,"u")=0), "u", "")</f>
        <v/>
      </c>
      <c r="BI201" s="80" t="str">
        <f>IF(AND($F201&lt;&gt;"", $F201&gt;=BI$5-4, $F201&lt;=BI$5, COUNTIF($M201:BH201,"u")=0), "u", "")</f>
        <v/>
      </c>
      <c r="BJ201" s="80" t="str">
        <f>IF(AND($F201&lt;&gt;"", $F201&gt;=BJ$5-4, $F201&lt;=BJ$5, COUNTIF($M201:BI201,"u")=0), "u", "")</f>
        <v/>
      </c>
      <c r="BK201" s="80" t="str">
        <f>IF(AND($F201&lt;&gt;"", $F201&gt;=BK$5-4, $F201&lt;=BK$5, COUNTIF($M201:BJ201,"u")=0), "u", "")</f>
        <v/>
      </c>
      <c r="BL201" s="80" t="str">
        <f>IF(AND($F201&lt;&gt;"", $F201&gt;=BL$5-4, $F201&lt;=BL$5, COUNTIF($M201:BK201,"u")=0), "u", "")</f>
        <v/>
      </c>
      <c r="BM201" s="80" t="str">
        <f>IF(AND($F201&lt;&gt;"", $F201&gt;=BM$5-4, $F201&lt;=BM$5, COUNTIF($M201:BL201,"u")=0), "u", "")</f>
        <v/>
      </c>
      <c r="BN201" s="80" t="str">
        <f>IF(AND($F201&lt;&gt;"", $F201&gt;=BN$5-4, $F201&lt;=BN$5, COUNTIF($M201:BM201,"u")=0), "u", "")</f>
        <v/>
      </c>
      <c r="BO201" s="80" t="str">
        <f>IF(AND($F201&lt;&gt;"", $F201&gt;=BO$5-4, $F201&lt;=BO$5, COUNTIF($M201:BN201,"u")=0), "u", "")</f>
        <v/>
      </c>
      <c r="BP201" s="80" t="str">
        <f>IF(AND($F201&lt;&gt;"", $F201&gt;=BP$5-4, $F201&lt;=BP$5, COUNTIF($M201:BO201,"u")=0), "u", "")</f>
        <v/>
      </c>
      <c r="BQ201" s="80" t="str">
        <f>IF(AND($F201&lt;&gt;"", $F201&gt;=BQ$5-4, $F201&lt;=BQ$5, COUNTIF($M201:BP201,"u")=0), "u", "")</f>
        <v/>
      </c>
      <c r="BR201" s="80" t="str">
        <f>IF(AND($F201&lt;&gt;"", $F201&gt;=BR$5-4, $F201&lt;=BR$5, COUNTIF($M201:BQ201,"u")=0), "u", "")</f>
        <v/>
      </c>
      <c r="BS201" s="80" t="str">
        <f>IF(AND($F201&lt;&gt;"", $F201&gt;=BS$5-4, $F201&lt;=BS$5, COUNTIF($M201:BR201,"u")=0), "u", "")</f>
        <v/>
      </c>
      <c r="BT201" s="80" t="str">
        <f>IF(AND($F201&lt;&gt;"", $F201&gt;=BT$5-4, $F201&lt;=BT$5, COUNTIF($M201:BS201,"u")=0), "u", "")</f>
        <v/>
      </c>
      <c r="BU201" s="80" t="str">
        <f>IF(AND($F201&lt;&gt;"", $F201&gt;=BU$5-4, $F201&lt;=BU$5, COUNTIF($M201:BT201,"u")=0), "u", "")</f>
        <v/>
      </c>
      <c r="BV201" s="80" t="str">
        <f>IF(AND($F201&lt;&gt;"", $F201&gt;=BV$5-4, $F201&lt;=BV$5, COUNTIF($M201:BU201,"u")=0), "u", "")</f>
        <v/>
      </c>
      <c r="BW201" s="80" t="str">
        <f>IF(AND($F201&lt;&gt;"", $F201&gt;=BW$5-4, $F201&lt;=BW$5, COUNTIF($M201:BV201,"u")=0), "u", "")</f>
        <v/>
      </c>
      <c r="BX201" s="80" t="str">
        <f>IF(AND($F201&lt;&gt;"", $F201&gt;=BX$5-4, $F201&lt;=BX$5, COUNTIF($M201:BW201,"u")=0), "u", "")</f>
        <v/>
      </c>
      <c r="BY201" s="80" t="str">
        <f>IF(AND($F201&lt;&gt;"", $F201&gt;=BY$5-4, $F201&lt;=BY$5, COUNTIF($M201:BX201,"u")=0), "u", "")</f>
        <v/>
      </c>
      <c r="BZ201" s="80" t="str">
        <f>IF(AND($F201&lt;&gt;"", $F201&gt;=BZ$5-4, $F201&lt;=BZ$5, COUNTIF($M201:BY201,"u")=0), "u", "")</f>
        <v/>
      </c>
      <c r="CA201" s="80" t="str">
        <f>IF(AND($F201&lt;&gt;"", $F201&gt;=CA$5-4, $F201&lt;=CA$5, COUNTIF($M201:BZ201,"u")=0), "u", "")</f>
        <v/>
      </c>
      <c r="CB201" s="80" t="str">
        <f>IF(AND($F201&lt;&gt;"", $F201&gt;=CB$5-4, $F201&lt;=CB$5, COUNTIF($M201:CA201,"u")=0), "u", "")</f>
        <v/>
      </c>
      <c r="CC201" s="80" t="str">
        <f>IF(AND($F201&lt;&gt;"", $F201&gt;=CC$5-4, $F201&lt;=CC$5, COUNTIF($M201:CB201,"u")=0), "u", "")</f>
        <v/>
      </c>
      <c r="CD201" s="80" t="str">
        <f>IF(AND($F201&lt;&gt;"", $F201&gt;=CD$5-4, $F201&lt;=CD$5, COUNTIF($M201:CC201,"u")=0), "u", "")</f>
        <v/>
      </c>
      <c r="CE201" s="80" t="str">
        <f>IF(AND($F201&lt;&gt;"", $F201&gt;=CE$5-4, $F201&lt;=CE$5, COUNTIF($M201:CD201,"u")=0), "u", "")</f>
        <v/>
      </c>
      <c r="CF201" s="80" t="str">
        <f>IF(AND($F201&lt;&gt;"", $F201&gt;=CF$5-4, $F201&lt;=CF$5, COUNTIF($M201:CE201,"u")=0), "u", "")</f>
        <v/>
      </c>
      <c r="CG201" s="80" t="str">
        <f>IF(AND($F201&lt;&gt;"", $F201&gt;=CG$5-4, $F201&lt;=CG$5, COUNTIF($M201:CF201,"u")=0), "u", "")</f>
        <v/>
      </c>
      <c r="CH201" s="80" t="str">
        <f>IF(AND($F201&lt;&gt;"", $F201&gt;=CH$5-4, $F201&lt;=CH$5, COUNTIF($M201:CG201,"u")=0), "u", "")</f>
        <v/>
      </c>
      <c r="CI201" s="80" t="str">
        <f>IF(AND($F201&lt;&gt;"", $F201&gt;=CI$5-4, $F201&lt;=CI$5, COUNTIF($M201:CH201,"u")=0), "u", "")</f>
        <v/>
      </c>
      <c r="CJ201" s="80" t="str">
        <f>IF(AND($F201&lt;&gt;"", $F201&gt;=CJ$5-4, $F201&lt;=CJ$5, COUNTIF($M201:CI201,"u")=0), "u", "")</f>
        <v/>
      </c>
      <c r="CK201" s="80" t="str">
        <f>IF(AND($F201&lt;&gt;"", $F201&gt;=CK$5-4, $F201&lt;=CK$5, COUNTIF($M201:CJ201,"u")=0), "u", "")</f>
        <v/>
      </c>
      <c r="CL201" s="80" t="str">
        <f>IF(AND($F201&lt;&gt;"", $F201&gt;=CL$5-4, $F201&lt;=CL$5, COUNTIF($M201:CK201,"u")=0), "u", "")</f>
        <v/>
      </c>
      <c r="CM201" s="80" t="str">
        <f>IF(AND($F201&lt;&gt;"", $F201&gt;=CM$5-4, $F201&lt;=CM$5, COUNTIF($M201:CL201,"u")=0), "u", "")</f>
        <v/>
      </c>
      <c r="CN201" s="80" t="str">
        <f>IF(AND($F201&lt;&gt;"", $F201&gt;=CN$5-4, $F201&lt;=CN$5, COUNTIF($M201:CM201,"u")=0), "u", "")</f>
        <v/>
      </c>
      <c r="CO201" s="80" t="str">
        <f>IF(AND($F201&lt;&gt;"", $F201&gt;=CO$5-4, $F201&lt;=CO$5, COUNTIF($M201:CN201,"u")=0), "u", "")</f>
        <v/>
      </c>
      <c r="CP201" s="80" t="str">
        <f>IF(AND($F201&lt;&gt;"", $F201&gt;=CP$5-4, $F201&lt;=CP$5, COUNTIF($M201:CO201,"u")=0), "u", "")</f>
        <v/>
      </c>
      <c r="CQ201" s="80" t="str">
        <f>IF(AND($F201&lt;&gt;"", $F201&gt;=CQ$5-4, $F201&lt;=CQ$5, COUNTIF($M201:CP201,"u")=0), "u", "")</f>
        <v/>
      </c>
      <c r="CR201" s="80" t="str">
        <f>IF(AND($F201&lt;&gt;"", $F201&gt;=CR$5-4, $F201&lt;=CR$5, COUNTIF($M201:CQ201,"u")=0), "u", "")</f>
        <v/>
      </c>
      <c r="CS201" s="80" t="str">
        <f>IF(AND($F201&lt;&gt;"", $F201&gt;=CS$5-4, $F201&lt;=CS$5, COUNTIF($M201:CR201,"u")=0), "u", "")</f>
        <v/>
      </c>
      <c r="CT201" s="80" t="str">
        <f>IF(AND($F201&lt;&gt;"", $F201&gt;=CT$5-4, $F201&lt;=CT$5, COUNTIF($M201:CS201,"u")=0), "u", "")</f>
        <v/>
      </c>
      <c r="CU201" s="80" t="str">
        <f>IF(AND($F201&lt;&gt;"", $F201&gt;=CU$5-4, $F201&lt;=CU$5, COUNTIF($M201:CT201,"u")=0), "u", "")</f>
        <v/>
      </c>
      <c r="CV201" s="80" t="str">
        <f>IF(AND($F201&lt;&gt;"", $F201&gt;=CV$5-4, $F201&lt;=CV$5, COUNTIF($M201:CU201,"u")=0), "u", "")</f>
        <v/>
      </c>
      <c r="CW201" s="80" t="str">
        <f>IF(AND($F201&lt;&gt;"", $F201&gt;=CW$5-4, $F201&lt;=CW$5, COUNTIF($M201:CV201,"u")=0), "u", "")</f>
        <v/>
      </c>
      <c r="CX201" s="80" t="str">
        <f>IF(AND($F201&lt;&gt;"", $F201&gt;=CX$5-4, $F201&lt;=CX$5, COUNTIF($M201:CW201,"u")=0), "u", "")</f>
        <v/>
      </c>
      <c r="CY201" s="80" t="str">
        <f>IF(AND($F201&lt;&gt;"", $F201&gt;=CY$5-4, $F201&lt;=CY$5, COUNTIF($M201:CX201,"u")=0), "u", "")</f>
        <v/>
      </c>
      <c r="CZ201" s="80" t="str">
        <f>IF(AND($F201&lt;&gt;"", $F201&gt;=CZ$5-4, $F201&lt;=CZ$5, COUNTIF($M201:CY201,"u")=0), "u", "")</f>
        <v/>
      </c>
      <c r="DA201" s="80" t="str">
        <f>IF(AND($F201&lt;&gt;"", $F201&gt;=DA$5-4, $F201&lt;=DA$5, COUNTIF($M201:CZ201,"u")=0), "u", "")</f>
        <v/>
      </c>
      <c r="DB201" s="80" t="str">
        <f>IF(AND($F201&lt;&gt;"", $F201&gt;=DB$5-4, $F201&lt;=DB$5, COUNTIF($M201:DA201,"u")=0), "u", "")</f>
        <v/>
      </c>
      <c r="DC201" s="80" t="str">
        <f>IF(AND($F201&lt;&gt;"", $F201&gt;=DC$5-4, $F201&lt;=DC$5, COUNTIF($M201:DB201,"u")=0), "u", "")</f>
        <v/>
      </c>
      <c r="DD201" s="80" t="str">
        <f>IF(AND($F201&lt;&gt;"", $F201&gt;=DD$5-4, $F201&lt;=DD$5, COUNTIF($M201:DC201,"u")=0), "u", "")</f>
        <v/>
      </c>
      <c r="DE201" s="80" t="str">
        <f>IF(AND($F201&lt;&gt;"", $F201&gt;=DE$5-4, $F201&lt;=DE$5, COUNTIF($M201:DD201,"u")=0), "u", "")</f>
        <v/>
      </c>
      <c r="DF201" s="80" t="str">
        <f>IF(AND($F201&lt;&gt;"", $F201&gt;=DF$5-4, $F201&lt;=DF$5, COUNTIF($M201:DE201,"u")=0), "u", "")</f>
        <v/>
      </c>
      <c r="DG201" s="80" t="str">
        <f>IF(AND($F201&lt;&gt;"", $F201&gt;=DG$5-4, $F201&lt;=DG$5, COUNTIF($M201:DF201,"u")=0), "u", "")</f>
        <v/>
      </c>
      <c r="DH201" s="80" t="str">
        <f>IF(AND($F201&lt;&gt;"", $F201&gt;=DH$5-4, $F201&lt;=DH$5, COUNTIF($M201:DG201,"u")=0), "u", "")</f>
        <v/>
      </c>
      <c r="DI201" s="80" t="str">
        <f>IF(AND($F201&lt;&gt;"", $F201&gt;=DI$5-4, $F201&lt;=DI$5, COUNTIF($M201:DH201,"u")=0), "u", "")</f>
        <v/>
      </c>
      <c r="DJ201" s="80" t="str">
        <f>IF(AND($F201&lt;&gt;"", $F201&gt;=DJ$5-4, $F201&lt;=DJ$5, COUNTIF($M201:DI201,"u")=0), "u", "")</f>
        <v/>
      </c>
      <c r="DK201" s="80" t="str">
        <f>IF(AND($F201&lt;&gt;"", $F201&gt;=DK$5-4, $F201&lt;=DK$5, COUNTIF($M201:DJ201,"u")=0), "u", "")</f>
        <v/>
      </c>
      <c r="DL201" s="80" t="str">
        <f>IF(AND($F201&lt;&gt;"", $F201&gt;=DL$5-4, $F201&lt;=DL$5, COUNTIF($M201:DK201,"u")=0), "u", "")</f>
        <v/>
      </c>
    </row>
    <row r="202" spans="1:116" ht="25.05" customHeight="1" x14ac:dyDescent="0.3">
      <c r="A202" s="39"/>
      <c r="B202" s="75">
        <v>197</v>
      </c>
      <c r="C202" s="97"/>
      <c r="D202" s="92"/>
      <c r="E202" s="53"/>
      <c r="F202" s="53"/>
      <c r="G202" s="83" t="str">
        <f t="shared" si="53"/>
        <v/>
      </c>
      <c r="H202" s="83" t="str">
        <f t="shared" si="53"/>
        <v/>
      </c>
      <c r="I202" s="77" t="str">
        <f t="shared" si="54"/>
        <v/>
      </c>
      <c r="J202" s="78"/>
      <c r="K202" s="86"/>
      <c r="L202" s="56"/>
      <c r="M202" s="80" t="str">
        <f t="shared" si="55"/>
        <v/>
      </c>
      <c r="N202" s="80" t="str">
        <f>IF(AND($F202&lt;&gt;"", $F202&gt;=N$5-4, $F202&lt;=N$5, COUNTIF($M202:M202,"u")=0), "u", "")</f>
        <v/>
      </c>
      <c r="O202" s="80" t="str">
        <f>IF(AND($F202&lt;&gt;"", $F202&gt;=O$5-4, $F202&lt;=O$5, COUNTIF($M202:N202,"u")=0), "u", "")</f>
        <v/>
      </c>
      <c r="P202" s="80" t="str">
        <f>IF(AND($F202&lt;&gt;"", $F202&gt;=P$5-4, $F202&lt;=P$5, COUNTIF($M202:O202,"u")=0), "u", "")</f>
        <v/>
      </c>
      <c r="Q202" s="80" t="str">
        <f>IF(AND($F202&lt;&gt;"", $F202&gt;=Q$5-4, $F202&lt;=Q$5, COUNTIF($M202:P202,"u")=0), "u", "")</f>
        <v/>
      </c>
      <c r="R202" s="80" t="str">
        <f>IF(AND($F202&lt;&gt;"", $F202&gt;=R$5-4, $F202&lt;=R$5, COUNTIF($M202:Q202,"u")=0), "u", "")</f>
        <v/>
      </c>
      <c r="S202" s="80" t="str">
        <f>IF(AND($F202&lt;&gt;"", $F202&gt;=S$5-4, $F202&lt;=S$5, COUNTIF($M202:R202,"u")=0), "u", "")</f>
        <v/>
      </c>
      <c r="T202" s="80" t="str">
        <f>IF(AND($F202&lt;&gt;"", $F202&gt;=T$5-4, $F202&lt;=T$5, COUNTIF($M202:S202,"u")=0), "u", "")</f>
        <v/>
      </c>
      <c r="U202" s="80" t="str">
        <f>IF(AND($F202&lt;&gt;"", $F202&gt;=U$5-4, $F202&lt;=U$5, COUNTIF($M202:T202,"u")=0), "u", "")</f>
        <v/>
      </c>
      <c r="V202" s="80" t="str">
        <f>IF(AND($F202&lt;&gt;"", $F202&gt;=V$5-4, $F202&lt;=V$5, COUNTIF($M202:U202,"u")=0), "u", "")</f>
        <v/>
      </c>
      <c r="W202" s="80" t="str">
        <f>IF(AND($F202&lt;&gt;"", $F202&gt;=W$5-4, $F202&lt;=W$5, COUNTIF($M202:V202,"u")=0), "u", "")</f>
        <v/>
      </c>
      <c r="X202" s="80" t="str">
        <f>IF(AND($F202&lt;&gt;"", $F202&gt;=X$5-4, $F202&lt;=X$5, COUNTIF($M202:W202,"u")=0), "u", "")</f>
        <v/>
      </c>
      <c r="Y202" s="80" t="str">
        <f>IF(AND($F202&lt;&gt;"", $F202&gt;=Y$5-4, $F202&lt;=Y$5, COUNTIF($M202:X202,"u")=0), "u", "")</f>
        <v/>
      </c>
      <c r="Z202" s="80" t="str">
        <f>IF(AND($F202&lt;&gt;"", $F202&gt;=Z$5-4, $F202&lt;=Z$5, COUNTIF($M202:Y202,"u")=0), "u", "")</f>
        <v/>
      </c>
      <c r="AA202" s="80" t="str">
        <f>IF(AND($F202&lt;&gt;"", $F202&gt;=AA$5-4, $F202&lt;=AA$5, COUNTIF($M202:Z202,"u")=0), "u", "")</f>
        <v/>
      </c>
      <c r="AB202" s="80" t="str">
        <f>IF(AND($F202&lt;&gt;"", $F202&gt;=AB$5-4, $F202&lt;=AB$5, COUNTIF($M202:AA202,"u")=0), "u", "")</f>
        <v/>
      </c>
      <c r="AC202" s="80" t="str">
        <f>IF(AND($F202&lt;&gt;"", $F202&gt;=AC$5-4, $F202&lt;=AC$5, COUNTIF($M202:AB202,"u")=0), "u", "")</f>
        <v/>
      </c>
      <c r="AD202" s="80" t="str">
        <f>IF(AND($F202&lt;&gt;"", $F202&gt;=AD$5-4, $F202&lt;=AD$5, COUNTIF($M202:AC202,"u")=0), "u", "")</f>
        <v/>
      </c>
      <c r="AE202" s="80" t="str">
        <f>IF(AND($F202&lt;&gt;"", $F202&gt;=AE$5-4, $F202&lt;=AE$5, COUNTIF($M202:AD202,"u")=0), "u", "")</f>
        <v/>
      </c>
      <c r="AF202" s="80" t="str">
        <f>IF(AND($F202&lt;&gt;"", $F202&gt;=AF$5-4, $F202&lt;=AF$5, COUNTIF($M202:AE202,"u")=0), "u", "")</f>
        <v/>
      </c>
      <c r="AG202" s="80" t="str">
        <f>IF(AND($F202&lt;&gt;"", $F202&gt;=AG$5-4, $F202&lt;=AG$5, COUNTIF($M202:AF202,"u")=0), "u", "")</f>
        <v/>
      </c>
      <c r="AH202" s="80" t="str">
        <f>IF(AND($F202&lt;&gt;"", $F202&gt;=AH$5-4, $F202&lt;=AH$5, COUNTIF($M202:AG202,"u")=0), "u", "")</f>
        <v/>
      </c>
      <c r="AI202" s="80" t="str">
        <f>IF(AND($F202&lt;&gt;"", $F202&gt;=AI$5-4, $F202&lt;=AI$5, COUNTIF($M202:AH202,"u")=0), "u", "")</f>
        <v/>
      </c>
      <c r="AJ202" s="80" t="str">
        <f>IF(AND($F202&lt;&gt;"", $F202&gt;=AJ$5-4, $F202&lt;=AJ$5, COUNTIF($M202:AI202,"u")=0), "u", "")</f>
        <v/>
      </c>
      <c r="AK202" s="80" t="str">
        <f>IF(AND($F202&lt;&gt;"", $F202&gt;=AK$5-4, $F202&lt;=AK$5, COUNTIF($M202:AJ202,"u")=0), "u", "")</f>
        <v/>
      </c>
      <c r="AL202" s="80" t="str">
        <f>IF(AND($F202&lt;&gt;"", $F202&gt;=AL$5-4, $F202&lt;=AL$5, COUNTIF($M202:AK202,"u")=0), "u", "")</f>
        <v/>
      </c>
      <c r="AM202" s="80" t="str">
        <f>IF(AND($F202&lt;&gt;"", $F202&gt;=AM$5-4, $F202&lt;=AM$5, COUNTIF($M202:AL202,"u")=0), "u", "")</f>
        <v/>
      </c>
      <c r="AN202" s="80" t="str">
        <f>IF(AND($F202&lt;&gt;"", $F202&gt;=AN$5-4, $F202&lt;=AN$5, COUNTIF($M202:AM202,"u")=0), "u", "")</f>
        <v/>
      </c>
      <c r="AO202" s="80" t="str">
        <f>IF(AND($F202&lt;&gt;"", $F202&gt;=AO$5-4, $F202&lt;=AO$5, COUNTIF($M202:AN202,"u")=0), "u", "")</f>
        <v/>
      </c>
      <c r="AP202" s="80" t="str">
        <f>IF(AND($F202&lt;&gt;"", $F202&gt;=AP$5-4, $F202&lt;=AP$5, COUNTIF($M202:AO202,"u")=0), "u", "")</f>
        <v/>
      </c>
      <c r="AQ202" s="80" t="str">
        <f>IF(AND($F202&lt;&gt;"", $F202&gt;=AQ$5-4, $F202&lt;=AQ$5, COUNTIF($M202:AP202,"u")=0), "u", "")</f>
        <v/>
      </c>
      <c r="AR202" s="80" t="str">
        <f>IF(AND($F202&lt;&gt;"", $F202&gt;=AR$5-4, $F202&lt;=AR$5, COUNTIF($M202:AQ202,"u")=0), "u", "")</f>
        <v/>
      </c>
      <c r="AS202" s="80" t="str">
        <f>IF(AND($F202&lt;&gt;"", $F202&gt;=AS$5-4, $F202&lt;=AS$5, COUNTIF($M202:AR202,"u")=0), "u", "")</f>
        <v/>
      </c>
      <c r="AT202" s="80" t="str">
        <f>IF(AND($F202&lt;&gt;"", $F202&gt;=AT$5-4, $F202&lt;=AT$5, COUNTIF($M202:AS202,"u")=0), "u", "")</f>
        <v/>
      </c>
      <c r="AU202" s="80" t="str">
        <f>IF(AND($F202&lt;&gt;"", $F202&gt;=AU$5-4, $F202&lt;=AU$5, COUNTIF($M202:AT202,"u")=0), "u", "")</f>
        <v/>
      </c>
      <c r="AV202" s="80" t="str">
        <f>IF(AND($F202&lt;&gt;"", $F202&gt;=AV$5-4, $F202&lt;=AV$5, COUNTIF($M202:AU202,"u")=0), "u", "")</f>
        <v/>
      </c>
      <c r="AW202" s="80" t="str">
        <f>IF(AND($F202&lt;&gt;"", $F202&gt;=AW$5-4, $F202&lt;=AW$5, COUNTIF($M202:AV202,"u")=0), "u", "")</f>
        <v/>
      </c>
      <c r="AX202" s="80" t="str">
        <f>IF(AND($F202&lt;&gt;"", $F202&gt;=AX$5-4, $F202&lt;=AX$5, COUNTIF($M202:AW202,"u")=0), "u", "")</f>
        <v/>
      </c>
      <c r="AY202" s="80" t="str">
        <f>IF(AND($F202&lt;&gt;"", $F202&gt;=AY$5-4, $F202&lt;=AY$5, COUNTIF($M202:AX202,"u")=0), "u", "")</f>
        <v/>
      </c>
      <c r="AZ202" s="80" t="str">
        <f>IF(AND($F202&lt;&gt;"", $F202&gt;=AZ$5-4, $F202&lt;=AZ$5, COUNTIF($M202:AY202,"u")=0), "u", "")</f>
        <v/>
      </c>
      <c r="BA202" s="80" t="str">
        <f>IF(AND($F202&lt;&gt;"", $F202&gt;=BA$5-4, $F202&lt;=BA$5, COUNTIF($M202:AZ202,"u")=0), "u", "")</f>
        <v/>
      </c>
      <c r="BB202" s="80" t="str">
        <f>IF(AND($F202&lt;&gt;"", $F202&gt;=BB$5-4, $F202&lt;=BB$5, COUNTIF($M202:BA202,"u")=0), "u", "")</f>
        <v/>
      </c>
      <c r="BC202" s="80" t="str">
        <f>IF(AND($F202&lt;&gt;"", $F202&gt;=BC$5-4, $F202&lt;=BC$5, COUNTIF($M202:BB202,"u")=0), "u", "")</f>
        <v/>
      </c>
      <c r="BD202" s="80" t="str">
        <f>IF(AND($F202&lt;&gt;"", $F202&gt;=BD$5-4, $F202&lt;=BD$5, COUNTIF($M202:BC202,"u")=0), "u", "")</f>
        <v/>
      </c>
      <c r="BE202" s="80" t="str">
        <f>IF(AND($F202&lt;&gt;"", $F202&gt;=BE$5-4, $F202&lt;=BE$5, COUNTIF($M202:BD202,"u")=0), "u", "")</f>
        <v/>
      </c>
      <c r="BF202" s="80" t="str">
        <f>IF(AND($F202&lt;&gt;"", $F202&gt;=BF$5-4, $F202&lt;=BF$5, COUNTIF($M202:BE202,"u")=0), "u", "")</f>
        <v/>
      </c>
      <c r="BG202" s="80" t="str">
        <f>IF(AND($F202&lt;&gt;"", $F202&gt;=BG$5-4, $F202&lt;=BG$5, COUNTIF($M202:BF202,"u")=0), "u", "")</f>
        <v/>
      </c>
      <c r="BH202" s="80" t="str">
        <f>IF(AND($F202&lt;&gt;"", $F202&gt;=BH$5-4, $F202&lt;=BH$5, COUNTIF($M202:BG202,"u")=0), "u", "")</f>
        <v/>
      </c>
      <c r="BI202" s="80" t="str">
        <f>IF(AND($F202&lt;&gt;"", $F202&gt;=BI$5-4, $F202&lt;=BI$5, COUNTIF($M202:BH202,"u")=0), "u", "")</f>
        <v/>
      </c>
      <c r="BJ202" s="80" t="str">
        <f>IF(AND($F202&lt;&gt;"", $F202&gt;=BJ$5-4, $F202&lt;=BJ$5, COUNTIF($M202:BI202,"u")=0), "u", "")</f>
        <v/>
      </c>
      <c r="BK202" s="80" t="str">
        <f>IF(AND($F202&lt;&gt;"", $F202&gt;=BK$5-4, $F202&lt;=BK$5, COUNTIF($M202:BJ202,"u")=0), "u", "")</f>
        <v/>
      </c>
      <c r="BL202" s="80" t="str">
        <f>IF(AND($F202&lt;&gt;"", $F202&gt;=BL$5-4, $F202&lt;=BL$5, COUNTIF($M202:BK202,"u")=0), "u", "")</f>
        <v/>
      </c>
      <c r="BM202" s="80" t="str">
        <f>IF(AND($F202&lt;&gt;"", $F202&gt;=BM$5-4, $F202&lt;=BM$5, COUNTIF($M202:BL202,"u")=0), "u", "")</f>
        <v/>
      </c>
      <c r="BN202" s="80" t="str">
        <f>IF(AND($F202&lt;&gt;"", $F202&gt;=BN$5-4, $F202&lt;=BN$5, COUNTIF($M202:BM202,"u")=0), "u", "")</f>
        <v/>
      </c>
      <c r="BO202" s="80" t="str">
        <f>IF(AND($F202&lt;&gt;"", $F202&gt;=BO$5-4, $F202&lt;=BO$5, COUNTIF($M202:BN202,"u")=0), "u", "")</f>
        <v/>
      </c>
      <c r="BP202" s="80" t="str">
        <f>IF(AND($F202&lt;&gt;"", $F202&gt;=BP$5-4, $F202&lt;=BP$5, COUNTIF($M202:BO202,"u")=0), "u", "")</f>
        <v/>
      </c>
      <c r="BQ202" s="80" t="str">
        <f>IF(AND($F202&lt;&gt;"", $F202&gt;=BQ$5-4, $F202&lt;=BQ$5, COUNTIF($M202:BP202,"u")=0), "u", "")</f>
        <v/>
      </c>
      <c r="BR202" s="80" t="str">
        <f>IF(AND($F202&lt;&gt;"", $F202&gt;=BR$5-4, $F202&lt;=BR$5, COUNTIF($M202:BQ202,"u")=0), "u", "")</f>
        <v/>
      </c>
      <c r="BS202" s="80" t="str">
        <f>IF(AND($F202&lt;&gt;"", $F202&gt;=BS$5-4, $F202&lt;=BS$5, COUNTIF($M202:BR202,"u")=0), "u", "")</f>
        <v/>
      </c>
      <c r="BT202" s="80" t="str">
        <f>IF(AND($F202&lt;&gt;"", $F202&gt;=BT$5-4, $F202&lt;=BT$5, COUNTIF($M202:BS202,"u")=0), "u", "")</f>
        <v/>
      </c>
      <c r="BU202" s="80" t="str">
        <f>IF(AND($F202&lt;&gt;"", $F202&gt;=BU$5-4, $F202&lt;=BU$5, COUNTIF($M202:BT202,"u")=0), "u", "")</f>
        <v/>
      </c>
      <c r="BV202" s="80" t="str">
        <f>IF(AND($F202&lt;&gt;"", $F202&gt;=BV$5-4, $F202&lt;=BV$5, COUNTIF($M202:BU202,"u")=0), "u", "")</f>
        <v/>
      </c>
      <c r="BW202" s="80" t="str">
        <f>IF(AND($F202&lt;&gt;"", $F202&gt;=BW$5-4, $F202&lt;=BW$5, COUNTIF($M202:BV202,"u")=0), "u", "")</f>
        <v/>
      </c>
      <c r="BX202" s="80" t="str">
        <f>IF(AND($F202&lt;&gt;"", $F202&gt;=BX$5-4, $F202&lt;=BX$5, COUNTIF($M202:BW202,"u")=0), "u", "")</f>
        <v/>
      </c>
      <c r="BY202" s="80" t="str">
        <f>IF(AND($F202&lt;&gt;"", $F202&gt;=BY$5-4, $F202&lt;=BY$5, COUNTIF($M202:BX202,"u")=0), "u", "")</f>
        <v/>
      </c>
      <c r="BZ202" s="80" t="str">
        <f>IF(AND($F202&lt;&gt;"", $F202&gt;=BZ$5-4, $F202&lt;=BZ$5, COUNTIF($M202:BY202,"u")=0), "u", "")</f>
        <v/>
      </c>
      <c r="CA202" s="80" t="str">
        <f>IF(AND($F202&lt;&gt;"", $F202&gt;=CA$5-4, $F202&lt;=CA$5, COUNTIF($M202:BZ202,"u")=0), "u", "")</f>
        <v/>
      </c>
      <c r="CB202" s="80" t="str">
        <f>IF(AND($F202&lt;&gt;"", $F202&gt;=CB$5-4, $F202&lt;=CB$5, COUNTIF($M202:CA202,"u")=0), "u", "")</f>
        <v/>
      </c>
      <c r="CC202" s="80" t="str">
        <f>IF(AND($F202&lt;&gt;"", $F202&gt;=CC$5-4, $F202&lt;=CC$5, COUNTIF($M202:CB202,"u")=0), "u", "")</f>
        <v/>
      </c>
      <c r="CD202" s="80" t="str">
        <f>IF(AND($F202&lt;&gt;"", $F202&gt;=CD$5-4, $F202&lt;=CD$5, COUNTIF($M202:CC202,"u")=0), "u", "")</f>
        <v/>
      </c>
      <c r="CE202" s="80" t="str">
        <f>IF(AND($F202&lt;&gt;"", $F202&gt;=CE$5-4, $F202&lt;=CE$5, COUNTIF($M202:CD202,"u")=0), "u", "")</f>
        <v/>
      </c>
      <c r="CF202" s="80" t="str">
        <f>IF(AND($F202&lt;&gt;"", $F202&gt;=CF$5-4, $F202&lt;=CF$5, COUNTIF($M202:CE202,"u")=0), "u", "")</f>
        <v/>
      </c>
      <c r="CG202" s="80" t="str">
        <f>IF(AND($F202&lt;&gt;"", $F202&gt;=CG$5-4, $F202&lt;=CG$5, COUNTIF($M202:CF202,"u")=0), "u", "")</f>
        <v/>
      </c>
      <c r="CH202" s="80" t="str">
        <f>IF(AND($F202&lt;&gt;"", $F202&gt;=CH$5-4, $F202&lt;=CH$5, COUNTIF($M202:CG202,"u")=0), "u", "")</f>
        <v/>
      </c>
      <c r="CI202" s="80" t="str">
        <f>IF(AND($F202&lt;&gt;"", $F202&gt;=CI$5-4, $F202&lt;=CI$5, COUNTIF($M202:CH202,"u")=0), "u", "")</f>
        <v/>
      </c>
      <c r="CJ202" s="80" t="str">
        <f>IF(AND($F202&lt;&gt;"", $F202&gt;=CJ$5-4, $F202&lt;=CJ$5, COUNTIF($M202:CI202,"u")=0), "u", "")</f>
        <v/>
      </c>
      <c r="CK202" s="80" t="str">
        <f>IF(AND($F202&lt;&gt;"", $F202&gt;=CK$5-4, $F202&lt;=CK$5, COUNTIF($M202:CJ202,"u")=0), "u", "")</f>
        <v/>
      </c>
      <c r="CL202" s="80" t="str">
        <f>IF(AND($F202&lt;&gt;"", $F202&gt;=CL$5-4, $F202&lt;=CL$5, COUNTIF($M202:CK202,"u")=0), "u", "")</f>
        <v/>
      </c>
      <c r="CM202" s="80" t="str">
        <f>IF(AND($F202&lt;&gt;"", $F202&gt;=CM$5-4, $F202&lt;=CM$5, COUNTIF($M202:CL202,"u")=0), "u", "")</f>
        <v/>
      </c>
      <c r="CN202" s="80" t="str">
        <f>IF(AND($F202&lt;&gt;"", $F202&gt;=CN$5-4, $F202&lt;=CN$5, COUNTIF($M202:CM202,"u")=0), "u", "")</f>
        <v/>
      </c>
      <c r="CO202" s="80" t="str">
        <f>IF(AND($F202&lt;&gt;"", $F202&gt;=CO$5-4, $F202&lt;=CO$5, COUNTIF($M202:CN202,"u")=0), "u", "")</f>
        <v/>
      </c>
      <c r="CP202" s="80" t="str">
        <f>IF(AND($F202&lt;&gt;"", $F202&gt;=CP$5-4, $F202&lt;=CP$5, COUNTIF($M202:CO202,"u")=0), "u", "")</f>
        <v/>
      </c>
      <c r="CQ202" s="80" t="str">
        <f>IF(AND($F202&lt;&gt;"", $F202&gt;=CQ$5-4, $F202&lt;=CQ$5, COUNTIF($M202:CP202,"u")=0), "u", "")</f>
        <v/>
      </c>
      <c r="CR202" s="80" t="str">
        <f>IF(AND($F202&lt;&gt;"", $F202&gt;=CR$5-4, $F202&lt;=CR$5, COUNTIF($M202:CQ202,"u")=0), "u", "")</f>
        <v/>
      </c>
      <c r="CS202" s="80" t="str">
        <f>IF(AND($F202&lt;&gt;"", $F202&gt;=CS$5-4, $F202&lt;=CS$5, COUNTIF($M202:CR202,"u")=0), "u", "")</f>
        <v/>
      </c>
      <c r="CT202" s="80" t="str">
        <f>IF(AND($F202&lt;&gt;"", $F202&gt;=CT$5-4, $F202&lt;=CT$5, COUNTIF($M202:CS202,"u")=0), "u", "")</f>
        <v/>
      </c>
      <c r="CU202" s="80" t="str">
        <f>IF(AND($F202&lt;&gt;"", $F202&gt;=CU$5-4, $F202&lt;=CU$5, COUNTIF($M202:CT202,"u")=0), "u", "")</f>
        <v/>
      </c>
      <c r="CV202" s="80" t="str">
        <f>IF(AND($F202&lt;&gt;"", $F202&gt;=CV$5-4, $F202&lt;=CV$5, COUNTIF($M202:CU202,"u")=0), "u", "")</f>
        <v/>
      </c>
      <c r="CW202" s="80" t="str">
        <f>IF(AND($F202&lt;&gt;"", $F202&gt;=CW$5-4, $F202&lt;=CW$5, COUNTIF($M202:CV202,"u")=0), "u", "")</f>
        <v/>
      </c>
      <c r="CX202" s="80" t="str">
        <f>IF(AND($F202&lt;&gt;"", $F202&gt;=CX$5-4, $F202&lt;=CX$5, COUNTIF($M202:CW202,"u")=0), "u", "")</f>
        <v/>
      </c>
      <c r="CY202" s="80" t="str">
        <f>IF(AND($F202&lt;&gt;"", $F202&gt;=CY$5-4, $F202&lt;=CY$5, COUNTIF($M202:CX202,"u")=0), "u", "")</f>
        <v/>
      </c>
      <c r="CZ202" s="80" t="str">
        <f>IF(AND($F202&lt;&gt;"", $F202&gt;=CZ$5-4, $F202&lt;=CZ$5, COUNTIF($M202:CY202,"u")=0), "u", "")</f>
        <v/>
      </c>
      <c r="DA202" s="80" t="str">
        <f>IF(AND($F202&lt;&gt;"", $F202&gt;=DA$5-4, $F202&lt;=DA$5, COUNTIF($M202:CZ202,"u")=0), "u", "")</f>
        <v/>
      </c>
      <c r="DB202" s="80" t="str">
        <f>IF(AND($F202&lt;&gt;"", $F202&gt;=DB$5-4, $F202&lt;=DB$5, COUNTIF($M202:DA202,"u")=0), "u", "")</f>
        <v/>
      </c>
      <c r="DC202" s="80" t="str">
        <f>IF(AND($F202&lt;&gt;"", $F202&gt;=DC$5-4, $F202&lt;=DC$5, COUNTIF($M202:DB202,"u")=0), "u", "")</f>
        <v/>
      </c>
      <c r="DD202" s="80" t="str">
        <f>IF(AND($F202&lt;&gt;"", $F202&gt;=DD$5-4, $F202&lt;=DD$5, COUNTIF($M202:DC202,"u")=0), "u", "")</f>
        <v/>
      </c>
      <c r="DE202" s="80" t="str">
        <f>IF(AND($F202&lt;&gt;"", $F202&gt;=DE$5-4, $F202&lt;=DE$5, COUNTIF($M202:DD202,"u")=0), "u", "")</f>
        <v/>
      </c>
      <c r="DF202" s="80" t="str">
        <f>IF(AND($F202&lt;&gt;"", $F202&gt;=DF$5-4, $F202&lt;=DF$5, COUNTIF($M202:DE202,"u")=0), "u", "")</f>
        <v/>
      </c>
      <c r="DG202" s="80" t="str">
        <f>IF(AND($F202&lt;&gt;"", $F202&gt;=DG$5-4, $F202&lt;=DG$5, COUNTIF($M202:DF202,"u")=0), "u", "")</f>
        <v/>
      </c>
      <c r="DH202" s="80" t="str">
        <f>IF(AND($F202&lt;&gt;"", $F202&gt;=DH$5-4, $F202&lt;=DH$5, COUNTIF($M202:DG202,"u")=0), "u", "")</f>
        <v/>
      </c>
      <c r="DI202" s="80" t="str">
        <f>IF(AND($F202&lt;&gt;"", $F202&gt;=DI$5-4, $F202&lt;=DI$5, COUNTIF($M202:DH202,"u")=0), "u", "")</f>
        <v/>
      </c>
      <c r="DJ202" s="80" t="str">
        <f>IF(AND($F202&lt;&gt;"", $F202&gt;=DJ$5-4, $F202&lt;=DJ$5, COUNTIF($M202:DI202,"u")=0), "u", "")</f>
        <v/>
      </c>
      <c r="DK202" s="80" t="str">
        <f>IF(AND($F202&lt;&gt;"", $F202&gt;=DK$5-4, $F202&lt;=DK$5, COUNTIF($M202:DJ202,"u")=0), "u", "")</f>
        <v/>
      </c>
      <c r="DL202" s="80" t="str">
        <f>IF(AND($F202&lt;&gt;"", $F202&gt;=DL$5-4, $F202&lt;=DL$5, COUNTIF($M202:DK202,"u")=0), "u", "")</f>
        <v/>
      </c>
    </row>
    <row r="203" spans="1:116" ht="25.05" customHeight="1" x14ac:dyDescent="0.3">
      <c r="A203" s="39"/>
      <c r="B203" s="75">
        <v>198</v>
      </c>
      <c r="C203" s="97"/>
      <c r="D203" s="92"/>
      <c r="E203" s="53"/>
      <c r="F203" s="53"/>
      <c r="G203" s="83" t="str">
        <f t="shared" si="53"/>
        <v/>
      </c>
      <c r="H203" s="83" t="str">
        <f t="shared" si="53"/>
        <v/>
      </c>
      <c r="I203" s="77" t="str">
        <f t="shared" si="54"/>
        <v/>
      </c>
      <c r="J203" s="78"/>
      <c r="K203" s="86"/>
      <c r="L203" s="56"/>
      <c r="M203" s="80" t="str">
        <f t="shared" si="55"/>
        <v/>
      </c>
      <c r="N203" s="80" t="str">
        <f>IF(AND($F203&lt;&gt;"", $F203&gt;=N$5-4, $F203&lt;=N$5, COUNTIF($M203:M203,"u")=0), "u", "")</f>
        <v/>
      </c>
      <c r="O203" s="80" t="str">
        <f>IF(AND($F203&lt;&gt;"", $F203&gt;=O$5-4, $F203&lt;=O$5, COUNTIF($M203:N203,"u")=0), "u", "")</f>
        <v/>
      </c>
      <c r="P203" s="80" t="str">
        <f>IF(AND($F203&lt;&gt;"", $F203&gt;=P$5-4, $F203&lt;=P$5, COUNTIF($M203:O203,"u")=0), "u", "")</f>
        <v/>
      </c>
      <c r="Q203" s="80" t="str">
        <f>IF(AND($F203&lt;&gt;"", $F203&gt;=Q$5-4, $F203&lt;=Q$5, COUNTIF($M203:P203,"u")=0), "u", "")</f>
        <v/>
      </c>
      <c r="R203" s="80" t="str">
        <f>IF(AND($F203&lt;&gt;"", $F203&gt;=R$5-4, $F203&lt;=R$5, COUNTIF($M203:Q203,"u")=0), "u", "")</f>
        <v/>
      </c>
      <c r="S203" s="80" t="str">
        <f>IF(AND($F203&lt;&gt;"", $F203&gt;=S$5-4, $F203&lt;=S$5, COUNTIF($M203:R203,"u")=0), "u", "")</f>
        <v/>
      </c>
      <c r="T203" s="80" t="str">
        <f>IF(AND($F203&lt;&gt;"", $F203&gt;=T$5-4, $F203&lt;=T$5, COUNTIF($M203:S203,"u")=0), "u", "")</f>
        <v/>
      </c>
      <c r="U203" s="80" t="str">
        <f>IF(AND($F203&lt;&gt;"", $F203&gt;=U$5-4, $F203&lt;=U$5, COUNTIF($M203:T203,"u")=0), "u", "")</f>
        <v/>
      </c>
      <c r="V203" s="80" t="str">
        <f>IF(AND($F203&lt;&gt;"", $F203&gt;=V$5-4, $F203&lt;=V$5, COUNTIF($M203:U203,"u")=0), "u", "")</f>
        <v/>
      </c>
      <c r="W203" s="80" t="str">
        <f>IF(AND($F203&lt;&gt;"", $F203&gt;=W$5-4, $F203&lt;=W$5, COUNTIF($M203:V203,"u")=0), "u", "")</f>
        <v/>
      </c>
      <c r="X203" s="80" t="str">
        <f>IF(AND($F203&lt;&gt;"", $F203&gt;=X$5-4, $F203&lt;=X$5, COUNTIF($M203:W203,"u")=0), "u", "")</f>
        <v/>
      </c>
      <c r="Y203" s="80" t="str">
        <f>IF(AND($F203&lt;&gt;"", $F203&gt;=Y$5-4, $F203&lt;=Y$5, COUNTIF($M203:X203,"u")=0), "u", "")</f>
        <v/>
      </c>
      <c r="Z203" s="80" t="str">
        <f>IF(AND($F203&lt;&gt;"", $F203&gt;=Z$5-4, $F203&lt;=Z$5, COUNTIF($M203:Y203,"u")=0), "u", "")</f>
        <v/>
      </c>
      <c r="AA203" s="80" t="str">
        <f>IF(AND($F203&lt;&gt;"", $F203&gt;=AA$5-4, $F203&lt;=AA$5, COUNTIF($M203:Z203,"u")=0), "u", "")</f>
        <v/>
      </c>
      <c r="AB203" s="80" t="str">
        <f>IF(AND($F203&lt;&gt;"", $F203&gt;=AB$5-4, $F203&lt;=AB$5, COUNTIF($M203:AA203,"u")=0), "u", "")</f>
        <v/>
      </c>
      <c r="AC203" s="80" t="str">
        <f>IF(AND($F203&lt;&gt;"", $F203&gt;=AC$5-4, $F203&lt;=AC$5, COUNTIF($M203:AB203,"u")=0), "u", "")</f>
        <v/>
      </c>
      <c r="AD203" s="80" t="str">
        <f>IF(AND($F203&lt;&gt;"", $F203&gt;=AD$5-4, $F203&lt;=AD$5, COUNTIF($M203:AC203,"u")=0), "u", "")</f>
        <v/>
      </c>
      <c r="AE203" s="80" t="str">
        <f>IF(AND($F203&lt;&gt;"", $F203&gt;=AE$5-4, $F203&lt;=AE$5, COUNTIF($M203:AD203,"u")=0), "u", "")</f>
        <v/>
      </c>
      <c r="AF203" s="80" t="str">
        <f>IF(AND($F203&lt;&gt;"", $F203&gt;=AF$5-4, $F203&lt;=AF$5, COUNTIF($M203:AE203,"u")=0), "u", "")</f>
        <v/>
      </c>
      <c r="AG203" s="80" t="str">
        <f>IF(AND($F203&lt;&gt;"", $F203&gt;=AG$5-4, $F203&lt;=AG$5, COUNTIF($M203:AF203,"u")=0), "u", "")</f>
        <v/>
      </c>
      <c r="AH203" s="80" t="str">
        <f>IF(AND($F203&lt;&gt;"", $F203&gt;=AH$5-4, $F203&lt;=AH$5, COUNTIF($M203:AG203,"u")=0), "u", "")</f>
        <v/>
      </c>
      <c r="AI203" s="80" t="str">
        <f>IF(AND($F203&lt;&gt;"", $F203&gt;=AI$5-4, $F203&lt;=AI$5, COUNTIF($M203:AH203,"u")=0), "u", "")</f>
        <v/>
      </c>
      <c r="AJ203" s="80" t="str">
        <f>IF(AND($F203&lt;&gt;"", $F203&gt;=AJ$5-4, $F203&lt;=AJ$5, COUNTIF($M203:AI203,"u")=0), "u", "")</f>
        <v/>
      </c>
      <c r="AK203" s="80" t="str">
        <f>IF(AND($F203&lt;&gt;"", $F203&gt;=AK$5-4, $F203&lt;=AK$5, COUNTIF($M203:AJ203,"u")=0), "u", "")</f>
        <v/>
      </c>
      <c r="AL203" s="80" t="str">
        <f>IF(AND($F203&lt;&gt;"", $F203&gt;=AL$5-4, $F203&lt;=AL$5, COUNTIF($M203:AK203,"u")=0), "u", "")</f>
        <v/>
      </c>
      <c r="AM203" s="80" t="str">
        <f>IF(AND($F203&lt;&gt;"", $F203&gt;=AM$5-4, $F203&lt;=AM$5, COUNTIF($M203:AL203,"u")=0), "u", "")</f>
        <v/>
      </c>
      <c r="AN203" s="80" t="str">
        <f>IF(AND($F203&lt;&gt;"", $F203&gt;=AN$5-4, $F203&lt;=AN$5, COUNTIF($M203:AM203,"u")=0), "u", "")</f>
        <v/>
      </c>
      <c r="AO203" s="80" t="str">
        <f>IF(AND($F203&lt;&gt;"", $F203&gt;=AO$5-4, $F203&lt;=AO$5, COUNTIF($M203:AN203,"u")=0), "u", "")</f>
        <v/>
      </c>
      <c r="AP203" s="80" t="str">
        <f>IF(AND($F203&lt;&gt;"", $F203&gt;=AP$5-4, $F203&lt;=AP$5, COUNTIF($M203:AO203,"u")=0), "u", "")</f>
        <v/>
      </c>
      <c r="AQ203" s="80" t="str">
        <f>IF(AND($F203&lt;&gt;"", $F203&gt;=AQ$5-4, $F203&lt;=AQ$5, COUNTIF($M203:AP203,"u")=0), "u", "")</f>
        <v/>
      </c>
      <c r="AR203" s="80" t="str">
        <f>IF(AND($F203&lt;&gt;"", $F203&gt;=AR$5-4, $F203&lt;=AR$5, COUNTIF($M203:AQ203,"u")=0), "u", "")</f>
        <v/>
      </c>
      <c r="AS203" s="80" t="str">
        <f>IF(AND($F203&lt;&gt;"", $F203&gt;=AS$5-4, $F203&lt;=AS$5, COUNTIF($M203:AR203,"u")=0), "u", "")</f>
        <v/>
      </c>
      <c r="AT203" s="80" t="str">
        <f>IF(AND($F203&lt;&gt;"", $F203&gt;=AT$5-4, $F203&lt;=AT$5, COUNTIF($M203:AS203,"u")=0), "u", "")</f>
        <v/>
      </c>
      <c r="AU203" s="80" t="str">
        <f>IF(AND($F203&lt;&gt;"", $F203&gt;=AU$5-4, $F203&lt;=AU$5, COUNTIF($M203:AT203,"u")=0), "u", "")</f>
        <v/>
      </c>
      <c r="AV203" s="80" t="str">
        <f>IF(AND($F203&lt;&gt;"", $F203&gt;=AV$5-4, $F203&lt;=AV$5, COUNTIF($M203:AU203,"u")=0), "u", "")</f>
        <v/>
      </c>
      <c r="AW203" s="80" t="str">
        <f>IF(AND($F203&lt;&gt;"", $F203&gt;=AW$5-4, $F203&lt;=AW$5, COUNTIF($M203:AV203,"u")=0), "u", "")</f>
        <v/>
      </c>
      <c r="AX203" s="80" t="str">
        <f>IF(AND($F203&lt;&gt;"", $F203&gt;=AX$5-4, $F203&lt;=AX$5, COUNTIF($M203:AW203,"u")=0), "u", "")</f>
        <v/>
      </c>
      <c r="AY203" s="80" t="str">
        <f>IF(AND($F203&lt;&gt;"", $F203&gt;=AY$5-4, $F203&lt;=AY$5, COUNTIF($M203:AX203,"u")=0), "u", "")</f>
        <v/>
      </c>
      <c r="AZ203" s="80" t="str">
        <f>IF(AND($F203&lt;&gt;"", $F203&gt;=AZ$5-4, $F203&lt;=AZ$5, COUNTIF($M203:AY203,"u")=0), "u", "")</f>
        <v/>
      </c>
      <c r="BA203" s="80" t="str">
        <f>IF(AND($F203&lt;&gt;"", $F203&gt;=BA$5-4, $F203&lt;=BA$5, COUNTIF($M203:AZ203,"u")=0), "u", "")</f>
        <v/>
      </c>
      <c r="BB203" s="80" t="str">
        <f>IF(AND($F203&lt;&gt;"", $F203&gt;=BB$5-4, $F203&lt;=BB$5, COUNTIF($M203:BA203,"u")=0), "u", "")</f>
        <v/>
      </c>
      <c r="BC203" s="80" t="str">
        <f>IF(AND($F203&lt;&gt;"", $F203&gt;=BC$5-4, $F203&lt;=BC$5, COUNTIF($M203:BB203,"u")=0), "u", "")</f>
        <v/>
      </c>
      <c r="BD203" s="80" t="str">
        <f>IF(AND($F203&lt;&gt;"", $F203&gt;=BD$5-4, $F203&lt;=BD$5, COUNTIF($M203:BC203,"u")=0), "u", "")</f>
        <v/>
      </c>
      <c r="BE203" s="80" t="str">
        <f>IF(AND($F203&lt;&gt;"", $F203&gt;=BE$5-4, $F203&lt;=BE$5, COUNTIF($M203:BD203,"u")=0), "u", "")</f>
        <v/>
      </c>
      <c r="BF203" s="80" t="str">
        <f>IF(AND($F203&lt;&gt;"", $F203&gt;=BF$5-4, $F203&lt;=BF$5, COUNTIF($M203:BE203,"u")=0), "u", "")</f>
        <v/>
      </c>
      <c r="BG203" s="80" t="str">
        <f>IF(AND($F203&lt;&gt;"", $F203&gt;=BG$5-4, $F203&lt;=BG$5, COUNTIF($M203:BF203,"u")=0), "u", "")</f>
        <v/>
      </c>
      <c r="BH203" s="80" t="str">
        <f>IF(AND($F203&lt;&gt;"", $F203&gt;=BH$5-4, $F203&lt;=BH$5, COUNTIF($M203:BG203,"u")=0), "u", "")</f>
        <v/>
      </c>
      <c r="BI203" s="80" t="str">
        <f>IF(AND($F203&lt;&gt;"", $F203&gt;=BI$5-4, $F203&lt;=BI$5, COUNTIF($M203:BH203,"u")=0), "u", "")</f>
        <v/>
      </c>
      <c r="BJ203" s="80" t="str">
        <f>IF(AND($F203&lt;&gt;"", $F203&gt;=BJ$5-4, $F203&lt;=BJ$5, COUNTIF($M203:BI203,"u")=0), "u", "")</f>
        <v/>
      </c>
      <c r="BK203" s="80" t="str">
        <f>IF(AND($F203&lt;&gt;"", $F203&gt;=BK$5-4, $F203&lt;=BK$5, COUNTIF($M203:BJ203,"u")=0), "u", "")</f>
        <v/>
      </c>
      <c r="BL203" s="80" t="str">
        <f>IF(AND($F203&lt;&gt;"", $F203&gt;=BL$5-4, $F203&lt;=BL$5, COUNTIF($M203:BK203,"u")=0), "u", "")</f>
        <v/>
      </c>
      <c r="BM203" s="80" t="str">
        <f>IF(AND($F203&lt;&gt;"", $F203&gt;=BM$5-4, $F203&lt;=BM$5, COUNTIF($M203:BL203,"u")=0), "u", "")</f>
        <v/>
      </c>
      <c r="BN203" s="80" t="str">
        <f>IF(AND($F203&lt;&gt;"", $F203&gt;=BN$5-4, $F203&lt;=BN$5, COUNTIF($M203:BM203,"u")=0), "u", "")</f>
        <v/>
      </c>
      <c r="BO203" s="80" t="str">
        <f>IF(AND($F203&lt;&gt;"", $F203&gt;=BO$5-4, $F203&lt;=BO$5, COUNTIF($M203:BN203,"u")=0), "u", "")</f>
        <v/>
      </c>
      <c r="BP203" s="80" t="str">
        <f>IF(AND($F203&lt;&gt;"", $F203&gt;=BP$5-4, $F203&lt;=BP$5, COUNTIF($M203:BO203,"u")=0), "u", "")</f>
        <v/>
      </c>
      <c r="BQ203" s="80" t="str">
        <f>IF(AND($F203&lt;&gt;"", $F203&gt;=BQ$5-4, $F203&lt;=BQ$5, COUNTIF($M203:BP203,"u")=0), "u", "")</f>
        <v/>
      </c>
      <c r="BR203" s="80" t="str">
        <f>IF(AND($F203&lt;&gt;"", $F203&gt;=BR$5-4, $F203&lt;=BR$5, COUNTIF($M203:BQ203,"u")=0), "u", "")</f>
        <v/>
      </c>
      <c r="BS203" s="80" t="str">
        <f>IF(AND($F203&lt;&gt;"", $F203&gt;=BS$5-4, $F203&lt;=BS$5, COUNTIF($M203:BR203,"u")=0), "u", "")</f>
        <v/>
      </c>
      <c r="BT203" s="80" t="str">
        <f>IF(AND($F203&lt;&gt;"", $F203&gt;=BT$5-4, $F203&lt;=BT$5, COUNTIF($M203:BS203,"u")=0), "u", "")</f>
        <v/>
      </c>
      <c r="BU203" s="80" t="str">
        <f>IF(AND($F203&lt;&gt;"", $F203&gt;=BU$5-4, $F203&lt;=BU$5, COUNTIF($M203:BT203,"u")=0), "u", "")</f>
        <v/>
      </c>
      <c r="BV203" s="80" t="str">
        <f>IF(AND($F203&lt;&gt;"", $F203&gt;=BV$5-4, $F203&lt;=BV$5, COUNTIF($M203:BU203,"u")=0), "u", "")</f>
        <v/>
      </c>
      <c r="BW203" s="80" t="str">
        <f>IF(AND($F203&lt;&gt;"", $F203&gt;=BW$5-4, $F203&lt;=BW$5, COUNTIF($M203:BV203,"u")=0), "u", "")</f>
        <v/>
      </c>
      <c r="BX203" s="80" t="str">
        <f>IF(AND($F203&lt;&gt;"", $F203&gt;=BX$5-4, $F203&lt;=BX$5, COUNTIF($M203:BW203,"u")=0), "u", "")</f>
        <v/>
      </c>
      <c r="BY203" s="80" t="str">
        <f>IF(AND($F203&lt;&gt;"", $F203&gt;=BY$5-4, $F203&lt;=BY$5, COUNTIF($M203:BX203,"u")=0), "u", "")</f>
        <v/>
      </c>
      <c r="BZ203" s="80" t="str">
        <f>IF(AND($F203&lt;&gt;"", $F203&gt;=BZ$5-4, $F203&lt;=BZ$5, COUNTIF($M203:BY203,"u")=0), "u", "")</f>
        <v/>
      </c>
      <c r="CA203" s="80" t="str">
        <f>IF(AND($F203&lt;&gt;"", $F203&gt;=CA$5-4, $F203&lt;=CA$5, COUNTIF($M203:BZ203,"u")=0), "u", "")</f>
        <v/>
      </c>
      <c r="CB203" s="80" t="str">
        <f>IF(AND($F203&lt;&gt;"", $F203&gt;=CB$5-4, $F203&lt;=CB$5, COUNTIF($M203:CA203,"u")=0), "u", "")</f>
        <v/>
      </c>
      <c r="CC203" s="80" t="str">
        <f>IF(AND($F203&lt;&gt;"", $F203&gt;=CC$5-4, $F203&lt;=CC$5, COUNTIF($M203:CB203,"u")=0), "u", "")</f>
        <v/>
      </c>
      <c r="CD203" s="80" t="str">
        <f>IF(AND($F203&lt;&gt;"", $F203&gt;=CD$5-4, $F203&lt;=CD$5, COUNTIF($M203:CC203,"u")=0), "u", "")</f>
        <v/>
      </c>
      <c r="CE203" s="80" t="str">
        <f>IF(AND($F203&lt;&gt;"", $F203&gt;=CE$5-4, $F203&lt;=CE$5, COUNTIF($M203:CD203,"u")=0), "u", "")</f>
        <v/>
      </c>
      <c r="CF203" s="80" t="str">
        <f>IF(AND($F203&lt;&gt;"", $F203&gt;=CF$5-4, $F203&lt;=CF$5, COUNTIF($M203:CE203,"u")=0), "u", "")</f>
        <v/>
      </c>
      <c r="CG203" s="80" t="str">
        <f>IF(AND($F203&lt;&gt;"", $F203&gt;=CG$5-4, $F203&lt;=CG$5, COUNTIF($M203:CF203,"u")=0), "u", "")</f>
        <v/>
      </c>
      <c r="CH203" s="80" t="str">
        <f>IF(AND($F203&lt;&gt;"", $F203&gt;=CH$5-4, $F203&lt;=CH$5, COUNTIF($M203:CG203,"u")=0), "u", "")</f>
        <v/>
      </c>
      <c r="CI203" s="80" t="str">
        <f>IF(AND($F203&lt;&gt;"", $F203&gt;=CI$5-4, $F203&lt;=CI$5, COUNTIF($M203:CH203,"u")=0), "u", "")</f>
        <v/>
      </c>
      <c r="CJ203" s="80" t="str">
        <f>IF(AND($F203&lt;&gt;"", $F203&gt;=CJ$5-4, $F203&lt;=CJ$5, COUNTIF($M203:CI203,"u")=0), "u", "")</f>
        <v/>
      </c>
      <c r="CK203" s="80" t="str">
        <f>IF(AND($F203&lt;&gt;"", $F203&gt;=CK$5-4, $F203&lt;=CK$5, COUNTIF($M203:CJ203,"u")=0), "u", "")</f>
        <v/>
      </c>
      <c r="CL203" s="80" t="str">
        <f>IF(AND($F203&lt;&gt;"", $F203&gt;=CL$5-4, $F203&lt;=CL$5, COUNTIF($M203:CK203,"u")=0), "u", "")</f>
        <v/>
      </c>
      <c r="CM203" s="80" t="str">
        <f>IF(AND($F203&lt;&gt;"", $F203&gt;=CM$5-4, $F203&lt;=CM$5, COUNTIF($M203:CL203,"u")=0), "u", "")</f>
        <v/>
      </c>
      <c r="CN203" s="80" t="str">
        <f>IF(AND($F203&lt;&gt;"", $F203&gt;=CN$5-4, $F203&lt;=CN$5, COUNTIF($M203:CM203,"u")=0), "u", "")</f>
        <v/>
      </c>
      <c r="CO203" s="80" t="str">
        <f>IF(AND($F203&lt;&gt;"", $F203&gt;=CO$5-4, $F203&lt;=CO$5, COUNTIF($M203:CN203,"u")=0), "u", "")</f>
        <v/>
      </c>
      <c r="CP203" s="80" t="str">
        <f>IF(AND($F203&lt;&gt;"", $F203&gt;=CP$5-4, $F203&lt;=CP$5, COUNTIF($M203:CO203,"u")=0), "u", "")</f>
        <v/>
      </c>
      <c r="CQ203" s="80" t="str">
        <f>IF(AND($F203&lt;&gt;"", $F203&gt;=CQ$5-4, $F203&lt;=CQ$5, COUNTIF($M203:CP203,"u")=0), "u", "")</f>
        <v/>
      </c>
      <c r="CR203" s="80" t="str">
        <f>IF(AND($F203&lt;&gt;"", $F203&gt;=CR$5-4, $F203&lt;=CR$5, COUNTIF($M203:CQ203,"u")=0), "u", "")</f>
        <v/>
      </c>
      <c r="CS203" s="80" t="str">
        <f>IF(AND($F203&lt;&gt;"", $F203&gt;=CS$5-4, $F203&lt;=CS$5, COUNTIF($M203:CR203,"u")=0), "u", "")</f>
        <v/>
      </c>
      <c r="CT203" s="80" t="str">
        <f>IF(AND($F203&lt;&gt;"", $F203&gt;=CT$5-4, $F203&lt;=CT$5, COUNTIF($M203:CS203,"u")=0), "u", "")</f>
        <v/>
      </c>
      <c r="CU203" s="80" t="str">
        <f>IF(AND($F203&lt;&gt;"", $F203&gt;=CU$5-4, $F203&lt;=CU$5, COUNTIF($M203:CT203,"u")=0), "u", "")</f>
        <v/>
      </c>
      <c r="CV203" s="80" t="str">
        <f>IF(AND($F203&lt;&gt;"", $F203&gt;=CV$5-4, $F203&lt;=CV$5, COUNTIF($M203:CU203,"u")=0), "u", "")</f>
        <v/>
      </c>
      <c r="CW203" s="80" t="str">
        <f>IF(AND($F203&lt;&gt;"", $F203&gt;=CW$5-4, $F203&lt;=CW$5, COUNTIF($M203:CV203,"u")=0), "u", "")</f>
        <v/>
      </c>
      <c r="CX203" s="80" t="str">
        <f>IF(AND($F203&lt;&gt;"", $F203&gt;=CX$5-4, $F203&lt;=CX$5, COUNTIF($M203:CW203,"u")=0), "u", "")</f>
        <v/>
      </c>
      <c r="CY203" s="80" t="str">
        <f>IF(AND($F203&lt;&gt;"", $F203&gt;=CY$5-4, $F203&lt;=CY$5, COUNTIF($M203:CX203,"u")=0), "u", "")</f>
        <v/>
      </c>
      <c r="CZ203" s="80" t="str">
        <f>IF(AND($F203&lt;&gt;"", $F203&gt;=CZ$5-4, $F203&lt;=CZ$5, COUNTIF($M203:CY203,"u")=0), "u", "")</f>
        <v/>
      </c>
      <c r="DA203" s="80" t="str">
        <f>IF(AND($F203&lt;&gt;"", $F203&gt;=DA$5-4, $F203&lt;=DA$5, COUNTIF($M203:CZ203,"u")=0), "u", "")</f>
        <v/>
      </c>
      <c r="DB203" s="80" t="str">
        <f>IF(AND($F203&lt;&gt;"", $F203&gt;=DB$5-4, $F203&lt;=DB$5, COUNTIF($M203:DA203,"u")=0), "u", "")</f>
        <v/>
      </c>
      <c r="DC203" s="80" t="str">
        <f>IF(AND($F203&lt;&gt;"", $F203&gt;=DC$5-4, $F203&lt;=DC$5, COUNTIF($M203:DB203,"u")=0), "u", "")</f>
        <v/>
      </c>
      <c r="DD203" s="80" t="str">
        <f>IF(AND($F203&lt;&gt;"", $F203&gt;=DD$5-4, $F203&lt;=DD$5, COUNTIF($M203:DC203,"u")=0), "u", "")</f>
        <v/>
      </c>
      <c r="DE203" s="80" t="str">
        <f>IF(AND($F203&lt;&gt;"", $F203&gt;=DE$5-4, $F203&lt;=DE$5, COUNTIF($M203:DD203,"u")=0), "u", "")</f>
        <v/>
      </c>
      <c r="DF203" s="80" t="str">
        <f>IF(AND($F203&lt;&gt;"", $F203&gt;=DF$5-4, $F203&lt;=DF$5, COUNTIF($M203:DE203,"u")=0), "u", "")</f>
        <v/>
      </c>
      <c r="DG203" s="80" t="str">
        <f>IF(AND($F203&lt;&gt;"", $F203&gt;=DG$5-4, $F203&lt;=DG$5, COUNTIF($M203:DF203,"u")=0), "u", "")</f>
        <v/>
      </c>
      <c r="DH203" s="80" t="str">
        <f>IF(AND($F203&lt;&gt;"", $F203&gt;=DH$5-4, $F203&lt;=DH$5, COUNTIF($M203:DG203,"u")=0), "u", "")</f>
        <v/>
      </c>
      <c r="DI203" s="80" t="str">
        <f>IF(AND($F203&lt;&gt;"", $F203&gt;=DI$5-4, $F203&lt;=DI$5, COUNTIF($M203:DH203,"u")=0), "u", "")</f>
        <v/>
      </c>
      <c r="DJ203" s="80" t="str">
        <f>IF(AND($F203&lt;&gt;"", $F203&gt;=DJ$5-4, $F203&lt;=DJ$5, COUNTIF($M203:DI203,"u")=0), "u", "")</f>
        <v/>
      </c>
      <c r="DK203" s="80" t="str">
        <f>IF(AND($F203&lt;&gt;"", $F203&gt;=DK$5-4, $F203&lt;=DK$5, COUNTIF($M203:DJ203,"u")=0), "u", "")</f>
        <v/>
      </c>
      <c r="DL203" s="80" t="str">
        <f>IF(AND($F203&lt;&gt;"", $F203&gt;=DL$5-4, $F203&lt;=DL$5, COUNTIF($M203:DK203,"u")=0), "u", "")</f>
        <v/>
      </c>
    </row>
    <row r="204" spans="1:116" ht="25.05" customHeight="1" x14ac:dyDescent="0.3">
      <c r="A204" s="39"/>
      <c r="B204" s="75">
        <v>199</v>
      </c>
      <c r="C204" s="97"/>
      <c r="D204" s="92"/>
      <c r="E204" s="53"/>
      <c r="F204" s="53"/>
      <c r="G204" s="83" t="str">
        <f t="shared" si="53"/>
        <v/>
      </c>
      <c r="H204" s="83" t="str">
        <f t="shared" si="53"/>
        <v/>
      </c>
      <c r="I204" s="77" t="str">
        <f t="shared" si="54"/>
        <v/>
      </c>
      <c r="J204" s="78"/>
      <c r="K204" s="86"/>
      <c r="L204" s="56"/>
      <c r="M204" s="80" t="str">
        <f t="shared" si="55"/>
        <v/>
      </c>
      <c r="N204" s="80" t="str">
        <f>IF(AND($F204&lt;&gt;"", $F204&gt;=N$5-4, $F204&lt;=N$5, COUNTIF($M204:M204,"u")=0), "u", "")</f>
        <v/>
      </c>
      <c r="O204" s="80" t="str">
        <f>IF(AND($F204&lt;&gt;"", $F204&gt;=O$5-4, $F204&lt;=O$5, COUNTIF($M204:N204,"u")=0), "u", "")</f>
        <v/>
      </c>
      <c r="P204" s="80" t="str">
        <f>IF(AND($F204&lt;&gt;"", $F204&gt;=P$5-4, $F204&lt;=P$5, COUNTIF($M204:O204,"u")=0), "u", "")</f>
        <v/>
      </c>
      <c r="Q204" s="80" t="str">
        <f>IF(AND($F204&lt;&gt;"", $F204&gt;=Q$5-4, $F204&lt;=Q$5, COUNTIF($M204:P204,"u")=0), "u", "")</f>
        <v/>
      </c>
      <c r="R204" s="80" t="str">
        <f>IF(AND($F204&lt;&gt;"", $F204&gt;=R$5-4, $F204&lt;=R$5, COUNTIF($M204:Q204,"u")=0), "u", "")</f>
        <v/>
      </c>
      <c r="S204" s="80" t="str">
        <f>IF(AND($F204&lt;&gt;"", $F204&gt;=S$5-4, $F204&lt;=S$5, COUNTIF($M204:R204,"u")=0), "u", "")</f>
        <v/>
      </c>
      <c r="T204" s="80" t="str">
        <f>IF(AND($F204&lt;&gt;"", $F204&gt;=T$5-4, $F204&lt;=T$5, COUNTIF($M204:S204,"u")=0), "u", "")</f>
        <v/>
      </c>
      <c r="U204" s="80" t="str">
        <f>IF(AND($F204&lt;&gt;"", $F204&gt;=U$5-4, $F204&lt;=U$5, COUNTIF($M204:T204,"u")=0), "u", "")</f>
        <v/>
      </c>
      <c r="V204" s="80" t="str">
        <f>IF(AND($F204&lt;&gt;"", $F204&gt;=V$5-4, $F204&lt;=V$5, COUNTIF($M204:U204,"u")=0), "u", "")</f>
        <v/>
      </c>
      <c r="W204" s="80" t="str">
        <f>IF(AND($F204&lt;&gt;"", $F204&gt;=W$5-4, $F204&lt;=W$5, COUNTIF($M204:V204,"u")=0), "u", "")</f>
        <v/>
      </c>
      <c r="X204" s="80" t="str">
        <f>IF(AND($F204&lt;&gt;"", $F204&gt;=X$5-4, $F204&lt;=X$5, COUNTIF($M204:W204,"u")=0), "u", "")</f>
        <v/>
      </c>
      <c r="Y204" s="80" t="str">
        <f>IF(AND($F204&lt;&gt;"", $F204&gt;=Y$5-4, $F204&lt;=Y$5, COUNTIF($M204:X204,"u")=0), "u", "")</f>
        <v/>
      </c>
      <c r="Z204" s="80" t="str">
        <f>IF(AND($F204&lt;&gt;"", $F204&gt;=Z$5-4, $F204&lt;=Z$5, COUNTIF($M204:Y204,"u")=0), "u", "")</f>
        <v/>
      </c>
      <c r="AA204" s="80" t="str">
        <f>IF(AND($F204&lt;&gt;"", $F204&gt;=AA$5-4, $F204&lt;=AA$5, COUNTIF($M204:Z204,"u")=0), "u", "")</f>
        <v/>
      </c>
      <c r="AB204" s="80" t="str">
        <f>IF(AND($F204&lt;&gt;"", $F204&gt;=AB$5-4, $F204&lt;=AB$5, COUNTIF($M204:AA204,"u")=0), "u", "")</f>
        <v/>
      </c>
      <c r="AC204" s="80" t="str">
        <f>IF(AND($F204&lt;&gt;"", $F204&gt;=AC$5-4, $F204&lt;=AC$5, COUNTIF($M204:AB204,"u")=0), "u", "")</f>
        <v/>
      </c>
      <c r="AD204" s="80" t="str">
        <f>IF(AND($F204&lt;&gt;"", $F204&gt;=AD$5-4, $F204&lt;=AD$5, COUNTIF($M204:AC204,"u")=0), "u", "")</f>
        <v/>
      </c>
      <c r="AE204" s="80" t="str">
        <f>IF(AND($F204&lt;&gt;"", $F204&gt;=AE$5-4, $F204&lt;=AE$5, COUNTIF($M204:AD204,"u")=0), "u", "")</f>
        <v/>
      </c>
      <c r="AF204" s="80" t="str">
        <f>IF(AND($F204&lt;&gt;"", $F204&gt;=AF$5-4, $F204&lt;=AF$5, COUNTIF($M204:AE204,"u")=0), "u", "")</f>
        <v/>
      </c>
      <c r="AG204" s="80" t="str">
        <f>IF(AND($F204&lt;&gt;"", $F204&gt;=AG$5-4, $F204&lt;=AG$5, COUNTIF($M204:AF204,"u")=0), "u", "")</f>
        <v/>
      </c>
      <c r="AH204" s="80" t="str">
        <f>IF(AND($F204&lt;&gt;"", $F204&gt;=AH$5-4, $F204&lt;=AH$5, COUNTIF($M204:AG204,"u")=0), "u", "")</f>
        <v/>
      </c>
      <c r="AI204" s="80" t="str">
        <f>IF(AND($F204&lt;&gt;"", $F204&gt;=AI$5-4, $F204&lt;=AI$5, COUNTIF($M204:AH204,"u")=0), "u", "")</f>
        <v/>
      </c>
      <c r="AJ204" s="80" t="str">
        <f>IF(AND($F204&lt;&gt;"", $F204&gt;=AJ$5-4, $F204&lt;=AJ$5, COUNTIF($M204:AI204,"u")=0), "u", "")</f>
        <v/>
      </c>
      <c r="AK204" s="80" t="str">
        <f>IF(AND($F204&lt;&gt;"", $F204&gt;=AK$5-4, $F204&lt;=AK$5, COUNTIF($M204:AJ204,"u")=0), "u", "")</f>
        <v/>
      </c>
      <c r="AL204" s="80" t="str">
        <f>IF(AND($F204&lt;&gt;"", $F204&gt;=AL$5-4, $F204&lt;=AL$5, COUNTIF($M204:AK204,"u")=0), "u", "")</f>
        <v/>
      </c>
      <c r="AM204" s="80" t="str">
        <f>IF(AND($F204&lt;&gt;"", $F204&gt;=AM$5-4, $F204&lt;=AM$5, COUNTIF($M204:AL204,"u")=0), "u", "")</f>
        <v/>
      </c>
      <c r="AN204" s="80" t="str">
        <f>IF(AND($F204&lt;&gt;"", $F204&gt;=AN$5-4, $F204&lt;=AN$5, COUNTIF($M204:AM204,"u")=0), "u", "")</f>
        <v/>
      </c>
      <c r="AO204" s="80" t="str">
        <f>IF(AND($F204&lt;&gt;"", $F204&gt;=AO$5-4, $F204&lt;=AO$5, COUNTIF($M204:AN204,"u")=0), "u", "")</f>
        <v/>
      </c>
      <c r="AP204" s="80" t="str">
        <f>IF(AND($F204&lt;&gt;"", $F204&gt;=AP$5-4, $F204&lt;=AP$5, COUNTIF($M204:AO204,"u")=0), "u", "")</f>
        <v/>
      </c>
      <c r="AQ204" s="80" t="str">
        <f>IF(AND($F204&lt;&gt;"", $F204&gt;=AQ$5-4, $F204&lt;=AQ$5, COUNTIF($M204:AP204,"u")=0), "u", "")</f>
        <v/>
      </c>
      <c r="AR204" s="80" t="str">
        <f>IF(AND($F204&lt;&gt;"", $F204&gt;=AR$5-4, $F204&lt;=AR$5, COUNTIF($M204:AQ204,"u")=0), "u", "")</f>
        <v/>
      </c>
      <c r="AS204" s="80" t="str">
        <f>IF(AND($F204&lt;&gt;"", $F204&gt;=AS$5-4, $F204&lt;=AS$5, COUNTIF($M204:AR204,"u")=0), "u", "")</f>
        <v/>
      </c>
      <c r="AT204" s="80" t="str">
        <f>IF(AND($F204&lt;&gt;"", $F204&gt;=AT$5-4, $F204&lt;=AT$5, COUNTIF($M204:AS204,"u")=0), "u", "")</f>
        <v/>
      </c>
      <c r="AU204" s="80" t="str">
        <f>IF(AND($F204&lt;&gt;"", $F204&gt;=AU$5-4, $F204&lt;=AU$5, COUNTIF($M204:AT204,"u")=0), "u", "")</f>
        <v/>
      </c>
      <c r="AV204" s="80" t="str">
        <f>IF(AND($F204&lt;&gt;"", $F204&gt;=AV$5-4, $F204&lt;=AV$5, COUNTIF($M204:AU204,"u")=0), "u", "")</f>
        <v/>
      </c>
      <c r="AW204" s="80" t="str">
        <f>IF(AND($F204&lt;&gt;"", $F204&gt;=AW$5-4, $F204&lt;=AW$5, COUNTIF($M204:AV204,"u")=0), "u", "")</f>
        <v/>
      </c>
      <c r="AX204" s="80" t="str">
        <f>IF(AND($F204&lt;&gt;"", $F204&gt;=AX$5-4, $F204&lt;=AX$5, COUNTIF($M204:AW204,"u")=0), "u", "")</f>
        <v/>
      </c>
      <c r="AY204" s="80" t="str">
        <f>IF(AND($F204&lt;&gt;"", $F204&gt;=AY$5-4, $F204&lt;=AY$5, COUNTIF($M204:AX204,"u")=0), "u", "")</f>
        <v/>
      </c>
      <c r="AZ204" s="80" t="str">
        <f>IF(AND($F204&lt;&gt;"", $F204&gt;=AZ$5-4, $F204&lt;=AZ$5, COUNTIF($M204:AY204,"u")=0), "u", "")</f>
        <v/>
      </c>
      <c r="BA204" s="80" t="str">
        <f>IF(AND($F204&lt;&gt;"", $F204&gt;=BA$5-4, $F204&lt;=BA$5, COUNTIF($M204:AZ204,"u")=0), "u", "")</f>
        <v/>
      </c>
      <c r="BB204" s="80" t="str">
        <f>IF(AND($F204&lt;&gt;"", $F204&gt;=BB$5-4, $F204&lt;=BB$5, COUNTIF($M204:BA204,"u")=0), "u", "")</f>
        <v/>
      </c>
      <c r="BC204" s="80" t="str">
        <f>IF(AND($F204&lt;&gt;"", $F204&gt;=BC$5-4, $F204&lt;=BC$5, COUNTIF($M204:BB204,"u")=0), "u", "")</f>
        <v/>
      </c>
      <c r="BD204" s="80" t="str">
        <f>IF(AND($F204&lt;&gt;"", $F204&gt;=BD$5-4, $F204&lt;=BD$5, COUNTIF($M204:BC204,"u")=0), "u", "")</f>
        <v/>
      </c>
      <c r="BE204" s="80" t="str">
        <f>IF(AND($F204&lt;&gt;"", $F204&gt;=BE$5-4, $F204&lt;=BE$5, COUNTIF($M204:BD204,"u")=0), "u", "")</f>
        <v/>
      </c>
      <c r="BF204" s="80" t="str">
        <f>IF(AND($F204&lt;&gt;"", $F204&gt;=BF$5-4, $F204&lt;=BF$5, COUNTIF($M204:BE204,"u")=0), "u", "")</f>
        <v/>
      </c>
      <c r="BG204" s="80" t="str">
        <f>IF(AND($F204&lt;&gt;"", $F204&gt;=BG$5-4, $F204&lt;=BG$5, COUNTIF($M204:BF204,"u")=0), "u", "")</f>
        <v/>
      </c>
      <c r="BH204" s="80" t="str">
        <f>IF(AND($F204&lt;&gt;"", $F204&gt;=BH$5-4, $F204&lt;=BH$5, COUNTIF($M204:BG204,"u")=0), "u", "")</f>
        <v/>
      </c>
      <c r="BI204" s="80" t="str">
        <f>IF(AND($F204&lt;&gt;"", $F204&gt;=BI$5-4, $F204&lt;=BI$5, COUNTIF($M204:BH204,"u")=0), "u", "")</f>
        <v/>
      </c>
      <c r="BJ204" s="80" t="str">
        <f>IF(AND($F204&lt;&gt;"", $F204&gt;=BJ$5-4, $F204&lt;=BJ$5, COUNTIF($M204:BI204,"u")=0), "u", "")</f>
        <v/>
      </c>
      <c r="BK204" s="80" t="str">
        <f>IF(AND($F204&lt;&gt;"", $F204&gt;=BK$5-4, $F204&lt;=BK$5, COUNTIF($M204:BJ204,"u")=0), "u", "")</f>
        <v/>
      </c>
      <c r="BL204" s="80" t="str">
        <f>IF(AND($F204&lt;&gt;"", $F204&gt;=BL$5-4, $F204&lt;=BL$5, COUNTIF($M204:BK204,"u")=0), "u", "")</f>
        <v/>
      </c>
      <c r="BM204" s="80" t="str">
        <f>IF(AND($F204&lt;&gt;"", $F204&gt;=BM$5-4, $F204&lt;=BM$5, COUNTIF($M204:BL204,"u")=0), "u", "")</f>
        <v/>
      </c>
      <c r="BN204" s="80" t="str">
        <f>IF(AND($F204&lt;&gt;"", $F204&gt;=BN$5-4, $F204&lt;=BN$5, COUNTIF($M204:BM204,"u")=0), "u", "")</f>
        <v/>
      </c>
      <c r="BO204" s="80" t="str">
        <f>IF(AND($F204&lt;&gt;"", $F204&gt;=BO$5-4, $F204&lt;=BO$5, COUNTIF($M204:BN204,"u")=0), "u", "")</f>
        <v/>
      </c>
      <c r="BP204" s="80" t="str">
        <f>IF(AND($F204&lt;&gt;"", $F204&gt;=BP$5-4, $F204&lt;=BP$5, COUNTIF($M204:BO204,"u")=0), "u", "")</f>
        <v/>
      </c>
      <c r="BQ204" s="80" t="str">
        <f>IF(AND($F204&lt;&gt;"", $F204&gt;=BQ$5-4, $F204&lt;=BQ$5, COUNTIF($M204:BP204,"u")=0), "u", "")</f>
        <v/>
      </c>
      <c r="BR204" s="80" t="str">
        <f>IF(AND($F204&lt;&gt;"", $F204&gt;=BR$5-4, $F204&lt;=BR$5, COUNTIF($M204:BQ204,"u")=0), "u", "")</f>
        <v/>
      </c>
      <c r="BS204" s="80" t="str">
        <f>IF(AND($F204&lt;&gt;"", $F204&gt;=BS$5-4, $F204&lt;=BS$5, COUNTIF($M204:BR204,"u")=0), "u", "")</f>
        <v/>
      </c>
      <c r="BT204" s="80" t="str">
        <f>IF(AND($F204&lt;&gt;"", $F204&gt;=BT$5-4, $F204&lt;=BT$5, COUNTIF($M204:BS204,"u")=0), "u", "")</f>
        <v/>
      </c>
      <c r="BU204" s="80" t="str">
        <f>IF(AND($F204&lt;&gt;"", $F204&gt;=BU$5-4, $F204&lt;=BU$5, COUNTIF($M204:BT204,"u")=0), "u", "")</f>
        <v/>
      </c>
      <c r="BV204" s="80" t="str">
        <f>IF(AND($F204&lt;&gt;"", $F204&gt;=BV$5-4, $F204&lt;=BV$5, COUNTIF($M204:BU204,"u")=0), "u", "")</f>
        <v/>
      </c>
      <c r="BW204" s="80" t="str">
        <f>IF(AND($F204&lt;&gt;"", $F204&gt;=BW$5-4, $F204&lt;=BW$5, COUNTIF($M204:BV204,"u")=0), "u", "")</f>
        <v/>
      </c>
      <c r="BX204" s="80" t="str">
        <f>IF(AND($F204&lt;&gt;"", $F204&gt;=BX$5-4, $F204&lt;=BX$5, COUNTIF($M204:BW204,"u")=0), "u", "")</f>
        <v/>
      </c>
      <c r="BY204" s="80" t="str">
        <f>IF(AND($F204&lt;&gt;"", $F204&gt;=BY$5-4, $F204&lt;=BY$5, COUNTIF($M204:BX204,"u")=0), "u", "")</f>
        <v/>
      </c>
      <c r="BZ204" s="80" t="str">
        <f>IF(AND($F204&lt;&gt;"", $F204&gt;=BZ$5-4, $F204&lt;=BZ$5, COUNTIF($M204:BY204,"u")=0), "u", "")</f>
        <v/>
      </c>
      <c r="CA204" s="80" t="str">
        <f>IF(AND($F204&lt;&gt;"", $F204&gt;=CA$5-4, $F204&lt;=CA$5, COUNTIF($M204:BZ204,"u")=0), "u", "")</f>
        <v/>
      </c>
      <c r="CB204" s="80" t="str">
        <f>IF(AND($F204&lt;&gt;"", $F204&gt;=CB$5-4, $F204&lt;=CB$5, COUNTIF($M204:CA204,"u")=0), "u", "")</f>
        <v/>
      </c>
      <c r="CC204" s="80" t="str">
        <f>IF(AND($F204&lt;&gt;"", $F204&gt;=CC$5-4, $F204&lt;=CC$5, COUNTIF($M204:CB204,"u")=0), "u", "")</f>
        <v/>
      </c>
      <c r="CD204" s="80" t="str">
        <f>IF(AND($F204&lt;&gt;"", $F204&gt;=CD$5-4, $F204&lt;=CD$5, COUNTIF($M204:CC204,"u")=0), "u", "")</f>
        <v/>
      </c>
      <c r="CE204" s="80" t="str">
        <f>IF(AND($F204&lt;&gt;"", $F204&gt;=CE$5-4, $F204&lt;=CE$5, COUNTIF($M204:CD204,"u")=0), "u", "")</f>
        <v/>
      </c>
      <c r="CF204" s="80" t="str">
        <f>IF(AND($F204&lt;&gt;"", $F204&gt;=CF$5-4, $F204&lt;=CF$5, COUNTIF($M204:CE204,"u")=0), "u", "")</f>
        <v/>
      </c>
      <c r="CG204" s="80" t="str">
        <f>IF(AND($F204&lt;&gt;"", $F204&gt;=CG$5-4, $F204&lt;=CG$5, COUNTIF($M204:CF204,"u")=0), "u", "")</f>
        <v/>
      </c>
      <c r="CH204" s="80" t="str">
        <f>IF(AND($F204&lt;&gt;"", $F204&gt;=CH$5-4, $F204&lt;=CH$5, COUNTIF($M204:CG204,"u")=0), "u", "")</f>
        <v/>
      </c>
      <c r="CI204" s="80" t="str">
        <f>IF(AND($F204&lt;&gt;"", $F204&gt;=CI$5-4, $F204&lt;=CI$5, COUNTIF($M204:CH204,"u")=0), "u", "")</f>
        <v/>
      </c>
      <c r="CJ204" s="80" t="str">
        <f>IF(AND($F204&lt;&gt;"", $F204&gt;=CJ$5-4, $F204&lt;=CJ$5, COUNTIF($M204:CI204,"u")=0), "u", "")</f>
        <v/>
      </c>
      <c r="CK204" s="80" t="str">
        <f>IF(AND($F204&lt;&gt;"", $F204&gt;=CK$5-4, $F204&lt;=CK$5, COUNTIF($M204:CJ204,"u")=0), "u", "")</f>
        <v/>
      </c>
      <c r="CL204" s="80" t="str">
        <f>IF(AND($F204&lt;&gt;"", $F204&gt;=CL$5-4, $F204&lt;=CL$5, COUNTIF($M204:CK204,"u")=0), "u", "")</f>
        <v/>
      </c>
      <c r="CM204" s="80" t="str">
        <f>IF(AND($F204&lt;&gt;"", $F204&gt;=CM$5-4, $F204&lt;=CM$5, COUNTIF($M204:CL204,"u")=0), "u", "")</f>
        <v/>
      </c>
      <c r="CN204" s="80" t="str">
        <f>IF(AND($F204&lt;&gt;"", $F204&gt;=CN$5-4, $F204&lt;=CN$5, COUNTIF($M204:CM204,"u")=0), "u", "")</f>
        <v/>
      </c>
      <c r="CO204" s="80" t="str">
        <f>IF(AND($F204&lt;&gt;"", $F204&gt;=CO$5-4, $F204&lt;=CO$5, COUNTIF($M204:CN204,"u")=0), "u", "")</f>
        <v/>
      </c>
      <c r="CP204" s="80" t="str">
        <f>IF(AND($F204&lt;&gt;"", $F204&gt;=CP$5-4, $F204&lt;=CP$5, COUNTIF($M204:CO204,"u")=0), "u", "")</f>
        <v/>
      </c>
      <c r="CQ204" s="80" t="str">
        <f>IF(AND($F204&lt;&gt;"", $F204&gt;=CQ$5-4, $F204&lt;=CQ$5, COUNTIF($M204:CP204,"u")=0), "u", "")</f>
        <v/>
      </c>
      <c r="CR204" s="80" t="str">
        <f>IF(AND($F204&lt;&gt;"", $F204&gt;=CR$5-4, $F204&lt;=CR$5, COUNTIF($M204:CQ204,"u")=0), "u", "")</f>
        <v/>
      </c>
      <c r="CS204" s="80" t="str">
        <f>IF(AND($F204&lt;&gt;"", $F204&gt;=CS$5-4, $F204&lt;=CS$5, COUNTIF($M204:CR204,"u")=0), "u", "")</f>
        <v/>
      </c>
      <c r="CT204" s="80" t="str">
        <f>IF(AND($F204&lt;&gt;"", $F204&gt;=CT$5-4, $F204&lt;=CT$5, COUNTIF($M204:CS204,"u")=0), "u", "")</f>
        <v/>
      </c>
      <c r="CU204" s="80" t="str">
        <f>IF(AND($F204&lt;&gt;"", $F204&gt;=CU$5-4, $F204&lt;=CU$5, COUNTIF($M204:CT204,"u")=0), "u", "")</f>
        <v/>
      </c>
      <c r="CV204" s="80" t="str">
        <f>IF(AND($F204&lt;&gt;"", $F204&gt;=CV$5-4, $F204&lt;=CV$5, COUNTIF($M204:CU204,"u")=0), "u", "")</f>
        <v/>
      </c>
      <c r="CW204" s="80" t="str">
        <f>IF(AND($F204&lt;&gt;"", $F204&gt;=CW$5-4, $F204&lt;=CW$5, COUNTIF($M204:CV204,"u")=0), "u", "")</f>
        <v/>
      </c>
      <c r="CX204" s="80" t="str">
        <f>IF(AND($F204&lt;&gt;"", $F204&gt;=CX$5-4, $F204&lt;=CX$5, COUNTIF($M204:CW204,"u")=0), "u", "")</f>
        <v/>
      </c>
      <c r="CY204" s="80" t="str">
        <f>IF(AND($F204&lt;&gt;"", $F204&gt;=CY$5-4, $F204&lt;=CY$5, COUNTIF($M204:CX204,"u")=0), "u", "")</f>
        <v/>
      </c>
      <c r="CZ204" s="80" t="str">
        <f>IF(AND($F204&lt;&gt;"", $F204&gt;=CZ$5-4, $F204&lt;=CZ$5, COUNTIF($M204:CY204,"u")=0), "u", "")</f>
        <v/>
      </c>
      <c r="DA204" s="80" t="str">
        <f>IF(AND($F204&lt;&gt;"", $F204&gt;=DA$5-4, $F204&lt;=DA$5, COUNTIF($M204:CZ204,"u")=0), "u", "")</f>
        <v/>
      </c>
      <c r="DB204" s="80" t="str">
        <f>IF(AND($F204&lt;&gt;"", $F204&gt;=DB$5-4, $F204&lt;=DB$5, COUNTIF($M204:DA204,"u")=0), "u", "")</f>
        <v/>
      </c>
      <c r="DC204" s="80" t="str">
        <f>IF(AND($F204&lt;&gt;"", $F204&gt;=DC$5-4, $F204&lt;=DC$5, COUNTIF($M204:DB204,"u")=0), "u", "")</f>
        <v/>
      </c>
      <c r="DD204" s="80" t="str">
        <f>IF(AND($F204&lt;&gt;"", $F204&gt;=DD$5-4, $F204&lt;=DD$5, COUNTIF($M204:DC204,"u")=0), "u", "")</f>
        <v/>
      </c>
      <c r="DE204" s="80" t="str">
        <f>IF(AND($F204&lt;&gt;"", $F204&gt;=DE$5-4, $F204&lt;=DE$5, COUNTIF($M204:DD204,"u")=0), "u", "")</f>
        <v/>
      </c>
      <c r="DF204" s="80" t="str">
        <f>IF(AND($F204&lt;&gt;"", $F204&gt;=DF$5-4, $F204&lt;=DF$5, COUNTIF($M204:DE204,"u")=0), "u", "")</f>
        <v/>
      </c>
      <c r="DG204" s="80" t="str">
        <f>IF(AND($F204&lt;&gt;"", $F204&gt;=DG$5-4, $F204&lt;=DG$5, COUNTIF($M204:DF204,"u")=0), "u", "")</f>
        <v/>
      </c>
      <c r="DH204" s="80" t="str">
        <f>IF(AND($F204&lt;&gt;"", $F204&gt;=DH$5-4, $F204&lt;=DH$5, COUNTIF($M204:DG204,"u")=0), "u", "")</f>
        <v/>
      </c>
      <c r="DI204" s="80" t="str">
        <f>IF(AND($F204&lt;&gt;"", $F204&gt;=DI$5-4, $F204&lt;=DI$5, COUNTIF($M204:DH204,"u")=0), "u", "")</f>
        <v/>
      </c>
      <c r="DJ204" s="80" t="str">
        <f>IF(AND($F204&lt;&gt;"", $F204&gt;=DJ$5-4, $F204&lt;=DJ$5, COUNTIF($M204:DI204,"u")=0), "u", "")</f>
        <v/>
      </c>
      <c r="DK204" s="80" t="str">
        <f>IF(AND($F204&lt;&gt;"", $F204&gt;=DK$5-4, $F204&lt;=DK$5, COUNTIF($M204:DJ204,"u")=0), "u", "")</f>
        <v/>
      </c>
      <c r="DL204" s="80" t="str">
        <f>IF(AND($F204&lt;&gt;"", $F204&gt;=DL$5-4, $F204&lt;=DL$5, COUNTIF($M204:DK204,"u")=0), "u", "")</f>
        <v/>
      </c>
    </row>
    <row r="205" spans="1:116" ht="25.05" customHeight="1" x14ac:dyDescent="0.3">
      <c r="A205" s="39"/>
      <c r="B205" s="75">
        <v>200</v>
      </c>
      <c r="C205" s="97"/>
      <c r="D205" s="92"/>
      <c r="E205" s="53"/>
      <c r="F205" s="53"/>
      <c r="G205" s="83" t="str">
        <f t="shared" si="53"/>
        <v/>
      </c>
      <c r="H205" s="83" t="str">
        <f t="shared" si="53"/>
        <v/>
      </c>
      <c r="I205" s="77" t="str">
        <f t="shared" si="54"/>
        <v/>
      </c>
      <c r="J205" s="78"/>
      <c r="K205" s="86"/>
      <c r="L205" s="56"/>
      <c r="M205" s="80" t="str">
        <f t="shared" si="55"/>
        <v/>
      </c>
      <c r="N205" s="80" t="str">
        <f>IF(AND($F205&lt;&gt;"", $F205&gt;=N$5-4, $F205&lt;=N$5, COUNTIF($M205:M205,"u")=0), "u", "")</f>
        <v/>
      </c>
      <c r="O205" s="80" t="str">
        <f>IF(AND($F205&lt;&gt;"", $F205&gt;=O$5-4, $F205&lt;=O$5, COUNTIF($M205:N205,"u")=0), "u", "")</f>
        <v/>
      </c>
      <c r="P205" s="80" t="str">
        <f>IF(AND($F205&lt;&gt;"", $F205&gt;=P$5-4, $F205&lt;=P$5, COUNTIF($M205:O205,"u")=0), "u", "")</f>
        <v/>
      </c>
      <c r="Q205" s="80" t="str">
        <f>IF(AND($F205&lt;&gt;"", $F205&gt;=Q$5-4, $F205&lt;=Q$5, COUNTIF($M205:P205,"u")=0), "u", "")</f>
        <v/>
      </c>
      <c r="R205" s="80" t="str">
        <f>IF(AND($F205&lt;&gt;"", $F205&gt;=R$5-4, $F205&lt;=R$5, COUNTIF($M205:Q205,"u")=0), "u", "")</f>
        <v/>
      </c>
      <c r="S205" s="80" t="str">
        <f>IF(AND($F205&lt;&gt;"", $F205&gt;=S$5-4, $F205&lt;=S$5, COUNTIF($M205:R205,"u")=0), "u", "")</f>
        <v/>
      </c>
      <c r="T205" s="80" t="str">
        <f>IF(AND($F205&lt;&gt;"", $F205&gt;=T$5-4, $F205&lt;=T$5, COUNTIF($M205:S205,"u")=0), "u", "")</f>
        <v/>
      </c>
      <c r="U205" s="80" t="str">
        <f>IF(AND($F205&lt;&gt;"", $F205&gt;=U$5-4, $F205&lt;=U$5, COUNTIF($M205:T205,"u")=0), "u", "")</f>
        <v/>
      </c>
      <c r="V205" s="80" t="str">
        <f>IF(AND($F205&lt;&gt;"", $F205&gt;=V$5-4, $F205&lt;=V$5, COUNTIF($M205:U205,"u")=0), "u", "")</f>
        <v/>
      </c>
      <c r="W205" s="80" t="str">
        <f>IF(AND($F205&lt;&gt;"", $F205&gt;=W$5-4, $F205&lt;=W$5, COUNTIF($M205:V205,"u")=0), "u", "")</f>
        <v/>
      </c>
      <c r="X205" s="80" t="str">
        <f>IF(AND($F205&lt;&gt;"", $F205&gt;=X$5-4, $F205&lt;=X$5, COUNTIF($M205:W205,"u")=0), "u", "")</f>
        <v/>
      </c>
      <c r="Y205" s="80" t="str">
        <f>IF(AND($F205&lt;&gt;"", $F205&gt;=Y$5-4, $F205&lt;=Y$5, COUNTIF($M205:X205,"u")=0), "u", "")</f>
        <v/>
      </c>
      <c r="Z205" s="80" t="str">
        <f>IF(AND($F205&lt;&gt;"", $F205&gt;=Z$5-4, $F205&lt;=Z$5, COUNTIF($M205:Y205,"u")=0), "u", "")</f>
        <v/>
      </c>
      <c r="AA205" s="80" t="str">
        <f>IF(AND($F205&lt;&gt;"", $F205&gt;=AA$5-4, $F205&lt;=AA$5, COUNTIF($M205:Z205,"u")=0), "u", "")</f>
        <v/>
      </c>
      <c r="AB205" s="80" t="str">
        <f>IF(AND($F205&lt;&gt;"", $F205&gt;=AB$5-4, $F205&lt;=AB$5, COUNTIF($M205:AA205,"u")=0), "u", "")</f>
        <v/>
      </c>
      <c r="AC205" s="80" t="str">
        <f>IF(AND($F205&lt;&gt;"", $F205&gt;=AC$5-4, $F205&lt;=AC$5, COUNTIF($M205:AB205,"u")=0), "u", "")</f>
        <v/>
      </c>
      <c r="AD205" s="80" t="str">
        <f>IF(AND($F205&lt;&gt;"", $F205&gt;=AD$5-4, $F205&lt;=AD$5, COUNTIF($M205:AC205,"u")=0), "u", "")</f>
        <v/>
      </c>
      <c r="AE205" s="80" t="str">
        <f>IF(AND($F205&lt;&gt;"", $F205&gt;=AE$5-4, $F205&lt;=AE$5, COUNTIF($M205:AD205,"u")=0), "u", "")</f>
        <v/>
      </c>
      <c r="AF205" s="80" t="str">
        <f>IF(AND($F205&lt;&gt;"", $F205&gt;=AF$5-4, $F205&lt;=AF$5, COUNTIF($M205:AE205,"u")=0), "u", "")</f>
        <v/>
      </c>
      <c r="AG205" s="80" t="str">
        <f>IF(AND($F205&lt;&gt;"", $F205&gt;=AG$5-4, $F205&lt;=AG$5, COUNTIF($M205:AF205,"u")=0), "u", "")</f>
        <v/>
      </c>
      <c r="AH205" s="80" t="str">
        <f>IF(AND($F205&lt;&gt;"", $F205&gt;=AH$5-4, $F205&lt;=AH$5, COUNTIF($M205:AG205,"u")=0), "u", "")</f>
        <v/>
      </c>
      <c r="AI205" s="80" t="str">
        <f>IF(AND($F205&lt;&gt;"", $F205&gt;=AI$5-4, $F205&lt;=AI$5, COUNTIF($M205:AH205,"u")=0), "u", "")</f>
        <v/>
      </c>
      <c r="AJ205" s="80" t="str">
        <f>IF(AND($F205&lt;&gt;"", $F205&gt;=AJ$5-4, $F205&lt;=AJ$5, COUNTIF($M205:AI205,"u")=0), "u", "")</f>
        <v/>
      </c>
      <c r="AK205" s="80" t="str">
        <f>IF(AND($F205&lt;&gt;"", $F205&gt;=AK$5-4, $F205&lt;=AK$5, COUNTIF($M205:AJ205,"u")=0), "u", "")</f>
        <v/>
      </c>
      <c r="AL205" s="80" t="str">
        <f>IF(AND($F205&lt;&gt;"", $F205&gt;=AL$5-4, $F205&lt;=AL$5, COUNTIF($M205:AK205,"u")=0), "u", "")</f>
        <v/>
      </c>
      <c r="AM205" s="80" t="str">
        <f>IF(AND($F205&lt;&gt;"", $F205&gt;=AM$5-4, $F205&lt;=AM$5, COUNTIF($M205:AL205,"u")=0), "u", "")</f>
        <v/>
      </c>
      <c r="AN205" s="80" t="str">
        <f>IF(AND($F205&lt;&gt;"", $F205&gt;=AN$5-4, $F205&lt;=AN$5, COUNTIF($M205:AM205,"u")=0), "u", "")</f>
        <v/>
      </c>
      <c r="AO205" s="80" t="str">
        <f>IF(AND($F205&lt;&gt;"", $F205&gt;=AO$5-4, $F205&lt;=AO$5, COUNTIF($M205:AN205,"u")=0), "u", "")</f>
        <v/>
      </c>
      <c r="AP205" s="80" t="str">
        <f>IF(AND($F205&lt;&gt;"", $F205&gt;=AP$5-4, $F205&lt;=AP$5, COUNTIF($M205:AO205,"u")=0), "u", "")</f>
        <v/>
      </c>
      <c r="AQ205" s="80" t="str">
        <f>IF(AND($F205&lt;&gt;"", $F205&gt;=AQ$5-4, $F205&lt;=AQ$5, COUNTIF($M205:AP205,"u")=0), "u", "")</f>
        <v/>
      </c>
      <c r="AR205" s="80" t="str">
        <f>IF(AND($F205&lt;&gt;"", $F205&gt;=AR$5-4, $F205&lt;=AR$5, COUNTIF($M205:AQ205,"u")=0), "u", "")</f>
        <v/>
      </c>
      <c r="AS205" s="80" t="str">
        <f>IF(AND($F205&lt;&gt;"", $F205&gt;=AS$5-4, $F205&lt;=AS$5, COUNTIF($M205:AR205,"u")=0), "u", "")</f>
        <v/>
      </c>
      <c r="AT205" s="80" t="str">
        <f>IF(AND($F205&lt;&gt;"", $F205&gt;=AT$5-4, $F205&lt;=AT$5, COUNTIF($M205:AS205,"u")=0), "u", "")</f>
        <v/>
      </c>
      <c r="AU205" s="80" t="str">
        <f>IF(AND($F205&lt;&gt;"", $F205&gt;=AU$5-4, $F205&lt;=AU$5, COUNTIF($M205:AT205,"u")=0), "u", "")</f>
        <v/>
      </c>
      <c r="AV205" s="80" t="str">
        <f>IF(AND($F205&lt;&gt;"", $F205&gt;=AV$5-4, $F205&lt;=AV$5, COUNTIF($M205:AU205,"u")=0), "u", "")</f>
        <v/>
      </c>
      <c r="AW205" s="80" t="str">
        <f>IF(AND($F205&lt;&gt;"", $F205&gt;=AW$5-4, $F205&lt;=AW$5, COUNTIF($M205:AV205,"u")=0), "u", "")</f>
        <v/>
      </c>
      <c r="AX205" s="80" t="str">
        <f>IF(AND($F205&lt;&gt;"", $F205&gt;=AX$5-4, $F205&lt;=AX$5, COUNTIF($M205:AW205,"u")=0), "u", "")</f>
        <v/>
      </c>
      <c r="AY205" s="80" t="str">
        <f>IF(AND($F205&lt;&gt;"", $F205&gt;=AY$5-4, $F205&lt;=AY$5, COUNTIF($M205:AX205,"u")=0), "u", "")</f>
        <v/>
      </c>
      <c r="AZ205" s="80" t="str">
        <f>IF(AND($F205&lt;&gt;"", $F205&gt;=AZ$5-4, $F205&lt;=AZ$5, COUNTIF($M205:AY205,"u")=0), "u", "")</f>
        <v/>
      </c>
      <c r="BA205" s="80" t="str">
        <f>IF(AND($F205&lt;&gt;"", $F205&gt;=BA$5-4, $F205&lt;=BA$5, COUNTIF($M205:AZ205,"u")=0), "u", "")</f>
        <v/>
      </c>
      <c r="BB205" s="80" t="str">
        <f>IF(AND($F205&lt;&gt;"", $F205&gt;=BB$5-4, $F205&lt;=BB$5, COUNTIF($M205:BA205,"u")=0), "u", "")</f>
        <v/>
      </c>
      <c r="BC205" s="80" t="str">
        <f>IF(AND($F205&lt;&gt;"", $F205&gt;=BC$5-4, $F205&lt;=BC$5, COUNTIF($M205:BB205,"u")=0), "u", "")</f>
        <v/>
      </c>
      <c r="BD205" s="80" t="str">
        <f>IF(AND($F205&lt;&gt;"", $F205&gt;=BD$5-4, $F205&lt;=BD$5, COUNTIF($M205:BC205,"u")=0), "u", "")</f>
        <v/>
      </c>
      <c r="BE205" s="80" t="str">
        <f>IF(AND($F205&lt;&gt;"", $F205&gt;=BE$5-4, $F205&lt;=BE$5, COUNTIF($M205:BD205,"u")=0), "u", "")</f>
        <v/>
      </c>
      <c r="BF205" s="80" t="str">
        <f>IF(AND($F205&lt;&gt;"", $F205&gt;=BF$5-4, $F205&lt;=BF$5, COUNTIF($M205:BE205,"u")=0), "u", "")</f>
        <v/>
      </c>
      <c r="BG205" s="80" t="str">
        <f>IF(AND($F205&lt;&gt;"", $F205&gt;=BG$5-4, $F205&lt;=BG$5, COUNTIF($M205:BF205,"u")=0), "u", "")</f>
        <v/>
      </c>
      <c r="BH205" s="80" t="str">
        <f>IF(AND($F205&lt;&gt;"", $F205&gt;=BH$5-4, $F205&lt;=BH$5, COUNTIF($M205:BG205,"u")=0), "u", "")</f>
        <v/>
      </c>
      <c r="BI205" s="80" t="str">
        <f>IF(AND($F205&lt;&gt;"", $F205&gt;=BI$5-4, $F205&lt;=BI$5, COUNTIF($M205:BH205,"u")=0), "u", "")</f>
        <v/>
      </c>
      <c r="BJ205" s="80" t="str">
        <f>IF(AND($F205&lt;&gt;"", $F205&gt;=BJ$5-4, $F205&lt;=BJ$5, COUNTIF($M205:BI205,"u")=0), "u", "")</f>
        <v/>
      </c>
      <c r="BK205" s="80" t="str">
        <f>IF(AND($F205&lt;&gt;"", $F205&gt;=BK$5-4, $F205&lt;=BK$5, COUNTIF($M205:BJ205,"u")=0), "u", "")</f>
        <v/>
      </c>
      <c r="BL205" s="80" t="str">
        <f>IF(AND($F205&lt;&gt;"", $F205&gt;=BL$5-4, $F205&lt;=BL$5, COUNTIF($M205:BK205,"u")=0), "u", "")</f>
        <v/>
      </c>
      <c r="BM205" s="80" t="str">
        <f>IF(AND($F205&lt;&gt;"", $F205&gt;=BM$5-4, $F205&lt;=BM$5, COUNTIF($M205:BL205,"u")=0), "u", "")</f>
        <v/>
      </c>
      <c r="BN205" s="80" t="str">
        <f>IF(AND($F205&lt;&gt;"", $F205&gt;=BN$5-4, $F205&lt;=BN$5, COUNTIF($M205:BM205,"u")=0), "u", "")</f>
        <v/>
      </c>
      <c r="BO205" s="80" t="str">
        <f>IF(AND($F205&lt;&gt;"", $F205&gt;=BO$5-4, $F205&lt;=BO$5, COUNTIF($M205:BN205,"u")=0), "u", "")</f>
        <v/>
      </c>
      <c r="BP205" s="80" t="str">
        <f>IF(AND($F205&lt;&gt;"", $F205&gt;=BP$5-4, $F205&lt;=BP$5, COUNTIF($M205:BO205,"u")=0), "u", "")</f>
        <v/>
      </c>
      <c r="BQ205" s="80" t="str">
        <f>IF(AND($F205&lt;&gt;"", $F205&gt;=BQ$5-4, $F205&lt;=BQ$5, COUNTIF($M205:BP205,"u")=0), "u", "")</f>
        <v/>
      </c>
      <c r="BR205" s="80" t="str">
        <f>IF(AND($F205&lt;&gt;"", $F205&gt;=BR$5-4, $F205&lt;=BR$5, COUNTIF($M205:BQ205,"u")=0), "u", "")</f>
        <v/>
      </c>
      <c r="BS205" s="80" t="str">
        <f>IF(AND($F205&lt;&gt;"", $F205&gt;=BS$5-4, $F205&lt;=BS$5, COUNTIF($M205:BR205,"u")=0), "u", "")</f>
        <v/>
      </c>
      <c r="BT205" s="80" t="str">
        <f>IF(AND($F205&lt;&gt;"", $F205&gt;=BT$5-4, $F205&lt;=BT$5, COUNTIF($M205:BS205,"u")=0), "u", "")</f>
        <v/>
      </c>
      <c r="BU205" s="80" t="str">
        <f>IF(AND($F205&lt;&gt;"", $F205&gt;=BU$5-4, $F205&lt;=BU$5, COUNTIF($M205:BT205,"u")=0), "u", "")</f>
        <v/>
      </c>
      <c r="BV205" s="80" t="str">
        <f>IF(AND($F205&lt;&gt;"", $F205&gt;=BV$5-4, $F205&lt;=BV$5, COUNTIF($M205:BU205,"u")=0), "u", "")</f>
        <v/>
      </c>
      <c r="BW205" s="80" t="str">
        <f>IF(AND($F205&lt;&gt;"", $F205&gt;=BW$5-4, $F205&lt;=BW$5, COUNTIF($M205:BV205,"u")=0), "u", "")</f>
        <v/>
      </c>
      <c r="BX205" s="80" t="str">
        <f>IF(AND($F205&lt;&gt;"", $F205&gt;=BX$5-4, $F205&lt;=BX$5, COUNTIF($M205:BW205,"u")=0), "u", "")</f>
        <v/>
      </c>
      <c r="BY205" s="80" t="str">
        <f>IF(AND($F205&lt;&gt;"", $F205&gt;=BY$5-4, $F205&lt;=BY$5, COUNTIF($M205:BX205,"u")=0), "u", "")</f>
        <v/>
      </c>
      <c r="BZ205" s="80" t="str">
        <f>IF(AND($F205&lt;&gt;"", $F205&gt;=BZ$5-4, $F205&lt;=BZ$5, COUNTIF($M205:BY205,"u")=0), "u", "")</f>
        <v/>
      </c>
      <c r="CA205" s="80" t="str">
        <f>IF(AND($F205&lt;&gt;"", $F205&gt;=CA$5-4, $F205&lt;=CA$5, COUNTIF($M205:BZ205,"u")=0), "u", "")</f>
        <v/>
      </c>
      <c r="CB205" s="80" t="str">
        <f>IF(AND($F205&lt;&gt;"", $F205&gt;=CB$5-4, $F205&lt;=CB$5, COUNTIF($M205:CA205,"u")=0), "u", "")</f>
        <v/>
      </c>
      <c r="CC205" s="80" t="str">
        <f>IF(AND($F205&lt;&gt;"", $F205&gt;=CC$5-4, $F205&lt;=CC$5, COUNTIF($M205:CB205,"u")=0), "u", "")</f>
        <v/>
      </c>
      <c r="CD205" s="80" t="str">
        <f>IF(AND($F205&lt;&gt;"", $F205&gt;=CD$5-4, $F205&lt;=CD$5, COUNTIF($M205:CC205,"u")=0), "u", "")</f>
        <v/>
      </c>
      <c r="CE205" s="80" t="str">
        <f>IF(AND($F205&lt;&gt;"", $F205&gt;=CE$5-4, $F205&lt;=CE$5, COUNTIF($M205:CD205,"u")=0), "u", "")</f>
        <v/>
      </c>
      <c r="CF205" s="80" t="str">
        <f>IF(AND($F205&lt;&gt;"", $F205&gt;=CF$5-4, $F205&lt;=CF$5, COUNTIF($M205:CE205,"u")=0), "u", "")</f>
        <v/>
      </c>
      <c r="CG205" s="80" t="str">
        <f>IF(AND($F205&lt;&gt;"", $F205&gt;=CG$5-4, $F205&lt;=CG$5, COUNTIF($M205:CF205,"u")=0), "u", "")</f>
        <v/>
      </c>
      <c r="CH205" s="80" t="str">
        <f>IF(AND($F205&lt;&gt;"", $F205&gt;=CH$5-4, $F205&lt;=CH$5, COUNTIF($M205:CG205,"u")=0), "u", "")</f>
        <v/>
      </c>
      <c r="CI205" s="80" t="str">
        <f>IF(AND($F205&lt;&gt;"", $F205&gt;=CI$5-4, $F205&lt;=CI$5, COUNTIF($M205:CH205,"u")=0), "u", "")</f>
        <v/>
      </c>
      <c r="CJ205" s="80" t="str">
        <f>IF(AND($F205&lt;&gt;"", $F205&gt;=CJ$5-4, $F205&lt;=CJ$5, COUNTIF($M205:CI205,"u")=0), "u", "")</f>
        <v/>
      </c>
      <c r="CK205" s="80" t="str">
        <f>IF(AND($F205&lt;&gt;"", $F205&gt;=CK$5-4, $F205&lt;=CK$5, COUNTIF($M205:CJ205,"u")=0), "u", "")</f>
        <v/>
      </c>
      <c r="CL205" s="80" t="str">
        <f>IF(AND($F205&lt;&gt;"", $F205&gt;=CL$5-4, $F205&lt;=CL$5, COUNTIF($M205:CK205,"u")=0), "u", "")</f>
        <v/>
      </c>
      <c r="CM205" s="80" t="str">
        <f>IF(AND($F205&lt;&gt;"", $F205&gt;=CM$5-4, $F205&lt;=CM$5, COUNTIF($M205:CL205,"u")=0), "u", "")</f>
        <v/>
      </c>
      <c r="CN205" s="80" t="str">
        <f>IF(AND($F205&lt;&gt;"", $F205&gt;=CN$5-4, $F205&lt;=CN$5, COUNTIF($M205:CM205,"u")=0), "u", "")</f>
        <v/>
      </c>
      <c r="CO205" s="80" t="str">
        <f>IF(AND($F205&lt;&gt;"", $F205&gt;=CO$5-4, $F205&lt;=CO$5, COUNTIF($M205:CN205,"u")=0), "u", "")</f>
        <v/>
      </c>
      <c r="CP205" s="80" t="str">
        <f>IF(AND($F205&lt;&gt;"", $F205&gt;=CP$5-4, $F205&lt;=CP$5, COUNTIF($M205:CO205,"u")=0), "u", "")</f>
        <v/>
      </c>
      <c r="CQ205" s="80" t="str">
        <f>IF(AND($F205&lt;&gt;"", $F205&gt;=CQ$5-4, $F205&lt;=CQ$5, COUNTIF($M205:CP205,"u")=0), "u", "")</f>
        <v/>
      </c>
      <c r="CR205" s="80" t="str">
        <f>IF(AND($F205&lt;&gt;"", $F205&gt;=CR$5-4, $F205&lt;=CR$5, COUNTIF($M205:CQ205,"u")=0), "u", "")</f>
        <v/>
      </c>
      <c r="CS205" s="80" t="str">
        <f>IF(AND($F205&lt;&gt;"", $F205&gt;=CS$5-4, $F205&lt;=CS$5, COUNTIF($M205:CR205,"u")=0), "u", "")</f>
        <v/>
      </c>
      <c r="CT205" s="80" t="str">
        <f>IF(AND($F205&lt;&gt;"", $F205&gt;=CT$5-4, $F205&lt;=CT$5, COUNTIF($M205:CS205,"u")=0), "u", "")</f>
        <v/>
      </c>
      <c r="CU205" s="80" t="str">
        <f>IF(AND($F205&lt;&gt;"", $F205&gt;=CU$5-4, $F205&lt;=CU$5, COUNTIF($M205:CT205,"u")=0), "u", "")</f>
        <v/>
      </c>
      <c r="CV205" s="80" t="str">
        <f>IF(AND($F205&lt;&gt;"", $F205&gt;=CV$5-4, $F205&lt;=CV$5, COUNTIF($M205:CU205,"u")=0), "u", "")</f>
        <v/>
      </c>
      <c r="CW205" s="80" t="str">
        <f>IF(AND($F205&lt;&gt;"", $F205&gt;=CW$5-4, $F205&lt;=CW$5, COUNTIF($M205:CV205,"u")=0), "u", "")</f>
        <v/>
      </c>
      <c r="CX205" s="80" t="str">
        <f>IF(AND($F205&lt;&gt;"", $F205&gt;=CX$5-4, $F205&lt;=CX$5, COUNTIF($M205:CW205,"u")=0), "u", "")</f>
        <v/>
      </c>
      <c r="CY205" s="80" t="str">
        <f>IF(AND($F205&lt;&gt;"", $F205&gt;=CY$5-4, $F205&lt;=CY$5, COUNTIF($M205:CX205,"u")=0), "u", "")</f>
        <v/>
      </c>
      <c r="CZ205" s="80" t="str">
        <f>IF(AND($F205&lt;&gt;"", $F205&gt;=CZ$5-4, $F205&lt;=CZ$5, COUNTIF($M205:CY205,"u")=0), "u", "")</f>
        <v/>
      </c>
      <c r="DA205" s="80" t="str">
        <f>IF(AND($F205&lt;&gt;"", $F205&gt;=DA$5-4, $F205&lt;=DA$5, COUNTIF($M205:CZ205,"u")=0), "u", "")</f>
        <v/>
      </c>
      <c r="DB205" s="80" t="str">
        <f>IF(AND($F205&lt;&gt;"", $F205&gt;=DB$5-4, $F205&lt;=DB$5, COUNTIF($M205:DA205,"u")=0), "u", "")</f>
        <v/>
      </c>
      <c r="DC205" s="80" t="str">
        <f>IF(AND($F205&lt;&gt;"", $F205&gt;=DC$5-4, $F205&lt;=DC$5, COUNTIF($M205:DB205,"u")=0), "u", "")</f>
        <v/>
      </c>
      <c r="DD205" s="80" t="str">
        <f>IF(AND($F205&lt;&gt;"", $F205&gt;=DD$5-4, $F205&lt;=DD$5, COUNTIF($M205:DC205,"u")=0), "u", "")</f>
        <v/>
      </c>
      <c r="DE205" s="80" t="str">
        <f>IF(AND($F205&lt;&gt;"", $F205&gt;=DE$5-4, $F205&lt;=DE$5, COUNTIF($M205:DD205,"u")=0), "u", "")</f>
        <v/>
      </c>
      <c r="DF205" s="80" t="str">
        <f>IF(AND($F205&lt;&gt;"", $F205&gt;=DF$5-4, $F205&lt;=DF$5, COUNTIF($M205:DE205,"u")=0), "u", "")</f>
        <v/>
      </c>
      <c r="DG205" s="80" t="str">
        <f>IF(AND($F205&lt;&gt;"", $F205&gt;=DG$5-4, $F205&lt;=DG$5, COUNTIF($M205:DF205,"u")=0), "u", "")</f>
        <v/>
      </c>
      <c r="DH205" s="80" t="str">
        <f>IF(AND($F205&lt;&gt;"", $F205&gt;=DH$5-4, $F205&lt;=DH$5, COUNTIF($M205:DG205,"u")=0), "u", "")</f>
        <v/>
      </c>
      <c r="DI205" s="80" t="str">
        <f>IF(AND($F205&lt;&gt;"", $F205&gt;=DI$5-4, $F205&lt;=DI$5, COUNTIF($M205:DH205,"u")=0), "u", "")</f>
        <v/>
      </c>
      <c r="DJ205" s="80" t="str">
        <f>IF(AND($F205&lt;&gt;"", $F205&gt;=DJ$5-4, $F205&lt;=DJ$5, COUNTIF($M205:DI205,"u")=0), "u", "")</f>
        <v/>
      </c>
      <c r="DK205" s="80" t="str">
        <f>IF(AND($F205&lt;&gt;"", $F205&gt;=DK$5-4, $F205&lt;=DK$5, COUNTIF($M205:DJ205,"u")=0), "u", "")</f>
        <v/>
      </c>
      <c r="DL205" s="80" t="str">
        <f>IF(AND($F205&lt;&gt;"", $F205&gt;=DL$5-4, $F205&lt;=DL$5, COUNTIF($M205:DK205,"u")=0), "u", "")</f>
        <v/>
      </c>
    </row>
    <row r="206" spans="1:116" ht="25.05" customHeight="1" x14ac:dyDescent="0.3">
      <c r="A206" s="39"/>
      <c r="B206" s="75">
        <v>201</v>
      </c>
      <c r="C206" s="97"/>
      <c r="D206" s="92"/>
      <c r="E206" s="53"/>
      <c r="F206" s="53"/>
      <c r="G206" s="83" t="str">
        <f t="shared" si="53"/>
        <v/>
      </c>
      <c r="H206" s="83" t="str">
        <f t="shared" si="53"/>
        <v/>
      </c>
      <c r="I206" s="77" t="str">
        <f t="shared" si="54"/>
        <v/>
      </c>
      <c r="J206" s="78"/>
      <c r="K206" s="86"/>
      <c r="L206" s="56"/>
      <c r="M206" s="80" t="str">
        <f t="shared" si="55"/>
        <v/>
      </c>
      <c r="N206" s="80" t="str">
        <f>IF(AND($F206&lt;&gt;"", $F206&gt;=N$5-4, $F206&lt;=N$5, COUNTIF($M206:M206,"u")=0), "u", "")</f>
        <v/>
      </c>
      <c r="O206" s="80" t="str">
        <f>IF(AND($F206&lt;&gt;"", $F206&gt;=O$5-4, $F206&lt;=O$5, COUNTIF($M206:N206,"u")=0), "u", "")</f>
        <v/>
      </c>
      <c r="P206" s="80" t="str">
        <f>IF(AND($F206&lt;&gt;"", $F206&gt;=P$5-4, $F206&lt;=P$5, COUNTIF($M206:O206,"u")=0), "u", "")</f>
        <v/>
      </c>
      <c r="Q206" s="80" t="str">
        <f>IF(AND($F206&lt;&gt;"", $F206&gt;=Q$5-4, $F206&lt;=Q$5, COUNTIF($M206:P206,"u")=0), "u", "")</f>
        <v/>
      </c>
      <c r="R206" s="80" t="str">
        <f>IF(AND($F206&lt;&gt;"", $F206&gt;=R$5-4, $F206&lt;=R$5, COUNTIF($M206:Q206,"u")=0), "u", "")</f>
        <v/>
      </c>
      <c r="S206" s="80" t="str">
        <f>IF(AND($F206&lt;&gt;"", $F206&gt;=S$5-4, $F206&lt;=S$5, COUNTIF($M206:R206,"u")=0), "u", "")</f>
        <v/>
      </c>
      <c r="T206" s="80" t="str">
        <f>IF(AND($F206&lt;&gt;"", $F206&gt;=T$5-4, $F206&lt;=T$5, COUNTIF($M206:S206,"u")=0), "u", "")</f>
        <v/>
      </c>
      <c r="U206" s="80" t="str">
        <f>IF(AND($F206&lt;&gt;"", $F206&gt;=U$5-4, $F206&lt;=U$5, COUNTIF($M206:T206,"u")=0), "u", "")</f>
        <v/>
      </c>
      <c r="V206" s="80" t="str">
        <f>IF(AND($F206&lt;&gt;"", $F206&gt;=V$5-4, $F206&lt;=V$5, COUNTIF($M206:U206,"u")=0), "u", "")</f>
        <v/>
      </c>
      <c r="W206" s="80" t="str">
        <f>IF(AND($F206&lt;&gt;"", $F206&gt;=W$5-4, $F206&lt;=W$5, COUNTIF($M206:V206,"u")=0), "u", "")</f>
        <v/>
      </c>
      <c r="X206" s="80" t="str">
        <f>IF(AND($F206&lt;&gt;"", $F206&gt;=X$5-4, $F206&lt;=X$5, COUNTIF($M206:W206,"u")=0), "u", "")</f>
        <v/>
      </c>
      <c r="Y206" s="80" t="str">
        <f>IF(AND($F206&lt;&gt;"", $F206&gt;=Y$5-4, $F206&lt;=Y$5, COUNTIF($M206:X206,"u")=0), "u", "")</f>
        <v/>
      </c>
      <c r="Z206" s="80" t="str">
        <f>IF(AND($F206&lt;&gt;"", $F206&gt;=Z$5-4, $F206&lt;=Z$5, COUNTIF($M206:Y206,"u")=0), "u", "")</f>
        <v/>
      </c>
      <c r="AA206" s="80" t="str">
        <f>IF(AND($F206&lt;&gt;"", $F206&gt;=AA$5-4, $F206&lt;=AA$5, COUNTIF($M206:Z206,"u")=0), "u", "")</f>
        <v/>
      </c>
      <c r="AB206" s="80" t="str">
        <f>IF(AND($F206&lt;&gt;"", $F206&gt;=AB$5-4, $F206&lt;=AB$5, COUNTIF($M206:AA206,"u")=0), "u", "")</f>
        <v/>
      </c>
      <c r="AC206" s="80" t="str">
        <f>IF(AND($F206&lt;&gt;"", $F206&gt;=AC$5-4, $F206&lt;=AC$5, COUNTIF($M206:AB206,"u")=0), "u", "")</f>
        <v/>
      </c>
      <c r="AD206" s="80" t="str">
        <f>IF(AND($F206&lt;&gt;"", $F206&gt;=AD$5-4, $F206&lt;=AD$5, COUNTIF($M206:AC206,"u")=0), "u", "")</f>
        <v/>
      </c>
      <c r="AE206" s="80" t="str">
        <f>IF(AND($F206&lt;&gt;"", $F206&gt;=AE$5-4, $F206&lt;=AE$5, COUNTIF($M206:AD206,"u")=0), "u", "")</f>
        <v/>
      </c>
      <c r="AF206" s="80" t="str">
        <f>IF(AND($F206&lt;&gt;"", $F206&gt;=AF$5-4, $F206&lt;=AF$5, COUNTIF($M206:AE206,"u")=0), "u", "")</f>
        <v/>
      </c>
      <c r="AG206" s="80" t="str">
        <f>IF(AND($F206&lt;&gt;"", $F206&gt;=AG$5-4, $F206&lt;=AG$5, COUNTIF($M206:AF206,"u")=0), "u", "")</f>
        <v/>
      </c>
      <c r="AH206" s="80" t="str">
        <f>IF(AND($F206&lt;&gt;"", $F206&gt;=AH$5-4, $F206&lt;=AH$5, COUNTIF($M206:AG206,"u")=0), "u", "")</f>
        <v/>
      </c>
      <c r="AI206" s="80" t="str">
        <f>IF(AND($F206&lt;&gt;"", $F206&gt;=AI$5-4, $F206&lt;=AI$5, COUNTIF($M206:AH206,"u")=0), "u", "")</f>
        <v/>
      </c>
      <c r="AJ206" s="80" t="str">
        <f>IF(AND($F206&lt;&gt;"", $F206&gt;=AJ$5-4, $F206&lt;=AJ$5, COUNTIF($M206:AI206,"u")=0), "u", "")</f>
        <v/>
      </c>
      <c r="AK206" s="80" t="str">
        <f>IF(AND($F206&lt;&gt;"", $F206&gt;=AK$5-4, $F206&lt;=AK$5, COUNTIF($M206:AJ206,"u")=0), "u", "")</f>
        <v/>
      </c>
      <c r="AL206" s="80" t="str">
        <f>IF(AND($F206&lt;&gt;"", $F206&gt;=AL$5-4, $F206&lt;=AL$5, COUNTIF($M206:AK206,"u")=0), "u", "")</f>
        <v/>
      </c>
      <c r="AM206" s="80" t="str">
        <f>IF(AND($F206&lt;&gt;"", $F206&gt;=AM$5-4, $F206&lt;=AM$5, COUNTIF($M206:AL206,"u")=0), "u", "")</f>
        <v/>
      </c>
      <c r="AN206" s="80" t="str">
        <f>IF(AND($F206&lt;&gt;"", $F206&gt;=AN$5-4, $F206&lt;=AN$5, COUNTIF($M206:AM206,"u")=0), "u", "")</f>
        <v/>
      </c>
      <c r="AO206" s="80" t="str">
        <f>IF(AND($F206&lt;&gt;"", $F206&gt;=AO$5-4, $F206&lt;=AO$5, COUNTIF($M206:AN206,"u")=0), "u", "")</f>
        <v/>
      </c>
      <c r="AP206" s="80" t="str">
        <f>IF(AND($F206&lt;&gt;"", $F206&gt;=AP$5-4, $F206&lt;=AP$5, COUNTIF($M206:AO206,"u")=0), "u", "")</f>
        <v/>
      </c>
      <c r="AQ206" s="80" t="str">
        <f>IF(AND($F206&lt;&gt;"", $F206&gt;=AQ$5-4, $F206&lt;=AQ$5, COUNTIF($M206:AP206,"u")=0), "u", "")</f>
        <v/>
      </c>
      <c r="AR206" s="80" t="str">
        <f>IF(AND($F206&lt;&gt;"", $F206&gt;=AR$5-4, $F206&lt;=AR$5, COUNTIF($M206:AQ206,"u")=0), "u", "")</f>
        <v/>
      </c>
      <c r="AS206" s="80" t="str">
        <f>IF(AND($F206&lt;&gt;"", $F206&gt;=AS$5-4, $F206&lt;=AS$5, COUNTIF($M206:AR206,"u")=0), "u", "")</f>
        <v/>
      </c>
      <c r="AT206" s="80" t="str">
        <f>IF(AND($F206&lt;&gt;"", $F206&gt;=AT$5-4, $F206&lt;=AT$5, COUNTIF($M206:AS206,"u")=0), "u", "")</f>
        <v/>
      </c>
      <c r="AU206" s="80" t="str">
        <f>IF(AND($F206&lt;&gt;"", $F206&gt;=AU$5-4, $F206&lt;=AU$5, COUNTIF($M206:AT206,"u")=0), "u", "")</f>
        <v/>
      </c>
      <c r="AV206" s="80" t="str">
        <f>IF(AND($F206&lt;&gt;"", $F206&gt;=AV$5-4, $F206&lt;=AV$5, COUNTIF($M206:AU206,"u")=0), "u", "")</f>
        <v/>
      </c>
      <c r="AW206" s="80" t="str">
        <f>IF(AND($F206&lt;&gt;"", $F206&gt;=AW$5-4, $F206&lt;=AW$5, COUNTIF($M206:AV206,"u")=0), "u", "")</f>
        <v/>
      </c>
      <c r="AX206" s="80" t="str">
        <f>IF(AND($F206&lt;&gt;"", $F206&gt;=AX$5-4, $F206&lt;=AX$5, COUNTIF($M206:AW206,"u")=0), "u", "")</f>
        <v/>
      </c>
      <c r="AY206" s="80" t="str">
        <f>IF(AND($F206&lt;&gt;"", $F206&gt;=AY$5-4, $F206&lt;=AY$5, COUNTIF($M206:AX206,"u")=0), "u", "")</f>
        <v/>
      </c>
      <c r="AZ206" s="80" t="str">
        <f>IF(AND($F206&lt;&gt;"", $F206&gt;=AZ$5-4, $F206&lt;=AZ$5, COUNTIF($M206:AY206,"u")=0), "u", "")</f>
        <v/>
      </c>
      <c r="BA206" s="80" t="str">
        <f>IF(AND($F206&lt;&gt;"", $F206&gt;=BA$5-4, $F206&lt;=BA$5, COUNTIF($M206:AZ206,"u")=0), "u", "")</f>
        <v/>
      </c>
      <c r="BB206" s="80" t="str">
        <f>IF(AND($F206&lt;&gt;"", $F206&gt;=BB$5-4, $F206&lt;=BB$5, COUNTIF($M206:BA206,"u")=0), "u", "")</f>
        <v/>
      </c>
      <c r="BC206" s="80" t="str">
        <f>IF(AND($F206&lt;&gt;"", $F206&gt;=BC$5-4, $F206&lt;=BC$5, COUNTIF($M206:BB206,"u")=0), "u", "")</f>
        <v/>
      </c>
      <c r="BD206" s="80" t="str">
        <f>IF(AND($F206&lt;&gt;"", $F206&gt;=BD$5-4, $F206&lt;=BD$5, COUNTIF($M206:BC206,"u")=0), "u", "")</f>
        <v/>
      </c>
      <c r="BE206" s="80" t="str">
        <f>IF(AND($F206&lt;&gt;"", $F206&gt;=BE$5-4, $F206&lt;=BE$5, COUNTIF($M206:BD206,"u")=0), "u", "")</f>
        <v/>
      </c>
      <c r="BF206" s="80" t="str">
        <f>IF(AND($F206&lt;&gt;"", $F206&gt;=BF$5-4, $F206&lt;=BF$5, COUNTIF($M206:BE206,"u")=0), "u", "")</f>
        <v/>
      </c>
      <c r="BG206" s="80" t="str">
        <f>IF(AND($F206&lt;&gt;"", $F206&gt;=BG$5-4, $F206&lt;=BG$5, COUNTIF($M206:BF206,"u")=0), "u", "")</f>
        <v/>
      </c>
      <c r="BH206" s="80" t="str">
        <f>IF(AND($F206&lt;&gt;"", $F206&gt;=BH$5-4, $F206&lt;=BH$5, COUNTIF($M206:BG206,"u")=0), "u", "")</f>
        <v/>
      </c>
      <c r="BI206" s="80" t="str">
        <f>IF(AND($F206&lt;&gt;"", $F206&gt;=BI$5-4, $F206&lt;=BI$5, COUNTIF($M206:BH206,"u")=0), "u", "")</f>
        <v/>
      </c>
      <c r="BJ206" s="80" t="str">
        <f>IF(AND($F206&lt;&gt;"", $F206&gt;=BJ$5-4, $F206&lt;=BJ$5, COUNTIF($M206:BI206,"u")=0), "u", "")</f>
        <v/>
      </c>
      <c r="BK206" s="80" t="str">
        <f>IF(AND($F206&lt;&gt;"", $F206&gt;=BK$5-4, $F206&lt;=BK$5, COUNTIF($M206:BJ206,"u")=0), "u", "")</f>
        <v/>
      </c>
      <c r="BL206" s="80" t="str">
        <f>IF(AND($F206&lt;&gt;"", $F206&gt;=BL$5-4, $F206&lt;=BL$5, COUNTIF($M206:BK206,"u")=0), "u", "")</f>
        <v/>
      </c>
      <c r="BM206" s="80" t="str">
        <f>IF(AND($F206&lt;&gt;"", $F206&gt;=BM$5-4, $F206&lt;=BM$5, COUNTIF($M206:BL206,"u")=0), "u", "")</f>
        <v/>
      </c>
      <c r="BN206" s="80" t="str">
        <f>IF(AND($F206&lt;&gt;"", $F206&gt;=BN$5-4, $F206&lt;=BN$5, COUNTIF($M206:BM206,"u")=0), "u", "")</f>
        <v/>
      </c>
      <c r="BO206" s="80" t="str">
        <f>IF(AND($F206&lt;&gt;"", $F206&gt;=BO$5-4, $F206&lt;=BO$5, COUNTIF($M206:BN206,"u")=0), "u", "")</f>
        <v/>
      </c>
      <c r="BP206" s="80" t="str">
        <f>IF(AND($F206&lt;&gt;"", $F206&gt;=BP$5-4, $F206&lt;=BP$5, COUNTIF($M206:BO206,"u")=0), "u", "")</f>
        <v/>
      </c>
      <c r="BQ206" s="80" t="str">
        <f>IF(AND($F206&lt;&gt;"", $F206&gt;=BQ$5-4, $F206&lt;=BQ$5, COUNTIF($M206:BP206,"u")=0), "u", "")</f>
        <v/>
      </c>
      <c r="BR206" s="80" t="str">
        <f>IF(AND($F206&lt;&gt;"", $F206&gt;=BR$5-4, $F206&lt;=BR$5, COUNTIF($M206:BQ206,"u")=0), "u", "")</f>
        <v/>
      </c>
      <c r="BS206" s="80" t="str">
        <f>IF(AND($F206&lt;&gt;"", $F206&gt;=BS$5-4, $F206&lt;=BS$5, COUNTIF($M206:BR206,"u")=0), "u", "")</f>
        <v/>
      </c>
      <c r="BT206" s="80" t="str">
        <f>IF(AND($F206&lt;&gt;"", $F206&gt;=BT$5-4, $F206&lt;=BT$5, COUNTIF($M206:BS206,"u")=0), "u", "")</f>
        <v/>
      </c>
      <c r="BU206" s="80" t="str">
        <f>IF(AND($F206&lt;&gt;"", $F206&gt;=BU$5-4, $F206&lt;=BU$5, COUNTIF($M206:BT206,"u")=0), "u", "")</f>
        <v/>
      </c>
      <c r="BV206" s="80" t="str">
        <f>IF(AND($F206&lt;&gt;"", $F206&gt;=BV$5-4, $F206&lt;=BV$5, COUNTIF($M206:BU206,"u")=0), "u", "")</f>
        <v/>
      </c>
      <c r="BW206" s="80" t="str">
        <f>IF(AND($F206&lt;&gt;"", $F206&gt;=BW$5-4, $F206&lt;=BW$5, COUNTIF($M206:BV206,"u")=0), "u", "")</f>
        <v/>
      </c>
      <c r="BX206" s="80" t="str">
        <f>IF(AND($F206&lt;&gt;"", $F206&gt;=BX$5-4, $F206&lt;=BX$5, COUNTIF($M206:BW206,"u")=0), "u", "")</f>
        <v/>
      </c>
      <c r="BY206" s="80" t="str">
        <f>IF(AND($F206&lt;&gt;"", $F206&gt;=BY$5-4, $F206&lt;=BY$5, COUNTIF($M206:BX206,"u")=0), "u", "")</f>
        <v/>
      </c>
      <c r="BZ206" s="80" t="str">
        <f>IF(AND($F206&lt;&gt;"", $F206&gt;=BZ$5-4, $F206&lt;=BZ$5, COUNTIF($M206:BY206,"u")=0), "u", "")</f>
        <v/>
      </c>
      <c r="CA206" s="80" t="str">
        <f>IF(AND($F206&lt;&gt;"", $F206&gt;=CA$5-4, $F206&lt;=CA$5, COUNTIF($M206:BZ206,"u")=0), "u", "")</f>
        <v/>
      </c>
      <c r="CB206" s="80" t="str">
        <f>IF(AND($F206&lt;&gt;"", $F206&gt;=CB$5-4, $F206&lt;=CB$5, COUNTIF($M206:CA206,"u")=0), "u", "")</f>
        <v/>
      </c>
      <c r="CC206" s="80" t="str">
        <f>IF(AND($F206&lt;&gt;"", $F206&gt;=CC$5-4, $F206&lt;=CC$5, COUNTIF($M206:CB206,"u")=0), "u", "")</f>
        <v/>
      </c>
      <c r="CD206" s="80" t="str">
        <f>IF(AND($F206&lt;&gt;"", $F206&gt;=CD$5-4, $F206&lt;=CD$5, COUNTIF($M206:CC206,"u")=0), "u", "")</f>
        <v/>
      </c>
      <c r="CE206" s="80" t="str">
        <f>IF(AND($F206&lt;&gt;"", $F206&gt;=CE$5-4, $F206&lt;=CE$5, COUNTIF($M206:CD206,"u")=0), "u", "")</f>
        <v/>
      </c>
      <c r="CF206" s="80" t="str">
        <f>IF(AND($F206&lt;&gt;"", $F206&gt;=CF$5-4, $F206&lt;=CF$5, COUNTIF($M206:CE206,"u")=0), "u", "")</f>
        <v/>
      </c>
      <c r="CG206" s="80" t="str">
        <f>IF(AND($F206&lt;&gt;"", $F206&gt;=CG$5-4, $F206&lt;=CG$5, COUNTIF($M206:CF206,"u")=0), "u", "")</f>
        <v/>
      </c>
      <c r="CH206" s="80" t="str">
        <f>IF(AND($F206&lt;&gt;"", $F206&gt;=CH$5-4, $F206&lt;=CH$5, COUNTIF($M206:CG206,"u")=0), "u", "")</f>
        <v/>
      </c>
      <c r="CI206" s="80" t="str">
        <f>IF(AND($F206&lt;&gt;"", $F206&gt;=CI$5-4, $F206&lt;=CI$5, COUNTIF($M206:CH206,"u")=0), "u", "")</f>
        <v/>
      </c>
      <c r="CJ206" s="80" t="str">
        <f>IF(AND($F206&lt;&gt;"", $F206&gt;=CJ$5-4, $F206&lt;=CJ$5, COUNTIF($M206:CI206,"u")=0), "u", "")</f>
        <v/>
      </c>
      <c r="CK206" s="80" t="str">
        <f>IF(AND($F206&lt;&gt;"", $F206&gt;=CK$5-4, $F206&lt;=CK$5, COUNTIF($M206:CJ206,"u")=0), "u", "")</f>
        <v/>
      </c>
      <c r="CL206" s="80" t="str">
        <f>IF(AND($F206&lt;&gt;"", $F206&gt;=CL$5-4, $F206&lt;=CL$5, COUNTIF($M206:CK206,"u")=0), "u", "")</f>
        <v/>
      </c>
      <c r="CM206" s="80" t="str">
        <f>IF(AND($F206&lt;&gt;"", $F206&gt;=CM$5-4, $F206&lt;=CM$5, COUNTIF($M206:CL206,"u")=0), "u", "")</f>
        <v/>
      </c>
      <c r="CN206" s="80" t="str">
        <f>IF(AND($F206&lt;&gt;"", $F206&gt;=CN$5-4, $F206&lt;=CN$5, COUNTIF($M206:CM206,"u")=0), "u", "")</f>
        <v/>
      </c>
      <c r="CO206" s="80" t="str">
        <f>IF(AND($F206&lt;&gt;"", $F206&gt;=CO$5-4, $F206&lt;=CO$5, COUNTIF($M206:CN206,"u")=0), "u", "")</f>
        <v/>
      </c>
      <c r="CP206" s="80" t="str">
        <f>IF(AND($F206&lt;&gt;"", $F206&gt;=CP$5-4, $F206&lt;=CP$5, COUNTIF($M206:CO206,"u")=0), "u", "")</f>
        <v/>
      </c>
      <c r="CQ206" s="80" t="str">
        <f>IF(AND($F206&lt;&gt;"", $F206&gt;=CQ$5-4, $F206&lt;=CQ$5, COUNTIF($M206:CP206,"u")=0), "u", "")</f>
        <v/>
      </c>
      <c r="CR206" s="80" t="str">
        <f>IF(AND($F206&lt;&gt;"", $F206&gt;=CR$5-4, $F206&lt;=CR$5, COUNTIF($M206:CQ206,"u")=0), "u", "")</f>
        <v/>
      </c>
      <c r="CS206" s="80" t="str">
        <f>IF(AND($F206&lt;&gt;"", $F206&gt;=CS$5-4, $F206&lt;=CS$5, COUNTIF($M206:CR206,"u")=0), "u", "")</f>
        <v/>
      </c>
      <c r="CT206" s="80" t="str">
        <f>IF(AND($F206&lt;&gt;"", $F206&gt;=CT$5-4, $F206&lt;=CT$5, COUNTIF($M206:CS206,"u")=0), "u", "")</f>
        <v/>
      </c>
      <c r="CU206" s="80" t="str">
        <f>IF(AND($F206&lt;&gt;"", $F206&gt;=CU$5-4, $F206&lt;=CU$5, COUNTIF($M206:CT206,"u")=0), "u", "")</f>
        <v/>
      </c>
      <c r="CV206" s="80" t="str">
        <f>IF(AND($F206&lt;&gt;"", $F206&gt;=CV$5-4, $F206&lt;=CV$5, COUNTIF($M206:CU206,"u")=0), "u", "")</f>
        <v/>
      </c>
      <c r="CW206" s="80" t="str">
        <f>IF(AND($F206&lt;&gt;"", $F206&gt;=CW$5-4, $F206&lt;=CW$5, COUNTIF($M206:CV206,"u")=0), "u", "")</f>
        <v/>
      </c>
      <c r="CX206" s="80" t="str">
        <f>IF(AND($F206&lt;&gt;"", $F206&gt;=CX$5-4, $F206&lt;=CX$5, COUNTIF($M206:CW206,"u")=0), "u", "")</f>
        <v/>
      </c>
      <c r="CY206" s="80" t="str">
        <f>IF(AND($F206&lt;&gt;"", $F206&gt;=CY$5-4, $F206&lt;=CY$5, COUNTIF($M206:CX206,"u")=0), "u", "")</f>
        <v/>
      </c>
      <c r="CZ206" s="80" t="str">
        <f>IF(AND($F206&lt;&gt;"", $F206&gt;=CZ$5-4, $F206&lt;=CZ$5, COUNTIF($M206:CY206,"u")=0), "u", "")</f>
        <v/>
      </c>
      <c r="DA206" s="80" t="str">
        <f>IF(AND($F206&lt;&gt;"", $F206&gt;=DA$5-4, $F206&lt;=DA$5, COUNTIF($M206:CZ206,"u")=0), "u", "")</f>
        <v/>
      </c>
      <c r="DB206" s="80" t="str">
        <f>IF(AND($F206&lt;&gt;"", $F206&gt;=DB$5-4, $F206&lt;=DB$5, COUNTIF($M206:DA206,"u")=0), "u", "")</f>
        <v/>
      </c>
      <c r="DC206" s="80" t="str">
        <f>IF(AND($F206&lt;&gt;"", $F206&gt;=DC$5-4, $F206&lt;=DC$5, COUNTIF($M206:DB206,"u")=0), "u", "")</f>
        <v/>
      </c>
      <c r="DD206" s="80" t="str">
        <f>IF(AND($F206&lt;&gt;"", $F206&gt;=DD$5-4, $F206&lt;=DD$5, COUNTIF($M206:DC206,"u")=0), "u", "")</f>
        <v/>
      </c>
      <c r="DE206" s="80" t="str">
        <f>IF(AND($F206&lt;&gt;"", $F206&gt;=DE$5-4, $F206&lt;=DE$5, COUNTIF($M206:DD206,"u")=0), "u", "")</f>
        <v/>
      </c>
      <c r="DF206" s="80" t="str">
        <f>IF(AND($F206&lt;&gt;"", $F206&gt;=DF$5-4, $F206&lt;=DF$5, COUNTIF($M206:DE206,"u")=0), "u", "")</f>
        <v/>
      </c>
      <c r="DG206" s="80" t="str">
        <f>IF(AND($F206&lt;&gt;"", $F206&gt;=DG$5-4, $F206&lt;=DG$5, COUNTIF($M206:DF206,"u")=0), "u", "")</f>
        <v/>
      </c>
      <c r="DH206" s="80" t="str">
        <f>IF(AND($F206&lt;&gt;"", $F206&gt;=DH$5-4, $F206&lt;=DH$5, COUNTIF($M206:DG206,"u")=0), "u", "")</f>
        <v/>
      </c>
      <c r="DI206" s="80" t="str">
        <f>IF(AND($F206&lt;&gt;"", $F206&gt;=DI$5-4, $F206&lt;=DI$5, COUNTIF($M206:DH206,"u")=0), "u", "")</f>
        <v/>
      </c>
      <c r="DJ206" s="80" t="str">
        <f>IF(AND($F206&lt;&gt;"", $F206&gt;=DJ$5-4, $F206&lt;=DJ$5, COUNTIF($M206:DI206,"u")=0), "u", "")</f>
        <v/>
      </c>
      <c r="DK206" s="80" t="str">
        <f>IF(AND($F206&lt;&gt;"", $F206&gt;=DK$5-4, $F206&lt;=DK$5, COUNTIF($M206:DJ206,"u")=0), "u", "")</f>
        <v/>
      </c>
      <c r="DL206" s="80" t="str">
        <f>IF(AND($F206&lt;&gt;"", $F206&gt;=DL$5-4, $F206&lt;=DL$5, COUNTIF($M206:DK206,"u")=0), "u", "")</f>
        <v/>
      </c>
    </row>
    <row r="207" spans="1:116" ht="25.05" customHeight="1" x14ac:dyDescent="0.3">
      <c r="A207" s="39"/>
      <c r="B207" s="75">
        <v>202</v>
      </c>
      <c r="C207" s="97"/>
      <c r="D207" s="92"/>
      <c r="E207" s="53"/>
      <c r="F207" s="53"/>
      <c r="G207" s="83" t="str">
        <f t="shared" si="53"/>
        <v/>
      </c>
      <c r="H207" s="83" t="str">
        <f t="shared" si="53"/>
        <v/>
      </c>
      <c r="I207" s="77" t="str">
        <f t="shared" si="54"/>
        <v/>
      </c>
      <c r="J207" s="78"/>
      <c r="K207" s="86"/>
      <c r="L207" s="56"/>
      <c r="M207" s="80" t="str">
        <f t="shared" si="55"/>
        <v/>
      </c>
      <c r="N207" s="80" t="str">
        <f>IF(AND($F207&lt;&gt;"", $F207&gt;=N$5-4, $F207&lt;=N$5, COUNTIF($M207:M207,"u")=0), "u", "")</f>
        <v/>
      </c>
      <c r="O207" s="80" t="str">
        <f>IF(AND($F207&lt;&gt;"", $F207&gt;=O$5-4, $F207&lt;=O$5, COUNTIF($M207:N207,"u")=0), "u", "")</f>
        <v/>
      </c>
      <c r="P207" s="80" t="str">
        <f>IF(AND($F207&lt;&gt;"", $F207&gt;=P$5-4, $F207&lt;=P$5, COUNTIF($M207:O207,"u")=0), "u", "")</f>
        <v/>
      </c>
      <c r="Q207" s="80" t="str">
        <f>IF(AND($F207&lt;&gt;"", $F207&gt;=Q$5-4, $F207&lt;=Q$5, COUNTIF($M207:P207,"u")=0), "u", "")</f>
        <v/>
      </c>
      <c r="R207" s="80" t="str">
        <f>IF(AND($F207&lt;&gt;"", $F207&gt;=R$5-4, $F207&lt;=R$5, COUNTIF($M207:Q207,"u")=0), "u", "")</f>
        <v/>
      </c>
      <c r="S207" s="80" t="str">
        <f>IF(AND($F207&lt;&gt;"", $F207&gt;=S$5-4, $F207&lt;=S$5, COUNTIF($M207:R207,"u")=0), "u", "")</f>
        <v/>
      </c>
      <c r="T207" s="80" t="str">
        <f>IF(AND($F207&lt;&gt;"", $F207&gt;=T$5-4, $F207&lt;=T$5, COUNTIF($M207:S207,"u")=0), "u", "")</f>
        <v/>
      </c>
      <c r="U207" s="80" t="str">
        <f>IF(AND($F207&lt;&gt;"", $F207&gt;=U$5-4, $F207&lt;=U$5, COUNTIF($M207:T207,"u")=0), "u", "")</f>
        <v/>
      </c>
      <c r="V207" s="80" t="str">
        <f>IF(AND($F207&lt;&gt;"", $F207&gt;=V$5-4, $F207&lt;=V$5, COUNTIF($M207:U207,"u")=0), "u", "")</f>
        <v/>
      </c>
      <c r="W207" s="80" t="str">
        <f>IF(AND($F207&lt;&gt;"", $F207&gt;=W$5-4, $F207&lt;=W$5, COUNTIF($M207:V207,"u")=0), "u", "")</f>
        <v/>
      </c>
      <c r="X207" s="80" t="str">
        <f>IF(AND($F207&lt;&gt;"", $F207&gt;=X$5-4, $F207&lt;=X$5, COUNTIF($M207:W207,"u")=0), "u", "")</f>
        <v/>
      </c>
      <c r="Y207" s="80" t="str">
        <f>IF(AND($F207&lt;&gt;"", $F207&gt;=Y$5-4, $F207&lt;=Y$5, COUNTIF($M207:X207,"u")=0), "u", "")</f>
        <v/>
      </c>
      <c r="Z207" s="80" t="str">
        <f>IF(AND($F207&lt;&gt;"", $F207&gt;=Z$5-4, $F207&lt;=Z$5, COUNTIF($M207:Y207,"u")=0), "u", "")</f>
        <v/>
      </c>
      <c r="AA207" s="80" t="str">
        <f>IF(AND($F207&lt;&gt;"", $F207&gt;=AA$5-4, $F207&lt;=AA$5, COUNTIF($M207:Z207,"u")=0), "u", "")</f>
        <v/>
      </c>
      <c r="AB207" s="80" t="str">
        <f>IF(AND($F207&lt;&gt;"", $F207&gt;=AB$5-4, $F207&lt;=AB$5, COUNTIF($M207:AA207,"u")=0), "u", "")</f>
        <v/>
      </c>
      <c r="AC207" s="80" t="str">
        <f>IF(AND($F207&lt;&gt;"", $F207&gt;=AC$5-4, $F207&lt;=AC$5, COUNTIF($M207:AB207,"u")=0), "u", "")</f>
        <v/>
      </c>
      <c r="AD207" s="80" t="str">
        <f>IF(AND($F207&lt;&gt;"", $F207&gt;=AD$5-4, $F207&lt;=AD$5, COUNTIF($M207:AC207,"u")=0), "u", "")</f>
        <v/>
      </c>
      <c r="AE207" s="80" t="str">
        <f>IF(AND($F207&lt;&gt;"", $F207&gt;=AE$5-4, $F207&lt;=AE$5, COUNTIF($M207:AD207,"u")=0), "u", "")</f>
        <v/>
      </c>
      <c r="AF207" s="80" t="str">
        <f>IF(AND($F207&lt;&gt;"", $F207&gt;=AF$5-4, $F207&lt;=AF$5, COUNTIF($M207:AE207,"u")=0), "u", "")</f>
        <v/>
      </c>
      <c r="AG207" s="80" t="str">
        <f>IF(AND($F207&lt;&gt;"", $F207&gt;=AG$5-4, $F207&lt;=AG$5, COUNTIF($M207:AF207,"u")=0), "u", "")</f>
        <v/>
      </c>
      <c r="AH207" s="80" t="str">
        <f>IF(AND($F207&lt;&gt;"", $F207&gt;=AH$5-4, $F207&lt;=AH$5, COUNTIF($M207:AG207,"u")=0), "u", "")</f>
        <v/>
      </c>
      <c r="AI207" s="80" t="str">
        <f>IF(AND($F207&lt;&gt;"", $F207&gt;=AI$5-4, $F207&lt;=AI$5, COUNTIF($M207:AH207,"u")=0), "u", "")</f>
        <v/>
      </c>
      <c r="AJ207" s="80" t="str">
        <f>IF(AND($F207&lt;&gt;"", $F207&gt;=AJ$5-4, $F207&lt;=AJ$5, COUNTIF($M207:AI207,"u")=0), "u", "")</f>
        <v/>
      </c>
      <c r="AK207" s="80" t="str">
        <f>IF(AND($F207&lt;&gt;"", $F207&gt;=AK$5-4, $F207&lt;=AK$5, COUNTIF($M207:AJ207,"u")=0), "u", "")</f>
        <v/>
      </c>
      <c r="AL207" s="80" t="str">
        <f>IF(AND($F207&lt;&gt;"", $F207&gt;=AL$5-4, $F207&lt;=AL$5, COUNTIF($M207:AK207,"u")=0), "u", "")</f>
        <v/>
      </c>
      <c r="AM207" s="80" t="str">
        <f>IF(AND($F207&lt;&gt;"", $F207&gt;=AM$5-4, $F207&lt;=AM$5, COUNTIF($M207:AL207,"u")=0), "u", "")</f>
        <v/>
      </c>
      <c r="AN207" s="80" t="str">
        <f>IF(AND($F207&lt;&gt;"", $F207&gt;=AN$5-4, $F207&lt;=AN$5, COUNTIF($M207:AM207,"u")=0), "u", "")</f>
        <v/>
      </c>
      <c r="AO207" s="80" t="str">
        <f>IF(AND($F207&lt;&gt;"", $F207&gt;=AO$5-4, $F207&lt;=AO$5, COUNTIF($M207:AN207,"u")=0), "u", "")</f>
        <v/>
      </c>
      <c r="AP207" s="80" t="str">
        <f>IF(AND($F207&lt;&gt;"", $F207&gt;=AP$5-4, $F207&lt;=AP$5, COUNTIF($M207:AO207,"u")=0), "u", "")</f>
        <v/>
      </c>
      <c r="AQ207" s="80" t="str">
        <f>IF(AND($F207&lt;&gt;"", $F207&gt;=AQ$5-4, $F207&lt;=AQ$5, COUNTIF($M207:AP207,"u")=0), "u", "")</f>
        <v/>
      </c>
      <c r="AR207" s="80" t="str">
        <f>IF(AND($F207&lt;&gt;"", $F207&gt;=AR$5-4, $F207&lt;=AR$5, COUNTIF($M207:AQ207,"u")=0), "u", "")</f>
        <v/>
      </c>
      <c r="AS207" s="80" t="str">
        <f>IF(AND($F207&lt;&gt;"", $F207&gt;=AS$5-4, $F207&lt;=AS$5, COUNTIF($M207:AR207,"u")=0), "u", "")</f>
        <v/>
      </c>
      <c r="AT207" s="80" t="str">
        <f>IF(AND($F207&lt;&gt;"", $F207&gt;=AT$5-4, $F207&lt;=AT$5, COUNTIF($M207:AS207,"u")=0), "u", "")</f>
        <v/>
      </c>
      <c r="AU207" s="80" t="str">
        <f>IF(AND($F207&lt;&gt;"", $F207&gt;=AU$5-4, $F207&lt;=AU$5, COUNTIF($M207:AT207,"u")=0), "u", "")</f>
        <v/>
      </c>
      <c r="AV207" s="80" t="str">
        <f>IF(AND($F207&lt;&gt;"", $F207&gt;=AV$5-4, $F207&lt;=AV$5, COUNTIF($M207:AU207,"u")=0), "u", "")</f>
        <v/>
      </c>
      <c r="AW207" s="80" t="str">
        <f>IF(AND($F207&lt;&gt;"", $F207&gt;=AW$5-4, $F207&lt;=AW$5, COUNTIF($M207:AV207,"u")=0), "u", "")</f>
        <v/>
      </c>
      <c r="AX207" s="80" t="str">
        <f>IF(AND($F207&lt;&gt;"", $F207&gt;=AX$5-4, $F207&lt;=AX$5, COUNTIF($M207:AW207,"u")=0), "u", "")</f>
        <v/>
      </c>
      <c r="AY207" s="80" t="str">
        <f>IF(AND($F207&lt;&gt;"", $F207&gt;=AY$5-4, $F207&lt;=AY$5, COUNTIF($M207:AX207,"u")=0), "u", "")</f>
        <v/>
      </c>
      <c r="AZ207" s="80" t="str">
        <f>IF(AND($F207&lt;&gt;"", $F207&gt;=AZ$5-4, $F207&lt;=AZ$5, COUNTIF($M207:AY207,"u")=0), "u", "")</f>
        <v/>
      </c>
      <c r="BA207" s="80" t="str">
        <f>IF(AND($F207&lt;&gt;"", $F207&gt;=BA$5-4, $F207&lt;=BA$5, COUNTIF($M207:AZ207,"u")=0), "u", "")</f>
        <v/>
      </c>
      <c r="BB207" s="80" t="str">
        <f>IF(AND($F207&lt;&gt;"", $F207&gt;=BB$5-4, $F207&lt;=BB$5, COUNTIF($M207:BA207,"u")=0), "u", "")</f>
        <v/>
      </c>
      <c r="BC207" s="80" t="str">
        <f>IF(AND($F207&lt;&gt;"", $F207&gt;=BC$5-4, $F207&lt;=BC$5, COUNTIF($M207:BB207,"u")=0), "u", "")</f>
        <v/>
      </c>
      <c r="BD207" s="80" t="str">
        <f>IF(AND($F207&lt;&gt;"", $F207&gt;=BD$5-4, $F207&lt;=BD$5, COUNTIF($M207:BC207,"u")=0), "u", "")</f>
        <v/>
      </c>
      <c r="BE207" s="80" t="str">
        <f>IF(AND($F207&lt;&gt;"", $F207&gt;=BE$5-4, $F207&lt;=BE$5, COUNTIF($M207:BD207,"u")=0), "u", "")</f>
        <v/>
      </c>
      <c r="BF207" s="80" t="str">
        <f>IF(AND($F207&lt;&gt;"", $F207&gt;=BF$5-4, $F207&lt;=BF$5, COUNTIF($M207:BE207,"u")=0), "u", "")</f>
        <v/>
      </c>
      <c r="BG207" s="80" t="str">
        <f>IF(AND($F207&lt;&gt;"", $F207&gt;=BG$5-4, $F207&lt;=BG$5, COUNTIF($M207:BF207,"u")=0), "u", "")</f>
        <v/>
      </c>
      <c r="BH207" s="80" t="str">
        <f>IF(AND($F207&lt;&gt;"", $F207&gt;=BH$5-4, $F207&lt;=BH$5, COUNTIF($M207:BG207,"u")=0), "u", "")</f>
        <v/>
      </c>
      <c r="BI207" s="80" t="str">
        <f>IF(AND($F207&lt;&gt;"", $F207&gt;=BI$5-4, $F207&lt;=BI$5, COUNTIF($M207:BH207,"u")=0), "u", "")</f>
        <v/>
      </c>
      <c r="BJ207" s="80" t="str">
        <f>IF(AND($F207&lt;&gt;"", $F207&gt;=BJ$5-4, $F207&lt;=BJ$5, COUNTIF($M207:BI207,"u")=0), "u", "")</f>
        <v/>
      </c>
      <c r="BK207" s="80" t="str">
        <f>IF(AND($F207&lt;&gt;"", $F207&gt;=BK$5-4, $F207&lt;=BK$5, COUNTIF($M207:BJ207,"u")=0), "u", "")</f>
        <v/>
      </c>
      <c r="BL207" s="80" t="str">
        <f>IF(AND($F207&lt;&gt;"", $F207&gt;=BL$5-4, $F207&lt;=BL$5, COUNTIF($M207:BK207,"u")=0), "u", "")</f>
        <v/>
      </c>
      <c r="BM207" s="80" t="str">
        <f>IF(AND($F207&lt;&gt;"", $F207&gt;=BM$5-4, $F207&lt;=BM$5, COUNTIF($M207:BL207,"u")=0), "u", "")</f>
        <v/>
      </c>
      <c r="BN207" s="80" t="str">
        <f>IF(AND($F207&lt;&gt;"", $F207&gt;=BN$5-4, $F207&lt;=BN$5, COUNTIF($M207:BM207,"u")=0), "u", "")</f>
        <v/>
      </c>
      <c r="BO207" s="80" t="str">
        <f>IF(AND($F207&lt;&gt;"", $F207&gt;=BO$5-4, $F207&lt;=BO$5, COUNTIF($M207:BN207,"u")=0), "u", "")</f>
        <v/>
      </c>
      <c r="BP207" s="80" t="str">
        <f>IF(AND($F207&lt;&gt;"", $F207&gt;=BP$5-4, $F207&lt;=BP$5, COUNTIF($M207:BO207,"u")=0), "u", "")</f>
        <v/>
      </c>
      <c r="BQ207" s="80" t="str">
        <f>IF(AND($F207&lt;&gt;"", $F207&gt;=BQ$5-4, $F207&lt;=BQ$5, COUNTIF($M207:BP207,"u")=0), "u", "")</f>
        <v/>
      </c>
      <c r="BR207" s="80" t="str">
        <f>IF(AND($F207&lt;&gt;"", $F207&gt;=BR$5-4, $F207&lt;=BR$5, COUNTIF($M207:BQ207,"u")=0), "u", "")</f>
        <v/>
      </c>
      <c r="BS207" s="80" t="str">
        <f>IF(AND($F207&lt;&gt;"", $F207&gt;=BS$5-4, $F207&lt;=BS$5, COUNTIF($M207:BR207,"u")=0), "u", "")</f>
        <v/>
      </c>
      <c r="BT207" s="80" t="str">
        <f>IF(AND($F207&lt;&gt;"", $F207&gt;=BT$5-4, $F207&lt;=BT$5, COUNTIF($M207:BS207,"u")=0), "u", "")</f>
        <v/>
      </c>
      <c r="BU207" s="80" t="str">
        <f>IF(AND($F207&lt;&gt;"", $F207&gt;=BU$5-4, $F207&lt;=BU$5, COUNTIF($M207:BT207,"u")=0), "u", "")</f>
        <v/>
      </c>
      <c r="BV207" s="80" t="str">
        <f>IF(AND($F207&lt;&gt;"", $F207&gt;=BV$5-4, $F207&lt;=BV$5, COUNTIF($M207:BU207,"u")=0), "u", "")</f>
        <v/>
      </c>
      <c r="BW207" s="80" t="str">
        <f>IF(AND($F207&lt;&gt;"", $F207&gt;=BW$5-4, $F207&lt;=BW$5, COUNTIF($M207:BV207,"u")=0), "u", "")</f>
        <v/>
      </c>
      <c r="BX207" s="80" t="str">
        <f>IF(AND($F207&lt;&gt;"", $F207&gt;=BX$5-4, $F207&lt;=BX$5, COUNTIF($M207:BW207,"u")=0), "u", "")</f>
        <v/>
      </c>
      <c r="BY207" s="80" t="str">
        <f>IF(AND($F207&lt;&gt;"", $F207&gt;=BY$5-4, $F207&lt;=BY$5, COUNTIF($M207:BX207,"u")=0), "u", "")</f>
        <v/>
      </c>
      <c r="BZ207" s="80" t="str">
        <f>IF(AND($F207&lt;&gt;"", $F207&gt;=BZ$5-4, $F207&lt;=BZ$5, COUNTIF($M207:BY207,"u")=0), "u", "")</f>
        <v/>
      </c>
      <c r="CA207" s="80" t="str">
        <f>IF(AND($F207&lt;&gt;"", $F207&gt;=CA$5-4, $F207&lt;=CA$5, COUNTIF($M207:BZ207,"u")=0), "u", "")</f>
        <v/>
      </c>
      <c r="CB207" s="80" t="str">
        <f>IF(AND($F207&lt;&gt;"", $F207&gt;=CB$5-4, $F207&lt;=CB$5, COUNTIF($M207:CA207,"u")=0), "u", "")</f>
        <v/>
      </c>
      <c r="CC207" s="80" t="str">
        <f>IF(AND($F207&lt;&gt;"", $F207&gt;=CC$5-4, $F207&lt;=CC$5, COUNTIF($M207:CB207,"u")=0), "u", "")</f>
        <v/>
      </c>
      <c r="CD207" s="80" t="str">
        <f>IF(AND($F207&lt;&gt;"", $F207&gt;=CD$5-4, $F207&lt;=CD$5, COUNTIF($M207:CC207,"u")=0), "u", "")</f>
        <v/>
      </c>
      <c r="CE207" s="80" t="str">
        <f>IF(AND($F207&lt;&gt;"", $F207&gt;=CE$5-4, $F207&lt;=CE$5, COUNTIF($M207:CD207,"u")=0), "u", "")</f>
        <v/>
      </c>
      <c r="CF207" s="80" t="str">
        <f>IF(AND($F207&lt;&gt;"", $F207&gt;=CF$5-4, $F207&lt;=CF$5, COUNTIF($M207:CE207,"u")=0), "u", "")</f>
        <v/>
      </c>
      <c r="CG207" s="80" t="str">
        <f>IF(AND($F207&lt;&gt;"", $F207&gt;=CG$5-4, $F207&lt;=CG$5, COUNTIF($M207:CF207,"u")=0), "u", "")</f>
        <v/>
      </c>
      <c r="CH207" s="80" t="str">
        <f>IF(AND($F207&lt;&gt;"", $F207&gt;=CH$5-4, $F207&lt;=CH$5, COUNTIF($M207:CG207,"u")=0), "u", "")</f>
        <v/>
      </c>
      <c r="CI207" s="80" t="str">
        <f>IF(AND($F207&lt;&gt;"", $F207&gt;=CI$5-4, $F207&lt;=CI$5, COUNTIF($M207:CH207,"u")=0), "u", "")</f>
        <v/>
      </c>
      <c r="CJ207" s="80" t="str">
        <f>IF(AND($F207&lt;&gt;"", $F207&gt;=CJ$5-4, $F207&lt;=CJ$5, COUNTIF($M207:CI207,"u")=0), "u", "")</f>
        <v/>
      </c>
      <c r="CK207" s="80" t="str">
        <f>IF(AND($F207&lt;&gt;"", $F207&gt;=CK$5-4, $F207&lt;=CK$5, COUNTIF($M207:CJ207,"u")=0), "u", "")</f>
        <v/>
      </c>
      <c r="CL207" s="80" t="str">
        <f>IF(AND($F207&lt;&gt;"", $F207&gt;=CL$5-4, $F207&lt;=CL$5, COUNTIF($M207:CK207,"u")=0), "u", "")</f>
        <v/>
      </c>
      <c r="CM207" s="80" t="str">
        <f>IF(AND($F207&lt;&gt;"", $F207&gt;=CM$5-4, $F207&lt;=CM$5, COUNTIF($M207:CL207,"u")=0), "u", "")</f>
        <v/>
      </c>
      <c r="CN207" s="80" t="str">
        <f>IF(AND($F207&lt;&gt;"", $F207&gt;=CN$5-4, $F207&lt;=CN$5, COUNTIF($M207:CM207,"u")=0), "u", "")</f>
        <v/>
      </c>
      <c r="CO207" s="80" t="str">
        <f>IF(AND($F207&lt;&gt;"", $F207&gt;=CO$5-4, $F207&lt;=CO$5, COUNTIF($M207:CN207,"u")=0), "u", "")</f>
        <v/>
      </c>
      <c r="CP207" s="80" t="str">
        <f>IF(AND($F207&lt;&gt;"", $F207&gt;=CP$5-4, $F207&lt;=CP$5, COUNTIF($M207:CO207,"u")=0), "u", "")</f>
        <v/>
      </c>
      <c r="CQ207" s="80" t="str">
        <f>IF(AND($F207&lt;&gt;"", $F207&gt;=CQ$5-4, $F207&lt;=CQ$5, COUNTIF($M207:CP207,"u")=0), "u", "")</f>
        <v/>
      </c>
      <c r="CR207" s="80" t="str">
        <f>IF(AND($F207&lt;&gt;"", $F207&gt;=CR$5-4, $F207&lt;=CR$5, COUNTIF($M207:CQ207,"u")=0), "u", "")</f>
        <v/>
      </c>
      <c r="CS207" s="80" t="str">
        <f>IF(AND($F207&lt;&gt;"", $F207&gt;=CS$5-4, $F207&lt;=CS$5, COUNTIF($M207:CR207,"u")=0), "u", "")</f>
        <v/>
      </c>
      <c r="CT207" s="80" t="str">
        <f>IF(AND($F207&lt;&gt;"", $F207&gt;=CT$5-4, $F207&lt;=CT$5, COUNTIF($M207:CS207,"u")=0), "u", "")</f>
        <v/>
      </c>
      <c r="CU207" s="80" t="str">
        <f>IF(AND($F207&lt;&gt;"", $F207&gt;=CU$5-4, $F207&lt;=CU$5, COUNTIF($M207:CT207,"u")=0), "u", "")</f>
        <v/>
      </c>
      <c r="CV207" s="80" t="str">
        <f>IF(AND($F207&lt;&gt;"", $F207&gt;=CV$5-4, $F207&lt;=CV$5, COUNTIF($M207:CU207,"u")=0), "u", "")</f>
        <v/>
      </c>
      <c r="CW207" s="80" t="str">
        <f>IF(AND($F207&lt;&gt;"", $F207&gt;=CW$5-4, $F207&lt;=CW$5, COUNTIF($M207:CV207,"u")=0), "u", "")</f>
        <v/>
      </c>
      <c r="CX207" s="80" t="str">
        <f>IF(AND($F207&lt;&gt;"", $F207&gt;=CX$5-4, $F207&lt;=CX$5, COUNTIF($M207:CW207,"u")=0), "u", "")</f>
        <v/>
      </c>
      <c r="CY207" s="80" t="str">
        <f>IF(AND($F207&lt;&gt;"", $F207&gt;=CY$5-4, $F207&lt;=CY$5, COUNTIF($M207:CX207,"u")=0), "u", "")</f>
        <v/>
      </c>
      <c r="CZ207" s="80" t="str">
        <f>IF(AND($F207&lt;&gt;"", $F207&gt;=CZ$5-4, $F207&lt;=CZ$5, COUNTIF($M207:CY207,"u")=0), "u", "")</f>
        <v/>
      </c>
      <c r="DA207" s="80" t="str">
        <f>IF(AND($F207&lt;&gt;"", $F207&gt;=DA$5-4, $F207&lt;=DA$5, COUNTIF($M207:CZ207,"u")=0), "u", "")</f>
        <v/>
      </c>
      <c r="DB207" s="80" t="str">
        <f>IF(AND($F207&lt;&gt;"", $F207&gt;=DB$5-4, $F207&lt;=DB$5, COUNTIF($M207:DA207,"u")=0), "u", "")</f>
        <v/>
      </c>
      <c r="DC207" s="80" t="str">
        <f>IF(AND($F207&lt;&gt;"", $F207&gt;=DC$5-4, $F207&lt;=DC$5, COUNTIF($M207:DB207,"u")=0), "u", "")</f>
        <v/>
      </c>
      <c r="DD207" s="80" t="str">
        <f>IF(AND($F207&lt;&gt;"", $F207&gt;=DD$5-4, $F207&lt;=DD$5, COUNTIF($M207:DC207,"u")=0), "u", "")</f>
        <v/>
      </c>
      <c r="DE207" s="80" t="str">
        <f>IF(AND($F207&lt;&gt;"", $F207&gt;=DE$5-4, $F207&lt;=DE$5, COUNTIF($M207:DD207,"u")=0), "u", "")</f>
        <v/>
      </c>
      <c r="DF207" s="80" t="str">
        <f>IF(AND($F207&lt;&gt;"", $F207&gt;=DF$5-4, $F207&lt;=DF$5, COUNTIF($M207:DE207,"u")=0), "u", "")</f>
        <v/>
      </c>
      <c r="DG207" s="80" t="str">
        <f>IF(AND($F207&lt;&gt;"", $F207&gt;=DG$5-4, $F207&lt;=DG$5, COUNTIF($M207:DF207,"u")=0), "u", "")</f>
        <v/>
      </c>
      <c r="DH207" s="80" t="str">
        <f>IF(AND($F207&lt;&gt;"", $F207&gt;=DH$5-4, $F207&lt;=DH$5, COUNTIF($M207:DG207,"u")=0), "u", "")</f>
        <v/>
      </c>
      <c r="DI207" s="80" t="str">
        <f>IF(AND($F207&lt;&gt;"", $F207&gt;=DI$5-4, $F207&lt;=DI$5, COUNTIF($M207:DH207,"u")=0), "u", "")</f>
        <v/>
      </c>
      <c r="DJ207" s="80" t="str">
        <f>IF(AND($F207&lt;&gt;"", $F207&gt;=DJ$5-4, $F207&lt;=DJ$5, COUNTIF($M207:DI207,"u")=0), "u", "")</f>
        <v/>
      </c>
      <c r="DK207" s="80" t="str">
        <f>IF(AND($F207&lt;&gt;"", $F207&gt;=DK$5-4, $F207&lt;=DK$5, COUNTIF($M207:DJ207,"u")=0), "u", "")</f>
        <v/>
      </c>
      <c r="DL207" s="80" t="str">
        <f>IF(AND($F207&lt;&gt;"", $F207&gt;=DL$5-4, $F207&lt;=DL$5, COUNTIF($M207:DK207,"u")=0), "u", "")</f>
        <v/>
      </c>
    </row>
    <row r="208" spans="1:116" ht="25.05" customHeight="1" x14ac:dyDescent="0.3">
      <c r="A208" s="39"/>
      <c r="B208" s="75">
        <v>203</v>
      </c>
      <c r="C208" s="97"/>
      <c r="D208" s="92"/>
      <c r="E208" s="53"/>
      <c r="F208" s="53"/>
      <c r="G208" s="83" t="str">
        <f t="shared" si="53"/>
        <v/>
      </c>
      <c r="H208" s="83" t="str">
        <f t="shared" si="53"/>
        <v/>
      </c>
      <c r="I208" s="77" t="str">
        <f t="shared" si="54"/>
        <v/>
      </c>
      <c r="J208" s="78"/>
      <c r="K208" s="86"/>
      <c r="L208" s="56"/>
      <c r="M208" s="80" t="str">
        <f t="shared" si="55"/>
        <v/>
      </c>
      <c r="N208" s="80" t="str">
        <f>IF(AND($F208&lt;&gt;"", $F208&gt;=N$5-4, $F208&lt;=N$5, COUNTIF($M208:M208,"u")=0), "u", "")</f>
        <v/>
      </c>
      <c r="O208" s="80" t="str">
        <f>IF(AND($F208&lt;&gt;"", $F208&gt;=O$5-4, $F208&lt;=O$5, COUNTIF($M208:N208,"u")=0), "u", "")</f>
        <v/>
      </c>
      <c r="P208" s="80" t="str">
        <f>IF(AND($F208&lt;&gt;"", $F208&gt;=P$5-4, $F208&lt;=P$5, COUNTIF($M208:O208,"u")=0), "u", "")</f>
        <v/>
      </c>
      <c r="Q208" s="80" t="str">
        <f>IF(AND($F208&lt;&gt;"", $F208&gt;=Q$5-4, $F208&lt;=Q$5, COUNTIF($M208:P208,"u")=0), "u", "")</f>
        <v/>
      </c>
      <c r="R208" s="80" t="str">
        <f>IF(AND($F208&lt;&gt;"", $F208&gt;=R$5-4, $F208&lt;=R$5, COUNTIF($M208:Q208,"u")=0), "u", "")</f>
        <v/>
      </c>
      <c r="S208" s="80" t="str">
        <f>IF(AND($F208&lt;&gt;"", $F208&gt;=S$5-4, $F208&lt;=S$5, COUNTIF($M208:R208,"u")=0), "u", "")</f>
        <v/>
      </c>
      <c r="T208" s="80" t="str">
        <f>IF(AND($F208&lt;&gt;"", $F208&gt;=T$5-4, $F208&lt;=T$5, COUNTIF($M208:S208,"u")=0), "u", "")</f>
        <v/>
      </c>
      <c r="U208" s="80" t="str">
        <f>IF(AND($F208&lt;&gt;"", $F208&gt;=U$5-4, $F208&lt;=U$5, COUNTIF($M208:T208,"u")=0), "u", "")</f>
        <v/>
      </c>
      <c r="V208" s="80" t="str">
        <f>IF(AND($F208&lt;&gt;"", $F208&gt;=V$5-4, $F208&lt;=V$5, COUNTIF($M208:U208,"u")=0), "u", "")</f>
        <v/>
      </c>
      <c r="W208" s="80" t="str">
        <f>IF(AND($F208&lt;&gt;"", $F208&gt;=W$5-4, $F208&lt;=W$5, COUNTIF($M208:V208,"u")=0), "u", "")</f>
        <v/>
      </c>
      <c r="X208" s="80" t="str">
        <f>IF(AND($F208&lt;&gt;"", $F208&gt;=X$5-4, $F208&lt;=X$5, COUNTIF($M208:W208,"u")=0), "u", "")</f>
        <v/>
      </c>
      <c r="Y208" s="80" t="str">
        <f>IF(AND($F208&lt;&gt;"", $F208&gt;=Y$5-4, $F208&lt;=Y$5, COUNTIF($M208:X208,"u")=0), "u", "")</f>
        <v/>
      </c>
      <c r="Z208" s="80" t="str">
        <f>IF(AND($F208&lt;&gt;"", $F208&gt;=Z$5-4, $F208&lt;=Z$5, COUNTIF($M208:Y208,"u")=0), "u", "")</f>
        <v/>
      </c>
      <c r="AA208" s="80" t="str">
        <f>IF(AND($F208&lt;&gt;"", $F208&gt;=AA$5-4, $F208&lt;=AA$5, COUNTIF($M208:Z208,"u")=0), "u", "")</f>
        <v/>
      </c>
      <c r="AB208" s="80" t="str">
        <f>IF(AND($F208&lt;&gt;"", $F208&gt;=AB$5-4, $F208&lt;=AB$5, COUNTIF($M208:AA208,"u")=0), "u", "")</f>
        <v/>
      </c>
      <c r="AC208" s="80" t="str">
        <f>IF(AND($F208&lt;&gt;"", $F208&gt;=AC$5-4, $F208&lt;=AC$5, COUNTIF($M208:AB208,"u")=0), "u", "")</f>
        <v/>
      </c>
      <c r="AD208" s="80" t="str">
        <f>IF(AND($F208&lt;&gt;"", $F208&gt;=AD$5-4, $F208&lt;=AD$5, COUNTIF($M208:AC208,"u")=0), "u", "")</f>
        <v/>
      </c>
      <c r="AE208" s="80" t="str">
        <f>IF(AND($F208&lt;&gt;"", $F208&gt;=AE$5-4, $F208&lt;=AE$5, COUNTIF($M208:AD208,"u")=0), "u", "")</f>
        <v/>
      </c>
      <c r="AF208" s="80" t="str">
        <f>IF(AND($F208&lt;&gt;"", $F208&gt;=AF$5-4, $F208&lt;=AF$5, COUNTIF($M208:AE208,"u")=0), "u", "")</f>
        <v/>
      </c>
      <c r="AG208" s="80" t="str">
        <f>IF(AND($F208&lt;&gt;"", $F208&gt;=AG$5-4, $F208&lt;=AG$5, COUNTIF($M208:AF208,"u")=0), "u", "")</f>
        <v/>
      </c>
      <c r="AH208" s="80" t="str">
        <f>IF(AND($F208&lt;&gt;"", $F208&gt;=AH$5-4, $F208&lt;=AH$5, COUNTIF($M208:AG208,"u")=0), "u", "")</f>
        <v/>
      </c>
      <c r="AI208" s="80" t="str">
        <f>IF(AND($F208&lt;&gt;"", $F208&gt;=AI$5-4, $F208&lt;=AI$5, COUNTIF($M208:AH208,"u")=0), "u", "")</f>
        <v/>
      </c>
      <c r="AJ208" s="80" t="str">
        <f>IF(AND($F208&lt;&gt;"", $F208&gt;=AJ$5-4, $F208&lt;=AJ$5, COUNTIF($M208:AI208,"u")=0), "u", "")</f>
        <v/>
      </c>
      <c r="AK208" s="80" t="str">
        <f>IF(AND($F208&lt;&gt;"", $F208&gt;=AK$5-4, $F208&lt;=AK$5, COUNTIF($M208:AJ208,"u")=0), "u", "")</f>
        <v/>
      </c>
      <c r="AL208" s="80" t="str">
        <f>IF(AND($F208&lt;&gt;"", $F208&gt;=AL$5-4, $F208&lt;=AL$5, COUNTIF($M208:AK208,"u")=0), "u", "")</f>
        <v/>
      </c>
      <c r="AM208" s="80" t="str">
        <f>IF(AND($F208&lt;&gt;"", $F208&gt;=AM$5-4, $F208&lt;=AM$5, COUNTIF($M208:AL208,"u")=0), "u", "")</f>
        <v/>
      </c>
      <c r="AN208" s="80" t="str">
        <f>IF(AND($F208&lt;&gt;"", $F208&gt;=AN$5-4, $F208&lt;=AN$5, COUNTIF($M208:AM208,"u")=0), "u", "")</f>
        <v/>
      </c>
      <c r="AO208" s="80" t="str">
        <f>IF(AND($F208&lt;&gt;"", $F208&gt;=AO$5-4, $F208&lt;=AO$5, COUNTIF($M208:AN208,"u")=0), "u", "")</f>
        <v/>
      </c>
      <c r="AP208" s="80" t="str">
        <f>IF(AND($F208&lt;&gt;"", $F208&gt;=AP$5-4, $F208&lt;=AP$5, COUNTIF($M208:AO208,"u")=0), "u", "")</f>
        <v/>
      </c>
      <c r="AQ208" s="80" t="str">
        <f>IF(AND($F208&lt;&gt;"", $F208&gt;=AQ$5-4, $F208&lt;=AQ$5, COUNTIF($M208:AP208,"u")=0), "u", "")</f>
        <v/>
      </c>
      <c r="AR208" s="80" t="str">
        <f>IF(AND($F208&lt;&gt;"", $F208&gt;=AR$5-4, $F208&lt;=AR$5, COUNTIF($M208:AQ208,"u")=0), "u", "")</f>
        <v/>
      </c>
      <c r="AS208" s="80" t="str">
        <f>IF(AND($F208&lt;&gt;"", $F208&gt;=AS$5-4, $F208&lt;=AS$5, COUNTIF($M208:AR208,"u")=0), "u", "")</f>
        <v/>
      </c>
      <c r="AT208" s="80" t="str">
        <f>IF(AND($F208&lt;&gt;"", $F208&gt;=AT$5-4, $F208&lt;=AT$5, COUNTIF($M208:AS208,"u")=0), "u", "")</f>
        <v/>
      </c>
      <c r="AU208" s="80" t="str">
        <f>IF(AND($F208&lt;&gt;"", $F208&gt;=AU$5-4, $F208&lt;=AU$5, COUNTIF($M208:AT208,"u")=0), "u", "")</f>
        <v/>
      </c>
      <c r="AV208" s="80" t="str">
        <f>IF(AND($F208&lt;&gt;"", $F208&gt;=AV$5-4, $F208&lt;=AV$5, COUNTIF($M208:AU208,"u")=0), "u", "")</f>
        <v/>
      </c>
      <c r="AW208" s="80" t="str">
        <f>IF(AND($F208&lt;&gt;"", $F208&gt;=AW$5-4, $F208&lt;=AW$5, COUNTIF($M208:AV208,"u")=0), "u", "")</f>
        <v/>
      </c>
      <c r="AX208" s="80" t="str">
        <f>IF(AND($F208&lt;&gt;"", $F208&gt;=AX$5-4, $F208&lt;=AX$5, COUNTIF($M208:AW208,"u")=0), "u", "")</f>
        <v/>
      </c>
      <c r="AY208" s="80" t="str">
        <f>IF(AND($F208&lt;&gt;"", $F208&gt;=AY$5-4, $F208&lt;=AY$5, COUNTIF($M208:AX208,"u")=0), "u", "")</f>
        <v/>
      </c>
      <c r="AZ208" s="80" t="str">
        <f>IF(AND($F208&lt;&gt;"", $F208&gt;=AZ$5-4, $F208&lt;=AZ$5, COUNTIF($M208:AY208,"u")=0), "u", "")</f>
        <v/>
      </c>
      <c r="BA208" s="80" t="str">
        <f>IF(AND($F208&lt;&gt;"", $F208&gt;=BA$5-4, $F208&lt;=BA$5, COUNTIF($M208:AZ208,"u")=0), "u", "")</f>
        <v/>
      </c>
      <c r="BB208" s="80" t="str">
        <f>IF(AND($F208&lt;&gt;"", $F208&gt;=BB$5-4, $F208&lt;=BB$5, COUNTIF($M208:BA208,"u")=0), "u", "")</f>
        <v/>
      </c>
      <c r="BC208" s="80" t="str">
        <f>IF(AND($F208&lt;&gt;"", $F208&gt;=BC$5-4, $F208&lt;=BC$5, COUNTIF($M208:BB208,"u")=0), "u", "")</f>
        <v/>
      </c>
      <c r="BD208" s="80" t="str">
        <f>IF(AND($F208&lt;&gt;"", $F208&gt;=BD$5-4, $F208&lt;=BD$5, COUNTIF($M208:BC208,"u")=0), "u", "")</f>
        <v/>
      </c>
      <c r="BE208" s="80" t="str">
        <f>IF(AND($F208&lt;&gt;"", $F208&gt;=BE$5-4, $F208&lt;=BE$5, COUNTIF($M208:BD208,"u")=0), "u", "")</f>
        <v/>
      </c>
      <c r="BF208" s="80" t="str">
        <f>IF(AND($F208&lt;&gt;"", $F208&gt;=BF$5-4, $F208&lt;=BF$5, COUNTIF($M208:BE208,"u")=0), "u", "")</f>
        <v/>
      </c>
      <c r="BG208" s="80" t="str">
        <f>IF(AND($F208&lt;&gt;"", $F208&gt;=BG$5-4, $F208&lt;=BG$5, COUNTIF($M208:BF208,"u")=0), "u", "")</f>
        <v/>
      </c>
      <c r="BH208" s="80" t="str">
        <f>IF(AND($F208&lt;&gt;"", $F208&gt;=BH$5-4, $F208&lt;=BH$5, COUNTIF($M208:BG208,"u")=0), "u", "")</f>
        <v/>
      </c>
      <c r="BI208" s="80" t="str">
        <f>IF(AND($F208&lt;&gt;"", $F208&gt;=BI$5-4, $F208&lt;=BI$5, COUNTIF($M208:BH208,"u")=0), "u", "")</f>
        <v/>
      </c>
      <c r="BJ208" s="80" t="str">
        <f>IF(AND($F208&lt;&gt;"", $F208&gt;=BJ$5-4, $F208&lt;=BJ$5, COUNTIF($M208:BI208,"u")=0), "u", "")</f>
        <v/>
      </c>
      <c r="BK208" s="80" t="str">
        <f>IF(AND($F208&lt;&gt;"", $F208&gt;=BK$5-4, $F208&lt;=BK$5, COUNTIF($M208:BJ208,"u")=0), "u", "")</f>
        <v/>
      </c>
      <c r="BL208" s="80" t="str">
        <f>IF(AND($F208&lt;&gt;"", $F208&gt;=BL$5-4, $F208&lt;=BL$5, COUNTIF($M208:BK208,"u")=0), "u", "")</f>
        <v/>
      </c>
      <c r="BM208" s="80" t="str">
        <f>IF(AND($F208&lt;&gt;"", $F208&gt;=BM$5-4, $F208&lt;=BM$5, COUNTIF($M208:BL208,"u")=0), "u", "")</f>
        <v/>
      </c>
      <c r="BN208" s="80" t="str">
        <f>IF(AND($F208&lt;&gt;"", $F208&gt;=BN$5-4, $F208&lt;=BN$5, COUNTIF($M208:BM208,"u")=0), "u", "")</f>
        <v/>
      </c>
      <c r="BO208" s="80" t="str">
        <f>IF(AND($F208&lt;&gt;"", $F208&gt;=BO$5-4, $F208&lt;=BO$5, COUNTIF($M208:BN208,"u")=0), "u", "")</f>
        <v/>
      </c>
      <c r="BP208" s="80" t="str">
        <f>IF(AND($F208&lt;&gt;"", $F208&gt;=BP$5-4, $F208&lt;=BP$5, COUNTIF($M208:BO208,"u")=0), "u", "")</f>
        <v/>
      </c>
      <c r="BQ208" s="80" t="str">
        <f>IF(AND($F208&lt;&gt;"", $F208&gt;=BQ$5-4, $F208&lt;=BQ$5, COUNTIF($M208:BP208,"u")=0), "u", "")</f>
        <v/>
      </c>
      <c r="BR208" s="80" t="str">
        <f>IF(AND($F208&lt;&gt;"", $F208&gt;=BR$5-4, $F208&lt;=BR$5, COUNTIF($M208:BQ208,"u")=0), "u", "")</f>
        <v/>
      </c>
      <c r="BS208" s="80" t="str">
        <f>IF(AND($F208&lt;&gt;"", $F208&gt;=BS$5-4, $F208&lt;=BS$5, COUNTIF($M208:BR208,"u")=0), "u", "")</f>
        <v/>
      </c>
      <c r="BT208" s="80" t="str">
        <f>IF(AND($F208&lt;&gt;"", $F208&gt;=BT$5-4, $F208&lt;=BT$5, COUNTIF($M208:BS208,"u")=0), "u", "")</f>
        <v/>
      </c>
      <c r="BU208" s="80" t="str">
        <f>IF(AND($F208&lt;&gt;"", $F208&gt;=BU$5-4, $F208&lt;=BU$5, COUNTIF($M208:BT208,"u")=0), "u", "")</f>
        <v/>
      </c>
      <c r="BV208" s="80" t="str">
        <f>IF(AND($F208&lt;&gt;"", $F208&gt;=BV$5-4, $F208&lt;=BV$5, COUNTIF($M208:BU208,"u")=0), "u", "")</f>
        <v/>
      </c>
      <c r="BW208" s="80" t="str">
        <f>IF(AND($F208&lt;&gt;"", $F208&gt;=BW$5-4, $F208&lt;=BW$5, COUNTIF($M208:BV208,"u")=0), "u", "")</f>
        <v/>
      </c>
      <c r="BX208" s="80" t="str">
        <f>IF(AND($F208&lt;&gt;"", $F208&gt;=BX$5-4, $F208&lt;=BX$5, COUNTIF($M208:BW208,"u")=0), "u", "")</f>
        <v/>
      </c>
      <c r="BY208" s="80" t="str">
        <f>IF(AND($F208&lt;&gt;"", $F208&gt;=BY$5-4, $F208&lt;=BY$5, COUNTIF($M208:BX208,"u")=0), "u", "")</f>
        <v/>
      </c>
      <c r="BZ208" s="80" t="str">
        <f>IF(AND($F208&lt;&gt;"", $F208&gt;=BZ$5-4, $F208&lt;=BZ$5, COUNTIF($M208:BY208,"u")=0), "u", "")</f>
        <v/>
      </c>
      <c r="CA208" s="80" t="str">
        <f>IF(AND($F208&lt;&gt;"", $F208&gt;=CA$5-4, $F208&lt;=CA$5, COUNTIF($M208:BZ208,"u")=0), "u", "")</f>
        <v/>
      </c>
      <c r="CB208" s="80" t="str">
        <f>IF(AND($F208&lt;&gt;"", $F208&gt;=CB$5-4, $F208&lt;=CB$5, COUNTIF($M208:CA208,"u")=0), "u", "")</f>
        <v/>
      </c>
      <c r="CC208" s="80" t="str">
        <f>IF(AND($F208&lt;&gt;"", $F208&gt;=CC$5-4, $F208&lt;=CC$5, COUNTIF($M208:CB208,"u")=0), "u", "")</f>
        <v/>
      </c>
      <c r="CD208" s="80" t="str">
        <f>IF(AND($F208&lt;&gt;"", $F208&gt;=CD$5-4, $F208&lt;=CD$5, COUNTIF($M208:CC208,"u")=0), "u", "")</f>
        <v/>
      </c>
      <c r="CE208" s="80" t="str">
        <f>IF(AND($F208&lt;&gt;"", $F208&gt;=CE$5-4, $F208&lt;=CE$5, COUNTIF($M208:CD208,"u")=0), "u", "")</f>
        <v/>
      </c>
      <c r="CF208" s="80" t="str">
        <f>IF(AND($F208&lt;&gt;"", $F208&gt;=CF$5-4, $F208&lt;=CF$5, COUNTIF($M208:CE208,"u")=0), "u", "")</f>
        <v/>
      </c>
      <c r="CG208" s="80" t="str">
        <f>IF(AND($F208&lt;&gt;"", $F208&gt;=CG$5-4, $F208&lt;=CG$5, COUNTIF($M208:CF208,"u")=0), "u", "")</f>
        <v/>
      </c>
      <c r="CH208" s="80" t="str">
        <f>IF(AND($F208&lt;&gt;"", $F208&gt;=CH$5-4, $F208&lt;=CH$5, COUNTIF($M208:CG208,"u")=0), "u", "")</f>
        <v/>
      </c>
      <c r="CI208" s="80" t="str">
        <f>IF(AND($F208&lt;&gt;"", $F208&gt;=CI$5-4, $F208&lt;=CI$5, COUNTIF($M208:CH208,"u")=0), "u", "")</f>
        <v/>
      </c>
      <c r="CJ208" s="80" t="str">
        <f>IF(AND($F208&lt;&gt;"", $F208&gt;=CJ$5-4, $F208&lt;=CJ$5, COUNTIF($M208:CI208,"u")=0), "u", "")</f>
        <v/>
      </c>
      <c r="CK208" s="80" t="str">
        <f>IF(AND($F208&lt;&gt;"", $F208&gt;=CK$5-4, $F208&lt;=CK$5, COUNTIF($M208:CJ208,"u")=0), "u", "")</f>
        <v/>
      </c>
      <c r="CL208" s="80" t="str">
        <f>IF(AND($F208&lt;&gt;"", $F208&gt;=CL$5-4, $F208&lt;=CL$5, COUNTIF($M208:CK208,"u")=0), "u", "")</f>
        <v/>
      </c>
      <c r="CM208" s="80" t="str">
        <f>IF(AND($F208&lt;&gt;"", $F208&gt;=CM$5-4, $F208&lt;=CM$5, COUNTIF($M208:CL208,"u")=0), "u", "")</f>
        <v/>
      </c>
      <c r="CN208" s="80" t="str">
        <f>IF(AND($F208&lt;&gt;"", $F208&gt;=CN$5-4, $F208&lt;=CN$5, COUNTIF($M208:CM208,"u")=0), "u", "")</f>
        <v/>
      </c>
      <c r="CO208" s="80" t="str">
        <f>IF(AND($F208&lt;&gt;"", $F208&gt;=CO$5-4, $F208&lt;=CO$5, COUNTIF($M208:CN208,"u")=0), "u", "")</f>
        <v/>
      </c>
      <c r="CP208" s="80" t="str">
        <f>IF(AND($F208&lt;&gt;"", $F208&gt;=CP$5-4, $F208&lt;=CP$5, COUNTIF($M208:CO208,"u")=0), "u", "")</f>
        <v/>
      </c>
      <c r="CQ208" s="80" t="str">
        <f>IF(AND($F208&lt;&gt;"", $F208&gt;=CQ$5-4, $F208&lt;=CQ$5, COUNTIF($M208:CP208,"u")=0), "u", "")</f>
        <v/>
      </c>
      <c r="CR208" s="80" t="str">
        <f>IF(AND($F208&lt;&gt;"", $F208&gt;=CR$5-4, $F208&lt;=CR$5, COUNTIF($M208:CQ208,"u")=0), "u", "")</f>
        <v/>
      </c>
      <c r="CS208" s="80" t="str">
        <f>IF(AND($F208&lt;&gt;"", $F208&gt;=CS$5-4, $F208&lt;=CS$5, COUNTIF($M208:CR208,"u")=0), "u", "")</f>
        <v/>
      </c>
      <c r="CT208" s="80" t="str">
        <f>IF(AND($F208&lt;&gt;"", $F208&gt;=CT$5-4, $F208&lt;=CT$5, COUNTIF($M208:CS208,"u")=0), "u", "")</f>
        <v/>
      </c>
      <c r="CU208" s="80" t="str">
        <f>IF(AND($F208&lt;&gt;"", $F208&gt;=CU$5-4, $F208&lt;=CU$5, COUNTIF($M208:CT208,"u")=0), "u", "")</f>
        <v/>
      </c>
      <c r="CV208" s="80" t="str">
        <f>IF(AND($F208&lt;&gt;"", $F208&gt;=CV$5-4, $F208&lt;=CV$5, COUNTIF($M208:CU208,"u")=0), "u", "")</f>
        <v/>
      </c>
      <c r="CW208" s="80" t="str">
        <f>IF(AND($F208&lt;&gt;"", $F208&gt;=CW$5-4, $F208&lt;=CW$5, COUNTIF($M208:CV208,"u")=0), "u", "")</f>
        <v/>
      </c>
      <c r="CX208" s="80" t="str">
        <f>IF(AND($F208&lt;&gt;"", $F208&gt;=CX$5-4, $F208&lt;=CX$5, COUNTIF($M208:CW208,"u")=0), "u", "")</f>
        <v/>
      </c>
      <c r="CY208" s="80" t="str">
        <f>IF(AND($F208&lt;&gt;"", $F208&gt;=CY$5-4, $F208&lt;=CY$5, COUNTIF($M208:CX208,"u")=0), "u", "")</f>
        <v/>
      </c>
      <c r="CZ208" s="80" t="str">
        <f>IF(AND($F208&lt;&gt;"", $F208&gt;=CZ$5-4, $F208&lt;=CZ$5, COUNTIF($M208:CY208,"u")=0), "u", "")</f>
        <v/>
      </c>
      <c r="DA208" s="80" t="str">
        <f>IF(AND($F208&lt;&gt;"", $F208&gt;=DA$5-4, $F208&lt;=DA$5, COUNTIF($M208:CZ208,"u")=0), "u", "")</f>
        <v/>
      </c>
      <c r="DB208" s="80" t="str">
        <f>IF(AND($F208&lt;&gt;"", $F208&gt;=DB$5-4, $F208&lt;=DB$5, COUNTIF($M208:DA208,"u")=0), "u", "")</f>
        <v/>
      </c>
      <c r="DC208" s="80" t="str">
        <f>IF(AND($F208&lt;&gt;"", $F208&gt;=DC$5-4, $F208&lt;=DC$5, COUNTIF($M208:DB208,"u")=0), "u", "")</f>
        <v/>
      </c>
      <c r="DD208" s="80" t="str">
        <f>IF(AND($F208&lt;&gt;"", $F208&gt;=DD$5-4, $F208&lt;=DD$5, COUNTIF($M208:DC208,"u")=0), "u", "")</f>
        <v/>
      </c>
      <c r="DE208" s="80" t="str">
        <f>IF(AND($F208&lt;&gt;"", $F208&gt;=DE$5-4, $F208&lt;=DE$5, COUNTIF($M208:DD208,"u")=0), "u", "")</f>
        <v/>
      </c>
      <c r="DF208" s="80" t="str">
        <f>IF(AND($F208&lt;&gt;"", $F208&gt;=DF$5-4, $F208&lt;=DF$5, COUNTIF($M208:DE208,"u")=0), "u", "")</f>
        <v/>
      </c>
      <c r="DG208" s="80" t="str">
        <f>IF(AND($F208&lt;&gt;"", $F208&gt;=DG$5-4, $F208&lt;=DG$5, COUNTIF($M208:DF208,"u")=0), "u", "")</f>
        <v/>
      </c>
      <c r="DH208" s="80" t="str">
        <f>IF(AND($F208&lt;&gt;"", $F208&gt;=DH$5-4, $F208&lt;=DH$5, COUNTIF($M208:DG208,"u")=0), "u", "")</f>
        <v/>
      </c>
      <c r="DI208" s="80" t="str">
        <f>IF(AND($F208&lt;&gt;"", $F208&gt;=DI$5-4, $F208&lt;=DI$5, COUNTIF($M208:DH208,"u")=0), "u", "")</f>
        <v/>
      </c>
      <c r="DJ208" s="80" t="str">
        <f>IF(AND($F208&lt;&gt;"", $F208&gt;=DJ$5-4, $F208&lt;=DJ$5, COUNTIF($M208:DI208,"u")=0), "u", "")</f>
        <v/>
      </c>
      <c r="DK208" s="80" t="str">
        <f>IF(AND($F208&lt;&gt;"", $F208&gt;=DK$5-4, $F208&lt;=DK$5, COUNTIF($M208:DJ208,"u")=0), "u", "")</f>
        <v/>
      </c>
      <c r="DL208" s="80" t="str">
        <f>IF(AND($F208&lt;&gt;"", $F208&gt;=DL$5-4, $F208&lt;=DL$5, COUNTIF($M208:DK208,"u")=0), "u", "")</f>
        <v/>
      </c>
    </row>
    <row r="209" spans="1:116" ht="25.05" customHeight="1" x14ac:dyDescent="0.3">
      <c r="A209" s="39"/>
      <c r="B209" s="75">
        <v>204</v>
      </c>
      <c r="C209" s="97"/>
      <c r="D209" s="92"/>
      <c r="E209" s="53"/>
      <c r="F209" s="53"/>
      <c r="G209" s="83" t="str">
        <f t="shared" si="53"/>
        <v/>
      </c>
      <c r="H209" s="83" t="str">
        <f t="shared" si="53"/>
        <v/>
      </c>
      <c r="I209" s="77" t="str">
        <f t="shared" si="54"/>
        <v/>
      </c>
      <c r="J209" s="78"/>
      <c r="K209" s="86"/>
      <c r="L209" s="56"/>
      <c r="M209" s="80" t="str">
        <f t="shared" si="55"/>
        <v/>
      </c>
      <c r="N209" s="80" t="str">
        <f>IF(AND($F209&lt;&gt;"", $F209&gt;=N$5-4, $F209&lt;=N$5, COUNTIF($M209:M209,"u")=0), "u", "")</f>
        <v/>
      </c>
      <c r="O209" s="80" t="str">
        <f>IF(AND($F209&lt;&gt;"", $F209&gt;=O$5-4, $F209&lt;=O$5, COUNTIF($M209:N209,"u")=0), "u", "")</f>
        <v/>
      </c>
      <c r="P209" s="80" t="str">
        <f>IF(AND($F209&lt;&gt;"", $F209&gt;=P$5-4, $F209&lt;=P$5, COUNTIF($M209:O209,"u")=0), "u", "")</f>
        <v/>
      </c>
      <c r="Q209" s="80" t="str">
        <f>IF(AND($F209&lt;&gt;"", $F209&gt;=Q$5-4, $F209&lt;=Q$5, COUNTIF($M209:P209,"u")=0), "u", "")</f>
        <v/>
      </c>
      <c r="R209" s="80" t="str">
        <f>IF(AND($F209&lt;&gt;"", $F209&gt;=R$5-4, $F209&lt;=R$5, COUNTIF($M209:Q209,"u")=0), "u", "")</f>
        <v/>
      </c>
      <c r="S209" s="80" t="str">
        <f>IF(AND($F209&lt;&gt;"", $F209&gt;=S$5-4, $F209&lt;=S$5, COUNTIF($M209:R209,"u")=0), "u", "")</f>
        <v/>
      </c>
      <c r="T209" s="80" t="str">
        <f>IF(AND($F209&lt;&gt;"", $F209&gt;=T$5-4, $F209&lt;=T$5, COUNTIF($M209:S209,"u")=0), "u", "")</f>
        <v/>
      </c>
      <c r="U209" s="80" t="str">
        <f>IF(AND($F209&lt;&gt;"", $F209&gt;=U$5-4, $F209&lt;=U$5, COUNTIF($M209:T209,"u")=0), "u", "")</f>
        <v/>
      </c>
      <c r="V209" s="80" t="str">
        <f>IF(AND($F209&lt;&gt;"", $F209&gt;=V$5-4, $F209&lt;=V$5, COUNTIF($M209:U209,"u")=0), "u", "")</f>
        <v/>
      </c>
      <c r="W209" s="80" t="str">
        <f>IF(AND($F209&lt;&gt;"", $F209&gt;=W$5-4, $F209&lt;=W$5, COUNTIF($M209:V209,"u")=0), "u", "")</f>
        <v/>
      </c>
      <c r="X209" s="80" t="str">
        <f>IF(AND($F209&lt;&gt;"", $F209&gt;=X$5-4, $F209&lt;=X$5, COUNTIF($M209:W209,"u")=0), "u", "")</f>
        <v/>
      </c>
      <c r="Y209" s="80" t="str">
        <f>IF(AND($F209&lt;&gt;"", $F209&gt;=Y$5-4, $F209&lt;=Y$5, COUNTIF($M209:X209,"u")=0), "u", "")</f>
        <v/>
      </c>
      <c r="Z209" s="80" t="str">
        <f>IF(AND($F209&lt;&gt;"", $F209&gt;=Z$5-4, $F209&lt;=Z$5, COUNTIF($M209:Y209,"u")=0), "u", "")</f>
        <v/>
      </c>
      <c r="AA209" s="80" t="str">
        <f>IF(AND($F209&lt;&gt;"", $F209&gt;=AA$5-4, $F209&lt;=AA$5, COUNTIF($M209:Z209,"u")=0), "u", "")</f>
        <v/>
      </c>
      <c r="AB209" s="80" t="str">
        <f>IF(AND($F209&lt;&gt;"", $F209&gt;=AB$5-4, $F209&lt;=AB$5, COUNTIF($M209:AA209,"u")=0), "u", "")</f>
        <v/>
      </c>
      <c r="AC209" s="80" t="str">
        <f>IF(AND($F209&lt;&gt;"", $F209&gt;=AC$5-4, $F209&lt;=AC$5, COUNTIF($M209:AB209,"u")=0), "u", "")</f>
        <v/>
      </c>
      <c r="AD209" s="80" t="str">
        <f>IF(AND($F209&lt;&gt;"", $F209&gt;=AD$5-4, $F209&lt;=AD$5, COUNTIF($M209:AC209,"u")=0), "u", "")</f>
        <v/>
      </c>
      <c r="AE209" s="80" t="str">
        <f>IF(AND($F209&lt;&gt;"", $F209&gt;=AE$5-4, $F209&lt;=AE$5, COUNTIF($M209:AD209,"u")=0), "u", "")</f>
        <v/>
      </c>
      <c r="AF209" s="80" t="str">
        <f>IF(AND($F209&lt;&gt;"", $F209&gt;=AF$5-4, $F209&lt;=AF$5, COUNTIF($M209:AE209,"u")=0), "u", "")</f>
        <v/>
      </c>
      <c r="AG209" s="80" t="str">
        <f>IF(AND($F209&lt;&gt;"", $F209&gt;=AG$5-4, $F209&lt;=AG$5, COUNTIF($M209:AF209,"u")=0), "u", "")</f>
        <v/>
      </c>
      <c r="AH209" s="80" t="str">
        <f>IF(AND($F209&lt;&gt;"", $F209&gt;=AH$5-4, $F209&lt;=AH$5, COUNTIF($M209:AG209,"u")=0), "u", "")</f>
        <v/>
      </c>
      <c r="AI209" s="80" t="str">
        <f>IF(AND($F209&lt;&gt;"", $F209&gt;=AI$5-4, $F209&lt;=AI$5, COUNTIF($M209:AH209,"u")=0), "u", "")</f>
        <v/>
      </c>
      <c r="AJ209" s="80" t="str">
        <f>IF(AND($F209&lt;&gt;"", $F209&gt;=AJ$5-4, $F209&lt;=AJ$5, COUNTIF($M209:AI209,"u")=0), "u", "")</f>
        <v/>
      </c>
      <c r="AK209" s="80" t="str">
        <f>IF(AND($F209&lt;&gt;"", $F209&gt;=AK$5-4, $F209&lt;=AK$5, COUNTIF($M209:AJ209,"u")=0), "u", "")</f>
        <v/>
      </c>
      <c r="AL209" s="80" t="str">
        <f>IF(AND($F209&lt;&gt;"", $F209&gt;=AL$5-4, $F209&lt;=AL$5, COUNTIF($M209:AK209,"u")=0), "u", "")</f>
        <v/>
      </c>
      <c r="AM209" s="80" t="str">
        <f>IF(AND($F209&lt;&gt;"", $F209&gt;=AM$5-4, $F209&lt;=AM$5, COUNTIF($M209:AL209,"u")=0), "u", "")</f>
        <v/>
      </c>
      <c r="AN209" s="80" t="str">
        <f>IF(AND($F209&lt;&gt;"", $F209&gt;=AN$5-4, $F209&lt;=AN$5, COUNTIF($M209:AM209,"u")=0), "u", "")</f>
        <v/>
      </c>
      <c r="AO209" s="80" t="str">
        <f>IF(AND($F209&lt;&gt;"", $F209&gt;=AO$5-4, $F209&lt;=AO$5, COUNTIF($M209:AN209,"u")=0), "u", "")</f>
        <v/>
      </c>
      <c r="AP209" s="80" t="str">
        <f>IF(AND($F209&lt;&gt;"", $F209&gt;=AP$5-4, $F209&lt;=AP$5, COUNTIF($M209:AO209,"u")=0), "u", "")</f>
        <v/>
      </c>
      <c r="AQ209" s="80" t="str">
        <f>IF(AND($F209&lt;&gt;"", $F209&gt;=AQ$5-4, $F209&lt;=AQ$5, COUNTIF($M209:AP209,"u")=0), "u", "")</f>
        <v/>
      </c>
      <c r="AR209" s="80" t="str">
        <f>IF(AND($F209&lt;&gt;"", $F209&gt;=AR$5-4, $F209&lt;=AR$5, COUNTIF($M209:AQ209,"u")=0), "u", "")</f>
        <v/>
      </c>
      <c r="AS209" s="80" t="str">
        <f>IF(AND($F209&lt;&gt;"", $F209&gt;=AS$5-4, $F209&lt;=AS$5, COUNTIF($M209:AR209,"u")=0), "u", "")</f>
        <v/>
      </c>
      <c r="AT209" s="80" t="str">
        <f>IF(AND($F209&lt;&gt;"", $F209&gt;=AT$5-4, $F209&lt;=AT$5, COUNTIF($M209:AS209,"u")=0), "u", "")</f>
        <v/>
      </c>
      <c r="AU209" s="80" t="str">
        <f>IF(AND($F209&lt;&gt;"", $F209&gt;=AU$5-4, $F209&lt;=AU$5, COUNTIF($M209:AT209,"u")=0), "u", "")</f>
        <v/>
      </c>
      <c r="AV209" s="80" t="str">
        <f>IF(AND($F209&lt;&gt;"", $F209&gt;=AV$5-4, $F209&lt;=AV$5, COUNTIF($M209:AU209,"u")=0), "u", "")</f>
        <v/>
      </c>
      <c r="AW209" s="80" t="str">
        <f>IF(AND($F209&lt;&gt;"", $F209&gt;=AW$5-4, $F209&lt;=AW$5, COUNTIF($M209:AV209,"u")=0), "u", "")</f>
        <v/>
      </c>
      <c r="AX209" s="80" t="str">
        <f>IF(AND($F209&lt;&gt;"", $F209&gt;=AX$5-4, $F209&lt;=AX$5, COUNTIF($M209:AW209,"u")=0), "u", "")</f>
        <v/>
      </c>
      <c r="AY209" s="80" t="str">
        <f>IF(AND($F209&lt;&gt;"", $F209&gt;=AY$5-4, $F209&lt;=AY$5, COUNTIF($M209:AX209,"u")=0), "u", "")</f>
        <v/>
      </c>
      <c r="AZ209" s="80" t="str">
        <f>IF(AND($F209&lt;&gt;"", $F209&gt;=AZ$5-4, $F209&lt;=AZ$5, COUNTIF($M209:AY209,"u")=0), "u", "")</f>
        <v/>
      </c>
      <c r="BA209" s="80" t="str">
        <f>IF(AND($F209&lt;&gt;"", $F209&gt;=BA$5-4, $F209&lt;=BA$5, COUNTIF($M209:AZ209,"u")=0), "u", "")</f>
        <v/>
      </c>
      <c r="BB209" s="80" t="str">
        <f>IF(AND($F209&lt;&gt;"", $F209&gt;=BB$5-4, $F209&lt;=BB$5, COUNTIF($M209:BA209,"u")=0), "u", "")</f>
        <v/>
      </c>
      <c r="BC209" s="80" t="str">
        <f>IF(AND($F209&lt;&gt;"", $F209&gt;=BC$5-4, $F209&lt;=BC$5, COUNTIF($M209:BB209,"u")=0), "u", "")</f>
        <v/>
      </c>
      <c r="BD209" s="80" t="str">
        <f>IF(AND($F209&lt;&gt;"", $F209&gt;=BD$5-4, $F209&lt;=BD$5, COUNTIF($M209:BC209,"u")=0), "u", "")</f>
        <v/>
      </c>
      <c r="BE209" s="80" t="str">
        <f>IF(AND($F209&lt;&gt;"", $F209&gt;=BE$5-4, $F209&lt;=BE$5, COUNTIF($M209:BD209,"u")=0), "u", "")</f>
        <v/>
      </c>
      <c r="BF209" s="80" t="str">
        <f>IF(AND($F209&lt;&gt;"", $F209&gt;=BF$5-4, $F209&lt;=BF$5, COUNTIF($M209:BE209,"u")=0), "u", "")</f>
        <v/>
      </c>
      <c r="BG209" s="80" t="str">
        <f>IF(AND($F209&lt;&gt;"", $F209&gt;=BG$5-4, $F209&lt;=BG$5, COUNTIF($M209:BF209,"u")=0), "u", "")</f>
        <v/>
      </c>
      <c r="BH209" s="80" t="str">
        <f>IF(AND($F209&lt;&gt;"", $F209&gt;=BH$5-4, $F209&lt;=BH$5, COUNTIF($M209:BG209,"u")=0), "u", "")</f>
        <v/>
      </c>
      <c r="BI209" s="80" t="str">
        <f>IF(AND($F209&lt;&gt;"", $F209&gt;=BI$5-4, $F209&lt;=BI$5, COUNTIF($M209:BH209,"u")=0), "u", "")</f>
        <v/>
      </c>
      <c r="BJ209" s="80" t="str">
        <f>IF(AND($F209&lt;&gt;"", $F209&gt;=BJ$5-4, $F209&lt;=BJ$5, COUNTIF($M209:BI209,"u")=0), "u", "")</f>
        <v/>
      </c>
      <c r="BK209" s="80" t="str">
        <f>IF(AND($F209&lt;&gt;"", $F209&gt;=BK$5-4, $F209&lt;=BK$5, COUNTIF($M209:BJ209,"u")=0), "u", "")</f>
        <v/>
      </c>
      <c r="BL209" s="80" t="str">
        <f>IF(AND($F209&lt;&gt;"", $F209&gt;=BL$5-4, $F209&lt;=BL$5, COUNTIF($M209:BK209,"u")=0), "u", "")</f>
        <v/>
      </c>
      <c r="BM209" s="80" t="str">
        <f>IF(AND($F209&lt;&gt;"", $F209&gt;=BM$5-4, $F209&lt;=BM$5, COUNTIF($M209:BL209,"u")=0), "u", "")</f>
        <v/>
      </c>
      <c r="BN209" s="80" t="str">
        <f>IF(AND($F209&lt;&gt;"", $F209&gt;=BN$5-4, $F209&lt;=BN$5, COUNTIF($M209:BM209,"u")=0), "u", "")</f>
        <v/>
      </c>
      <c r="BO209" s="80" t="str">
        <f>IF(AND($F209&lt;&gt;"", $F209&gt;=BO$5-4, $F209&lt;=BO$5, COUNTIF($M209:BN209,"u")=0), "u", "")</f>
        <v/>
      </c>
      <c r="BP209" s="80" t="str">
        <f>IF(AND($F209&lt;&gt;"", $F209&gt;=BP$5-4, $F209&lt;=BP$5, COUNTIF($M209:BO209,"u")=0), "u", "")</f>
        <v/>
      </c>
      <c r="BQ209" s="80" t="str">
        <f>IF(AND($F209&lt;&gt;"", $F209&gt;=BQ$5-4, $F209&lt;=BQ$5, COUNTIF($M209:BP209,"u")=0), "u", "")</f>
        <v/>
      </c>
      <c r="BR209" s="80" t="str">
        <f>IF(AND($F209&lt;&gt;"", $F209&gt;=BR$5-4, $F209&lt;=BR$5, COUNTIF($M209:BQ209,"u")=0), "u", "")</f>
        <v/>
      </c>
      <c r="BS209" s="80" t="str">
        <f>IF(AND($F209&lt;&gt;"", $F209&gt;=BS$5-4, $F209&lt;=BS$5, COUNTIF($M209:BR209,"u")=0), "u", "")</f>
        <v/>
      </c>
      <c r="BT209" s="80" t="str">
        <f>IF(AND($F209&lt;&gt;"", $F209&gt;=BT$5-4, $F209&lt;=BT$5, COUNTIF($M209:BS209,"u")=0), "u", "")</f>
        <v/>
      </c>
      <c r="BU209" s="80" t="str">
        <f>IF(AND($F209&lt;&gt;"", $F209&gt;=BU$5-4, $F209&lt;=BU$5, COUNTIF($M209:BT209,"u")=0), "u", "")</f>
        <v/>
      </c>
      <c r="BV209" s="80" t="str">
        <f>IF(AND($F209&lt;&gt;"", $F209&gt;=BV$5-4, $F209&lt;=BV$5, COUNTIF($M209:BU209,"u")=0), "u", "")</f>
        <v/>
      </c>
      <c r="BW209" s="80" t="str">
        <f>IF(AND($F209&lt;&gt;"", $F209&gt;=BW$5-4, $F209&lt;=BW$5, COUNTIF($M209:BV209,"u")=0), "u", "")</f>
        <v/>
      </c>
      <c r="BX209" s="80" t="str">
        <f>IF(AND($F209&lt;&gt;"", $F209&gt;=BX$5-4, $F209&lt;=BX$5, COUNTIF($M209:BW209,"u")=0), "u", "")</f>
        <v/>
      </c>
      <c r="BY209" s="80" t="str">
        <f>IF(AND($F209&lt;&gt;"", $F209&gt;=BY$5-4, $F209&lt;=BY$5, COUNTIF($M209:BX209,"u")=0), "u", "")</f>
        <v/>
      </c>
      <c r="BZ209" s="80" t="str">
        <f>IF(AND($F209&lt;&gt;"", $F209&gt;=BZ$5-4, $F209&lt;=BZ$5, COUNTIF($M209:BY209,"u")=0), "u", "")</f>
        <v/>
      </c>
      <c r="CA209" s="80" t="str">
        <f>IF(AND($F209&lt;&gt;"", $F209&gt;=CA$5-4, $F209&lt;=CA$5, COUNTIF($M209:BZ209,"u")=0), "u", "")</f>
        <v/>
      </c>
      <c r="CB209" s="80" t="str">
        <f>IF(AND($F209&lt;&gt;"", $F209&gt;=CB$5-4, $F209&lt;=CB$5, COUNTIF($M209:CA209,"u")=0), "u", "")</f>
        <v/>
      </c>
      <c r="CC209" s="80" t="str">
        <f>IF(AND($F209&lt;&gt;"", $F209&gt;=CC$5-4, $F209&lt;=CC$5, COUNTIF($M209:CB209,"u")=0), "u", "")</f>
        <v/>
      </c>
      <c r="CD209" s="80" t="str">
        <f>IF(AND($F209&lt;&gt;"", $F209&gt;=CD$5-4, $F209&lt;=CD$5, COUNTIF($M209:CC209,"u")=0), "u", "")</f>
        <v/>
      </c>
      <c r="CE209" s="80" t="str">
        <f>IF(AND($F209&lt;&gt;"", $F209&gt;=CE$5-4, $F209&lt;=CE$5, COUNTIF($M209:CD209,"u")=0), "u", "")</f>
        <v/>
      </c>
      <c r="CF209" s="80" t="str">
        <f>IF(AND($F209&lt;&gt;"", $F209&gt;=CF$5-4, $F209&lt;=CF$5, COUNTIF($M209:CE209,"u")=0), "u", "")</f>
        <v/>
      </c>
      <c r="CG209" s="80" t="str">
        <f>IF(AND($F209&lt;&gt;"", $F209&gt;=CG$5-4, $F209&lt;=CG$5, COUNTIF($M209:CF209,"u")=0), "u", "")</f>
        <v/>
      </c>
      <c r="CH209" s="80" t="str">
        <f>IF(AND($F209&lt;&gt;"", $F209&gt;=CH$5-4, $F209&lt;=CH$5, COUNTIF($M209:CG209,"u")=0), "u", "")</f>
        <v/>
      </c>
      <c r="CI209" s="80" t="str">
        <f>IF(AND($F209&lt;&gt;"", $F209&gt;=CI$5-4, $F209&lt;=CI$5, COUNTIF($M209:CH209,"u")=0), "u", "")</f>
        <v/>
      </c>
      <c r="CJ209" s="80" t="str">
        <f>IF(AND($F209&lt;&gt;"", $F209&gt;=CJ$5-4, $F209&lt;=CJ$5, COUNTIF($M209:CI209,"u")=0), "u", "")</f>
        <v/>
      </c>
      <c r="CK209" s="80" t="str">
        <f>IF(AND($F209&lt;&gt;"", $F209&gt;=CK$5-4, $F209&lt;=CK$5, COUNTIF($M209:CJ209,"u")=0), "u", "")</f>
        <v/>
      </c>
      <c r="CL209" s="80" t="str">
        <f>IF(AND($F209&lt;&gt;"", $F209&gt;=CL$5-4, $F209&lt;=CL$5, COUNTIF($M209:CK209,"u")=0), "u", "")</f>
        <v/>
      </c>
      <c r="CM209" s="80" t="str">
        <f>IF(AND($F209&lt;&gt;"", $F209&gt;=CM$5-4, $F209&lt;=CM$5, COUNTIF($M209:CL209,"u")=0), "u", "")</f>
        <v/>
      </c>
      <c r="CN209" s="80" t="str">
        <f>IF(AND($F209&lt;&gt;"", $F209&gt;=CN$5-4, $F209&lt;=CN$5, COUNTIF($M209:CM209,"u")=0), "u", "")</f>
        <v/>
      </c>
      <c r="CO209" s="80" t="str">
        <f>IF(AND($F209&lt;&gt;"", $F209&gt;=CO$5-4, $F209&lt;=CO$5, COUNTIF($M209:CN209,"u")=0), "u", "")</f>
        <v/>
      </c>
      <c r="CP209" s="80" t="str">
        <f>IF(AND($F209&lt;&gt;"", $F209&gt;=CP$5-4, $F209&lt;=CP$5, COUNTIF($M209:CO209,"u")=0), "u", "")</f>
        <v/>
      </c>
      <c r="CQ209" s="80" t="str">
        <f>IF(AND($F209&lt;&gt;"", $F209&gt;=CQ$5-4, $F209&lt;=CQ$5, COUNTIF($M209:CP209,"u")=0), "u", "")</f>
        <v/>
      </c>
      <c r="CR209" s="80" t="str">
        <f>IF(AND($F209&lt;&gt;"", $F209&gt;=CR$5-4, $F209&lt;=CR$5, COUNTIF($M209:CQ209,"u")=0), "u", "")</f>
        <v/>
      </c>
      <c r="CS209" s="80" t="str">
        <f>IF(AND($F209&lt;&gt;"", $F209&gt;=CS$5-4, $F209&lt;=CS$5, COUNTIF($M209:CR209,"u")=0), "u", "")</f>
        <v/>
      </c>
      <c r="CT209" s="80" t="str">
        <f>IF(AND($F209&lt;&gt;"", $F209&gt;=CT$5-4, $F209&lt;=CT$5, COUNTIF($M209:CS209,"u")=0), "u", "")</f>
        <v/>
      </c>
      <c r="CU209" s="80" t="str">
        <f>IF(AND($F209&lt;&gt;"", $F209&gt;=CU$5-4, $F209&lt;=CU$5, COUNTIF($M209:CT209,"u")=0), "u", "")</f>
        <v/>
      </c>
      <c r="CV209" s="80" t="str">
        <f>IF(AND($F209&lt;&gt;"", $F209&gt;=CV$5-4, $F209&lt;=CV$5, COUNTIF($M209:CU209,"u")=0), "u", "")</f>
        <v/>
      </c>
      <c r="CW209" s="80" t="str">
        <f>IF(AND($F209&lt;&gt;"", $F209&gt;=CW$5-4, $F209&lt;=CW$5, COUNTIF($M209:CV209,"u")=0), "u", "")</f>
        <v/>
      </c>
      <c r="CX209" s="80" t="str">
        <f>IF(AND($F209&lt;&gt;"", $F209&gt;=CX$5-4, $F209&lt;=CX$5, COUNTIF($M209:CW209,"u")=0), "u", "")</f>
        <v/>
      </c>
      <c r="CY209" s="80" t="str">
        <f>IF(AND($F209&lt;&gt;"", $F209&gt;=CY$5-4, $F209&lt;=CY$5, COUNTIF($M209:CX209,"u")=0), "u", "")</f>
        <v/>
      </c>
      <c r="CZ209" s="80" t="str">
        <f>IF(AND($F209&lt;&gt;"", $F209&gt;=CZ$5-4, $F209&lt;=CZ$5, COUNTIF($M209:CY209,"u")=0), "u", "")</f>
        <v/>
      </c>
      <c r="DA209" s="80" t="str">
        <f>IF(AND($F209&lt;&gt;"", $F209&gt;=DA$5-4, $F209&lt;=DA$5, COUNTIF($M209:CZ209,"u")=0), "u", "")</f>
        <v/>
      </c>
      <c r="DB209" s="80" t="str">
        <f>IF(AND($F209&lt;&gt;"", $F209&gt;=DB$5-4, $F209&lt;=DB$5, COUNTIF($M209:DA209,"u")=0), "u", "")</f>
        <v/>
      </c>
      <c r="DC209" s="80" t="str">
        <f>IF(AND($F209&lt;&gt;"", $F209&gt;=DC$5-4, $F209&lt;=DC$5, COUNTIF($M209:DB209,"u")=0), "u", "")</f>
        <v/>
      </c>
      <c r="DD209" s="80" t="str">
        <f>IF(AND($F209&lt;&gt;"", $F209&gt;=DD$5-4, $F209&lt;=DD$5, COUNTIF($M209:DC209,"u")=0), "u", "")</f>
        <v/>
      </c>
      <c r="DE209" s="80" t="str">
        <f>IF(AND($F209&lt;&gt;"", $F209&gt;=DE$5-4, $F209&lt;=DE$5, COUNTIF($M209:DD209,"u")=0), "u", "")</f>
        <v/>
      </c>
      <c r="DF209" s="80" t="str">
        <f>IF(AND($F209&lt;&gt;"", $F209&gt;=DF$5-4, $F209&lt;=DF$5, COUNTIF($M209:DE209,"u")=0), "u", "")</f>
        <v/>
      </c>
      <c r="DG209" s="80" t="str">
        <f>IF(AND($F209&lt;&gt;"", $F209&gt;=DG$5-4, $F209&lt;=DG$5, COUNTIF($M209:DF209,"u")=0), "u", "")</f>
        <v/>
      </c>
      <c r="DH209" s="80" t="str">
        <f>IF(AND($F209&lt;&gt;"", $F209&gt;=DH$5-4, $F209&lt;=DH$5, COUNTIF($M209:DG209,"u")=0), "u", "")</f>
        <v/>
      </c>
      <c r="DI209" s="80" t="str">
        <f>IF(AND($F209&lt;&gt;"", $F209&gt;=DI$5-4, $F209&lt;=DI$5, COUNTIF($M209:DH209,"u")=0), "u", "")</f>
        <v/>
      </c>
      <c r="DJ209" s="80" t="str">
        <f>IF(AND($F209&lt;&gt;"", $F209&gt;=DJ$5-4, $F209&lt;=DJ$5, COUNTIF($M209:DI209,"u")=0), "u", "")</f>
        <v/>
      </c>
      <c r="DK209" s="80" t="str">
        <f>IF(AND($F209&lt;&gt;"", $F209&gt;=DK$5-4, $F209&lt;=DK$5, COUNTIF($M209:DJ209,"u")=0), "u", "")</f>
        <v/>
      </c>
      <c r="DL209" s="80" t="str">
        <f>IF(AND($F209&lt;&gt;"", $F209&gt;=DL$5-4, $F209&lt;=DL$5, COUNTIF($M209:DK209,"u")=0), "u", "")</f>
        <v/>
      </c>
    </row>
    <row r="210" spans="1:116" ht="25.05" customHeight="1" x14ac:dyDescent="0.3">
      <c r="A210" s="39"/>
      <c r="B210" s="75">
        <v>205</v>
      </c>
      <c r="C210" s="97"/>
      <c r="D210" s="92"/>
      <c r="E210" s="53"/>
      <c r="F210" s="53"/>
      <c r="G210" s="83" t="str">
        <f t="shared" si="53"/>
        <v/>
      </c>
      <c r="H210" s="83" t="str">
        <f t="shared" si="53"/>
        <v/>
      </c>
      <c r="I210" s="77" t="str">
        <f t="shared" si="54"/>
        <v/>
      </c>
      <c r="J210" s="78"/>
      <c r="K210" s="86"/>
      <c r="L210" s="56"/>
      <c r="M210" s="80" t="str">
        <f t="shared" si="55"/>
        <v/>
      </c>
      <c r="N210" s="80" t="str">
        <f>IF(AND($F210&lt;&gt;"", $F210&gt;=N$5-4, $F210&lt;=N$5, COUNTIF($M210:M210,"u")=0), "u", "")</f>
        <v/>
      </c>
      <c r="O210" s="80" t="str">
        <f>IF(AND($F210&lt;&gt;"", $F210&gt;=O$5-4, $F210&lt;=O$5, COUNTIF($M210:N210,"u")=0), "u", "")</f>
        <v/>
      </c>
      <c r="P210" s="80" t="str">
        <f>IF(AND($F210&lt;&gt;"", $F210&gt;=P$5-4, $F210&lt;=P$5, COUNTIF($M210:O210,"u")=0), "u", "")</f>
        <v/>
      </c>
      <c r="Q210" s="80" t="str">
        <f>IF(AND($F210&lt;&gt;"", $F210&gt;=Q$5-4, $F210&lt;=Q$5, COUNTIF($M210:P210,"u")=0), "u", "")</f>
        <v/>
      </c>
      <c r="R210" s="80" t="str">
        <f>IF(AND($F210&lt;&gt;"", $F210&gt;=R$5-4, $F210&lt;=R$5, COUNTIF($M210:Q210,"u")=0), "u", "")</f>
        <v/>
      </c>
      <c r="S210" s="80" t="str">
        <f>IF(AND($F210&lt;&gt;"", $F210&gt;=S$5-4, $F210&lt;=S$5, COUNTIF($M210:R210,"u")=0), "u", "")</f>
        <v/>
      </c>
      <c r="T210" s="80" t="str">
        <f>IF(AND($F210&lt;&gt;"", $F210&gt;=T$5-4, $F210&lt;=T$5, COUNTIF($M210:S210,"u")=0), "u", "")</f>
        <v/>
      </c>
      <c r="U210" s="80" t="str">
        <f>IF(AND($F210&lt;&gt;"", $F210&gt;=U$5-4, $F210&lt;=U$5, COUNTIF($M210:T210,"u")=0), "u", "")</f>
        <v/>
      </c>
      <c r="V210" s="80" t="str">
        <f>IF(AND($F210&lt;&gt;"", $F210&gt;=V$5-4, $F210&lt;=V$5, COUNTIF($M210:U210,"u")=0), "u", "")</f>
        <v/>
      </c>
      <c r="W210" s="80" t="str">
        <f>IF(AND($F210&lt;&gt;"", $F210&gt;=W$5-4, $F210&lt;=W$5, COUNTIF($M210:V210,"u")=0), "u", "")</f>
        <v/>
      </c>
      <c r="X210" s="80" t="str">
        <f>IF(AND($F210&lt;&gt;"", $F210&gt;=X$5-4, $F210&lt;=X$5, COUNTIF($M210:W210,"u")=0), "u", "")</f>
        <v/>
      </c>
      <c r="Y210" s="80" t="str">
        <f>IF(AND($F210&lt;&gt;"", $F210&gt;=Y$5-4, $F210&lt;=Y$5, COUNTIF($M210:X210,"u")=0), "u", "")</f>
        <v/>
      </c>
      <c r="Z210" s="80" t="str">
        <f>IF(AND($F210&lt;&gt;"", $F210&gt;=Z$5-4, $F210&lt;=Z$5, COUNTIF($M210:Y210,"u")=0), "u", "")</f>
        <v/>
      </c>
      <c r="AA210" s="80" t="str">
        <f>IF(AND($F210&lt;&gt;"", $F210&gt;=AA$5-4, $F210&lt;=AA$5, COUNTIF($M210:Z210,"u")=0), "u", "")</f>
        <v/>
      </c>
      <c r="AB210" s="80" t="str">
        <f>IF(AND($F210&lt;&gt;"", $F210&gt;=AB$5-4, $F210&lt;=AB$5, COUNTIF($M210:AA210,"u")=0), "u", "")</f>
        <v/>
      </c>
      <c r="AC210" s="80" t="str">
        <f>IF(AND($F210&lt;&gt;"", $F210&gt;=AC$5-4, $F210&lt;=AC$5, COUNTIF($M210:AB210,"u")=0), "u", "")</f>
        <v/>
      </c>
      <c r="AD210" s="80" t="str">
        <f>IF(AND($F210&lt;&gt;"", $F210&gt;=AD$5-4, $F210&lt;=AD$5, COUNTIF($M210:AC210,"u")=0), "u", "")</f>
        <v/>
      </c>
      <c r="AE210" s="80" t="str">
        <f>IF(AND($F210&lt;&gt;"", $F210&gt;=AE$5-4, $F210&lt;=AE$5, COUNTIF($M210:AD210,"u")=0), "u", "")</f>
        <v/>
      </c>
      <c r="AF210" s="80" t="str">
        <f>IF(AND($F210&lt;&gt;"", $F210&gt;=AF$5-4, $F210&lt;=AF$5, COUNTIF($M210:AE210,"u")=0), "u", "")</f>
        <v/>
      </c>
      <c r="AG210" s="80" t="str">
        <f>IF(AND($F210&lt;&gt;"", $F210&gt;=AG$5-4, $F210&lt;=AG$5, COUNTIF($M210:AF210,"u")=0), "u", "")</f>
        <v/>
      </c>
      <c r="AH210" s="80" t="str">
        <f>IF(AND($F210&lt;&gt;"", $F210&gt;=AH$5-4, $F210&lt;=AH$5, COUNTIF($M210:AG210,"u")=0), "u", "")</f>
        <v/>
      </c>
      <c r="AI210" s="80" t="str">
        <f>IF(AND($F210&lt;&gt;"", $F210&gt;=AI$5-4, $F210&lt;=AI$5, COUNTIF($M210:AH210,"u")=0), "u", "")</f>
        <v/>
      </c>
      <c r="AJ210" s="80" t="str">
        <f>IF(AND($F210&lt;&gt;"", $F210&gt;=AJ$5-4, $F210&lt;=AJ$5, COUNTIF($M210:AI210,"u")=0), "u", "")</f>
        <v/>
      </c>
      <c r="AK210" s="80" t="str">
        <f>IF(AND($F210&lt;&gt;"", $F210&gt;=AK$5-4, $F210&lt;=AK$5, COUNTIF($M210:AJ210,"u")=0), "u", "")</f>
        <v/>
      </c>
      <c r="AL210" s="80" t="str">
        <f>IF(AND($F210&lt;&gt;"", $F210&gt;=AL$5-4, $F210&lt;=AL$5, COUNTIF($M210:AK210,"u")=0), "u", "")</f>
        <v/>
      </c>
      <c r="AM210" s="80" t="str">
        <f>IF(AND($F210&lt;&gt;"", $F210&gt;=AM$5-4, $F210&lt;=AM$5, COUNTIF($M210:AL210,"u")=0), "u", "")</f>
        <v/>
      </c>
      <c r="AN210" s="80" t="str">
        <f>IF(AND($F210&lt;&gt;"", $F210&gt;=AN$5-4, $F210&lt;=AN$5, COUNTIF($M210:AM210,"u")=0), "u", "")</f>
        <v/>
      </c>
      <c r="AO210" s="80" t="str">
        <f>IF(AND($F210&lt;&gt;"", $F210&gt;=AO$5-4, $F210&lt;=AO$5, COUNTIF($M210:AN210,"u")=0), "u", "")</f>
        <v/>
      </c>
      <c r="AP210" s="80" t="str">
        <f>IF(AND($F210&lt;&gt;"", $F210&gt;=AP$5-4, $F210&lt;=AP$5, COUNTIF($M210:AO210,"u")=0), "u", "")</f>
        <v/>
      </c>
      <c r="AQ210" s="80" t="str">
        <f>IF(AND($F210&lt;&gt;"", $F210&gt;=AQ$5-4, $F210&lt;=AQ$5, COUNTIF($M210:AP210,"u")=0), "u", "")</f>
        <v/>
      </c>
      <c r="AR210" s="80" t="str">
        <f>IF(AND($F210&lt;&gt;"", $F210&gt;=AR$5-4, $F210&lt;=AR$5, COUNTIF($M210:AQ210,"u")=0), "u", "")</f>
        <v/>
      </c>
      <c r="AS210" s="80" t="str">
        <f>IF(AND($F210&lt;&gt;"", $F210&gt;=AS$5-4, $F210&lt;=AS$5, COUNTIF($M210:AR210,"u")=0), "u", "")</f>
        <v/>
      </c>
      <c r="AT210" s="80" t="str">
        <f>IF(AND($F210&lt;&gt;"", $F210&gt;=AT$5-4, $F210&lt;=AT$5, COUNTIF($M210:AS210,"u")=0), "u", "")</f>
        <v/>
      </c>
      <c r="AU210" s="80" t="str">
        <f>IF(AND($F210&lt;&gt;"", $F210&gt;=AU$5-4, $F210&lt;=AU$5, COUNTIF($M210:AT210,"u")=0), "u", "")</f>
        <v/>
      </c>
      <c r="AV210" s="80" t="str">
        <f>IF(AND($F210&lt;&gt;"", $F210&gt;=AV$5-4, $F210&lt;=AV$5, COUNTIF($M210:AU210,"u")=0), "u", "")</f>
        <v/>
      </c>
      <c r="AW210" s="80" t="str">
        <f>IF(AND($F210&lt;&gt;"", $F210&gt;=AW$5-4, $F210&lt;=AW$5, COUNTIF($M210:AV210,"u")=0), "u", "")</f>
        <v/>
      </c>
      <c r="AX210" s="80" t="str">
        <f>IF(AND($F210&lt;&gt;"", $F210&gt;=AX$5-4, $F210&lt;=AX$5, COUNTIF($M210:AW210,"u")=0), "u", "")</f>
        <v/>
      </c>
      <c r="AY210" s="80" t="str">
        <f>IF(AND($F210&lt;&gt;"", $F210&gt;=AY$5-4, $F210&lt;=AY$5, COUNTIF($M210:AX210,"u")=0), "u", "")</f>
        <v/>
      </c>
      <c r="AZ210" s="80" t="str">
        <f>IF(AND($F210&lt;&gt;"", $F210&gt;=AZ$5-4, $F210&lt;=AZ$5, COUNTIF($M210:AY210,"u")=0), "u", "")</f>
        <v/>
      </c>
      <c r="BA210" s="80" t="str">
        <f>IF(AND($F210&lt;&gt;"", $F210&gt;=BA$5-4, $F210&lt;=BA$5, COUNTIF($M210:AZ210,"u")=0), "u", "")</f>
        <v/>
      </c>
      <c r="BB210" s="80" t="str">
        <f>IF(AND($F210&lt;&gt;"", $F210&gt;=BB$5-4, $F210&lt;=BB$5, COUNTIF($M210:BA210,"u")=0), "u", "")</f>
        <v/>
      </c>
      <c r="BC210" s="80" t="str">
        <f>IF(AND($F210&lt;&gt;"", $F210&gt;=BC$5-4, $F210&lt;=BC$5, COUNTIF($M210:BB210,"u")=0), "u", "")</f>
        <v/>
      </c>
      <c r="BD210" s="80" t="str">
        <f>IF(AND($F210&lt;&gt;"", $F210&gt;=BD$5-4, $F210&lt;=BD$5, COUNTIF($M210:BC210,"u")=0), "u", "")</f>
        <v/>
      </c>
      <c r="BE210" s="80" t="str">
        <f>IF(AND($F210&lt;&gt;"", $F210&gt;=BE$5-4, $F210&lt;=BE$5, COUNTIF($M210:BD210,"u")=0), "u", "")</f>
        <v/>
      </c>
      <c r="BF210" s="80" t="str">
        <f>IF(AND($F210&lt;&gt;"", $F210&gt;=BF$5-4, $F210&lt;=BF$5, COUNTIF($M210:BE210,"u")=0), "u", "")</f>
        <v/>
      </c>
      <c r="BG210" s="80" t="str">
        <f>IF(AND($F210&lt;&gt;"", $F210&gt;=BG$5-4, $F210&lt;=BG$5, COUNTIF($M210:BF210,"u")=0), "u", "")</f>
        <v/>
      </c>
      <c r="BH210" s="80" t="str">
        <f>IF(AND($F210&lt;&gt;"", $F210&gt;=BH$5-4, $F210&lt;=BH$5, COUNTIF($M210:BG210,"u")=0), "u", "")</f>
        <v/>
      </c>
      <c r="BI210" s="80" t="str">
        <f>IF(AND($F210&lt;&gt;"", $F210&gt;=BI$5-4, $F210&lt;=BI$5, COUNTIF($M210:BH210,"u")=0), "u", "")</f>
        <v/>
      </c>
      <c r="BJ210" s="80" t="str">
        <f>IF(AND($F210&lt;&gt;"", $F210&gt;=BJ$5-4, $F210&lt;=BJ$5, COUNTIF($M210:BI210,"u")=0), "u", "")</f>
        <v/>
      </c>
      <c r="BK210" s="80" t="str">
        <f>IF(AND($F210&lt;&gt;"", $F210&gt;=BK$5-4, $F210&lt;=BK$5, COUNTIF($M210:BJ210,"u")=0), "u", "")</f>
        <v/>
      </c>
      <c r="BL210" s="80" t="str">
        <f>IF(AND($F210&lt;&gt;"", $F210&gt;=BL$5-4, $F210&lt;=BL$5, COUNTIF($M210:BK210,"u")=0), "u", "")</f>
        <v/>
      </c>
      <c r="BM210" s="80" t="str">
        <f>IF(AND($F210&lt;&gt;"", $F210&gt;=BM$5-4, $F210&lt;=BM$5, COUNTIF($M210:BL210,"u")=0), "u", "")</f>
        <v/>
      </c>
      <c r="BN210" s="80" t="str">
        <f>IF(AND($F210&lt;&gt;"", $F210&gt;=BN$5-4, $F210&lt;=BN$5, COUNTIF($M210:BM210,"u")=0), "u", "")</f>
        <v/>
      </c>
      <c r="BO210" s="80" t="str">
        <f>IF(AND($F210&lt;&gt;"", $F210&gt;=BO$5-4, $F210&lt;=BO$5, COUNTIF($M210:BN210,"u")=0), "u", "")</f>
        <v/>
      </c>
      <c r="BP210" s="80" t="str">
        <f>IF(AND($F210&lt;&gt;"", $F210&gt;=BP$5-4, $F210&lt;=BP$5, COUNTIF($M210:BO210,"u")=0), "u", "")</f>
        <v/>
      </c>
      <c r="BQ210" s="80" t="str">
        <f>IF(AND($F210&lt;&gt;"", $F210&gt;=BQ$5-4, $F210&lt;=BQ$5, COUNTIF($M210:BP210,"u")=0), "u", "")</f>
        <v/>
      </c>
      <c r="BR210" s="80" t="str">
        <f>IF(AND($F210&lt;&gt;"", $F210&gt;=BR$5-4, $F210&lt;=BR$5, COUNTIF($M210:BQ210,"u")=0), "u", "")</f>
        <v/>
      </c>
      <c r="BS210" s="80" t="str">
        <f>IF(AND($F210&lt;&gt;"", $F210&gt;=BS$5-4, $F210&lt;=BS$5, COUNTIF($M210:BR210,"u")=0), "u", "")</f>
        <v/>
      </c>
      <c r="BT210" s="80" t="str">
        <f>IF(AND($F210&lt;&gt;"", $F210&gt;=BT$5-4, $F210&lt;=BT$5, COUNTIF($M210:BS210,"u")=0), "u", "")</f>
        <v/>
      </c>
      <c r="BU210" s="80" t="str">
        <f>IF(AND($F210&lt;&gt;"", $F210&gt;=BU$5-4, $F210&lt;=BU$5, COUNTIF($M210:BT210,"u")=0), "u", "")</f>
        <v/>
      </c>
      <c r="BV210" s="80" t="str">
        <f>IF(AND($F210&lt;&gt;"", $F210&gt;=BV$5-4, $F210&lt;=BV$5, COUNTIF($M210:BU210,"u")=0), "u", "")</f>
        <v/>
      </c>
      <c r="BW210" s="80" t="str">
        <f>IF(AND($F210&lt;&gt;"", $F210&gt;=BW$5-4, $F210&lt;=BW$5, COUNTIF($M210:BV210,"u")=0), "u", "")</f>
        <v/>
      </c>
      <c r="BX210" s="80" t="str">
        <f>IF(AND($F210&lt;&gt;"", $F210&gt;=BX$5-4, $F210&lt;=BX$5, COUNTIF($M210:BW210,"u")=0), "u", "")</f>
        <v/>
      </c>
      <c r="BY210" s="80" t="str">
        <f>IF(AND($F210&lt;&gt;"", $F210&gt;=BY$5-4, $F210&lt;=BY$5, COUNTIF($M210:BX210,"u")=0), "u", "")</f>
        <v/>
      </c>
      <c r="BZ210" s="80" t="str">
        <f>IF(AND($F210&lt;&gt;"", $F210&gt;=BZ$5-4, $F210&lt;=BZ$5, COUNTIF($M210:BY210,"u")=0), "u", "")</f>
        <v/>
      </c>
      <c r="CA210" s="80" t="str">
        <f>IF(AND($F210&lt;&gt;"", $F210&gt;=CA$5-4, $F210&lt;=CA$5, COUNTIF($M210:BZ210,"u")=0), "u", "")</f>
        <v/>
      </c>
      <c r="CB210" s="80" t="str">
        <f>IF(AND($F210&lt;&gt;"", $F210&gt;=CB$5-4, $F210&lt;=CB$5, COUNTIF($M210:CA210,"u")=0), "u", "")</f>
        <v/>
      </c>
      <c r="CC210" s="80" t="str">
        <f>IF(AND($F210&lt;&gt;"", $F210&gt;=CC$5-4, $F210&lt;=CC$5, COUNTIF($M210:CB210,"u")=0), "u", "")</f>
        <v/>
      </c>
      <c r="CD210" s="80" t="str">
        <f>IF(AND($F210&lt;&gt;"", $F210&gt;=CD$5-4, $F210&lt;=CD$5, COUNTIF($M210:CC210,"u")=0), "u", "")</f>
        <v/>
      </c>
      <c r="CE210" s="80" t="str">
        <f>IF(AND($F210&lt;&gt;"", $F210&gt;=CE$5-4, $F210&lt;=CE$5, COUNTIF($M210:CD210,"u")=0), "u", "")</f>
        <v/>
      </c>
      <c r="CF210" s="80" t="str">
        <f>IF(AND($F210&lt;&gt;"", $F210&gt;=CF$5-4, $F210&lt;=CF$5, COUNTIF($M210:CE210,"u")=0), "u", "")</f>
        <v/>
      </c>
      <c r="CG210" s="80" t="str">
        <f>IF(AND($F210&lt;&gt;"", $F210&gt;=CG$5-4, $F210&lt;=CG$5, COUNTIF($M210:CF210,"u")=0), "u", "")</f>
        <v/>
      </c>
      <c r="CH210" s="80" t="str">
        <f>IF(AND($F210&lt;&gt;"", $F210&gt;=CH$5-4, $F210&lt;=CH$5, COUNTIF($M210:CG210,"u")=0), "u", "")</f>
        <v/>
      </c>
      <c r="CI210" s="80" t="str">
        <f>IF(AND($F210&lt;&gt;"", $F210&gt;=CI$5-4, $F210&lt;=CI$5, COUNTIF($M210:CH210,"u")=0), "u", "")</f>
        <v/>
      </c>
      <c r="CJ210" s="80" t="str">
        <f>IF(AND($F210&lt;&gt;"", $F210&gt;=CJ$5-4, $F210&lt;=CJ$5, COUNTIF($M210:CI210,"u")=0), "u", "")</f>
        <v/>
      </c>
      <c r="CK210" s="80" t="str">
        <f>IF(AND($F210&lt;&gt;"", $F210&gt;=CK$5-4, $F210&lt;=CK$5, COUNTIF($M210:CJ210,"u")=0), "u", "")</f>
        <v/>
      </c>
      <c r="CL210" s="80" t="str">
        <f>IF(AND($F210&lt;&gt;"", $F210&gt;=CL$5-4, $F210&lt;=CL$5, COUNTIF($M210:CK210,"u")=0), "u", "")</f>
        <v/>
      </c>
      <c r="CM210" s="80" t="str">
        <f>IF(AND($F210&lt;&gt;"", $F210&gt;=CM$5-4, $F210&lt;=CM$5, COUNTIF($M210:CL210,"u")=0), "u", "")</f>
        <v/>
      </c>
      <c r="CN210" s="80" t="str">
        <f>IF(AND($F210&lt;&gt;"", $F210&gt;=CN$5-4, $F210&lt;=CN$5, COUNTIF($M210:CM210,"u")=0), "u", "")</f>
        <v/>
      </c>
      <c r="CO210" s="80" t="str">
        <f>IF(AND($F210&lt;&gt;"", $F210&gt;=CO$5-4, $F210&lt;=CO$5, COUNTIF($M210:CN210,"u")=0), "u", "")</f>
        <v/>
      </c>
      <c r="CP210" s="80" t="str">
        <f>IF(AND($F210&lt;&gt;"", $F210&gt;=CP$5-4, $F210&lt;=CP$5, COUNTIF($M210:CO210,"u")=0), "u", "")</f>
        <v/>
      </c>
      <c r="CQ210" s="80" t="str">
        <f>IF(AND($F210&lt;&gt;"", $F210&gt;=CQ$5-4, $F210&lt;=CQ$5, COUNTIF($M210:CP210,"u")=0), "u", "")</f>
        <v/>
      </c>
      <c r="CR210" s="80" t="str">
        <f>IF(AND($F210&lt;&gt;"", $F210&gt;=CR$5-4, $F210&lt;=CR$5, COUNTIF($M210:CQ210,"u")=0), "u", "")</f>
        <v/>
      </c>
      <c r="CS210" s="80" t="str">
        <f>IF(AND($F210&lt;&gt;"", $F210&gt;=CS$5-4, $F210&lt;=CS$5, COUNTIF($M210:CR210,"u")=0), "u", "")</f>
        <v/>
      </c>
      <c r="CT210" s="80" t="str">
        <f>IF(AND($F210&lt;&gt;"", $F210&gt;=CT$5-4, $F210&lt;=CT$5, COUNTIF($M210:CS210,"u")=0), "u", "")</f>
        <v/>
      </c>
      <c r="CU210" s="80" t="str">
        <f>IF(AND($F210&lt;&gt;"", $F210&gt;=CU$5-4, $F210&lt;=CU$5, COUNTIF($M210:CT210,"u")=0), "u", "")</f>
        <v/>
      </c>
      <c r="CV210" s="80" t="str">
        <f>IF(AND($F210&lt;&gt;"", $F210&gt;=CV$5-4, $F210&lt;=CV$5, COUNTIF($M210:CU210,"u")=0), "u", "")</f>
        <v/>
      </c>
      <c r="CW210" s="80" t="str">
        <f>IF(AND($F210&lt;&gt;"", $F210&gt;=CW$5-4, $F210&lt;=CW$5, COUNTIF($M210:CV210,"u")=0), "u", "")</f>
        <v/>
      </c>
      <c r="CX210" s="80" t="str">
        <f>IF(AND($F210&lt;&gt;"", $F210&gt;=CX$5-4, $F210&lt;=CX$5, COUNTIF($M210:CW210,"u")=0), "u", "")</f>
        <v/>
      </c>
      <c r="CY210" s="80" t="str">
        <f>IF(AND($F210&lt;&gt;"", $F210&gt;=CY$5-4, $F210&lt;=CY$5, COUNTIF($M210:CX210,"u")=0), "u", "")</f>
        <v/>
      </c>
      <c r="CZ210" s="80" t="str">
        <f>IF(AND($F210&lt;&gt;"", $F210&gt;=CZ$5-4, $F210&lt;=CZ$5, COUNTIF($M210:CY210,"u")=0), "u", "")</f>
        <v/>
      </c>
      <c r="DA210" s="80" t="str">
        <f>IF(AND($F210&lt;&gt;"", $F210&gt;=DA$5-4, $F210&lt;=DA$5, COUNTIF($M210:CZ210,"u")=0), "u", "")</f>
        <v/>
      </c>
      <c r="DB210" s="80" t="str">
        <f>IF(AND($F210&lt;&gt;"", $F210&gt;=DB$5-4, $F210&lt;=DB$5, COUNTIF($M210:DA210,"u")=0), "u", "")</f>
        <v/>
      </c>
      <c r="DC210" s="80" t="str">
        <f>IF(AND($F210&lt;&gt;"", $F210&gt;=DC$5-4, $F210&lt;=DC$5, COUNTIF($M210:DB210,"u")=0), "u", "")</f>
        <v/>
      </c>
      <c r="DD210" s="80" t="str">
        <f>IF(AND($F210&lt;&gt;"", $F210&gt;=DD$5-4, $F210&lt;=DD$5, COUNTIF($M210:DC210,"u")=0), "u", "")</f>
        <v/>
      </c>
      <c r="DE210" s="80" t="str">
        <f>IF(AND($F210&lt;&gt;"", $F210&gt;=DE$5-4, $F210&lt;=DE$5, COUNTIF($M210:DD210,"u")=0), "u", "")</f>
        <v/>
      </c>
      <c r="DF210" s="80" t="str">
        <f>IF(AND($F210&lt;&gt;"", $F210&gt;=DF$5-4, $F210&lt;=DF$5, COUNTIF($M210:DE210,"u")=0), "u", "")</f>
        <v/>
      </c>
      <c r="DG210" s="80" t="str">
        <f>IF(AND($F210&lt;&gt;"", $F210&gt;=DG$5-4, $F210&lt;=DG$5, COUNTIF($M210:DF210,"u")=0), "u", "")</f>
        <v/>
      </c>
      <c r="DH210" s="80" t="str">
        <f>IF(AND($F210&lt;&gt;"", $F210&gt;=DH$5-4, $F210&lt;=DH$5, COUNTIF($M210:DG210,"u")=0), "u", "")</f>
        <v/>
      </c>
      <c r="DI210" s="80" t="str">
        <f>IF(AND($F210&lt;&gt;"", $F210&gt;=DI$5-4, $F210&lt;=DI$5, COUNTIF($M210:DH210,"u")=0), "u", "")</f>
        <v/>
      </c>
      <c r="DJ210" s="80" t="str">
        <f>IF(AND($F210&lt;&gt;"", $F210&gt;=DJ$5-4, $F210&lt;=DJ$5, COUNTIF($M210:DI210,"u")=0), "u", "")</f>
        <v/>
      </c>
      <c r="DK210" s="80" t="str">
        <f>IF(AND($F210&lt;&gt;"", $F210&gt;=DK$5-4, $F210&lt;=DK$5, COUNTIF($M210:DJ210,"u")=0), "u", "")</f>
        <v/>
      </c>
      <c r="DL210" s="80" t="str">
        <f>IF(AND($F210&lt;&gt;"", $F210&gt;=DL$5-4, $F210&lt;=DL$5, COUNTIF($M210:DK210,"u")=0), "u", "")</f>
        <v/>
      </c>
    </row>
    <row r="211" spans="1:116" ht="25.05" customHeight="1" x14ac:dyDescent="0.3">
      <c r="A211" s="39"/>
      <c r="B211" s="75">
        <v>206</v>
      </c>
      <c r="C211" s="97"/>
      <c r="D211" s="92"/>
      <c r="E211" s="53"/>
      <c r="F211" s="53"/>
      <c r="G211" s="83" t="str">
        <f t="shared" si="53"/>
        <v/>
      </c>
      <c r="H211" s="83" t="str">
        <f t="shared" si="53"/>
        <v/>
      </c>
      <c r="I211" s="77" t="str">
        <f t="shared" si="54"/>
        <v/>
      </c>
      <c r="J211" s="78"/>
      <c r="K211" s="86"/>
      <c r="L211" s="56"/>
      <c r="M211" s="80" t="str">
        <f t="shared" si="55"/>
        <v/>
      </c>
      <c r="N211" s="80" t="str">
        <f>IF(AND($F211&lt;&gt;"", $F211&gt;=N$5-4, $F211&lt;=N$5, COUNTIF($M211:M211,"u")=0), "u", "")</f>
        <v/>
      </c>
      <c r="O211" s="80" t="str">
        <f>IF(AND($F211&lt;&gt;"", $F211&gt;=O$5-4, $F211&lt;=O$5, COUNTIF($M211:N211,"u")=0), "u", "")</f>
        <v/>
      </c>
      <c r="P211" s="80" t="str">
        <f>IF(AND($F211&lt;&gt;"", $F211&gt;=P$5-4, $F211&lt;=P$5, COUNTIF($M211:O211,"u")=0), "u", "")</f>
        <v/>
      </c>
      <c r="Q211" s="80" t="str">
        <f>IF(AND($F211&lt;&gt;"", $F211&gt;=Q$5-4, $F211&lt;=Q$5, COUNTIF($M211:P211,"u")=0), "u", "")</f>
        <v/>
      </c>
      <c r="R211" s="80" t="str">
        <f>IF(AND($F211&lt;&gt;"", $F211&gt;=R$5-4, $F211&lt;=R$5, COUNTIF($M211:Q211,"u")=0), "u", "")</f>
        <v/>
      </c>
      <c r="S211" s="80" t="str">
        <f>IF(AND($F211&lt;&gt;"", $F211&gt;=S$5-4, $F211&lt;=S$5, COUNTIF($M211:R211,"u")=0), "u", "")</f>
        <v/>
      </c>
      <c r="T211" s="80" t="str">
        <f>IF(AND($F211&lt;&gt;"", $F211&gt;=T$5-4, $F211&lt;=T$5, COUNTIF($M211:S211,"u")=0), "u", "")</f>
        <v/>
      </c>
      <c r="U211" s="80" t="str">
        <f>IF(AND($F211&lt;&gt;"", $F211&gt;=U$5-4, $F211&lt;=U$5, COUNTIF($M211:T211,"u")=0), "u", "")</f>
        <v/>
      </c>
      <c r="V211" s="80" t="str">
        <f>IF(AND($F211&lt;&gt;"", $F211&gt;=V$5-4, $F211&lt;=V$5, COUNTIF($M211:U211,"u")=0), "u", "")</f>
        <v/>
      </c>
      <c r="W211" s="80" t="str">
        <f>IF(AND($F211&lt;&gt;"", $F211&gt;=W$5-4, $F211&lt;=W$5, COUNTIF($M211:V211,"u")=0), "u", "")</f>
        <v/>
      </c>
      <c r="X211" s="80" t="str">
        <f>IF(AND($F211&lt;&gt;"", $F211&gt;=X$5-4, $F211&lt;=X$5, COUNTIF($M211:W211,"u")=0), "u", "")</f>
        <v/>
      </c>
      <c r="Y211" s="80" t="str">
        <f>IF(AND($F211&lt;&gt;"", $F211&gt;=Y$5-4, $F211&lt;=Y$5, COUNTIF($M211:X211,"u")=0), "u", "")</f>
        <v/>
      </c>
      <c r="Z211" s="80" t="str">
        <f>IF(AND($F211&lt;&gt;"", $F211&gt;=Z$5-4, $F211&lt;=Z$5, COUNTIF($M211:Y211,"u")=0), "u", "")</f>
        <v/>
      </c>
      <c r="AA211" s="80" t="str">
        <f>IF(AND($F211&lt;&gt;"", $F211&gt;=AA$5-4, $F211&lt;=AA$5, COUNTIF($M211:Z211,"u")=0), "u", "")</f>
        <v/>
      </c>
      <c r="AB211" s="80" t="str">
        <f>IF(AND($F211&lt;&gt;"", $F211&gt;=AB$5-4, $F211&lt;=AB$5, COUNTIF($M211:AA211,"u")=0), "u", "")</f>
        <v/>
      </c>
      <c r="AC211" s="80" t="str">
        <f>IF(AND($F211&lt;&gt;"", $F211&gt;=AC$5-4, $F211&lt;=AC$5, COUNTIF($M211:AB211,"u")=0), "u", "")</f>
        <v/>
      </c>
      <c r="AD211" s="80" t="str">
        <f>IF(AND($F211&lt;&gt;"", $F211&gt;=AD$5-4, $F211&lt;=AD$5, COUNTIF($M211:AC211,"u")=0), "u", "")</f>
        <v/>
      </c>
      <c r="AE211" s="80" t="str">
        <f>IF(AND($F211&lt;&gt;"", $F211&gt;=AE$5-4, $F211&lt;=AE$5, COUNTIF($M211:AD211,"u")=0), "u", "")</f>
        <v/>
      </c>
      <c r="AF211" s="80" t="str">
        <f>IF(AND($F211&lt;&gt;"", $F211&gt;=AF$5-4, $F211&lt;=AF$5, COUNTIF($M211:AE211,"u")=0), "u", "")</f>
        <v/>
      </c>
      <c r="AG211" s="80" t="str">
        <f>IF(AND($F211&lt;&gt;"", $F211&gt;=AG$5-4, $F211&lt;=AG$5, COUNTIF($M211:AF211,"u")=0), "u", "")</f>
        <v/>
      </c>
      <c r="AH211" s="80" t="str">
        <f>IF(AND($F211&lt;&gt;"", $F211&gt;=AH$5-4, $F211&lt;=AH$5, COUNTIF($M211:AG211,"u")=0), "u", "")</f>
        <v/>
      </c>
      <c r="AI211" s="80" t="str">
        <f>IF(AND($F211&lt;&gt;"", $F211&gt;=AI$5-4, $F211&lt;=AI$5, COUNTIF($M211:AH211,"u")=0), "u", "")</f>
        <v/>
      </c>
      <c r="AJ211" s="80" t="str">
        <f>IF(AND($F211&lt;&gt;"", $F211&gt;=AJ$5-4, $F211&lt;=AJ$5, COUNTIF($M211:AI211,"u")=0), "u", "")</f>
        <v/>
      </c>
      <c r="AK211" s="80" t="str">
        <f>IF(AND($F211&lt;&gt;"", $F211&gt;=AK$5-4, $F211&lt;=AK$5, COUNTIF($M211:AJ211,"u")=0), "u", "")</f>
        <v/>
      </c>
      <c r="AL211" s="80" t="str">
        <f>IF(AND($F211&lt;&gt;"", $F211&gt;=AL$5-4, $F211&lt;=AL$5, COUNTIF($M211:AK211,"u")=0), "u", "")</f>
        <v/>
      </c>
      <c r="AM211" s="80" t="str">
        <f>IF(AND($F211&lt;&gt;"", $F211&gt;=AM$5-4, $F211&lt;=AM$5, COUNTIF($M211:AL211,"u")=0), "u", "")</f>
        <v/>
      </c>
      <c r="AN211" s="80" t="str">
        <f>IF(AND($F211&lt;&gt;"", $F211&gt;=AN$5-4, $F211&lt;=AN$5, COUNTIF($M211:AM211,"u")=0), "u", "")</f>
        <v/>
      </c>
      <c r="AO211" s="80" t="str">
        <f>IF(AND($F211&lt;&gt;"", $F211&gt;=AO$5-4, $F211&lt;=AO$5, COUNTIF($M211:AN211,"u")=0), "u", "")</f>
        <v/>
      </c>
      <c r="AP211" s="80" t="str">
        <f>IF(AND($F211&lt;&gt;"", $F211&gt;=AP$5-4, $F211&lt;=AP$5, COUNTIF($M211:AO211,"u")=0), "u", "")</f>
        <v/>
      </c>
      <c r="AQ211" s="80" t="str">
        <f>IF(AND($F211&lt;&gt;"", $F211&gt;=AQ$5-4, $F211&lt;=AQ$5, COUNTIF($M211:AP211,"u")=0), "u", "")</f>
        <v/>
      </c>
      <c r="AR211" s="80" t="str">
        <f>IF(AND($F211&lt;&gt;"", $F211&gt;=AR$5-4, $F211&lt;=AR$5, COUNTIF($M211:AQ211,"u")=0), "u", "")</f>
        <v/>
      </c>
      <c r="AS211" s="80" t="str">
        <f>IF(AND($F211&lt;&gt;"", $F211&gt;=AS$5-4, $F211&lt;=AS$5, COUNTIF($M211:AR211,"u")=0), "u", "")</f>
        <v/>
      </c>
      <c r="AT211" s="80" t="str">
        <f>IF(AND($F211&lt;&gt;"", $F211&gt;=AT$5-4, $F211&lt;=AT$5, COUNTIF($M211:AS211,"u")=0), "u", "")</f>
        <v/>
      </c>
      <c r="AU211" s="80" t="str">
        <f>IF(AND($F211&lt;&gt;"", $F211&gt;=AU$5-4, $F211&lt;=AU$5, COUNTIF($M211:AT211,"u")=0), "u", "")</f>
        <v/>
      </c>
      <c r="AV211" s="80" t="str">
        <f>IF(AND($F211&lt;&gt;"", $F211&gt;=AV$5-4, $F211&lt;=AV$5, COUNTIF($M211:AU211,"u")=0), "u", "")</f>
        <v/>
      </c>
      <c r="AW211" s="80" t="str">
        <f>IF(AND($F211&lt;&gt;"", $F211&gt;=AW$5-4, $F211&lt;=AW$5, COUNTIF($M211:AV211,"u")=0), "u", "")</f>
        <v/>
      </c>
      <c r="AX211" s="80" t="str">
        <f>IF(AND($F211&lt;&gt;"", $F211&gt;=AX$5-4, $F211&lt;=AX$5, COUNTIF($M211:AW211,"u")=0), "u", "")</f>
        <v/>
      </c>
      <c r="AY211" s="80" t="str">
        <f>IF(AND($F211&lt;&gt;"", $F211&gt;=AY$5-4, $F211&lt;=AY$5, COUNTIF($M211:AX211,"u")=0), "u", "")</f>
        <v/>
      </c>
      <c r="AZ211" s="80" t="str">
        <f>IF(AND($F211&lt;&gt;"", $F211&gt;=AZ$5-4, $F211&lt;=AZ$5, COUNTIF($M211:AY211,"u")=0), "u", "")</f>
        <v/>
      </c>
      <c r="BA211" s="80" t="str">
        <f>IF(AND($F211&lt;&gt;"", $F211&gt;=BA$5-4, $F211&lt;=BA$5, COUNTIF($M211:AZ211,"u")=0), "u", "")</f>
        <v/>
      </c>
      <c r="BB211" s="80" t="str">
        <f>IF(AND($F211&lt;&gt;"", $F211&gt;=BB$5-4, $F211&lt;=BB$5, COUNTIF($M211:BA211,"u")=0), "u", "")</f>
        <v/>
      </c>
      <c r="BC211" s="80" t="str">
        <f>IF(AND($F211&lt;&gt;"", $F211&gt;=BC$5-4, $F211&lt;=BC$5, COUNTIF($M211:BB211,"u")=0), "u", "")</f>
        <v/>
      </c>
      <c r="BD211" s="80" t="str">
        <f>IF(AND($F211&lt;&gt;"", $F211&gt;=BD$5-4, $F211&lt;=BD$5, COUNTIF($M211:BC211,"u")=0), "u", "")</f>
        <v/>
      </c>
      <c r="BE211" s="80" t="str">
        <f>IF(AND($F211&lt;&gt;"", $F211&gt;=BE$5-4, $F211&lt;=BE$5, COUNTIF($M211:BD211,"u")=0), "u", "")</f>
        <v/>
      </c>
      <c r="BF211" s="80" t="str">
        <f>IF(AND($F211&lt;&gt;"", $F211&gt;=BF$5-4, $F211&lt;=BF$5, COUNTIF($M211:BE211,"u")=0), "u", "")</f>
        <v/>
      </c>
      <c r="BG211" s="80" t="str">
        <f>IF(AND($F211&lt;&gt;"", $F211&gt;=BG$5-4, $F211&lt;=BG$5, COUNTIF($M211:BF211,"u")=0), "u", "")</f>
        <v/>
      </c>
      <c r="BH211" s="80" t="str">
        <f>IF(AND($F211&lt;&gt;"", $F211&gt;=BH$5-4, $F211&lt;=BH$5, COUNTIF($M211:BG211,"u")=0), "u", "")</f>
        <v/>
      </c>
      <c r="BI211" s="80" t="str">
        <f>IF(AND($F211&lt;&gt;"", $F211&gt;=BI$5-4, $F211&lt;=BI$5, COUNTIF($M211:BH211,"u")=0), "u", "")</f>
        <v/>
      </c>
      <c r="BJ211" s="80" t="str">
        <f>IF(AND($F211&lt;&gt;"", $F211&gt;=BJ$5-4, $F211&lt;=BJ$5, COUNTIF($M211:BI211,"u")=0), "u", "")</f>
        <v/>
      </c>
      <c r="BK211" s="80" t="str">
        <f>IF(AND($F211&lt;&gt;"", $F211&gt;=BK$5-4, $F211&lt;=BK$5, COUNTIF($M211:BJ211,"u")=0), "u", "")</f>
        <v/>
      </c>
      <c r="BL211" s="80" t="str">
        <f>IF(AND($F211&lt;&gt;"", $F211&gt;=BL$5-4, $F211&lt;=BL$5, COUNTIF($M211:BK211,"u")=0), "u", "")</f>
        <v/>
      </c>
      <c r="BM211" s="80" t="str">
        <f>IF(AND($F211&lt;&gt;"", $F211&gt;=BM$5-4, $F211&lt;=BM$5, COUNTIF($M211:BL211,"u")=0), "u", "")</f>
        <v/>
      </c>
      <c r="BN211" s="80" t="str">
        <f>IF(AND($F211&lt;&gt;"", $F211&gt;=BN$5-4, $F211&lt;=BN$5, COUNTIF($M211:BM211,"u")=0), "u", "")</f>
        <v/>
      </c>
      <c r="BO211" s="80" t="str">
        <f>IF(AND($F211&lt;&gt;"", $F211&gt;=BO$5-4, $F211&lt;=BO$5, COUNTIF($M211:BN211,"u")=0), "u", "")</f>
        <v/>
      </c>
      <c r="BP211" s="80" t="str">
        <f>IF(AND($F211&lt;&gt;"", $F211&gt;=BP$5-4, $F211&lt;=BP$5, COUNTIF($M211:BO211,"u")=0), "u", "")</f>
        <v/>
      </c>
      <c r="BQ211" s="80" t="str">
        <f>IF(AND($F211&lt;&gt;"", $F211&gt;=BQ$5-4, $F211&lt;=BQ$5, COUNTIF($M211:BP211,"u")=0), "u", "")</f>
        <v/>
      </c>
      <c r="BR211" s="80" t="str">
        <f>IF(AND($F211&lt;&gt;"", $F211&gt;=BR$5-4, $F211&lt;=BR$5, COUNTIF($M211:BQ211,"u")=0), "u", "")</f>
        <v/>
      </c>
      <c r="BS211" s="80" t="str">
        <f>IF(AND($F211&lt;&gt;"", $F211&gt;=BS$5-4, $F211&lt;=BS$5, COUNTIF($M211:BR211,"u")=0), "u", "")</f>
        <v/>
      </c>
      <c r="BT211" s="80" t="str">
        <f>IF(AND($F211&lt;&gt;"", $F211&gt;=BT$5-4, $F211&lt;=BT$5, COUNTIF($M211:BS211,"u")=0), "u", "")</f>
        <v/>
      </c>
      <c r="BU211" s="80" t="str">
        <f>IF(AND($F211&lt;&gt;"", $F211&gt;=BU$5-4, $F211&lt;=BU$5, COUNTIF($M211:BT211,"u")=0), "u", "")</f>
        <v/>
      </c>
      <c r="BV211" s="80" t="str">
        <f>IF(AND($F211&lt;&gt;"", $F211&gt;=BV$5-4, $F211&lt;=BV$5, COUNTIF($M211:BU211,"u")=0), "u", "")</f>
        <v/>
      </c>
      <c r="BW211" s="80" t="str">
        <f>IF(AND($F211&lt;&gt;"", $F211&gt;=BW$5-4, $F211&lt;=BW$5, COUNTIF($M211:BV211,"u")=0), "u", "")</f>
        <v/>
      </c>
      <c r="BX211" s="80" t="str">
        <f>IF(AND($F211&lt;&gt;"", $F211&gt;=BX$5-4, $F211&lt;=BX$5, COUNTIF($M211:BW211,"u")=0), "u", "")</f>
        <v/>
      </c>
      <c r="BY211" s="80" t="str">
        <f>IF(AND($F211&lt;&gt;"", $F211&gt;=BY$5-4, $F211&lt;=BY$5, COUNTIF($M211:BX211,"u")=0), "u", "")</f>
        <v/>
      </c>
      <c r="BZ211" s="80" t="str">
        <f>IF(AND($F211&lt;&gt;"", $F211&gt;=BZ$5-4, $F211&lt;=BZ$5, COUNTIF($M211:BY211,"u")=0), "u", "")</f>
        <v/>
      </c>
      <c r="CA211" s="80" t="str">
        <f>IF(AND($F211&lt;&gt;"", $F211&gt;=CA$5-4, $F211&lt;=CA$5, COUNTIF($M211:BZ211,"u")=0), "u", "")</f>
        <v/>
      </c>
      <c r="CB211" s="80" t="str">
        <f>IF(AND($F211&lt;&gt;"", $F211&gt;=CB$5-4, $F211&lt;=CB$5, COUNTIF($M211:CA211,"u")=0), "u", "")</f>
        <v/>
      </c>
      <c r="CC211" s="80" t="str">
        <f>IF(AND($F211&lt;&gt;"", $F211&gt;=CC$5-4, $F211&lt;=CC$5, COUNTIF($M211:CB211,"u")=0), "u", "")</f>
        <v/>
      </c>
      <c r="CD211" s="80" t="str">
        <f>IF(AND($F211&lt;&gt;"", $F211&gt;=CD$5-4, $F211&lt;=CD$5, COUNTIF($M211:CC211,"u")=0), "u", "")</f>
        <v/>
      </c>
      <c r="CE211" s="80" t="str">
        <f>IF(AND($F211&lt;&gt;"", $F211&gt;=CE$5-4, $F211&lt;=CE$5, COUNTIF($M211:CD211,"u")=0), "u", "")</f>
        <v/>
      </c>
      <c r="CF211" s="80" t="str">
        <f>IF(AND($F211&lt;&gt;"", $F211&gt;=CF$5-4, $F211&lt;=CF$5, COUNTIF($M211:CE211,"u")=0), "u", "")</f>
        <v/>
      </c>
      <c r="CG211" s="80" t="str">
        <f>IF(AND($F211&lt;&gt;"", $F211&gt;=CG$5-4, $F211&lt;=CG$5, COUNTIF($M211:CF211,"u")=0), "u", "")</f>
        <v/>
      </c>
      <c r="CH211" s="80" t="str">
        <f>IF(AND($F211&lt;&gt;"", $F211&gt;=CH$5-4, $F211&lt;=CH$5, COUNTIF($M211:CG211,"u")=0), "u", "")</f>
        <v/>
      </c>
      <c r="CI211" s="80" t="str">
        <f>IF(AND($F211&lt;&gt;"", $F211&gt;=CI$5-4, $F211&lt;=CI$5, COUNTIF($M211:CH211,"u")=0), "u", "")</f>
        <v/>
      </c>
      <c r="CJ211" s="80" t="str">
        <f>IF(AND($F211&lt;&gt;"", $F211&gt;=CJ$5-4, $F211&lt;=CJ$5, COUNTIF($M211:CI211,"u")=0), "u", "")</f>
        <v/>
      </c>
      <c r="CK211" s="80" t="str">
        <f>IF(AND($F211&lt;&gt;"", $F211&gt;=CK$5-4, $F211&lt;=CK$5, COUNTIF($M211:CJ211,"u")=0), "u", "")</f>
        <v/>
      </c>
      <c r="CL211" s="80" t="str">
        <f>IF(AND($F211&lt;&gt;"", $F211&gt;=CL$5-4, $F211&lt;=CL$5, COUNTIF($M211:CK211,"u")=0), "u", "")</f>
        <v/>
      </c>
      <c r="CM211" s="80" t="str">
        <f>IF(AND($F211&lt;&gt;"", $F211&gt;=CM$5-4, $F211&lt;=CM$5, COUNTIF($M211:CL211,"u")=0), "u", "")</f>
        <v/>
      </c>
      <c r="CN211" s="80" t="str">
        <f>IF(AND($F211&lt;&gt;"", $F211&gt;=CN$5-4, $F211&lt;=CN$5, COUNTIF($M211:CM211,"u")=0), "u", "")</f>
        <v/>
      </c>
      <c r="CO211" s="80" t="str">
        <f>IF(AND($F211&lt;&gt;"", $F211&gt;=CO$5-4, $F211&lt;=CO$5, COUNTIF($M211:CN211,"u")=0), "u", "")</f>
        <v/>
      </c>
      <c r="CP211" s="80" t="str">
        <f>IF(AND($F211&lt;&gt;"", $F211&gt;=CP$5-4, $F211&lt;=CP$5, COUNTIF($M211:CO211,"u")=0), "u", "")</f>
        <v/>
      </c>
      <c r="CQ211" s="80" t="str">
        <f>IF(AND($F211&lt;&gt;"", $F211&gt;=CQ$5-4, $F211&lt;=CQ$5, COUNTIF($M211:CP211,"u")=0), "u", "")</f>
        <v/>
      </c>
      <c r="CR211" s="80" t="str">
        <f>IF(AND($F211&lt;&gt;"", $F211&gt;=CR$5-4, $F211&lt;=CR$5, COUNTIF($M211:CQ211,"u")=0), "u", "")</f>
        <v/>
      </c>
      <c r="CS211" s="80" t="str">
        <f>IF(AND($F211&lt;&gt;"", $F211&gt;=CS$5-4, $F211&lt;=CS$5, COUNTIF($M211:CR211,"u")=0), "u", "")</f>
        <v/>
      </c>
      <c r="CT211" s="80" t="str">
        <f>IF(AND($F211&lt;&gt;"", $F211&gt;=CT$5-4, $F211&lt;=CT$5, COUNTIF($M211:CS211,"u")=0), "u", "")</f>
        <v/>
      </c>
      <c r="CU211" s="80" t="str">
        <f>IF(AND($F211&lt;&gt;"", $F211&gt;=CU$5-4, $F211&lt;=CU$5, COUNTIF($M211:CT211,"u")=0), "u", "")</f>
        <v/>
      </c>
      <c r="CV211" s="80" t="str">
        <f>IF(AND($F211&lt;&gt;"", $F211&gt;=CV$5-4, $F211&lt;=CV$5, COUNTIF($M211:CU211,"u")=0), "u", "")</f>
        <v/>
      </c>
      <c r="CW211" s="80" t="str">
        <f>IF(AND($F211&lt;&gt;"", $F211&gt;=CW$5-4, $F211&lt;=CW$5, COUNTIF($M211:CV211,"u")=0), "u", "")</f>
        <v/>
      </c>
      <c r="CX211" s="80" t="str">
        <f>IF(AND($F211&lt;&gt;"", $F211&gt;=CX$5-4, $F211&lt;=CX$5, COUNTIF($M211:CW211,"u")=0), "u", "")</f>
        <v/>
      </c>
      <c r="CY211" s="80" t="str">
        <f>IF(AND($F211&lt;&gt;"", $F211&gt;=CY$5-4, $F211&lt;=CY$5, COUNTIF($M211:CX211,"u")=0), "u", "")</f>
        <v/>
      </c>
      <c r="CZ211" s="80" t="str">
        <f>IF(AND($F211&lt;&gt;"", $F211&gt;=CZ$5-4, $F211&lt;=CZ$5, COUNTIF($M211:CY211,"u")=0), "u", "")</f>
        <v/>
      </c>
      <c r="DA211" s="80" t="str">
        <f>IF(AND($F211&lt;&gt;"", $F211&gt;=DA$5-4, $F211&lt;=DA$5, COUNTIF($M211:CZ211,"u")=0), "u", "")</f>
        <v/>
      </c>
      <c r="DB211" s="80" t="str">
        <f>IF(AND($F211&lt;&gt;"", $F211&gt;=DB$5-4, $F211&lt;=DB$5, COUNTIF($M211:DA211,"u")=0), "u", "")</f>
        <v/>
      </c>
      <c r="DC211" s="80" t="str">
        <f>IF(AND($F211&lt;&gt;"", $F211&gt;=DC$5-4, $F211&lt;=DC$5, COUNTIF($M211:DB211,"u")=0), "u", "")</f>
        <v/>
      </c>
      <c r="DD211" s="80" t="str">
        <f>IF(AND($F211&lt;&gt;"", $F211&gt;=DD$5-4, $F211&lt;=DD$5, COUNTIF($M211:DC211,"u")=0), "u", "")</f>
        <v/>
      </c>
      <c r="DE211" s="80" t="str">
        <f>IF(AND($F211&lt;&gt;"", $F211&gt;=DE$5-4, $F211&lt;=DE$5, COUNTIF($M211:DD211,"u")=0), "u", "")</f>
        <v/>
      </c>
      <c r="DF211" s="80" t="str">
        <f>IF(AND($F211&lt;&gt;"", $F211&gt;=DF$5-4, $F211&lt;=DF$5, COUNTIF($M211:DE211,"u")=0), "u", "")</f>
        <v/>
      </c>
      <c r="DG211" s="80" t="str">
        <f>IF(AND($F211&lt;&gt;"", $F211&gt;=DG$5-4, $F211&lt;=DG$5, COUNTIF($M211:DF211,"u")=0), "u", "")</f>
        <v/>
      </c>
      <c r="DH211" s="80" t="str">
        <f>IF(AND($F211&lt;&gt;"", $F211&gt;=DH$5-4, $F211&lt;=DH$5, COUNTIF($M211:DG211,"u")=0), "u", "")</f>
        <v/>
      </c>
      <c r="DI211" s="80" t="str">
        <f>IF(AND($F211&lt;&gt;"", $F211&gt;=DI$5-4, $F211&lt;=DI$5, COUNTIF($M211:DH211,"u")=0), "u", "")</f>
        <v/>
      </c>
      <c r="DJ211" s="80" t="str">
        <f>IF(AND($F211&lt;&gt;"", $F211&gt;=DJ$5-4, $F211&lt;=DJ$5, COUNTIF($M211:DI211,"u")=0), "u", "")</f>
        <v/>
      </c>
      <c r="DK211" s="80" t="str">
        <f>IF(AND($F211&lt;&gt;"", $F211&gt;=DK$5-4, $F211&lt;=DK$5, COUNTIF($M211:DJ211,"u")=0), "u", "")</f>
        <v/>
      </c>
      <c r="DL211" s="80" t="str">
        <f>IF(AND($F211&lt;&gt;"", $F211&gt;=DL$5-4, $F211&lt;=DL$5, COUNTIF($M211:DK211,"u")=0), "u", "")</f>
        <v/>
      </c>
    </row>
    <row r="212" spans="1:116" ht="25.05" customHeight="1" x14ac:dyDescent="0.3">
      <c r="A212" s="39"/>
      <c r="B212" s="75">
        <v>207</v>
      </c>
      <c r="C212" s="97"/>
      <c r="D212" s="92"/>
      <c r="E212" s="53"/>
      <c r="F212" s="53"/>
      <c r="G212" s="83" t="str">
        <f t="shared" si="53"/>
        <v/>
      </c>
      <c r="H212" s="83" t="str">
        <f t="shared" si="53"/>
        <v/>
      </c>
      <c r="I212" s="77" t="str">
        <f t="shared" si="54"/>
        <v/>
      </c>
      <c r="J212" s="78"/>
      <c r="K212" s="86"/>
      <c r="L212" s="56"/>
      <c r="M212" s="80" t="str">
        <f t="shared" si="55"/>
        <v/>
      </c>
      <c r="N212" s="80" t="str">
        <f>IF(AND($F212&lt;&gt;"", $F212&gt;=N$5-4, $F212&lt;=N$5, COUNTIF($M212:M212,"u")=0), "u", "")</f>
        <v/>
      </c>
      <c r="O212" s="80" t="str">
        <f>IF(AND($F212&lt;&gt;"", $F212&gt;=O$5-4, $F212&lt;=O$5, COUNTIF($M212:N212,"u")=0), "u", "")</f>
        <v/>
      </c>
      <c r="P212" s="80" t="str">
        <f>IF(AND($F212&lt;&gt;"", $F212&gt;=P$5-4, $F212&lt;=P$5, COUNTIF($M212:O212,"u")=0), "u", "")</f>
        <v/>
      </c>
      <c r="Q212" s="80" t="str">
        <f>IF(AND($F212&lt;&gt;"", $F212&gt;=Q$5-4, $F212&lt;=Q$5, COUNTIF($M212:P212,"u")=0), "u", "")</f>
        <v/>
      </c>
      <c r="R212" s="80" t="str">
        <f>IF(AND($F212&lt;&gt;"", $F212&gt;=R$5-4, $F212&lt;=R$5, COUNTIF($M212:Q212,"u")=0), "u", "")</f>
        <v/>
      </c>
      <c r="S212" s="80" t="str">
        <f>IF(AND($F212&lt;&gt;"", $F212&gt;=S$5-4, $F212&lt;=S$5, COUNTIF($M212:R212,"u")=0), "u", "")</f>
        <v/>
      </c>
      <c r="T212" s="80" t="str">
        <f>IF(AND($F212&lt;&gt;"", $F212&gt;=T$5-4, $F212&lt;=T$5, COUNTIF($M212:S212,"u")=0), "u", "")</f>
        <v/>
      </c>
      <c r="U212" s="80" t="str">
        <f>IF(AND($F212&lt;&gt;"", $F212&gt;=U$5-4, $F212&lt;=U$5, COUNTIF($M212:T212,"u")=0), "u", "")</f>
        <v/>
      </c>
      <c r="V212" s="80" t="str">
        <f>IF(AND($F212&lt;&gt;"", $F212&gt;=V$5-4, $F212&lt;=V$5, COUNTIF($M212:U212,"u")=0), "u", "")</f>
        <v/>
      </c>
      <c r="W212" s="80" t="str">
        <f>IF(AND($F212&lt;&gt;"", $F212&gt;=W$5-4, $F212&lt;=W$5, COUNTIF($M212:V212,"u")=0), "u", "")</f>
        <v/>
      </c>
      <c r="X212" s="80" t="str">
        <f>IF(AND($F212&lt;&gt;"", $F212&gt;=X$5-4, $F212&lt;=X$5, COUNTIF($M212:W212,"u")=0), "u", "")</f>
        <v/>
      </c>
      <c r="Y212" s="80" t="str">
        <f>IF(AND($F212&lt;&gt;"", $F212&gt;=Y$5-4, $F212&lt;=Y$5, COUNTIF($M212:X212,"u")=0), "u", "")</f>
        <v/>
      </c>
      <c r="Z212" s="80" t="str">
        <f>IF(AND($F212&lt;&gt;"", $F212&gt;=Z$5-4, $F212&lt;=Z$5, COUNTIF($M212:Y212,"u")=0), "u", "")</f>
        <v/>
      </c>
      <c r="AA212" s="80" t="str">
        <f>IF(AND($F212&lt;&gt;"", $F212&gt;=AA$5-4, $F212&lt;=AA$5, COUNTIF($M212:Z212,"u")=0), "u", "")</f>
        <v/>
      </c>
      <c r="AB212" s="80" t="str">
        <f>IF(AND($F212&lt;&gt;"", $F212&gt;=AB$5-4, $F212&lt;=AB$5, COUNTIF($M212:AA212,"u")=0), "u", "")</f>
        <v/>
      </c>
      <c r="AC212" s="80" t="str">
        <f>IF(AND($F212&lt;&gt;"", $F212&gt;=AC$5-4, $F212&lt;=AC$5, COUNTIF($M212:AB212,"u")=0), "u", "")</f>
        <v/>
      </c>
      <c r="AD212" s="80" t="str">
        <f>IF(AND($F212&lt;&gt;"", $F212&gt;=AD$5-4, $F212&lt;=AD$5, COUNTIF($M212:AC212,"u")=0), "u", "")</f>
        <v/>
      </c>
      <c r="AE212" s="80" t="str">
        <f>IF(AND($F212&lt;&gt;"", $F212&gt;=AE$5-4, $F212&lt;=AE$5, COUNTIF($M212:AD212,"u")=0), "u", "")</f>
        <v/>
      </c>
      <c r="AF212" s="80" t="str">
        <f>IF(AND($F212&lt;&gt;"", $F212&gt;=AF$5-4, $F212&lt;=AF$5, COUNTIF($M212:AE212,"u")=0), "u", "")</f>
        <v/>
      </c>
      <c r="AG212" s="80" t="str">
        <f>IF(AND($F212&lt;&gt;"", $F212&gt;=AG$5-4, $F212&lt;=AG$5, COUNTIF($M212:AF212,"u")=0), "u", "")</f>
        <v/>
      </c>
      <c r="AH212" s="80" t="str">
        <f>IF(AND($F212&lt;&gt;"", $F212&gt;=AH$5-4, $F212&lt;=AH$5, COUNTIF($M212:AG212,"u")=0), "u", "")</f>
        <v/>
      </c>
      <c r="AI212" s="80" t="str">
        <f>IF(AND($F212&lt;&gt;"", $F212&gt;=AI$5-4, $F212&lt;=AI$5, COUNTIF($M212:AH212,"u")=0), "u", "")</f>
        <v/>
      </c>
      <c r="AJ212" s="80" t="str">
        <f>IF(AND($F212&lt;&gt;"", $F212&gt;=AJ$5-4, $F212&lt;=AJ$5, COUNTIF($M212:AI212,"u")=0), "u", "")</f>
        <v/>
      </c>
      <c r="AK212" s="80" t="str">
        <f>IF(AND($F212&lt;&gt;"", $F212&gt;=AK$5-4, $F212&lt;=AK$5, COUNTIF($M212:AJ212,"u")=0), "u", "")</f>
        <v/>
      </c>
      <c r="AL212" s="80" t="str">
        <f>IF(AND($F212&lt;&gt;"", $F212&gt;=AL$5-4, $F212&lt;=AL$5, COUNTIF($M212:AK212,"u")=0), "u", "")</f>
        <v/>
      </c>
      <c r="AM212" s="80" t="str">
        <f>IF(AND($F212&lt;&gt;"", $F212&gt;=AM$5-4, $F212&lt;=AM$5, COUNTIF($M212:AL212,"u")=0), "u", "")</f>
        <v/>
      </c>
      <c r="AN212" s="80" t="str">
        <f>IF(AND($F212&lt;&gt;"", $F212&gt;=AN$5-4, $F212&lt;=AN$5, COUNTIF($M212:AM212,"u")=0), "u", "")</f>
        <v/>
      </c>
      <c r="AO212" s="80" t="str">
        <f>IF(AND($F212&lt;&gt;"", $F212&gt;=AO$5-4, $F212&lt;=AO$5, COUNTIF($M212:AN212,"u")=0), "u", "")</f>
        <v/>
      </c>
      <c r="AP212" s="80" t="str">
        <f>IF(AND($F212&lt;&gt;"", $F212&gt;=AP$5-4, $F212&lt;=AP$5, COUNTIF($M212:AO212,"u")=0), "u", "")</f>
        <v/>
      </c>
      <c r="AQ212" s="80" t="str">
        <f>IF(AND($F212&lt;&gt;"", $F212&gt;=AQ$5-4, $F212&lt;=AQ$5, COUNTIF($M212:AP212,"u")=0), "u", "")</f>
        <v/>
      </c>
      <c r="AR212" s="80" t="str">
        <f>IF(AND($F212&lt;&gt;"", $F212&gt;=AR$5-4, $F212&lt;=AR$5, COUNTIF($M212:AQ212,"u")=0), "u", "")</f>
        <v/>
      </c>
      <c r="AS212" s="80" t="str">
        <f>IF(AND($F212&lt;&gt;"", $F212&gt;=AS$5-4, $F212&lt;=AS$5, COUNTIF($M212:AR212,"u")=0), "u", "")</f>
        <v/>
      </c>
      <c r="AT212" s="80" t="str">
        <f>IF(AND($F212&lt;&gt;"", $F212&gt;=AT$5-4, $F212&lt;=AT$5, COUNTIF($M212:AS212,"u")=0), "u", "")</f>
        <v/>
      </c>
      <c r="AU212" s="80" t="str">
        <f>IF(AND($F212&lt;&gt;"", $F212&gt;=AU$5-4, $F212&lt;=AU$5, COUNTIF($M212:AT212,"u")=0), "u", "")</f>
        <v/>
      </c>
      <c r="AV212" s="80" t="str">
        <f>IF(AND($F212&lt;&gt;"", $F212&gt;=AV$5-4, $F212&lt;=AV$5, COUNTIF($M212:AU212,"u")=0), "u", "")</f>
        <v/>
      </c>
      <c r="AW212" s="80" t="str">
        <f>IF(AND($F212&lt;&gt;"", $F212&gt;=AW$5-4, $F212&lt;=AW$5, COUNTIF($M212:AV212,"u")=0), "u", "")</f>
        <v/>
      </c>
      <c r="AX212" s="80" t="str">
        <f>IF(AND($F212&lt;&gt;"", $F212&gt;=AX$5-4, $F212&lt;=AX$5, COUNTIF($M212:AW212,"u")=0), "u", "")</f>
        <v/>
      </c>
      <c r="AY212" s="80" t="str">
        <f>IF(AND($F212&lt;&gt;"", $F212&gt;=AY$5-4, $F212&lt;=AY$5, COUNTIF($M212:AX212,"u")=0), "u", "")</f>
        <v/>
      </c>
      <c r="AZ212" s="80" t="str">
        <f>IF(AND($F212&lt;&gt;"", $F212&gt;=AZ$5-4, $F212&lt;=AZ$5, COUNTIF($M212:AY212,"u")=0), "u", "")</f>
        <v/>
      </c>
      <c r="BA212" s="80" t="str">
        <f>IF(AND($F212&lt;&gt;"", $F212&gt;=BA$5-4, $F212&lt;=BA$5, COUNTIF($M212:AZ212,"u")=0), "u", "")</f>
        <v/>
      </c>
      <c r="BB212" s="80" t="str">
        <f>IF(AND($F212&lt;&gt;"", $F212&gt;=BB$5-4, $F212&lt;=BB$5, COUNTIF($M212:BA212,"u")=0), "u", "")</f>
        <v/>
      </c>
      <c r="BC212" s="80" t="str">
        <f>IF(AND($F212&lt;&gt;"", $F212&gt;=BC$5-4, $F212&lt;=BC$5, COUNTIF($M212:BB212,"u")=0), "u", "")</f>
        <v/>
      </c>
      <c r="BD212" s="80" t="str">
        <f>IF(AND($F212&lt;&gt;"", $F212&gt;=BD$5-4, $F212&lt;=BD$5, COUNTIF($M212:BC212,"u")=0), "u", "")</f>
        <v/>
      </c>
      <c r="BE212" s="80" t="str">
        <f>IF(AND($F212&lt;&gt;"", $F212&gt;=BE$5-4, $F212&lt;=BE$5, COUNTIF($M212:BD212,"u")=0), "u", "")</f>
        <v/>
      </c>
      <c r="BF212" s="80" t="str">
        <f>IF(AND($F212&lt;&gt;"", $F212&gt;=BF$5-4, $F212&lt;=BF$5, COUNTIF($M212:BE212,"u")=0), "u", "")</f>
        <v/>
      </c>
      <c r="BG212" s="80" t="str">
        <f>IF(AND($F212&lt;&gt;"", $F212&gt;=BG$5-4, $F212&lt;=BG$5, COUNTIF($M212:BF212,"u")=0), "u", "")</f>
        <v/>
      </c>
      <c r="BH212" s="80" t="str">
        <f>IF(AND($F212&lt;&gt;"", $F212&gt;=BH$5-4, $F212&lt;=BH$5, COUNTIF($M212:BG212,"u")=0), "u", "")</f>
        <v/>
      </c>
      <c r="BI212" s="80" t="str">
        <f>IF(AND($F212&lt;&gt;"", $F212&gt;=BI$5-4, $F212&lt;=BI$5, COUNTIF($M212:BH212,"u")=0), "u", "")</f>
        <v/>
      </c>
      <c r="BJ212" s="80" t="str">
        <f>IF(AND($F212&lt;&gt;"", $F212&gt;=BJ$5-4, $F212&lt;=BJ$5, COUNTIF($M212:BI212,"u")=0), "u", "")</f>
        <v/>
      </c>
      <c r="BK212" s="80" t="str">
        <f>IF(AND($F212&lt;&gt;"", $F212&gt;=BK$5-4, $F212&lt;=BK$5, COUNTIF($M212:BJ212,"u")=0), "u", "")</f>
        <v/>
      </c>
      <c r="BL212" s="80" t="str">
        <f>IF(AND($F212&lt;&gt;"", $F212&gt;=BL$5-4, $F212&lt;=BL$5, COUNTIF($M212:BK212,"u")=0), "u", "")</f>
        <v/>
      </c>
      <c r="BM212" s="80" t="str">
        <f>IF(AND($F212&lt;&gt;"", $F212&gt;=BM$5-4, $F212&lt;=BM$5, COUNTIF($M212:BL212,"u")=0), "u", "")</f>
        <v/>
      </c>
      <c r="BN212" s="80" t="str">
        <f>IF(AND($F212&lt;&gt;"", $F212&gt;=BN$5-4, $F212&lt;=BN$5, COUNTIF($M212:BM212,"u")=0), "u", "")</f>
        <v/>
      </c>
      <c r="BO212" s="80" t="str">
        <f>IF(AND($F212&lt;&gt;"", $F212&gt;=BO$5-4, $F212&lt;=BO$5, COUNTIF($M212:BN212,"u")=0), "u", "")</f>
        <v/>
      </c>
      <c r="BP212" s="80" t="str">
        <f>IF(AND($F212&lt;&gt;"", $F212&gt;=BP$5-4, $F212&lt;=BP$5, COUNTIF($M212:BO212,"u")=0), "u", "")</f>
        <v/>
      </c>
      <c r="BQ212" s="80" t="str">
        <f>IF(AND($F212&lt;&gt;"", $F212&gt;=BQ$5-4, $F212&lt;=BQ$5, COUNTIF($M212:BP212,"u")=0), "u", "")</f>
        <v/>
      </c>
      <c r="BR212" s="80" t="str">
        <f>IF(AND($F212&lt;&gt;"", $F212&gt;=BR$5-4, $F212&lt;=BR$5, COUNTIF($M212:BQ212,"u")=0), "u", "")</f>
        <v/>
      </c>
      <c r="BS212" s="80" t="str">
        <f>IF(AND($F212&lt;&gt;"", $F212&gt;=BS$5-4, $F212&lt;=BS$5, COUNTIF($M212:BR212,"u")=0), "u", "")</f>
        <v/>
      </c>
      <c r="BT212" s="80" t="str">
        <f>IF(AND($F212&lt;&gt;"", $F212&gt;=BT$5-4, $F212&lt;=BT$5, COUNTIF($M212:BS212,"u")=0), "u", "")</f>
        <v/>
      </c>
      <c r="BU212" s="80" t="str">
        <f>IF(AND($F212&lt;&gt;"", $F212&gt;=BU$5-4, $F212&lt;=BU$5, COUNTIF($M212:BT212,"u")=0), "u", "")</f>
        <v/>
      </c>
      <c r="BV212" s="80" t="str">
        <f>IF(AND($F212&lt;&gt;"", $F212&gt;=BV$5-4, $F212&lt;=BV$5, COUNTIF($M212:BU212,"u")=0), "u", "")</f>
        <v/>
      </c>
      <c r="BW212" s="80" t="str">
        <f>IF(AND($F212&lt;&gt;"", $F212&gt;=BW$5-4, $F212&lt;=BW$5, COUNTIF($M212:BV212,"u")=0), "u", "")</f>
        <v/>
      </c>
      <c r="BX212" s="80" t="str">
        <f>IF(AND($F212&lt;&gt;"", $F212&gt;=BX$5-4, $F212&lt;=BX$5, COUNTIF($M212:BW212,"u")=0), "u", "")</f>
        <v/>
      </c>
      <c r="BY212" s="80" t="str">
        <f>IF(AND($F212&lt;&gt;"", $F212&gt;=BY$5-4, $F212&lt;=BY$5, COUNTIF($M212:BX212,"u")=0), "u", "")</f>
        <v/>
      </c>
      <c r="BZ212" s="80" t="str">
        <f>IF(AND($F212&lt;&gt;"", $F212&gt;=BZ$5-4, $F212&lt;=BZ$5, COUNTIF($M212:BY212,"u")=0), "u", "")</f>
        <v/>
      </c>
      <c r="CA212" s="80" t="str">
        <f>IF(AND($F212&lt;&gt;"", $F212&gt;=CA$5-4, $F212&lt;=CA$5, COUNTIF($M212:BZ212,"u")=0), "u", "")</f>
        <v/>
      </c>
      <c r="CB212" s="80" t="str">
        <f>IF(AND($F212&lt;&gt;"", $F212&gt;=CB$5-4, $F212&lt;=CB$5, COUNTIF($M212:CA212,"u")=0), "u", "")</f>
        <v/>
      </c>
      <c r="CC212" s="80" t="str">
        <f>IF(AND($F212&lt;&gt;"", $F212&gt;=CC$5-4, $F212&lt;=CC$5, COUNTIF($M212:CB212,"u")=0), "u", "")</f>
        <v/>
      </c>
      <c r="CD212" s="80" t="str">
        <f>IF(AND($F212&lt;&gt;"", $F212&gt;=CD$5-4, $F212&lt;=CD$5, COUNTIF($M212:CC212,"u")=0), "u", "")</f>
        <v/>
      </c>
      <c r="CE212" s="80" t="str">
        <f>IF(AND($F212&lt;&gt;"", $F212&gt;=CE$5-4, $F212&lt;=CE$5, COUNTIF($M212:CD212,"u")=0), "u", "")</f>
        <v/>
      </c>
      <c r="CF212" s="80" t="str">
        <f>IF(AND($F212&lt;&gt;"", $F212&gt;=CF$5-4, $F212&lt;=CF$5, COUNTIF($M212:CE212,"u")=0), "u", "")</f>
        <v/>
      </c>
      <c r="CG212" s="80" t="str">
        <f>IF(AND($F212&lt;&gt;"", $F212&gt;=CG$5-4, $F212&lt;=CG$5, COUNTIF($M212:CF212,"u")=0), "u", "")</f>
        <v/>
      </c>
      <c r="CH212" s="80" t="str">
        <f>IF(AND($F212&lt;&gt;"", $F212&gt;=CH$5-4, $F212&lt;=CH$5, COUNTIF($M212:CG212,"u")=0), "u", "")</f>
        <v/>
      </c>
      <c r="CI212" s="80" t="str">
        <f>IF(AND($F212&lt;&gt;"", $F212&gt;=CI$5-4, $F212&lt;=CI$5, COUNTIF($M212:CH212,"u")=0), "u", "")</f>
        <v/>
      </c>
      <c r="CJ212" s="80" t="str">
        <f>IF(AND($F212&lt;&gt;"", $F212&gt;=CJ$5-4, $F212&lt;=CJ$5, COUNTIF($M212:CI212,"u")=0), "u", "")</f>
        <v/>
      </c>
      <c r="CK212" s="80" t="str">
        <f>IF(AND($F212&lt;&gt;"", $F212&gt;=CK$5-4, $F212&lt;=CK$5, COUNTIF($M212:CJ212,"u")=0), "u", "")</f>
        <v/>
      </c>
      <c r="CL212" s="80" t="str">
        <f>IF(AND($F212&lt;&gt;"", $F212&gt;=CL$5-4, $F212&lt;=CL$5, COUNTIF($M212:CK212,"u")=0), "u", "")</f>
        <v/>
      </c>
      <c r="CM212" s="80" t="str">
        <f>IF(AND($F212&lt;&gt;"", $F212&gt;=CM$5-4, $F212&lt;=CM$5, COUNTIF($M212:CL212,"u")=0), "u", "")</f>
        <v/>
      </c>
      <c r="CN212" s="80" t="str">
        <f>IF(AND($F212&lt;&gt;"", $F212&gt;=CN$5-4, $F212&lt;=CN$5, COUNTIF($M212:CM212,"u")=0), "u", "")</f>
        <v/>
      </c>
      <c r="CO212" s="80" t="str">
        <f>IF(AND($F212&lt;&gt;"", $F212&gt;=CO$5-4, $F212&lt;=CO$5, COUNTIF($M212:CN212,"u")=0), "u", "")</f>
        <v/>
      </c>
      <c r="CP212" s="80" t="str">
        <f>IF(AND($F212&lt;&gt;"", $F212&gt;=CP$5-4, $F212&lt;=CP$5, COUNTIF($M212:CO212,"u")=0), "u", "")</f>
        <v/>
      </c>
      <c r="CQ212" s="80" t="str">
        <f>IF(AND($F212&lt;&gt;"", $F212&gt;=CQ$5-4, $F212&lt;=CQ$5, COUNTIF($M212:CP212,"u")=0), "u", "")</f>
        <v/>
      </c>
      <c r="CR212" s="80" t="str">
        <f>IF(AND($F212&lt;&gt;"", $F212&gt;=CR$5-4, $F212&lt;=CR$5, COUNTIF($M212:CQ212,"u")=0), "u", "")</f>
        <v/>
      </c>
      <c r="CS212" s="80" t="str">
        <f>IF(AND($F212&lt;&gt;"", $F212&gt;=CS$5-4, $F212&lt;=CS$5, COUNTIF($M212:CR212,"u")=0), "u", "")</f>
        <v/>
      </c>
      <c r="CT212" s="80" t="str">
        <f>IF(AND($F212&lt;&gt;"", $F212&gt;=CT$5-4, $F212&lt;=CT$5, COUNTIF($M212:CS212,"u")=0), "u", "")</f>
        <v/>
      </c>
      <c r="CU212" s="80" t="str">
        <f>IF(AND($F212&lt;&gt;"", $F212&gt;=CU$5-4, $F212&lt;=CU$5, COUNTIF($M212:CT212,"u")=0), "u", "")</f>
        <v/>
      </c>
      <c r="CV212" s="80" t="str">
        <f>IF(AND($F212&lt;&gt;"", $F212&gt;=CV$5-4, $F212&lt;=CV$5, COUNTIF($M212:CU212,"u")=0), "u", "")</f>
        <v/>
      </c>
      <c r="CW212" s="80" t="str">
        <f>IF(AND($F212&lt;&gt;"", $F212&gt;=CW$5-4, $F212&lt;=CW$5, COUNTIF($M212:CV212,"u")=0), "u", "")</f>
        <v/>
      </c>
      <c r="CX212" s="80" t="str">
        <f>IF(AND($F212&lt;&gt;"", $F212&gt;=CX$5-4, $F212&lt;=CX$5, COUNTIF($M212:CW212,"u")=0), "u", "")</f>
        <v/>
      </c>
      <c r="CY212" s="80" t="str">
        <f>IF(AND($F212&lt;&gt;"", $F212&gt;=CY$5-4, $F212&lt;=CY$5, COUNTIF($M212:CX212,"u")=0), "u", "")</f>
        <v/>
      </c>
      <c r="CZ212" s="80" t="str">
        <f>IF(AND($F212&lt;&gt;"", $F212&gt;=CZ$5-4, $F212&lt;=CZ$5, COUNTIF($M212:CY212,"u")=0), "u", "")</f>
        <v/>
      </c>
      <c r="DA212" s="80" t="str">
        <f>IF(AND($F212&lt;&gt;"", $F212&gt;=DA$5-4, $F212&lt;=DA$5, COUNTIF($M212:CZ212,"u")=0), "u", "")</f>
        <v/>
      </c>
      <c r="DB212" s="80" t="str">
        <f>IF(AND($F212&lt;&gt;"", $F212&gt;=DB$5-4, $F212&lt;=DB$5, COUNTIF($M212:DA212,"u")=0), "u", "")</f>
        <v/>
      </c>
      <c r="DC212" s="80" t="str">
        <f>IF(AND($F212&lt;&gt;"", $F212&gt;=DC$5-4, $F212&lt;=DC$5, COUNTIF($M212:DB212,"u")=0), "u", "")</f>
        <v/>
      </c>
      <c r="DD212" s="80" t="str">
        <f>IF(AND($F212&lt;&gt;"", $F212&gt;=DD$5-4, $F212&lt;=DD$5, COUNTIF($M212:DC212,"u")=0), "u", "")</f>
        <v/>
      </c>
      <c r="DE212" s="80" t="str">
        <f>IF(AND($F212&lt;&gt;"", $F212&gt;=DE$5-4, $F212&lt;=DE$5, COUNTIF($M212:DD212,"u")=0), "u", "")</f>
        <v/>
      </c>
      <c r="DF212" s="80" t="str">
        <f>IF(AND($F212&lt;&gt;"", $F212&gt;=DF$5-4, $F212&lt;=DF$5, COUNTIF($M212:DE212,"u")=0), "u", "")</f>
        <v/>
      </c>
      <c r="DG212" s="80" t="str">
        <f>IF(AND($F212&lt;&gt;"", $F212&gt;=DG$5-4, $F212&lt;=DG$5, COUNTIF($M212:DF212,"u")=0), "u", "")</f>
        <v/>
      </c>
      <c r="DH212" s="80" t="str">
        <f>IF(AND($F212&lt;&gt;"", $F212&gt;=DH$5-4, $F212&lt;=DH$5, COUNTIF($M212:DG212,"u")=0), "u", "")</f>
        <v/>
      </c>
      <c r="DI212" s="80" t="str">
        <f>IF(AND($F212&lt;&gt;"", $F212&gt;=DI$5-4, $F212&lt;=DI$5, COUNTIF($M212:DH212,"u")=0), "u", "")</f>
        <v/>
      </c>
      <c r="DJ212" s="80" t="str">
        <f>IF(AND($F212&lt;&gt;"", $F212&gt;=DJ$5-4, $F212&lt;=DJ$5, COUNTIF($M212:DI212,"u")=0), "u", "")</f>
        <v/>
      </c>
      <c r="DK212" s="80" t="str">
        <f>IF(AND($F212&lt;&gt;"", $F212&gt;=DK$5-4, $F212&lt;=DK$5, COUNTIF($M212:DJ212,"u")=0), "u", "")</f>
        <v/>
      </c>
      <c r="DL212" s="80" t="str">
        <f>IF(AND($F212&lt;&gt;"", $F212&gt;=DL$5-4, $F212&lt;=DL$5, COUNTIF($M212:DK212,"u")=0), "u", "")</f>
        <v/>
      </c>
    </row>
    <row r="213" spans="1:116" ht="25.05" customHeight="1" x14ac:dyDescent="0.3">
      <c r="A213" s="39"/>
      <c r="B213" s="75">
        <v>208</v>
      </c>
      <c r="C213" s="97"/>
      <c r="D213" s="92"/>
      <c r="E213" s="53"/>
      <c r="F213" s="53"/>
      <c r="G213" s="83" t="str">
        <f t="shared" si="53"/>
        <v/>
      </c>
      <c r="H213" s="83" t="str">
        <f t="shared" si="53"/>
        <v/>
      </c>
      <c r="I213" s="77" t="str">
        <f t="shared" si="54"/>
        <v/>
      </c>
      <c r="J213" s="78"/>
      <c r="K213" s="86"/>
      <c r="L213" s="56"/>
      <c r="M213" s="80" t="str">
        <f t="shared" si="55"/>
        <v/>
      </c>
      <c r="N213" s="80" t="str">
        <f>IF(AND($F213&lt;&gt;"", $F213&gt;=N$5-4, $F213&lt;=N$5, COUNTIF($M213:M213,"u")=0), "u", "")</f>
        <v/>
      </c>
      <c r="O213" s="80" t="str">
        <f>IF(AND($F213&lt;&gt;"", $F213&gt;=O$5-4, $F213&lt;=O$5, COUNTIF($M213:N213,"u")=0), "u", "")</f>
        <v/>
      </c>
      <c r="P213" s="80" t="str">
        <f>IF(AND($F213&lt;&gt;"", $F213&gt;=P$5-4, $F213&lt;=P$5, COUNTIF($M213:O213,"u")=0), "u", "")</f>
        <v/>
      </c>
      <c r="Q213" s="80" t="str">
        <f>IF(AND($F213&lt;&gt;"", $F213&gt;=Q$5-4, $F213&lt;=Q$5, COUNTIF($M213:P213,"u")=0), "u", "")</f>
        <v/>
      </c>
      <c r="R213" s="80" t="str">
        <f>IF(AND($F213&lt;&gt;"", $F213&gt;=R$5-4, $F213&lt;=R$5, COUNTIF($M213:Q213,"u")=0), "u", "")</f>
        <v/>
      </c>
      <c r="S213" s="80" t="str">
        <f>IF(AND($F213&lt;&gt;"", $F213&gt;=S$5-4, $F213&lt;=S$5, COUNTIF($M213:R213,"u")=0), "u", "")</f>
        <v/>
      </c>
      <c r="T213" s="80" t="str">
        <f>IF(AND($F213&lt;&gt;"", $F213&gt;=T$5-4, $F213&lt;=T$5, COUNTIF($M213:S213,"u")=0), "u", "")</f>
        <v/>
      </c>
      <c r="U213" s="80" t="str">
        <f>IF(AND($F213&lt;&gt;"", $F213&gt;=U$5-4, $F213&lt;=U$5, COUNTIF($M213:T213,"u")=0), "u", "")</f>
        <v/>
      </c>
      <c r="V213" s="80" t="str">
        <f>IF(AND($F213&lt;&gt;"", $F213&gt;=V$5-4, $F213&lt;=V$5, COUNTIF($M213:U213,"u")=0), "u", "")</f>
        <v/>
      </c>
      <c r="W213" s="80" t="str">
        <f>IF(AND($F213&lt;&gt;"", $F213&gt;=W$5-4, $F213&lt;=W$5, COUNTIF($M213:V213,"u")=0), "u", "")</f>
        <v/>
      </c>
      <c r="X213" s="80" t="str">
        <f>IF(AND($F213&lt;&gt;"", $F213&gt;=X$5-4, $F213&lt;=X$5, COUNTIF($M213:W213,"u")=0), "u", "")</f>
        <v/>
      </c>
      <c r="Y213" s="80" t="str">
        <f>IF(AND($F213&lt;&gt;"", $F213&gt;=Y$5-4, $F213&lt;=Y$5, COUNTIF($M213:X213,"u")=0), "u", "")</f>
        <v/>
      </c>
      <c r="Z213" s="80" t="str">
        <f>IF(AND($F213&lt;&gt;"", $F213&gt;=Z$5-4, $F213&lt;=Z$5, COUNTIF($M213:Y213,"u")=0), "u", "")</f>
        <v/>
      </c>
      <c r="AA213" s="80" t="str">
        <f>IF(AND($F213&lt;&gt;"", $F213&gt;=AA$5-4, $F213&lt;=AA$5, COUNTIF($M213:Z213,"u")=0), "u", "")</f>
        <v/>
      </c>
      <c r="AB213" s="80" t="str">
        <f>IF(AND($F213&lt;&gt;"", $F213&gt;=AB$5-4, $F213&lt;=AB$5, COUNTIF($M213:AA213,"u")=0), "u", "")</f>
        <v/>
      </c>
      <c r="AC213" s="80" t="str">
        <f>IF(AND($F213&lt;&gt;"", $F213&gt;=AC$5-4, $F213&lt;=AC$5, COUNTIF($M213:AB213,"u")=0), "u", "")</f>
        <v/>
      </c>
      <c r="AD213" s="80" t="str">
        <f>IF(AND($F213&lt;&gt;"", $F213&gt;=AD$5-4, $F213&lt;=AD$5, COUNTIF($M213:AC213,"u")=0), "u", "")</f>
        <v/>
      </c>
      <c r="AE213" s="80" t="str">
        <f>IF(AND($F213&lt;&gt;"", $F213&gt;=AE$5-4, $F213&lt;=AE$5, COUNTIF($M213:AD213,"u")=0), "u", "")</f>
        <v/>
      </c>
      <c r="AF213" s="80" t="str">
        <f>IF(AND($F213&lt;&gt;"", $F213&gt;=AF$5-4, $F213&lt;=AF$5, COUNTIF($M213:AE213,"u")=0), "u", "")</f>
        <v/>
      </c>
      <c r="AG213" s="80" t="str">
        <f>IF(AND($F213&lt;&gt;"", $F213&gt;=AG$5-4, $F213&lt;=AG$5, COUNTIF($M213:AF213,"u")=0), "u", "")</f>
        <v/>
      </c>
      <c r="AH213" s="80" t="str">
        <f>IF(AND($F213&lt;&gt;"", $F213&gt;=AH$5-4, $F213&lt;=AH$5, COUNTIF($M213:AG213,"u")=0), "u", "")</f>
        <v/>
      </c>
      <c r="AI213" s="80" t="str">
        <f>IF(AND($F213&lt;&gt;"", $F213&gt;=AI$5-4, $F213&lt;=AI$5, COUNTIF($M213:AH213,"u")=0), "u", "")</f>
        <v/>
      </c>
      <c r="AJ213" s="80" t="str">
        <f>IF(AND($F213&lt;&gt;"", $F213&gt;=AJ$5-4, $F213&lt;=AJ$5, COUNTIF($M213:AI213,"u")=0), "u", "")</f>
        <v/>
      </c>
      <c r="AK213" s="80" t="str">
        <f>IF(AND($F213&lt;&gt;"", $F213&gt;=AK$5-4, $F213&lt;=AK$5, COUNTIF($M213:AJ213,"u")=0), "u", "")</f>
        <v/>
      </c>
      <c r="AL213" s="80" t="str">
        <f>IF(AND($F213&lt;&gt;"", $F213&gt;=AL$5-4, $F213&lt;=AL$5, COUNTIF($M213:AK213,"u")=0), "u", "")</f>
        <v/>
      </c>
      <c r="AM213" s="80" t="str">
        <f>IF(AND($F213&lt;&gt;"", $F213&gt;=AM$5-4, $F213&lt;=AM$5, COUNTIF($M213:AL213,"u")=0), "u", "")</f>
        <v/>
      </c>
      <c r="AN213" s="80" t="str">
        <f>IF(AND($F213&lt;&gt;"", $F213&gt;=AN$5-4, $F213&lt;=AN$5, COUNTIF($M213:AM213,"u")=0), "u", "")</f>
        <v/>
      </c>
      <c r="AO213" s="80" t="str">
        <f>IF(AND($F213&lt;&gt;"", $F213&gt;=AO$5-4, $F213&lt;=AO$5, COUNTIF($M213:AN213,"u")=0), "u", "")</f>
        <v/>
      </c>
      <c r="AP213" s="80" t="str">
        <f>IF(AND($F213&lt;&gt;"", $F213&gt;=AP$5-4, $F213&lt;=AP$5, COUNTIF($M213:AO213,"u")=0), "u", "")</f>
        <v/>
      </c>
      <c r="AQ213" s="80" t="str">
        <f>IF(AND($F213&lt;&gt;"", $F213&gt;=AQ$5-4, $F213&lt;=AQ$5, COUNTIF($M213:AP213,"u")=0), "u", "")</f>
        <v/>
      </c>
      <c r="AR213" s="80" t="str">
        <f>IF(AND($F213&lt;&gt;"", $F213&gt;=AR$5-4, $F213&lt;=AR$5, COUNTIF($M213:AQ213,"u")=0), "u", "")</f>
        <v/>
      </c>
      <c r="AS213" s="80" t="str">
        <f>IF(AND($F213&lt;&gt;"", $F213&gt;=AS$5-4, $F213&lt;=AS$5, COUNTIF($M213:AR213,"u")=0), "u", "")</f>
        <v/>
      </c>
      <c r="AT213" s="80" t="str">
        <f>IF(AND($F213&lt;&gt;"", $F213&gt;=AT$5-4, $F213&lt;=AT$5, COUNTIF($M213:AS213,"u")=0), "u", "")</f>
        <v/>
      </c>
      <c r="AU213" s="80" t="str">
        <f>IF(AND($F213&lt;&gt;"", $F213&gt;=AU$5-4, $F213&lt;=AU$5, COUNTIF($M213:AT213,"u")=0), "u", "")</f>
        <v/>
      </c>
      <c r="AV213" s="80" t="str">
        <f>IF(AND($F213&lt;&gt;"", $F213&gt;=AV$5-4, $F213&lt;=AV$5, COUNTIF($M213:AU213,"u")=0), "u", "")</f>
        <v/>
      </c>
      <c r="AW213" s="80" t="str">
        <f>IF(AND($F213&lt;&gt;"", $F213&gt;=AW$5-4, $F213&lt;=AW$5, COUNTIF($M213:AV213,"u")=0), "u", "")</f>
        <v/>
      </c>
      <c r="AX213" s="80" t="str">
        <f>IF(AND($F213&lt;&gt;"", $F213&gt;=AX$5-4, $F213&lt;=AX$5, COUNTIF($M213:AW213,"u")=0), "u", "")</f>
        <v/>
      </c>
      <c r="AY213" s="80" t="str">
        <f>IF(AND($F213&lt;&gt;"", $F213&gt;=AY$5-4, $F213&lt;=AY$5, COUNTIF($M213:AX213,"u")=0), "u", "")</f>
        <v/>
      </c>
      <c r="AZ213" s="80" t="str">
        <f>IF(AND($F213&lt;&gt;"", $F213&gt;=AZ$5-4, $F213&lt;=AZ$5, COUNTIF($M213:AY213,"u")=0), "u", "")</f>
        <v/>
      </c>
      <c r="BA213" s="80" t="str">
        <f>IF(AND($F213&lt;&gt;"", $F213&gt;=BA$5-4, $F213&lt;=BA$5, COUNTIF($M213:AZ213,"u")=0), "u", "")</f>
        <v/>
      </c>
      <c r="BB213" s="80" t="str">
        <f>IF(AND($F213&lt;&gt;"", $F213&gt;=BB$5-4, $F213&lt;=BB$5, COUNTIF($M213:BA213,"u")=0), "u", "")</f>
        <v/>
      </c>
      <c r="BC213" s="80" t="str">
        <f>IF(AND($F213&lt;&gt;"", $F213&gt;=BC$5-4, $F213&lt;=BC$5, COUNTIF($M213:BB213,"u")=0), "u", "")</f>
        <v/>
      </c>
      <c r="BD213" s="80" t="str">
        <f>IF(AND($F213&lt;&gt;"", $F213&gt;=BD$5-4, $F213&lt;=BD$5, COUNTIF($M213:BC213,"u")=0), "u", "")</f>
        <v/>
      </c>
      <c r="BE213" s="80" t="str">
        <f>IF(AND($F213&lt;&gt;"", $F213&gt;=BE$5-4, $F213&lt;=BE$5, COUNTIF($M213:BD213,"u")=0), "u", "")</f>
        <v/>
      </c>
      <c r="BF213" s="80" t="str">
        <f>IF(AND($F213&lt;&gt;"", $F213&gt;=BF$5-4, $F213&lt;=BF$5, COUNTIF($M213:BE213,"u")=0), "u", "")</f>
        <v/>
      </c>
      <c r="BG213" s="80" t="str">
        <f>IF(AND($F213&lt;&gt;"", $F213&gt;=BG$5-4, $F213&lt;=BG$5, COUNTIF($M213:BF213,"u")=0), "u", "")</f>
        <v/>
      </c>
      <c r="BH213" s="80" t="str">
        <f>IF(AND($F213&lt;&gt;"", $F213&gt;=BH$5-4, $F213&lt;=BH$5, COUNTIF($M213:BG213,"u")=0), "u", "")</f>
        <v/>
      </c>
      <c r="BI213" s="80" t="str">
        <f>IF(AND($F213&lt;&gt;"", $F213&gt;=BI$5-4, $F213&lt;=BI$5, COUNTIF($M213:BH213,"u")=0), "u", "")</f>
        <v/>
      </c>
      <c r="BJ213" s="80" t="str">
        <f>IF(AND($F213&lt;&gt;"", $F213&gt;=BJ$5-4, $F213&lt;=BJ$5, COUNTIF($M213:BI213,"u")=0), "u", "")</f>
        <v/>
      </c>
      <c r="BK213" s="80" t="str">
        <f>IF(AND($F213&lt;&gt;"", $F213&gt;=BK$5-4, $F213&lt;=BK$5, COUNTIF($M213:BJ213,"u")=0), "u", "")</f>
        <v/>
      </c>
      <c r="BL213" s="80" t="str">
        <f>IF(AND($F213&lt;&gt;"", $F213&gt;=BL$5-4, $F213&lt;=BL$5, COUNTIF($M213:BK213,"u")=0), "u", "")</f>
        <v/>
      </c>
      <c r="BM213" s="80" t="str">
        <f>IF(AND($F213&lt;&gt;"", $F213&gt;=BM$5-4, $F213&lt;=BM$5, COUNTIF($M213:BL213,"u")=0), "u", "")</f>
        <v/>
      </c>
      <c r="BN213" s="80" t="str">
        <f>IF(AND($F213&lt;&gt;"", $F213&gt;=BN$5-4, $F213&lt;=BN$5, COUNTIF($M213:BM213,"u")=0), "u", "")</f>
        <v/>
      </c>
      <c r="BO213" s="80" t="str">
        <f>IF(AND($F213&lt;&gt;"", $F213&gt;=BO$5-4, $F213&lt;=BO$5, COUNTIF($M213:BN213,"u")=0), "u", "")</f>
        <v/>
      </c>
      <c r="BP213" s="80" t="str">
        <f>IF(AND($F213&lt;&gt;"", $F213&gt;=BP$5-4, $F213&lt;=BP$5, COUNTIF($M213:BO213,"u")=0), "u", "")</f>
        <v/>
      </c>
      <c r="BQ213" s="80" t="str">
        <f>IF(AND($F213&lt;&gt;"", $F213&gt;=BQ$5-4, $F213&lt;=BQ$5, COUNTIF($M213:BP213,"u")=0), "u", "")</f>
        <v/>
      </c>
      <c r="BR213" s="80" t="str">
        <f>IF(AND($F213&lt;&gt;"", $F213&gt;=BR$5-4, $F213&lt;=BR$5, COUNTIF($M213:BQ213,"u")=0), "u", "")</f>
        <v/>
      </c>
      <c r="BS213" s="80" t="str">
        <f>IF(AND($F213&lt;&gt;"", $F213&gt;=BS$5-4, $F213&lt;=BS$5, COUNTIF($M213:BR213,"u")=0), "u", "")</f>
        <v/>
      </c>
      <c r="BT213" s="80" t="str">
        <f>IF(AND($F213&lt;&gt;"", $F213&gt;=BT$5-4, $F213&lt;=BT$5, COUNTIF($M213:BS213,"u")=0), "u", "")</f>
        <v/>
      </c>
      <c r="BU213" s="80" t="str">
        <f>IF(AND($F213&lt;&gt;"", $F213&gt;=BU$5-4, $F213&lt;=BU$5, COUNTIF($M213:BT213,"u")=0), "u", "")</f>
        <v/>
      </c>
      <c r="BV213" s="80" t="str">
        <f>IF(AND($F213&lt;&gt;"", $F213&gt;=BV$5-4, $F213&lt;=BV$5, COUNTIF($M213:BU213,"u")=0), "u", "")</f>
        <v/>
      </c>
      <c r="BW213" s="80" t="str">
        <f>IF(AND($F213&lt;&gt;"", $F213&gt;=BW$5-4, $F213&lt;=BW$5, COUNTIF($M213:BV213,"u")=0), "u", "")</f>
        <v/>
      </c>
      <c r="BX213" s="80" t="str">
        <f>IF(AND($F213&lt;&gt;"", $F213&gt;=BX$5-4, $F213&lt;=BX$5, COUNTIF($M213:BW213,"u")=0), "u", "")</f>
        <v/>
      </c>
      <c r="BY213" s="80" t="str">
        <f>IF(AND($F213&lt;&gt;"", $F213&gt;=BY$5-4, $F213&lt;=BY$5, COUNTIF($M213:BX213,"u")=0), "u", "")</f>
        <v/>
      </c>
      <c r="BZ213" s="80" t="str">
        <f>IF(AND($F213&lt;&gt;"", $F213&gt;=BZ$5-4, $F213&lt;=BZ$5, COUNTIF($M213:BY213,"u")=0), "u", "")</f>
        <v/>
      </c>
      <c r="CA213" s="80" t="str">
        <f>IF(AND($F213&lt;&gt;"", $F213&gt;=CA$5-4, $F213&lt;=CA$5, COUNTIF($M213:BZ213,"u")=0), "u", "")</f>
        <v/>
      </c>
      <c r="CB213" s="80" t="str">
        <f>IF(AND($F213&lt;&gt;"", $F213&gt;=CB$5-4, $F213&lt;=CB$5, COUNTIF($M213:CA213,"u")=0), "u", "")</f>
        <v/>
      </c>
      <c r="CC213" s="80" t="str">
        <f>IF(AND($F213&lt;&gt;"", $F213&gt;=CC$5-4, $F213&lt;=CC$5, COUNTIF($M213:CB213,"u")=0), "u", "")</f>
        <v/>
      </c>
      <c r="CD213" s="80" t="str">
        <f>IF(AND($F213&lt;&gt;"", $F213&gt;=CD$5-4, $F213&lt;=CD$5, COUNTIF($M213:CC213,"u")=0), "u", "")</f>
        <v/>
      </c>
      <c r="CE213" s="80" t="str">
        <f>IF(AND($F213&lt;&gt;"", $F213&gt;=CE$5-4, $F213&lt;=CE$5, COUNTIF($M213:CD213,"u")=0), "u", "")</f>
        <v/>
      </c>
      <c r="CF213" s="80" t="str">
        <f>IF(AND($F213&lt;&gt;"", $F213&gt;=CF$5-4, $F213&lt;=CF$5, COUNTIF($M213:CE213,"u")=0), "u", "")</f>
        <v/>
      </c>
      <c r="CG213" s="80" t="str">
        <f>IF(AND($F213&lt;&gt;"", $F213&gt;=CG$5-4, $F213&lt;=CG$5, COUNTIF($M213:CF213,"u")=0), "u", "")</f>
        <v/>
      </c>
      <c r="CH213" s="80" t="str">
        <f>IF(AND($F213&lt;&gt;"", $F213&gt;=CH$5-4, $F213&lt;=CH$5, COUNTIF($M213:CG213,"u")=0), "u", "")</f>
        <v/>
      </c>
      <c r="CI213" s="80" t="str">
        <f>IF(AND($F213&lt;&gt;"", $F213&gt;=CI$5-4, $F213&lt;=CI$5, COUNTIF($M213:CH213,"u")=0), "u", "")</f>
        <v/>
      </c>
      <c r="CJ213" s="80" t="str">
        <f>IF(AND($F213&lt;&gt;"", $F213&gt;=CJ$5-4, $F213&lt;=CJ$5, COUNTIF($M213:CI213,"u")=0), "u", "")</f>
        <v/>
      </c>
      <c r="CK213" s="80" t="str">
        <f>IF(AND($F213&lt;&gt;"", $F213&gt;=CK$5-4, $F213&lt;=CK$5, COUNTIF($M213:CJ213,"u")=0), "u", "")</f>
        <v/>
      </c>
      <c r="CL213" s="80" t="str">
        <f>IF(AND($F213&lt;&gt;"", $F213&gt;=CL$5-4, $F213&lt;=CL$5, COUNTIF($M213:CK213,"u")=0), "u", "")</f>
        <v/>
      </c>
      <c r="CM213" s="80" t="str">
        <f>IF(AND($F213&lt;&gt;"", $F213&gt;=CM$5-4, $F213&lt;=CM$5, COUNTIF($M213:CL213,"u")=0), "u", "")</f>
        <v/>
      </c>
      <c r="CN213" s="80" t="str">
        <f>IF(AND($F213&lt;&gt;"", $F213&gt;=CN$5-4, $F213&lt;=CN$5, COUNTIF($M213:CM213,"u")=0), "u", "")</f>
        <v/>
      </c>
      <c r="CO213" s="80" t="str">
        <f>IF(AND($F213&lt;&gt;"", $F213&gt;=CO$5-4, $F213&lt;=CO$5, COUNTIF($M213:CN213,"u")=0), "u", "")</f>
        <v/>
      </c>
      <c r="CP213" s="80" t="str">
        <f>IF(AND($F213&lt;&gt;"", $F213&gt;=CP$5-4, $F213&lt;=CP$5, COUNTIF($M213:CO213,"u")=0), "u", "")</f>
        <v/>
      </c>
      <c r="CQ213" s="80" t="str">
        <f>IF(AND($F213&lt;&gt;"", $F213&gt;=CQ$5-4, $F213&lt;=CQ$5, COUNTIF($M213:CP213,"u")=0), "u", "")</f>
        <v/>
      </c>
      <c r="CR213" s="80" t="str">
        <f>IF(AND($F213&lt;&gt;"", $F213&gt;=CR$5-4, $F213&lt;=CR$5, COUNTIF($M213:CQ213,"u")=0), "u", "")</f>
        <v/>
      </c>
      <c r="CS213" s="80" t="str">
        <f>IF(AND($F213&lt;&gt;"", $F213&gt;=CS$5-4, $F213&lt;=CS$5, COUNTIF($M213:CR213,"u")=0), "u", "")</f>
        <v/>
      </c>
      <c r="CT213" s="80" t="str">
        <f>IF(AND($F213&lt;&gt;"", $F213&gt;=CT$5-4, $F213&lt;=CT$5, COUNTIF($M213:CS213,"u")=0), "u", "")</f>
        <v/>
      </c>
      <c r="CU213" s="80" t="str">
        <f>IF(AND($F213&lt;&gt;"", $F213&gt;=CU$5-4, $F213&lt;=CU$5, COUNTIF($M213:CT213,"u")=0), "u", "")</f>
        <v/>
      </c>
      <c r="CV213" s="80" t="str">
        <f>IF(AND($F213&lt;&gt;"", $F213&gt;=CV$5-4, $F213&lt;=CV$5, COUNTIF($M213:CU213,"u")=0), "u", "")</f>
        <v/>
      </c>
      <c r="CW213" s="80" t="str">
        <f>IF(AND($F213&lt;&gt;"", $F213&gt;=CW$5-4, $F213&lt;=CW$5, COUNTIF($M213:CV213,"u")=0), "u", "")</f>
        <v/>
      </c>
      <c r="CX213" s="80" t="str">
        <f>IF(AND($F213&lt;&gt;"", $F213&gt;=CX$5-4, $F213&lt;=CX$5, COUNTIF($M213:CW213,"u")=0), "u", "")</f>
        <v/>
      </c>
      <c r="CY213" s="80" t="str">
        <f>IF(AND($F213&lt;&gt;"", $F213&gt;=CY$5-4, $F213&lt;=CY$5, COUNTIF($M213:CX213,"u")=0), "u", "")</f>
        <v/>
      </c>
      <c r="CZ213" s="80" t="str">
        <f>IF(AND($F213&lt;&gt;"", $F213&gt;=CZ$5-4, $F213&lt;=CZ$5, COUNTIF($M213:CY213,"u")=0), "u", "")</f>
        <v/>
      </c>
      <c r="DA213" s="80" t="str">
        <f>IF(AND($F213&lt;&gt;"", $F213&gt;=DA$5-4, $F213&lt;=DA$5, COUNTIF($M213:CZ213,"u")=0), "u", "")</f>
        <v/>
      </c>
      <c r="DB213" s="80" t="str">
        <f>IF(AND($F213&lt;&gt;"", $F213&gt;=DB$5-4, $F213&lt;=DB$5, COUNTIF($M213:DA213,"u")=0), "u", "")</f>
        <v/>
      </c>
      <c r="DC213" s="80" t="str">
        <f>IF(AND($F213&lt;&gt;"", $F213&gt;=DC$5-4, $F213&lt;=DC$5, COUNTIF($M213:DB213,"u")=0), "u", "")</f>
        <v/>
      </c>
      <c r="DD213" s="80" t="str">
        <f>IF(AND($F213&lt;&gt;"", $F213&gt;=DD$5-4, $F213&lt;=DD$5, COUNTIF($M213:DC213,"u")=0), "u", "")</f>
        <v/>
      </c>
      <c r="DE213" s="80" t="str">
        <f>IF(AND($F213&lt;&gt;"", $F213&gt;=DE$5-4, $F213&lt;=DE$5, COUNTIF($M213:DD213,"u")=0), "u", "")</f>
        <v/>
      </c>
      <c r="DF213" s="80" t="str">
        <f>IF(AND($F213&lt;&gt;"", $F213&gt;=DF$5-4, $F213&lt;=DF$5, COUNTIF($M213:DE213,"u")=0), "u", "")</f>
        <v/>
      </c>
      <c r="DG213" s="80" t="str">
        <f>IF(AND($F213&lt;&gt;"", $F213&gt;=DG$5-4, $F213&lt;=DG$5, COUNTIF($M213:DF213,"u")=0), "u", "")</f>
        <v/>
      </c>
      <c r="DH213" s="80" t="str">
        <f>IF(AND($F213&lt;&gt;"", $F213&gt;=DH$5-4, $F213&lt;=DH$5, COUNTIF($M213:DG213,"u")=0), "u", "")</f>
        <v/>
      </c>
      <c r="DI213" s="80" t="str">
        <f>IF(AND($F213&lt;&gt;"", $F213&gt;=DI$5-4, $F213&lt;=DI$5, COUNTIF($M213:DH213,"u")=0), "u", "")</f>
        <v/>
      </c>
      <c r="DJ213" s="80" t="str">
        <f>IF(AND($F213&lt;&gt;"", $F213&gt;=DJ$5-4, $F213&lt;=DJ$5, COUNTIF($M213:DI213,"u")=0), "u", "")</f>
        <v/>
      </c>
      <c r="DK213" s="80" t="str">
        <f>IF(AND($F213&lt;&gt;"", $F213&gt;=DK$5-4, $F213&lt;=DK$5, COUNTIF($M213:DJ213,"u")=0), "u", "")</f>
        <v/>
      </c>
      <c r="DL213" s="80" t="str">
        <f>IF(AND($F213&lt;&gt;"", $F213&gt;=DL$5-4, $F213&lt;=DL$5, COUNTIF($M213:DK213,"u")=0), "u", "")</f>
        <v/>
      </c>
    </row>
    <row r="214" spans="1:116" ht="25.05" customHeight="1" x14ac:dyDescent="0.3">
      <c r="A214" s="39"/>
      <c r="B214" s="75">
        <v>209</v>
      </c>
      <c r="C214" s="97"/>
      <c r="D214" s="92"/>
      <c r="E214" s="53"/>
      <c r="F214" s="53"/>
      <c r="G214" s="83" t="str">
        <f t="shared" ref="G214:H277" si="56">IF(E214="","",IF(WEEKDAY($D$3, 2) - WEEKDAY(E214, 2) &lt;= 0, E214 + (WEEKDAY($D$3,2) - WEEKDAY(E214,2)), E214 - (7 - (WEEKDAY($D$3,2) - WEEKDAY(E214,2)))))</f>
        <v/>
      </c>
      <c r="H214" s="83" t="str">
        <f t="shared" si="56"/>
        <v/>
      </c>
      <c r="I214" s="77" t="str">
        <f t="shared" si="54"/>
        <v/>
      </c>
      <c r="J214" s="78"/>
      <c r="K214" s="86"/>
      <c r="L214" s="56"/>
      <c r="M214" s="80" t="str">
        <f t="shared" si="55"/>
        <v/>
      </c>
      <c r="N214" s="80" t="str">
        <f>IF(AND($F214&lt;&gt;"", $F214&gt;=N$5-4, $F214&lt;=N$5, COUNTIF($M214:M214,"u")=0), "u", "")</f>
        <v/>
      </c>
      <c r="O214" s="80" t="str">
        <f>IF(AND($F214&lt;&gt;"", $F214&gt;=O$5-4, $F214&lt;=O$5, COUNTIF($M214:N214,"u")=0), "u", "")</f>
        <v/>
      </c>
      <c r="P214" s="80" t="str">
        <f>IF(AND($F214&lt;&gt;"", $F214&gt;=P$5-4, $F214&lt;=P$5, COUNTIF($M214:O214,"u")=0), "u", "")</f>
        <v/>
      </c>
      <c r="Q214" s="80" t="str">
        <f>IF(AND($F214&lt;&gt;"", $F214&gt;=Q$5-4, $F214&lt;=Q$5, COUNTIF($M214:P214,"u")=0), "u", "")</f>
        <v/>
      </c>
      <c r="R214" s="80" t="str">
        <f>IF(AND($F214&lt;&gt;"", $F214&gt;=R$5-4, $F214&lt;=R$5, COUNTIF($M214:Q214,"u")=0), "u", "")</f>
        <v/>
      </c>
      <c r="S214" s="80" t="str">
        <f>IF(AND($F214&lt;&gt;"", $F214&gt;=S$5-4, $F214&lt;=S$5, COUNTIF($M214:R214,"u")=0), "u", "")</f>
        <v/>
      </c>
      <c r="T214" s="80" t="str">
        <f>IF(AND($F214&lt;&gt;"", $F214&gt;=T$5-4, $F214&lt;=T$5, COUNTIF($M214:S214,"u")=0), "u", "")</f>
        <v/>
      </c>
      <c r="U214" s="80" t="str">
        <f>IF(AND($F214&lt;&gt;"", $F214&gt;=U$5-4, $F214&lt;=U$5, COUNTIF($M214:T214,"u")=0), "u", "")</f>
        <v/>
      </c>
      <c r="V214" s="80" t="str">
        <f>IF(AND($F214&lt;&gt;"", $F214&gt;=V$5-4, $F214&lt;=V$5, COUNTIF($M214:U214,"u")=0), "u", "")</f>
        <v/>
      </c>
      <c r="W214" s="80" t="str">
        <f>IF(AND($F214&lt;&gt;"", $F214&gt;=W$5-4, $F214&lt;=W$5, COUNTIF($M214:V214,"u")=0), "u", "")</f>
        <v/>
      </c>
      <c r="X214" s="80" t="str">
        <f>IF(AND($F214&lt;&gt;"", $F214&gt;=X$5-4, $F214&lt;=X$5, COUNTIF($M214:W214,"u")=0), "u", "")</f>
        <v/>
      </c>
      <c r="Y214" s="80" t="str">
        <f>IF(AND($F214&lt;&gt;"", $F214&gt;=Y$5-4, $F214&lt;=Y$5, COUNTIF($M214:X214,"u")=0), "u", "")</f>
        <v/>
      </c>
      <c r="Z214" s="80" t="str">
        <f>IF(AND($F214&lt;&gt;"", $F214&gt;=Z$5-4, $F214&lt;=Z$5, COUNTIF($M214:Y214,"u")=0), "u", "")</f>
        <v/>
      </c>
      <c r="AA214" s="80" t="str">
        <f>IF(AND($F214&lt;&gt;"", $F214&gt;=AA$5-4, $F214&lt;=AA$5, COUNTIF($M214:Z214,"u")=0), "u", "")</f>
        <v/>
      </c>
      <c r="AB214" s="80" t="str">
        <f>IF(AND($F214&lt;&gt;"", $F214&gt;=AB$5-4, $F214&lt;=AB$5, COUNTIF($M214:AA214,"u")=0), "u", "")</f>
        <v/>
      </c>
      <c r="AC214" s="80" t="str">
        <f>IF(AND($F214&lt;&gt;"", $F214&gt;=AC$5-4, $F214&lt;=AC$5, COUNTIF($M214:AB214,"u")=0), "u", "")</f>
        <v/>
      </c>
      <c r="AD214" s="80" t="str">
        <f>IF(AND($F214&lt;&gt;"", $F214&gt;=AD$5-4, $F214&lt;=AD$5, COUNTIF($M214:AC214,"u")=0), "u", "")</f>
        <v/>
      </c>
      <c r="AE214" s="80" t="str">
        <f>IF(AND($F214&lt;&gt;"", $F214&gt;=AE$5-4, $F214&lt;=AE$5, COUNTIF($M214:AD214,"u")=0), "u", "")</f>
        <v/>
      </c>
      <c r="AF214" s="80" t="str">
        <f>IF(AND($F214&lt;&gt;"", $F214&gt;=AF$5-4, $F214&lt;=AF$5, COUNTIF($M214:AE214,"u")=0), "u", "")</f>
        <v/>
      </c>
      <c r="AG214" s="80" t="str">
        <f>IF(AND($F214&lt;&gt;"", $F214&gt;=AG$5-4, $F214&lt;=AG$5, COUNTIF($M214:AF214,"u")=0), "u", "")</f>
        <v/>
      </c>
      <c r="AH214" s="80" t="str">
        <f>IF(AND($F214&lt;&gt;"", $F214&gt;=AH$5-4, $F214&lt;=AH$5, COUNTIF($M214:AG214,"u")=0), "u", "")</f>
        <v/>
      </c>
      <c r="AI214" s="80" t="str">
        <f>IF(AND($F214&lt;&gt;"", $F214&gt;=AI$5-4, $F214&lt;=AI$5, COUNTIF($M214:AH214,"u")=0), "u", "")</f>
        <v/>
      </c>
      <c r="AJ214" s="80" t="str">
        <f>IF(AND($F214&lt;&gt;"", $F214&gt;=AJ$5-4, $F214&lt;=AJ$5, COUNTIF($M214:AI214,"u")=0), "u", "")</f>
        <v/>
      </c>
      <c r="AK214" s="80" t="str">
        <f>IF(AND($F214&lt;&gt;"", $F214&gt;=AK$5-4, $F214&lt;=AK$5, COUNTIF($M214:AJ214,"u")=0), "u", "")</f>
        <v/>
      </c>
      <c r="AL214" s="80" t="str">
        <f>IF(AND($F214&lt;&gt;"", $F214&gt;=AL$5-4, $F214&lt;=AL$5, COUNTIF($M214:AK214,"u")=0), "u", "")</f>
        <v/>
      </c>
      <c r="AM214" s="80" t="str">
        <f>IF(AND($F214&lt;&gt;"", $F214&gt;=AM$5-4, $F214&lt;=AM$5, COUNTIF($M214:AL214,"u")=0), "u", "")</f>
        <v/>
      </c>
      <c r="AN214" s="80" t="str">
        <f>IF(AND($F214&lt;&gt;"", $F214&gt;=AN$5-4, $F214&lt;=AN$5, COUNTIF($M214:AM214,"u")=0), "u", "")</f>
        <v/>
      </c>
      <c r="AO214" s="80" t="str">
        <f>IF(AND($F214&lt;&gt;"", $F214&gt;=AO$5-4, $F214&lt;=AO$5, COUNTIF($M214:AN214,"u")=0), "u", "")</f>
        <v/>
      </c>
      <c r="AP214" s="80" t="str">
        <f>IF(AND($F214&lt;&gt;"", $F214&gt;=AP$5-4, $F214&lt;=AP$5, COUNTIF($M214:AO214,"u")=0), "u", "")</f>
        <v/>
      </c>
      <c r="AQ214" s="80" t="str">
        <f>IF(AND($F214&lt;&gt;"", $F214&gt;=AQ$5-4, $F214&lt;=AQ$5, COUNTIF($M214:AP214,"u")=0), "u", "")</f>
        <v/>
      </c>
      <c r="AR214" s="80" t="str">
        <f>IF(AND($F214&lt;&gt;"", $F214&gt;=AR$5-4, $F214&lt;=AR$5, COUNTIF($M214:AQ214,"u")=0), "u", "")</f>
        <v/>
      </c>
      <c r="AS214" s="80" t="str">
        <f>IF(AND($F214&lt;&gt;"", $F214&gt;=AS$5-4, $F214&lt;=AS$5, COUNTIF($M214:AR214,"u")=0), "u", "")</f>
        <v/>
      </c>
      <c r="AT214" s="80" t="str">
        <f>IF(AND($F214&lt;&gt;"", $F214&gt;=AT$5-4, $F214&lt;=AT$5, COUNTIF($M214:AS214,"u")=0), "u", "")</f>
        <v/>
      </c>
      <c r="AU214" s="80" t="str">
        <f>IF(AND($F214&lt;&gt;"", $F214&gt;=AU$5-4, $F214&lt;=AU$5, COUNTIF($M214:AT214,"u")=0), "u", "")</f>
        <v/>
      </c>
      <c r="AV214" s="80" t="str">
        <f>IF(AND($F214&lt;&gt;"", $F214&gt;=AV$5-4, $F214&lt;=AV$5, COUNTIF($M214:AU214,"u")=0), "u", "")</f>
        <v/>
      </c>
      <c r="AW214" s="80" t="str">
        <f>IF(AND($F214&lt;&gt;"", $F214&gt;=AW$5-4, $F214&lt;=AW$5, COUNTIF($M214:AV214,"u")=0), "u", "")</f>
        <v/>
      </c>
      <c r="AX214" s="80" t="str">
        <f>IF(AND($F214&lt;&gt;"", $F214&gt;=AX$5-4, $F214&lt;=AX$5, COUNTIF($M214:AW214,"u")=0), "u", "")</f>
        <v/>
      </c>
      <c r="AY214" s="80" t="str">
        <f>IF(AND($F214&lt;&gt;"", $F214&gt;=AY$5-4, $F214&lt;=AY$5, COUNTIF($M214:AX214,"u")=0), "u", "")</f>
        <v/>
      </c>
      <c r="AZ214" s="80" t="str">
        <f>IF(AND($F214&lt;&gt;"", $F214&gt;=AZ$5-4, $F214&lt;=AZ$5, COUNTIF($M214:AY214,"u")=0), "u", "")</f>
        <v/>
      </c>
      <c r="BA214" s="80" t="str">
        <f>IF(AND($F214&lt;&gt;"", $F214&gt;=BA$5-4, $F214&lt;=BA$5, COUNTIF($M214:AZ214,"u")=0), "u", "")</f>
        <v/>
      </c>
      <c r="BB214" s="80" t="str">
        <f>IF(AND($F214&lt;&gt;"", $F214&gt;=BB$5-4, $F214&lt;=BB$5, COUNTIF($M214:BA214,"u")=0), "u", "")</f>
        <v/>
      </c>
      <c r="BC214" s="80" t="str">
        <f>IF(AND($F214&lt;&gt;"", $F214&gt;=BC$5-4, $F214&lt;=BC$5, COUNTIF($M214:BB214,"u")=0), "u", "")</f>
        <v/>
      </c>
      <c r="BD214" s="80" t="str">
        <f>IF(AND($F214&lt;&gt;"", $F214&gt;=BD$5-4, $F214&lt;=BD$5, COUNTIF($M214:BC214,"u")=0), "u", "")</f>
        <v/>
      </c>
      <c r="BE214" s="80" t="str">
        <f>IF(AND($F214&lt;&gt;"", $F214&gt;=BE$5-4, $F214&lt;=BE$5, COUNTIF($M214:BD214,"u")=0), "u", "")</f>
        <v/>
      </c>
      <c r="BF214" s="80" t="str">
        <f>IF(AND($F214&lt;&gt;"", $F214&gt;=BF$5-4, $F214&lt;=BF$5, COUNTIF($M214:BE214,"u")=0), "u", "")</f>
        <v/>
      </c>
      <c r="BG214" s="80" t="str">
        <f>IF(AND($F214&lt;&gt;"", $F214&gt;=BG$5-4, $F214&lt;=BG$5, COUNTIF($M214:BF214,"u")=0), "u", "")</f>
        <v/>
      </c>
      <c r="BH214" s="80" t="str">
        <f>IF(AND($F214&lt;&gt;"", $F214&gt;=BH$5-4, $F214&lt;=BH$5, COUNTIF($M214:BG214,"u")=0), "u", "")</f>
        <v/>
      </c>
      <c r="BI214" s="80" t="str">
        <f>IF(AND($F214&lt;&gt;"", $F214&gt;=BI$5-4, $F214&lt;=BI$5, COUNTIF($M214:BH214,"u")=0), "u", "")</f>
        <v/>
      </c>
      <c r="BJ214" s="80" t="str">
        <f>IF(AND($F214&lt;&gt;"", $F214&gt;=BJ$5-4, $F214&lt;=BJ$5, COUNTIF($M214:BI214,"u")=0), "u", "")</f>
        <v/>
      </c>
      <c r="BK214" s="80" t="str">
        <f>IF(AND($F214&lt;&gt;"", $F214&gt;=BK$5-4, $F214&lt;=BK$5, COUNTIF($M214:BJ214,"u")=0), "u", "")</f>
        <v/>
      </c>
      <c r="BL214" s="80" t="str">
        <f>IF(AND($F214&lt;&gt;"", $F214&gt;=BL$5-4, $F214&lt;=BL$5, COUNTIF($M214:BK214,"u")=0), "u", "")</f>
        <v/>
      </c>
      <c r="BM214" s="80" t="str">
        <f>IF(AND($F214&lt;&gt;"", $F214&gt;=BM$5-4, $F214&lt;=BM$5, COUNTIF($M214:BL214,"u")=0), "u", "")</f>
        <v/>
      </c>
      <c r="BN214" s="80" t="str">
        <f>IF(AND($F214&lt;&gt;"", $F214&gt;=BN$5-4, $F214&lt;=BN$5, COUNTIF($M214:BM214,"u")=0), "u", "")</f>
        <v/>
      </c>
      <c r="BO214" s="80" t="str">
        <f>IF(AND($F214&lt;&gt;"", $F214&gt;=BO$5-4, $F214&lt;=BO$5, COUNTIF($M214:BN214,"u")=0), "u", "")</f>
        <v/>
      </c>
      <c r="BP214" s="80" t="str">
        <f>IF(AND($F214&lt;&gt;"", $F214&gt;=BP$5-4, $F214&lt;=BP$5, COUNTIF($M214:BO214,"u")=0), "u", "")</f>
        <v/>
      </c>
      <c r="BQ214" s="80" t="str">
        <f>IF(AND($F214&lt;&gt;"", $F214&gt;=BQ$5-4, $F214&lt;=BQ$5, COUNTIF($M214:BP214,"u")=0), "u", "")</f>
        <v/>
      </c>
      <c r="BR214" s="80" t="str">
        <f>IF(AND($F214&lt;&gt;"", $F214&gt;=BR$5-4, $F214&lt;=BR$5, COUNTIF($M214:BQ214,"u")=0), "u", "")</f>
        <v/>
      </c>
      <c r="BS214" s="80" t="str">
        <f>IF(AND($F214&lt;&gt;"", $F214&gt;=BS$5-4, $F214&lt;=BS$5, COUNTIF($M214:BR214,"u")=0), "u", "")</f>
        <v/>
      </c>
      <c r="BT214" s="80" t="str">
        <f>IF(AND($F214&lt;&gt;"", $F214&gt;=BT$5-4, $F214&lt;=BT$5, COUNTIF($M214:BS214,"u")=0), "u", "")</f>
        <v/>
      </c>
      <c r="BU214" s="80" t="str">
        <f>IF(AND($F214&lt;&gt;"", $F214&gt;=BU$5-4, $F214&lt;=BU$5, COUNTIF($M214:BT214,"u")=0), "u", "")</f>
        <v/>
      </c>
      <c r="BV214" s="80" t="str">
        <f>IF(AND($F214&lt;&gt;"", $F214&gt;=BV$5-4, $F214&lt;=BV$5, COUNTIF($M214:BU214,"u")=0), "u", "")</f>
        <v/>
      </c>
      <c r="BW214" s="80" t="str">
        <f>IF(AND($F214&lt;&gt;"", $F214&gt;=BW$5-4, $F214&lt;=BW$5, COUNTIF($M214:BV214,"u")=0), "u", "")</f>
        <v/>
      </c>
      <c r="BX214" s="80" t="str">
        <f>IF(AND($F214&lt;&gt;"", $F214&gt;=BX$5-4, $F214&lt;=BX$5, COUNTIF($M214:BW214,"u")=0), "u", "")</f>
        <v/>
      </c>
      <c r="BY214" s="80" t="str">
        <f>IF(AND($F214&lt;&gt;"", $F214&gt;=BY$5-4, $F214&lt;=BY$5, COUNTIF($M214:BX214,"u")=0), "u", "")</f>
        <v/>
      </c>
      <c r="BZ214" s="80" t="str">
        <f>IF(AND($F214&lt;&gt;"", $F214&gt;=BZ$5-4, $F214&lt;=BZ$5, COUNTIF($M214:BY214,"u")=0), "u", "")</f>
        <v/>
      </c>
      <c r="CA214" s="80" t="str">
        <f>IF(AND($F214&lt;&gt;"", $F214&gt;=CA$5-4, $F214&lt;=CA$5, COUNTIF($M214:BZ214,"u")=0), "u", "")</f>
        <v/>
      </c>
      <c r="CB214" s="80" t="str">
        <f>IF(AND($F214&lt;&gt;"", $F214&gt;=CB$5-4, $F214&lt;=CB$5, COUNTIF($M214:CA214,"u")=0), "u", "")</f>
        <v/>
      </c>
      <c r="CC214" s="80" t="str">
        <f>IF(AND($F214&lt;&gt;"", $F214&gt;=CC$5-4, $F214&lt;=CC$5, COUNTIF($M214:CB214,"u")=0), "u", "")</f>
        <v/>
      </c>
      <c r="CD214" s="80" t="str">
        <f>IF(AND($F214&lt;&gt;"", $F214&gt;=CD$5-4, $F214&lt;=CD$5, COUNTIF($M214:CC214,"u")=0), "u", "")</f>
        <v/>
      </c>
      <c r="CE214" s="80" t="str">
        <f>IF(AND($F214&lt;&gt;"", $F214&gt;=CE$5-4, $F214&lt;=CE$5, COUNTIF($M214:CD214,"u")=0), "u", "")</f>
        <v/>
      </c>
      <c r="CF214" s="80" t="str">
        <f>IF(AND($F214&lt;&gt;"", $F214&gt;=CF$5-4, $F214&lt;=CF$5, COUNTIF($M214:CE214,"u")=0), "u", "")</f>
        <v/>
      </c>
      <c r="CG214" s="80" t="str">
        <f>IF(AND($F214&lt;&gt;"", $F214&gt;=CG$5-4, $F214&lt;=CG$5, COUNTIF($M214:CF214,"u")=0), "u", "")</f>
        <v/>
      </c>
      <c r="CH214" s="80" t="str">
        <f>IF(AND($F214&lt;&gt;"", $F214&gt;=CH$5-4, $F214&lt;=CH$5, COUNTIF($M214:CG214,"u")=0), "u", "")</f>
        <v/>
      </c>
      <c r="CI214" s="80" t="str">
        <f>IF(AND($F214&lt;&gt;"", $F214&gt;=CI$5-4, $F214&lt;=CI$5, COUNTIF($M214:CH214,"u")=0), "u", "")</f>
        <v/>
      </c>
      <c r="CJ214" s="80" t="str">
        <f>IF(AND($F214&lt;&gt;"", $F214&gt;=CJ$5-4, $F214&lt;=CJ$5, COUNTIF($M214:CI214,"u")=0), "u", "")</f>
        <v/>
      </c>
      <c r="CK214" s="80" t="str">
        <f>IF(AND($F214&lt;&gt;"", $F214&gt;=CK$5-4, $F214&lt;=CK$5, COUNTIF($M214:CJ214,"u")=0), "u", "")</f>
        <v/>
      </c>
      <c r="CL214" s="80" t="str">
        <f>IF(AND($F214&lt;&gt;"", $F214&gt;=CL$5-4, $F214&lt;=CL$5, COUNTIF($M214:CK214,"u")=0), "u", "")</f>
        <v/>
      </c>
      <c r="CM214" s="80" t="str">
        <f>IF(AND($F214&lt;&gt;"", $F214&gt;=CM$5-4, $F214&lt;=CM$5, COUNTIF($M214:CL214,"u")=0), "u", "")</f>
        <v/>
      </c>
      <c r="CN214" s="80" t="str">
        <f>IF(AND($F214&lt;&gt;"", $F214&gt;=CN$5-4, $F214&lt;=CN$5, COUNTIF($M214:CM214,"u")=0), "u", "")</f>
        <v/>
      </c>
      <c r="CO214" s="80" t="str">
        <f>IF(AND($F214&lt;&gt;"", $F214&gt;=CO$5-4, $F214&lt;=CO$5, COUNTIF($M214:CN214,"u")=0), "u", "")</f>
        <v/>
      </c>
      <c r="CP214" s="80" t="str">
        <f>IF(AND($F214&lt;&gt;"", $F214&gt;=CP$5-4, $F214&lt;=CP$5, COUNTIF($M214:CO214,"u")=0), "u", "")</f>
        <v/>
      </c>
      <c r="CQ214" s="80" t="str">
        <f>IF(AND($F214&lt;&gt;"", $F214&gt;=CQ$5-4, $F214&lt;=CQ$5, COUNTIF($M214:CP214,"u")=0), "u", "")</f>
        <v/>
      </c>
      <c r="CR214" s="80" t="str">
        <f>IF(AND($F214&lt;&gt;"", $F214&gt;=CR$5-4, $F214&lt;=CR$5, COUNTIF($M214:CQ214,"u")=0), "u", "")</f>
        <v/>
      </c>
      <c r="CS214" s="80" t="str">
        <f>IF(AND($F214&lt;&gt;"", $F214&gt;=CS$5-4, $F214&lt;=CS$5, COUNTIF($M214:CR214,"u")=0), "u", "")</f>
        <v/>
      </c>
      <c r="CT214" s="80" t="str">
        <f>IF(AND($F214&lt;&gt;"", $F214&gt;=CT$5-4, $F214&lt;=CT$5, COUNTIF($M214:CS214,"u")=0), "u", "")</f>
        <v/>
      </c>
      <c r="CU214" s="80" t="str">
        <f>IF(AND($F214&lt;&gt;"", $F214&gt;=CU$5-4, $F214&lt;=CU$5, COUNTIF($M214:CT214,"u")=0), "u", "")</f>
        <v/>
      </c>
      <c r="CV214" s="80" t="str">
        <f>IF(AND($F214&lt;&gt;"", $F214&gt;=CV$5-4, $F214&lt;=CV$5, COUNTIF($M214:CU214,"u")=0), "u", "")</f>
        <v/>
      </c>
      <c r="CW214" s="80" t="str">
        <f>IF(AND($F214&lt;&gt;"", $F214&gt;=CW$5-4, $F214&lt;=CW$5, COUNTIF($M214:CV214,"u")=0), "u", "")</f>
        <v/>
      </c>
      <c r="CX214" s="80" t="str">
        <f>IF(AND($F214&lt;&gt;"", $F214&gt;=CX$5-4, $F214&lt;=CX$5, COUNTIF($M214:CW214,"u")=0), "u", "")</f>
        <v/>
      </c>
      <c r="CY214" s="80" t="str">
        <f>IF(AND($F214&lt;&gt;"", $F214&gt;=CY$5-4, $F214&lt;=CY$5, COUNTIF($M214:CX214,"u")=0), "u", "")</f>
        <v/>
      </c>
      <c r="CZ214" s="80" t="str">
        <f>IF(AND($F214&lt;&gt;"", $F214&gt;=CZ$5-4, $F214&lt;=CZ$5, COUNTIF($M214:CY214,"u")=0), "u", "")</f>
        <v/>
      </c>
      <c r="DA214" s="80" t="str">
        <f>IF(AND($F214&lt;&gt;"", $F214&gt;=DA$5-4, $F214&lt;=DA$5, COUNTIF($M214:CZ214,"u")=0), "u", "")</f>
        <v/>
      </c>
      <c r="DB214" s="80" t="str">
        <f>IF(AND($F214&lt;&gt;"", $F214&gt;=DB$5-4, $F214&lt;=DB$5, COUNTIF($M214:DA214,"u")=0), "u", "")</f>
        <v/>
      </c>
      <c r="DC214" s="80" t="str">
        <f>IF(AND($F214&lt;&gt;"", $F214&gt;=DC$5-4, $F214&lt;=DC$5, COUNTIF($M214:DB214,"u")=0), "u", "")</f>
        <v/>
      </c>
      <c r="DD214" s="80" t="str">
        <f>IF(AND($F214&lt;&gt;"", $F214&gt;=DD$5-4, $F214&lt;=DD$5, COUNTIF($M214:DC214,"u")=0), "u", "")</f>
        <v/>
      </c>
      <c r="DE214" s="80" t="str">
        <f>IF(AND($F214&lt;&gt;"", $F214&gt;=DE$5-4, $F214&lt;=DE$5, COUNTIF($M214:DD214,"u")=0), "u", "")</f>
        <v/>
      </c>
      <c r="DF214" s="80" t="str">
        <f>IF(AND($F214&lt;&gt;"", $F214&gt;=DF$5-4, $F214&lt;=DF$5, COUNTIF($M214:DE214,"u")=0), "u", "")</f>
        <v/>
      </c>
      <c r="DG214" s="80" t="str">
        <f>IF(AND($F214&lt;&gt;"", $F214&gt;=DG$5-4, $F214&lt;=DG$5, COUNTIF($M214:DF214,"u")=0), "u", "")</f>
        <v/>
      </c>
      <c r="DH214" s="80" t="str">
        <f>IF(AND($F214&lt;&gt;"", $F214&gt;=DH$5-4, $F214&lt;=DH$5, COUNTIF($M214:DG214,"u")=0), "u", "")</f>
        <v/>
      </c>
      <c r="DI214" s="80" t="str">
        <f>IF(AND($F214&lt;&gt;"", $F214&gt;=DI$5-4, $F214&lt;=DI$5, COUNTIF($M214:DH214,"u")=0), "u", "")</f>
        <v/>
      </c>
      <c r="DJ214" s="80" t="str">
        <f>IF(AND($F214&lt;&gt;"", $F214&gt;=DJ$5-4, $F214&lt;=DJ$5, COUNTIF($M214:DI214,"u")=0), "u", "")</f>
        <v/>
      </c>
      <c r="DK214" s="80" t="str">
        <f>IF(AND($F214&lt;&gt;"", $F214&gt;=DK$5-4, $F214&lt;=DK$5, COUNTIF($M214:DJ214,"u")=0), "u", "")</f>
        <v/>
      </c>
      <c r="DL214" s="80" t="str">
        <f>IF(AND($F214&lt;&gt;"", $F214&gt;=DL$5-4, $F214&lt;=DL$5, COUNTIF($M214:DK214,"u")=0), "u", "")</f>
        <v/>
      </c>
    </row>
    <row r="215" spans="1:116" ht="25.05" customHeight="1" x14ac:dyDescent="0.3">
      <c r="A215" s="39"/>
      <c r="B215" s="75">
        <v>210</v>
      </c>
      <c r="C215" s="97"/>
      <c r="D215" s="92"/>
      <c r="E215" s="53"/>
      <c r="F215" s="53"/>
      <c r="G215" s="83" t="str">
        <f t="shared" si="56"/>
        <v/>
      </c>
      <c r="H215" s="83" t="str">
        <f t="shared" si="56"/>
        <v/>
      </c>
      <c r="I215" s="77" t="str">
        <f t="shared" si="54"/>
        <v/>
      </c>
      <c r="J215" s="78"/>
      <c r="K215" s="86"/>
      <c r="L215" s="56"/>
      <c r="M215" s="80" t="str">
        <f t="shared" si="55"/>
        <v/>
      </c>
      <c r="N215" s="80" t="str">
        <f>IF(AND($F215&lt;&gt;"", $F215&gt;=N$5-4, $F215&lt;=N$5, COUNTIF($M215:M215,"u")=0), "u", "")</f>
        <v/>
      </c>
      <c r="O215" s="80" t="str">
        <f>IF(AND($F215&lt;&gt;"", $F215&gt;=O$5-4, $F215&lt;=O$5, COUNTIF($M215:N215,"u")=0), "u", "")</f>
        <v/>
      </c>
      <c r="P215" s="80" t="str">
        <f>IF(AND($F215&lt;&gt;"", $F215&gt;=P$5-4, $F215&lt;=P$5, COUNTIF($M215:O215,"u")=0), "u", "")</f>
        <v/>
      </c>
      <c r="Q215" s="80" t="str">
        <f>IF(AND($F215&lt;&gt;"", $F215&gt;=Q$5-4, $F215&lt;=Q$5, COUNTIF($M215:P215,"u")=0), "u", "")</f>
        <v/>
      </c>
      <c r="R215" s="80" t="str">
        <f>IF(AND($F215&lt;&gt;"", $F215&gt;=R$5-4, $F215&lt;=R$5, COUNTIF($M215:Q215,"u")=0), "u", "")</f>
        <v/>
      </c>
      <c r="S215" s="80" t="str">
        <f>IF(AND($F215&lt;&gt;"", $F215&gt;=S$5-4, $F215&lt;=S$5, COUNTIF($M215:R215,"u")=0), "u", "")</f>
        <v/>
      </c>
      <c r="T215" s="80" t="str">
        <f>IF(AND($F215&lt;&gt;"", $F215&gt;=T$5-4, $F215&lt;=T$5, COUNTIF($M215:S215,"u")=0), "u", "")</f>
        <v/>
      </c>
      <c r="U215" s="80" t="str">
        <f>IF(AND($F215&lt;&gt;"", $F215&gt;=U$5-4, $F215&lt;=U$5, COUNTIF($M215:T215,"u")=0), "u", "")</f>
        <v/>
      </c>
      <c r="V215" s="80" t="str">
        <f>IF(AND($F215&lt;&gt;"", $F215&gt;=V$5-4, $F215&lt;=V$5, COUNTIF($M215:U215,"u")=0), "u", "")</f>
        <v/>
      </c>
      <c r="W215" s="80" t="str">
        <f>IF(AND($F215&lt;&gt;"", $F215&gt;=W$5-4, $F215&lt;=W$5, COUNTIF($M215:V215,"u")=0), "u", "")</f>
        <v/>
      </c>
      <c r="X215" s="80" t="str">
        <f>IF(AND($F215&lt;&gt;"", $F215&gt;=X$5-4, $F215&lt;=X$5, COUNTIF($M215:W215,"u")=0), "u", "")</f>
        <v/>
      </c>
      <c r="Y215" s="80" t="str">
        <f>IF(AND($F215&lt;&gt;"", $F215&gt;=Y$5-4, $F215&lt;=Y$5, COUNTIF($M215:X215,"u")=0), "u", "")</f>
        <v/>
      </c>
      <c r="Z215" s="80" t="str">
        <f>IF(AND($F215&lt;&gt;"", $F215&gt;=Z$5-4, $F215&lt;=Z$5, COUNTIF($M215:Y215,"u")=0), "u", "")</f>
        <v/>
      </c>
      <c r="AA215" s="80" t="str">
        <f>IF(AND($F215&lt;&gt;"", $F215&gt;=AA$5-4, $F215&lt;=AA$5, COUNTIF($M215:Z215,"u")=0), "u", "")</f>
        <v/>
      </c>
      <c r="AB215" s="80" t="str">
        <f>IF(AND($F215&lt;&gt;"", $F215&gt;=AB$5-4, $F215&lt;=AB$5, COUNTIF($M215:AA215,"u")=0), "u", "")</f>
        <v/>
      </c>
      <c r="AC215" s="80" t="str">
        <f>IF(AND($F215&lt;&gt;"", $F215&gt;=AC$5-4, $F215&lt;=AC$5, COUNTIF($M215:AB215,"u")=0), "u", "")</f>
        <v/>
      </c>
      <c r="AD215" s="80" t="str">
        <f>IF(AND($F215&lt;&gt;"", $F215&gt;=AD$5-4, $F215&lt;=AD$5, COUNTIF($M215:AC215,"u")=0), "u", "")</f>
        <v/>
      </c>
      <c r="AE215" s="80" t="str">
        <f>IF(AND($F215&lt;&gt;"", $F215&gt;=AE$5-4, $F215&lt;=AE$5, COUNTIF($M215:AD215,"u")=0), "u", "")</f>
        <v/>
      </c>
      <c r="AF215" s="80" t="str">
        <f>IF(AND($F215&lt;&gt;"", $F215&gt;=AF$5-4, $F215&lt;=AF$5, COUNTIF($M215:AE215,"u")=0), "u", "")</f>
        <v/>
      </c>
      <c r="AG215" s="80" t="str">
        <f>IF(AND($F215&lt;&gt;"", $F215&gt;=AG$5-4, $F215&lt;=AG$5, COUNTIF($M215:AF215,"u")=0), "u", "")</f>
        <v/>
      </c>
      <c r="AH215" s="80" t="str">
        <f>IF(AND($F215&lt;&gt;"", $F215&gt;=AH$5-4, $F215&lt;=AH$5, COUNTIF($M215:AG215,"u")=0), "u", "")</f>
        <v/>
      </c>
      <c r="AI215" s="80" t="str">
        <f>IF(AND($F215&lt;&gt;"", $F215&gt;=AI$5-4, $F215&lt;=AI$5, COUNTIF($M215:AH215,"u")=0), "u", "")</f>
        <v/>
      </c>
      <c r="AJ215" s="80" t="str">
        <f>IF(AND($F215&lt;&gt;"", $F215&gt;=AJ$5-4, $F215&lt;=AJ$5, COUNTIF($M215:AI215,"u")=0), "u", "")</f>
        <v/>
      </c>
      <c r="AK215" s="80" t="str">
        <f>IF(AND($F215&lt;&gt;"", $F215&gt;=AK$5-4, $F215&lt;=AK$5, COUNTIF($M215:AJ215,"u")=0), "u", "")</f>
        <v/>
      </c>
      <c r="AL215" s="80" t="str">
        <f>IF(AND($F215&lt;&gt;"", $F215&gt;=AL$5-4, $F215&lt;=AL$5, COUNTIF($M215:AK215,"u")=0), "u", "")</f>
        <v/>
      </c>
      <c r="AM215" s="80" t="str">
        <f>IF(AND($F215&lt;&gt;"", $F215&gt;=AM$5-4, $F215&lt;=AM$5, COUNTIF($M215:AL215,"u")=0), "u", "")</f>
        <v/>
      </c>
      <c r="AN215" s="80" t="str">
        <f>IF(AND($F215&lt;&gt;"", $F215&gt;=AN$5-4, $F215&lt;=AN$5, COUNTIF($M215:AM215,"u")=0), "u", "")</f>
        <v/>
      </c>
      <c r="AO215" s="80" t="str">
        <f>IF(AND($F215&lt;&gt;"", $F215&gt;=AO$5-4, $F215&lt;=AO$5, COUNTIF($M215:AN215,"u")=0), "u", "")</f>
        <v/>
      </c>
      <c r="AP215" s="80" t="str">
        <f>IF(AND($F215&lt;&gt;"", $F215&gt;=AP$5-4, $F215&lt;=AP$5, COUNTIF($M215:AO215,"u")=0), "u", "")</f>
        <v/>
      </c>
      <c r="AQ215" s="80" t="str">
        <f>IF(AND($F215&lt;&gt;"", $F215&gt;=AQ$5-4, $F215&lt;=AQ$5, COUNTIF($M215:AP215,"u")=0), "u", "")</f>
        <v/>
      </c>
      <c r="AR215" s="80" t="str">
        <f>IF(AND($F215&lt;&gt;"", $F215&gt;=AR$5-4, $F215&lt;=AR$5, COUNTIF($M215:AQ215,"u")=0), "u", "")</f>
        <v/>
      </c>
      <c r="AS215" s="80" t="str">
        <f>IF(AND($F215&lt;&gt;"", $F215&gt;=AS$5-4, $F215&lt;=AS$5, COUNTIF($M215:AR215,"u")=0), "u", "")</f>
        <v/>
      </c>
      <c r="AT215" s="80" t="str">
        <f>IF(AND($F215&lt;&gt;"", $F215&gt;=AT$5-4, $F215&lt;=AT$5, COUNTIF($M215:AS215,"u")=0), "u", "")</f>
        <v/>
      </c>
      <c r="AU215" s="80" t="str">
        <f>IF(AND($F215&lt;&gt;"", $F215&gt;=AU$5-4, $F215&lt;=AU$5, COUNTIF($M215:AT215,"u")=0), "u", "")</f>
        <v/>
      </c>
      <c r="AV215" s="80" t="str">
        <f>IF(AND($F215&lt;&gt;"", $F215&gt;=AV$5-4, $F215&lt;=AV$5, COUNTIF($M215:AU215,"u")=0), "u", "")</f>
        <v/>
      </c>
      <c r="AW215" s="80" t="str">
        <f>IF(AND($F215&lt;&gt;"", $F215&gt;=AW$5-4, $F215&lt;=AW$5, COUNTIF($M215:AV215,"u")=0), "u", "")</f>
        <v/>
      </c>
      <c r="AX215" s="80" t="str">
        <f>IF(AND($F215&lt;&gt;"", $F215&gt;=AX$5-4, $F215&lt;=AX$5, COUNTIF($M215:AW215,"u")=0), "u", "")</f>
        <v/>
      </c>
      <c r="AY215" s="80" t="str">
        <f>IF(AND($F215&lt;&gt;"", $F215&gt;=AY$5-4, $F215&lt;=AY$5, COUNTIF($M215:AX215,"u")=0), "u", "")</f>
        <v/>
      </c>
      <c r="AZ215" s="80" t="str">
        <f>IF(AND($F215&lt;&gt;"", $F215&gt;=AZ$5-4, $F215&lt;=AZ$5, COUNTIF($M215:AY215,"u")=0), "u", "")</f>
        <v/>
      </c>
      <c r="BA215" s="80" t="str">
        <f>IF(AND($F215&lt;&gt;"", $F215&gt;=BA$5-4, $F215&lt;=BA$5, COUNTIF($M215:AZ215,"u")=0), "u", "")</f>
        <v/>
      </c>
      <c r="BB215" s="80" t="str">
        <f>IF(AND($F215&lt;&gt;"", $F215&gt;=BB$5-4, $F215&lt;=BB$5, COUNTIF($M215:BA215,"u")=0), "u", "")</f>
        <v/>
      </c>
      <c r="BC215" s="80" t="str">
        <f>IF(AND($F215&lt;&gt;"", $F215&gt;=BC$5-4, $F215&lt;=BC$5, COUNTIF($M215:BB215,"u")=0), "u", "")</f>
        <v/>
      </c>
      <c r="BD215" s="80" t="str">
        <f>IF(AND($F215&lt;&gt;"", $F215&gt;=BD$5-4, $F215&lt;=BD$5, COUNTIF($M215:BC215,"u")=0), "u", "")</f>
        <v/>
      </c>
      <c r="BE215" s="80" t="str">
        <f>IF(AND($F215&lt;&gt;"", $F215&gt;=BE$5-4, $F215&lt;=BE$5, COUNTIF($M215:BD215,"u")=0), "u", "")</f>
        <v/>
      </c>
      <c r="BF215" s="80" t="str">
        <f>IF(AND($F215&lt;&gt;"", $F215&gt;=BF$5-4, $F215&lt;=BF$5, COUNTIF($M215:BE215,"u")=0), "u", "")</f>
        <v/>
      </c>
      <c r="BG215" s="80" t="str">
        <f>IF(AND($F215&lt;&gt;"", $F215&gt;=BG$5-4, $F215&lt;=BG$5, COUNTIF($M215:BF215,"u")=0), "u", "")</f>
        <v/>
      </c>
      <c r="BH215" s="80" t="str">
        <f>IF(AND($F215&lt;&gt;"", $F215&gt;=BH$5-4, $F215&lt;=BH$5, COUNTIF($M215:BG215,"u")=0), "u", "")</f>
        <v/>
      </c>
      <c r="BI215" s="80" t="str">
        <f>IF(AND($F215&lt;&gt;"", $F215&gt;=BI$5-4, $F215&lt;=BI$5, COUNTIF($M215:BH215,"u")=0), "u", "")</f>
        <v/>
      </c>
      <c r="BJ215" s="80" t="str">
        <f>IF(AND($F215&lt;&gt;"", $F215&gt;=BJ$5-4, $F215&lt;=BJ$5, COUNTIF($M215:BI215,"u")=0), "u", "")</f>
        <v/>
      </c>
      <c r="BK215" s="80" t="str">
        <f>IF(AND($F215&lt;&gt;"", $F215&gt;=BK$5-4, $F215&lt;=BK$5, COUNTIF($M215:BJ215,"u")=0), "u", "")</f>
        <v/>
      </c>
      <c r="BL215" s="80" t="str">
        <f>IF(AND($F215&lt;&gt;"", $F215&gt;=BL$5-4, $F215&lt;=BL$5, COUNTIF($M215:BK215,"u")=0), "u", "")</f>
        <v/>
      </c>
      <c r="BM215" s="80" t="str">
        <f>IF(AND($F215&lt;&gt;"", $F215&gt;=BM$5-4, $F215&lt;=BM$5, COUNTIF($M215:BL215,"u")=0), "u", "")</f>
        <v/>
      </c>
      <c r="BN215" s="80" t="str">
        <f>IF(AND($F215&lt;&gt;"", $F215&gt;=BN$5-4, $F215&lt;=BN$5, COUNTIF($M215:BM215,"u")=0), "u", "")</f>
        <v/>
      </c>
      <c r="BO215" s="80" t="str">
        <f>IF(AND($F215&lt;&gt;"", $F215&gt;=BO$5-4, $F215&lt;=BO$5, COUNTIF($M215:BN215,"u")=0), "u", "")</f>
        <v/>
      </c>
      <c r="BP215" s="80" t="str">
        <f>IF(AND($F215&lt;&gt;"", $F215&gt;=BP$5-4, $F215&lt;=BP$5, COUNTIF($M215:BO215,"u")=0), "u", "")</f>
        <v/>
      </c>
      <c r="BQ215" s="80" t="str">
        <f>IF(AND($F215&lt;&gt;"", $F215&gt;=BQ$5-4, $F215&lt;=BQ$5, COUNTIF($M215:BP215,"u")=0), "u", "")</f>
        <v/>
      </c>
      <c r="BR215" s="80" t="str">
        <f>IF(AND($F215&lt;&gt;"", $F215&gt;=BR$5-4, $F215&lt;=BR$5, COUNTIF($M215:BQ215,"u")=0), "u", "")</f>
        <v/>
      </c>
      <c r="BS215" s="80" t="str">
        <f>IF(AND($F215&lt;&gt;"", $F215&gt;=BS$5-4, $F215&lt;=BS$5, COUNTIF($M215:BR215,"u")=0), "u", "")</f>
        <v/>
      </c>
      <c r="BT215" s="80" t="str">
        <f>IF(AND($F215&lt;&gt;"", $F215&gt;=BT$5-4, $F215&lt;=BT$5, COUNTIF($M215:BS215,"u")=0), "u", "")</f>
        <v/>
      </c>
      <c r="BU215" s="80" t="str">
        <f>IF(AND($F215&lt;&gt;"", $F215&gt;=BU$5-4, $F215&lt;=BU$5, COUNTIF($M215:BT215,"u")=0), "u", "")</f>
        <v/>
      </c>
      <c r="BV215" s="80" t="str">
        <f>IF(AND($F215&lt;&gt;"", $F215&gt;=BV$5-4, $F215&lt;=BV$5, COUNTIF($M215:BU215,"u")=0), "u", "")</f>
        <v/>
      </c>
      <c r="BW215" s="80" t="str">
        <f>IF(AND($F215&lt;&gt;"", $F215&gt;=BW$5-4, $F215&lt;=BW$5, COUNTIF($M215:BV215,"u")=0), "u", "")</f>
        <v/>
      </c>
      <c r="BX215" s="80" t="str">
        <f>IF(AND($F215&lt;&gt;"", $F215&gt;=BX$5-4, $F215&lt;=BX$5, COUNTIF($M215:BW215,"u")=0), "u", "")</f>
        <v/>
      </c>
      <c r="BY215" s="80" t="str">
        <f>IF(AND($F215&lt;&gt;"", $F215&gt;=BY$5-4, $F215&lt;=BY$5, COUNTIF($M215:BX215,"u")=0), "u", "")</f>
        <v/>
      </c>
      <c r="BZ215" s="80" t="str">
        <f>IF(AND($F215&lt;&gt;"", $F215&gt;=BZ$5-4, $F215&lt;=BZ$5, COUNTIF($M215:BY215,"u")=0), "u", "")</f>
        <v/>
      </c>
      <c r="CA215" s="80" t="str">
        <f>IF(AND($F215&lt;&gt;"", $F215&gt;=CA$5-4, $F215&lt;=CA$5, COUNTIF($M215:BZ215,"u")=0), "u", "")</f>
        <v/>
      </c>
      <c r="CB215" s="80" t="str">
        <f>IF(AND($F215&lt;&gt;"", $F215&gt;=CB$5-4, $F215&lt;=CB$5, COUNTIF($M215:CA215,"u")=0), "u", "")</f>
        <v/>
      </c>
      <c r="CC215" s="80" t="str">
        <f>IF(AND($F215&lt;&gt;"", $F215&gt;=CC$5-4, $F215&lt;=CC$5, COUNTIF($M215:CB215,"u")=0), "u", "")</f>
        <v/>
      </c>
      <c r="CD215" s="80" t="str">
        <f>IF(AND($F215&lt;&gt;"", $F215&gt;=CD$5-4, $F215&lt;=CD$5, COUNTIF($M215:CC215,"u")=0), "u", "")</f>
        <v/>
      </c>
      <c r="CE215" s="80" t="str">
        <f>IF(AND($F215&lt;&gt;"", $F215&gt;=CE$5-4, $F215&lt;=CE$5, COUNTIF($M215:CD215,"u")=0), "u", "")</f>
        <v/>
      </c>
      <c r="CF215" s="80" t="str">
        <f>IF(AND($F215&lt;&gt;"", $F215&gt;=CF$5-4, $F215&lt;=CF$5, COUNTIF($M215:CE215,"u")=0), "u", "")</f>
        <v/>
      </c>
      <c r="CG215" s="80" t="str">
        <f>IF(AND($F215&lt;&gt;"", $F215&gt;=CG$5-4, $F215&lt;=CG$5, COUNTIF($M215:CF215,"u")=0), "u", "")</f>
        <v/>
      </c>
      <c r="CH215" s="80" t="str">
        <f>IF(AND($F215&lt;&gt;"", $F215&gt;=CH$5-4, $F215&lt;=CH$5, COUNTIF($M215:CG215,"u")=0), "u", "")</f>
        <v/>
      </c>
      <c r="CI215" s="80" t="str">
        <f>IF(AND($F215&lt;&gt;"", $F215&gt;=CI$5-4, $F215&lt;=CI$5, COUNTIF($M215:CH215,"u")=0), "u", "")</f>
        <v/>
      </c>
      <c r="CJ215" s="80" t="str">
        <f>IF(AND($F215&lt;&gt;"", $F215&gt;=CJ$5-4, $F215&lt;=CJ$5, COUNTIF($M215:CI215,"u")=0), "u", "")</f>
        <v/>
      </c>
      <c r="CK215" s="80" t="str">
        <f>IF(AND($F215&lt;&gt;"", $F215&gt;=CK$5-4, $F215&lt;=CK$5, COUNTIF($M215:CJ215,"u")=0), "u", "")</f>
        <v/>
      </c>
      <c r="CL215" s="80" t="str">
        <f>IF(AND($F215&lt;&gt;"", $F215&gt;=CL$5-4, $F215&lt;=CL$5, COUNTIF($M215:CK215,"u")=0), "u", "")</f>
        <v/>
      </c>
      <c r="CM215" s="80" t="str">
        <f>IF(AND($F215&lt;&gt;"", $F215&gt;=CM$5-4, $F215&lt;=CM$5, COUNTIF($M215:CL215,"u")=0), "u", "")</f>
        <v/>
      </c>
      <c r="CN215" s="80" t="str">
        <f>IF(AND($F215&lt;&gt;"", $F215&gt;=CN$5-4, $F215&lt;=CN$5, COUNTIF($M215:CM215,"u")=0), "u", "")</f>
        <v/>
      </c>
      <c r="CO215" s="80" t="str">
        <f>IF(AND($F215&lt;&gt;"", $F215&gt;=CO$5-4, $F215&lt;=CO$5, COUNTIF($M215:CN215,"u")=0), "u", "")</f>
        <v/>
      </c>
      <c r="CP215" s="80" t="str">
        <f>IF(AND($F215&lt;&gt;"", $F215&gt;=CP$5-4, $F215&lt;=CP$5, COUNTIF($M215:CO215,"u")=0), "u", "")</f>
        <v/>
      </c>
      <c r="CQ215" s="80" t="str">
        <f>IF(AND($F215&lt;&gt;"", $F215&gt;=CQ$5-4, $F215&lt;=CQ$5, COUNTIF($M215:CP215,"u")=0), "u", "")</f>
        <v/>
      </c>
      <c r="CR215" s="80" t="str">
        <f>IF(AND($F215&lt;&gt;"", $F215&gt;=CR$5-4, $F215&lt;=CR$5, COUNTIF($M215:CQ215,"u")=0), "u", "")</f>
        <v/>
      </c>
      <c r="CS215" s="80" t="str">
        <f>IF(AND($F215&lt;&gt;"", $F215&gt;=CS$5-4, $F215&lt;=CS$5, COUNTIF($M215:CR215,"u")=0), "u", "")</f>
        <v/>
      </c>
      <c r="CT215" s="80" t="str">
        <f>IF(AND($F215&lt;&gt;"", $F215&gt;=CT$5-4, $F215&lt;=CT$5, COUNTIF($M215:CS215,"u")=0), "u", "")</f>
        <v/>
      </c>
      <c r="CU215" s="80" t="str">
        <f>IF(AND($F215&lt;&gt;"", $F215&gt;=CU$5-4, $F215&lt;=CU$5, COUNTIF($M215:CT215,"u")=0), "u", "")</f>
        <v/>
      </c>
      <c r="CV215" s="80" t="str">
        <f>IF(AND($F215&lt;&gt;"", $F215&gt;=CV$5-4, $F215&lt;=CV$5, COUNTIF($M215:CU215,"u")=0), "u", "")</f>
        <v/>
      </c>
      <c r="CW215" s="80" t="str">
        <f>IF(AND($F215&lt;&gt;"", $F215&gt;=CW$5-4, $F215&lt;=CW$5, COUNTIF($M215:CV215,"u")=0), "u", "")</f>
        <v/>
      </c>
      <c r="CX215" s="80" t="str">
        <f>IF(AND($F215&lt;&gt;"", $F215&gt;=CX$5-4, $F215&lt;=CX$5, COUNTIF($M215:CW215,"u")=0), "u", "")</f>
        <v/>
      </c>
      <c r="CY215" s="80" t="str">
        <f>IF(AND($F215&lt;&gt;"", $F215&gt;=CY$5-4, $F215&lt;=CY$5, COUNTIF($M215:CX215,"u")=0), "u", "")</f>
        <v/>
      </c>
      <c r="CZ215" s="80" t="str">
        <f>IF(AND($F215&lt;&gt;"", $F215&gt;=CZ$5-4, $F215&lt;=CZ$5, COUNTIF($M215:CY215,"u")=0), "u", "")</f>
        <v/>
      </c>
      <c r="DA215" s="80" t="str">
        <f>IF(AND($F215&lt;&gt;"", $F215&gt;=DA$5-4, $F215&lt;=DA$5, COUNTIF($M215:CZ215,"u")=0), "u", "")</f>
        <v/>
      </c>
      <c r="DB215" s="80" t="str">
        <f>IF(AND($F215&lt;&gt;"", $F215&gt;=DB$5-4, $F215&lt;=DB$5, COUNTIF($M215:DA215,"u")=0), "u", "")</f>
        <v/>
      </c>
      <c r="DC215" s="80" t="str">
        <f>IF(AND($F215&lt;&gt;"", $F215&gt;=DC$5-4, $F215&lt;=DC$5, COUNTIF($M215:DB215,"u")=0), "u", "")</f>
        <v/>
      </c>
      <c r="DD215" s="80" t="str">
        <f>IF(AND($F215&lt;&gt;"", $F215&gt;=DD$5-4, $F215&lt;=DD$5, COUNTIF($M215:DC215,"u")=0), "u", "")</f>
        <v/>
      </c>
      <c r="DE215" s="80" t="str">
        <f>IF(AND($F215&lt;&gt;"", $F215&gt;=DE$5-4, $F215&lt;=DE$5, COUNTIF($M215:DD215,"u")=0), "u", "")</f>
        <v/>
      </c>
      <c r="DF215" s="80" t="str">
        <f>IF(AND($F215&lt;&gt;"", $F215&gt;=DF$5-4, $F215&lt;=DF$5, COUNTIF($M215:DE215,"u")=0), "u", "")</f>
        <v/>
      </c>
      <c r="DG215" s="80" t="str">
        <f>IF(AND($F215&lt;&gt;"", $F215&gt;=DG$5-4, $F215&lt;=DG$5, COUNTIF($M215:DF215,"u")=0), "u", "")</f>
        <v/>
      </c>
      <c r="DH215" s="80" t="str">
        <f>IF(AND($F215&lt;&gt;"", $F215&gt;=DH$5-4, $F215&lt;=DH$5, COUNTIF($M215:DG215,"u")=0), "u", "")</f>
        <v/>
      </c>
      <c r="DI215" s="80" t="str">
        <f>IF(AND($F215&lt;&gt;"", $F215&gt;=DI$5-4, $F215&lt;=DI$5, COUNTIF($M215:DH215,"u")=0), "u", "")</f>
        <v/>
      </c>
      <c r="DJ215" s="80" t="str">
        <f>IF(AND($F215&lt;&gt;"", $F215&gt;=DJ$5-4, $F215&lt;=DJ$5, COUNTIF($M215:DI215,"u")=0), "u", "")</f>
        <v/>
      </c>
      <c r="DK215" s="80" t="str">
        <f>IF(AND($F215&lt;&gt;"", $F215&gt;=DK$5-4, $F215&lt;=DK$5, COUNTIF($M215:DJ215,"u")=0), "u", "")</f>
        <v/>
      </c>
      <c r="DL215" s="80" t="str">
        <f>IF(AND($F215&lt;&gt;"", $F215&gt;=DL$5-4, $F215&lt;=DL$5, COUNTIF($M215:DK215,"u")=0), "u", "")</f>
        <v/>
      </c>
    </row>
    <row r="216" spans="1:116" ht="25.05" customHeight="1" x14ac:dyDescent="0.3">
      <c r="A216" s="39"/>
      <c r="B216" s="75">
        <v>211</v>
      </c>
      <c r="C216" s="97"/>
      <c r="D216" s="92"/>
      <c r="E216" s="53"/>
      <c r="F216" s="53"/>
      <c r="G216" s="83" t="str">
        <f t="shared" si="56"/>
        <v/>
      </c>
      <c r="H216" s="83" t="str">
        <f t="shared" si="56"/>
        <v/>
      </c>
      <c r="I216" s="77" t="str">
        <f t="shared" si="54"/>
        <v/>
      </c>
      <c r="J216" s="78"/>
      <c r="K216" s="86"/>
      <c r="L216" s="56"/>
      <c r="M216" s="80" t="str">
        <f t="shared" si="55"/>
        <v/>
      </c>
      <c r="N216" s="80" t="str">
        <f>IF(AND($F216&lt;&gt;"", $F216&gt;=N$5-4, $F216&lt;=N$5, COUNTIF($M216:M216,"u")=0), "u", "")</f>
        <v/>
      </c>
      <c r="O216" s="80" t="str">
        <f>IF(AND($F216&lt;&gt;"", $F216&gt;=O$5-4, $F216&lt;=O$5, COUNTIF($M216:N216,"u")=0), "u", "")</f>
        <v/>
      </c>
      <c r="P216" s="80" t="str">
        <f>IF(AND($F216&lt;&gt;"", $F216&gt;=P$5-4, $F216&lt;=P$5, COUNTIF($M216:O216,"u")=0), "u", "")</f>
        <v/>
      </c>
      <c r="Q216" s="80" t="str">
        <f>IF(AND($F216&lt;&gt;"", $F216&gt;=Q$5-4, $F216&lt;=Q$5, COUNTIF($M216:P216,"u")=0), "u", "")</f>
        <v/>
      </c>
      <c r="R216" s="80" t="str">
        <f>IF(AND($F216&lt;&gt;"", $F216&gt;=R$5-4, $F216&lt;=R$5, COUNTIF($M216:Q216,"u")=0), "u", "")</f>
        <v/>
      </c>
      <c r="S216" s="80" t="str">
        <f>IF(AND($F216&lt;&gt;"", $F216&gt;=S$5-4, $F216&lt;=S$5, COUNTIF($M216:R216,"u")=0), "u", "")</f>
        <v/>
      </c>
      <c r="T216" s="80" t="str">
        <f>IF(AND($F216&lt;&gt;"", $F216&gt;=T$5-4, $F216&lt;=T$5, COUNTIF($M216:S216,"u")=0), "u", "")</f>
        <v/>
      </c>
      <c r="U216" s="80" t="str">
        <f>IF(AND($F216&lt;&gt;"", $F216&gt;=U$5-4, $F216&lt;=U$5, COUNTIF($M216:T216,"u")=0), "u", "")</f>
        <v/>
      </c>
      <c r="V216" s="80" t="str">
        <f>IF(AND($F216&lt;&gt;"", $F216&gt;=V$5-4, $F216&lt;=V$5, COUNTIF($M216:U216,"u")=0), "u", "")</f>
        <v/>
      </c>
      <c r="W216" s="80" t="str">
        <f>IF(AND($F216&lt;&gt;"", $F216&gt;=W$5-4, $F216&lt;=W$5, COUNTIF($M216:V216,"u")=0), "u", "")</f>
        <v/>
      </c>
      <c r="X216" s="80" t="str">
        <f>IF(AND($F216&lt;&gt;"", $F216&gt;=X$5-4, $F216&lt;=X$5, COUNTIF($M216:W216,"u")=0), "u", "")</f>
        <v/>
      </c>
      <c r="Y216" s="80" t="str">
        <f>IF(AND($F216&lt;&gt;"", $F216&gt;=Y$5-4, $F216&lt;=Y$5, COUNTIF($M216:X216,"u")=0), "u", "")</f>
        <v/>
      </c>
      <c r="Z216" s="80" t="str">
        <f>IF(AND($F216&lt;&gt;"", $F216&gt;=Z$5-4, $F216&lt;=Z$5, COUNTIF($M216:Y216,"u")=0), "u", "")</f>
        <v/>
      </c>
      <c r="AA216" s="80" t="str">
        <f>IF(AND($F216&lt;&gt;"", $F216&gt;=AA$5-4, $F216&lt;=AA$5, COUNTIF($M216:Z216,"u")=0), "u", "")</f>
        <v/>
      </c>
      <c r="AB216" s="80" t="str">
        <f>IF(AND($F216&lt;&gt;"", $F216&gt;=AB$5-4, $F216&lt;=AB$5, COUNTIF($M216:AA216,"u")=0), "u", "")</f>
        <v/>
      </c>
      <c r="AC216" s="80" t="str">
        <f>IF(AND($F216&lt;&gt;"", $F216&gt;=AC$5-4, $F216&lt;=AC$5, COUNTIF($M216:AB216,"u")=0), "u", "")</f>
        <v/>
      </c>
      <c r="AD216" s="80" t="str">
        <f>IF(AND($F216&lt;&gt;"", $F216&gt;=AD$5-4, $F216&lt;=AD$5, COUNTIF($M216:AC216,"u")=0), "u", "")</f>
        <v/>
      </c>
      <c r="AE216" s="80" t="str">
        <f>IF(AND($F216&lt;&gt;"", $F216&gt;=AE$5-4, $F216&lt;=AE$5, COUNTIF($M216:AD216,"u")=0), "u", "")</f>
        <v/>
      </c>
      <c r="AF216" s="80" t="str">
        <f>IF(AND($F216&lt;&gt;"", $F216&gt;=AF$5-4, $F216&lt;=AF$5, COUNTIF($M216:AE216,"u")=0), "u", "")</f>
        <v/>
      </c>
      <c r="AG216" s="80" t="str">
        <f>IF(AND($F216&lt;&gt;"", $F216&gt;=AG$5-4, $F216&lt;=AG$5, COUNTIF($M216:AF216,"u")=0), "u", "")</f>
        <v/>
      </c>
      <c r="AH216" s="80" t="str">
        <f>IF(AND($F216&lt;&gt;"", $F216&gt;=AH$5-4, $F216&lt;=AH$5, COUNTIF($M216:AG216,"u")=0), "u", "")</f>
        <v/>
      </c>
      <c r="AI216" s="80" t="str">
        <f>IF(AND($F216&lt;&gt;"", $F216&gt;=AI$5-4, $F216&lt;=AI$5, COUNTIF($M216:AH216,"u")=0), "u", "")</f>
        <v/>
      </c>
      <c r="AJ216" s="80" t="str">
        <f>IF(AND($F216&lt;&gt;"", $F216&gt;=AJ$5-4, $F216&lt;=AJ$5, COUNTIF($M216:AI216,"u")=0), "u", "")</f>
        <v/>
      </c>
      <c r="AK216" s="80" t="str">
        <f>IF(AND($F216&lt;&gt;"", $F216&gt;=AK$5-4, $F216&lt;=AK$5, COUNTIF($M216:AJ216,"u")=0), "u", "")</f>
        <v/>
      </c>
      <c r="AL216" s="80" t="str">
        <f>IF(AND($F216&lt;&gt;"", $F216&gt;=AL$5-4, $F216&lt;=AL$5, COUNTIF($M216:AK216,"u")=0), "u", "")</f>
        <v/>
      </c>
      <c r="AM216" s="80" t="str">
        <f>IF(AND($F216&lt;&gt;"", $F216&gt;=AM$5-4, $F216&lt;=AM$5, COUNTIF($M216:AL216,"u")=0), "u", "")</f>
        <v/>
      </c>
      <c r="AN216" s="80" t="str">
        <f>IF(AND($F216&lt;&gt;"", $F216&gt;=AN$5-4, $F216&lt;=AN$5, COUNTIF($M216:AM216,"u")=0), "u", "")</f>
        <v/>
      </c>
      <c r="AO216" s="80" t="str">
        <f>IF(AND($F216&lt;&gt;"", $F216&gt;=AO$5-4, $F216&lt;=AO$5, COUNTIF($M216:AN216,"u")=0), "u", "")</f>
        <v/>
      </c>
      <c r="AP216" s="80" t="str">
        <f>IF(AND($F216&lt;&gt;"", $F216&gt;=AP$5-4, $F216&lt;=AP$5, COUNTIF($M216:AO216,"u")=0), "u", "")</f>
        <v/>
      </c>
      <c r="AQ216" s="80" t="str">
        <f>IF(AND($F216&lt;&gt;"", $F216&gt;=AQ$5-4, $F216&lt;=AQ$5, COUNTIF($M216:AP216,"u")=0), "u", "")</f>
        <v/>
      </c>
      <c r="AR216" s="80" t="str">
        <f>IF(AND($F216&lt;&gt;"", $F216&gt;=AR$5-4, $F216&lt;=AR$5, COUNTIF($M216:AQ216,"u")=0), "u", "")</f>
        <v/>
      </c>
      <c r="AS216" s="80" t="str">
        <f>IF(AND($F216&lt;&gt;"", $F216&gt;=AS$5-4, $F216&lt;=AS$5, COUNTIF($M216:AR216,"u")=0), "u", "")</f>
        <v/>
      </c>
      <c r="AT216" s="80" t="str">
        <f>IF(AND($F216&lt;&gt;"", $F216&gt;=AT$5-4, $F216&lt;=AT$5, COUNTIF($M216:AS216,"u")=0), "u", "")</f>
        <v/>
      </c>
      <c r="AU216" s="80" t="str">
        <f>IF(AND($F216&lt;&gt;"", $F216&gt;=AU$5-4, $F216&lt;=AU$5, COUNTIF($M216:AT216,"u")=0), "u", "")</f>
        <v/>
      </c>
      <c r="AV216" s="80" t="str">
        <f>IF(AND($F216&lt;&gt;"", $F216&gt;=AV$5-4, $F216&lt;=AV$5, COUNTIF($M216:AU216,"u")=0), "u", "")</f>
        <v/>
      </c>
      <c r="AW216" s="80" t="str">
        <f>IF(AND($F216&lt;&gt;"", $F216&gt;=AW$5-4, $F216&lt;=AW$5, COUNTIF($M216:AV216,"u")=0), "u", "")</f>
        <v/>
      </c>
      <c r="AX216" s="80" t="str">
        <f>IF(AND($F216&lt;&gt;"", $F216&gt;=AX$5-4, $F216&lt;=AX$5, COUNTIF($M216:AW216,"u")=0), "u", "")</f>
        <v/>
      </c>
      <c r="AY216" s="80" t="str">
        <f>IF(AND($F216&lt;&gt;"", $F216&gt;=AY$5-4, $F216&lt;=AY$5, COUNTIF($M216:AX216,"u")=0), "u", "")</f>
        <v/>
      </c>
      <c r="AZ216" s="80" t="str">
        <f>IF(AND($F216&lt;&gt;"", $F216&gt;=AZ$5-4, $F216&lt;=AZ$5, COUNTIF($M216:AY216,"u")=0), "u", "")</f>
        <v/>
      </c>
      <c r="BA216" s="80" t="str">
        <f>IF(AND($F216&lt;&gt;"", $F216&gt;=BA$5-4, $F216&lt;=BA$5, COUNTIF($M216:AZ216,"u")=0), "u", "")</f>
        <v/>
      </c>
      <c r="BB216" s="80" t="str">
        <f>IF(AND($F216&lt;&gt;"", $F216&gt;=BB$5-4, $F216&lt;=BB$5, COUNTIF($M216:BA216,"u")=0), "u", "")</f>
        <v/>
      </c>
      <c r="BC216" s="80" t="str">
        <f>IF(AND($F216&lt;&gt;"", $F216&gt;=BC$5-4, $F216&lt;=BC$5, COUNTIF($M216:BB216,"u")=0), "u", "")</f>
        <v/>
      </c>
      <c r="BD216" s="80" t="str">
        <f>IF(AND($F216&lt;&gt;"", $F216&gt;=BD$5-4, $F216&lt;=BD$5, COUNTIF($M216:BC216,"u")=0), "u", "")</f>
        <v/>
      </c>
      <c r="BE216" s="80" t="str">
        <f>IF(AND($F216&lt;&gt;"", $F216&gt;=BE$5-4, $F216&lt;=BE$5, COUNTIF($M216:BD216,"u")=0), "u", "")</f>
        <v/>
      </c>
      <c r="BF216" s="80" t="str">
        <f>IF(AND($F216&lt;&gt;"", $F216&gt;=BF$5-4, $F216&lt;=BF$5, COUNTIF($M216:BE216,"u")=0), "u", "")</f>
        <v/>
      </c>
      <c r="BG216" s="80" t="str">
        <f>IF(AND($F216&lt;&gt;"", $F216&gt;=BG$5-4, $F216&lt;=BG$5, COUNTIF($M216:BF216,"u")=0), "u", "")</f>
        <v/>
      </c>
      <c r="BH216" s="80" t="str">
        <f>IF(AND($F216&lt;&gt;"", $F216&gt;=BH$5-4, $F216&lt;=BH$5, COUNTIF($M216:BG216,"u")=0), "u", "")</f>
        <v/>
      </c>
      <c r="BI216" s="80" t="str">
        <f>IF(AND($F216&lt;&gt;"", $F216&gt;=BI$5-4, $F216&lt;=BI$5, COUNTIF($M216:BH216,"u")=0), "u", "")</f>
        <v/>
      </c>
      <c r="BJ216" s="80" t="str">
        <f>IF(AND($F216&lt;&gt;"", $F216&gt;=BJ$5-4, $F216&lt;=BJ$5, COUNTIF($M216:BI216,"u")=0), "u", "")</f>
        <v/>
      </c>
      <c r="BK216" s="80" t="str">
        <f>IF(AND($F216&lt;&gt;"", $F216&gt;=BK$5-4, $F216&lt;=BK$5, COUNTIF($M216:BJ216,"u")=0), "u", "")</f>
        <v/>
      </c>
      <c r="BL216" s="80" t="str">
        <f>IF(AND($F216&lt;&gt;"", $F216&gt;=BL$5-4, $F216&lt;=BL$5, COUNTIF($M216:BK216,"u")=0), "u", "")</f>
        <v/>
      </c>
      <c r="BM216" s="80" t="str">
        <f>IF(AND($F216&lt;&gt;"", $F216&gt;=BM$5-4, $F216&lt;=BM$5, COUNTIF($M216:BL216,"u")=0), "u", "")</f>
        <v/>
      </c>
      <c r="BN216" s="80" t="str">
        <f>IF(AND($F216&lt;&gt;"", $F216&gt;=BN$5-4, $F216&lt;=BN$5, COUNTIF($M216:BM216,"u")=0), "u", "")</f>
        <v/>
      </c>
      <c r="BO216" s="80" t="str">
        <f>IF(AND($F216&lt;&gt;"", $F216&gt;=BO$5-4, $F216&lt;=BO$5, COUNTIF($M216:BN216,"u")=0), "u", "")</f>
        <v/>
      </c>
      <c r="BP216" s="80" t="str">
        <f>IF(AND($F216&lt;&gt;"", $F216&gt;=BP$5-4, $F216&lt;=BP$5, COUNTIF($M216:BO216,"u")=0), "u", "")</f>
        <v/>
      </c>
      <c r="BQ216" s="80" t="str">
        <f>IF(AND($F216&lt;&gt;"", $F216&gt;=BQ$5-4, $F216&lt;=BQ$5, COUNTIF($M216:BP216,"u")=0), "u", "")</f>
        <v/>
      </c>
      <c r="BR216" s="80" t="str">
        <f>IF(AND($F216&lt;&gt;"", $F216&gt;=BR$5-4, $F216&lt;=BR$5, COUNTIF($M216:BQ216,"u")=0), "u", "")</f>
        <v/>
      </c>
      <c r="BS216" s="80" t="str">
        <f>IF(AND($F216&lt;&gt;"", $F216&gt;=BS$5-4, $F216&lt;=BS$5, COUNTIF($M216:BR216,"u")=0), "u", "")</f>
        <v/>
      </c>
      <c r="BT216" s="80" t="str">
        <f>IF(AND($F216&lt;&gt;"", $F216&gt;=BT$5-4, $F216&lt;=BT$5, COUNTIF($M216:BS216,"u")=0), "u", "")</f>
        <v/>
      </c>
      <c r="BU216" s="80" t="str">
        <f>IF(AND($F216&lt;&gt;"", $F216&gt;=BU$5-4, $F216&lt;=BU$5, COUNTIF($M216:BT216,"u")=0), "u", "")</f>
        <v/>
      </c>
      <c r="BV216" s="80" t="str">
        <f>IF(AND($F216&lt;&gt;"", $F216&gt;=BV$5-4, $F216&lt;=BV$5, COUNTIF($M216:BU216,"u")=0), "u", "")</f>
        <v/>
      </c>
      <c r="BW216" s="80" t="str">
        <f>IF(AND($F216&lt;&gt;"", $F216&gt;=BW$5-4, $F216&lt;=BW$5, COUNTIF($M216:BV216,"u")=0), "u", "")</f>
        <v/>
      </c>
      <c r="BX216" s="80" t="str">
        <f>IF(AND($F216&lt;&gt;"", $F216&gt;=BX$5-4, $F216&lt;=BX$5, COUNTIF($M216:BW216,"u")=0), "u", "")</f>
        <v/>
      </c>
      <c r="BY216" s="80" t="str">
        <f>IF(AND($F216&lt;&gt;"", $F216&gt;=BY$5-4, $F216&lt;=BY$5, COUNTIF($M216:BX216,"u")=0), "u", "")</f>
        <v/>
      </c>
      <c r="BZ216" s="80" t="str">
        <f>IF(AND($F216&lt;&gt;"", $F216&gt;=BZ$5-4, $F216&lt;=BZ$5, COUNTIF($M216:BY216,"u")=0), "u", "")</f>
        <v/>
      </c>
      <c r="CA216" s="80" t="str">
        <f>IF(AND($F216&lt;&gt;"", $F216&gt;=CA$5-4, $F216&lt;=CA$5, COUNTIF($M216:BZ216,"u")=0), "u", "")</f>
        <v/>
      </c>
      <c r="CB216" s="80" t="str">
        <f>IF(AND($F216&lt;&gt;"", $F216&gt;=CB$5-4, $F216&lt;=CB$5, COUNTIF($M216:CA216,"u")=0), "u", "")</f>
        <v/>
      </c>
      <c r="CC216" s="80" t="str">
        <f>IF(AND($F216&lt;&gt;"", $F216&gt;=CC$5-4, $F216&lt;=CC$5, COUNTIF($M216:CB216,"u")=0), "u", "")</f>
        <v/>
      </c>
      <c r="CD216" s="80" t="str">
        <f>IF(AND($F216&lt;&gt;"", $F216&gt;=CD$5-4, $F216&lt;=CD$5, COUNTIF($M216:CC216,"u")=0), "u", "")</f>
        <v/>
      </c>
      <c r="CE216" s="80" t="str">
        <f>IF(AND($F216&lt;&gt;"", $F216&gt;=CE$5-4, $F216&lt;=CE$5, COUNTIF($M216:CD216,"u")=0), "u", "")</f>
        <v/>
      </c>
      <c r="CF216" s="80" t="str">
        <f>IF(AND($F216&lt;&gt;"", $F216&gt;=CF$5-4, $F216&lt;=CF$5, COUNTIF($M216:CE216,"u")=0), "u", "")</f>
        <v/>
      </c>
      <c r="CG216" s="80" t="str">
        <f>IF(AND($F216&lt;&gt;"", $F216&gt;=CG$5-4, $F216&lt;=CG$5, COUNTIF($M216:CF216,"u")=0), "u", "")</f>
        <v/>
      </c>
      <c r="CH216" s="80" t="str">
        <f>IF(AND($F216&lt;&gt;"", $F216&gt;=CH$5-4, $F216&lt;=CH$5, COUNTIF($M216:CG216,"u")=0), "u", "")</f>
        <v/>
      </c>
      <c r="CI216" s="80" t="str">
        <f>IF(AND($F216&lt;&gt;"", $F216&gt;=CI$5-4, $F216&lt;=CI$5, COUNTIF($M216:CH216,"u")=0), "u", "")</f>
        <v/>
      </c>
      <c r="CJ216" s="80" t="str">
        <f>IF(AND($F216&lt;&gt;"", $F216&gt;=CJ$5-4, $F216&lt;=CJ$5, COUNTIF($M216:CI216,"u")=0), "u", "")</f>
        <v/>
      </c>
      <c r="CK216" s="80" t="str">
        <f>IF(AND($F216&lt;&gt;"", $F216&gt;=CK$5-4, $F216&lt;=CK$5, COUNTIF($M216:CJ216,"u")=0), "u", "")</f>
        <v/>
      </c>
      <c r="CL216" s="80" t="str">
        <f>IF(AND($F216&lt;&gt;"", $F216&gt;=CL$5-4, $F216&lt;=CL$5, COUNTIF($M216:CK216,"u")=0), "u", "")</f>
        <v/>
      </c>
      <c r="CM216" s="80" t="str">
        <f>IF(AND($F216&lt;&gt;"", $F216&gt;=CM$5-4, $F216&lt;=CM$5, COUNTIF($M216:CL216,"u")=0), "u", "")</f>
        <v/>
      </c>
      <c r="CN216" s="80" t="str">
        <f>IF(AND($F216&lt;&gt;"", $F216&gt;=CN$5-4, $F216&lt;=CN$5, COUNTIF($M216:CM216,"u")=0), "u", "")</f>
        <v/>
      </c>
      <c r="CO216" s="80" t="str">
        <f>IF(AND($F216&lt;&gt;"", $F216&gt;=CO$5-4, $F216&lt;=CO$5, COUNTIF($M216:CN216,"u")=0), "u", "")</f>
        <v/>
      </c>
      <c r="CP216" s="80" t="str">
        <f>IF(AND($F216&lt;&gt;"", $F216&gt;=CP$5-4, $F216&lt;=CP$5, COUNTIF($M216:CO216,"u")=0), "u", "")</f>
        <v/>
      </c>
      <c r="CQ216" s="80" t="str">
        <f>IF(AND($F216&lt;&gt;"", $F216&gt;=CQ$5-4, $F216&lt;=CQ$5, COUNTIF($M216:CP216,"u")=0), "u", "")</f>
        <v/>
      </c>
      <c r="CR216" s="80" t="str">
        <f>IF(AND($F216&lt;&gt;"", $F216&gt;=CR$5-4, $F216&lt;=CR$5, COUNTIF($M216:CQ216,"u")=0), "u", "")</f>
        <v/>
      </c>
      <c r="CS216" s="80" t="str">
        <f>IF(AND($F216&lt;&gt;"", $F216&gt;=CS$5-4, $F216&lt;=CS$5, COUNTIF($M216:CR216,"u")=0), "u", "")</f>
        <v/>
      </c>
      <c r="CT216" s="80" t="str">
        <f>IF(AND($F216&lt;&gt;"", $F216&gt;=CT$5-4, $F216&lt;=CT$5, COUNTIF($M216:CS216,"u")=0), "u", "")</f>
        <v/>
      </c>
      <c r="CU216" s="80" t="str">
        <f>IF(AND($F216&lt;&gt;"", $F216&gt;=CU$5-4, $F216&lt;=CU$5, COUNTIF($M216:CT216,"u")=0), "u", "")</f>
        <v/>
      </c>
      <c r="CV216" s="80" t="str">
        <f>IF(AND($F216&lt;&gt;"", $F216&gt;=CV$5-4, $F216&lt;=CV$5, COUNTIF($M216:CU216,"u")=0), "u", "")</f>
        <v/>
      </c>
      <c r="CW216" s="80" t="str">
        <f>IF(AND($F216&lt;&gt;"", $F216&gt;=CW$5-4, $F216&lt;=CW$5, COUNTIF($M216:CV216,"u")=0), "u", "")</f>
        <v/>
      </c>
      <c r="CX216" s="80" t="str">
        <f>IF(AND($F216&lt;&gt;"", $F216&gt;=CX$5-4, $F216&lt;=CX$5, COUNTIF($M216:CW216,"u")=0), "u", "")</f>
        <v/>
      </c>
      <c r="CY216" s="80" t="str">
        <f>IF(AND($F216&lt;&gt;"", $F216&gt;=CY$5-4, $F216&lt;=CY$5, COUNTIF($M216:CX216,"u")=0), "u", "")</f>
        <v/>
      </c>
      <c r="CZ216" s="80" t="str">
        <f>IF(AND($F216&lt;&gt;"", $F216&gt;=CZ$5-4, $F216&lt;=CZ$5, COUNTIF($M216:CY216,"u")=0), "u", "")</f>
        <v/>
      </c>
      <c r="DA216" s="80" t="str">
        <f>IF(AND($F216&lt;&gt;"", $F216&gt;=DA$5-4, $F216&lt;=DA$5, COUNTIF($M216:CZ216,"u")=0), "u", "")</f>
        <v/>
      </c>
      <c r="DB216" s="80" t="str">
        <f>IF(AND($F216&lt;&gt;"", $F216&gt;=DB$5-4, $F216&lt;=DB$5, COUNTIF($M216:DA216,"u")=0), "u", "")</f>
        <v/>
      </c>
      <c r="DC216" s="80" t="str">
        <f>IF(AND($F216&lt;&gt;"", $F216&gt;=DC$5-4, $F216&lt;=DC$5, COUNTIF($M216:DB216,"u")=0), "u", "")</f>
        <v/>
      </c>
      <c r="DD216" s="80" t="str">
        <f>IF(AND($F216&lt;&gt;"", $F216&gt;=DD$5-4, $F216&lt;=DD$5, COUNTIF($M216:DC216,"u")=0), "u", "")</f>
        <v/>
      </c>
      <c r="DE216" s="80" t="str">
        <f>IF(AND($F216&lt;&gt;"", $F216&gt;=DE$5-4, $F216&lt;=DE$5, COUNTIF($M216:DD216,"u")=0), "u", "")</f>
        <v/>
      </c>
      <c r="DF216" s="80" t="str">
        <f>IF(AND($F216&lt;&gt;"", $F216&gt;=DF$5-4, $F216&lt;=DF$5, COUNTIF($M216:DE216,"u")=0), "u", "")</f>
        <v/>
      </c>
      <c r="DG216" s="80" t="str">
        <f>IF(AND($F216&lt;&gt;"", $F216&gt;=DG$5-4, $F216&lt;=DG$5, COUNTIF($M216:DF216,"u")=0), "u", "")</f>
        <v/>
      </c>
      <c r="DH216" s="80" t="str">
        <f>IF(AND($F216&lt;&gt;"", $F216&gt;=DH$5-4, $F216&lt;=DH$5, COUNTIF($M216:DG216,"u")=0), "u", "")</f>
        <v/>
      </c>
      <c r="DI216" s="80" t="str">
        <f>IF(AND($F216&lt;&gt;"", $F216&gt;=DI$5-4, $F216&lt;=DI$5, COUNTIF($M216:DH216,"u")=0), "u", "")</f>
        <v/>
      </c>
      <c r="DJ216" s="80" t="str">
        <f>IF(AND($F216&lt;&gt;"", $F216&gt;=DJ$5-4, $F216&lt;=DJ$5, COUNTIF($M216:DI216,"u")=0), "u", "")</f>
        <v/>
      </c>
      <c r="DK216" s="80" t="str">
        <f>IF(AND($F216&lt;&gt;"", $F216&gt;=DK$5-4, $F216&lt;=DK$5, COUNTIF($M216:DJ216,"u")=0), "u", "")</f>
        <v/>
      </c>
      <c r="DL216" s="80" t="str">
        <f>IF(AND($F216&lt;&gt;"", $F216&gt;=DL$5-4, $F216&lt;=DL$5, COUNTIF($M216:DK216,"u")=0), "u", "")</f>
        <v/>
      </c>
    </row>
    <row r="217" spans="1:116" ht="25.05" customHeight="1" x14ac:dyDescent="0.3">
      <c r="A217" s="39"/>
      <c r="B217" s="75">
        <v>212</v>
      </c>
      <c r="C217" s="97"/>
      <c r="D217" s="92"/>
      <c r="E217" s="53"/>
      <c r="F217" s="53"/>
      <c r="G217" s="83" t="str">
        <f t="shared" si="56"/>
        <v/>
      </c>
      <c r="H217" s="83" t="str">
        <f t="shared" si="56"/>
        <v/>
      </c>
      <c r="I217" s="77" t="str">
        <f t="shared" si="54"/>
        <v/>
      </c>
      <c r="J217" s="78"/>
      <c r="K217" s="86"/>
      <c r="L217" s="56"/>
      <c r="M217" s="80" t="str">
        <f t="shared" si="55"/>
        <v/>
      </c>
      <c r="N217" s="80" t="str">
        <f>IF(AND($F217&lt;&gt;"", $F217&gt;=N$5-4, $F217&lt;=N$5, COUNTIF($M217:M217,"u")=0), "u", "")</f>
        <v/>
      </c>
      <c r="O217" s="80" t="str">
        <f>IF(AND($F217&lt;&gt;"", $F217&gt;=O$5-4, $F217&lt;=O$5, COUNTIF($M217:N217,"u")=0), "u", "")</f>
        <v/>
      </c>
      <c r="P217" s="80" t="str">
        <f>IF(AND($F217&lt;&gt;"", $F217&gt;=P$5-4, $F217&lt;=P$5, COUNTIF($M217:O217,"u")=0), "u", "")</f>
        <v/>
      </c>
      <c r="Q217" s="80" t="str">
        <f>IF(AND($F217&lt;&gt;"", $F217&gt;=Q$5-4, $F217&lt;=Q$5, COUNTIF($M217:P217,"u")=0), "u", "")</f>
        <v/>
      </c>
      <c r="R217" s="80" t="str">
        <f>IF(AND($F217&lt;&gt;"", $F217&gt;=R$5-4, $F217&lt;=R$5, COUNTIF($M217:Q217,"u")=0), "u", "")</f>
        <v/>
      </c>
      <c r="S217" s="80" t="str">
        <f>IF(AND($F217&lt;&gt;"", $F217&gt;=S$5-4, $F217&lt;=S$5, COUNTIF($M217:R217,"u")=0), "u", "")</f>
        <v/>
      </c>
      <c r="T217" s="80" t="str">
        <f>IF(AND($F217&lt;&gt;"", $F217&gt;=T$5-4, $F217&lt;=T$5, COUNTIF($M217:S217,"u")=0), "u", "")</f>
        <v/>
      </c>
      <c r="U217" s="80" t="str">
        <f>IF(AND($F217&lt;&gt;"", $F217&gt;=U$5-4, $F217&lt;=U$5, COUNTIF($M217:T217,"u")=0), "u", "")</f>
        <v/>
      </c>
      <c r="V217" s="80" t="str">
        <f>IF(AND($F217&lt;&gt;"", $F217&gt;=V$5-4, $F217&lt;=V$5, COUNTIF($M217:U217,"u")=0), "u", "")</f>
        <v/>
      </c>
      <c r="W217" s="80" t="str">
        <f>IF(AND($F217&lt;&gt;"", $F217&gt;=W$5-4, $F217&lt;=W$5, COUNTIF($M217:V217,"u")=0), "u", "")</f>
        <v/>
      </c>
      <c r="X217" s="80" t="str">
        <f>IF(AND($F217&lt;&gt;"", $F217&gt;=X$5-4, $F217&lt;=X$5, COUNTIF($M217:W217,"u")=0), "u", "")</f>
        <v/>
      </c>
      <c r="Y217" s="80" t="str">
        <f>IF(AND($F217&lt;&gt;"", $F217&gt;=Y$5-4, $F217&lt;=Y$5, COUNTIF($M217:X217,"u")=0), "u", "")</f>
        <v/>
      </c>
      <c r="Z217" s="80" t="str">
        <f>IF(AND($F217&lt;&gt;"", $F217&gt;=Z$5-4, $F217&lt;=Z$5, COUNTIF($M217:Y217,"u")=0), "u", "")</f>
        <v/>
      </c>
      <c r="AA217" s="80" t="str">
        <f>IF(AND($F217&lt;&gt;"", $F217&gt;=AA$5-4, $F217&lt;=AA$5, COUNTIF($M217:Z217,"u")=0), "u", "")</f>
        <v/>
      </c>
      <c r="AB217" s="80" t="str">
        <f>IF(AND($F217&lt;&gt;"", $F217&gt;=AB$5-4, $F217&lt;=AB$5, COUNTIF($M217:AA217,"u")=0), "u", "")</f>
        <v/>
      </c>
      <c r="AC217" s="80" t="str">
        <f>IF(AND($F217&lt;&gt;"", $F217&gt;=AC$5-4, $F217&lt;=AC$5, COUNTIF($M217:AB217,"u")=0), "u", "")</f>
        <v/>
      </c>
      <c r="AD217" s="80" t="str">
        <f>IF(AND($F217&lt;&gt;"", $F217&gt;=AD$5-4, $F217&lt;=AD$5, COUNTIF($M217:AC217,"u")=0), "u", "")</f>
        <v/>
      </c>
      <c r="AE217" s="80" t="str">
        <f>IF(AND($F217&lt;&gt;"", $F217&gt;=AE$5-4, $F217&lt;=AE$5, COUNTIF($M217:AD217,"u")=0), "u", "")</f>
        <v/>
      </c>
      <c r="AF217" s="80" t="str">
        <f>IF(AND($F217&lt;&gt;"", $F217&gt;=AF$5-4, $F217&lt;=AF$5, COUNTIF($M217:AE217,"u")=0), "u", "")</f>
        <v/>
      </c>
      <c r="AG217" s="80" t="str">
        <f>IF(AND($F217&lt;&gt;"", $F217&gt;=AG$5-4, $F217&lt;=AG$5, COUNTIF($M217:AF217,"u")=0), "u", "")</f>
        <v/>
      </c>
      <c r="AH217" s="80" t="str">
        <f>IF(AND($F217&lt;&gt;"", $F217&gt;=AH$5-4, $F217&lt;=AH$5, COUNTIF($M217:AG217,"u")=0), "u", "")</f>
        <v/>
      </c>
      <c r="AI217" s="80" t="str">
        <f>IF(AND($F217&lt;&gt;"", $F217&gt;=AI$5-4, $F217&lt;=AI$5, COUNTIF($M217:AH217,"u")=0), "u", "")</f>
        <v/>
      </c>
      <c r="AJ217" s="80" t="str">
        <f>IF(AND($F217&lt;&gt;"", $F217&gt;=AJ$5-4, $F217&lt;=AJ$5, COUNTIF($M217:AI217,"u")=0), "u", "")</f>
        <v/>
      </c>
      <c r="AK217" s="80" t="str">
        <f>IF(AND($F217&lt;&gt;"", $F217&gt;=AK$5-4, $F217&lt;=AK$5, COUNTIF($M217:AJ217,"u")=0), "u", "")</f>
        <v/>
      </c>
      <c r="AL217" s="80" t="str">
        <f>IF(AND($F217&lt;&gt;"", $F217&gt;=AL$5-4, $F217&lt;=AL$5, COUNTIF($M217:AK217,"u")=0), "u", "")</f>
        <v/>
      </c>
      <c r="AM217" s="80" t="str">
        <f>IF(AND($F217&lt;&gt;"", $F217&gt;=AM$5-4, $F217&lt;=AM$5, COUNTIF($M217:AL217,"u")=0), "u", "")</f>
        <v/>
      </c>
      <c r="AN217" s="80" t="str">
        <f>IF(AND($F217&lt;&gt;"", $F217&gt;=AN$5-4, $F217&lt;=AN$5, COUNTIF($M217:AM217,"u")=0), "u", "")</f>
        <v/>
      </c>
      <c r="AO217" s="80" t="str">
        <f>IF(AND($F217&lt;&gt;"", $F217&gt;=AO$5-4, $F217&lt;=AO$5, COUNTIF($M217:AN217,"u")=0), "u", "")</f>
        <v/>
      </c>
      <c r="AP217" s="80" t="str">
        <f>IF(AND($F217&lt;&gt;"", $F217&gt;=AP$5-4, $F217&lt;=AP$5, COUNTIF($M217:AO217,"u")=0), "u", "")</f>
        <v/>
      </c>
      <c r="AQ217" s="80" t="str">
        <f>IF(AND($F217&lt;&gt;"", $F217&gt;=AQ$5-4, $F217&lt;=AQ$5, COUNTIF($M217:AP217,"u")=0), "u", "")</f>
        <v/>
      </c>
      <c r="AR217" s="80" t="str">
        <f>IF(AND($F217&lt;&gt;"", $F217&gt;=AR$5-4, $F217&lt;=AR$5, COUNTIF($M217:AQ217,"u")=0), "u", "")</f>
        <v/>
      </c>
      <c r="AS217" s="80" t="str">
        <f>IF(AND($F217&lt;&gt;"", $F217&gt;=AS$5-4, $F217&lt;=AS$5, COUNTIF($M217:AR217,"u")=0), "u", "")</f>
        <v/>
      </c>
      <c r="AT217" s="80" t="str">
        <f>IF(AND($F217&lt;&gt;"", $F217&gt;=AT$5-4, $F217&lt;=AT$5, COUNTIF($M217:AS217,"u")=0), "u", "")</f>
        <v/>
      </c>
      <c r="AU217" s="80" t="str">
        <f>IF(AND($F217&lt;&gt;"", $F217&gt;=AU$5-4, $F217&lt;=AU$5, COUNTIF($M217:AT217,"u")=0), "u", "")</f>
        <v/>
      </c>
      <c r="AV217" s="80" t="str">
        <f>IF(AND($F217&lt;&gt;"", $F217&gt;=AV$5-4, $F217&lt;=AV$5, COUNTIF($M217:AU217,"u")=0), "u", "")</f>
        <v/>
      </c>
      <c r="AW217" s="80" t="str">
        <f>IF(AND($F217&lt;&gt;"", $F217&gt;=AW$5-4, $F217&lt;=AW$5, COUNTIF($M217:AV217,"u")=0), "u", "")</f>
        <v/>
      </c>
      <c r="AX217" s="80" t="str">
        <f>IF(AND($F217&lt;&gt;"", $F217&gt;=AX$5-4, $F217&lt;=AX$5, COUNTIF($M217:AW217,"u")=0), "u", "")</f>
        <v/>
      </c>
      <c r="AY217" s="80" t="str">
        <f>IF(AND($F217&lt;&gt;"", $F217&gt;=AY$5-4, $F217&lt;=AY$5, COUNTIF($M217:AX217,"u")=0), "u", "")</f>
        <v/>
      </c>
      <c r="AZ217" s="80" t="str">
        <f>IF(AND($F217&lt;&gt;"", $F217&gt;=AZ$5-4, $F217&lt;=AZ$5, COUNTIF($M217:AY217,"u")=0), "u", "")</f>
        <v/>
      </c>
      <c r="BA217" s="80" t="str">
        <f>IF(AND($F217&lt;&gt;"", $F217&gt;=BA$5-4, $F217&lt;=BA$5, COUNTIF($M217:AZ217,"u")=0), "u", "")</f>
        <v/>
      </c>
      <c r="BB217" s="80" t="str">
        <f>IF(AND($F217&lt;&gt;"", $F217&gt;=BB$5-4, $F217&lt;=BB$5, COUNTIF($M217:BA217,"u")=0), "u", "")</f>
        <v/>
      </c>
      <c r="BC217" s="80" t="str">
        <f>IF(AND($F217&lt;&gt;"", $F217&gt;=BC$5-4, $F217&lt;=BC$5, COUNTIF($M217:BB217,"u")=0), "u", "")</f>
        <v/>
      </c>
      <c r="BD217" s="80" t="str">
        <f>IF(AND($F217&lt;&gt;"", $F217&gt;=BD$5-4, $F217&lt;=BD$5, COUNTIF($M217:BC217,"u")=0), "u", "")</f>
        <v/>
      </c>
      <c r="BE217" s="80" t="str">
        <f>IF(AND($F217&lt;&gt;"", $F217&gt;=BE$5-4, $F217&lt;=BE$5, COUNTIF($M217:BD217,"u")=0), "u", "")</f>
        <v/>
      </c>
      <c r="BF217" s="80" t="str">
        <f>IF(AND($F217&lt;&gt;"", $F217&gt;=BF$5-4, $F217&lt;=BF$5, COUNTIF($M217:BE217,"u")=0), "u", "")</f>
        <v/>
      </c>
      <c r="BG217" s="80" t="str">
        <f>IF(AND($F217&lt;&gt;"", $F217&gt;=BG$5-4, $F217&lt;=BG$5, COUNTIF($M217:BF217,"u")=0), "u", "")</f>
        <v/>
      </c>
      <c r="BH217" s="80" t="str">
        <f>IF(AND($F217&lt;&gt;"", $F217&gt;=BH$5-4, $F217&lt;=BH$5, COUNTIF($M217:BG217,"u")=0), "u", "")</f>
        <v/>
      </c>
      <c r="BI217" s="80" t="str">
        <f>IF(AND($F217&lt;&gt;"", $F217&gt;=BI$5-4, $F217&lt;=BI$5, COUNTIF($M217:BH217,"u")=0), "u", "")</f>
        <v/>
      </c>
      <c r="BJ217" s="80" t="str">
        <f>IF(AND($F217&lt;&gt;"", $F217&gt;=BJ$5-4, $F217&lt;=BJ$5, COUNTIF($M217:BI217,"u")=0), "u", "")</f>
        <v/>
      </c>
      <c r="BK217" s="80" t="str">
        <f>IF(AND($F217&lt;&gt;"", $F217&gt;=BK$5-4, $F217&lt;=BK$5, COUNTIF($M217:BJ217,"u")=0), "u", "")</f>
        <v/>
      </c>
      <c r="BL217" s="80" t="str">
        <f>IF(AND($F217&lt;&gt;"", $F217&gt;=BL$5-4, $F217&lt;=BL$5, COUNTIF($M217:BK217,"u")=0), "u", "")</f>
        <v/>
      </c>
      <c r="BM217" s="80" t="str">
        <f>IF(AND($F217&lt;&gt;"", $F217&gt;=BM$5-4, $F217&lt;=BM$5, COUNTIF($M217:BL217,"u")=0), "u", "")</f>
        <v/>
      </c>
      <c r="BN217" s="80" t="str">
        <f>IF(AND($F217&lt;&gt;"", $F217&gt;=BN$5-4, $F217&lt;=BN$5, COUNTIF($M217:BM217,"u")=0), "u", "")</f>
        <v/>
      </c>
      <c r="BO217" s="80" t="str">
        <f>IF(AND($F217&lt;&gt;"", $F217&gt;=BO$5-4, $F217&lt;=BO$5, COUNTIF($M217:BN217,"u")=0), "u", "")</f>
        <v/>
      </c>
      <c r="BP217" s="80" t="str">
        <f>IF(AND($F217&lt;&gt;"", $F217&gt;=BP$5-4, $F217&lt;=BP$5, COUNTIF($M217:BO217,"u")=0), "u", "")</f>
        <v/>
      </c>
      <c r="BQ217" s="80" t="str">
        <f>IF(AND($F217&lt;&gt;"", $F217&gt;=BQ$5-4, $F217&lt;=BQ$5, COUNTIF($M217:BP217,"u")=0), "u", "")</f>
        <v/>
      </c>
      <c r="BR217" s="80" t="str">
        <f>IF(AND($F217&lt;&gt;"", $F217&gt;=BR$5-4, $F217&lt;=BR$5, COUNTIF($M217:BQ217,"u")=0), "u", "")</f>
        <v/>
      </c>
      <c r="BS217" s="80" t="str">
        <f>IF(AND($F217&lt;&gt;"", $F217&gt;=BS$5-4, $F217&lt;=BS$5, COUNTIF($M217:BR217,"u")=0), "u", "")</f>
        <v/>
      </c>
      <c r="BT217" s="80" t="str">
        <f>IF(AND($F217&lt;&gt;"", $F217&gt;=BT$5-4, $F217&lt;=BT$5, COUNTIF($M217:BS217,"u")=0), "u", "")</f>
        <v/>
      </c>
      <c r="BU217" s="80" t="str">
        <f>IF(AND($F217&lt;&gt;"", $F217&gt;=BU$5-4, $F217&lt;=BU$5, COUNTIF($M217:BT217,"u")=0), "u", "")</f>
        <v/>
      </c>
      <c r="BV217" s="80" t="str">
        <f>IF(AND($F217&lt;&gt;"", $F217&gt;=BV$5-4, $F217&lt;=BV$5, COUNTIF($M217:BU217,"u")=0), "u", "")</f>
        <v/>
      </c>
      <c r="BW217" s="80" t="str">
        <f>IF(AND($F217&lt;&gt;"", $F217&gt;=BW$5-4, $F217&lt;=BW$5, COUNTIF($M217:BV217,"u")=0), "u", "")</f>
        <v/>
      </c>
      <c r="BX217" s="80" t="str">
        <f>IF(AND($F217&lt;&gt;"", $F217&gt;=BX$5-4, $F217&lt;=BX$5, COUNTIF($M217:BW217,"u")=0), "u", "")</f>
        <v/>
      </c>
      <c r="BY217" s="80" t="str">
        <f>IF(AND($F217&lt;&gt;"", $F217&gt;=BY$5-4, $F217&lt;=BY$5, COUNTIF($M217:BX217,"u")=0), "u", "")</f>
        <v/>
      </c>
      <c r="BZ217" s="80" t="str">
        <f>IF(AND($F217&lt;&gt;"", $F217&gt;=BZ$5-4, $F217&lt;=BZ$5, COUNTIF($M217:BY217,"u")=0), "u", "")</f>
        <v/>
      </c>
      <c r="CA217" s="80" t="str">
        <f>IF(AND($F217&lt;&gt;"", $F217&gt;=CA$5-4, $F217&lt;=CA$5, COUNTIF($M217:BZ217,"u")=0), "u", "")</f>
        <v/>
      </c>
      <c r="CB217" s="80" t="str">
        <f>IF(AND($F217&lt;&gt;"", $F217&gt;=CB$5-4, $F217&lt;=CB$5, COUNTIF($M217:CA217,"u")=0), "u", "")</f>
        <v/>
      </c>
      <c r="CC217" s="80" t="str">
        <f>IF(AND($F217&lt;&gt;"", $F217&gt;=CC$5-4, $F217&lt;=CC$5, COUNTIF($M217:CB217,"u")=0), "u", "")</f>
        <v/>
      </c>
      <c r="CD217" s="80" t="str">
        <f>IF(AND($F217&lt;&gt;"", $F217&gt;=CD$5-4, $F217&lt;=CD$5, COUNTIF($M217:CC217,"u")=0), "u", "")</f>
        <v/>
      </c>
      <c r="CE217" s="80" t="str">
        <f>IF(AND($F217&lt;&gt;"", $F217&gt;=CE$5-4, $F217&lt;=CE$5, COUNTIF($M217:CD217,"u")=0), "u", "")</f>
        <v/>
      </c>
      <c r="CF217" s="80" t="str">
        <f>IF(AND($F217&lt;&gt;"", $F217&gt;=CF$5-4, $F217&lt;=CF$5, COUNTIF($M217:CE217,"u")=0), "u", "")</f>
        <v/>
      </c>
      <c r="CG217" s="80" t="str">
        <f>IF(AND($F217&lt;&gt;"", $F217&gt;=CG$5-4, $F217&lt;=CG$5, COUNTIF($M217:CF217,"u")=0), "u", "")</f>
        <v/>
      </c>
      <c r="CH217" s="80" t="str">
        <f>IF(AND($F217&lt;&gt;"", $F217&gt;=CH$5-4, $F217&lt;=CH$5, COUNTIF($M217:CG217,"u")=0), "u", "")</f>
        <v/>
      </c>
      <c r="CI217" s="80" t="str">
        <f>IF(AND($F217&lt;&gt;"", $F217&gt;=CI$5-4, $F217&lt;=CI$5, COUNTIF($M217:CH217,"u")=0), "u", "")</f>
        <v/>
      </c>
      <c r="CJ217" s="80" t="str">
        <f>IF(AND($F217&lt;&gt;"", $F217&gt;=CJ$5-4, $F217&lt;=CJ$5, COUNTIF($M217:CI217,"u")=0), "u", "")</f>
        <v/>
      </c>
      <c r="CK217" s="80" t="str">
        <f>IF(AND($F217&lt;&gt;"", $F217&gt;=CK$5-4, $F217&lt;=CK$5, COUNTIF($M217:CJ217,"u")=0), "u", "")</f>
        <v/>
      </c>
      <c r="CL217" s="80" t="str">
        <f>IF(AND($F217&lt;&gt;"", $F217&gt;=CL$5-4, $F217&lt;=CL$5, COUNTIF($M217:CK217,"u")=0), "u", "")</f>
        <v/>
      </c>
      <c r="CM217" s="80" t="str">
        <f>IF(AND($F217&lt;&gt;"", $F217&gt;=CM$5-4, $F217&lt;=CM$5, COUNTIF($M217:CL217,"u")=0), "u", "")</f>
        <v/>
      </c>
      <c r="CN217" s="80" t="str">
        <f>IF(AND($F217&lt;&gt;"", $F217&gt;=CN$5-4, $F217&lt;=CN$5, COUNTIF($M217:CM217,"u")=0), "u", "")</f>
        <v/>
      </c>
      <c r="CO217" s="80" t="str">
        <f>IF(AND($F217&lt;&gt;"", $F217&gt;=CO$5-4, $F217&lt;=CO$5, COUNTIF($M217:CN217,"u")=0), "u", "")</f>
        <v/>
      </c>
      <c r="CP217" s="80" t="str">
        <f>IF(AND($F217&lt;&gt;"", $F217&gt;=CP$5-4, $F217&lt;=CP$5, COUNTIF($M217:CO217,"u")=0), "u", "")</f>
        <v/>
      </c>
      <c r="CQ217" s="80" t="str">
        <f>IF(AND($F217&lt;&gt;"", $F217&gt;=CQ$5-4, $F217&lt;=CQ$5, COUNTIF($M217:CP217,"u")=0), "u", "")</f>
        <v/>
      </c>
      <c r="CR217" s="80" t="str">
        <f>IF(AND($F217&lt;&gt;"", $F217&gt;=CR$5-4, $F217&lt;=CR$5, COUNTIF($M217:CQ217,"u")=0), "u", "")</f>
        <v/>
      </c>
      <c r="CS217" s="80" t="str">
        <f>IF(AND($F217&lt;&gt;"", $F217&gt;=CS$5-4, $F217&lt;=CS$5, COUNTIF($M217:CR217,"u")=0), "u", "")</f>
        <v/>
      </c>
      <c r="CT217" s="80" t="str">
        <f>IF(AND($F217&lt;&gt;"", $F217&gt;=CT$5-4, $F217&lt;=CT$5, COUNTIF($M217:CS217,"u")=0), "u", "")</f>
        <v/>
      </c>
      <c r="CU217" s="80" t="str">
        <f>IF(AND($F217&lt;&gt;"", $F217&gt;=CU$5-4, $F217&lt;=CU$5, COUNTIF($M217:CT217,"u")=0), "u", "")</f>
        <v/>
      </c>
      <c r="CV217" s="80" t="str">
        <f>IF(AND($F217&lt;&gt;"", $F217&gt;=CV$5-4, $F217&lt;=CV$5, COUNTIF($M217:CU217,"u")=0), "u", "")</f>
        <v/>
      </c>
      <c r="CW217" s="80" t="str">
        <f>IF(AND($F217&lt;&gt;"", $F217&gt;=CW$5-4, $F217&lt;=CW$5, COUNTIF($M217:CV217,"u")=0), "u", "")</f>
        <v/>
      </c>
      <c r="CX217" s="80" t="str">
        <f>IF(AND($F217&lt;&gt;"", $F217&gt;=CX$5-4, $F217&lt;=CX$5, COUNTIF($M217:CW217,"u")=0), "u", "")</f>
        <v/>
      </c>
      <c r="CY217" s="80" t="str">
        <f>IF(AND($F217&lt;&gt;"", $F217&gt;=CY$5-4, $F217&lt;=CY$5, COUNTIF($M217:CX217,"u")=0), "u", "")</f>
        <v/>
      </c>
      <c r="CZ217" s="80" t="str">
        <f>IF(AND($F217&lt;&gt;"", $F217&gt;=CZ$5-4, $F217&lt;=CZ$5, COUNTIF($M217:CY217,"u")=0), "u", "")</f>
        <v/>
      </c>
      <c r="DA217" s="80" t="str">
        <f>IF(AND($F217&lt;&gt;"", $F217&gt;=DA$5-4, $F217&lt;=DA$5, COUNTIF($M217:CZ217,"u")=0), "u", "")</f>
        <v/>
      </c>
      <c r="DB217" s="80" t="str">
        <f>IF(AND($F217&lt;&gt;"", $F217&gt;=DB$5-4, $F217&lt;=DB$5, COUNTIF($M217:DA217,"u")=0), "u", "")</f>
        <v/>
      </c>
      <c r="DC217" s="80" t="str">
        <f>IF(AND($F217&lt;&gt;"", $F217&gt;=DC$5-4, $F217&lt;=DC$5, COUNTIF($M217:DB217,"u")=0), "u", "")</f>
        <v/>
      </c>
      <c r="DD217" s="80" t="str">
        <f>IF(AND($F217&lt;&gt;"", $F217&gt;=DD$5-4, $F217&lt;=DD$5, COUNTIF($M217:DC217,"u")=0), "u", "")</f>
        <v/>
      </c>
      <c r="DE217" s="80" t="str">
        <f>IF(AND($F217&lt;&gt;"", $F217&gt;=DE$5-4, $F217&lt;=DE$5, COUNTIF($M217:DD217,"u")=0), "u", "")</f>
        <v/>
      </c>
      <c r="DF217" s="80" t="str">
        <f>IF(AND($F217&lt;&gt;"", $F217&gt;=DF$5-4, $F217&lt;=DF$5, COUNTIF($M217:DE217,"u")=0), "u", "")</f>
        <v/>
      </c>
      <c r="DG217" s="80" t="str">
        <f>IF(AND($F217&lt;&gt;"", $F217&gt;=DG$5-4, $F217&lt;=DG$5, COUNTIF($M217:DF217,"u")=0), "u", "")</f>
        <v/>
      </c>
      <c r="DH217" s="80" t="str">
        <f>IF(AND($F217&lt;&gt;"", $F217&gt;=DH$5-4, $F217&lt;=DH$5, COUNTIF($M217:DG217,"u")=0), "u", "")</f>
        <v/>
      </c>
      <c r="DI217" s="80" t="str">
        <f>IF(AND($F217&lt;&gt;"", $F217&gt;=DI$5-4, $F217&lt;=DI$5, COUNTIF($M217:DH217,"u")=0), "u", "")</f>
        <v/>
      </c>
      <c r="DJ217" s="80" t="str">
        <f>IF(AND($F217&lt;&gt;"", $F217&gt;=DJ$5-4, $F217&lt;=DJ$5, COUNTIF($M217:DI217,"u")=0), "u", "")</f>
        <v/>
      </c>
      <c r="DK217" s="80" t="str">
        <f>IF(AND($F217&lt;&gt;"", $F217&gt;=DK$5-4, $F217&lt;=DK$5, COUNTIF($M217:DJ217,"u")=0), "u", "")</f>
        <v/>
      </c>
      <c r="DL217" s="80" t="str">
        <f>IF(AND($F217&lt;&gt;"", $F217&gt;=DL$5-4, $F217&lt;=DL$5, COUNTIF($M217:DK217,"u")=0), "u", "")</f>
        <v/>
      </c>
    </row>
    <row r="218" spans="1:116" ht="25.05" customHeight="1" x14ac:dyDescent="0.3">
      <c r="A218" s="39"/>
      <c r="B218" s="75">
        <v>213</v>
      </c>
      <c r="C218" s="97"/>
      <c r="D218" s="92"/>
      <c r="E218" s="53"/>
      <c r="F218" s="53"/>
      <c r="G218" s="83" t="str">
        <f t="shared" si="56"/>
        <v/>
      </c>
      <c r="H218" s="83" t="str">
        <f t="shared" si="56"/>
        <v/>
      </c>
      <c r="I218" s="77" t="str">
        <f t="shared" si="54"/>
        <v/>
      </c>
      <c r="J218" s="78"/>
      <c r="K218" s="86"/>
      <c r="L218" s="56"/>
      <c r="M218" s="80" t="str">
        <f t="shared" si="55"/>
        <v/>
      </c>
      <c r="N218" s="80" t="str">
        <f>IF(AND($F218&lt;&gt;"", $F218&gt;=N$5-4, $F218&lt;=N$5, COUNTIF($M218:M218,"u")=0), "u", "")</f>
        <v/>
      </c>
      <c r="O218" s="80" t="str">
        <f>IF(AND($F218&lt;&gt;"", $F218&gt;=O$5-4, $F218&lt;=O$5, COUNTIF($M218:N218,"u")=0), "u", "")</f>
        <v/>
      </c>
      <c r="P218" s="80" t="str">
        <f>IF(AND($F218&lt;&gt;"", $F218&gt;=P$5-4, $F218&lt;=P$5, COUNTIF($M218:O218,"u")=0), "u", "")</f>
        <v/>
      </c>
      <c r="Q218" s="80" t="str">
        <f>IF(AND($F218&lt;&gt;"", $F218&gt;=Q$5-4, $F218&lt;=Q$5, COUNTIF($M218:P218,"u")=0), "u", "")</f>
        <v/>
      </c>
      <c r="R218" s="80" t="str">
        <f>IF(AND($F218&lt;&gt;"", $F218&gt;=R$5-4, $F218&lt;=R$5, COUNTIF($M218:Q218,"u")=0), "u", "")</f>
        <v/>
      </c>
      <c r="S218" s="80" t="str">
        <f>IF(AND($F218&lt;&gt;"", $F218&gt;=S$5-4, $F218&lt;=S$5, COUNTIF($M218:R218,"u")=0), "u", "")</f>
        <v/>
      </c>
      <c r="T218" s="80" t="str">
        <f>IF(AND($F218&lt;&gt;"", $F218&gt;=T$5-4, $F218&lt;=T$5, COUNTIF($M218:S218,"u")=0), "u", "")</f>
        <v/>
      </c>
      <c r="U218" s="80" t="str">
        <f>IF(AND($F218&lt;&gt;"", $F218&gt;=U$5-4, $F218&lt;=U$5, COUNTIF($M218:T218,"u")=0), "u", "")</f>
        <v/>
      </c>
      <c r="V218" s="80" t="str">
        <f>IF(AND($F218&lt;&gt;"", $F218&gt;=V$5-4, $F218&lt;=V$5, COUNTIF($M218:U218,"u")=0), "u", "")</f>
        <v/>
      </c>
      <c r="W218" s="80" t="str">
        <f>IF(AND($F218&lt;&gt;"", $F218&gt;=W$5-4, $F218&lt;=W$5, COUNTIF($M218:V218,"u")=0), "u", "")</f>
        <v/>
      </c>
      <c r="X218" s="80" t="str">
        <f>IF(AND($F218&lt;&gt;"", $F218&gt;=X$5-4, $F218&lt;=X$5, COUNTIF($M218:W218,"u")=0), "u", "")</f>
        <v/>
      </c>
      <c r="Y218" s="80" t="str">
        <f>IF(AND($F218&lt;&gt;"", $F218&gt;=Y$5-4, $F218&lt;=Y$5, COUNTIF($M218:X218,"u")=0), "u", "")</f>
        <v/>
      </c>
      <c r="Z218" s="80" t="str">
        <f>IF(AND($F218&lt;&gt;"", $F218&gt;=Z$5-4, $F218&lt;=Z$5, COUNTIF($M218:Y218,"u")=0), "u", "")</f>
        <v/>
      </c>
      <c r="AA218" s="80" t="str">
        <f>IF(AND($F218&lt;&gt;"", $F218&gt;=AA$5-4, $F218&lt;=AA$5, COUNTIF($M218:Z218,"u")=0), "u", "")</f>
        <v/>
      </c>
      <c r="AB218" s="80" t="str">
        <f>IF(AND($F218&lt;&gt;"", $F218&gt;=AB$5-4, $F218&lt;=AB$5, COUNTIF($M218:AA218,"u")=0), "u", "")</f>
        <v/>
      </c>
      <c r="AC218" s="80" t="str">
        <f>IF(AND($F218&lt;&gt;"", $F218&gt;=AC$5-4, $F218&lt;=AC$5, COUNTIF($M218:AB218,"u")=0), "u", "")</f>
        <v/>
      </c>
      <c r="AD218" s="80" t="str">
        <f>IF(AND($F218&lt;&gt;"", $F218&gt;=AD$5-4, $F218&lt;=AD$5, COUNTIF($M218:AC218,"u")=0), "u", "")</f>
        <v/>
      </c>
      <c r="AE218" s="80" t="str">
        <f>IF(AND($F218&lt;&gt;"", $F218&gt;=AE$5-4, $F218&lt;=AE$5, COUNTIF($M218:AD218,"u")=0), "u", "")</f>
        <v/>
      </c>
      <c r="AF218" s="80" t="str">
        <f>IF(AND($F218&lt;&gt;"", $F218&gt;=AF$5-4, $F218&lt;=AF$5, COUNTIF($M218:AE218,"u")=0), "u", "")</f>
        <v/>
      </c>
      <c r="AG218" s="80" t="str">
        <f>IF(AND($F218&lt;&gt;"", $F218&gt;=AG$5-4, $F218&lt;=AG$5, COUNTIF($M218:AF218,"u")=0), "u", "")</f>
        <v/>
      </c>
      <c r="AH218" s="80" t="str">
        <f>IF(AND($F218&lt;&gt;"", $F218&gt;=AH$5-4, $F218&lt;=AH$5, COUNTIF($M218:AG218,"u")=0), "u", "")</f>
        <v/>
      </c>
      <c r="AI218" s="80" t="str">
        <f>IF(AND($F218&lt;&gt;"", $F218&gt;=AI$5-4, $F218&lt;=AI$5, COUNTIF($M218:AH218,"u")=0), "u", "")</f>
        <v/>
      </c>
      <c r="AJ218" s="80" t="str">
        <f>IF(AND($F218&lt;&gt;"", $F218&gt;=AJ$5-4, $F218&lt;=AJ$5, COUNTIF($M218:AI218,"u")=0), "u", "")</f>
        <v/>
      </c>
      <c r="AK218" s="80" t="str">
        <f>IF(AND($F218&lt;&gt;"", $F218&gt;=AK$5-4, $F218&lt;=AK$5, COUNTIF($M218:AJ218,"u")=0), "u", "")</f>
        <v/>
      </c>
      <c r="AL218" s="80" t="str">
        <f>IF(AND($F218&lt;&gt;"", $F218&gt;=AL$5-4, $F218&lt;=AL$5, COUNTIF($M218:AK218,"u")=0), "u", "")</f>
        <v/>
      </c>
      <c r="AM218" s="80" t="str">
        <f>IF(AND($F218&lt;&gt;"", $F218&gt;=AM$5-4, $F218&lt;=AM$5, COUNTIF($M218:AL218,"u")=0), "u", "")</f>
        <v/>
      </c>
      <c r="AN218" s="80" t="str">
        <f>IF(AND($F218&lt;&gt;"", $F218&gt;=AN$5-4, $F218&lt;=AN$5, COUNTIF($M218:AM218,"u")=0), "u", "")</f>
        <v/>
      </c>
      <c r="AO218" s="80" t="str">
        <f>IF(AND($F218&lt;&gt;"", $F218&gt;=AO$5-4, $F218&lt;=AO$5, COUNTIF($M218:AN218,"u")=0), "u", "")</f>
        <v/>
      </c>
      <c r="AP218" s="80" t="str">
        <f>IF(AND($F218&lt;&gt;"", $F218&gt;=AP$5-4, $F218&lt;=AP$5, COUNTIF($M218:AO218,"u")=0), "u", "")</f>
        <v/>
      </c>
      <c r="AQ218" s="80" t="str">
        <f>IF(AND($F218&lt;&gt;"", $F218&gt;=AQ$5-4, $F218&lt;=AQ$5, COUNTIF($M218:AP218,"u")=0), "u", "")</f>
        <v/>
      </c>
      <c r="AR218" s="80" t="str">
        <f>IF(AND($F218&lt;&gt;"", $F218&gt;=AR$5-4, $F218&lt;=AR$5, COUNTIF($M218:AQ218,"u")=0), "u", "")</f>
        <v/>
      </c>
      <c r="AS218" s="80" t="str">
        <f>IF(AND($F218&lt;&gt;"", $F218&gt;=AS$5-4, $F218&lt;=AS$5, COUNTIF($M218:AR218,"u")=0), "u", "")</f>
        <v/>
      </c>
      <c r="AT218" s="80" t="str">
        <f>IF(AND($F218&lt;&gt;"", $F218&gt;=AT$5-4, $F218&lt;=AT$5, COUNTIF($M218:AS218,"u")=0), "u", "")</f>
        <v/>
      </c>
      <c r="AU218" s="80" t="str">
        <f>IF(AND($F218&lt;&gt;"", $F218&gt;=AU$5-4, $F218&lt;=AU$5, COUNTIF($M218:AT218,"u")=0), "u", "")</f>
        <v/>
      </c>
      <c r="AV218" s="80" t="str">
        <f>IF(AND($F218&lt;&gt;"", $F218&gt;=AV$5-4, $F218&lt;=AV$5, COUNTIF($M218:AU218,"u")=0), "u", "")</f>
        <v/>
      </c>
      <c r="AW218" s="80" t="str">
        <f>IF(AND($F218&lt;&gt;"", $F218&gt;=AW$5-4, $F218&lt;=AW$5, COUNTIF($M218:AV218,"u")=0), "u", "")</f>
        <v/>
      </c>
      <c r="AX218" s="80" t="str">
        <f>IF(AND($F218&lt;&gt;"", $F218&gt;=AX$5-4, $F218&lt;=AX$5, COUNTIF($M218:AW218,"u")=0), "u", "")</f>
        <v/>
      </c>
      <c r="AY218" s="80" t="str">
        <f>IF(AND($F218&lt;&gt;"", $F218&gt;=AY$5-4, $F218&lt;=AY$5, COUNTIF($M218:AX218,"u")=0), "u", "")</f>
        <v/>
      </c>
      <c r="AZ218" s="80" t="str">
        <f>IF(AND($F218&lt;&gt;"", $F218&gt;=AZ$5-4, $F218&lt;=AZ$5, COUNTIF($M218:AY218,"u")=0), "u", "")</f>
        <v/>
      </c>
      <c r="BA218" s="80" t="str">
        <f>IF(AND($F218&lt;&gt;"", $F218&gt;=BA$5-4, $F218&lt;=BA$5, COUNTIF($M218:AZ218,"u")=0), "u", "")</f>
        <v/>
      </c>
      <c r="BB218" s="80" t="str">
        <f>IF(AND($F218&lt;&gt;"", $F218&gt;=BB$5-4, $F218&lt;=BB$5, COUNTIF($M218:BA218,"u")=0), "u", "")</f>
        <v/>
      </c>
      <c r="BC218" s="80" t="str">
        <f>IF(AND($F218&lt;&gt;"", $F218&gt;=BC$5-4, $F218&lt;=BC$5, COUNTIF($M218:BB218,"u")=0), "u", "")</f>
        <v/>
      </c>
      <c r="BD218" s="80" t="str">
        <f>IF(AND($F218&lt;&gt;"", $F218&gt;=BD$5-4, $F218&lt;=BD$5, COUNTIF($M218:BC218,"u")=0), "u", "")</f>
        <v/>
      </c>
      <c r="BE218" s="80" t="str">
        <f>IF(AND($F218&lt;&gt;"", $F218&gt;=BE$5-4, $F218&lt;=BE$5, COUNTIF($M218:BD218,"u")=0), "u", "")</f>
        <v/>
      </c>
      <c r="BF218" s="80" t="str">
        <f>IF(AND($F218&lt;&gt;"", $F218&gt;=BF$5-4, $F218&lt;=BF$5, COUNTIF($M218:BE218,"u")=0), "u", "")</f>
        <v/>
      </c>
      <c r="BG218" s="80" t="str">
        <f>IF(AND($F218&lt;&gt;"", $F218&gt;=BG$5-4, $F218&lt;=BG$5, COUNTIF($M218:BF218,"u")=0), "u", "")</f>
        <v/>
      </c>
      <c r="BH218" s="80" t="str">
        <f>IF(AND($F218&lt;&gt;"", $F218&gt;=BH$5-4, $F218&lt;=BH$5, COUNTIF($M218:BG218,"u")=0), "u", "")</f>
        <v/>
      </c>
      <c r="BI218" s="80" t="str">
        <f>IF(AND($F218&lt;&gt;"", $F218&gt;=BI$5-4, $F218&lt;=BI$5, COUNTIF($M218:BH218,"u")=0), "u", "")</f>
        <v/>
      </c>
      <c r="BJ218" s="80" t="str">
        <f>IF(AND($F218&lt;&gt;"", $F218&gt;=BJ$5-4, $F218&lt;=BJ$5, COUNTIF($M218:BI218,"u")=0), "u", "")</f>
        <v/>
      </c>
      <c r="BK218" s="80" t="str">
        <f>IF(AND($F218&lt;&gt;"", $F218&gt;=BK$5-4, $F218&lt;=BK$5, COUNTIF($M218:BJ218,"u")=0), "u", "")</f>
        <v/>
      </c>
      <c r="BL218" s="80" t="str">
        <f>IF(AND($F218&lt;&gt;"", $F218&gt;=BL$5-4, $F218&lt;=BL$5, COUNTIF($M218:BK218,"u")=0), "u", "")</f>
        <v/>
      </c>
      <c r="BM218" s="80" t="str">
        <f>IF(AND($F218&lt;&gt;"", $F218&gt;=BM$5-4, $F218&lt;=BM$5, COUNTIF($M218:BL218,"u")=0), "u", "")</f>
        <v/>
      </c>
      <c r="BN218" s="80" t="str">
        <f>IF(AND($F218&lt;&gt;"", $F218&gt;=BN$5-4, $F218&lt;=BN$5, COUNTIF($M218:BM218,"u")=0), "u", "")</f>
        <v/>
      </c>
      <c r="BO218" s="80" t="str">
        <f>IF(AND($F218&lt;&gt;"", $F218&gt;=BO$5-4, $F218&lt;=BO$5, COUNTIF($M218:BN218,"u")=0), "u", "")</f>
        <v/>
      </c>
      <c r="BP218" s="80" t="str">
        <f>IF(AND($F218&lt;&gt;"", $F218&gt;=BP$5-4, $F218&lt;=BP$5, COUNTIF($M218:BO218,"u")=0), "u", "")</f>
        <v/>
      </c>
      <c r="BQ218" s="80" t="str">
        <f>IF(AND($F218&lt;&gt;"", $F218&gt;=BQ$5-4, $F218&lt;=BQ$5, COUNTIF($M218:BP218,"u")=0), "u", "")</f>
        <v/>
      </c>
      <c r="BR218" s="80" t="str">
        <f>IF(AND($F218&lt;&gt;"", $F218&gt;=BR$5-4, $F218&lt;=BR$5, COUNTIF($M218:BQ218,"u")=0), "u", "")</f>
        <v/>
      </c>
      <c r="BS218" s="80" t="str">
        <f>IF(AND($F218&lt;&gt;"", $F218&gt;=BS$5-4, $F218&lt;=BS$5, COUNTIF($M218:BR218,"u")=0), "u", "")</f>
        <v/>
      </c>
      <c r="BT218" s="80" t="str">
        <f>IF(AND($F218&lt;&gt;"", $F218&gt;=BT$5-4, $F218&lt;=BT$5, COUNTIF($M218:BS218,"u")=0), "u", "")</f>
        <v/>
      </c>
      <c r="BU218" s="80" t="str">
        <f>IF(AND($F218&lt;&gt;"", $F218&gt;=BU$5-4, $F218&lt;=BU$5, COUNTIF($M218:BT218,"u")=0), "u", "")</f>
        <v/>
      </c>
      <c r="BV218" s="80" t="str">
        <f>IF(AND($F218&lt;&gt;"", $F218&gt;=BV$5-4, $F218&lt;=BV$5, COUNTIF($M218:BU218,"u")=0), "u", "")</f>
        <v/>
      </c>
      <c r="BW218" s="80" t="str">
        <f>IF(AND($F218&lt;&gt;"", $F218&gt;=BW$5-4, $F218&lt;=BW$5, COUNTIF($M218:BV218,"u")=0), "u", "")</f>
        <v/>
      </c>
      <c r="BX218" s="80" t="str">
        <f>IF(AND($F218&lt;&gt;"", $F218&gt;=BX$5-4, $F218&lt;=BX$5, COUNTIF($M218:BW218,"u")=0), "u", "")</f>
        <v/>
      </c>
      <c r="BY218" s="80" t="str">
        <f>IF(AND($F218&lt;&gt;"", $F218&gt;=BY$5-4, $F218&lt;=BY$5, COUNTIF($M218:BX218,"u")=0), "u", "")</f>
        <v/>
      </c>
      <c r="BZ218" s="80" t="str">
        <f>IF(AND($F218&lt;&gt;"", $F218&gt;=BZ$5-4, $F218&lt;=BZ$5, COUNTIF($M218:BY218,"u")=0), "u", "")</f>
        <v/>
      </c>
      <c r="CA218" s="80" t="str">
        <f>IF(AND($F218&lt;&gt;"", $F218&gt;=CA$5-4, $F218&lt;=CA$5, COUNTIF($M218:BZ218,"u")=0), "u", "")</f>
        <v/>
      </c>
      <c r="CB218" s="80" t="str">
        <f>IF(AND($F218&lt;&gt;"", $F218&gt;=CB$5-4, $F218&lt;=CB$5, COUNTIF($M218:CA218,"u")=0), "u", "")</f>
        <v/>
      </c>
      <c r="CC218" s="80" t="str">
        <f>IF(AND($F218&lt;&gt;"", $F218&gt;=CC$5-4, $F218&lt;=CC$5, COUNTIF($M218:CB218,"u")=0), "u", "")</f>
        <v/>
      </c>
      <c r="CD218" s="80" t="str">
        <f>IF(AND($F218&lt;&gt;"", $F218&gt;=CD$5-4, $F218&lt;=CD$5, COUNTIF($M218:CC218,"u")=0), "u", "")</f>
        <v/>
      </c>
      <c r="CE218" s="80" t="str">
        <f>IF(AND($F218&lt;&gt;"", $F218&gt;=CE$5-4, $F218&lt;=CE$5, COUNTIF($M218:CD218,"u")=0), "u", "")</f>
        <v/>
      </c>
      <c r="CF218" s="80" t="str">
        <f>IF(AND($F218&lt;&gt;"", $F218&gt;=CF$5-4, $F218&lt;=CF$5, COUNTIF($M218:CE218,"u")=0), "u", "")</f>
        <v/>
      </c>
      <c r="CG218" s="80" t="str">
        <f>IF(AND($F218&lt;&gt;"", $F218&gt;=CG$5-4, $F218&lt;=CG$5, COUNTIF($M218:CF218,"u")=0), "u", "")</f>
        <v/>
      </c>
      <c r="CH218" s="80" t="str">
        <f>IF(AND($F218&lt;&gt;"", $F218&gt;=CH$5-4, $F218&lt;=CH$5, COUNTIF($M218:CG218,"u")=0), "u", "")</f>
        <v/>
      </c>
      <c r="CI218" s="80" t="str">
        <f>IF(AND($F218&lt;&gt;"", $F218&gt;=CI$5-4, $F218&lt;=CI$5, COUNTIF($M218:CH218,"u")=0), "u", "")</f>
        <v/>
      </c>
      <c r="CJ218" s="80" t="str">
        <f>IF(AND($F218&lt;&gt;"", $F218&gt;=CJ$5-4, $F218&lt;=CJ$5, COUNTIF($M218:CI218,"u")=0), "u", "")</f>
        <v/>
      </c>
      <c r="CK218" s="80" t="str">
        <f>IF(AND($F218&lt;&gt;"", $F218&gt;=CK$5-4, $F218&lt;=CK$5, COUNTIF($M218:CJ218,"u")=0), "u", "")</f>
        <v/>
      </c>
      <c r="CL218" s="80" t="str">
        <f>IF(AND($F218&lt;&gt;"", $F218&gt;=CL$5-4, $F218&lt;=CL$5, COUNTIF($M218:CK218,"u")=0), "u", "")</f>
        <v/>
      </c>
      <c r="CM218" s="80" t="str">
        <f>IF(AND($F218&lt;&gt;"", $F218&gt;=CM$5-4, $F218&lt;=CM$5, COUNTIF($M218:CL218,"u")=0), "u", "")</f>
        <v/>
      </c>
      <c r="CN218" s="80" t="str">
        <f>IF(AND($F218&lt;&gt;"", $F218&gt;=CN$5-4, $F218&lt;=CN$5, COUNTIF($M218:CM218,"u")=0), "u", "")</f>
        <v/>
      </c>
      <c r="CO218" s="80" t="str">
        <f>IF(AND($F218&lt;&gt;"", $F218&gt;=CO$5-4, $F218&lt;=CO$5, COUNTIF($M218:CN218,"u")=0), "u", "")</f>
        <v/>
      </c>
      <c r="CP218" s="80" t="str">
        <f>IF(AND($F218&lt;&gt;"", $F218&gt;=CP$5-4, $F218&lt;=CP$5, COUNTIF($M218:CO218,"u")=0), "u", "")</f>
        <v/>
      </c>
      <c r="CQ218" s="80" t="str">
        <f>IF(AND($F218&lt;&gt;"", $F218&gt;=CQ$5-4, $F218&lt;=CQ$5, COUNTIF($M218:CP218,"u")=0), "u", "")</f>
        <v/>
      </c>
      <c r="CR218" s="80" t="str">
        <f>IF(AND($F218&lt;&gt;"", $F218&gt;=CR$5-4, $F218&lt;=CR$5, COUNTIF($M218:CQ218,"u")=0), "u", "")</f>
        <v/>
      </c>
      <c r="CS218" s="80" t="str">
        <f>IF(AND($F218&lt;&gt;"", $F218&gt;=CS$5-4, $F218&lt;=CS$5, COUNTIF($M218:CR218,"u")=0), "u", "")</f>
        <v/>
      </c>
      <c r="CT218" s="80" t="str">
        <f>IF(AND($F218&lt;&gt;"", $F218&gt;=CT$5-4, $F218&lt;=CT$5, COUNTIF($M218:CS218,"u")=0), "u", "")</f>
        <v/>
      </c>
      <c r="CU218" s="80" t="str">
        <f>IF(AND($F218&lt;&gt;"", $F218&gt;=CU$5-4, $F218&lt;=CU$5, COUNTIF($M218:CT218,"u")=0), "u", "")</f>
        <v/>
      </c>
      <c r="CV218" s="80" t="str">
        <f>IF(AND($F218&lt;&gt;"", $F218&gt;=CV$5-4, $F218&lt;=CV$5, COUNTIF($M218:CU218,"u")=0), "u", "")</f>
        <v/>
      </c>
      <c r="CW218" s="80" t="str">
        <f>IF(AND($F218&lt;&gt;"", $F218&gt;=CW$5-4, $F218&lt;=CW$5, COUNTIF($M218:CV218,"u")=0), "u", "")</f>
        <v/>
      </c>
      <c r="CX218" s="80" t="str">
        <f>IF(AND($F218&lt;&gt;"", $F218&gt;=CX$5-4, $F218&lt;=CX$5, COUNTIF($M218:CW218,"u")=0), "u", "")</f>
        <v/>
      </c>
      <c r="CY218" s="80" t="str">
        <f>IF(AND($F218&lt;&gt;"", $F218&gt;=CY$5-4, $F218&lt;=CY$5, COUNTIF($M218:CX218,"u")=0), "u", "")</f>
        <v/>
      </c>
      <c r="CZ218" s="80" t="str">
        <f>IF(AND($F218&lt;&gt;"", $F218&gt;=CZ$5-4, $F218&lt;=CZ$5, COUNTIF($M218:CY218,"u")=0), "u", "")</f>
        <v/>
      </c>
      <c r="DA218" s="80" t="str">
        <f>IF(AND($F218&lt;&gt;"", $F218&gt;=DA$5-4, $F218&lt;=DA$5, COUNTIF($M218:CZ218,"u")=0), "u", "")</f>
        <v/>
      </c>
      <c r="DB218" s="80" t="str">
        <f>IF(AND($F218&lt;&gt;"", $F218&gt;=DB$5-4, $F218&lt;=DB$5, COUNTIF($M218:DA218,"u")=0), "u", "")</f>
        <v/>
      </c>
      <c r="DC218" s="80" t="str">
        <f>IF(AND($F218&lt;&gt;"", $F218&gt;=DC$5-4, $F218&lt;=DC$5, COUNTIF($M218:DB218,"u")=0), "u", "")</f>
        <v/>
      </c>
      <c r="DD218" s="80" t="str">
        <f>IF(AND($F218&lt;&gt;"", $F218&gt;=DD$5-4, $F218&lt;=DD$5, COUNTIF($M218:DC218,"u")=0), "u", "")</f>
        <v/>
      </c>
      <c r="DE218" s="80" t="str">
        <f>IF(AND($F218&lt;&gt;"", $F218&gt;=DE$5-4, $F218&lt;=DE$5, COUNTIF($M218:DD218,"u")=0), "u", "")</f>
        <v/>
      </c>
      <c r="DF218" s="80" t="str">
        <f>IF(AND($F218&lt;&gt;"", $F218&gt;=DF$5-4, $F218&lt;=DF$5, COUNTIF($M218:DE218,"u")=0), "u", "")</f>
        <v/>
      </c>
      <c r="DG218" s="80" t="str">
        <f>IF(AND($F218&lt;&gt;"", $F218&gt;=DG$5-4, $F218&lt;=DG$5, COUNTIF($M218:DF218,"u")=0), "u", "")</f>
        <v/>
      </c>
      <c r="DH218" s="80" t="str">
        <f>IF(AND($F218&lt;&gt;"", $F218&gt;=DH$5-4, $F218&lt;=DH$5, COUNTIF($M218:DG218,"u")=0), "u", "")</f>
        <v/>
      </c>
      <c r="DI218" s="80" t="str">
        <f>IF(AND($F218&lt;&gt;"", $F218&gt;=DI$5-4, $F218&lt;=DI$5, COUNTIF($M218:DH218,"u")=0), "u", "")</f>
        <v/>
      </c>
      <c r="DJ218" s="80" t="str">
        <f>IF(AND($F218&lt;&gt;"", $F218&gt;=DJ$5-4, $F218&lt;=DJ$5, COUNTIF($M218:DI218,"u")=0), "u", "")</f>
        <v/>
      </c>
      <c r="DK218" s="80" t="str">
        <f>IF(AND($F218&lt;&gt;"", $F218&gt;=DK$5-4, $F218&lt;=DK$5, COUNTIF($M218:DJ218,"u")=0), "u", "")</f>
        <v/>
      </c>
      <c r="DL218" s="80" t="str">
        <f>IF(AND($F218&lt;&gt;"", $F218&gt;=DL$5-4, $F218&lt;=DL$5, COUNTIF($M218:DK218,"u")=0), "u", "")</f>
        <v/>
      </c>
    </row>
    <row r="219" spans="1:116" ht="25.05" customHeight="1" x14ac:dyDescent="0.3">
      <c r="A219" s="39"/>
      <c r="B219" s="75">
        <v>214</v>
      </c>
      <c r="C219" s="97"/>
      <c r="D219" s="92"/>
      <c r="E219" s="53"/>
      <c r="F219" s="53"/>
      <c r="G219" s="83" t="str">
        <f t="shared" si="56"/>
        <v/>
      </c>
      <c r="H219" s="83" t="str">
        <f t="shared" si="56"/>
        <v/>
      </c>
      <c r="I219" s="77" t="str">
        <f t="shared" si="54"/>
        <v/>
      </c>
      <c r="J219" s="78"/>
      <c r="K219" s="86"/>
      <c r="L219" s="56"/>
      <c r="M219" s="80" t="str">
        <f t="shared" si="55"/>
        <v/>
      </c>
      <c r="N219" s="80" t="str">
        <f>IF(AND($F219&lt;&gt;"", $F219&gt;=N$5-4, $F219&lt;=N$5, COUNTIF($M219:M219,"u")=0), "u", "")</f>
        <v/>
      </c>
      <c r="O219" s="80" t="str">
        <f>IF(AND($F219&lt;&gt;"", $F219&gt;=O$5-4, $F219&lt;=O$5, COUNTIF($M219:N219,"u")=0), "u", "")</f>
        <v/>
      </c>
      <c r="P219" s="80" t="str">
        <f>IF(AND($F219&lt;&gt;"", $F219&gt;=P$5-4, $F219&lt;=P$5, COUNTIF($M219:O219,"u")=0), "u", "")</f>
        <v/>
      </c>
      <c r="Q219" s="80" t="str">
        <f>IF(AND($F219&lt;&gt;"", $F219&gt;=Q$5-4, $F219&lt;=Q$5, COUNTIF($M219:P219,"u")=0), "u", "")</f>
        <v/>
      </c>
      <c r="R219" s="80" t="str">
        <f>IF(AND($F219&lt;&gt;"", $F219&gt;=R$5-4, $F219&lt;=R$5, COUNTIF($M219:Q219,"u")=0), "u", "")</f>
        <v/>
      </c>
      <c r="S219" s="80" t="str">
        <f>IF(AND($F219&lt;&gt;"", $F219&gt;=S$5-4, $F219&lt;=S$5, COUNTIF($M219:R219,"u")=0), "u", "")</f>
        <v/>
      </c>
      <c r="T219" s="80" t="str">
        <f>IF(AND($F219&lt;&gt;"", $F219&gt;=T$5-4, $F219&lt;=T$5, COUNTIF($M219:S219,"u")=0), "u", "")</f>
        <v/>
      </c>
      <c r="U219" s="80" t="str">
        <f>IF(AND($F219&lt;&gt;"", $F219&gt;=U$5-4, $F219&lt;=U$5, COUNTIF($M219:T219,"u")=0), "u", "")</f>
        <v/>
      </c>
      <c r="V219" s="80" t="str">
        <f>IF(AND($F219&lt;&gt;"", $F219&gt;=V$5-4, $F219&lt;=V$5, COUNTIF($M219:U219,"u")=0), "u", "")</f>
        <v/>
      </c>
      <c r="W219" s="80" t="str">
        <f>IF(AND($F219&lt;&gt;"", $F219&gt;=W$5-4, $F219&lt;=W$5, COUNTIF($M219:V219,"u")=0), "u", "")</f>
        <v/>
      </c>
      <c r="X219" s="80" t="str">
        <f>IF(AND($F219&lt;&gt;"", $F219&gt;=X$5-4, $F219&lt;=X$5, COUNTIF($M219:W219,"u")=0), "u", "")</f>
        <v/>
      </c>
      <c r="Y219" s="80" t="str">
        <f>IF(AND($F219&lt;&gt;"", $F219&gt;=Y$5-4, $F219&lt;=Y$5, COUNTIF($M219:X219,"u")=0), "u", "")</f>
        <v/>
      </c>
      <c r="Z219" s="80" t="str">
        <f>IF(AND($F219&lt;&gt;"", $F219&gt;=Z$5-4, $F219&lt;=Z$5, COUNTIF($M219:Y219,"u")=0), "u", "")</f>
        <v/>
      </c>
      <c r="AA219" s="80" t="str">
        <f>IF(AND($F219&lt;&gt;"", $F219&gt;=AA$5-4, $F219&lt;=AA$5, COUNTIF($M219:Z219,"u")=0), "u", "")</f>
        <v/>
      </c>
      <c r="AB219" s="80" t="str">
        <f>IF(AND($F219&lt;&gt;"", $F219&gt;=AB$5-4, $F219&lt;=AB$5, COUNTIF($M219:AA219,"u")=0), "u", "")</f>
        <v/>
      </c>
      <c r="AC219" s="80" t="str">
        <f>IF(AND($F219&lt;&gt;"", $F219&gt;=AC$5-4, $F219&lt;=AC$5, COUNTIF($M219:AB219,"u")=0), "u", "")</f>
        <v/>
      </c>
      <c r="AD219" s="80" t="str">
        <f>IF(AND($F219&lt;&gt;"", $F219&gt;=AD$5-4, $F219&lt;=AD$5, COUNTIF($M219:AC219,"u")=0), "u", "")</f>
        <v/>
      </c>
      <c r="AE219" s="80" t="str">
        <f>IF(AND($F219&lt;&gt;"", $F219&gt;=AE$5-4, $F219&lt;=AE$5, COUNTIF($M219:AD219,"u")=0), "u", "")</f>
        <v/>
      </c>
      <c r="AF219" s="80" t="str">
        <f>IF(AND($F219&lt;&gt;"", $F219&gt;=AF$5-4, $F219&lt;=AF$5, COUNTIF($M219:AE219,"u")=0), "u", "")</f>
        <v/>
      </c>
      <c r="AG219" s="80" t="str">
        <f>IF(AND($F219&lt;&gt;"", $F219&gt;=AG$5-4, $F219&lt;=AG$5, COUNTIF($M219:AF219,"u")=0), "u", "")</f>
        <v/>
      </c>
      <c r="AH219" s="80" t="str">
        <f>IF(AND($F219&lt;&gt;"", $F219&gt;=AH$5-4, $F219&lt;=AH$5, COUNTIF($M219:AG219,"u")=0), "u", "")</f>
        <v/>
      </c>
      <c r="AI219" s="80" t="str">
        <f>IF(AND($F219&lt;&gt;"", $F219&gt;=AI$5-4, $F219&lt;=AI$5, COUNTIF($M219:AH219,"u")=0), "u", "")</f>
        <v/>
      </c>
      <c r="AJ219" s="80" t="str">
        <f>IF(AND($F219&lt;&gt;"", $F219&gt;=AJ$5-4, $F219&lt;=AJ$5, COUNTIF($M219:AI219,"u")=0), "u", "")</f>
        <v/>
      </c>
      <c r="AK219" s="80" t="str">
        <f>IF(AND($F219&lt;&gt;"", $F219&gt;=AK$5-4, $F219&lt;=AK$5, COUNTIF($M219:AJ219,"u")=0), "u", "")</f>
        <v/>
      </c>
      <c r="AL219" s="80" t="str">
        <f>IF(AND($F219&lt;&gt;"", $F219&gt;=AL$5-4, $F219&lt;=AL$5, COUNTIF($M219:AK219,"u")=0), "u", "")</f>
        <v/>
      </c>
      <c r="AM219" s="80" t="str">
        <f>IF(AND($F219&lt;&gt;"", $F219&gt;=AM$5-4, $F219&lt;=AM$5, COUNTIF($M219:AL219,"u")=0), "u", "")</f>
        <v/>
      </c>
      <c r="AN219" s="80" t="str">
        <f>IF(AND($F219&lt;&gt;"", $F219&gt;=AN$5-4, $F219&lt;=AN$5, COUNTIF($M219:AM219,"u")=0), "u", "")</f>
        <v/>
      </c>
      <c r="AO219" s="80" t="str">
        <f>IF(AND($F219&lt;&gt;"", $F219&gt;=AO$5-4, $F219&lt;=AO$5, COUNTIF($M219:AN219,"u")=0), "u", "")</f>
        <v/>
      </c>
      <c r="AP219" s="80" t="str">
        <f>IF(AND($F219&lt;&gt;"", $F219&gt;=AP$5-4, $F219&lt;=AP$5, COUNTIF($M219:AO219,"u")=0), "u", "")</f>
        <v/>
      </c>
      <c r="AQ219" s="80" t="str">
        <f>IF(AND($F219&lt;&gt;"", $F219&gt;=AQ$5-4, $F219&lt;=AQ$5, COUNTIF($M219:AP219,"u")=0), "u", "")</f>
        <v/>
      </c>
      <c r="AR219" s="80" t="str">
        <f>IF(AND($F219&lt;&gt;"", $F219&gt;=AR$5-4, $F219&lt;=AR$5, COUNTIF($M219:AQ219,"u")=0), "u", "")</f>
        <v/>
      </c>
      <c r="AS219" s="80" t="str">
        <f>IF(AND($F219&lt;&gt;"", $F219&gt;=AS$5-4, $F219&lt;=AS$5, COUNTIF($M219:AR219,"u")=0), "u", "")</f>
        <v/>
      </c>
      <c r="AT219" s="80" t="str">
        <f>IF(AND($F219&lt;&gt;"", $F219&gt;=AT$5-4, $F219&lt;=AT$5, COUNTIF($M219:AS219,"u")=0), "u", "")</f>
        <v/>
      </c>
      <c r="AU219" s="80" t="str">
        <f>IF(AND($F219&lt;&gt;"", $F219&gt;=AU$5-4, $F219&lt;=AU$5, COUNTIF($M219:AT219,"u")=0), "u", "")</f>
        <v/>
      </c>
      <c r="AV219" s="80" t="str">
        <f>IF(AND($F219&lt;&gt;"", $F219&gt;=AV$5-4, $F219&lt;=AV$5, COUNTIF($M219:AU219,"u")=0), "u", "")</f>
        <v/>
      </c>
      <c r="AW219" s="80" t="str">
        <f>IF(AND($F219&lt;&gt;"", $F219&gt;=AW$5-4, $F219&lt;=AW$5, COUNTIF($M219:AV219,"u")=0), "u", "")</f>
        <v/>
      </c>
      <c r="AX219" s="80" t="str">
        <f>IF(AND($F219&lt;&gt;"", $F219&gt;=AX$5-4, $F219&lt;=AX$5, COUNTIF($M219:AW219,"u")=0), "u", "")</f>
        <v/>
      </c>
      <c r="AY219" s="80" t="str">
        <f>IF(AND($F219&lt;&gt;"", $F219&gt;=AY$5-4, $F219&lt;=AY$5, COUNTIF($M219:AX219,"u")=0), "u", "")</f>
        <v/>
      </c>
      <c r="AZ219" s="80" t="str">
        <f>IF(AND($F219&lt;&gt;"", $F219&gt;=AZ$5-4, $F219&lt;=AZ$5, COUNTIF($M219:AY219,"u")=0), "u", "")</f>
        <v/>
      </c>
      <c r="BA219" s="80" t="str">
        <f>IF(AND($F219&lt;&gt;"", $F219&gt;=BA$5-4, $F219&lt;=BA$5, COUNTIF($M219:AZ219,"u")=0), "u", "")</f>
        <v/>
      </c>
      <c r="BB219" s="80" t="str">
        <f>IF(AND($F219&lt;&gt;"", $F219&gt;=BB$5-4, $F219&lt;=BB$5, COUNTIF($M219:BA219,"u")=0), "u", "")</f>
        <v/>
      </c>
      <c r="BC219" s="80" t="str">
        <f>IF(AND($F219&lt;&gt;"", $F219&gt;=BC$5-4, $F219&lt;=BC$5, COUNTIF($M219:BB219,"u")=0), "u", "")</f>
        <v/>
      </c>
      <c r="BD219" s="80" t="str">
        <f>IF(AND($F219&lt;&gt;"", $F219&gt;=BD$5-4, $F219&lt;=BD$5, COUNTIF($M219:BC219,"u")=0), "u", "")</f>
        <v/>
      </c>
      <c r="BE219" s="80" t="str">
        <f>IF(AND($F219&lt;&gt;"", $F219&gt;=BE$5-4, $F219&lt;=BE$5, COUNTIF($M219:BD219,"u")=0), "u", "")</f>
        <v/>
      </c>
      <c r="BF219" s="80" t="str">
        <f>IF(AND($F219&lt;&gt;"", $F219&gt;=BF$5-4, $F219&lt;=BF$5, COUNTIF($M219:BE219,"u")=0), "u", "")</f>
        <v/>
      </c>
      <c r="BG219" s="80" t="str">
        <f>IF(AND($F219&lt;&gt;"", $F219&gt;=BG$5-4, $F219&lt;=BG$5, COUNTIF($M219:BF219,"u")=0), "u", "")</f>
        <v/>
      </c>
      <c r="BH219" s="80" t="str">
        <f>IF(AND($F219&lt;&gt;"", $F219&gt;=BH$5-4, $F219&lt;=BH$5, COUNTIF($M219:BG219,"u")=0), "u", "")</f>
        <v/>
      </c>
      <c r="BI219" s="80" t="str">
        <f>IF(AND($F219&lt;&gt;"", $F219&gt;=BI$5-4, $F219&lt;=BI$5, COUNTIF($M219:BH219,"u")=0), "u", "")</f>
        <v/>
      </c>
      <c r="BJ219" s="80" t="str">
        <f>IF(AND($F219&lt;&gt;"", $F219&gt;=BJ$5-4, $F219&lt;=BJ$5, COUNTIF($M219:BI219,"u")=0), "u", "")</f>
        <v/>
      </c>
      <c r="BK219" s="80" t="str">
        <f>IF(AND($F219&lt;&gt;"", $F219&gt;=BK$5-4, $F219&lt;=BK$5, COUNTIF($M219:BJ219,"u")=0), "u", "")</f>
        <v/>
      </c>
      <c r="BL219" s="80" t="str">
        <f>IF(AND($F219&lt;&gt;"", $F219&gt;=BL$5-4, $F219&lt;=BL$5, COUNTIF($M219:BK219,"u")=0), "u", "")</f>
        <v/>
      </c>
      <c r="BM219" s="80" t="str">
        <f>IF(AND($F219&lt;&gt;"", $F219&gt;=BM$5-4, $F219&lt;=BM$5, COUNTIF($M219:BL219,"u")=0), "u", "")</f>
        <v/>
      </c>
      <c r="BN219" s="80" t="str">
        <f>IF(AND($F219&lt;&gt;"", $F219&gt;=BN$5-4, $F219&lt;=BN$5, COUNTIF($M219:BM219,"u")=0), "u", "")</f>
        <v/>
      </c>
      <c r="BO219" s="80" t="str">
        <f>IF(AND($F219&lt;&gt;"", $F219&gt;=BO$5-4, $F219&lt;=BO$5, COUNTIF($M219:BN219,"u")=0), "u", "")</f>
        <v/>
      </c>
      <c r="BP219" s="80" t="str">
        <f>IF(AND($F219&lt;&gt;"", $F219&gt;=BP$5-4, $F219&lt;=BP$5, COUNTIF($M219:BO219,"u")=0), "u", "")</f>
        <v/>
      </c>
      <c r="BQ219" s="80" t="str">
        <f>IF(AND($F219&lt;&gt;"", $F219&gt;=BQ$5-4, $F219&lt;=BQ$5, COUNTIF($M219:BP219,"u")=0), "u", "")</f>
        <v/>
      </c>
      <c r="BR219" s="80" t="str">
        <f>IF(AND($F219&lt;&gt;"", $F219&gt;=BR$5-4, $F219&lt;=BR$5, COUNTIF($M219:BQ219,"u")=0), "u", "")</f>
        <v/>
      </c>
      <c r="BS219" s="80" t="str">
        <f>IF(AND($F219&lt;&gt;"", $F219&gt;=BS$5-4, $F219&lt;=BS$5, COUNTIF($M219:BR219,"u")=0), "u", "")</f>
        <v/>
      </c>
      <c r="BT219" s="80" t="str">
        <f>IF(AND($F219&lt;&gt;"", $F219&gt;=BT$5-4, $F219&lt;=BT$5, COUNTIF($M219:BS219,"u")=0), "u", "")</f>
        <v/>
      </c>
      <c r="BU219" s="80" t="str">
        <f>IF(AND($F219&lt;&gt;"", $F219&gt;=BU$5-4, $F219&lt;=BU$5, COUNTIF($M219:BT219,"u")=0), "u", "")</f>
        <v/>
      </c>
      <c r="BV219" s="80" t="str">
        <f>IF(AND($F219&lt;&gt;"", $F219&gt;=BV$5-4, $F219&lt;=BV$5, COUNTIF($M219:BU219,"u")=0), "u", "")</f>
        <v/>
      </c>
      <c r="BW219" s="80" t="str">
        <f>IF(AND($F219&lt;&gt;"", $F219&gt;=BW$5-4, $F219&lt;=BW$5, COUNTIF($M219:BV219,"u")=0), "u", "")</f>
        <v/>
      </c>
      <c r="BX219" s="80" t="str">
        <f>IF(AND($F219&lt;&gt;"", $F219&gt;=BX$5-4, $F219&lt;=BX$5, COUNTIF($M219:BW219,"u")=0), "u", "")</f>
        <v/>
      </c>
      <c r="BY219" s="80" t="str">
        <f>IF(AND($F219&lt;&gt;"", $F219&gt;=BY$5-4, $F219&lt;=BY$5, COUNTIF($M219:BX219,"u")=0), "u", "")</f>
        <v/>
      </c>
      <c r="BZ219" s="80" t="str">
        <f>IF(AND($F219&lt;&gt;"", $F219&gt;=BZ$5-4, $F219&lt;=BZ$5, COUNTIF($M219:BY219,"u")=0), "u", "")</f>
        <v/>
      </c>
      <c r="CA219" s="80" t="str">
        <f>IF(AND($F219&lt;&gt;"", $F219&gt;=CA$5-4, $F219&lt;=CA$5, COUNTIF($M219:BZ219,"u")=0), "u", "")</f>
        <v/>
      </c>
      <c r="CB219" s="80" t="str">
        <f>IF(AND($F219&lt;&gt;"", $F219&gt;=CB$5-4, $F219&lt;=CB$5, COUNTIF($M219:CA219,"u")=0), "u", "")</f>
        <v/>
      </c>
      <c r="CC219" s="80" t="str">
        <f>IF(AND($F219&lt;&gt;"", $F219&gt;=CC$5-4, $F219&lt;=CC$5, COUNTIF($M219:CB219,"u")=0), "u", "")</f>
        <v/>
      </c>
      <c r="CD219" s="80" t="str">
        <f>IF(AND($F219&lt;&gt;"", $F219&gt;=CD$5-4, $F219&lt;=CD$5, COUNTIF($M219:CC219,"u")=0), "u", "")</f>
        <v/>
      </c>
      <c r="CE219" s="80" t="str">
        <f>IF(AND($F219&lt;&gt;"", $F219&gt;=CE$5-4, $F219&lt;=CE$5, COUNTIF($M219:CD219,"u")=0), "u", "")</f>
        <v/>
      </c>
      <c r="CF219" s="80" t="str">
        <f>IF(AND($F219&lt;&gt;"", $F219&gt;=CF$5-4, $F219&lt;=CF$5, COUNTIF($M219:CE219,"u")=0), "u", "")</f>
        <v/>
      </c>
      <c r="CG219" s="80" t="str">
        <f>IF(AND($F219&lt;&gt;"", $F219&gt;=CG$5-4, $F219&lt;=CG$5, COUNTIF($M219:CF219,"u")=0), "u", "")</f>
        <v/>
      </c>
      <c r="CH219" s="80" t="str">
        <f>IF(AND($F219&lt;&gt;"", $F219&gt;=CH$5-4, $F219&lt;=CH$5, COUNTIF($M219:CG219,"u")=0), "u", "")</f>
        <v/>
      </c>
      <c r="CI219" s="80" t="str">
        <f>IF(AND($F219&lt;&gt;"", $F219&gt;=CI$5-4, $F219&lt;=CI$5, COUNTIF($M219:CH219,"u")=0), "u", "")</f>
        <v/>
      </c>
      <c r="CJ219" s="80" t="str">
        <f>IF(AND($F219&lt;&gt;"", $F219&gt;=CJ$5-4, $F219&lt;=CJ$5, COUNTIF($M219:CI219,"u")=0), "u", "")</f>
        <v/>
      </c>
      <c r="CK219" s="80" t="str">
        <f>IF(AND($F219&lt;&gt;"", $F219&gt;=CK$5-4, $F219&lt;=CK$5, COUNTIF($M219:CJ219,"u")=0), "u", "")</f>
        <v/>
      </c>
      <c r="CL219" s="80" t="str">
        <f>IF(AND($F219&lt;&gt;"", $F219&gt;=CL$5-4, $F219&lt;=CL$5, COUNTIF($M219:CK219,"u")=0), "u", "")</f>
        <v/>
      </c>
      <c r="CM219" s="80" t="str">
        <f>IF(AND($F219&lt;&gt;"", $F219&gt;=CM$5-4, $F219&lt;=CM$5, COUNTIF($M219:CL219,"u")=0), "u", "")</f>
        <v/>
      </c>
      <c r="CN219" s="80" t="str">
        <f>IF(AND($F219&lt;&gt;"", $F219&gt;=CN$5-4, $F219&lt;=CN$5, COUNTIF($M219:CM219,"u")=0), "u", "")</f>
        <v/>
      </c>
      <c r="CO219" s="80" t="str">
        <f>IF(AND($F219&lt;&gt;"", $F219&gt;=CO$5-4, $F219&lt;=CO$5, COUNTIF($M219:CN219,"u")=0), "u", "")</f>
        <v/>
      </c>
      <c r="CP219" s="80" t="str">
        <f>IF(AND($F219&lt;&gt;"", $F219&gt;=CP$5-4, $F219&lt;=CP$5, COUNTIF($M219:CO219,"u")=0), "u", "")</f>
        <v/>
      </c>
      <c r="CQ219" s="80" t="str">
        <f>IF(AND($F219&lt;&gt;"", $F219&gt;=CQ$5-4, $F219&lt;=CQ$5, COUNTIF($M219:CP219,"u")=0), "u", "")</f>
        <v/>
      </c>
      <c r="CR219" s="80" t="str">
        <f>IF(AND($F219&lt;&gt;"", $F219&gt;=CR$5-4, $F219&lt;=CR$5, COUNTIF($M219:CQ219,"u")=0), "u", "")</f>
        <v/>
      </c>
      <c r="CS219" s="80" t="str">
        <f>IF(AND($F219&lt;&gt;"", $F219&gt;=CS$5-4, $F219&lt;=CS$5, COUNTIF($M219:CR219,"u")=0), "u", "")</f>
        <v/>
      </c>
      <c r="CT219" s="80" t="str">
        <f>IF(AND($F219&lt;&gt;"", $F219&gt;=CT$5-4, $F219&lt;=CT$5, COUNTIF($M219:CS219,"u")=0), "u", "")</f>
        <v/>
      </c>
      <c r="CU219" s="80" t="str">
        <f>IF(AND($F219&lt;&gt;"", $F219&gt;=CU$5-4, $F219&lt;=CU$5, COUNTIF($M219:CT219,"u")=0), "u", "")</f>
        <v/>
      </c>
      <c r="CV219" s="80" t="str">
        <f>IF(AND($F219&lt;&gt;"", $F219&gt;=CV$5-4, $F219&lt;=CV$5, COUNTIF($M219:CU219,"u")=0), "u", "")</f>
        <v/>
      </c>
      <c r="CW219" s="80" t="str">
        <f>IF(AND($F219&lt;&gt;"", $F219&gt;=CW$5-4, $F219&lt;=CW$5, COUNTIF($M219:CV219,"u")=0), "u", "")</f>
        <v/>
      </c>
      <c r="CX219" s="80" t="str">
        <f>IF(AND($F219&lt;&gt;"", $F219&gt;=CX$5-4, $F219&lt;=CX$5, COUNTIF($M219:CW219,"u")=0), "u", "")</f>
        <v/>
      </c>
      <c r="CY219" s="80" t="str">
        <f>IF(AND($F219&lt;&gt;"", $F219&gt;=CY$5-4, $F219&lt;=CY$5, COUNTIF($M219:CX219,"u")=0), "u", "")</f>
        <v/>
      </c>
      <c r="CZ219" s="80" t="str">
        <f>IF(AND($F219&lt;&gt;"", $F219&gt;=CZ$5-4, $F219&lt;=CZ$5, COUNTIF($M219:CY219,"u")=0), "u", "")</f>
        <v/>
      </c>
      <c r="DA219" s="80" t="str">
        <f>IF(AND($F219&lt;&gt;"", $F219&gt;=DA$5-4, $F219&lt;=DA$5, COUNTIF($M219:CZ219,"u")=0), "u", "")</f>
        <v/>
      </c>
      <c r="DB219" s="80" t="str">
        <f>IF(AND($F219&lt;&gt;"", $F219&gt;=DB$5-4, $F219&lt;=DB$5, COUNTIF($M219:DA219,"u")=0), "u", "")</f>
        <v/>
      </c>
      <c r="DC219" s="80" t="str">
        <f>IF(AND($F219&lt;&gt;"", $F219&gt;=DC$5-4, $F219&lt;=DC$5, COUNTIF($M219:DB219,"u")=0), "u", "")</f>
        <v/>
      </c>
      <c r="DD219" s="80" t="str">
        <f>IF(AND($F219&lt;&gt;"", $F219&gt;=DD$5-4, $F219&lt;=DD$5, COUNTIF($M219:DC219,"u")=0), "u", "")</f>
        <v/>
      </c>
      <c r="DE219" s="80" t="str">
        <f>IF(AND($F219&lt;&gt;"", $F219&gt;=DE$5-4, $F219&lt;=DE$5, COUNTIF($M219:DD219,"u")=0), "u", "")</f>
        <v/>
      </c>
      <c r="DF219" s="80" t="str">
        <f>IF(AND($F219&lt;&gt;"", $F219&gt;=DF$5-4, $F219&lt;=DF$5, COUNTIF($M219:DE219,"u")=0), "u", "")</f>
        <v/>
      </c>
      <c r="DG219" s="80" t="str">
        <f>IF(AND($F219&lt;&gt;"", $F219&gt;=DG$5-4, $F219&lt;=DG$5, COUNTIF($M219:DF219,"u")=0), "u", "")</f>
        <v/>
      </c>
      <c r="DH219" s="80" t="str">
        <f>IF(AND($F219&lt;&gt;"", $F219&gt;=DH$5-4, $F219&lt;=DH$5, COUNTIF($M219:DG219,"u")=0), "u", "")</f>
        <v/>
      </c>
      <c r="DI219" s="80" t="str">
        <f>IF(AND($F219&lt;&gt;"", $F219&gt;=DI$5-4, $F219&lt;=DI$5, COUNTIF($M219:DH219,"u")=0), "u", "")</f>
        <v/>
      </c>
      <c r="DJ219" s="80" t="str">
        <f>IF(AND($F219&lt;&gt;"", $F219&gt;=DJ$5-4, $F219&lt;=DJ$5, COUNTIF($M219:DI219,"u")=0), "u", "")</f>
        <v/>
      </c>
      <c r="DK219" s="80" t="str">
        <f>IF(AND($F219&lt;&gt;"", $F219&gt;=DK$5-4, $F219&lt;=DK$5, COUNTIF($M219:DJ219,"u")=0), "u", "")</f>
        <v/>
      </c>
      <c r="DL219" s="80" t="str">
        <f>IF(AND($F219&lt;&gt;"", $F219&gt;=DL$5-4, $F219&lt;=DL$5, COUNTIF($M219:DK219,"u")=0), "u", "")</f>
        <v/>
      </c>
    </row>
    <row r="220" spans="1:116" ht="25.05" customHeight="1" x14ac:dyDescent="0.3">
      <c r="A220" s="39"/>
      <c r="B220" s="75">
        <v>215</v>
      </c>
      <c r="C220" s="97"/>
      <c r="D220" s="92"/>
      <c r="E220" s="53"/>
      <c r="F220" s="53"/>
      <c r="G220" s="83" t="str">
        <f t="shared" si="56"/>
        <v/>
      </c>
      <c r="H220" s="83" t="str">
        <f t="shared" si="56"/>
        <v/>
      </c>
      <c r="I220" s="77" t="str">
        <f t="shared" si="54"/>
        <v/>
      </c>
      <c r="J220" s="78"/>
      <c r="K220" s="86"/>
      <c r="L220" s="56"/>
      <c r="M220" s="80" t="str">
        <f t="shared" si="55"/>
        <v/>
      </c>
      <c r="N220" s="80" t="str">
        <f>IF(AND($F220&lt;&gt;"", $F220&gt;=N$5-4, $F220&lt;=N$5, COUNTIF($M220:M220,"u")=0), "u", "")</f>
        <v/>
      </c>
      <c r="O220" s="80" t="str">
        <f>IF(AND($F220&lt;&gt;"", $F220&gt;=O$5-4, $F220&lt;=O$5, COUNTIF($M220:N220,"u")=0), "u", "")</f>
        <v/>
      </c>
      <c r="P220" s="80" t="str">
        <f>IF(AND($F220&lt;&gt;"", $F220&gt;=P$5-4, $F220&lt;=P$5, COUNTIF($M220:O220,"u")=0), "u", "")</f>
        <v/>
      </c>
      <c r="Q220" s="80" t="str">
        <f>IF(AND($F220&lt;&gt;"", $F220&gt;=Q$5-4, $F220&lt;=Q$5, COUNTIF($M220:P220,"u")=0), "u", "")</f>
        <v/>
      </c>
      <c r="R220" s="80" t="str">
        <f>IF(AND($F220&lt;&gt;"", $F220&gt;=R$5-4, $F220&lt;=R$5, COUNTIF($M220:Q220,"u")=0), "u", "")</f>
        <v/>
      </c>
      <c r="S220" s="80" t="str">
        <f>IF(AND($F220&lt;&gt;"", $F220&gt;=S$5-4, $F220&lt;=S$5, COUNTIF($M220:R220,"u")=0), "u", "")</f>
        <v/>
      </c>
      <c r="T220" s="80" t="str">
        <f>IF(AND($F220&lt;&gt;"", $F220&gt;=T$5-4, $F220&lt;=T$5, COUNTIF($M220:S220,"u")=0), "u", "")</f>
        <v/>
      </c>
      <c r="U220" s="80" t="str">
        <f>IF(AND($F220&lt;&gt;"", $F220&gt;=U$5-4, $F220&lt;=U$5, COUNTIF($M220:T220,"u")=0), "u", "")</f>
        <v/>
      </c>
      <c r="V220" s="80" t="str">
        <f>IF(AND($F220&lt;&gt;"", $F220&gt;=V$5-4, $F220&lt;=V$5, COUNTIF($M220:U220,"u")=0), "u", "")</f>
        <v/>
      </c>
      <c r="W220" s="80" t="str">
        <f>IF(AND($F220&lt;&gt;"", $F220&gt;=W$5-4, $F220&lt;=W$5, COUNTIF($M220:V220,"u")=0), "u", "")</f>
        <v/>
      </c>
      <c r="X220" s="80" t="str">
        <f>IF(AND($F220&lt;&gt;"", $F220&gt;=X$5-4, $F220&lt;=X$5, COUNTIF($M220:W220,"u")=0), "u", "")</f>
        <v/>
      </c>
      <c r="Y220" s="80" t="str">
        <f>IF(AND($F220&lt;&gt;"", $F220&gt;=Y$5-4, $F220&lt;=Y$5, COUNTIF($M220:X220,"u")=0), "u", "")</f>
        <v/>
      </c>
      <c r="Z220" s="80" t="str">
        <f>IF(AND($F220&lt;&gt;"", $F220&gt;=Z$5-4, $F220&lt;=Z$5, COUNTIF($M220:Y220,"u")=0), "u", "")</f>
        <v/>
      </c>
      <c r="AA220" s="80" t="str">
        <f>IF(AND($F220&lt;&gt;"", $F220&gt;=AA$5-4, $F220&lt;=AA$5, COUNTIF($M220:Z220,"u")=0), "u", "")</f>
        <v/>
      </c>
      <c r="AB220" s="80" t="str">
        <f>IF(AND($F220&lt;&gt;"", $F220&gt;=AB$5-4, $F220&lt;=AB$5, COUNTIF($M220:AA220,"u")=0), "u", "")</f>
        <v/>
      </c>
      <c r="AC220" s="80" t="str">
        <f>IF(AND($F220&lt;&gt;"", $F220&gt;=AC$5-4, $F220&lt;=AC$5, COUNTIF($M220:AB220,"u")=0), "u", "")</f>
        <v/>
      </c>
      <c r="AD220" s="80" t="str">
        <f>IF(AND($F220&lt;&gt;"", $F220&gt;=AD$5-4, $F220&lt;=AD$5, COUNTIF($M220:AC220,"u")=0), "u", "")</f>
        <v/>
      </c>
      <c r="AE220" s="80" t="str">
        <f>IF(AND($F220&lt;&gt;"", $F220&gt;=AE$5-4, $F220&lt;=AE$5, COUNTIF($M220:AD220,"u")=0), "u", "")</f>
        <v/>
      </c>
      <c r="AF220" s="80" t="str">
        <f>IF(AND($F220&lt;&gt;"", $F220&gt;=AF$5-4, $F220&lt;=AF$5, COUNTIF($M220:AE220,"u")=0), "u", "")</f>
        <v/>
      </c>
      <c r="AG220" s="80" t="str">
        <f>IF(AND($F220&lt;&gt;"", $F220&gt;=AG$5-4, $F220&lt;=AG$5, COUNTIF($M220:AF220,"u")=0), "u", "")</f>
        <v/>
      </c>
      <c r="AH220" s="80" t="str">
        <f>IF(AND($F220&lt;&gt;"", $F220&gt;=AH$5-4, $F220&lt;=AH$5, COUNTIF($M220:AG220,"u")=0), "u", "")</f>
        <v/>
      </c>
      <c r="AI220" s="80" t="str">
        <f>IF(AND($F220&lt;&gt;"", $F220&gt;=AI$5-4, $F220&lt;=AI$5, COUNTIF($M220:AH220,"u")=0), "u", "")</f>
        <v/>
      </c>
      <c r="AJ220" s="80" t="str">
        <f>IF(AND($F220&lt;&gt;"", $F220&gt;=AJ$5-4, $F220&lt;=AJ$5, COUNTIF($M220:AI220,"u")=0), "u", "")</f>
        <v/>
      </c>
      <c r="AK220" s="80" t="str">
        <f>IF(AND($F220&lt;&gt;"", $F220&gt;=AK$5-4, $F220&lt;=AK$5, COUNTIF($M220:AJ220,"u")=0), "u", "")</f>
        <v/>
      </c>
      <c r="AL220" s="80" t="str">
        <f>IF(AND($F220&lt;&gt;"", $F220&gt;=AL$5-4, $F220&lt;=AL$5, COUNTIF($M220:AK220,"u")=0), "u", "")</f>
        <v/>
      </c>
      <c r="AM220" s="80" t="str">
        <f>IF(AND($F220&lt;&gt;"", $F220&gt;=AM$5-4, $F220&lt;=AM$5, COUNTIF($M220:AL220,"u")=0), "u", "")</f>
        <v/>
      </c>
      <c r="AN220" s="80" t="str">
        <f>IF(AND($F220&lt;&gt;"", $F220&gt;=AN$5-4, $F220&lt;=AN$5, COUNTIF($M220:AM220,"u")=0), "u", "")</f>
        <v/>
      </c>
      <c r="AO220" s="80" t="str">
        <f>IF(AND($F220&lt;&gt;"", $F220&gt;=AO$5-4, $F220&lt;=AO$5, COUNTIF($M220:AN220,"u")=0), "u", "")</f>
        <v/>
      </c>
      <c r="AP220" s="80" t="str">
        <f>IF(AND($F220&lt;&gt;"", $F220&gt;=AP$5-4, $F220&lt;=AP$5, COUNTIF($M220:AO220,"u")=0), "u", "")</f>
        <v/>
      </c>
      <c r="AQ220" s="80" t="str">
        <f>IF(AND($F220&lt;&gt;"", $F220&gt;=AQ$5-4, $F220&lt;=AQ$5, COUNTIF($M220:AP220,"u")=0), "u", "")</f>
        <v/>
      </c>
      <c r="AR220" s="80" t="str">
        <f>IF(AND($F220&lt;&gt;"", $F220&gt;=AR$5-4, $F220&lt;=AR$5, COUNTIF($M220:AQ220,"u")=0), "u", "")</f>
        <v/>
      </c>
      <c r="AS220" s="80" t="str">
        <f>IF(AND($F220&lt;&gt;"", $F220&gt;=AS$5-4, $F220&lt;=AS$5, COUNTIF($M220:AR220,"u")=0), "u", "")</f>
        <v/>
      </c>
      <c r="AT220" s="80" t="str">
        <f>IF(AND($F220&lt;&gt;"", $F220&gt;=AT$5-4, $F220&lt;=AT$5, COUNTIF($M220:AS220,"u")=0), "u", "")</f>
        <v/>
      </c>
      <c r="AU220" s="80" t="str">
        <f>IF(AND($F220&lt;&gt;"", $F220&gt;=AU$5-4, $F220&lt;=AU$5, COUNTIF($M220:AT220,"u")=0), "u", "")</f>
        <v/>
      </c>
      <c r="AV220" s="80" t="str">
        <f>IF(AND($F220&lt;&gt;"", $F220&gt;=AV$5-4, $F220&lt;=AV$5, COUNTIF($M220:AU220,"u")=0), "u", "")</f>
        <v/>
      </c>
      <c r="AW220" s="80" t="str">
        <f>IF(AND($F220&lt;&gt;"", $F220&gt;=AW$5-4, $F220&lt;=AW$5, COUNTIF($M220:AV220,"u")=0), "u", "")</f>
        <v/>
      </c>
      <c r="AX220" s="80" t="str">
        <f>IF(AND($F220&lt;&gt;"", $F220&gt;=AX$5-4, $F220&lt;=AX$5, COUNTIF($M220:AW220,"u")=0), "u", "")</f>
        <v/>
      </c>
      <c r="AY220" s="80" t="str">
        <f>IF(AND($F220&lt;&gt;"", $F220&gt;=AY$5-4, $F220&lt;=AY$5, COUNTIF($M220:AX220,"u")=0), "u", "")</f>
        <v/>
      </c>
      <c r="AZ220" s="80" t="str">
        <f>IF(AND($F220&lt;&gt;"", $F220&gt;=AZ$5-4, $F220&lt;=AZ$5, COUNTIF($M220:AY220,"u")=0), "u", "")</f>
        <v/>
      </c>
      <c r="BA220" s="80" t="str">
        <f>IF(AND($F220&lt;&gt;"", $F220&gt;=BA$5-4, $F220&lt;=BA$5, COUNTIF($M220:AZ220,"u")=0), "u", "")</f>
        <v/>
      </c>
      <c r="BB220" s="80" t="str">
        <f>IF(AND($F220&lt;&gt;"", $F220&gt;=BB$5-4, $F220&lt;=BB$5, COUNTIF($M220:BA220,"u")=0), "u", "")</f>
        <v/>
      </c>
      <c r="BC220" s="80" t="str">
        <f>IF(AND($F220&lt;&gt;"", $F220&gt;=BC$5-4, $F220&lt;=BC$5, COUNTIF($M220:BB220,"u")=0), "u", "")</f>
        <v/>
      </c>
      <c r="BD220" s="80" t="str">
        <f>IF(AND($F220&lt;&gt;"", $F220&gt;=BD$5-4, $F220&lt;=BD$5, COUNTIF($M220:BC220,"u")=0), "u", "")</f>
        <v/>
      </c>
      <c r="BE220" s="80" t="str">
        <f>IF(AND($F220&lt;&gt;"", $F220&gt;=BE$5-4, $F220&lt;=BE$5, COUNTIF($M220:BD220,"u")=0), "u", "")</f>
        <v/>
      </c>
      <c r="BF220" s="80" t="str">
        <f>IF(AND($F220&lt;&gt;"", $F220&gt;=BF$5-4, $F220&lt;=BF$5, COUNTIF($M220:BE220,"u")=0), "u", "")</f>
        <v/>
      </c>
      <c r="BG220" s="80" t="str">
        <f>IF(AND($F220&lt;&gt;"", $F220&gt;=BG$5-4, $F220&lt;=BG$5, COUNTIF($M220:BF220,"u")=0), "u", "")</f>
        <v/>
      </c>
      <c r="BH220" s="80" t="str">
        <f>IF(AND($F220&lt;&gt;"", $F220&gt;=BH$5-4, $F220&lt;=BH$5, COUNTIF($M220:BG220,"u")=0), "u", "")</f>
        <v/>
      </c>
      <c r="BI220" s="80" t="str">
        <f>IF(AND($F220&lt;&gt;"", $F220&gt;=BI$5-4, $F220&lt;=BI$5, COUNTIF($M220:BH220,"u")=0), "u", "")</f>
        <v/>
      </c>
      <c r="BJ220" s="80" t="str">
        <f>IF(AND($F220&lt;&gt;"", $F220&gt;=BJ$5-4, $F220&lt;=BJ$5, COUNTIF($M220:BI220,"u")=0), "u", "")</f>
        <v/>
      </c>
      <c r="BK220" s="80" t="str">
        <f>IF(AND($F220&lt;&gt;"", $F220&gt;=BK$5-4, $F220&lt;=BK$5, COUNTIF($M220:BJ220,"u")=0), "u", "")</f>
        <v/>
      </c>
      <c r="BL220" s="80" t="str">
        <f>IF(AND($F220&lt;&gt;"", $F220&gt;=BL$5-4, $F220&lt;=BL$5, COUNTIF($M220:BK220,"u")=0), "u", "")</f>
        <v/>
      </c>
      <c r="BM220" s="80" t="str">
        <f>IF(AND($F220&lt;&gt;"", $F220&gt;=BM$5-4, $F220&lt;=BM$5, COUNTIF($M220:BL220,"u")=0), "u", "")</f>
        <v/>
      </c>
      <c r="BN220" s="80" t="str">
        <f>IF(AND($F220&lt;&gt;"", $F220&gt;=BN$5-4, $F220&lt;=BN$5, COUNTIF($M220:BM220,"u")=0), "u", "")</f>
        <v/>
      </c>
      <c r="BO220" s="80" t="str">
        <f>IF(AND($F220&lt;&gt;"", $F220&gt;=BO$5-4, $F220&lt;=BO$5, COUNTIF($M220:BN220,"u")=0), "u", "")</f>
        <v/>
      </c>
      <c r="BP220" s="80" t="str">
        <f>IF(AND($F220&lt;&gt;"", $F220&gt;=BP$5-4, $F220&lt;=BP$5, COUNTIF($M220:BO220,"u")=0), "u", "")</f>
        <v/>
      </c>
      <c r="BQ220" s="80" t="str">
        <f>IF(AND($F220&lt;&gt;"", $F220&gt;=BQ$5-4, $F220&lt;=BQ$5, COUNTIF($M220:BP220,"u")=0), "u", "")</f>
        <v/>
      </c>
      <c r="BR220" s="80" t="str">
        <f>IF(AND($F220&lt;&gt;"", $F220&gt;=BR$5-4, $F220&lt;=BR$5, COUNTIF($M220:BQ220,"u")=0), "u", "")</f>
        <v/>
      </c>
      <c r="BS220" s="80" t="str">
        <f>IF(AND($F220&lt;&gt;"", $F220&gt;=BS$5-4, $F220&lt;=BS$5, COUNTIF($M220:BR220,"u")=0), "u", "")</f>
        <v/>
      </c>
      <c r="BT220" s="80" t="str">
        <f>IF(AND($F220&lt;&gt;"", $F220&gt;=BT$5-4, $F220&lt;=BT$5, COUNTIF($M220:BS220,"u")=0), "u", "")</f>
        <v/>
      </c>
      <c r="BU220" s="80" t="str">
        <f>IF(AND($F220&lt;&gt;"", $F220&gt;=BU$5-4, $F220&lt;=BU$5, COUNTIF($M220:BT220,"u")=0), "u", "")</f>
        <v/>
      </c>
      <c r="BV220" s="80" t="str">
        <f>IF(AND($F220&lt;&gt;"", $F220&gt;=BV$5-4, $F220&lt;=BV$5, COUNTIF($M220:BU220,"u")=0), "u", "")</f>
        <v/>
      </c>
      <c r="BW220" s="80" t="str">
        <f>IF(AND($F220&lt;&gt;"", $F220&gt;=BW$5-4, $F220&lt;=BW$5, COUNTIF($M220:BV220,"u")=0), "u", "")</f>
        <v/>
      </c>
      <c r="BX220" s="80" t="str">
        <f>IF(AND($F220&lt;&gt;"", $F220&gt;=BX$5-4, $F220&lt;=BX$5, COUNTIF($M220:BW220,"u")=0), "u", "")</f>
        <v/>
      </c>
      <c r="BY220" s="80" t="str">
        <f>IF(AND($F220&lt;&gt;"", $F220&gt;=BY$5-4, $F220&lt;=BY$5, COUNTIF($M220:BX220,"u")=0), "u", "")</f>
        <v/>
      </c>
      <c r="BZ220" s="80" t="str">
        <f>IF(AND($F220&lt;&gt;"", $F220&gt;=BZ$5-4, $F220&lt;=BZ$5, COUNTIF($M220:BY220,"u")=0), "u", "")</f>
        <v/>
      </c>
      <c r="CA220" s="80" t="str">
        <f>IF(AND($F220&lt;&gt;"", $F220&gt;=CA$5-4, $F220&lt;=CA$5, COUNTIF($M220:BZ220,"u")=0), "u", "")</f>
        <v/>
      </c>
      <c r="CB220" s="80" t="str">
        <f>IF(AND($F220&lt;&gt;"", $F220&gt;=CB$5-4, $F220&lt;=CB$5, COUNTIF($M220:CA220,"u")=0), "u", "")</f>
        <v/>
      </c>
      <c r="CC220" s="80" t="str">
        <f>IF(AND($F220&lt;&gt;"", $F220&gt;=CC$5-4, $F220&lt;=CC$5, COUNTIF($M220:CB220,"u")=0), "u", "")</f>
        <v/>
      </c>
      <c r="CD220" s="80" t="str">
        <f>IF(AND($F220&lt;&gt;"", $F220&gt;=CD$5-4, $F220&lt;=CD$5, COUNTIF($M220:CC220,"u")=0), "u", "")</f>
        <v/>
      </c>
      <c r="CE220" s="80" t="str">
        <f>IF(AND($F220&lt;&gt;"", $F220&gt;=CE$5-4, $F220&lt;=CE$5, COUNTIF($M220:CD220,"u")=0), "u", "")</f>
        <v/>
      </c>
      <c r="CF220" s="80" t="str">
        <f>IF(AND($F220&lt;&gt;"", $F220&gt;=CF$5-4, $F220&lt;=CF$5, COUNTIF($M220:CE220,"u")=0), "u", "")</f>
        <v/>
      </c>
      <c r="CG220" s="80" t="str">
        <f>IF(AND($F220&lt;&gt;"", $F220&gt;=CG$5-4, $F220&lt;=CG$5, COUNTIF($M220:CF220,"u")=0), "u", "")</f>
        <v/>
      </c>
      <c r="CH220" s="80" t="str">
        <f>IF(AND($F220&lt;&gt;"", $F220&gt;=CH$5-4, $F220&lt;=CH$5, COUNTIF($M220:CG220,"u")=0), "u", "")</f>
        <v/>
      </c>
      <c r="CI220" s="80" t="str">
        <f>IF(AND($F220&lt;&gt;"", $F220&gt;=CI$5-4, $F220&lt;=CI$5, COUNTIF($M220:CH220,"u")=0), "u", "")</f>
        <v/>
      </c>
      <c r="CJ220" s="80" t="str">
        <f>IF(AND($F220&lt;&gt;"", $F220&gt;=CJ$5-4, $F220&lt;=CJ$5, COUNTIF($M220:CI220,"u")=0), "u", "")</f>
        <v/>
      </c>
      <c r="CK220" s="80" t="str">
        <f>IF(AND($F220&lt;&gt;"", $F220&gt;=CK$5-4, $F220&lt;=CK$5, COUNTIF($M220:CJ220,"u")=0), "u", "")</f>
        <v/>
      </c>
      <c r="CL220" s="80" t="str">
        <f>IF(AND($F220&lt;&gt;"", $F220&gt;=CL$5-4, $F220&lt;=CL$5, COUNTIF($M220:CK220,"u")=0), "u", "")</f>
        <v/>
      </c>
      <c r="CM220" s="80" t="str">
        <f>IF(AND($F220&lt;&gt;"", $F220&gt;=CM$5-4, $F220&lt;=CM$5, COUNTIF($M220:CL220,"u")=0), "u", "")</f>
        <v/>
      </c>
      <c r="CN220" s="80" t="str">
        <f>IF(AND($F220&lt;&gt;"", $F220&gt;=CN$5-4, $F220&lt;=CN$5, COUNTIF($M220:CM220,"u")=0), "u", "")</f>
        <v/>
      </c>
      <c r="CO220" s="80" t="str">
        <f>IF(AND($F220&lt;&gt;"", $F220&gt;=CO$5-4, $F220&lt;=CO$5, COUNTIF($M220:CN220,"u")=0), "u", "")</f>
        <v/>
      </c>
      <c r="CP220" s="80" t="str">
        <f>IF(AND($F220&lt;&gt;"", $F220&gt;=CP$5-4, $F220&lt;=CP$5, COUNTIF($M220:CO220,"u")=0), "u", "")</f>
        <v/>
      </c>
      <c r="CQ220" s="80" t="str">
        <f>IF(AND($F220&lt;&gt;"", $F220&gt;=CQ$5-4, $F220&lt;=CQ$5, COUNTIF($M220:CP220,"u")=0), "u", "")</f>
        <v/>
      </c>
      <c r="CR220" s="80" t="str">
        <f>IF(AND($F220&lt;&gt;"", $F220&gt;=CR$5-4, $F220&lt;=CR$5, COUNTIF($M220:CQ220,"u")=0), "u", "")</f>
        <v/>
      </c>
      <c r="CS220" s="80" t="str">
        <f>IF(AND($F220&lt;&gt;"", $F220&gt;=CS$5-4, $F220&lt;=CS$5, COUNTIF($M220:CR220,"u")=0), "u", "")</f>
        <v/>
      </c>
      <c r="CT220" s="80" t="str">
        <f>IF(AND($F220&lt;&gt;"", $F220&gt;=CT$5-4, $F220&lt;=CT$5, COUNTIF($M220:CS220,"u")=0), "u", "")</f>
        <v/>
      </c>
      <c r="CU220" s="80" t="str">
        <f>IF(AND($F220&lt;&gt;"", $F220&gt;=CU$5-4, $F220&lt;=CU$5, COUNTIF($M220:CT220,"u")=0), "u", "")</f>
        <v/>
      </c>
      <c r="CV220" s="80" t="str">
        <f>IF(AND($F220&lt;&gt;"", $F220&gt;=CV$5-4, $F220&lt;=CV$5, COUNTIF($M220:CU220,"u")=0), "u", "")</f>
        <v/>
      </c>
      <c r="CW220" s="80" t="str">
        <f>IF(AND($F220&lt;&gt;"", $F220&gt;=CW$5-4, $F220&lt;=CW$5, COUNTIF($M220:CV220,"u")=0), "u", "")</f>
        <v/>
      </c>
      <c r="CX220" s="80" t="str">
        <f>IF(AND($F220&lt;&gt;"", $F220&gt;=CX$5-4, $F220&lt;=CX$5, COUNTIF($M220:CW220,"u")=0), "u", "")</f>
        <v/>
      </c>
      <c r="CY220" s="80" t="str">
        <f>IF(AND($F220&lt;&gt;"", $F220&gt;=CY$5-4, $F220&lt;=CY$5, COUNTIF($M220:CX220,"u")=0), "u", "")</f>
        <v/>
      </c>
      <c r="CZ220" s="80" t="str">
        <f>IF(AND($F220&lt;&gt;"", $F220&gt;=CZ$5-4, $F220&lt;=CZ$5, COUNTIF($M220:CY220,"u")=0), "u", "")</f>
        <v/>
      </c>
      <c r="DA220" s="80" t="str">
        <f>IF(AND($F220&lt;&gt;"", $F220&gt;=DA$5-4, $F220&lt;=DA$5, COUNTIF($M220:CZ220,"u")=0), "u", "")</f>
        <v/>
      </c>
      <c r="DB220" s="80" t="str">
        <f>IF(AND($F220&lt;&gt;"", $F220&gt;=DB$5-4, $F220&lt;=DB$5, COUNTIF($M220:DA220,"u")=0), "u", "")</f>
        <v/>
      </c>
      <c r="DC220" s="80" t="str">
        <f>IF(AND($F220&lt;&gt;"", $F220&gt;=DC$5-4, $F220&lt;=DC$5, COUNTIF($M220:DB220,"u")=0), "u", "")</f>
        <v/>
      </c>
      <c r="DD220" s="80" t="str">
        <f>IF(AND($F220&lt;&gt;"", $F220&gt;=DD$5-4, $F220&lt;=DD$5, COUNTIF($M220:DC220,"u")=0), "u", "")</f>
        <v/>
      </c>
      <c r="DE220" s="80" t="str">
        <f>IF(AND($F220&lt;&gt;"", $F220&gt;=DE$5-4, $F220&lt;=DE$5, COUNTIF($M220:DD220,"u")=0), "u", "")</f>
        <v/>
      </c>
      <c r="DF220" s="80" t="str">
        <f>IF(AND($F220&lt;&gt;"", $F220&gt;=DF$5-4, $F220&lt;=DF$5, COUNTIF($M220:DE220,"u")=0), "u", "")</f>
        <v/>
      </c>
      <c r="DG220" s="80" t="str">
        <f>IF(AND($F220&lt;&gt;"", $F220&gt;=DG$5-4, $F220&lt;=DG$5, COUNTIF($M220:DF220,"u")=0), "u", "")</f>
        <v/>
      </c>
      <c r="DH220" s="80" t="str">
        <f>IF(AND($F220&lt;&gt;"", $F220&gt;=DH$5-4, $F220&lt;=DH$5, COUNTIF($M220:DG220,"u")=0), "u", "")</f>
        <v/>
      </c>
      <c r="DI220" s="80" t="str">
        <f>IF(AND($F220&lt;&gt;"", $F220&gt;=DI$5-4, $F220&lt;=DI$5, COUNTIF($M220:DH220,"u")=0), "u", "")</f>
        <v/>
      </c>
      <c r="DJ220" s="80" t="str">
        <f>IF(AND($F220&lt;&gt;"", $F220&gt;=DJ$5-4, $F220&lt;=DJ$5, COUNTIF($M220:DI220,"u")=0), "u", "")</f>
        <v/>
      </c>
      <c r="DK220" s="80" t="str">
        <f>IF(AND($F220&lt;&gt;"", $F220&gt;=DK$5-4, $F220&lt;=DK$5, COUNTIF($M220:DJ220,"u")=0), "u", "")</f>
        <v/>
      </c>
      <c r="DL220" s="80" t="str">
        <f>IF(AND($F220&lt;&gt;"", $F220&gt;=DL$5-4, $F220&lt;=DL$5, COUNTIF($M220:DK220,"u")=0), "u", "")</f>
        <v/>
      </c>
    </row>
    <row r="221" spans="1:116" ht="25.05" customHeight="1" x14ac:dyDescent="0.3">
      <c r="A221" s="39"/>
      <c r="B221" s="75">
        <v>216</v>
      </c>
      <c r="C221" s="97"/>
      <c r="D221" s="92"/>
      <c r="E221" s="53"/>
      <c r="F221" s="53"/>
      <c r="G221" s="83" t="str">
        <f t="shared" si="56"/>
        <v/>
      </c>
      <c r="H221" s="83" t="str">
        <f t="shared" si="56"/>
        <v/>
      </c>
      <c r="I221" s="77" t="str">
        <f t="shared" si="54"/>
        <v/>
      </c>
      <c r="J221" s="78"/>
      <c r="K221" s="86"/>
      <c r="L221" s="56"/>
      <c r="M221" s="80" t="str">
        <f t="shared" si="55"/>
        <v/>
      </c>
      <c r="N221" s="80" t="str">
        <f>IF(AND($F221&lt;&gt;"", $F221&gt;=N$5-4, $F221&lt;=N$5, COUNTIF($M221:M221,"u")=0), "u", "")</f>
        <v/>
      </c>
      <c r="O221" s="80" t="str">
        <f>IF(AND($F221&lt;&gt;"", $F221&gt;=O$5-4, $F221&lt;=O$5, COUNTIF($M221:N221,"u")=0), "u", "")</f>
        <v/>
      </c>
      <c r="P221" s="80" t="str">
        <f>IF(AND($F221&lt;&gt;"", $F221&gt;=P$5-4, $F221&lt;=P$5, COUNTIF($M221:O221,"u")=0), "u", "")</f>
        <v/>
      </c>
      <c r="Q221" s="80" t="str">
        <f>IF(AND($F221&lt;&gt;"", $F221&gt;=Q$5-4, $F221&lt;=Q$5, COUNTIF($M221:P221,"u")=0), "u", "")</f>
        <v/>
      </c>
      <c r="R221" s="80" t="str">
        <f>IF(AND($F221&lt;&gt;"", $F221&gt;=R$5-4, $F221&lt;=R$5, COUNTIF($M221:Q221,"u")=0), "u", "")</f>
        <v/>
      </c>
      <c r="S221" s="80" t="str">
        <f>IF(AND($F221&lt;&gt;"", $F221&gt;=S$5-4, $F221&lt;=S$5, COUNTIF($M221:R221,"u")=0), "u", "")</f>
        <v/>
      </c>
      <c r="T221" s="80" t="str">
        <f>IF(AND($F221&lt;&gt;"", $F221&gt;=T$5-4, $F221&lt;=T$5, COUNTIF($M221:S221,"u")=0), "u", "")</f>
        <v/>
      </c>
      <c r="U221" s="80" t="str">
        <f>IF(AND($F221&lt;&gt;"", $F221&gt;=U$5-4, $F221&lt;=U$5, COUNTIF($M221:T221,"u")=0), "u", "")</f>
        <v/>
      </c>
      <c r="V221" s="80" t="str">
        <f>IF(AND($F221&lt;&gt;"", $F221&gt;=V$5-4, $F221&lt;=V$5, COUNTIF($M221:U221,"u")=0), "u", "")</f>
        <v/>
      </c>
      <c r="W221" s="80" t="str">
        <f>IF(AND($F221&lt;&gt;"", $F221&gt;=W$5-4, $F221&lt;=W$5, COUNTIF($M221:V221,"u")=0), "u", "")</f>
        <v/>
      </c>
      <c r="X221" s="80" t="str">
        <f>IF(AND($F221&lt;&gt;"", $F221&gt;=X$5-4, $F221&lt;=X$5, COUNTIF($M221:W221,"u")=0), "u", "")</f>
        <v/>
      </c>
      <c r="Y221" s="80" t="str">
        <f>IF(AND($F221&lt;&gt;"", $F221&gt;=Y$5-4, $F221&lt;=Y$5, COUNTIF($M221:X221,"u")=0), "u", "")</f>
        <v/>
      </c>
      <c r="Z221" s="80" t="str">
        <f>IF(AND($F221&lt;&gt;"", $F221&gt;=Z$5-4, $F221&lt;=Z$5, COUNTIF($M221:Y221,"u")=0), "u", "")</f>
        <v/>
      </c>
      <c r="AA221" s="80" t="str">
        <f>IF(AND($F221&lt;&gt;"", $F221&gt;=AA$5-4, $F221&lt;=AA$5, COUNTIF($M221:Z221,"u")=0), "u", "")</f>
        <v/>
      </c>
      <c r="AB221" s="80" t="str">
        <f>IF(AND($F221&lt;&gt;"", $F221&gt;=AB$5-4, $F221&lt;=AB$5, COUNTIF($M221:AA221,"u")=0), "u", "")</f>
        <v/>
      </c>
      <c r="AC221" s="80" t="str">
        <f>IF(AND($F221&lt;&gt;"", $F221&gt;=AC$5-4, $F221&lt;=AC$5, COUNTIF($M221:AB221,"u")=0), "u", "")</f>
        <v/>
      </c>
      <c r="AD221" s="80" t="str">
        <f>IF(AND($F221&lt;&gt;"", $F221&gt;=AD$5-4, $F221&lt;=AD$5, COUNTIF($M221:AC221,"u")=0), "u", "")</f>
        <v/>
      </c>
      <c r="AE221" s="80" t="str">
        <f>IF(AND($F221&lt;&gt;"", $F221&gt;=AE$5-4, $F221&lt;=AE$5, COUNTIF($M221:AD221,"u")=0), "u", "")</f>
        <v/>
      </c>
      <c r="AF221" s="80" t="str">
        <f>IF(AND($F221&lt;&gt;"", $F221&gt;=AF$5-4, $F221&lt;=AF$5, COUNTIF($M221:AE221,"u")=0), "u", "")</f>
        <v/>
      </c>
      <c r="AG221" s="80" t="str">
        <f>IF(AND($F221&lt;&gt;"", $F221&gt;=AG$5-4, $F221&lt;=AG$5, COUNTIF($M221:AF221,"u")=0), "u", "")</f>
        <v/>
      </c>
      <c r="AH221" s="80" t="str">
        <f>IF(AND($F221&lt;&gt;"", $F221&gt;=AH$5-4, $F221&lt;=AH$5, COUNTIF($M221:AG221,"u")=0), "u", "")</f>
        <v/>
      </c>
      <c r="AI221" s="80" t="str">
        <f>IF(AND($F221&lt;&gt;"", $F221&gt;=AI$5-4, $F221&lt;=AI$5, COUNTIF($M221:AH221,"u")=0), "u", "")</f>
        <v/>
      </c>
      <c r="AJ221" s="80" t="str">
        <f>IF(AND($F221&lt;&gt;"", $F221&gt;=AJ$5-4, $F221&lt;=AJ$5, COUNTIF($M221:AI221,"u")=0), "u", "")</f>
        <v/>
      </c>
      <c r="AK221" s="80" t="str">
        <f>IF(AND($F221&lt;&gt;"", $F221&gt;=AK$5-4, $F221&lt;=AK$5, COUNTIF($M221:AJ221,"u")=0), "u", "")</f>
        <v/>
      </c>
      <c r="AL221" s="80" t="str">
        <f>IF(AND($F221&lt;&gt;"", $F221&gt;=AL$5-4, $F221&lt;=AL$5, COUNTIF($M221:AK221,"u")=0), "u", "")</f>
        <v/>
      </c>
      <c r="AM221" s="80" t="str">
        <f>IF(AND($F221&lt;&gt;"", $F221&gt;=AM$5-4, $F221&lt;=AM$5, COUNTIF($M221:AL221,"u")=0), "u", "")</f>
        <v/>
      </c>
      <c r="AN221" s="80" t="str">
        <f>IF(AND($F221&lt;&gt;"", $F221&gt;=AN$5-4, $F221&lt;=AN$5, COUNTIF($M221:AM221,"u")=0), "u", "")</f>
        <v/>
      </c>
      <c r="AO221" s="80" t="str">
        <f>IF(AND($F221&lt;&gt;"", $F221&gt;=AO$5-4, $F221&lt;=AO$5, COUNTIF($M221:AN221,"u")=0), "u", "")</f>
        <v/>
      </c>
      <c r="AP221" s="80" t="str">
        <f>IF(AND($F221&lt;&gt;"", $F221&gt;=AP$5-4, $F221&lt;=AP$5, COUNTIF($M221:AO221,"u")=0), "u", "")</f>
        <v/>
      </c>
      <c r="AQ221" s="80" t="str">
        <f>IF(AND($F221&lt;&gt;"", $F221&gt;=AQ$5-4, $F221&lt;=AQ$5, COUNTIF($M221:AP221,"u")=0), "u", "")</f>
        <v/>
      </c>
      <c r="AR221" s="80" t="str">
        <f>IF(AND($F221&lt;&gt;"", $F221&gt;=AR$5-4, $F221&lt;=AR$5, COUNTIF($M221:AQ221,"u")=0), "u", "")</f>
        <v/>
      </c>
      <c r="AS221" s="80" t="str">
        <f>IF(AND($F221&lt;&gt;"", $F221&gt;=AS$5-4, $F221&lt;=AS$5, COUNTIF($M221:AR221,"u")=0), "u", "")</f>
        <v/>
      </c>
      <c r="AT221" s="80" t="str">
        <f>IF(AND($F221&lt;&gt;"", $F221&gt;=AT$5-4, $F221&lt;=AT$5, COUNTIF($M221:AS221,"u")=0), "u", "")</f>
        <v/>
      </c>
      <c r="AU221" s="80" t="str">
        <f>IF(AND($F221&lt;&gt;"", $F221&gt;=AU$5-4, $F221&lt;=AU$5, COUNTIF($M221:AT221,"u")=0), "u", "")</f>
        <v/>
      </c>
      <c r="AV221" s="80" t="str">
        <f>IF(AND($F221&lt;&gt;"", $F221&gt;=AV$5-4, $F221&lt;=AV$5, COUNTIF($M221:AU221,"u")=0), "u", "")</f>
        <v/>
      </c>
      <c r="AW221" s="80" t="str">
        <f>IF(AND($F221&lt;&gt;"", $F221&gt;=AW$5-4, $F221&lt;=AW$5, COUNTIF($M221:AV221,"u")=0), "u", "")</f>
        <v/>
      </c>
      <c r="AX221" s="80" t="str">
        <f>IF(AND($F221&lt;&gt;"", $F221&gt;=AX$5-4, $F221&lt;=AX$5, COUNTIF($M221:AW221,"u")=0), "u", "")</f>
        <v/>
      </c>
      <c r="AY221" s="80" t="str">
        <f>IF(AND($F221&lt;&gt;"", $F221&gt;=AY$5-4, $F221&lt;=AY$5, COUNTIF($M221:AX221,"u")=0), "u", "")</f>
        <v/>
      </c>
      <c r="AZ221" s="80" t="str">
        <f>IF(AND($F221&lt;&gt;"", $F221&gt;=AZ$5-4, $F221&lt;=AZ$5, COUNTIF($M221:AY221,"u")=0), "u", "")</f>
        <v/>
      </c>
      <c r="BA221" s="80" t="str">
        <f>IF(AND($F221&lt;&gt;"", $F221&gt;=BA$5-4, $F221&lt;=BA$5, COUNTIF($M221:AZ221,"u")=0), "u", "")</f>
        <v/>
      </c>
      <c r="BB221" s="80" t="str">
        <f>IF(AND($F221&lt;&gt;"", $F221&gt;=BB$5-4, $F221&lt;=BB$5, COUNTIF($M221:BA221,"u")=0), "u", "")</f>
        <v/>
      </c>
      <c r="BC221" s="80" t="str">
        <f>IF(AND($F221&lt;&gt;"", $F221&gt;=BC$5-4, $F221&lt;=BC$5, COUNTIF($M221:BB221,"u")=0), "u", "")</f>
        <v/>
      </c>
      <c r="BD221" s="80" t="str">
        <f>IF(AND($F221&lt;&gt;"", $F221&gt;=BD$5-4, $F221&lt;=BD$5, COUNTIF($M221:BC221,"u")=0), "u", "")</f>
        <v/>
      </c>
      <c r="BE221" s="80" t="str">
        <f>IF(AND($F221&lt;&gt;"", $F221&gt;=BE$5-4, $F221&lt;=BE$5, COUNTIF($M221:BD221,"u")=0), "u", "")</f>
        <v/>
      </c>
      <c r="BF221" s="80" t="str">
        <f>IF(AND($F221&lt;&gt;"", $F221&gt;=BF$5-4, $F221&lt;=BF$5, COUNTIF($M221:BE221,"u")=0), "u", "")</f>
        <v/>
      </c>
      <c r="BG221" s="80" t="str">
        <f>IF(AND($F221&lt;&gt;"", $F221&gt;=BG$5-4, $F221&lt;=BG$5, COUNTIF($M221:BF221,"u")=0), "u", "")</f>
        <v/>
      </c>
      <c r="BH221" s="80" t="str">
        <f>IF(AND($F221&lt;&gt;"", $F221&gt;=BH$5-4, $F221&lt;=BH$5, COUNTIF($M221:BG221,"u")=0), "u", "")</f>
        <v/>
      </c>
      <c r="BI221" s="80" t="str">
        <f>IF(AND($F221&lt;&gt;"", $F221&gt;=BI$5-4, $F221&lt;=BI$5, COUNTIF($M221:BH221,"u")=0), "u", "")</f>
        <v/>
      </c>
      <c r="BJ221" s="80" t="str">
        <f>IF(AND($F221&lt;&gt;"", $F221&gt;=BJ$5-4, $F221&lt;=BJ$5, COUNTIF($M221:BI221,"u")=0), "u", "")</f>
        <v/>
      </c>
      <c r="BK221" s="80" t="str">
        <f>IF(AND($F221&lt;&gt;"", $F221&gt;=BK$5-4, $F221&lt;=BK$5, COUNTIF($M221:BJ221,"u")=0), "u", "")</f>
        <v/>
      </c>
      <c r="BL221" s="80" t="str">
        <f>IF(AND($F221&lt;&gt;"", $F221&gt;=BL$5-4, $F221&lt;=BL$5, COUNTIF($M221:BK221,"u")=0), "u", "")</f>
        <v/>
      </c>
      <c r="BM221" s="80" t="str">
        <f>IF(AND($F221&lt;&gt;"", $F221&gt;=BM$5-4, $F221&lt;=BM$5, COUNTIF($M221:BL221,"u")=0), "u", "")</f>
        <v/>
      </c>
      <c r="BN221" s="80" t="str">
        <f>IF(AND($F221&lt;&gt;"", $F221&gt;=BN$5-4, $F221&lt;=BN$5, COUNTIF($M221:BM221,"u")=0), "u", "")</f>
        <v/>
      </c>
      <c r="BO221" s="80" t="str">
        <f>IF(AND($F221&lt;&gt;"", $F221&gt;=BO$5-4, $F221&lt;=BO$5, COUNTIF($M221:BN221,"u")=0), "u", "")</f>
        <v/>
      </c>
      <c r="BP221" s="80" t="str">
        <f>IF(AND($F221&lt;&gt;"", $F221&gt;=BP$5-4, $F221&lt;=BP$5, COUNTIF($M221:BO221,"u")=0), "u", "")</f>
        <v/>
      </c>
      <c r="BQ221" s="80" t="str">
        <f>IF(AND($F221&lt;&gt;"", $F221&gt;=BQ$5-4, $F221&lt;=BQ$5, COUNTIF($M221:BP221,"u")=0), "u", "")</f>
        <v/>
      </c>
      <c r="BR221" s="80" t="str">
        <f>IF(AND($F221&lt;&gt;"", $F221&gt;=BR$5-4, $F221&lt;=BR$5, COUNTIF($M221:BQ221,"u")=0), "u", "")</f>
        <v/>
      </c>
      <c r="BS221" s="80" t="str">
        <f>IF(AND($F221&lt;&gt;"", $F221&gt;=BS$5-4, $F221&lt;=BS$5, COUNTIF($M221:BR221,"u")=0), "u", "")</f>
        <v/>
      </c>
      <c r="BT221" s="80" t="str">
        <f>IF(AND($F221&lt;&gt;"", $F221&gt;=BT$5-4, $F221&lt;=BT$5, COUNTIF($M221:BS221,"u")=0), "u", "")</f>
        <v/>
      </c>
      <c r="BU221" s="80" t="str">
        <f>IF(AND($F221&lt;&gt;"", $F221&gt;=BU$5-4, $F221&lt;=BU$5, COUNTIF($M221:BT221,"u")=0), "u", "")</f>
        <v/>
      </c>
      <c r="BV221" s="80" t="str">
        <f>IF(AND($F221&lt;&gt;"", $F221&gt;=BV$5-4, $F221&lt;=BV$5, COUNTIF($M221:BU221,"u")=0), "u", "")</f>
        <v/>
      </c>
      <c r="BW221" s="80" t="str">
        <f>IF(AND($F221&lt;&gt;"", $F221&gt;=BW$5-4, $F221&lt;=BW$5, COUNTIF($M221:BV221,"u")=0), "u", "")</f>
        <v/>
      </c>
      <c r="BX221" s="80" t="str">
        <f>IF(AND($F221&lt;&gt;"", $F221&gt;=BX$5-4, $F221&lt;=BX$5, COUNTIF($M221:BW221,"u")=0), "u", "")</f>
        <v/>
      </c>
      <c r="BY221" s="80" t="str">
        <f>IF(AND($F221&lt;&gt;"", $F221&gt;=BY$5-4, $F221&lt;=BY$5, COUNTIF($M221:BX221,"u")=0), "u", "")</f>
        <v/>
      </c>
      <c r="BZ221" s="80" t="str">
        <f>IF(AND($F221&lt;&gt;"", $F221&gt;=BZ$5-4, $F221&lt;=BZ$5, COUNTIF($M221:BY221,"u")=0), "u", "")</f>
        <v/>
      </c>
      <c r="CA221" s="80" t="str">
        <f>IF(AND($F221&lt;&gt;"", $F221&gt;=CA$5-4, $F221&lt;=CA$5, COUNTIF($M221:BZ221,"u")=0), "u", "")</f>
        <v/>
      </c>
      <c r="CB221" s="80" t="str">
        <f>IF(AND($F221&lt;&gt;"", $F221&gt;=CB$5-4, $F221&lt;=CB$5, COUNTIF($M221:CA221,"u")=0), "u", "")</f>
        <v/>
      </c>
      <c r="CC221" s="80" t="str">
        <f>IF(AND($F221&lt;&gt;"", $F221&gt;=CC$5-4, $F221&lt;=CC$5, COUNTIF($M221:CB221,"u")=0), "u", "")</f>
        <v/>
      </c>
      <c r="CD221" s="80" t="str">
        <f>IF(AND($F221&lt;&gt;"", $F221&gt;=CD$5-4, $F221&lt;=CD$5, COUNTIF($M221:CC221,"u")=0), "u", "")</f>
        <v/>
      </c>
      <c r="CE221" s="80" t="str">
        <f>IF(AND($F221&lt;&gt;"", $F221&gt;=CE$5-4, $F221&lt;=CE$5, COUNTIF($M221:CD221,"u")=0), "u", "")</f>
        <v/>
      </c>
      <c r="CF221" s="80" t="str">
        <f>IF(AND($F221&lt;&gt;"", $F221&gt;=CF$5-4, $F221&lt;=CF$5, COUNTIF($M221:CE221,"u")=0), "u", "")</f>
        <v/>
      </c>
      <c r="CG221" s="80" t="str">
        <f>IF(AND($F221&lt;&gt;"", $F221&gt;=CG$5-4, $F221&lt;=CG$5, COUNTIF($M221:CF221,"u")=0), "u", "")</f>
        <v/>
      </c>
      <c r="CH221" s="80" t="str">
        <f>IF(AND($F221&lt;&gt;"", $F221&gt;=CH$5-4, $F221&lt;=CH$5, COUNTIF($M221:CG221,"u")=0), "u", "")</f>
        <v/>
      </c>
      <c r="CI221" s="80" t="str">
        <f>IF(AND($F221&lt;&gt;"", $F221&gt;=CI$5-4, $F221&lt;=CI$5, COUNTIF($M221:CH221,"u")=0), "u", "")</f>
        <v/>
      </c>
      <c r="CJ221" s="80" t="str">
        <f>IF(AND($F221&lt;&gt;"", $F221&gt;=CJ$5-4, $F221&lt;=CJ$5, COUNTIF($M221:CI221,"u")=0), "u", "")</f>
        <v/>
      </c>
      <c r="CK221" s="80" t="str">
        <f>IF(AND($F221&lt;&gt;"", $F221&gt;=CK$5-4, $F221&lt;=CK$5, COUNTIF($M221:CJ221,"u")=0), "u", "")</f>
        <v/>
      </c>
      <c r="CL221" s="80" t="str">
        <f>IF(AND($F221&lt;&gt;"", $F221&gt;=CL$5-4, $F221&lt;=CL$5, COUNTIF($M221:CK221,"u")=0), "u", "")</f>
        <v/>
      </c>
      <c r="CM221" s="80" t="str">
        <f>IF(AND($F221&lt;&gt;"", $F221&gt;=CM$5-4, $F221&lt;=CM$5, COUNTIF($M221:CL221,"u")=0), "u", "")</f>
        <v/>
      </c>
      <c r="CN221" s="80" t="str">
        <f>IF(AND($F221&lt;&gt;"", $F221&gt;=CN$5-4, $F221&lt;=CN$5, COUNTIF($M221:CM221,"u")=0), "u", "")</f>
        <v/>
      </c>
      <c r="CO221" s="80" t="str">
        <f>IF(AND($F221&lt;&gt;"", $F221&gt;=CO$5-4, $F221&lt;=CO$5, COUNTIF($M221:CN221,"u")=0), "u", "")</f>
        <v/>
      </c>
      <c r="CP221" s="80" t="str">
        <f>IF(AND($F221&lt;&gt;"", $F221&gt;=CP$5-4, $F221&lt;=CP$5, COUNTIF($M221:CO221,"u")=0), "u", "")</f>
        <v/>
      </c>
      <c r="CQ221" s="80" t="str">
        <f>IF(AND($F221&lt;&gt;"", $F221&gt;=CQ$5-4, $F221&lt;=CQ$5, COUNTIF($M221:CP221,"u")=0), "u", "")</f>
        <v/>
      </c>
      <c r="CR221" s="80" t="str">
        <f>IF(AND($F221&lt;&gt;"", $F221&gt;=CR$5-4, $F221&lt;=CR$5, COUNTIF($M221:CQ221,"u")=0), "u", "")</f>
        <v/>
      </c>
      <c r="CS221" s="80" t="str">
        <f>IF(AND($F221&lt;&gt;"", $F221&gt;=CS$5-4, $F221&lt;=CS$5, COUNTIF($M221:CR221,"u")=0), "u", "")</f>
        <v/>
      </c>
      <c r="CT221" s="80" t="str">
        <f>IF(AND($F221&lt;&gt;"", $F221&gt;=CT$5-4, $F221&lt;=CT$5, COUNTIF($M221:CS221,"u")=0), "u", "")</f>
        <v/>
      </c>
      <c r="CU221" s="80" t="str">
        <f>IF(AND($F221&lt;&gt;"", $F221&gt;=CU$5-4, $F221&lt;=CU$5, COUNTIF($M221:CT221,"u")=0), "u", "")</f>
        <v/>
      </c>
      <c r="CV221" s="80" t="str">
        <f>IF(AND($F221&lt;&gt;"", $F221&gt;=CV$5-4, $F221&lt;=CV$5, COUNTIF($M221:CU221,"u")=0), "u", "")</f>
        <v/>
      </c>
      <c r="CW221" s="80" t="str">
        <f>IF(AND($F221&lt;&gt;"", $F221&gt;=CW$5-4, $F221&lt;=CW$5, COUNTIF($M221:CV221,"u")=0), "u", "")</f>
        <v/>
      </c>
      <c r="CX221" s="80" t="str">
        <f>IF(AND($F221&lt;&gt;"", $F221&gt;=CX$5-4, $F221&lt;=CX$5, COUNTIF($M221:CW221,"u")=0), "u", "")</f>
        <v/>
      </c>
      <c r="CY221" s="80" t="str">
        <f>IF(AND($F221&lt;&gt;"", $F221&gt;=CY$5-4, $F221&lt;=CY$5, COUNTIF($M221:CX221,"u")=0), "u", "")</f>
        <v/>
      </c>
      <c r="CZ221" s="80" t="str">
        <f>IF(AND($F221&lt;&gt;"", $F221&gt;=CZ$5-4, $F221&lt;=CZ$5, COUNTIF($M221:CY221,"u")=0), "u", "")</f>
        <v/>
      </c>
      <c r="DA221" s="80" t="str">
        <f>IF(AND($F221&lt;&gt;"", $F221&gt;=DA$5-4, $F221&lt;=DA$5, COUNTIF($M221:CZ221,"u")=0), "u", "")</f>
        <v/>
      </c>
      <c r="DB221" s="80" t="str">
        <f>IF(AND($F221&lt;&gt;"", $F221&gt;=DB$5-4, $F221&lt;=DB$5, COUNTIF($M221:DA221,"u")=0), "u", "")</f>
        <v/>
      </c>
      <c r="DC221" s="80" t="str">
        <f>IF(AND($F221&lt;&gt;"", $F221&gt;=DC$5-4, $F221&lt;=DC$5, COUNTIF($M221:DB221,"u")=0), "u", "")</f>
        <v/>
      </c>
      <c r="DD221" s="80" t="str">
        <f>IF(AND($F221&lt;&gt;"", $F221&gt;=DD$5-4, $F221&lt;=DD$5, COUNTIF($M221:DC221,"u")=0), "u", "")</f>
        <v/>
      </c>
      <c r="DE221" s="80" t="str">
        <f>IF(AND($F221&lt;&gt;"", $F221&gt;=DE$5-4, $F221&lt;=DE$5, COUNTIF($M221:DD221,"u")=0), "u", "")</f>
        <v/>
      </c>
      <c r="DF221" s="80" t="str">
        <f>IF(AND($F221&lt;&gt;"", $F221&gt;=DF$5-4, $F221&lt;=DF$5, COUNTIF($M221:DE221,"u")=0), "u", "")</f>
        <v/>
      </c>
      <c r="DG221" s="80" t="str">
        <f>IF(AND($F221&lt;&gt;"", $F221&gt;=DG$5-4, $F221&lt;=DG$5, COUNTIF($M221:DF221,"u")=0), "u", "")</f>
        <v/>
      </c>
      <c r="DH221" s="80" t="str">
        <f>IF(AND($F221&lt;&gt;"", $F221&gt;=DH$5-4, $F221&lt;=DH$5, COUNTIF($M221:DG221,"u")=0), "u", "")</f>
        <v/>
      </c>
      <c r="DI221" s="80" t="str">
        <f>IF(AND($F221&lt;&gt;"", $F221&gt;=DI$5-4, $F221&lt;=DI$5, COUNTIF($M221:DH221,"u")=0), "u", "")</f>
        <v/>
      </c>
      <c r="DJ221" s="80" t="str">
        <f>IF(AND($F221&lt;&gt;"", $F221&gt;=DJ$5-4, $F221&lt;=DJ$5, COUNTIF($M221:DI221,"u")=0), "u", "")</f>
        <v/>
      </c>
      <c r="DK221" s="80" t="str">
        <f>IF(AND($F221&lt;&gt;"", $F221&gt;=DK$5-4, $F221&lt;=DK$5, COUNTIF($M221:DJ221,"u")=0), "u", "")</f>
        <v/>
      </c>
      <c r="DL221" s="80" t="str">
        <f>IF(AND($F221&lt;&gt;"", $F221&gt;=DL$5-4, $F221&lt;=DL$5, COUNTIF($M221:DK221,"u")=0), "u", "")</f>
        <v/>
      </c>
    </row>
    <row r="222" spans="1:116" ht="25.05" customHeight="1" x14ac:dyDescent="0.3">
      <c r="A222" s="39"/>
      <c r="B222" s="75">
        <v>217</v>
      </c>
      <c r="C222" s="97"/>
      <c r="D222" s="92"/>
      <c r="E222" s="53"/>
      <c r="F222" s="53"/>
      <c r="G222" s="83" t="str">
        <f t="shared" si="56"/>
        <v/>
      </c>
      <c r="H222" s="83" t="str">
        <f t="shared" si="56"/>
        <v/>
      </c>
      <c r="I222" s="77" t="str">
        <f t="shared" si="54"/>
        <v/>
      </c>
      <c r="J222" s="78"/>
      <c r="K222" s="86"/>
      <c r="L222" s="56"/>
      <c r="M222" s="80" t="str">
        <f t="shared" si="55"/>
        <v/>
      </c>
      <c r="N222" s="80" t="str">
        <f>IF(AND($F222&lt;&gt;"", $F222&gt;=N$5-4, $F222&lt;=N$5, COUNTIF($M222:M222,"u")=0), "u", "")</f>
        <v/>
      </c>
      <c r="O222" s="80" t="str">
        <f>IF(AND($F222&lt;&gt;"", $F222&gt;=O$5-4, $F222&lt;=O$5, COUNTIF($M222:N222,"u")=0), "u", "")</f>
        <v/>
      </c>
      <c r="P222" s="80" t="str">
        <f>IF(AND($F222&lt;&gt;"", $F222&gt;=P$5-4, $F222&lt;=P$5, COUNTIF($M222:O222,"u")=0), "u", "")</f>
        <v/>
      </c>
      <c r="Q222" s="80" t="str">
        <f>IF(AND($F222&lt;&gt;"", $F222&gt;=Q$5-4, $F222&lt;=Q$5, COUNTIF($M222:P222,"u")=0), "u", "")</f>
        <v/>
      </c>
      <c r="R222" s="80" t="str">
        <f>IF(AND($F222&lt;&gt;"", $F222&gt;=R$5-4, $F222&lt;=R$5, COUNTIF($M222:Q222,"u")=0), "u", "")</f>
        <v/>
      </c>
      <c r="S222" s="80" t="str">
        <f>IF(AND($F222&lt;&gt;"", $F222&gt;=S$5-4, $F222&lt;=S$5, COUNTIF($M222:R222,"u")=0), "u", "")</f>
        <v/>
      </c>
      <c r="T222" s="80" t="str">
        <f>IF(AND($F222&lt;&gt;"", $F222&gt;=T$5-4, $F222&lt;=T$5, COUNTIF($M222:S222,"u")=0), "u", "")</f>
        <v/>
      </c>
      <c r="U222" s="80" t="str">
        <f>IF(AND($F222&lt;&gt;"", $F222&gt;=U$5-4, $F222&lt;=U$5, COUNTIF($M222:T222,"u")=0), "u", "")</f>
        <v/>
      </c>
      <c r="V222" s="80" t="str">
        <f>IF(AND($F222&lt;&gt;"", $F222&gt;=V$5-4, $F222&lt;=V$5, COUNTIF($M222:U222,"u")=0), "u", "")</f>
        <v/>
      </c>
      <c r="W222" s="80" t="str">
        <f>IF(AND($F222&lt;&gt;"", $F222&gt;=W$5-4, $F222&lt;=W$5, COUNTIF($M222:V222,"u")=0), "u", "")</f>
        <v/>
      </c>
      <c r="X222" s="80" t="str">
        <f>IF(AND($F222&lt;&gt;"", $F222&gt;=X$5-4, $F222&lt;=X$5, COUNTIF($M222:W222,"u")=0), "u", "")</f>
        <v/>
      </c>
      <c r="Y222" s="80" t="str">
        <f>IF(AND($F222&lt;&gt;"", $F222&gt;=Y$5-4, $F222&lt;=Y$5, COUNTIF($M222:X222,"u")=0), "u", "")</f>
        <v/>
      </c>
      <c r="Z222" s="80" t="str">
        <f>IF(AND($F222&lt;&gt;"", $F222&gt;=Z$5-4, $F222&lt;=Z$5, COUNTIF($M222:Y222,"u")=0), "u", "")</f>
        <v/>
      </c>
      <c r="AA222" s="80" t="str">
        <f>IF(AND($F222&lt;&gt;"", $F222&gt;=AA$5-4, $F222&lt;=AA$5, COUNTIF($M222:Z222,"u")=0), "u", "")</f>
        <v/>
      </c>
      <c r="AB222" s="80" t="str">
        <f>IF(AND($F222&lt;&gt;"", $F222&gt;=AB$5-4, $F222&lt;=AB$5, COUNTIF($M222:AA222,"u")=0), "u", "")</f>
        <v/>
      </c>
      <c r="AC222" s="80" t="str">
        <f>IF(AND($F222&lt;&gt;"", $F222&gt;=AC$5-4, $F222&lt;=AC$5, COUNTIF($M222:AB222,"u")=0), "u", "")</f>
        <v/>
      </c>
      <c r="AD222" s="80" t="str">
        <f>IF(AND($F222&lt;&gt;"", $F222&gt;=AD$5-4, $F222&lt;=AD$5, COUNTIF($M222:AC222,"u")=0), "u", "")</f>
        <v/>
      </c>
      <c r="AE222" s="80" t="str">
        <f>IF(AND($F222&lt;&gt;"", $F222&gt;=AE$5-4, $F222&lt;=AE$5, COUNTIF($M222:AD222,"u")=0), "u", "")</f>
        <v/>
      </c>
      <c r="AF222" s="80" t="str">
        <f>IF(AND($F222&lt;&gt;"", $F222&gt;=AF$5-4, $F222&lt;=AF$5, COUNTIF($M222:AE222,"u")=0), "u", "")</f>
        <v/>
      </c>
      <c r="AG222" s="80" t="str">
        <f>IF(AND($F222&lt;&gt;"", $F222&gt;=AG$5-4, $F222&lt;=AG$5, COUNTIF($M222:AF222,"u")=0), "u", "")</f>
        <v/>
      </c>
      <c r="AH222" s="80" t="str">
        <f>IF(AND($F222&lt;&gt;"", $F222&gt;=AH$5-4, $F222&lt;=AH$5, COUNTIF($M222:AG222,"u")=0), "u", "")</f>
        <v/>
      </c>
      <c r="AI222" s="80" t="str">
        <f>IF(AND($F222&lt;&gt;"", $F222&gt;=AI$5-4, $F222&lt;=AI$5, COUNTIF($M222:AH222,"u")=0), "u", "")</f>
        <v/>
      </c>
      <c r="AJ222" s="80" t="str">
        <f>IF(AND($F222&lt;&gt;"", $F222&gt;=AJ$5-4, $F222&lt;=AJ$5, COUNTIF($M222:AI222,"u")=0), "u", "")</f>
        <v/>
      </c>
      <c r="AK222" s="80" t="str">
        <f>IF(AND($F222&lt;&gt;"", $F222&gt;=AK$5-4, $F222&lt;=AK$5, COUNTIF($M222:AJ222,"u")=0), "u", "")</f>
        <v/>
      </c>
      <c r="AL222" s="80" t="str">
        <f>IF(AND($F222&lt;&gt;"", $F222&gt;=AL$5-4, $F222&lt;=AL$5, COUNTIF($M222:AK222,"u")=0), "u", "")</f>
        <v/>
      </c>
      <c r="AM222" s="80" t="str">
        <f>IF(AND($F222&lt;&gt;"", $F222&gt;=AM$5-4, $F222&lt;=AM$5, COUNTIF($M222:AL222,"u")=0), "u", "")</f>
        <v/>
      </c>
      <c r="AN222" s="80" t="str">
        <f>IF(AND($F222&lt;&gt;"", $F222&gt;=AN$5-4, $F222&lt;=AN$5, COUNTIF($M222:AM222,"u")=0), "u", "")</f>
        <v/>
      </c>
      <c r="AO222" s="80" t="str">
        <f>IF(AND($F222&lt;&gt;"", $F222&gt;=AO$5-4, $F222&lt;=AO$5, COUNTIF($M222:AN222,"u")=0), "u", "")</f>
        <v/>
      </c>
      <c r="AP222" s="80" t="str">
        <f>IF(AND($F222&lt;&gt;"", $F222&gt;=AP$5-4, $F222&lt;=AP$5, COUNTIF($M222:AO222,"u")=0), "u", "")</f>
        <v/>
      </c>
      <c r="AQ222" s="80" t="str">
        <f>IF(AND($F222&lt;&gt;"", $F222&gt;=AQ$5-4, $F222&lt;=AQ$5, COUNTIF($M222:AP222,"u")=0), "u", "")</f>
        <v/>
      </c>
      <c r="AR222" s="80" t="str">
        <f>IF(AND($F222&lt;&gt;"", $F222&gt;=AR$5-4, $F222&lt;=AR$5, COUNTIF($M222:AQ222,"u")=0), "u", "")</f>
        <v/>
      </c>
      <c r="AS222" s="80" t="str">
        <f>IF(AND($F222&lt;&gt;"", $F222&gt;=AS$5-4, $F222&lt;=AS$5, COUNTIF($M222:AR222,"u")=0), "u", "")</f>
        <v/>
      </c>
      <c r="AT222" s="80" t="str">
        <f>IF(AND($F222&lt;&gt;"", $F222&gt;=AT$5-4, $F222&lt;=AT$5, COUNTIF($M222:AS222,"u")=0), "u", "")</f>
        <v/>
      </c>
      <c r="AU222" s="80" t="str">
        <f>IF(AND($F222&lt;&gt;"", $F222&gt;=AU$5-4, $F222&lt;=AU$5, COUNTIF($M222:AT222,"u")=0), "u", "")</f>
        <v/>
      </c>
      <c r="AV222" s="80" t="str">
        <f>IF(AND($F222&lt;&gt;"", $F222&gt;=AV$5-4, $F222&lt;=AV$5, COUNTIF($M222:AU222,"u")=0), "u", "")</f>
        <v/>
      </c>
      <c r="AW222" s="80" t="str">
        <f>IF(AND($F222&lt;&gt;"", $F222&gt;=AW$5-4, $F222&lt;=AW$5, COUNTIF($M222:AV222,"u")=0), "u", "")</f>
        <v/>
      </c>
      <c r="AX222" s="80" t="str">
        <f>IF(AND($F222&lt;&gt;"", $F222&gt;=AX$5-4, $F222&lt;=AX$5, COUNTIF($M222:AW222,"u")=0), "u", "")</f>
        <v/>
      </c>
      <c r="AY222" s="80" t="str">
        <f>IF(AND($F222&lt;&gt;"", $F222&gt;=AY$5-4, $F222&lt;=AY$5, COUNTIF($M222:AX222,"u")=0), "u", "")</f>
        <v/>
      </c>
      <c r="AZ222" s="80" t="str">
        <f>IF(AND($F222&lt;&gt;"", $F222&gt;=AZ$5-4, $F222&lt;=AZ$5, COUNTIF($M222:AY222,"u")=0), "u", "")</f>
        <v/>
      </c>
      <c r="BA222" s="80" t="str">
        <f>IF(AND($F222&lt;&gt;"", $F222&gt;=BA$5-4, $F222&lt;=BA$5, COUNTIF($M222:AZ222,"u")=0), "u", "")</f>
        <v/>
      </c>
      <c r="BB222" s="80" t="str">
        <f>IF(AND($F222&lt;&gt;"", $F222&gt;=BB$5-4, $F222&lt;=BB$5, COUNTIF($M222:BA222,"u")=0), "u", "")</f>
        <v/>
      </c>
      <c r="BC222" s="80" t="str">
        <f>IF(AND($F222&lt;&gt;"", $F222&gt;=BC$5-4, $F222&lt;=BC$5, COUNTIF($M222:BB222,"u")=0), "u", "")</f>
        <v/>
      </c>
      <c r="BD222" s="80" t="str">
        <f>IF(AND($F222&lt;&gt;"", $F222&gt;=BD$5-4, $F222&lt;=BD$5, COUNTIF($M222:BC222,"u")=0), "u", "")</f>
        <v/>
      </c>
      <c r="BE222" s="80" t="str">
        <f>IF(AND($F222&lt;&gt;"", $F222&gt;=BE$5-4, $F222&lt;=BE$5, COUNTIF($M222:BD222,"u")=0), "u", "")</f>
        <v/>
      </c>
      <c r="BF222" s="80" t="str">
        <f>IF(AND($F222&lt;&gt;"", $F222&gt;=BF$5-4, $F222&lt;=BF$5, COUNTIF($M222:BE222,"u")=0), "u", "")</f>
        <v/>
      </c>
      <c r="BG222" s="80" t="str">
        <f>IF(AND($F222&lt;&gt;"", $F222&gt;=BG$5-4, $F222&lt;=BG$5, COUNTIF($M222:BF222,"u")=0), "u", "")</f>
        <v/>
      </c>
      <c r="BH222" s="80" t="str">
        <f>IF(AND($F222&lt;&gt;"", $F222&gt;=BH$5-4, $F222&lt;=BH$5, COUNTIF($M222:BG222,"u")=0), "u", "")</f>
        <v/>
      </c>
      <c r="BI222" s="80" t="str">
        <f>IF(AND($F222&lt;&gt;"", $F222&gt;=BI$5-4, $F222&lt;=BI$5, COUNTIF($M222:BH222,"u")=0), "u", "")</f>
        <v/>
      </c>
      <c r="BJ222" s="80" t="str">
        <f>IF(AND($F222&lt;&gt;"", $F222&gt;=BJ$5-4, $F222&lt;=BJ$5, COUNTIF($M222:BI222,"u")=0), "u", "")</f>
        <v/>
      </c>
      <c r="BK222" s="80" t="str">
        <f>IF(AND($F222&lt;&gt;"", $F222&gt;=BK$5-4, $F222&lt;=BK$5, COUNTIF($M222:BJ222,"u")=0), "u", "")</f>
        <v/>
      </c>
      <c r="BL222" s="80" t="str">
        <f>IF(AND($F222&lt;&gt;"", $F222&gt;=BL$5-4, $F222&lt;=BL$5, COUNTIF($M222:BK222,"u")=0), "u", "")</f>
        <v/>
      </c>
      <c r="BM222" s="80" t="str">
        <f>IF(AND($F222&lt;&gt;"", $F222&gt;=BM$5-4, $F222&lt;=BM$5, COUNTIF($M222:BL222,"u")=0), "u", "")</f>
        <v/>
      </c>
      <c r="BN222" s="80" t="str">
        <f>IF(AND($F222&lt;&gt;"", $F222&gt;=BN$5-4, $F222&lt;=BN$5, COUNTIF($M222:BM222,"u")=0), "u", "")</f>
        <v/>
      </c>
      <c r="BO222" s="80" t="str">
        <f>IF(AND($F222&lt;&gt;"", $F222&gt;=BO$5-4, $F222&lt;=BO$5, COUNTIF($M222:BN222,"u")=0), "u", "")</f>
        <v/>
      </c>
      <c r="BP222" s="80" t="str">
        <f>IF(AND($F222&lt;&gt;"", $F222&gt;=BP$5-4, $F222&lt;=BP$5, COUNTIF($M222:BO222,"u")=0), "u", "")</f>
        <v/>
      </c>
      <c r="BQ222" s="80" t="str">
        <f>IF(AND($F222&lt;&gt;"", $F222&gt;=BQ$5-4, $F222&lt;=BQ$5, COUNTIF($M222:BP222,"u")=0), "u", "")</f>
        <v/>
      </c>
      <c r="BR222" s="80" t="str">
        <f>IF(AND($F222&lt;&gt;"", $F222&gt;=BR$5-4, $F222&lt;=BR$5, COUNTIF($M222:BQ222,"u")=0), "u", "")</f>
        <v/>
      </c>
      <c r="BS222" s="80" t="str">
        <f>IF(AND($F222&lt;&gt;"", $F222&gt;=BS$5-4, $F222&lt;=BS$5, COUNTIF($M222:BR222,"u")=0), "u", "")</f>
        <v/>
      </c>
      <c r="BT222" s="80" t="str">
        <f>IF(AND($F222&lt;&gt;"", $F222&gt;=BT$5-4, $F222&lt;=BT$5, COUNTIF($M222:BS222,"u")=0), "u", "")</f>
        <v/>
      </c>
      <c r="BU222" s="80" t="str">
        <f>IF(AND($F222&lt;&gt;"", $F222&gt;=BU$5-4, $F222&lt;=BU$5, COUNTIF($M222:BT222,"u")=0), "u", "")</f>
        <v/>
      </c>
      <c r="BV222" s="80" t="str">
        <f>IF(AND($F222&lt;&gt;"", $F222&gt;=BV$5-4, $F222&lt;=BV$5, COUNTIF($M222:BU222,"u")=0), "u", "")</f>
        <v/>
      </c>
      <c r="BW222" s="80" t="str">
        <f>IF(AND($F222&lt;&gt;"", $F222&gt;=BW$5-4, $F222&lt;=BW$5, COUNTIF($M222:BV222,"u")=0), "u", "")</f>
        <v/>
      </c>
      <c r="BX222" s="80" t="str">
        <f>IF(AND($F222&lt;&gt;"", $F222&gt;=BX$5-4, $F222&lt;=BX$5, COUNTIF($M222:BW222,"u")=0), "u", "")</f>
        <v/>
      </c>
      <c r="BY222" s="80" t="str">
        <f>IF(AND($F222&lt;&gt;"", $F222&gt;=BY$5-4, $F222&lt;=BY$5, COUNTIF($M222:BX222,"u")=0), "u", "")</f>
        <v/>
      </c>
      <c r="BZ222" s="80" t="str">
        <f>IF(AND($F222&lt;&gt;"", $F222&gt;=BZ$5-4, $F222&lt;=BZ$5, COUNTIF($M222:BY222,"u")=0), "u", "")</f>
        <v/>
      </c>
      <c r="CA222" s="80" t="str">
        <f>IF(AND($F222&lt;&gt;"", $F222&gt;=CA$5-4, $F222&lt;=CA$5, COUNTIF($M222:BZ222,"u")=0), "u", "")</f>
        <v/>
      </c>
      <c r="CB222" s="80" t="str">
        <f>IF(AND($F222&lt;&gt;"", $F222&gt;=CB$5-4, $F222&lt;=CB$5, COUNTIF($M222:CA222,"u")=0), "u", "")</f>
        <v/>
      </c>
      <c r="CC222" s="80" t="str">
        <f>IF(AND($F222&lt;&gt;"", $F222&gt;=CC$5-4, $F222&lt;=CC$5, COUNTIF($M222:CB222,"u")=0), "u", "")</f>
        <v/>
      </c>
      <c r="CD222" s="80" t="str">
        <f>IF(AND($F222&lt;&gt;"", $F222&gt;=CD$5-4, $F222&lt;=CD$5, COUNTIF($M222:CC222,"u")=0), "u", "")</f>
        <v/>
      </c>
      <c r="CE222" s="80" t="str">
        <f>IF(AND($F222&lt;&gt;"", $F222&gt;=CE$5-4, $F222&lt;=CE$5, COUNTIF($M222:CD222,"u")=0), "u", "")</f>
        <v/>
      </c>
      <c r="CF222" s="80" t="str">
        <f>IF(AND($F222&lt;&gt;"", $F222&gt;=CF$5-4, $F222&lt;=CF$5, COUNTIF($M222:CE222,"u")=0), "u", "")</f>
        <v/>
      </c>
      <c r="CG222" s="80" t="str">
        <f>IF(AND($F222&lt;&gt;"", $F222&gt;=CG$5-4, $F222&lt;=CG$5, COUNTIF($M222:CF222,"u")=0), "u", "")</f>
        <v/>
      </c>
      <c r="CH222" s="80" t="str">
        <f>IF(AND($F222&lt;&gt;"", $F222&gt;=CH$5-4, $F222&lt;=CH$5, COUNTIF($M222:CG222,"u")=0), "u", "")</f>
        <v/>
      </c>
      <c r="CI222" s="80" t="str">
        <f>IF(AND($F222&lt;&gt;"", $F222&gt;=CI$5-4, $F222&lt;=CI$5, COUNTIF($M222:CH222,"u")=0), "u", "")</f>
        <v/>
      </c>
      <c r="CJ222" s="80" t="str">
        <f>IF(AND($F222&lt;&gt;"", $F222&gt;=CJ$5-4, $F222&lt;=CJ$5, COUNTIF($M222:CI222,"u")=0), "u", "")</f>
        <v/>
      </c>
      <c r="CK222" s="80" t="str">
        <f>IF(AND($F222&lt;&gt;"", $F222&gt;=CK$5-4, $F222&lt;=CK$5, COUNTIF($M222:CJ222,"u")=0), "u", "")</f>
        <v/>
      </c>
      <c r="CL222" s="80" t="str">
        <f>IF(AND($F222&lt;&gt;"", $F222&gt;=CL$5-4, $F222&lt;=CL$5, COUNTIF($M222:CK222,"u")=0), "u", "")</f>
        <v/>
      </c>
      <c r="CM222" s="80" t="str">
        <f>IF(AND($F222&lt;&gt;"", $F222&gt;=CM$5-4, $F222&lt;=CM$5, COUNTIF($M222:CL222,"u")=0), "u", "")</f>
        <v/>
      </c>
      <c r="CN222" s="80" t="str">
        <f>IF(AND($F222&lt;&gt;"", $F222&gt;=CN$5-4, $F222&lt;=CN$5, COUNTIF($M222:CM222,"u")=0), "u", "")</f>
        <v/>
      </c>
      <c r="CO222" s="80" t="str">
        <f>IF(AND($F222&lt;&gt;"", $F222&gt;=CO$5-4, $F222&lt;=CO$5, COUNTIF($M222:CN222,"u")=0), "u", "")</f>
        <v/>
      </c>
      <c r="CP222" s="80" t="str">
        <f>IF(AND($F222&lt;&gt;"", $F222&gt;=CP$5-4, $F222&lt;=CP$5, COUNTIF($M222:CO222,"u")=0), "u", "")</f>
        <v/>
      </c>
      <c r="CQ222" s="80" t="str">
        <f>IF(AND($F222&lt;&gt;"", $F222&gt;=CQ$5-4, $F222&lt;=CQ$5, COUNTIF($M222:CP222,"u")=0), "u", "")</f>
        <v/>
      </c>
      <c r="CR222" s="80" t="str">
        <f>IF(AND($F222&lt;&gt;"", $F222&gt;=CR$5-4, $F222&lt;=CR$5, COUNTIF($M222:CQ222,"u")=0), "u", "")</f>
        <v/>
      </c>
      <c r="CS222" s="80" t="str">
        <f>IF(AND($F222&lt;&gt;"", $F222&gt;=CS$5-4, $F222&lt;=CS$5, COUNTIF($M222:CR222,"u")=0), "u", "")</f>
        <v/>
      </c>
      <c r="CT222" s="80" t="str">
        <f>IF(AND($F222&lt;&gt;"", $F222&gt;=CT$5-4, $F222&lt;=CT$5, COUNTIF($M222:CS222,"u")=0), "u", "")</f>
        <v/>
      </c>
      <c r="CU222" s="80" t="str">
        <f>IF(AND($F222&lt;&gt;"", $F222&gt;=CU$5-4, $F222&lt;=CU$5, COUNTIF($M222:CT222,"u")=0), "u", "")</f>
        <v/>
      </c>
      <c r="CV222" s="80" t="str">
        <f>IF(AND($F222&lt;&gt;"", $F222&gt;=CV$5-4, $F222&lt;=CV$5, COUNTIF($M222:CU222,"u")=0), "u", "")</f>
        <v/>
      </c>
      <c r="CW222" s="80" t="str">
        <f>IF(AND($F222&lt;&gt;"", $F222&gt;=CW$5-4, $F222&lt;=CW$5, COUNTIF($M222:CV222,"u")=0), "u", "")</f>
        <v/>
      </c>
      <c r="CX222" s="80" t="str">
        <f>IF(AND($F222&lt;&gt;"", $F222&gt;=CX$5-4, $F222&lt;=CX$5, COUNTIF($M222:CW222,"u")=0), "u", "")</f>
        <v/>
      </c>
      <c r="CY222" s="80" t="str">
        <f>IF(AND($F222&lt;&gt;"", $F222&gt;=CY$5-4, $F222&lt;=CY$5, COUNTIF($M222:CX222,"u")=0), "u", "")</f>
        <v/>
      </c>
      <c r="CZ222" s="80" t="str">
        <f>IF(AND($F222&lt;&gt;"", $F222&gt;=CZ$5-4, $F222&lt;=CZ$5, COUNTIF($M222:CY222,"u")=0), "u", "")</f>
        <v/>
      </c>
      <c r="DA222" s="80" t="str">
        <f>IF(AND($F222&lt;&gt;"", $F222&gt;=DA$5-4, $F222&lt;=DA$5, COUNTIF($M222:CZ222,"u")=0), "u", "")</f>
        <v/>
      </c>
      <c r="DB222" s="80" t="str">
        <f>IF(AND($F222&lt;&gt;"", $F222&gt;=DB$5-4, $F222&lt;=DB$5, COUNTIF($M222:DA222,"u")=0), "u", "")</f>
        <v/>
      </c>
      <c r="DC222" s="80" t="str">
        <f>IF(AND($F222&lt;&gt;"", $F222&gt;=DC$5-4, $F222&lt;=DC$5, COUNTIF($M222:DB222,"u")=0), "u", "")</f>
        <v/>
      </c>
      <c r="DD222" s="80" t="str">
        <f>IF(AND($F222&lt;&gt;"", $F222&gt;=DD$5-4, $F222&lt;=DD$5, COUNTIF($M222:DC222,"u")=0), "u", "")</f>
        <v/>
      </c>
      <c r="DE222" s="80" t="str">
        <f>IF(AND($F222&lt;&gt;"", $F222&gt;=DE$5-4, $F222&lt;=DE$5, COUNTIF($M222:DD222,"u")=0), "u", "")</f>
        <v/>
      </c>
      <c r="DF222" s="80" t="str">
        <f>IF(AND($F222&lt;&gt;"", $F222&gt;=DF$5-4, $F222&lt;=DF$5, COUNTIF($M222:DE222,"u")=0), "u", "")</f>
        <v/>
      </c>
      <c r="DG222" s="80" t="str">
        <f>IF(AND($F222&lt;&gt;"", $F222&gt;=DG$5-4, $F222&lt;=DG$5, COUNTIF($M222:DF222,"u")=0), "u", "")</f>
        <v/>
      </c>
      <c r="DH222" s="80" t="str">
        <f>IF(AND($F222&lt;&gt;"", $F222&gt;=DH$5-4, $F222&lt;=DH$5, COUNTIF($M222:DG222,"u")=0), "u", "")</f>
        <v/>
      </c>
      <c r="DI222" s="80" t="str">
        <f>IF(AND($F222&lt;&gt;"", $F222&gt;=DI$5-4, $F222&lt;=DI$5, COUNTIF($M222:DH222,"u")=0), "u", "")</f>
        <v/>
      </c>
      <c r="DJ222" s="80" t="str">
        <f>IF(AND($F222&lt;&gt;"", $F222&gt;=DJ$5-4, $F222&lt;=DJ$5, COUNTIF($M222:DI222,"u")=0), "u", "")</f>
        <v/>
      </c>
      <c r="DK222" s="80" t="str">
        <f>IF(AND($F222&lt;&gt;"", $F222&gt;=DK$5-4, $F222&lt;=DK$5, COUNTIF($M222:DJ222,"u")=0), "u", "")</f>
        <v/>
      </c>
      <c r="DL222" s="80" t="str">
        <f>IF(AND($F222&lt;&gt;"", $F222&gt;=DL$5-4, $F222&lt;=DL$5, COUNTIF($M222:DK222,"u")=0), "u", "")</f>
        <v/>
      </c>
    </row>
    <row r="223" spans="1:116" ht="25.05" customHeight="1" x14ac:dyDescent="0.3">
      <c r="A223" s="39"/>
      <c r="B223" s="75">
        <v>218</v>
      </c>
      <c r="C223" s="97"/>
      <c r="D223" s="92"/>
      <c r="E223" s="53"/>
      <c r="F223" s="53"/>
      <c r="G223" s="83" t="str">
        <f t="shared" si="56"/>
        <v/>
      </c>
      <c r="H223" s="83" t="str">
        <f t="shared" si="56"/>
        <v/>
      </c>
      <c r="I223" s="77" t="str">
        <f t="shared" si="54"/>
        <v/>
      </c>
      <c r="J223" s="78"/>
      <c r="K223" s="86"/>
      <c r="L223" s="56"/>
      <c r="M223" s="80" t="str">
        <f t="shared" si="55"/>
        <v/>
      </c>
      <c r="N223" s="80" t="str">
        <f>IF(AND($F223&lt;&gt;"", $F223&gt;=N$5-4, $F223&lt;=N$5, COUNTIF($M223:M223,"u")=0), "u", "")</f>
        <v/>
      </c>
      <c r="O223" s="80" t="str">
        <f>IF(AND($F223&lt;&gt;"", $F223&gt;=O$5-4, $F223&lt;=O$5, COUNTIF($M223:N223,"u")=0), "u", "")</f>
        <v/>
      </c>
      <c r="P223" s="80" t="str">
        <f>IF(AND($F223&lt;&gt;"", $F223&gt;=P$5-4, $F223&lt;=P$5, COUNTIF($M223:O223,"u")=0), "u", "")</f>
        <v/>
      </c>
      <c r="Q223" s="80" t="str">
        <f>IF(AND($F223&lt;&gt;"", $F223&gt;=Q$5-4, $F223&lt;=Q$5, COUNTIF($M223:P223,"u")=0), "u", "")</f>
        <v/>
      </c>
      <c r="R223" s="80" t="str">
        <f>IF(AND($F223&lt;&gt;"", $F223&gt;=R$5-4, $F223&lt;=R$5, COUNTIF($M223:Q223,"u")=0), "u", "")</f>
        <v/>
      </c>
      <c r="S223" s="80" t="str">
        <f>IF(AND($F223&lt;&gt;"", $F223&gt;=S$5-4, $F223&lt;=S$5, COUNTIF($M223:R223,"u")=0), "u", "")</f>
        <v/>
      </c>
      <c r="T223" s="80" t="str">
        <f>IF(AND($F223&lt;&gt;"", $F223&gt;=T$5-4, $F223&lt;=T$5, COUNTIF($M223:S223,"u")=0), "u", "")</f>
        <v/>
      </c>
      <c r="U223" s="80" t="str">
        <f>IF(AND($F223&lt;&gt;"", $F223&gt;=U$5-4, $F223&lt;=U$5, COUNTIF($M223:T223,"u")=0), "u", "")</f>
        <v/>
      </c>
      <c r="V223" s="80" t="str">
        <f>IF(AND($F223&lt;&gt;"", $F223&gt;=V$5-4, $F223&lt;=V$5, COUNTIF($M223:U223,"u")=0), "u", "")</f>
        <v/>
      </c>
      <c r="W223" s="80" t="str">
        <f>IF(AND($F223&lt;&gt;"", $F223&gt;=W$5-4, $F223&lt;=W$5, COUNTIF($M223:V223,"u")=0), "u", "")</f>
        <v/>
      </c>
      <c r="X223" s="80" t="str">
        <f>IF(AND($F223&lt;&gt;"", $F223&gt;=X$5-4, $F223&lt;=X$5, COUNTIF($M223:W223,"u")=0), "u", "")</f>
        <v/>
      </c>
      <c r="Y223" s="80" t="str">
        <f>IF(AND($F223&lt;&gt;"", $F223&gt;=Y$5-4, $F223&lt;=Y$5, COUNTIF($M223:X223,"u")=0), "u", "")</f>
        <v/>
      </c>
      <c r="Z223" s="80" t="str">
        <f>IF(AND($F223&lt;&gt;"", $F223&gt;=Z$5-4, $F223&lt;=Z$5, COUNTIF($M223:Y223,"u")=0), "u", "")</f>
        <v/>
      </c>
      <c r="AA223" s="80" t="str">
        <f>IF(AND($F223&lt;&gt;"", $F223&gt;=AA$5-4, $F223&lt;=AA$5, COUNTIF($M223:Z223,"u")=0), "u", "")</f>
        <v/>
      </c>
      <c r="AB223" s="80" t="str">
        <f>IF(AND($F223&lt;&gt;"", $F223&gt;=AB$5-4, $F223&lt;=AB$5, COUNTIF($M223:AA223,"u")=0), "u", "")</f>
        <v/>
      </c>
      <c r="AC223" s="80" t="str">
        <f>IF(AND($F223&lt;&gt;"", $F223&gt;=AC$5-4, $F223&lt;=AC$5, COUNTIF($M223:AB223,"u")=0), "u", "")</f>
        <v/>
      </c>
      <c r="AD223" s="80" t="str">
        <f>IF(AND($F223&lt;&gt;"", $F223&gt;=AD$5-4, $F223&lt;=AD$5, COUNTIF($M223:AC223,"u")=0), "u", "")</f>
        <v/>
      </c>
      <c r="AE223" s="80" t="str">
        <f>IF(AND($F223&lt;&gt;"", $F223&gt;=AE$5-4, $F223&lt;=AE$5, COUNTIF($M223:AD223,"u")=0), "u", "")</f>
        <v/>
      </c>
      <c r="AF223" s="80" t="str">
        <f>IF(AND($F223&lt;&gt;"", $F223&gt;=AF$5-4, $F223&lt;=AF$5, COUNTIF($M223:AE223,"u")=0), "u", "")</f>
        <v/>
      </c>
      <c r="AG223" s="80" t="str">
        <f>IF(AND($F223&lt;&gt;"", $F223&gt;=AG$5-4, $F223&lt;=AG$5, COUNTIF($M223:AF223,"u")=0), "u", "")</f>
        <v/>
      </c>
      <c r="AH223" s="80" t="str">
        <f>IF(AND($F223&lt;&gt;"", $F223&gt;=AH$5-4, $F223&lt;=AH$5, COUNTIF($M223:AG223,"u")=0), "u", "")</f>
        <v/>
      </c>
      <c r="AI223" s="80" t="str">
        <f>IF(AND($F223&lt;&gt;"", $F223&gt;=AI$5-4, $F223&lt;=AI$5, COUNTIF($M223:AH223,"u")=0), "u", "")</f>
        <v/>
      </c>
      <c r="AJ223" s="80" t="str">
        <f>IF(AND($F223&lt;&gt;"", $F223&gt;=AJ$5-4, $F223&lt;=AJ$5, COUNTIF($M223:AI223,"u")=0), "u", "")</f>
        <v/>
      </c>
      <c r="AK223" s="80" t="str">
        <f>IF(AND($F223&lt;&gt;"", $F223&gt;=AK$5-4, $F223&lt;=AK$5, COUNTIF($M223:AJ223,"u")=0), "u", "")</f>
        <v/>
      </c>
      <c r="AL223" s="80" t="str">
        <f>IF(AND($F223&lt;&gt;"", $F223&gt;=AL$5-4, $F223&lt;=AL$5, COUNTIF($M223:AK223,"u")=0), "u", "")</f>
        <v/>
      </c>
      <c r="AM223" s="80" t="str">
        <f>IF(AND($F223&lt;&gt;"", $F223&gt;=AM$5-4, $F223&lt;=AM$5, COUNTIF($M223:AL223,"u")=0), "u", "")</f>
        <v/>
      </c>
      <c r="AN223" s="80" t="str">
        <f>IF(AND($F223&lt;&gt;"", $F223&gt;=AN$5-4, $F223&lt;=AN$5, COUNTIF($M223:AM223,"u")=0), "u", "")</f>
        <v/>
      </c>
      <c r="AO223" s="80" t="str">
        <f>IF(AND($F223&lt;&gt;"", $F223&gt;=AO$5-4, $F223&lt;=AO$5, COUNTIF($M223:AN223,"u")=0), "u", "")</f>
        <v/>
      </c>
      <c r="AP223" s="80" t="str">
        <f>IF(AND($F223&lt;&gt;"", $F223&gt;=AP$5-4, $F223&lt;=AP$5, COUNTIF($M223:AO223,"u")=0), "u", "")</f>
        <v/>
      </c>
      <c r="AQ223" s="80" t="str">
        <f>IF(AND($F223&lt;&gt;"", $F223&gt;=AQ$5-4, $F223&lt;=AQ$5, COUNTIF($M223:AP223,"u")=0), "u", "")</f>
        <v/>
      </c>
      <c r="AR223" s="80" t="str">
        <f>IF(AND($F223&lt;&gt;"", $F223&gt;=AR$5-4, $F223&lt;=AR$5, COUNTIF($M223:AQ223,"u")=0), "u", "")</f>
        <v/>
      </c>
      <c r="AS223" s="80" t="str">
        <f>IF(AND($F223&lt;&gt;"", $F223&gt;=AS$5-4, $F223&lt;=AS$5, COUNTIF($M223:AR223,"u")=0), "u", "")</f>
        <v/>
      </c>
      <c r="AT223" s="80" t="str">
        <f>IF(AND($F223&lt;&gt;"", $F223&gt;=AT$5-4, $F223&lt;=AT$5, COUNTIF($M223:AS223,"u")=0), "u", "")</f>
        <v/>
      </c>
      <c r="AU223" s="80" t="str">
        <f>IF(AND($F223&lt;&gt;"", $F223&gt;=AU$5-4, $F223&lt;=AU$5, COUNTIF($M223:AT223,"u")=0), "u", "")</f>
        <v/>
      </c>
      <c r="AV223" s="80" t="str">
        <f>IF(AND($F223&lt;&gt;"", $F223&gt;=AV$5-4, $F223&lt;=AV$5, COUNTIF($M223:AU223,"u")=0), "u", "")</f>
        <v/>
      </c>
      <c r="AW223" s="80" t="str">
        <f>IF(AND($F223&lt;&gt;"", $F223&gt;=AW$5-4, $F223&lt;=AW$5, COUNTIF($M223:AV223,"u")=0), "u", "")</f>
        <v/>
      </c>
      <c r="AX223" s="80" t="str">
        <f>IF(AND($F223&lt;&gt;"", $F223&gt;=AX$5-4, $F223&lt;=AX$5, COUNTIF($M223:AW223,"u")=0), "u", "")</f>
        <v/>
      </c>
      <c r="AY223" s="80" t="str">
        <f>IF(AND($F223&lt;&gt;"", $F223&gt;=AY$5-4, $F223&lt;=AY$5, COUNTIF($M223:AX223,"u")=0), "u", "")</f>
        <v/>
      </c>
      <c r="AZ223" s="80" t="str">
        <f>IF(AND($F223&lt;&gt;"", $F223&gt;=AZ$5-4, $F223&lt;=AZ$5, COUNTIF($M223:AY223,"u")=0), "u", "")</f>
        <v/>
      </c>
      <c r="BA223" s="80" t="str">
        <f>IF(AND($F223&lt;&gt;"", $F223&gt;=BA$5-4, $F223&lt;=BA$5, COUNTIF($M223:AZ223,"u")=0), "u", "")</f>
        <v/>
      </c>
      <c r="BB223" s="80" t="str">
        <f>IF(AND($F223&lt;&gt;"", $F223&gt;=BB$5-4, $F223&lt;=BB$5, COUNTIF($M223:BA223,"u")=0), "u", "")</f>
        <v/>
      </c>
      <c r="BC223" s="80" t="str">
        <f>IF(AND($F223&lt;&gt;"", $F223&gt;=BC$5-4, $F223&lt;=BC$5, COUNTIF($M223:BB223,"u")=0), "u", "")</f>
        <v/>
      </c>
      <c r="BD223" s="80" t="str">
        <f>IF(AND($F223&lt;&gt;"", $F223&gt;=BD$5-4, $F223&lt;=BD$5, COUNTIF($M223:BC223,"u")=0), "u", "")</f>
        <v/>
      </c>
      <c r="BE223" s="80" t="str">
        <f>IF(AND($F223&lt;&gt;"", $F223&gt;=BE$5-4, $F223&lt;=BE$5, COUNTIF($M223:BD223,"u")=0), "u", "")</f>
        <v/>
      </c>
      <c r="BF223" s="80" t="str">
        <f>IF(AND($F223&lt;&gt;"", $F223&gt;=BF$5-4, $F223&lt;=BF$5, COUNTIF($M223:BE223,"u")=0), "u", "")</f>
        <v/>
      </c>
      <c r="BG223" s="80" t="str">
        <f>IF(AND($F223&lt;&gt;"", $F223&gt;=BG$5-4, $F223&lt;=BG$5, COUNTIF($M223:BF223,"u")=0), "u", "")</f>
        <v/>
      </c>
      <c r="BH223" s="80" t="str">
        <f>IF(AND($F223&lt;&gt;"", $F223&gt;=BH$5-4, $F223&lt;=BH$5, COUNTIF($M223:BG223,"u")=0), "u", "")</f>
        <v/>
      </c>
      <c r="BI223" s="80" t="str">
        <f>IF(AND($F223&lt;&gt;"", $F223&gt;=BI$5-4, $F223&lt;=BI$5, COUNTIF($M223:BH223,"u")=0), "u", "")</f>
        <v/>
      </c>
      <c r="BJ223" s="80" t="str">
        <f>IF(AND($F223&lt;&gt;"", $F223&gt;=BJ$5-4, $F223&lt;=BJ$5, COUNTIF($M223:BI223,"u")=0), "u", "")</f>
        <v/>
      </c>
      <c r="BK223" s="80" t="str">
        <f>IF(AND($F223&lt;&gt;"", $F223&gt;=BK$5-4, $F223&lt;=BK$5, COUNTIF($M223:BJ223,"u")=0), "u", "")</f>
        <v/>
      </c>
      <c r="BL223" s="80" t="str">
        <f>IF(AND($F223&lt;&gt;"", $F223&gt;=BL$5-4, $F223&lt;=BL$5, COUNTIF($M223:BK223,"u")=0), "u", "")</f>
        <v/>
      </c>
      <c r="BM223" s="80" t="str">
        <f>IF(AND($F223&lt;&gt;"", $F223&gt;=BM$5-4, $F223&lt;=BM$5, COUNTIF($M223:BL223,"u")=0), "u", "")</f>
        <v/>
      </c>
      <c r="BN223" s="80" t="str">
        <f>IF(AND($F223&lt;&gt;"", $F223&gt;=BN$5-4, $F223&lt;=BN$5, COUNTIF($M223:BM223,"u")=0), "u", "")</f>
        <v/>
      </c>
      <c r="BO223" s="80" t="str">
        <f>IF(AND($F223&lt;&gt;"", $F223&gt;=BO$5-4, $F223&lt;=BO$5, COUNTIF($M223:BN223,"u")=0), "u", "")</f>
        <v/>
      </c>
      <c r="BP223" s="80" t="str">
        <f>IF(AND($F223&lt;&gt;"", $F223&gt;=BP$5-4, $F223&lt;=BP$5, COUNTIF($M223:BO223,"u")=0), "u", "")</f>
        <v/>
      </c>
      <c r="BQ223" s="80" t="str">
        <f>IF(AND($F223&lt;&gt;"", $F223&gt;=BQ$5-4, $F223&lt;=BQ$5, COUNTIF($M223:BP223,"u")=0), "u", "")</f>
        <v/>
      </c>
      <c r="BR223" s="80" t="str">
        <f>IF(AND($F223&lt;&gt;"", $F223&gt;=BR$5-4, $F223&lt;=BR$5, COUNTIF($M223:BQ223,"u")=0), "u", "")</f>
        <v/>
      </c>
      <c r="BS223" s="80" t="str">
        <f>IF(AND($F223&lt;&gt;"", $F223&gt;=BS$5-4, $F223&lt;=BS$5, COUNTIF($M223:BR223,"u")=0), "u", "")</f>
        <v/>
      </c>
      <c r="BT223" s="80" t="str">
        <f>IF(AND($F223&lt;&gt;"", $F223&gt;=BT$5-4, $F223&lt;=BT$5, COUNTIF($M223:BS223,"u")=0), "u", "")</f>
        <v/>
      </c>
      <c r="BU223" s="80" t="str">
        <f>IF(AND($F223&lt;&gt;"", $F223&gt;=BU$5-4, $F223&lt;=BU$5, COUNTIF($M223:BT223,"u")=0), "u", "")</f>
        <v/>
      </c>
      <c r="BV223" s="80" t="str">
        <f>IF(AND($F223&lt;&gt;"", $F223&gt;=BV$5-4, $F223&lt;=BV$5, COUNTIF($M223:BU223,"u")=0), "u", "")</f>
        <v/>
      </c>
      <c r="BW223" s="80" t="str">
        <f>IF(AND($F223&lt;&gt;"", $F223&gt;=BW$5-4, $F223&lt;=BW$5, COUNTIF($M223:BV223,"u")=0), "u", "")</f>
        <v/>
      </c>
      <c r="BX223" s="80" t="str">
        <f>IF(AND($F223&lt;&gt;"", $F223&gt;=BX$5-4, $F223&lt;=BX$5, COUNTIF($M223:BW223,"u")=0), "u", "")</f>
        <v/>
      </c>
      <c r="BY223" s="80" t="str">
        <f>IF(AND($F223&lt;&gt;"", $F223&gt;=BY$5-4, $F223&lt;=BY$5, COUNTIF($M223:BX223,"u")=0), "u", "")</f>
        <v/>
      </c>
      <c r="BZ223" s="80" t="str">
        <f>IF(AND($F223&lt;&gt;"", $F223&gt;=BZ$5-4, $F223&lt;=BZ$5, COUNTIF($M223:BY223,"u")=0), "u", "")</f>
        <v/>
      </c>
      <c r="CA223" s="80" t="str">
        <f>IF(AND($F223&lt;&gt;"", $F223&gt;=CA$5-4, $F223&lt;=CA$5, COUNTIF($M223:BZ223,"u")=0), "u", "")</f>
        <v/>
      </c>
      <c r="CB223" s="80" t="str">
        <f>IF(AND($F223&lt;&gt;"", $F223&gt;=CB$5-4, $F223&lt;=CB$5, COUNTIF($M223:CA223,"u")=0), "u", "")</f>
        <v/>
      </c>
      <c r="CC223" s="80" t="str">
        <f>IF(AND($F223&lt;&gt;"", $F223&gt;=CC$5-4, $F223&lt;=CC$5, COUNTIF($M223:CB223,"u")=0), "u", "")</f>
        <v/>
      </c>
      <c r="CD223" s="80" t="str">
        <f>IF(AND($F223&lt;&gt;"", $F223&gt;=CD$5-4, $F223&lt;=CD$5, COUNTIF($M223:CC223,"u")=0), "u", "")</f>
        <v/>
      </c>
      <c r="CE223" s="80" t="str">
        <f>IF(AND($F223&lt;&gt;"", $F223&gt;=CE$5-4, $F223&lt;=CE$5, COUNTIF($M223:CD223,"u")=0), "u", "")</f>
        <v/>
      </c>
      <c r="CF223" s="80" t="str">
        <f>IF(AND($F223&lt;&gt;"", $F223&gt;=CF$5-4, $F223&lt;=CF$5, COUNTIF($M223:CE223,"u")=0), "u", "")</f>
        <v/>
      </c>
      <c r="CG223" s="80" t="str">
        <f>IF(AND($F223&lt;&gt;"", $F223&gt;=CG$5-4, $F223&lt;=CG$5, COUNTIF($M223:CF223,"u")=0), "u", "")</f>
        <v/>
      </c>
      <c r="CH223" s="80" t="str">
        <f>IF(AND($F223&lt;&gt;"", $F223&gt;=CH$5-4, $F223&lt;=CH$5, COUNTIF($M223:CG223,"u")=0), "u", "")</f>
        <v/>
      </c>
      <c r="CI223" s="80" t="str">
        <f>IF(AND($F223&lt;&gt;"", $F223&gt;=CI$5-4, $F223&lt;=CI$5, COUNTIF($M223:CH223,"u")=0), "u", "")</f>
        <v/>
      </c>
      <c r="CJ223" s="80" t="str">
        <f>IF(AND($F223&lt;&gt;"", $F223&gt;=CJ$5-4, $F223&lt;=CJ$5, COUNTIF($M223:CI223,"u")=0), "u", "")</f>
        <v/>
      </c>
      <c r="CK223" s="80" t="str">
        <f>IF(AND($F223&lt;&gt;"", $F223&gt;=CK$5-4, $F223&lt;=CK$5, COUNTIF($M223:CJ223,"u")=0), "u", "")</f>
        <v/>
      </c>
      <c r="CL223" s="80" t="str">
        <f>IF(AND($F223&lt;&gt;"", $F223&gt;=CL$5-4, $F223&lt;=CL$5, COUNTIF($M223:CK223,"u")=0), "u", "")</f>
        <v/>
      </c>
      <c r="CM223" s="80" t="str">
        <f>IF(AND($F223&lt;&gt;"", $F223&gt;=CM$5-4, $F223&lt;=CM$5, COUNTIF($M223:CL223,"u")=0), "u", "")</f>
        <v/>
      </c>
      <c r="CN223" s="80" t="str">
        <f>IF(AND($F223&lt;&gt;"", $F223&gt;=CN$5-4, $F223&lt;=CN$5, COUNTIF($M223:CM223,"u")=0), "u", "")</f>
        <v/>
      </c>
      <c r="CO223" s="80" t="str">
        <f>IF(AND($F223&lt;&gt;"", $F223&gt;=CO$5-4, $F223&lt;=CO$5, COUNTIF($M223:CN223,"u")=0), "u", "")</f>
        <v/>
      </c>
      <c r="CP223" s="80" t="str">
        <f>IF(AND($F223&lt;&gt;"", $F223&gt;=CP$5-4, $F223&lt;=CP$5, COUNTIF($M223:CO223,"u")=0), "u", "")</f>
        <v/>
      </c>
      <c r="CQ223" s="80" t="str">
        <f>IF(AND($F223&lt;&gt;"", $F223&gt;=CQ$5-4, $F223&lt;=CQ$5, COUNTIF($M223:CP223,"u")=0), "u", "")</f>
        <v/>
      </c>
      <c r="CR223" s="80" t="str">
        <f>IF(AND($F223&lt;&gt;"", $F223&gt;=CR$5-4, $F223&lt;=CR$5, COUNTIF($M223:CQ223,"u")=0), "u", "")</f>
        <v/>
      </c>
      <c r="CS223" s="80" t="str">
        <f>IF(AND($F223&lt;&gt;"", $F223&gt;=CS$5-4, $F223&lt;=CS$5, COUNTIF($M223:CR223,"u")=0), "u", "")</f>
        <v/>
      </c>
      <c r="CT223" s="80" t="str">
        <f>IF(AND($F223&lt;&gt;"", $F223&gt;=CT$5-4, $F223&lt;=CT$5, COUNTIF($M223:CS223,"u")=0), "u", "")</f>
        <v/>
      </c>
      <c r="CU223" s="80" t="str">
        <f>IF(AND($F223&lt;&gt;"", $F223&gt;=CU$5-4, $F223&lt;=CU$5, COUNTIF($M223:CT223,"u")=0), "u", "")</f>
        <v/>
      </c>
      <c r="CV223" s="80" t="str">
        <f>IF(AND($F223&lt;&gt;"", $F223&gt;=CV$5-4, $F223&lt;=CV$5, COUNTIF($M223:CU223,"u")=0), "u", "")</f>
        <v/>
      </c>
      <c r="CW223" s="80" t="str">
        <f>IF(AND($F223&lt;&gt;"", $F223&gt;=CW$5-4, $F223&lt;=CW$5, COUNTIF($M223:CV223,"u")=0), "u", "")</f>
        <v/>
      </c>
      <c r="CX223" s="80" t="str">
        <f>IF(AND($F223&lt;&gt;"", $F223&gt;=CX$5-4, $F223&lt;=CX$5, COUNTIF($M223:CW223,"u")=0), "u", "")</f>
        <v/>
      </c>
      <c r="CY223" s="80" t="str">
        <f>IF(AND($F223&lt;&gt;"", $F223&gt;=CY$5-4, $F223&lt;=CY$5, COUNTIF($M223:CX223,"u")=0), "u", "")</f>
        <v/>
      </c>
      <c r="CZ223" s="80" t="str">
        <f>IF(AND($F223&lt;&gt;"", $F223&gt;=CZ$5-4, $F223&lt;=CZ$5, COUNTIF($M223:CY223,"u")=0), "u", "")</f>
        <v/>
      </c>
      <c r="DA223" s="80" t="str">
        <f>IF(AND($F223&lt;&gt;"", $F223&gt;=DA$5-4, $F223&lt;=DA$5, COUNTIF($M223:CZ223,"u")=0), "u", "")</f>
        <v/>
      </c>
      <c r="DB223" s="80" t="str">
        <f>IF(AND($F223&lt;&gt;"", $F223&gt;=DB$5-4, $F223&lt;=DB$5, COUNTIF($M223:DA223,"u")=0), "u", "")</f>
        <v/>
      </c>
      <c r="DC223" s="80" t="str">
        <f>IF(AND($F223&lt;&gt;"", $F223&gt;=DC$5-4, $F223&lt;=DC$5, COUNTIF($M223:DB223,"u")=0), "u", "")</f>
        <v/>
      </c>
      <c r="DD223" s="80" t="str">
        <f>IF(AND($F223&lt;&gt;"", $F223&gt;=DD$5-4, $F223&lt;=DD$5, COUNTIF($M223:DC223,"u")=0), "u", "")</f>
        <v/>
      </c>
      <c r="DE223" s="80" t="str">
        <f>IF(AND($F223&lt;&gt;"", $F223&gt;=DE$5-4, $F223&lt;=DE$5, COUNTIF($M223:DD223,"u")=0), "u", "")</f>
        <v/>
      </c>
      <c r="DF223" s="80" t="str">
        <f>IF(AND($F223&lt;&gt;"", $F223&gt;=DF$5-4, $F223&lt;=DF$5, COUNTIF($M223:DE223,"u")=0), "u", "")</f>
        <v/>
      </c>
      <c r="DG223" s="80" t="str">
        <f>IF(AND($F223&lt;&gt;"", $F223&gt;=DG$5-4, $F223&lt;=DG$5, COUNTIF($M223:DF223,"u")=0), "u", "")</f>
        <v/>
      </c>
      <c r="DH223" s="80" t="str">
        <f>IF(AND($F223&lt;&gt;"", $F223&gt;=DH$5-4, $F223&lt;=DH$5, COUNTIF($M223:DG223,"u")=0), "u", "")</f>
        <v/>
      </c>
      <c r="DI223" s="80" t="str">
        <f>IF(AND($F223&lt;&gt;"", $F223&gt;=DI$5-4, $F223&lt;=DI$5, COUNTIF($M223:DH223,"u")=0), "u", "")</f>
        <v/>
      </c>
      <c r="DJ223" s="80" t="str">
        <f>IF(AND($F223&lt;&gt;"", $F223&gt;=DJ$5-4, $F223&lt;=DJ$5, COUNTIF($M223:DI223,"u")=0), "u", "")</f>
        <v/>
      </c>
      <c r="DK223" s="80" t="str">
        <f>IF(AND($F223&lt;&gt;"", $F223&gt;=DK$5-4, $F223&lt;=DK$5, COUNTIF($M223:DJ223,"u")=0), "u", "")</f>
        <v/>
      </c>
      <c r="DL223" s="80" t="str">
        <f>IF(AND($F223&lt;&gt;"", $F223&gt;=DL$5-4, $F223&lt;=DL$5, COUNTIF($M223:DK223,"u")=0), "u", "")</f>
        <v/>
      </c>
    </row>
    <row r="224" spans="1:116" ht="25.05" customHeight="1" x14ac:dyDescent="0.3">
      <c r="A224" s="39"/>
      <c r="B224" s="75">
        <v>219</v>
      </c>
      <c r="C224" s="97"/>
      <c r="D224" s="92"/>
      <c r="E224" s="53"/>
      <c r="F224" s="53"/>
      <c r="G224" s="83" t="str">
        <f t="shared" si="56"/>
        <v/>
      </c>
      <c r="H224" s="83" t="str">
        <f t="shared" si="56"/>
        <v/>
      </c>
      <c r="I224" s="77" t="str">
        <f t="shared" si="54"/>
        <v/>
      </c>
      <c r="J224" s="78"/>
      <c r="K224" s="86"/>
      <c r="L224" s="56"/>
      <c r="M224" s="80" t="str">
        <f t="shared" si="55"/>
        <v/>
      </c>
      <c r="N224" s="80" t="str">
        <f>IF(AND($F224&lt;&gt;"", $F224&gt;=N$5-4, $F224&lt;=N$5, COUNTIF($M224:M224,"u")=0), "u", "")</f>
        <v/>
      </c>
      <c r="O224" s="80" t="str">
        <f>IF(AND($F224&lt;&gt;"", $F224&gt;=O$5-4, $F224&lt;=O$5, COUNTIF($M224:N224,"u")=0), "u", "")</f>
        <v/>
      </c>
      <c r="P224" s="80" t="str">
        <f>IF(AND($F224&lt;&gt;"", $F224&gt;=P$5-4, $F224&lt;=P$5, COUNTIF($M224:O224,"u")=0), "u", "")</f>
        <v/>
      </c>
      <c r="Q224" s="80" t="str">
        <f>IF(AND($F224&lt;&gt;"", $F224&gt;=Q$5-4, $F224&lt;=Q$5, COUNTIF($M224:P224,"u")=0), "u", "")</f>
        <v/>
      </c>
      <c r="R224" s="80" t="str">
        <f>IF(AND($F224&lt;&gt;"", $F224&gt;=R$5-4, $F224&lt;=R$5, COUNTIF($M224:Q224,"u")=0), "u", "")</f>
        <v/>
      </c>
      <c r="S224" s="80" t="str">
        <f>IF(AND($F224&lt;&gt;"", $F224&gt;=S$5-4, $F224&lt;=S$5, COUNTIF($M224:R224,"u")=0), "u", "")</f>
        <v/>
      </c>
      <c r="T224" s="80" t="str">
        <f>IF(AND($F224&lt;&gt;"", $F224&gt;=T$5-4, $F224&lt;=T$5, COUNTIF($M224:S224,"u")=0), "u", "")</f>
        <v/>
      </c>
      <c r="U224" s="80" t="str">
        <f>IF(AND($F224&lt;&gt;"", $F224&gt;=U$5-4, $F224&lt;=U$5, COUNTIF($M224:T224,"u")=0), "u", "")</f>
        <v/>
      </c>
      <c r="V224" s="80" t="str">
        <f>IF(AND($F224&lt;&gt;"", $F224&gt;=V$5-4, $F224&lt;=V$5, COUNTIF($M224:U224,"u")=0), "u", "")</f>
        <v/>
      </c>
      <c r="W224" s="80" t="str">
        <f>IF(AND($F224&lt;&gt;"", $F224&gt;=W$5-4, $F224&lt;=W$5, COUNTIF($M224:V224,"u")=0), "u", "")</f>
        <v/>
      </c>
      <c r="X224" s="80" t="str">
        <f>IF(AND($F224&lt;&gt;"", $F224&gt;=X$5-4, $F224&lt;=X$5, COUNTIF($M224:W224,"u")=0), "u", "")</f>
        <v/>
      </c>
      <c r="Y224" s="80" t="str">
        <f>IF(AND($F224&lt;&gt;"", $F224&gt;=Y$5-4, $F224&lt;=Y$5, COUNTIF($M224:X224,"u")=0), "u", "")</f>
        <v/>
      </c>
      <c r="Z224" s="80" t="str">
        <f>IF(AND($F224&lt;&gt;"", $F224&gt;=Z$5-4, $F224&lt;=Z$5, COUNTIF($M224:Y224,"u")=0), "u", "")</f>
        <v/>
      </c>
      <c r="AA224" s="80" t="str">
        <f>IF(AND($F224&lt;&gt;"", $F224&gt;=AA$5-4, $F224&lt;=AA$5, COUNTIF($M224:Z224,"u")=0), "u", "")</f>
        <v/>
      </c>
      <c r="AB224" s="80" t="str">
        <f>IF(AND($F224&lt;&gt;"", $F224&gt;=AB$5-4, $F224&lt;=AB$5, COUNTIF($M224:AA224,"u")=0), "u", "")</f>
        <v/>
      </c>
      <c r="AC224" s="80" t="str">
        <f>IF(AND($F224&lt;&gt;"", $F224&gt;=AC$5-4, $F224&lt;=AC$5, COUNTIF($M224:AB224,"u")=0), "u", "")</f>
        <v/>
      </c>
      <c r="AD224" s="80" t="str">
        <f>IF(AND($F224&lt;&gt;"", $F224&gt;=AD$5-4, $F224&lt;=AD$5, COUNTIF($M224:AC224,"u")=0), "u", "")</f>
        <v/>
      </c>
      <c r="AE224" s="80" t="str">
        <f>IF(AND($F224&lt;&gt;"", $F224&gt;=AE$5-4, $F224&lt;=AE$5, COUNTIF($M224:AD224,"u")=0), "u", "")</f>
        <v/>
      </c>
      <c r="AF224" s="80" t="str">
        <f>IF(AND($F224&lt;&gt;"", $F224&gt;=AF$5-4, $F224&lt;=AF$5, COUNTIF($M224:AE224,"u")=0), "u", "")</f>
        <v/>
      </c>
      <c r="AG224" s="80" t="str">
        <f>IF(AND($F224&lt;&gt;"", $F224&gt;=AG$5-4, $F224&lt;=AG$5, COUNTIF($M224:AF224,"u")=0), "u", "")</f>
        <v/>
      </c>
      <c r="AH224" s="80" t="str">
        <f>IF(AND($F224&lt;&gt;"", $F224&gt;=AH$5-4, $F224&lt;=AH$5, COUNTIF($M224:AG224,"u")=0), "u", "")</f>
        <v/>
      </c>
      <c r="AI224" s="80" t="str">
        <f>IF(AND($F224&lt;&gt;"", $F224&gt;=AI$5-4, $F224&lt;=AI$5, COUNTIF($M224:AH224,"u")=0), "u", "")</f>
        <v/>
      </c>
      <c r="AJ224" s="80" t="str">
        <f>IF(AND($F224&lt;&gt;"", $F224&gt;=AJ$5-4, $F224&lt;=AJ$5, COUNTIF($M224:AI224,"u")=0), "u", "")</f>
        <v/>
      </c>
      <c r="AK224" s="80" t="str">
        <f>IF(AND($F224&lt;&gt;"", $F224&gt;=AK$5-4, $F224&lt;=AK$5, COUNTIF($M224:AJ224,"u")=0), "u", "")</f>
        <v/>
      </c>
      <c r="AL224" s="80" t="str">
        <f>IF(AND($F224&lt;&gt;"", $F224&gt;=AL$5-4, $F224&lt;=AL$5, COUNTIF($M224:AK224,"u")=0), "u", "")</f>
        <v/>
      </c>
      <c r="AM224" s="80" t="str">
        <f>IF(AND($F224&lt;&gt;"", $F224&gt;=AM$5-4, $F224&lt;=AM$5, COUNTIF($M224:AL224,"u")=0), "u", "")</f>
        <v/>
      </c>
      <c r="AN224" s="80" t="str">
        <f>IF(AND($F224&lt;&gt;"", $F224&gt;=AN$5-4, $F224&lt;=AN$5, COUNTIF($M224:AM224,"u")=0), "u", "")</f>
        <v/>
      </c>
      <c r="AO224" s="80" t="str">
        <f>IF(AND($F224&lt;&gt;"", $F224&gt;=AO$5-4, $F224&lt;=AO$5, COUNTIF($M224:AN224,"u")=0), "u", "")</f>
        <v/>
      </c>
      <c r="AP224" s="80" t="str">
        <f>IF(AND($F224&lt;&gt;"", $F224&gt;=AP$5-4, $F224&lt;=AP$5, COUNTIF($M224:AO224,"u")=0), "u", "")</f>
        <v/>
      </c>
      <c r="AQ224" s="80" t="str">
        <f>IF(AND($F224&lt;&gt;"", $F224&gt;=AQ$5-4, $F224&lt;=AQ$5, COUNTIF($M224:AP224,"u")=0), "u", "")</f>
        <v/>
      </c>
      <c r="AR224" s="80" t="str">
        <f>IF(AND($F224&lt;&gt;"", $F224&gt;=AR$5-4, $F224&lt;=AR$5, COUNTIF($M224:AQ224,"u")=0), "u", "")</f>
        <v/>
      </c>
      <c r="AS224" s="80" t="str">
        <f>IF(AND($F224&lt;&gt;"", $F224&gt;=AS$5-4, $F224&lt;=AS$5, COUNTIF($M224:AR224,"u")=0), "u", "")</f>
        <v/>
      </c>
      <c r="AT224" s="80" t="str">
        <f>IF(AND($F224&lt;&gt;"", $F224&gt;=AT$5-4, $F224&lt;=AT$5, COUNTIF($M224:AS224,"u")=0), "u", "")</f>
        <v/>
      </c>
      <c r="AU224" s="80" t="str">
        <f>IF(AND($F224&lt;&gt;"", $F224&gt;=AU$5-4, $F224&lt;=AU$5, COUNTIF($M224:AT224,"u")=0), "u", "")</f>
        <v/>
      </c>
      <c r="AV224" s="80" t="str">
        <f>IF(AND($F224&lt;&gt;"", $F224&gt;=AV$5-4, $F224&lt;=AV$5, COUNTIF($M224:AU224,"u")=0), "u", "")</f>
        <v/>
      </c>
      <c r="AW224" s="80" t="str">
        <f>IF(AND($F224&lt;&gt;"", $F224&gt;=AW$5-4, $F224&lt;=AW$5, COUNTIF($M224:AV224,"u")=0), "u", "")</f>
        <v/>
      </c>
      <c r="AX224" s="80" t="str">
        <f>IF(AND($F224&lt;&gt;"", $F224&gt;=AX$5-4, $F224&lt;=AX$5, COUNTIF($M224:AW224,"u")=0), "u", "")</f>
        <v/>
      </c>
      <c r="AY224" s="80" t="str">
        <f>IF(AND($F224&lt;&gt;"", $F224&gt;=AY$5-4, $F224&lt;=AY$5, COUNTIF($M224:AX224,"u")=0), "u", "")</f>
        <v/>
      </c>
      <c r="AZ224" s="80" t="str">
        <f>IF(AND($F224&lt;&gt;"", $F224&gt;=AZ$5-4, $F224&lt;=AZ$5, COUNTIF($M224:AY224,"u")=0), "u", "")</f>
        <v/>
      </c>
      <c r="BA224" s="80" t="str">
        <f>IF(AND($F224&lt;&gt;"", $F224&gt;=BA$5-4, $F224&lt;=BA$5, COUNTIF($M224:AZ224,"u")=0), "u", "")</f>
        <v/>
      </c>
      <c r="BB224" s="80" t="str">
        <f>IF(AND($F224&lt;&gt;"", $F224&gt;=BB$5-4, $F224&lt;=BB$5, COUNTIF($M224:BA224,"u")=0), "u", "")</f>
        <v/>
      </c>
      <c r="BC224" s="80" t="str">
        <f>IF(AND($F224&lt;&gt;"", $F224&gt;=BC$5-4, $F224&lt;=BC$5, COUNTIF($M224:BB224,"u")=0), "u", "")</f>
        <v/>
      </c>
      <c r="BD224" s="80" t="str">
        <f>IF(AND($F224&lt;&gt;"", $F224&gt;=BD$5-4, $F224&lt;=BD$5, COUNTIF($M224:BC224,"u")=0), "u", "")</f>
        <v/>
      </c>
      <c r="BE224" s="80" t="str">
        <f>IF(AND($F224&lt;&gt;"", $F224&gt;=BE$5-4, $F224&lt;=BE$5, COUNTIF($M224:BD224,"u")=0), "u", "")</f>
        <v/>
      </c>
      <c r="BF224" s="80" t="str">
        <f>IF(AND($F224&lt;&gt;"", $F224&gt;=BF$5-4, $F224&lt;=BF$5, COUNTIF($M224:BE224,"u")=0), "u", "")</f>
        <v/>
      </c>
      <c r="BG224" s="80" t="str">
        <f>IF(AND($F224&lt;&gt;"", $F224&gt;=BG$5-4, $F224&lt;=BG$5, COUNTIF($M224:BF224,"u")=0), "u", "")</f>
        <v/>
      </c>
      <c r="BH224" s="80" t="str">
        <f>IF(AND($F224&lt;&gt;"", $F224&gt;=BH$5-4, $F224&lt;=BH$5, COUNTIF($M224:BG224,"u")=0), "u", "")</f>
        <v/>
      </c>
      <c r="BI224" s="80" t="str">
        <f>IF(AND($F224&lt;&gt;"", $F224&gt;=BI$5-4, $F224&lt;=BI$5, COUNTIF($M224:BH224,"u")=0), "u", "")</f>
        <v/>
      </c>
      <c r="BJ224" s="80" t="str">
        <f>IF(AND($F224&lt;&gt;"", $F224&gt;=BJ$5-4, $F224&lt;=BJ$5, COUNTIF($M224:BI224,"u")=0), "u", "")</f>
        <v/>
      </c>
      <c r="BK224" s="80" t="str">
        <f>IF(AND($F224&lt;&gt;"", $F224&gt;=BK$5-4, $F224&lt;=BK$5, COUNTIF($M224:BJ224,"u")=0), "u", "")</f>
        <v/>
      </c>
      <c r="BL224" s="80" t="str">
        <f>IF(AND($F224&lt;&gt;"", $F224&gt;=BL$5-4, $F224&lt;=BL$5, COUNTIF($M224:BK224,"u")=0), "u", "")</f>
        <v/>
      </c>
      <c r="BM224" s="80" t="str">
        <f>IF(AND($F224&lt;&gt;"", $F224&gt;=BM$5-4, $F224&lt;=BM$5, COUNTIF($M224:BL224,"u")=0), "u", "")</f>
        <v/>
      </c>
      <c r="BN224" s="80" t="str">
        <f>IF(AND($F224&lt;&gt;"", $F224&gt;=BN$5-4, $F224&lt;=BN$5, COUNTIF($M224:BM224,"u")=0), "u", "")</f>
        <v/>
      </c>
      <c r="BO224" s="80" t="str">
        <f>IF(AND($F224&lt;&gt;"", $F224&gt;=BO$5-4, $F224&lt;=BO$5, COUNTIF($M224:BN224,"u")=0), "u", "")</f>
        <v/>
      </c>
      <c r="BP224" s="80" t="str">
        <f>IF(AND($F224&lt;&gt;"", $F224&gt;=BP$5-4, $F224&lt;=BP$5, COUNTIF($M224:BO224,"u")=0), "u", "")</f>
        <v/>
      </c>
      <c r="BQ224" s="80" t="str">
        <f>IF(AND($F224&lt;&gt;"", $F224&gt;=BQ$5-4, $F224&lt;=BQ$5, COUNTIF($M224:BP224,"u")=0), "u", "")</f>
        <v/>
      </c>
      <c r="BR224" s="80" t="str">
        <f>IF(AND($F224&lt;&gt;"", $F224&gt;=BR$5-4, $F224&lt;=BR$5, COUNTIF($M224:BQ224,"u")=0), "u", "")</f>
        <v/>
      </c>
      <c r="BS224" s="80" t="str">
        <f>IF(AND($F224&lt;&gt;"", $F224&gt;=BS$5-4, $F224&lt;=BS$5, COUNTIF($M224:BR224,"u")=0), "u", "")</f>
        <v/>
      </c>
      <c r="BT224" s="80" t="str">
        <f>IF(AND($F224&lt;&gt;"", $F224&gt;=BT$5-4, $F224&lt;=BT$5, COUNTIF($M224:BS224,"u")=0), "u", "")</f>
        <v/>
      </c>
      <c r="BU224" s="80" t="str">
        <f>IF(AND($F224&lt;&gt;"", $F224&gt;=BU$5-4, $F224&lt;=BU$5, COUNTIF($M224:BT224,"u")=0), "u", "")</f>
        <v/>
      </c>
      <c r="BV224" s="80" t="str">
        <f>IF(AND($F224&lt;&gt;"", $F224&gt;=BV$5-4, $F224&lt;=BV$5, COUNTIF($M224:BU224,"u")=0), "u", "")</f>
        <v/>
      </c>
      <c r="BW224" s="80" t="str">
        <f>IF(AND($F224&lt;&gt;"", $F224&gt;=BW$5-4, $F224&lt;=BW$5, COUNTIF($M224:BV224,"u")=0), "u", "")</f>
        <v/>
      </c>
      <c r="BX224" s="80" t="str">
        <f>IF(AND($F224&lt;&gt;"", $F224&gt;=BX$5-4, $F224&lt;=BX$5, COUNTIF($M224:BW224,"u")=0), "u", "")</f>
        <v/>
      </c>
      <c r="BY224" s="80" t="str">
        <f>IF(AND($F224&lt;&gt;"", $F224&gt;=BY$5-4, $F224&lt;=BY$5, COUNTIF($M224:BX224,"u")=0), "u", "")</f>
        <v/>
      </c>
      <c r="BZ224" s="80" t="str">
        <f>IF(AND($F224&lt;&gt;"", $F224&gt;=BZ$5-4, $F224&lt;=BZ$5, COUNTIF($M224:BY224,"u")=0), "u", "")</f>
        <v/>
      </c>
      <c r="CA224" s="80" t="str">
        <f>IF(AND($F224&lt;&gt;"", $F224&gt;=CA$5-4, $F224&lt;=CA$5, COUNTIF($M224:BZ224,"u")=0), "u", "")</f>
        <v/>
      </c>
      <c r="CB224" s="80" t="str">
        <f>IF(AND($F224&lt;&gt;"", $F224&gt;=CB$5-4, $F224&lt;=CB$5, COUNTIF($M224:CA224,"u")=0), "u", "")</f>
        <v/>
      </c>
      <c r="CC224" s="80" t="str">
        <f>IF(AND($F224&lt;&gt;"", $F224&gt;=CC$5-4, $F224&lt;=CC$5, COUNTIF($M224:CB224,"u")=0), "u", "")</f>
        <v/>
      </c>
      <c r="CD224" s="80" t="str">
        <f>IF(AND($F224&lt;&gt;"", $F224&gt;=CD$5-4, $F224&lt;=CD$5, COUNTIF($M224:CC224,"u")=0), "u", "")</f>
        <v/>
      </c>
      <c r="CE224" s="80" t="str">
        <f>IF(AND($F224&lt;&gt;"", $F224&gt;=CE$5-4, $F224&lt;=CE$5, COUNTIF($M224:CD224,"u")=0), "u", "")</f>
        <v/>
      </c>
      <c r="CF224" s="80" t="str">
        <f>IF(AND($F224&lt;&gt;"", $F224&gt;=CF$5-4, $F224&lt;=CF$5, COUNTIF($M224:CE224,"u")=0), "u", "")</f>
        <v/>
      </c>
      <c r="CG224" s="80" t="str">
        <f>IF(AND($F224&lt;&gt;"", $F224&gt;=CG$5-4, $F224&lt;=CG$5, COUNTIF($M224:CF224,"u")=0), "u", "")</f>
        <v/>
      </c>
      <c r="CH224" s="80" t="str">
        <f>IF(AND($F224&lt;&gt;"", $F224&gt;=CH$5-4, $F224&lt;=CH$5, COUNTIF($M224:CG224,"u")=0), "u", "")</f>
        <v/>
      </c>
      <c r="CI224" s="80" t="str">
        <f>IF(AND($F224&lt;&gt;"", $F224&gt;=CI$5-4, $F224&lt;=CI$5, COUNTIF($M224:CH224,"u")=0), "u", "")</f>
        <v/>
      </c>
      <c r="CJ224" s="80" t="str">
        <f>IF(AND($F224&lt;&gt;"", $F224&gt;=CJ$5-4, $F224&lt;=CJ$5, COUNTIF($M224:CI224,"u")=0), "u", "")</f>
        <v/>
      </c>
      <c r="CK224" s="80" t="str">
        <f>IF(AND($F224&lt;&gt;"", $F224&gt;=CK$5-4, $F224&lt;=CK$5, COUNTIF($M224:CJ224,"u")=0), "u", "")</f>
        <v/>
      </c>
      <c r="CL224" s="80" t="str">
        <f>IF(AND($F224&lt;&gt;"", $F224&gt;=CL$5-4, $F224&lt;=CL$5, COUNTIF($M224:CK224,"u")=0), "u", "")</f>
        <v/>
      </c>
      <c r="CM224" s="80" t="str">
        <f>IF(AND($F224&lt;&gt;"", $F224&gt;=CM$5-4, $F224&lt;=CM$5, COUNTIF($M224:CL224,"u")=0), "u", "")</f>
        <v/>
      </c>
      <c r="CN224" s="80" t="str">
        <f>IF(AND($F224&lt;&gt;"", $F224&gt;=CN$5-4, $F224&lt;=CN$5, COUNTIF($M224:CM224,"u")=0), "u", "")</f>
        <v/>
      </c>
      <c r="CO224" s="80" t="str">
        <f>IF(AND($F224&lt;&gt;"", $F224&gt;=CO$5-4, $F224&lt;=CO$5, COUNTIF($M224:CN224,"u")=0), "u", "")</f>
        <v/>
      </c>
      <c r="CP224" s="80" t="str">
        <f>IF(AND($F224&lt;&gt;"", $F224&gt;=CP$5-4, $F224&lt;=CP$5, COUNTIF($M224:CO224,"u")=0), "u", "")</f>
        <v/>
      </c>
      <c r="CQ224" s="80" t="str">
        <f>IF(AND($F224&lt;&gt;"", $F224&gt;=CQ$5-4, $F224&lt;=CQ$5, COUNTIF($M224:CP224,"u")=0), "u", "")</f>
        <v/>
      </c>
      <c r="CR224" s="80" t="str">
        <f>IF(AND($F224&lt;&gt;"", $F224&gt;=CR$5-4, $F224&lt;=CR$5, COUNTIF($M224:CQ224,"u")=0), "u", "")</f>
        <v/>
      </c>
      <c r="CS224" s="80" t="str">
        <f>IF(AND($F224&lt;&gt;"", $F224&gt;=CS$5-4, $F224&lt;=CS$5, COUNTIF($M224:CR224,"u")=0), "u", "")</f>
        <v/>
      </c>
      <c r="CT224" s="80" t="str">
        <f>IF(AND($F224&lt;&gt;"", $F224&gt;=CT$5-4, $F224&lt;=CT$5, COUNTIF($M224:CS224,"u")=0), "u", "")</f>
        <v/>
      </c>
      <c r="CU224" s="80" t="str">
        <f>IF(AND($F224&lt;&gt;"", $F224&gt;=CU$5-4, $F224&lt;=CU$5, COUNTIF($M224:CT224,"u")=0), "u", "")</f>
        <v/>
      </c>
      <c r="CV224" s="80" t="str">
        <f>IF(AND($F224&lt;&gt;"", $F224&gt;=CV$5-4, $F224&lt;=CV$5, COUNTIF($M224:CU224,"u")=0), "u", "")</f>
        <v/>
      </c>
      <c r="CW224" s="80" t="str">
        <f>IF(AND($F224&lt;&gt;"", $F224&gt;=CW$5-4, $F224&lt;=CW$5, COUNTIF($M224:CV224,"u")=0), "u", "")</f>
        <v/>
      </c>
      <c r="CX224" s="80" t="str">
        <f>IF(AND($F224&lt;&gt;"", $F224&gt;=CX$5-4, $F224&lt;=CX$5, COUNTIF($M224:CW224,"u")=0), "u", "")</f>
        <v/>
      </c>
      <c r="CY224" s="80" t="str">
        <f>IF(AND($F224&lt;&gt;"", $F224&gt;=CY$5-4, $F224&lt;=CY$5, COUNTIF($M224:CX224,"u")=0), "u", "")</f>
        <v/>
      </c>
      <c r="CZ224" s="80" t="str">
        <f>IF(AND($F224&lt;&gt;"", $F224&gt;=CZ$5-4, $F224&lt;=CZ$5, COUNTIF($M224:CY224,"u")=0), "u", "")</f>
        <v/>
      </c>
      <c r="DA224" s="80" t="str">
        <f>IF(AND($F224&lt;&gt;"", $F224&gt;=DA$5-4, $F224&lt;=DA$5, COUNTIF($M224:CZ224,"u")=0), "u", "")</f>
        <v/>
      </c>
      <c r="DB224" s="80" t="str">
        <f>IF(AND($F224&lt;&gt;"", $F224&gt;=DB$5-4, $F224&lt;=DB$5, COUNTIF($M224:DA224,"u")=0), "u", "")</f>
        <v/>
      </c>
      <c r="DC224" s="80" t="str">
        <f>IF(AND($F224&lt;&gt;"", $F224&gt;=DC$5-4, $F224&lt;=DC$5, COUNTIF($M224:DB224,"u")=0), "u", "")</f>
        <v/>
      </c>
      <c r="DD224" s="80" t="str">
        <f>IF(AND($F224&lt;&gt;"", $F224&gt;=DD$5-4, $F224&lt;=DD$5, COUNTIF($M224:DC224,"u")=0), "u", "")</f>
        <v/>
      </c>
      <c r="DE224" s="80" t="str">
        <f>IF(AND($F224&lt;&gt;"", $F224&gt;=DE$5-4, $F224&lt;=DE$5, COUNTIF($M224:DD224,"u")=0), "u", "")</f>
        <v/>
      </c>
      <c r="DF224" s="80" t="str">
        <f>IF(AND($F224&lt;&gt;"", $F224&gt;=DF$5-4, $F224&lt;=DF$5, COUNTIF($M224:DE224,"u")=0), "u", "")</f>
        <v/>
      </c>
      <c r="DG224" s="80" t="str">
        <f>IF(AND($F224&lt;&gt;"", $F224&gt;=DG$5-4, $F224&lt;=DG$5, COUNTIF($M224:DF224,"u")=0), "u", "")</f>
        <v/>
      </c>
      <c r="DH224" s="80" t="str">
        <f>IF(AND($F224&lt;&gt;"", $F224&gt;=DH$5-4, $F224&lt;=DH$5, COUNTIF($M224:DG224,"u")=0), "u", "")</f>
        <v/>
      </c>
      <c r="DI224" s="80" t="str">
        <f>IF(AND($F224&lt;&gt;"", $F224&gt;=DI$5-4, $F224&lt;=DI$5, COUNTIF($M224:DH224,"u")=0), "u", "")</f>
        <v/>
      </c>
      <c r="DJ224" s="80" t="str">
        <f>IF(AND($F224&lt;&gt;"", $F224&gt;=DJ$5-4, $F224&lt;=DJ$5, COUNTIF($M224:DI224,"u")=0), "u", "")</f>
        <v/>
      </c>
      <c r="DK224" s="80" t="str">
        <f>IF(AND($F224&lt;&gt;"", $F224&gt;=DK$5-4, $F224&lt;=DK$5, COUNTIF($M224:DJ224,"u")=0), "u", "")</f>
        <v/>
      </c>
      <c r="DL224" s="80" t="str">
        <f>IF(AND($F224&lt;&gt;"", $F224&gt;=DL$5-4, $F224&lt;=DL$5, COUNTIF($M224:DK224,"u")=0), "u", "")</f>
        <v/>
      </c>
    </row>
    <row r="225" spans="1:116" ht="25.05" customHeight="1" x14ac:dyDescent="0.3">
      <c r="A225" s="39"/>
      <c r="B225" s="75">
        <v>220</v>
      </c>
      <c r="C225" s="97"/>
      <c r="D225" s="92"/>
      <c r="E225" s="53"/>
      <c r="F225" s="53"/>
      <c r="G225" s="83" t="str">
        <f t="shared" si="56"/>
        <v/>
      </c>
      <c r="H225" s="83" t="str">
        <f t="shared" si="56"/>
        <v/>
      </c>
      <c r="I225" s="77" t="str">
        <f t="shared" si="54"/>
        <v/>
      </c>
      <c r="J225" s="78"/>
      <c r="K225" s="86"/>
      <c r="L225" s="56"/>
      <c r="M225" s="80" t="str">
        <f t="shared" si="55"/>
        <v/>
      </c>
      <c r="N225" s="80" t="str">
        <f>IF(AND($F225&lt;&gt;"", $F225&gt;=N$5-4, $F225&lt;=N$5, COUNTIF($M225:M225,"u")=0), "u", "")</f>
        <v/>
      </c>
      <c r="O225" s="80" t="str">
        <f>IF(AND($F225&lt;&gt;"", $F225&gt;=O$5-4, $F225&lt;=O$5, COUNTIF($M225:N225,"u")=0), "u", "")</f>
        <v/>
      </c>
      <c r="P225" s="80" t="str">
        <f>IF(AND($F225&lt;&gt;"", $F225&gt;=P$5-4, $F225&lt;=P$5, COUNTIF($M225:O225,"u")=0), "u", "")</f>
        <v/>
      </c>
      <c r="Q225" s="80" t="str">
        <f>IF(AND($F225&lt;&gt;"", $F225&gt;=Q$5-4, $F225&lt;=Q$5, COUNTIF($M225:P225,"u")=0), "u", "")</f>
        <v/>
      </c>
      <c r="R225" s="80" t="str">
        <f>IF(AND($F225&lt;&gt;"", $F225&gt;=R$5-4, $F225&lt;=R$5, COUNTIF($M225:Q225,"u")=0), "u", "")</f>
        <v/>
      </c>
      <c r="S225" s="80" t="str">
        <f>IF(AND($F225&lt;&gt;"", $F225&gt;=S$5-4, $F225&lt;=S$5, COUNTIF($M225:R225,"u")=0), "u", "")</f>
        <v/>
      </c>
      <c r="T225" s="80" t="str">
        <f>IF(AND($F225&lt;&gt;"", $F225&gt;=T$5-4, $F225&lt;=T$5, COUNTIF($M225:S225,"u")=0), "u", "")</f>
        <v/>
      </c>
      <c r="U225" s="80" t="str">
        <f>IF(AND($F225&lt;&gt;"", $F225&gt;=U$5-4, $F225&lt;=U$5, COUNTIF($M225:T225,"u")=0), "u", "")</f>
        <v/>
      </c>
      <c r="V225" s="80" t="str">
        <f>IF(AND($F225&lt;&gt;"", $F225&gt;=V$5-4, $F225&lt;=V$5, COUNTIF($M225:U225,"u")=0), "u", "")</f>
        <v/>
      </c>
      <c r="W225" s="80" t="str">
        <f>IF(AND($F225&lt;&gt;"", $F225&gt;=W$5-4, $F225&lt;=W$5, COUNTIF($M225:V225,"u")=0), "u", "")</f>
        <v/>
      </c>
      <c r="X225" s="80" t="str">
        <f>IF(AND($F225&lt;&gt;"", $F225&gt;=X$5-4, $F225&lt;=X$5, COUNTIF($M225:W225,"u")=0), "u", "")</f>
        <v/>
      </c>
      <c r="Y225" s="80" t="str">
        <f>IF(AND($F225&lt;&gt;"", $F225&gt;=Y$5-4, $F225&lt;=Y$5, COUNTIF($M225:X225,"u")=0), "u", "")</f>
        <v/>
      </c>
      <c r="Z225" s="80" t="str">
        <f>IF(AND($F225&lt;&gt;"", $F225&gt;=Z$5-4, $F225&lt;=Z$5, COUNTIF($M225:Y225,"u")=0), "u", "")</f>
        <v/>
      </c>
      <c r="AA225" s="80" t="str">
        <f>IF(AND($F225&lt;&gt;"", $F225&gt;=AA$5-4, $F225&lt;=AA$5, COUNTIF($M225:Z225,"u")=0), "u", "")</f>
        <v/>
      </c>
      <c r="AB225" s="80" t="str">
        <f>IF(AND($F225&lt;&gt;"", $F225&gt;=AB$5-4, $F225&lt;=AB$5, COUNTIF($M225:AA225,"u")=0), "u", "")</f>
        <v/>
      </c>
      <c r="AC225" s="80" t="str">
        <f>IF(AND($F225&lt;&gt;"", $F225&gt;=AC$5-4, $F225&lt;=AC$5, COUNTIF($M225:AB225,"u")=0), "u", "")</f>
        <v/>
      </c>
      <c r="AD225" s="80" t="str">
        <f>IF(AND($F225&lt;&gt;"", $F225&gt;=AD$5-4, $F225&lt;=AD$5, COUNTIF($M225:AC225,"u")=0), "u", "")</f>
        <v/>
      </c>
      <c r="AE225" s="80" t="str">
        <f>IF(AND($F225&lt;&gt;"", $F225&gt;=AE$5-4, $F225&lt;=AE$5, COUNTIF($M225:AD225,"u")=0), "u", "")</f>
        <v/>
      </c>
      <c r="AF225" s="80" t="str">
        <f>IF(AND($F225&lt;&gt;"", $F225&gt;=AF$5-4, $F225&lt;=AF$5, COUNTIF($M225:AE225,"u")=0), "u", "")</f>
        <v/>
      </c>
      <c r="AG225" s="80" t="str">
        <f>IF(AND($F225&lt;&gt;"", $F225&gt;=AG$5-4, $F225&lt;=AG$5, COUNTIF($M225:AF225,"u")=0), "u", "")</f>
        <v/>
      </c>
      <c r="AH225" s="80" t="str">
        <f>IF(AND($F225&lt;&gt;"", $F225&gt;=AH$5-4, $F225&lt;=AH$5, COUNTIF($M225:AG225,"u")=0), "u", "")</f>
        <v/>
      </c>
      <c r="AI225" s="80" t="str">
        <f>IF(AND($F225&lt;&gt;"", $F225&gt;=AI$5-4, $F225&lt;=AI$5, COUNTIF($M225:AH225,"u")=0), "u", "")</f>
        <v/>
      </c>
      <c r="AJ225" s="80" t="str">
        <f>IF(AND($F225&lt;&gt;"", $F225&gt;=AJ$5-4, $F225&lt;=AJ$5, COUNTIF($M225:AI225,"u")=0), "u", "")</f>
        <v/>
      </c>
      <c r="AK225" s="80" t="str">
        <f>IF(AND($F225&lt;&gt;"", $F225&gt;=AK$5-4, $F225&lt;=AK$5, COUNTIF($M225:AJ225,"u")=0), "u", "")</f>
        <v/>
      </c>
      <c r="AL225" s="80" t="str">
        <f>IF(AND($F225&lt;&gt;"", $F225&gt;=AL$5-4, $F225&lt;=AL$5, COUNTIF($M225:AK225,"u")=0), "u", "")</f>
        <v/>
      </c>
      <c r="AM225" s="80" t="str">
        <f>IF(AND($F225&lt;&gt;"", $F225&gt;=AM$5-4, $F225&lt;=AM$5, COUNTIF($M225:AL225,"u")=0), "u", "")</f>
        <v/>
      </c>
      <c r="AN225" s="80" t="str">
        <f>IF(AND($F225&lt;&gt;"", $F225&gt;=AN$5-4, $F225&lt;=AN$5, COUNTIF($M225:AM225,"u")=0), "u", "")</f>
        <v/>
      </c>
      <c r="AO225" s="80" t="str">
        <f>IF(AND($F225&lt;&gt;"", $F225&gt;=AO$5-4, $F225&lt;=AO$5, COUNTIF($M225:AN225,"u")=0), "u", "")</f>
        <v/>
      </c>
      <c r="AP225" s="80" t="str">
        <f>IF(AND($F225&lt;&gt;"", $F225&gt;=AP$5-4, $F225&lt;=AP$5, COUNTIF($M225:AO225,"u")=0), "u", "")</f>
        <v/>
      </c>
      <c r="AQ225" s="80" t="str">
        <f>IF(AND($F225&lt;&gt;"", $F225&gt;=AQ$5-4, $F225&lt;=AQ$5, COUNTIF($M225:AP225,"u")=0), "u", "")</f>
        <v/>
      </c>
      <c r="AR225" s="80" t="str">
        <f>IF(AND($F225&lt;&gt;"", $F225&gt;=AR$5-4, $F225&lt;=AR$5, COUNTIF($M225:AQ225,"u")=0), "u", "")</f>
        <v/>
      </c>
      <c r="AS225" s="80" t="str">
        <f>IF(AND($F225&lt;&gt;"", $F225&gt;=AS$5-4, $F225&lt;=AS$5, COUNTIF($M225:AR225,"u")=0), "u", "")</f>
        <v/>
      </c>
      <c r="AT225" s="80" t="str">
        <f>IF(AND($F225&lt;&gt;"", $F225&gt;=AT$5-4, $F225&lt;=AT$5, COUNTIF($M225:AS225,"u")=0), "u", "")</f>
        <v/>
      </c>
      <c r="AU225" s="80" t="str">
        <f>IF(AND($F225&lt;&gt;"", $F225&gt;=AU$5-4, $F225&lt;=AU$5, COUNTIF($M225:AT225,"u")=0), "u", "")</f>
        <v/>
      </c>
      <c r="AV225" s="80" t="str">
        <f>IF(AND($F225&lt;&gt;"", $F225&gt;=AV$5-4, $F225&lt;=AV$5, COUNTIF($M225:AU225,"u")=0), "u", "")</f>
        <v/>
      </c>
      <c r="AW225" s="80" t="str">
        <f>IF(AND($F225&lt;&gt;"", $F225&gt;=AW$5-4, $F225&lt;=AW$5, COUNTIF($M225:AV225,"u")=0), "u", "")</f>
        <v/>
      </c>
      <c r="AX225" s="80" t="str">
        <f>IF(AND($F225&lt;&gt;"", $F225&gt;=AX$5-4, $F225&lt;=AX$5, COUNTIF($M225:AW225,"u")=0), "u", "")</f>
        <v/>
      </c>
      <c r="AY225" s="80" t="str">
        <f>IF(AND($F225&lt;&gt;"", $F225&gt;=AY$5-4, $F225&lt;=AY$5, COUNTIF($M225:AX225,"u")=0), "u", "")</f>
        <v/>
      </c>
      <c r="AZ225" s="80" t="str">
        <f>IF(AND($F225&lt;&gt;"", $F225&gt;=AZ$5-4, $F225&lt;=AZ$5, COUNTIF($M225:AY225,"u")=0), "u", "")</f>
        <v/>
      </c>
      <c r="BA225" s="80" t="str">
        <f>IF(AND($F225&lt;&gt;"", $F225&gt;=BA$5-4, $F225&lt;=BA$5, COUNTIF($M225:AZ225,"u")=0), "u", "")</f>
        <v/>
      </c>
      <c r="BB225" s="80" t="str">
        <f>IF(AND($F225&lt;&gt;"", $F225&gt;=BB$5-4, $F225&lt;=BB$5, COUNTIF($M225:BA225,"u")=0), "u", "")</f>
        <v/>
      </c>
      <c r="BC225" s="80" t="str">
        <f>IF(AND($F225&lt;&gt;"", $F225&gt;=BC$5-4, $F225&lt;=BC$5, COUNTIF($M225:BB225,"u")=0), "u", "")</f>
        <v/>
      </c>
      <c r="BD225" s="80" t="str">
        <f>IF(AND($F225&lt;&gt;"", $F225&gt;=BD$5-4, $F225&lt;=BD$5, COUNTIF($M225:BC225,"u")=0), "u", "")</f>
        <v/>
      </c>
      <c r="BE225" s="80" t="str">
        <f>IF(AND($F225&lt;&gt;"", $F225&gt;=BE$5-4, $F225&lt;=BE$5, COUNTIF($M225:BD225,"u")=0), "u", "")</f>
        <v/>
      </c>
      <c r="BF225" s="80" t="str">
        <f>IF(AND($F225&lt;&gt;"", $F225&gt;=BF$5-4, $F225&lt;=BF$5, COUNTIF($M225:BE225,"u")=0), "u", "")</f>
        <v/>
      </c>
      <c r="BG225" s="80" t="str">
        <f>IF(AND($F225&lt;&gt;"", $F225&gt;=BG$5-4, $F225&lt;=BG$5, COUNTIF($M225:BF225,"u")=0), "u", "")</f>
        <v/>
      </c>
      <c r="BH225" s="80" t="str">
        <f>IF(AND($F225&lt;&gt;"", $F225&gt;=BH$5-4, $F225&lt;=BH$5, COUNTIF($M225:BG225,"u")=0), "u", "")</f>
        <v/>
      </c>
      <c r="BI225" s="80" t="str">
        <f>IF(AND($F225&lt;&gt;"", $F225&gt;=BI$5-4, $F225&lt;=BI$5, COUNTIF($M225:BH225,"u")=0), "u", "")</f>
        <v/>
      </c>
      <c r="BJ225" s="80" t="str">
        <f>IF(AND($F225&lt;&gt;"", $F225&gt;=BJ$5-4, $F225&lt;=BJ$5, COUNTIF($M225:BI225,"u")=0), "u", "")</f>
        <v/>
      </c>
      <c r="BK225" s="80" t="str">
        <f>IF(AND($F225&lt;&gt;"", $F225&gt;=BK$5-4, $F225&lt;=BK$5, COUNTIF($M225:BJ225,"u")=0), "u", "")</f>
        <v/>
      </c>
      <c r="BL225" s="80" t="str">
        <f>IF(AND($F225&lt;&gt;"", $F225&gt;=BL$5-4, $F225&lt;=BL$5, COUNTIF($M225:BK225,"u")=0), "u", "")</f>
        <v/>
      </c>
      <c r="BM225" s="80" t="str">
        <f>IF(AND($F225&lt;&gt;"", $F225&gt;=BM$5-4, $F225&lt;=BM$5, COUNTIF($M225:BL225,"u")=0), "u", "")</f>
        <v/>
      </c>
      <c r="BN225" s="80" t="str">
        <f>IF(AND($F225&lt;&gt;"", $F225&gt;=BN$5-4, $F225&lt;=BN$5, COUNTIF($M225:BM225,"u")=0), "u", "")</f>
        <v/>
      </c>
      <c r="BO225" s="80" t="str">
        <f>IF(AND($F225&lt;&gt;"", $F225&gt;=BO$5-4, $F225&lt;=BO$5, COUNTIF($M225:BN225,"u")=0), "u", "")</f>
        <v/>
      </c>
      <c r="BP225" s="80" t="str">
        <f>IF(AND($F225&lt;&gt;"", $F225&gt;=BP$5-4, $F225&lt;=BP$5, COUNTIF($M225:BO225,"u")=0), "u", "")</f>
        <v/>
      </c>
      <c r="BQ225" s="80" t="str">
        <f>IF(AND($F225&lt;&gt;"", $F225&gt;=BQ$5-4, $F225&lt;=BQ$5, COUNTIF($M225:BP225,"u")=0), "u", "")</f>
        <v/>
      </c>
      <c r="BR225" s="80" t="str">
        <f>IF(AND($F225&lt;&gt;"", $F225&gt;=BR$5-4, $F225&lt;=BR$5, COUNTIF($M225:BQ225,"u")=0), "u", "")</f>
        <v/>
      </c>
      <c r="BS225" s="80" t="str">
        <f>IF(AND($F225&lt;&gt;"", $F225&gt;=BS$5-4, $F225&lt;=BS$5, COUNTIF($M225:BR225,"u")=0), "u", "")</f>
        <v/>
      </c>
      <c r="BT225" s="80" t="str">
        <f>IF(AND($F225&lt;&gt;"", $F225&gt;=BT$5-4, $F225&lt;=BT$5, COUNTIF($M225:BS225,"u")=0), "u", "")</f>
        <v/>
      </c>
      <c r="BU225" s="80" t="str">
        <f>IF(AND($F225&lt;&gt;"", $F225&gt;=BU$5-4, $F225&lt;=BU$5, COUNTIF($M225:BT225,"u")=0), "u", "")</f>
        <v/>
      </c>
      <c r="BV225" s="80" t="str">
        <f>IF(AND($F225&lt;&gt;"", $F225&gt;=BV$5-4, $F225&lt;=BV$5, COUNTIF($M225:BU225,"u")=0), "u", "")</f>
        <v/>
      </c>
      <c r="BW225" s="80" t="str">
        <f>IF(AND($F225&lt;&gt;"", $F225&gt;=BW$5-4, $F225&lt;=BW$5, COUNTIF($M225:BV225,"u")=0), "u", "")</f>
        <v/>
      </c>
      <c r="BX225" s="80" t="str">
        <f>IF(AND($F225&lt;&gt;"", $F225&gt;=BX$5-4, $F225&lt;=BX$5, COUNTIF($M225:BW225,"u")=0), "u", "")</f>
        <v/>
      </c>
      <c r="BY225" s="80" t="str">
        <f>IF(AND($F225&lt;&gt;"", $F225&gt;=BY$5-4, $F225&lt;=BY$5, COUNTIF($M225:BX225,"u")=0), "u", "")</f>
        <v/>
      </c>
      <c r="BZ225" s="80" t="str">
        <f>IF(AND($F225&lt;&gt;"", $F225&gt;=BZ$5-4, $F225&lt;=BZ$5, COUNTIF($M225:BY225,"u")=0), "u", "")</f>
        <v/>
      </c>
      <c r="CA225" s="80" t="str">
        <f>IF(AND($F225&lt;&gt;"", $F225&gt;=CA$5-4, $F225&lt;=CA$5, COUNTIF($M225:BZ225,"u")=0), "u", "")</f>
        <v/>
      </c>
      <c r="CB225" s="80" t="str">
        <f>IF(AND($F225&lt;&gt;"", $F225&gt;=CB$5-4, $F225&lt;=CB$5, COUNTIF($M225:CA225,"u")=0), "u", "")</f>
        <v/>
      </c>
      <c r="CC225" s="80" t="str">
        <f>IF(AND($F225&lt;&gt;"", $F225&gt;=CC$5-4, $F225&lt;=CC$5, COUNTIF($M225:CB225,"u")=0), "u", "")</f>
        <v/>
      </c>
      <c r="CD225" s="80" t="str">
        <f>IF(AND($F225&lt;&gt;"", $F225&gt;=CD$5-4, $F225&lt;=CD$5, COUNTIF($M225:CC225,"u")=0), "u", "")</f>
        <v/>
      </c>
      <c r="CE225" s="80" t="str">
        <f>IF(AND($F225&lt;&gt;"", $F225&gt;=CE$5-4, $F225&lt;=CE$5, COUNTIF($M225:CD225,"u")=0), "u", "")</f>
        <v/>
      </c>
      <c r="CF225" s="80" t="str">
        <f>IF(AND($F225&lt;&gt;"", $F225&gt;=CF$5-4, $F225&lt;=CF$5, COUNTIF($M225:CE225,"u")=0), "u", "")</f>
        <v/>
      </c>
      <c r="CG225" s="80" t="str">
        <f>IF(AND($F225&lt;&gt;"", $F225&gt;=CG$5-4, $F225&lt;=CG$5, COUNTIF($M225:CF225,"u")=0), "u", "")</f>
        <v/>
      </c>
      <c r="CH225" s="80" t="str">
        <f>IF(AND($F225&lt;&gt;"", $F225&gt;=CH$5-4, $F225&lt;=CH$5, COUNTIF($M225:CG225,"u")=0), "u", "")</f>
        <v/>
      </c>
      <c r="CI225" s="80" t="str">
        <f>IF(AND($F225&lt;&gt;"", $F225&gt;=CI$5-4, $F225&lt;=CI$5, COUNTIF($M225:CH225,"u")=0), "u", "")</f>
        <v/>
      </c>
      <c r="CJ225" s="80" t="str">
        <f>IF(AND($F225&lt;&gt;"", $F225&gt;=CJ$5-4, $F225&lt;=CJ$5, COUNTIF($M225:CI225,"u")=0), "u", "")</f>
        <v/>
      </c>
      <c r="CK225" s="80" t="str">
        <f>IF(AND($F225&lt;&gt;"", $F225&gt;=CK$5-4, $F225&lt;=CK$5, COUNTIF($M225:CJ225,"u")=0), "u", "")</f>
        <v/>
      </c>
      <c r="CL225" s="80" t="str">
        <f>IF(AND($F225&lt;&gt;"", $F225&gt;=CL$5-4, $F225&lt;=CL$5, COUNTIF($M225:CK225,"u")=0), "u", "")</f>
        <v/>
      </c>
      <c r="CM225" s="80" t="str">
        <f>IF(AND($F225&lt;&gt;"", $F225&gt;=CM$5-4, $F225&lt;=CM$5, COUNTIF($M225:CL225,"u")=0), "u", "")</f>
        <v/>
      </c>
      <c r="CN225" s="80" t="str">
        <f>IF(AND($F225&lt;&gt;"", $F225&gt;=CN$5-4, $F225&lt;=CN$5, COUNTIF($M225:CM225,"u")=0), "u", "")</f>
        <v/>
      </c>
      <c r="CO225" s="80" t="str">
        <f>IF(AND($F225&lt;&gt;"", $F225&gt;=CO$5-4, $F225&lt;=CO$5, COUNTIF($M225:CN225,"u")=0), "u", "")</f>
        <v/>
      </c>
      <c r="CP225" s="80" t="str">
        <f>IF(AND($F225&lt;&gt;"", $F225&gt;=CP$5-4, $F225&lt;=CP$5, COUNTIF($M225:CO225,"u")=0), "u", "")</f>
        <v/>
      </c>
      <c r="CQ225" s="80" t="str">
        <f>IF(AND($F225&lt;&gt;"", $F225&gt;=CQ$5-4, $F225&lt;=CQ$5, COUNTIF($M225:CP225,"u")=0), "u", "")</f>
        <v/>
      </c>
      <c r="CR225" s="80" t="str">
        <f>IF(AND($F225&lt;&gt;"", $F225&gt;=CR$5-4, $F225&lt;=CR$5, COUNTIF($M225:CQ225,"u")=0), "u", "")</f>
        <v/>
      </c>
      <c r="CS225" s="80" t="str">
        <f>IF(AND($F225&lt;&gt;"", $F225&gt;=CS$5-4, $F225&lt;=CS$5, COUNTIF($M225:CR225,"u")=0), "u", "")</f>
        <v/>
      </c>
      <c r="CT225" s="80" t="str">
        <f>IF(AND($F225&lt;&gt;"", $F225&gt;=CT$5-4, $F225&lt;=CT$5, COUNTIF($M225:CS225,"u")=0), "u", "")</f>
        <v/>
      </c>
      <c r="CU225" s="80" t="str">
        <f>IF(AND($F225&lt;&gt;"", $F225&gt;=CU$5-4, $F225&lt;=CU$5, COUNTIF($M225:CT225,"u")=0), "u", "")</f>
        <v/>
      </c>
      <c r="CV225" s="80" t="str">
        <f>IF(AND($F225&lt;&gt;"", $F225&gt;=CV$5-4, $F225&lt;=CV$5, COUNTIF($M225:CU225,"u")=0), "u", "")</f>
        <v/>
      </c>
      <c r="CW225" s="80" t="str">
        <f>IF(AND($F225&lt;&gt;"", $F225&gt;=CW$5-4, $F225&lt;=CW$5, COUNTIF($M225:CV225,"u")=0), "u", "")</f>
        <v/>
      </c>
      <c r="CX225" s="80" t="str">
        <f>IF(AND($F225&lt;&gt;"", $F225&gt;=CX$5-4, $F225&lt;=CX$5, COUNTIF($M225:CW225,"u")=0), "u", "")</f>
        <v/>
      </c>
      <c r="CY225" s="80" t="str">
        <f>IF(AND($F225&lt;&gt;"", $F225&gt;=CY$5-4, $F225&lt;=CY$5, COUNTIF($M225:CX225,"u")=0), "u", "")</f>
        <v/>
      </c>
      <c r="CZ225" s="80" t="str">
        <f>IF(AND($F225&lt;&gt;"", $F225&gt;=CZ$5-4, $F225&lt;=CZ$5, COUNTIF($M225:CY225,"u")=0), "u", "")</f>
        <v/>
      </c>
      <c r="DA225" s="80" t="str">
        <f>IF(AND($F225&lt;&gt;"", $F225&gt;=DA$5-4, $F225&lt;=DA$5, COUNTIF($M225:CZ225,"u")=0), "u", "")</f>
        <v/>
      </c>
      <c r="DB225" s="80" t="str">
        <f>IF(AND($F225&lt;&gt;"", $F225&gt;=DB$5-4, $F225&lt;=DB$5, COUNTIF($M225:DA225,"u")=0), "u", "")</f>
        <v/>
      </c>
      <c r="DC225" s="80" t="str">
        <f>IF(AND($F225&lt;&gt;"", $F225&gt;=DC$5-4, $F225&lt;=DC$5, COUNTIF($M225:DB225,"u")=0), "u", "")</f>
        <v/>
      </c>
      <c r="DD225" s="80" t="str">
        <f>IF(AND($F225&lt;&gt;"", $F225&gt;=DD$5-4, $F225&lt;=DD$5, COUNTIF($M225:DC225,"u")=0), "u", "")</f>
        <v/>
      </c>
      <c r="DE225" s="80" t="str">
        <f>IF(AND($F225&lt;&gt;"", $F225&gt;=DE$5-4, $F225&lt;=DE$5, COUNTIF($M225:DD225,"u")=0), "u", "")</f>
        <v/>
      </c>
      <c r="DF225" s="80" t="str">
        <f>IF(AND($F225&lt;&gt;"", $F225&gt;=DF$5-4, $F225&lt;=DF$5, COUNTIF($M225:DE225,"u")=0), "u", "")</f>
        <v/>
      </c>
      <c r="DG225" s="80" t="str">
        <f>IF(AND($F225&lt;&gt;"", $F225&gt;=DG$5-4, $F225&lt;=DG$5, COUNTIF($M225:DF225,"u")=0), "u", "")</f>
        <v/>
      </c>
      <c r="DH225" s="80" t="str">
        <f>IF(AND($F225&lt;&gt;"", $F225&gt;=DH$5-4, $F225&lt;=DH$5, COUNTIF($M225:DG225,"u")=0), "u", "")</f>
        <v/>
      </c>
      <c r="DI225" s="80" t="str">
        <f>IF(AND($F225&lt;&gt;"", $F225&gt;=DI$5-4, $F225&lt;=DI$5, COUNTIF($M225:DH225,"u")=0), "u", "")</f>
        <v/>
      </c>
      <c r="DJ225" s="80" t="str">
        <f>IF(AND($F225&lt;&gt;"", $F225&gt;=DJ$5-4, $F225&lt;=DJ$5, COUNTIF($M225:DI225,"u")=0), "u", "")</f>
        <v/>
      </c>
      <c r="DK225" s="80" t="str">
        <f>IF(AND($F225&lt;&gt;"", $F225&gt;=DK$5-4, $F225&lt;=DK$5, COUNTIF($M225:DJ225,"u")=0), "u", "")</f>
        <v/>
      </c>
      <c r="DL225" s="80" t="str">
        <f>IF(AND($F225&lt;&gt;"", $F225&gt;=DL$5-4, $F225&lt;=DL$5, COUNTIF($M225:DK225,"u")=0), "u", "")</f>
        <v/>
      </c>
    </row>
    <row r="226" spans="1:116" ht="25.05" customHeight="1" x14ac:dyDescent="0.3">
      <c r="A226" s="39"/>
      <c r="B226" s="75">
        <v>221</v>
      </c>
      <c r="C226" s="97"/>
      <c r="D226" s="92"/>
      <c r="E226" s="53"/>
      <c r="F226" s="53"/>
      <c r="G226" s="83" t="str">
        <f t="shared" si="56"/>
        <v/>
      </c>
      <c r="H226" s="83" t="str">
        <f t="shared" si="56"/>
        <v/>
      </c>
      <c r="I226" s="77" t="str">
        <f t="shared" si="54"/>
        <v/>
      </c>
      <c r="J226" s="78"/>
      <c r="K226" s="86"/>
      <c r="L226" s="56"/>
      <c r="M226" s="80" t="str">
        <f t="shared" si="55"/>
        <v/>
      </c>
      <c r="N226" s="80" t="str">
        <f>IF(AND($F226&lt;&gt;"", $F226&gt;=N$5-4, $F226&lt;=N$5, COUNTIF($M226:M226,"u")=0), "u", "")</f>
        <v/>
      </c>
      <c r="O226" s="80" t="str">
        <f>IF(AND($F226&lt;&gt;"", $F226&gt;=O$5-4, $F226&lt;=O$5, COUNTIF($M226:N226,"u")=0), "u", "")</f>
        <v/>
      </c>
      <c r="P226" s="80" t="str">
        <f>IF(AND($F226&lt;&gt;"", $F226&gt;=P$5-4, $F226&lt;=P$5, COUNTIF($M226:O226,"u")=0), "u", "")</f>
        <v/>
      </c>
      <c r="Q226" s="80" t="str">
        <f>IF(AND($F226&lt;&gt;"", $F226&gt;=Q$5-4, $F226&lt;=Q$5, COUNTIF($M226:P226,"u")=0), "u", "")</f>
        <v/>
      </c>
      <c r="R226" s="80" t="str">
        <f>IF(AND($F226&lt;&gt;"", $F226&gt;=R$5-4, $F226&lt;=R$5, COUNTIF($M226:Q226,"u")=0), "u", "")</f>
        <v/>
      </c>
      <c r="S226" s="80" t="str">
        <f>IF(AND($F226&lt;&gt;"", $F226&gt;=S$5-4, $F226&lt;=S$5, COUNTIF($M226:R226,"u")=0), "u", "")</f>
        <v/>
      </c>
      <c r="T226" s="80" t="str">
        <f>IF(AND($F226&lt;&gt;"", $F226&gt;=T$5-4, $F226&lt;=T$5, COUNTIF($M226:S226,"u")=0), "u", "")</f>
        <v/>
      </c>
      <c r="U226" s="80" t="str">
        <f>IF(AND($F226&lt;&gt;"", $F226&gt;=U$5-4, $F226&lt;=U$5, COUNTIF($M226:T226,"u")=0), "u", "")</f>
        <v/>
      </c>
      <c r="V226" s="80" t="str">
        <f>IF(AND($F226&lt;&gt;"", $F226&gt;=V$5-4, $F226&lt;=V$5, COUNTIF($M226:U226,"u")=0), "u", "")</f>
        <v/>
      </c>
      <c r="W226" s="80" t="str">
        <f>IF(AND($F226&lt;&gt;"", $F226&gt;=W$5-4, $F226&lt;=W$5, COUNTIF($M226:V226,"u")=0), "u", "")</f>
        <v/>
      </c>
      <c r="X226" s="80" t="str">
        <f>IF(AND($F226&lt;&gt;"", $F226&gt;=X$5-4, $F226&lt;=X$5, COUNTIF($M226:W226,"u")=0), "u", "")</f>
        <v/>
      </c>
      <c r="Y226" s="80" t="str">
        <f>IF(AND($F226&lt;&gt;"", $F226&gt;=Y$5-4, $F226&lt;=Y$5, COUNTIF($M226:X226,"u")=0), "u", "")</f>
        <v/>
      </c>
      <c r="Z226" s="80" t="str">
        <f>IF(AND($F226&lt;&gt;"", $F226&gt;=Z$5-4, $F226&lt;=Z$5, COUNTIF($M226:Y226,"u")=0), "u", "")</f>
        <v/>
      </c>
      <c r="AA226" s="80" t="str">
        <f>IF(AND($F226&lt;&gt;"", $F226&gt;=AA$5-4, $F226&lt;=AA$5, COUNTIF($M226:Z226,"u")=0), "u", "")</f>
        <v/>
      </c>
      <c r="AB226" s="80" t="str">
        <f>IF(AND($F226&lt;&gt;"", $F226&gt;=AB$5-4, $F226&lt;=AB$5, COUNTIF($M226:AA226,"u")=0), "u", "")</f>
        <v/>
      </c>
      <c r="AC226" s="80" t="str">
        <f>IF(AND($F226&lt;&gt;"", $F226&gt;=AC$5-4, $F226&lt;=AC$5, COUNTIF($M226:AB226,"u")=0), "u", "")</f>
        <v/>
      </c>
      <c r="AD226" s="80" t="str">
        <f>IF(AND($F226&lt;&gt;"", $F226&gt;=AD$5-4, $F226&lt;=AD$5, COUNTIF($M226:AC226,"u")=0), "u", "")</f>
        <v/>
      </c>
      <c r="AE226" s="80" t="str">
        <f>IF(AND($F226&lt;&gt;"", $F226&gt;=AE$5-4, $F226&lt;=AE$5, COUNTIF($M226:AD226,"u")=0), "u", "")</f>
        <v/>
      </c>
      <c r="AF226" s="80" t="str">
        <f>IF(AND($F226&lt;&gt;"", $F226&gt;=AF$5-4, $F226&lt;=AF$5, COUNTIF($M226:AE226,"u")=0), "u", "")</f>
        <v/>
      </c>
      <c r="AG226" s="80" t="str">
        <f>IF(AND($F226&lt;&gt;"", $F226&gt;=AG$5-4, $F226&lt;=AG$5, COUNTIF($M226:AF226,"u")=0), "u", "")</f>
        <v/>
      </c>
      <c r="AH226" s="80" t="str">
        <f>IF(AND($F226&lt;&gt;"", $F226&gt;=AH$5-4, $F226&lt;=AH$5, COUNTIF($M226:AG226,"u")=0), "u", "")</f>
        <v/>
      </c>
      <c r="AI226" s="80" t="str">
        <f>IF(AND($F226&lt;&gt;"", $F226&gt;=AI$5-4, $F226&lt;=AI$5, COUNTIF($M226:AH226,"u")=0), "u", "")</f>
        <v/>
      </c>
      <c r="AJ226" s="80" t="str">
        <f>IF(AND($F226&lt;&gt;"", $F226&gt;=AJ$5-4, $F226&lt;=AJ$5, COUNTIF($M226:AI226,"u")=0), "u", "")</f>
        <v/>
      </c>
      <c r="AK226" s="80" t="str">
        <f>IF(AND($F226&lt;&gt;"", $F226&gt;=AK$5-4, $F226&lt;=AK$5, COUNTIF($M226:AJ226,"u")=0), "u", "")</f>
        <v/>
      </c>
      <c r="AL226" s="80" t="str">
        <f>IF(AND($F226&lt;&gt;"", $F226&gt;=AL$5-4, $F226&lt;=AL$5, COUNTIF($M226:AK226,"u")=0), "u", "")</f>
        <v/>
      </c>
      <c r="AM226" s="80" t="str">
        <f>IF(AND($F226&lt;&gt;"", $F226&gt;=AM$5-4, $F226&lt;=AM$5, COUNTIF($M226:AL226,"u")=0), "u", "")</f>
        <v/>
      </c>
      <c r="AN226" s="80" t="str">
        <f>IF(AND($F226&lt;&gt;"", $F226&gt;=AN$5-4, $F226&lt;=AN$5, COUNTIF($M226:AM226,"u")=0), "u", "")</f>
        <v/>
      </c>
      <c r="AO226" s="80" t="str">
        <f>IF(AND($F226&lt;&gt;"", $F226&gt;=AO$5-4, $F226&lt;=AO$5, COUNTIF($M226:AN226,"u")=0), "u", "")</f>
        <v/>
      </c>
      <c r="AP226" s="80" t="str">
        <f>IF(AND($F226&lt;&gt;"", $F226&gt;=AP$5-4, $F226&lt;=AP$5, COUNTIF($M226:AO226,"u")=0), "u", "")</f>
        <v/>
      </c>
      <c r="AQ226" s="80" t="str">
        <f>IF(AND($F226&lt;&gt;"", $F226&gt;=AQ$5-4, $F226&lt;=AQ$5, COUNTIF($M226:AP226,"u")=0), "u", "")</f>
        <v/>
      </c>
      <c r="AR226" s="80" t="str">
        <f>IF(AND($F226&lt;&gt;"", $F226&gt;=AR$5-4, $F226&lt;=AR$5, COUNTIF($M226:AQ226,"u")=0), "u", "")</f>
        <v/>
      </c>
      <c r="AS226" s="80" t="str">
        <f>IF(AND($F226&lt;&gt;"", $F226&gt;=AS$5-4, $F226&lt;=AS$5, COUNTIF($M226:AR226,"u")=0), "u", "")</f>
        <v/>
      </c>
      <c r="AT226" s="80" t="str">
        <f>IF(AND($F226&lt;&gt;"", $F226&gt;=AT$5-4, $F226&lt;=AT$5, COUNTIF($M226:AS226,"u")=0), "u", "")</f>
        <v/>
      </c>
      <c r="AU226" s="80" t="str">
        <f>IF(AND($F226&lt;&gt;"", $F226&gt;=AU$5-4, $F226&lt;=AU$5, COUNTIF($M226:AT226,"u")=0), "u", "")</f>
        <v/>
      </c>
      <c r="AV226" s="80" t="str">
        <f>IF(AND($F226&lt;&gt;"", $F226&gt;=AV$5-4, $F226&lt;=AV$5, COUNTIF($M226:AU226,"u")=0), "u", "")</f>
        <v/>
      </c>
      <c r="AW226" s="80" t="str">
        <f>IF(AND($F226&lt;&gt;"", $F226&gt;=AW$5-4, $F226&lt;=AW$5, COUNTIF($M226:AV226,"u")=0), "u", "")</f>
        <v/>
      </c>
      <c r="AX226" s="80" t="str">
        <f>IF(AND($F226&lt;&gt;"", $F226&gt;=AX$5-4, $F226&lt;=AX$5, COUNTIF($M226:AW226,"u")=0), "u", "")</f>
        <v/>
      </c>
      <c r="AY226" s="80" t="str">
        <f>IF(AND($F226&lt;&gt;"", $F226&gt;=AY$5-4, $F226&lt;=AY$5, COUNTIF($M226:AX226,"u")=0), "u", "")</f>
        <v/>
      </c>
      <c r="AZ226" s="80" t="str">
        <f>IF(AND($F226&lt;&gt;"", $F226&gt;=AZ$5-4, $F226&lt;=AZ$5, COUNTIF($M226:AY226,"u")=0), "u", "")</f>
        <v/>
      </c>
      <c r="BA226" s="80" t="str">
        <f>IF(AND($F226&lt;&gt;"", $F226&gt;=BA$5-4, $F226&lt;=BA$5, COUNTIF($M226:AZ226,"u")=0), "u", "")</f>
        <v/>
      </c>
      <c r="BB226" s="80" t="str">
        <f>IF(AND($F226&lt;&gt;"", $F226&gt;=BB$5-4, $F226&lt;=BB$5, COUNTIF($M226:BA226,"u")=0), "u", "")</f>
        <v/>
      </c>
      <c r="BC226" s="80" t="str">
        <f>IF(AND($F226&lt;&gt;"", $F226&gt;=BC$5-4, $F226&lt;=BC$5, COUNTIF($M226:BB226,"u")=0), "u", "")</f>
        <v/>
      </c>
      <c r="BD226" s="80" t="str">
        <f>IF(AND($F226&lt;&gt;"", $F226&gt;=BD$5-4, $F226&lt;=BD$5, COUNTIF($M226:BC226,"u")=0), "u", "")</f>
        <v/>
      </c>
      <c r="BE226" s="80" t="str">
        <f>IF(AND($F226&lt;&gt;"", $F226&gt;=BE$5-4, $F226&lt;=BE$5, COUNTIF($M226:BD226,"u")=0), "u", "")</f>
        <v/>
      </c>
      <c r="BF226" s="80" t="str">
        <f>IF(AND($F226&lt;&gt;"", $F226&gt;=BF$5-4, $F226&lt;=BF$5, COUNTIF($M226:BE226,"u")=0), "u", "")</f>
        <v/>
      </c>
      <c r="BG226" s="80" t="str">
        <f>IF(AND($F226&lt;&gt;"", $F226&gt;=BG$5-4, $F226&lt;=BG$5, COUNTIF($M226:BF226,"u")=0), "u", "")</f>
        <v/>
      </c>
      <c r="BH226" s="80" t="str">
        <f>IF(AND($F226&lt;&gt;"", $F226&gt;=BH$5-4, $F226&lt;=BH$5, COUNTIF($M226:BG226,"u")=0), "u", "")</f>
        <v/>
      </c>
      <c r="BI226" s="80" t="str">
        <f>IF(AND($F226&lt;&gt;"", $F226&gt;=BI$5-4, $F226&lt;=BI$5, COUNTIF($M226:BH226,"u")=0), "u", "")</f>
        <v/>
      </c>
      <c r="BJ226" s="80" t="str">
        <f>IF(AND($F226&lt;&gt;"", $F226&gt;=BJ$5-4, $F226&lt;=BJ$5, COUNTIF($M226:BI226,"u")=0), "u", "")</f>
        <v/>
      </c>
      <c r="BK226" s="80" t="str">
        <f>IF(AND($F226&lt;&gt;"", $F226&gt;=BK$5-4, $F226&lt;=BK$5, COUNTIF($M226:BJ226,"u")=0), "u", "")</f>
        <v/>
      </c>
      <c r="BL226" s="80" t="str">
        <f>IF(AND($F226&lt;&gt;"", $F226&gt;=BL$5-4, $F226&lt;=BL$5, COUNTIF($M226:BK226,"u")=0), "u", "")</f>
        <v/>
      </c>
      <c r="BM226" s="80" t="str">
        <f>IF(AND($F226&lt;&gt;"", $F226&gt;=BM$5-4, $F226&lt;=BM$5, COUNTIF($M226:BL226,"u")=0), "u", "")</f>
        <v/>
      </c>
      <c r="BN226" s="80" t="str">
        <f>IF(AND($F226&lt;&gt;"", $F226&gt;=BN$5-4, $F226&lt;=BN$5, COUNTIF($M226:BM226,"u")=0), "u", "")</f>
        <v/>
      </c>
      <c r="BO226" s="80" t="str">
        <f>IF(AND($F226&lt;&gt;"", $F226&gt;=BO$5-4, $F226&lt;=BO$5, COUNTIF($M226:BN226,"u")=0), "u", "")</f>
        <v/>
      </c>
      <c r="BP226" s="80" t="str">
        <f>IF(AND($F226&lt;&gt;"", $F226&gt;=BP$5-4, $F226&lt;=BP$5, COUNTIF($M226:BO226,"u")=0), "u", "")</f>
        <v/>
      </c>
      <c r="BQ226" s="80" t="str">
        <f>IF(AND($F226&lt;&gt;"", $F226&gt;=BQ$5-4, $F226&lt;=BQ$5, COUNTIF($M226:BP226,"u")=0), "u", "")</f>
        <v/>
      </c>
      <c r="BR226" s="80" t="str">
        <f>IF(AND($F226&lt;&gt;"", $F226&gt;=BR$5-4, $F226&lt;=BR$5, COUNTIF($M226:BQ226,"u")=0), "u", "")</f>
        <v/>
      </c>
      <c r="BS226" s="80" t="str">
        <f>IF(AND($F226&lt;&gt;"", $F226&gt;=BS$5-4, $F226&lt;=BS$5, COUNTIF($M226:BR226,"u")=0), "u", "")</f>
        <v/>
      </c>
      <c r="BT226" s="80" t="str">
        <f>IF(AND($F226&lt;&gt;"", $F226&gt;=BT$5-4, $F226&lt;=BT$5, COUNTIF($M226:BS226,"u")=0), "u", "")</f>
        <v/>
      </c>
      <c r="BU226" s="80" t="str">
        <f>IF(AND($F226&lt;&gt;"", $F226&gt;=BU$5-4, $F226&lt;=BU$5, COUNTIF($M226:BT226,"u")=0), "u", "")</f>
        <v/>
      </c>
      <c r="BV226" s="80" t="str">
        <f>IF(AND($F226&lt;&gt;"", $F226&gt;=BV$5-4, $F226&lt;=BV$5, COUNTIF($M226:BU226,"u")=0), "u", "")</f>
        <v/>
      </c>
      <c r="BW226" s="80" t="str">
        <f>IF(AND($F226&lt;&gt;"", $F226&gt;=BW$5-4, $F226&lt;=BW$5, COUNTIF($M226:BV226,"u")=0), "u", "")</f>
        <v/>
      </c>
      <c r="BX226" s="80" t="str">
        <f>IF(AND($F226&lt;&gt;"", $F226&gt;=BX$5-4, $F226&lt;=BX$5, COUNTIF($M226:BW226,"u")=0), "u", "")</f>
        <v/>
      </c>
      <c r="BY226" s="80" t="str">
        <f>IF(AND($F226&lt;&gt;"", $F226&gt;=BY$5-4, $F226&lt;=BY$5, COUNTIF($M226:BX226,"u")=0), "u", "")</f>
        <v/>
      </c>
      <c r="BZ226" s="80" t="str">
        <f>IF(AND($F226&lt;&gt;"", $F226&gt;=BZ$5-4, $F226&lt;=BZ$5, COUNTIF($M226:BY226,"u")=0), "u", "")</f>
        <v/>
      </c>
      <c r="CA226" s="80" t="str">
        <f>IF(AND($F226&lt;&gt;"", $F226&gt;=CA$5-4, $F226&lt;=CA$5, COUNTIF($M226:BZ226,"u")=0), "u", "")</f>
        <v/>
      </c>
      <c r="CB226" s="80" t="str">
        <f>IF(AND($F226&lt;&gt;"", $F226&gt;=CB$5-4, $F226&lt;=CB$5, COUNTIF($M226:CA226,"u")=0), "u", "")</f>
        <v/>
      </c>
      <c r="CC226" s="80" t="str">
        <f>IF(AND($F226&lt;&gt;"", $F226&gt;=CC$5-4, $F226&lt;=CC$5, COUNTIF($M226:CB226,"u")=0), "u", "")</f>
        <v/>
      </c>
      <c r="CD226" s="80" t="str">
        <f>IF(AND($F226&lt;&gt;"", $F226&gt;=CD$5-4, $F226&lt;=CD$5, COUNTIF($M226:CC226,"u")=0), "u", "")</f>
        <v/>
      </c>
      <c r="CE226" s="80" t="str">
        <f>IF(AND($F226&lt;&gt;"", $F226&gt;=CE$5-4, $F226&lt;=CE$5, COUNTIF($M226:CD226,"u")=0), "u", "")</f>
        <v/>
      </c>
      <c r="CF226" s="80" t="str">
        <f>IF(AND($F226&lt;&gt;"", $F226&gt;=CF$5-4, $F226&lt;=CF$5, COUNTIF($M226:CE226,"u")=0), "u", "")</f>
        <v/>
      </c>
      <c r="CG226" s="80" t="str">
        <f>IF(AND($F226&lt;&gt;"", $F226&gt;=CG$5-4, $F226&lt;=CG$5, COUNTIF($M226:CF226,"u")=0), "u", "")</f>
        <v/>
      </c>
      <c r="CH226" s="80" t="str">
        <f>IF(AND($F226&lt;&gt;"", $F226&gt;=CH$5-4, $F226&lt;=CH$5, COUNTIF($M226:CG226,"u")=0), "u", "")</f>
        <v/>
      </c>
      <c r="CI226" s="80" t="str">
        <f>IF(AND($F226&lt;&gt;"", $F226&gt;=CI$5-4, $F226&lt;=CI$5, COUNTIF($M226:CH226,"u")=0), "u", "")</f>
        <v/>
      </c>
      <c r="CJ226" s="80" t="str">
        <f>IF(AND($F226&lt;&gt;"", $F226&gt;=CJ$5-4, $F226&lt;=CJ$5, COUNTIF($M226:CI226,"u")=0), "u", "")</f>
        <v/>
      </c>
      <c r="CK226" s="80" t="str">
        <f>IF(AND($F226&lt;&gt;"", $F226&gt;=CK$5-4, $F226&lt;=CK$5, COUNTIF($M226:CJ226,"u")=0), "u", "")</f>
        <v/>
      </c>
      <c r="CL226" s="80" t="str">
        <f>IF(AND($F226&lt;&gt;"", $F226&gt;=CL$5-4, $F226&lt;=CL$5, COUNTIF($M226:CK226,"u")=0), "u", "")</f>
        <v/>
      </c>
      <c r="CM226" s="80" t="str">
        <f>IF(AND($F226&lt;&gt;"", $F226&gt;=CM$5-4, $F226&lt;=CM$5, COUNTIF($M226:CL226,"u")=0), "u", "")</f>
        <v/>
      </c>
      <c r="CN226" s="80" t="str">
        <f>IF(AND($F226&lt;&gt;"", $F226&gt;=CN$5-4, $F226&lt;=CN$5, COUNTIF($M226:CM226,"u")=0), "u", "")</f>
        <v/>
      </c>
      <c r="CO226" s="80" t="str">
        <f>IF(AND($F226&lt;&gt;"", $F226&gt;=CO$5-4, $F226&lt;=CO$5, COUNTIF($M226:CN226,"u")=0), "u", "")</f>
        <v/>
      </c>
      <c r="CP226" s="80" t="str">
        <f>IF(AND($F226&lt;&gt;"", $F226&gt;=CP$5-4, $F226&lt;=CP$5, COUNTIF($M226:CO226,"u")=0), "u", "")</f>
        <v/>
      </c>
      <c r="CQ226" s="80" t="str">
        <f>IF(AND($F226&lt;&gt;"", $F226&gt;=CQ$5-4, $F226&lt;=CQ$5, COUNTIF($M226:CP226,"u")=0), "u", "")</f>
        <v/>
      </c>
      <c r="CR226" s="80" t="str">
        <f>IF(AND($F226&lt;&gt;"", $F226&gt;=CR$5-4, $F226&lt;=CR$5, COUNTIF($M226:CQ226,"u")=0), "u", "")</f>
        <v/>
      </c>
      <c r="CS226" s="80" t="str">
        <f>IF(AND($F226&lt;&gt;"", $F226&gt;=CS$5-4, $F226&lt;=CS$5, COUNTIF($M226:CR226,"u")=0), "u", "")</f>
        <v/>
      </c>
      <c r="CT226" s="80" t="str">
        <f>IF(AND($F226&lt;&gt;"", $F226&gt;=CT$5-4, $F226&lt;=CT$5, COUNTIF($M226:CS226,"u")=0), "u", "")</f>
        <v/>
      </c>
      <c r="CU226" s="80" t="str">
        <f>IF(AND($F226&lt;&gt;"", $F226&gt;=CU$5-4, $F226&lt;=CU$5, COUNTIF($M226:CT226,"u")=0), "u", "")</f>
        <v/>
      </c>
      <c r="CV226" s="80" t="str">
        <f>IF(AND($F226&lt;&gt;"", $F226&gt;=CV$5-4, $F226&lt;=CV$5, COUNTIF($M226:CU226,"u")=0), "u", "")</f>
        <v/>
      </c>
      <c r="CW226" s="80" t="str">
        <f>IF(AND($F226&lt;&gt;"", $F226&gt;=CW$5-4, $F226&lt;=CW$5, COUNTIF($M226:CV226,"u")=0), "u", "")</f>
        <v/>
      </c>
      <c r="CX226" s="80" t="str">
        <f>IF(AND($F226&lt;&gt;"", $F226&gt;=CX$5-4, $F226&lt;=CX$5, COUNTIF($M226:CW226,"u")=0), "u", "")</f>
        <v/>
      </c>
      <c r="CY226" s="80" t="str">
        <f>IF(AND($F226&lt;&gt;"", $F226&gt;=CY$5-4, $F226&lt;=CY$5, COUNTIF($M226:CX226,"u")=0), "u", "")</f>
        <v/>
      </c>
      <c r="CZ226" s="80" t="str">
        <f>IF(AND($F226&lt;&gt;"", $F226&gt;=CZ$5-4, $F226&lt;=CZ$5, COUNTIF($M226:CY226,"u")=0), "u", "")</f>
        <v/>
      </c>
      <c r="DA226" s="80" t="str">
        <f>IF(AND($F226&lt;&gt;"", $F226&gt;=DA$5-4, $F226&lt;=DA$5, COUNTIF($M226:CZ226,"u")=0), "u", "")</f>
        <v/>
      </c>
      <c r="DB226" s="80" t="str">
        <f>IF(AND($F226&lt;&gt;"", $F226&gt;=DB$5-4, $F226&lt;=DB$5, COUNTIF($M226:DA226,"u")=0), "u", "")</f>
        <v/>
      </c>
      <c r="DC226" s="80" t="str">
        <f>IF(AND($F226&lt;&gt;"", $F226&gt;=DC$5-4, $F226&lt;=DC$5, COUNTIF($M226:DB226,"u")=0), "u", "")</f>
        <v/>
      </c>
      <c r="DD226" s="80" t="str">
        <f>IF(AND($F226&lt;&gt;"", $F226&gt;=DD$5-4, $F226&lt;=DD$5, COUNTIF($M226:DC226,"u")=0), "u", "")</f>
        <v/>
      </c>
      <c r="DE226" s="80" t="str">
        <f>IF(AND($F226&lt;&gt;"", $F226&gt;=DE$5-4, $F226&lt;=DE$5, COUNTIF($M226:DD226,"u")=0), "u", "")</f>
        <v/>
      </c>
      <c r="DF226" s="80" t="str">
        <f>IF(AND($F226&lt;&gt;"", $F226&gt;=DF$5-4, $F226&lt;=DF$5, COUNTIF($M226:DE226,"u")=0), "u", "")</f>
        <v/>
      </c>
      <c r="DG226" s="80" t="str">
        <f>IF(AND($F226&lt;&gt;"", $F226&gt;=DG$5-4, $F226&lt;=DG$5, COUNTIF($M226:DF226,"u")=0), "u", "")</f>
        <v/>
      </c>
      <c r="DH226" s="80" t="str">
        <f>IF(AND($F226&lt;&gt;"", $F226&gt;=DH$5-4, $F226&lt;=DH$5, COUNTIF($M226:DG226,"u")=0), "u", "")</f>
        <v/>
      </c>
      <c r="DI226" s="80" t="str">
        <f>IF(AND($F226&lt;&gt;"", $F226&gt;=DI$5-4, $F226&lt;=DI$5, COUNTIF($M226:DH226,"u")=0), "u", "")</f>
        <v/>
      </c>
      <c r="DJ226" s="80" t="str">
        <f>IF(AND($F226&lt;&gt;"", $F226&gt;=DJ$5-4, $F226&lt;=DJ$5, COUNTIF($M226:DI226,"u")=0), "u", "")</f>
        <v/>
      </c>
      <c r="DK226" s="80" t="str">
        <f>IF(AND($F226&lt;&gt;"", $F226&gt;=DK$5-4, $F226&lt;=DK$5, COUNTIF($M226:DJ226,"u")=0), "u", "")</f>
        <v/>
      </c>
      <c r="DL226" s="80" t="str">
        <f>IF(AND($F226&lt;&gt;"", $F226&gt;=DL$5-4, $F226&lt;=DL$5, COUNTIF($M226:DK226,"u")=0), "u", "")</f>
        <v/>
      </c>
    </row>
    <row r="227" spans="1:116" ht="25.05" customHeight="1" x14ac:dyDescent="0.3">
      <c r="A227" s="39"/>
      <c r="B227" s="75">
        <v>222</v>
      </c>
      <c r="C227" s="97"/>
      <c r="D227" s="92"/>
      <c r="E227" s="53"/>
      <c r="F227" s="53"/>
      <c r="G227" s="83" t="str">
        <f t="shared" si="56"/>
        <v/>
      </c>
      <c r="H227" s="83" t="str">
        <f t="shared" si="56"/>
        <v/>
      </c>
      <c r="I227" s="77" t="str">
        <f t="shared" si="54"/>
        <v/>
      </c>
      <c r="J227" s="78"/>
      <c r="K227" s="86"/>
      <c r="L227" s="56"/>
      <c r="M227" s="80" t="str">
        <f t="shared" si="55"/>
        <v/>
      </c>
      <c r="N227" s="80" t="str">
        <f>IF(AND($F227&lt;&gt;"", $F227&gt;=N$5-4, $F227&lt;=N$5, COUNTIF($M227:M227,"u")=0), "u", "")</f>
        <v/>
      </c>
      <c r="O227" s="80" t="str">
        <f>IF(AND($F227&lt;&gt;"", $F227&gt;=O$5-4, $F227&lt;=O$5, COUNTIF($M227:N227,"u")=0), "u", "")</f>
        <v/>
      </c>
      <c r="P227" s="80" t="str">
        <f>IF(AND($F227&lt;&gt;"", $F227&gt;=P$5-4, $F227&lt;=P$5, COUNTIF($M227:O227,"u")=0), "u", "")</f>
        <v/>
      </c>
      <c r="Q227" s="80" t="str">
        <f>IF(AND($F227&lt;&gt;"", $F227&gt;=Q$5-4, $F227&lt;=Q$5, COUNTIF($M227:P227,"u")=0), "u", "")</f>
        <v/>
      </c>
      <c r="R227" s="80" t="str">
        <f>IF(AND($F227&lt;&gt;"", $F227&gt;=R$5-4, $F227&lt;=R$5, COUNTIF($M227:Q227,"u")=0), "u", "")</f>
        <v/>
      </c>
      <c r="S227" s="80" t="str">
        <f>IF(AND($F227&lt;&gt;"", $F227&gt;=S$5-4, $F227&lt;=S$5, COUNTIF($M227:R227,"u")=0), "u", "")</f>
        <v/>
      </c>
      <c r="T227" s="80" t="str">
        <f>IF(AND($F227&lt;&gt;"", $F227&gt;=T$5-4, $F227&lt;=T$5, COUNTIF($M227:S227,"u")=0), "u", "")</f>
        <v/>
      </c>
      <c r="U227" s="80" t="str">
        <f>IF(AND($F227&lt;&gt;"", $F227&gt;=U$5-4, $F227&lt;=U$5, COUNTIF($M227:T227,"u")=0), "u", "")</f>
        <v/>
      </c>
      <c r="V227" s="80" t="str">
        <f>IF(AND($F227&lt;&gt;"", $F227&gt;=V$5-4, $F227&lt;=V$5, COUNTIF($M227:U227,"u")=0), "u", "")</f>
        <v/>
      </c>
      <c r="W227" s="80" t="str">
        <f>IF(AND($F227&lt;&gt;"", $F227&gt;=W$5-4, $F227&lt;=W$5, COUNTIF($M227:V227,"u")=0), "u", "")</f>
        <v/>
      </c>
      <c r="X227" s="80" t="str">
        <f>IF(AND($F227&lt;&gt;"", $F227&gt;=X$5-4, $F227&lt;=X$5, COUNTIF($M227:W227,"u")=0), "u", "")</f>
        <v/>
      </c>
      <c r="Y227" s="80" t="str">
        <f>IF(AND($F227&lt;&gt;"", $F227&gt;=Y$5-4, $F227&lt;=Y$5, COUNTIF($M227:X227,"u")=0), "u", "")</f>
        <v/>
      </c>
      <c r="Z227" s="80" t="str">
        <f>IF(AND($F227&lt;&gt;"", $F227&gt;=Z$5-4, $F227&lt;=Z$5, COUNTIF($M227:Y227,"u")=0), "u", "")</f>
        <v/>
      </c>
      <c r="AA227" s="80" t="str">
        <f>IF(AND($F227&lt;&gt;"", $F227&gt;=AA$5-4, $F227&lt;=AA$5, COUNTIF($M227:Z227,"u")=0), "u", "")</f>
        <v/>
      </c>
      <c r="AB227" s="80" t="str">
        <f>IF(AND($F227&lt;&gt;"", $F227&gt;=AB$5-4, $F227&lt;=AB$5, COUNTIF($M227:AA227,"u")=0), "u", "")</f>
        <v/>
      </c>
      <c r="AC227" s="80" t="str">
        <f>IF(AND($F227&lt;&gt;"", $F227&gt;=AC$5-4, $F227&lt;=AC$5, COUNTIF($M227:AB227,"u")=0), "u", "")</f>
        <v/>
      </c>
      <c r="AD227" s="80" t="str">
        <f>IF(AND($F227&lt;&gt;"", $F227&gt;=AD$5-4, $F227&lt;=AD$5, COUNTIF($M227:AC227,"u")=0), "u", "")</f>
        <v/>
      </c>
      <c r="AE227" s="80" t="str">
        <f>IF(AND($F227&lt;&gt;"", $F227&gt;=AE$5-4, $F227&lt;=AE$5, COUNTIF($M227:AD227,"u")=0), "u", "")</f>
        <v/>
      </c>
      <c r="AF227" s="80" t="str">
        <f>IF(AND($F227&lt;&gt;"", $F227&gt;=AF$5-4, $F227&lt;=AF$5, COUNTIF($M227:AE227,"u")=0), "u", "")</f>
        <v/>
      </c>
      <c r="AG227" s="80" t="str">
        <f>IF(AND($F227&lt;&gt;"", $F227&gt;=AG$5-4, $F227&lt;=AG$5, COUNTIF($M227:AF227,"u")=0), "u", "")</f>
        <v/>
      </c>
      <c r="AH227" s="80" t="str">
        <f>IF(AND($F227&lt;&gt;"", $F227&gt;=AH$5-4, $F227&lt;=AH$5, COUNTIF($M227:AG227,"u")=0), "u", "")</f>
        <v/>
      </c>
      <c r="AI227" s="80" t="str">
        <f>IF(AND($F227&lt;&gt;"", $F227&gt;=AI$5-4, $F227&lt;=AI$5, COUNTIF($M227:AH227,"u")=0), "u", "")</f>
        <v/>
      </c>
      <c r="AJ227" s="80" t="str">
        <f>IF(AND($F227&lt;&gt;"", $F227&gt;=AJ$5-4, $F227&lt;=AJ$5, COUNTIF($M227:AI227,"u")=0), "u", "")</f>
        <v/>
      </c>
      <c r="AK227" s="80" t="str">
        <f>IF(AND($F227&lt;&gt;"", $F227&gt;=AK$5-4, $F227&lt;=AK$5, COUNTIF($M227:AJ227,"u")=0), "u", "")</f>
        <v/>
      </c>
      <c r="AL227" s="80" t="str">
        <f>IF(AND($F227&lt;&gt;"", $F227&gt;=AL$5-4, $F227&lt;=AL$5, COUNTIF($M227:AK227,"u")=0), "u", "")</f>
        <v/>
      </c>
      <c r="AM227" s="80" t="str">
        <f>IF(AND($F227&lt;&gt;"", $F227&gt;=AM$5-4, $F227&lt;=AM$5, COUNTIF($M227:AL227,"u")=0), "u", "")</f>
        <v/>
      </c>
      <c r="AN227" s="80" t="str">
        <f>IF(AND($F227&lt;&gt;"", $F227&gt;=AN$5-4, $F227&lt;=AN$5, COUNTIF($M227:AM227,"u")=0), "u", "")</f>
        <v/>
      </c>
      <c r="AO227" s="80" t="str">
        <f>IF(AND($F227&lt;&gt;"", $F227&gt;=AO$5-4, $F227&lt;=AO$5, COUNTIF($M227:AN227,"u")=0), "u", "")</f>
        <v/>
      </c>
      <c r="AP227" s="80" t="str">
        <f>IF(AND($F227&lt;&gt;"", $F227&gt;=AP$5-4, $F227&lt;=AP$5, COUNTIF($M227:AO227,"u")=0), "u", "")</f>
        <v/>
      </c>
      <c r="AQ227" s="80" t="str">
        <f>IF(AND($F227&lt;&gt;"", $F227&gt;=AQ$5-4, $F227&lt;=AQ$5, COUNTIF($M227:AP227,"u")=0), "u", "")</f>
        <v/>
      </c>
      <c r="AR227" s="80" t="str">
        <f>IF(AND($F227&lt;&gt;"", $F227&gt;=AR$5-4, $F227&lt;=AR$5, COUNTIF($M227:AQ227,"u")=0), "u", "")</f>
        <v/>
      </c>
      <c r="AS227" s="80" t="str">
        <f>IF(AND($F227&lt;&gt;"", $F227&gt;=AS$5-4, $F227&lt;=AS$5, COUNTIF($M227:AR227,"u")=0), "u", "")</f>
        <v/>
      </c>
      <c r="AT227" s="80" t="str">
        <f>IF(AND($F227&lt;&gt;"", $F227&gt;=AT$5-4, $F227&lt;=AT$5, COUNTIF($M227:AS227,"u")=0), "u", "")</f>
        <v/>
      </c>
      <c r="AU227" s="80" t="str">
        <f>IF(AND($F227&lt;&gt;"", $F227&gt;=AU$5-4, $F227&lt;=AU$5, COUNTIF($M227:AT227,"u")=0), "u", "")</f>
        <v/>
      </c>
      <c r="AV227" s="80" t="str">
        <f>IF(AND($F227&lt;&gt;"", $F227&gt;=AV$5-4, $F227&lt;=AV$5, COUNTIF($M227:AU227,"u")=0), "u", "")</f>
        <v/>
      </c>
      <c r="AW227" s="80" t="str">
        <f>IF(AND($F227&lt;&gt;"", $F227&gt;=AW$5-4, $F227&lt;=AW$5, COUNTIF($M227:AV227,"u")=0), "u", "")</f>
        <v/>
      </c>
      <c r="AX227" s="80" t="str">
        <f>IF(AND($F227&lt;&gt;"", $F227&gt;=AX$5-4, $F227&lt;=AX$5, COUNTIF($M227:AW227,"u")=0), "u", "")</f>
        <v/>
      </c>
      <c r="AY227" s="80" t="str">
        <f>IF(AND($F227&lt;&gt;"", $F227&gt;=AY$5-4, $F227&lt;=AY$5, COUNTIF($M227:AX227,"u")=0), "u", "")</f>
        <v/>
      </c>
      <c r="AZ227" s="80" t="str">
        <f>IF(AND($F227&lt;&gt;"", $F227&gt;=AZ$5-4, $F227&lt;=AZ$5, COUNTIF($M227:AY227,"u")=0), "u", "")</f>
        <v/>
      </c>
      <c r="BA227" s="80" t="str">
        <f>IF(AND($F227&lt;&gt;"", $F227&gt;=BA$5-4, $F227&lt;=BA$5, COUNTIF($M227:AZ227,"u")=0), "u", "")</f>
        <v/>
      </c>
      <c r="BB227" s="80" t="str">
        <f>IF(AND($F227&lt;&gt;"", $F227&gt;=BB$5-4, $F227&lt;=BB$5, COUNTIF($M227:BA227,"u")=0), "u", "")</f>
        <v/>
      </c>
      <c r="BC227" s="80" t="str">
        <f>IF(AND($F227&lt;&gt;"", $F227&gt;=BC$5-4, $F227&lt;=BC$5, COUNTIF($M227:BB227,"u")=0), "u", "")</f>
        <v/>
      </c>
      <c r="BD227" s="80" t="str">
        <f>IF(AND($F227&lt;&gt;"", $F227&gt;=BD$5-4, $F227&lt;=BD$5, COUNTIF($M227:BC227,"u")=0), "u", "")</f>
        <v/>
      </c>
      <c r="BE227" s="80" t="str">
        <f>IF(AND($F227&lt;&gt;"", $F227&gt;=BE$5-4, $F227&lt;=BE$5, COUNTIF($M227:BD227,"u")=0), "u", "")</f>
        <v/>
      </c>
      <c r="BF227" s="80" t="str">
        <f>IF(AND($F227&lt;&gt;"", $F227&gt;=BF$5-4, $F227&lt;=BF$5, COUNTIF($M227:BE227,"u")=0), "u", "")</f>
        <v/>
      </c>
      <c r="BG227" s="80" t="str">
        <f>IF(AND($F227&lt;&gt;"", $F227&gt;=BG$5-4, $F227&lt;=BG$5, COUNTIF($M227:BF227,"u")=0), "u", "")</f>
        <v/>
      </c>
      <c r="BH227" s="80" t="str">
        <f>IF(AND($F227&lt;&gt;"", $F227&gt;=BH$5-4, $F227&lt;=BH$5, COUNTIF($M227:BG227,"u")=0), "u", "")</f>
        <v/>
      </c>
      <c r="BI227" s="80" t="str">
        <f>IF(AND($F227&lt;&gt;"", $F227&gt;=BI$5-4, $F227&lt;=BI$5, COUNTIF($M227:BH227,"u")=0), "u", "")</f>
        <v/>
      </c>
      <c r="BJ227" s="80" t="str">
        <f>IF(AND($F227&lt;&gt;"", $F227&gt;=BJ$5-4, $F227&lt;=BJ$5, COUNTIF($M227:BI227,"u")=0), "u", "")</f>
        <v/>
      </c>
      <c r="BK227" s="80" t="str">
        <f>IF(AND($F227&lt;&gt;"", $F227&gt;=BK$5-4, $F227&lt;=BK$5, COUNTIF($M227:BJ227,"u")=0), "u", "")</f>
        <v/>
      </c>
      <c r="BL227" s="80" t="str">
        <f>IF(AND($F227&lt;&gt;"", $F227&gt;=BL$5-4, $F227&lt;=BL$5, COUNTIF($M227:BK227,"u")=0), "u", "")</f>
        <v/>
      </c>
      <c r="BM227" s="80" t="str">
        <f>IF(AND($F227&lt;&gt;"", $F227&gt;=BM$5-4, $F227&lt;=BM$5, COUNTIF($M227:BL227,"u")=0), "u", "")</f>
        <v/>
      </c>
      <c r="BN227" s="80" t="str">
        <f>IF(AND($F227&lt;&gt;"", $F227&gt;=BN$5-4, $F227&lt;=BN$5, COUNTIF($M227:BM227,"u")=0), "u", "")</f>
        <v/>
      </c>
      <c r="BO227" s="80" t="str">
        <f>IF(AND($F227&lt;&gt;"", $F227&gt;=BO$5-4, $F227&lt;=BO$5, COUNTIF($M227:BN227,"u")=0), "u", "")</f>
        <v/>
      </c>
      <c r="BP227" s="80" t="str">
        <f>IF(AND($F227&lt;&gt;"", $F227&gt;=BP$5-4, $F227&lt;=BP$5, COUNTIF($M227:BO227,"u")=0), "u", "")</f>
        <v/>
      </c>
      <c r="BQ227" s="80" t="str">
        <f>IF(AND($F227&lt;&gt;"", $F227&gt;=BQ$5-4, $F227&lt;=BQ$5, COUNTIF($M227:BP227,"u")=0), "u", "")</f>
        <v/>
      </c>
      <c r="BR227" s="80" t="str">
        <f>IF(AND($F227&lt;&gt;"", $F227&gt;=BR$5-4, $F227&lt;=BR$5, COUNTIF($M227:BQ227,"u")=0), "u", "")</f>
        <v/>
      </c>
      <c r="BS227" s="80" t="str">
        <f>IF(AND($F227&lt;&gt;"", $F227&gt;=BS$5-4, $F227&lt;=BS$5, COUNTIF($M227:BR227,"u")=0), "u", "")</f>
        <v/>
      </c>
      <c r="BT227" s="80" t="str">
        <f>IF(AND($F227&lt;&gt;"", $F227&gt;=BT$5-4, $F227&lt;=BT$5, COUNTIF($M227:BS227,"u")=0), "u", "")</f>
        <v/>
      </c>
      <c r="BU227" s="80" t="str">
        <f>IF(AND($F227&lt;&gt;"", $F227&gt;=BU$5-4, $F227&lt;=BU$5, COUNTIF($M227:BT227,"u")=0), "u", "")</f>
        <v/>
      </c>
      <c r="BV227" s="80" t="str">
        <f>IF(AND($F227&lt;&gt;"", $F227&gt;=BV$5-4, $F227&lt;=BV$5, COUNTIF($M227:BU227,"u")=0), "u", "")</f>
        <v/>
      </c>
      <c r="BW227" s="80" t="str">
        <f>IF(AND($F227&lt;&gt;"", $F227&gt;=BW$5-4, $F227&lt;=BW$5, COUNTIF($M227:BV227,"u")=0), "u", "")</f>
        <v/>
      </c>
      <c r="BX227" s="80" t="str">
        <f>IF(AND($F227&lt;&gt;"", $F227&gt;=BX$5-4, $F227&lt;=BX$5, COUNTIF($M227:BW227,"u")=0), "u", "")</f>
        <v/>
      </c>
      <c r="BY227" s="80" t="str">
        <f>IF(AND($F227&lt;&gt;"", $F227&gt;=BY$5-4, $F227&lt;=BY$5, COUNTIF($M227:BX227,"u")=0), "u", "")</f>
        <v/>
      </c>
      <c r="BZ227" s="80" t="str">
        <f>IF(AND($F227&lt;&gt;"", $F227&gt;=BZ$5-4, $F227&lt;=BZ$5, COUNTIF($M227:BY227,"u")=0), "u", "")</f>
        <v/>
      </c>
      <c r="CA227" s="80" t="str">
        <f>IF(AND($F227&lt;&gt;"", $F227&gt;=CA$5-4, $F227&lt;=CA$5, COUNTIF($M227:BZ227,"u")=0), "u", "")</f>
        <v/>
      </c>
      <c r="CB227" s="80" t="str">
        <f>IF(AND($F227&lt;&gt;"", $F227&gt;=CB$5-4, $F227&lt;=CB$5, COUNTIF($M227:CA227,"u")=0), "u", "")</f>
        <v/>
      </c>
      <c r="CC227" s="80" t="str">
        <f>IF(AND($F227&lt;&gt;"", $F227&gt;=CC$5-4, $F227&lt;=CC$5, COUNTIF($M227:CB227,"u")=0), "u", "")</f>
        <v/>
      </c>
      <c r="CD227" s="80" t="str">
        <f>IF(AND($F227&lt;&gt;"", $F227&gt;=CD$5-4, $F227&lt;=CD$5, COUNTIF($M227:CC227,"u")=0), "u", "")</f>
        <v/>
      </c>
      <c r="CE227" s="80" t="str">
        <f>IF(AND($F227&lt;&gt;"", $F227&gt;=CE$5-4, $F227&lt;=CE$5, COUNTIF($M227:CD227,"u")=0), "u", "")</f>
        <v/>
      </c>
      <c r="CF227" s="80" t="str">
        <f>IF(AND($F227&lt;&gt;"", $F227&gt;=CF$5-4, $F227&lt;=CF$5, COUNTIF($M227:CE227,"u")=0), "u", "")</f>
        <v/>
      </c>
      <c r="CG227" s="80" t="str">
        <f>IF(AND($F227&lt;&gt;"", $F227&gt;=CG$5-4, $F227&lt;=CG$5, COUNTIF($M227:CF227,"u")=0), "u", "")</f>
        <v/>
      </c>
      <c r="CH227" s="80" t="str">
        <f>IF(AND($F227&lt;&gt;"", $F227&gt;=CH$5-4, $F227&lt;=CH$5, COUNTIF($M227:CG227,"u")=0), "u", "")</f>
        <v/>
      </c>
      <c r="CI227" s="80" t="str">
        <f>IF(AND($F227&lt;&gt;"", $F227&gt;=CI$5-4, $F227&lt;=CI$5, COUNTIF($M227:CH227,"u")=0), "u", "")</f>
        <v/>
      </c>
      <c r="CJ227" s="80" t="str">
        <f>IF(AND($F227&lt;&gt;"", $F227&gt;=CJ$5-4, $F227&lt;=CJ$5, COUNTIF($M227:CI227,"u")=0), "u", "")</f>
        <v/>
      </c>
      <c r="CK227" s="80" t="str">
        <f>IF(AND($F227&lt;&gt;"", $F227&gt;=CK$5-4, $F227&lt;=CK$5, COUNTIF($M227:CJ227,"u")=0), "u", "")</f>
        <v/>
      </c>
      <c r="CL227" s="80" t="str">
        <f>IF(AND($F227&lt;&gt;"", $F227&gt;=CL$5-4, $F227&lt;=CL$5, COUNTIF($M227:CK227,"u")=0), "u", "")</f>
        <v/>
      </c>
      <c r="CM227" s="80" t="str">
        <f>IF(AND($F227&lt;&gt;"", $F227&gt;=CM$5-4, $F227&lt;=CM$5, COUNTIF($M227:CL227,"u")=0), "u", "")</f>
        <v/>
      </c>
      <c r="CN227" s="80" t="str">
        <f>IF(AND($F227&lt;&gt;"", $F227&gt;=CN$5-4, $F227&lt;=CN$5, COUNTIF($M227:CM227,"u")=0), "u", "")</f>
        <v/>
      </c>
      <c r="CO227" s="80" t="str">
        <f>IF(AND($F227&lt;&gt;"", $F227&gt;=CO$5-4, $F227&lt;=CO$5, COUNTIF($M227:CN227,"u")=0), "u", "")</f>
        <v/>
      </c>
      <c r="CP227" s="80" t="str">
        <f>IF(AND($F227&lt;&gt;"", $F227&gt;=CP$5-4, $F227&lt;=CP$5, COUNTIF($M227:CO227,"u")=0), "u", "")</f>
        <v/>
      </c>
      <c r="CQ227" s="80" t="str">
        <f>IF(AND($F227&lt;&gt;"", $F227&gt;=CQ$5-4, $F227&lt;=CQ$5, COUNTIF($M227:CP227,"u")=0), "u", "")</f>
        <v/>
      </c>
      <c r="CR227" s="80" t="str">
        <f>IF(AND($F227&lt;&gt;"", $F227&gt;=CR$5-4, $F227&lt;=CR$5, COUNTIF($M227:CQ227,"u")=0), "u", "")</f>
        <v/>
      </c>
      <c r="CS227" s="80" t="str">
        <f>IF(AND($F227&lt;&gt;"", $F227&gt;=CS$5-4, $F227&lt;=CS$5, COUNTIF($M227:CR227,"u")=0), "u", "")</f>
        <v/>
      </c>
      <c r="CT227" s="80" t="str">
        <f>IF(AND($F227&lt;&gt;"", $F227&gt;=CT$5-4, $F227&lt;=CT$5, COUNTIF($M227:CS227,"u")=0), "u", "")</f>
        <v/>
      </c>
      <c r="CU227" s="80" t="str">
        <f>IF(AND($F227&lt;&gt;"", $F227&gt;=CU$5-4, $F227&lt;=CU$5, COUNTIF($M227:CT227,"u")=0), "u", "")</f>
        <v/>
      </c>
      <c r="CV227" s="80" t="str">
        <f>IF(AND($F227&lt;&gt;"", $F227&gt;=CV$5-4, $F227&lt;=CV$5, COUNTIF($M227:CU227,"u")=0), "u", "")</f>
        <v/>
      </c>
      <c r="CW227" s="80" t="str">
        <f>IF(AND($F227&lt;&gt;"", $F227&gt;=CW$5-4, $F227&lt;=CW$5, COUNTIF($M227:CV227,"u")=0), "u", "")</f>
        <v/>
      </c>
      <c r="CX227" s="80" t="str">
        <f>IF(AND($F227&lt;&gt;"", $F227&gt;=CX$5-4, $F227&lt;=CX$5, COUNTIF($M227:CW227,"u")=0), "u", "")</f>
        <v/>
      </c>
      <c r="CY227" s="80" t="str">
        <f>IF(AND($F227&lt;&gt;"", $F227&gt;=CY$5-4, $F227&lt;=CY$5, COUNTIF($M227:CX227,"u")=0), "u", "")</f>
        <v/>
      </c>
      <c r="CZ227" s="80" t="str">
        <f>IF(AND($F227&lt;&gt;"", $F227&gt;=CZ$5-4, $F227&lt;=CZ$5, COUNTIF($M227:CY227,"u")=0), "u", "")</f>
        <v/>
      </c>
      <c r="DA227" s="80" t="str">
        <f>IF(AND($F227&lt;&gt;"", $F227&gt;=DA$5-4, $F227&lt;=DA$5, COUNTIF($M227:CZ227,"u")=0), "u", "")</f>
        <v/>
      </c>
      <c r="DB227" s="80" t="str">
        <f>IF(AND($F227&lt;&gt;"", $F227&gt;=DB$5-4, $F227&lt;=DB$5, COUNTIF($M227:DA227,"u")=0), "u", "")</f>
        <v/>
      </c>
      <c r="DC227" s="80" t="str">
        <f>IF(AND($F227&lt;&gt;"", $F227&gt;=DC$5-4, $F227&lt;=DC$5, COUNTIF($M227:DB227,"u")=0), "u", "")</f>
        <v/>
      </c>
      <c r="DD227" s="80" t="str">
        <f>IF(AND($F227&lt;&gt;"", $F227&gt;=DD$5-4, $F227&lt;=DD$5, COUNTIF($M227:DC227,"u")=0), "u", "")</f>
        <v/>
      </c>
      <c r="DE227" s="80" t="str">
        <f>IF(AND($F227&lt;&gt;"", $F227&gt;=DE$5-4, $F227&lt;=DE$5, COUNTIF($M227:DD227,"u")=0), "u", "")</f>
        <v/>
      </c>
      <c r="DF227" s="80" t="str">
        <f>IF(AND($F227&lt;&gt;"", $F227&gt;=DF$5-4, $F227&lt;=DF$5, COUNTIF($M227:DE227,"u")=0), "u", "")</f>
        <v/>
      </c>
      <c r="DG227" s="80" t="str">
        <f>IF(AND($F227&lt;&gt;"", $F227&gt;=DG$5-4, $F227&lt;=DG$5, COUNTIF($M227:DF227,"u")=0), "u", "")</f>
        <v/>
      </c>
      <c r="DH227" s="80" t="str">
        <f>IF(AND($F227&lt;&gt;"", $F227&gt;=DH$5-4, $F227&lt;=DH$5, COUNTIF($M227:DG227,"u")=0), "u", "")</f>
        <v/>
      </c>
      <c r="DI227" s="80" t="str">
        <f>IF(AND($F227&lt;&gt;"", $F227&gt;=DI$5-4, $F227&lt;=DI$5, COUNTIF($M227:DH227,"u")=0), "u", "")</f>
        <v/>
      </c>
      <c r="DJ227" s="80" t="str">
        <f>IF(AND($F227&lt;&gt;"", $F227&gt;=DJ$5-4, $F227&lt;=DJ$5, COUNTIF($M227:DI227,"u")=0), "u", "")</f>
        <v/>
      </c>
      <c r="DK227" s="80" t="str">
        <f>IF(AND($F227&lt;&gt;"", $F227&gt;=DK$5-4, $F227&lt;=DK$5, COUNTIF($M227:DJ227,"u")=0), "u", "")</f>
        <v/>
      </c>
      <c r="DL227" s="80" t="str">
        <f>IF(AND($F227&lt;&gt;"", $F227&gt;=DL$5-4, $F227&lt;=DL$5, COUNTIF($M227:DK227,"u")=0), "u", "")</f>
        <v/>
      </c>
    </row>
    <row r="228" spans="1:116" ht="25.05" customHeight="1" x14ac:dyDescent="0.3">
      <c r="A228" s="39"/>
      <c r="B228" s="75">
        <v>223</v>
      </c>
      <c r="C228" s="97"/>
      <c r="D228" s="92"/>
      <c r="E228" s="53"/>
      <c r="F228" s="53"/>
      <c r="G228" s="83" t="str">
        <f t="shared" si="56"/>
        <v/>
      </c>
      <c r="H228" s="83" t="str">
        <f t="shared" si="56"/>
        <v/>
      </c>
      <c r="I228" s="77" t="str">
        <f t="shared" si="54"/>
        <v/>
      </c>
      <c r="J228" s="78"/>
      <c r="K228" s="86"/>
      <c r="L228" s="56"/>
      <c r="M228" s="80" t="str">
        <f t="shared" si="55"/>
        <v/>
      </c>
      <c r="N228" s="80" t="str">
        <f>IF(AND($F228&lt;&gt;"", $F228&gt;=N$5-4, $F228&lt;=N$5, COUNTIF($M228:M228,"u")=0), "u", "")</f>
        <v/>
      </c>
      <c r="O228" s="80" t="str">
        <f>IF(AND($F228&lt;&gt;"", $F228&gt;=O$5-4, $F228&lt;=O$5, COUNTIF($M228:N228,"u")=0), "u", "")</f>
        <v/>
      </c>
      <c r="P228" s="80" t="str">
        <f>IF(AND($F228&lt;&gt;"", $F228&gt;=P$5-4, $F228&lt;=P$5, COUNTIF($M228:O228,"u")=0), "u", "")</f>
        <v/>
      </c>
      <c r="Q228" s="80" t="str">
        <f>IF(AND($F228&lt;&gt;"", $F228&gt;=Q$5-4, $F228&lt;=Q$5, COUNTIF($M228:P228,"u")=0), "u", "")</f>
        <v/>
      </c>
      <c r="R228" s="80" t="str">
        <f>IF(AND($F228&lt;&gt;"", $F228&gt;=R$5-4, $F228&lt;=R$5, COUNTIF($M228:Q228,"u")=0), "u", "")</f>
        <v/>
      </c>
      <c r="S228" s="80" t="str">
        <f>IF(AND($F228&lt;&gt;"", $F228&gt;=S$5-4, $F228&lt;=S$5, COUNTIF($M228:R228,"u")=0), "u", "")</f>
        <v/>
      </c>
      <c r="T228" s="80" t="str">
        <f>IF(AND($F228&lt;&gt;"", $F228&gt;=T$5-4, $F228&lt;=T$5, COUNTIF($M228:S228,"u")=0), "u", "")</f>
        <v/>
      </c>
      <c r="U228" s="80" t="str">
        <f>IF(AND($F228&lt;&gt;"", $F228&gt;=U$5-4, $F228&lt;=U$5, COUNTIF($M228:T228,"u")=0), "u", "")</f>
        <v/>
      </c>
      <c r="V228" s="80" t="str">
        <f>IF(AND($F228&lt;&gt;"", $F228&gt;=V$5-4, $F228&lt;=V$5, COUNTIF($M228:U228,"u")=0), "u", "")</f>
        <v/>
      </c>
      <c r="W228" s="80" t="str">
        <f>IF(AND($F228&lt;&gt;"", $F228&gt;=W$5-4, $F228&lt;=W$5, COUNTIF($M228:V228,"u")=0), "u", "")</f>
        <v/>
      </c>
      <c r="X228" s="80" t="str">
        <f>IF(AND($F228&lt;&gt;"", $F228&gt;=X$5-4, $F228&lt;=X$5, COUNTIF($M228:W228,"u")=0), "u", "")</f>
        <v/>
      </c>
      <c r="Y228" s="80" t="str">
        <f>IF(AND($F228&lt;&gt;"", $F228&gt;=Y$5-4, $F228&lt;=Y$5, COUNTIF($M228:X228,"u")=0), "u", "")</f>
        <v/>
      </c>
      <c r="Z228" s="80" t="str">
        <f>IF(AND($F228&lt;&gt;"", $F228&gt;=Z$5-4, $F228&lt;=Z$5, COUNTIF($M228:Y228,"u")=0), "u", "")</f>
        <v/>
      </c>
      <c r="AA228" s="80" t="str">
        <f>IF(AND($F228&lt;&gt;"", $F228&gt;=AA$5-4, $F228&lt;=AA$5, COUNTIF($M228:Z228,"u")=0), "u", "")</f>
        <v/>
      </c>
      <c r="AB228" s="80" t="str">
        <f>IF(AND($F228&lt;&gt;"", $F228&gt;=AB$5-4, $F228&lt;=AB$5, COUNTIF($M228:AA228,"u")=0), "u", "")</f>
        <v/>
      </c>
      <c r="AC228" s="80" t="str">
        <f>IF(AND($F228&lt;&gt;"", $F228&gt;=AC$5-4, $F228&lt;=AC$5, COUNTIF($M228:AB228,"u")=0), "u", "")</f>
        <v/>
      </c>
      <c r="AD228" s="80" t="str">
        <f>IF(AND($F228&lt;&gt;"", $F228&gt;=AD$5-4, $F228&lt;=AD$5, COUNTIF($M228:AC228,"u")=0), "u", "")</f>
        <v/>
      </c>
      <c r="AE228" s="80" t="str">
        <f>IF(AND($F228&lt;&gt;"", $F228&gt;=AE$5-4, $F228&lt;=AE$5, COUNTIF($M228:AD228,"u")=0), "u", "")</f>
        <v/>
      </c>
      <c r="AF228" s="80" t="str">
        <f>IF(AND($F228&lt;&gt;"", $F228&gt;=AF$5-4, $F228&lt;=AF$5, COUNTIF($M228:AE228,"u")=0), "u", "")</f>
        <v/>
      </c>
      <c r="AG228" s="80" t="str">
        <f>IF(AND($F228&lt;&gt;"", $F228&gt;=AG$5-4, $F228&lt;=AG$5, COUNTIF($M228:AF228,"u")=0), "u", "")</f>
        <v/>
      </c>
      <c r="AH228" s="80" t="str">
        <f>IF(AND($F228&lt;&gt;"", $F228&gt;=AH$5-4, $F228&lt;=AH$5, COUNTIF($M228:AG228,"u")=0), "u", "")</f>
        <v/>
      </c>
      <c r="AI228" s="80" t="str">
        <f>IF(AND($F228&lt;&gt;"", $F228&gt;=AI$5-4, $F228&lt;=AI$5, COUNTIF($M228:AH228,"u")=0), "u", "")</f>
        <v/>
      </c>
      <c r="AJ228" s="80" t="str">
        <f>IF(AND($F228&lt;&gt;"", $F228&gt;=AJ$5-4, $F228&lt;=AJ$5, COUNTIF($M228:AI228,"u")=0), "u", "")</f>
        <v/>
      </c>
      <c r="AK228" s="80" t="str">
        <f>IF(AND($F228&lt;&gt;"", $F228&gt;=AK$5-4, $F228&lt;=AK$5, COUNTIF($M228:AJ228,"u")=0), "u", "")</f>
        <v/>
      </c>
      <c r="AL228" s="80" t="str">
        <f>IF(AND($F228&lt;&gt;"", $F228&gt;=AL$5-4, $F228&lt;=AL$5, COUNTIF($M228:AK228,"u")=0), "u", "")</f>
        <v/>
      </c>
      <c r="AM228" s="80" t="str">
        <f>IF(AND($F228&lt;&gt;"", $F228&gt;=AM$5-4, $F228&lt;=AM$5, COUNTIF($M228:AL228,"u")=0), "u", "")</f>
        <v/>
      </c>
      <c r="AN228" s="80" t="str">
        <f>IF(AND($F228&lt;&gt;"", $F228&gt;=AN$5-4, $F228&lt;=AN$5, COUNTIF($M228:AM228,"u")=0), "u", "")</f>
        <v/>
      </c>
      <c r="AO228" s="80" t="str">
        <f>IF(AND($F228&lt;&gt;"", $F228&gt;=AO$5-4, $F228&lt;=AO$5, COUNTIF($M228:AN228,"u")=0), "u", "")</f>
        <v/>
      </c>
      <c r="AP228" s="80" t="str">
        <f>IF(AND($F228&lt;&gt;"", $F228&gt;=AP$5-4, $F228&lt;=AP$5, COUNTIF($M228:AO228,"u")=0), "u", "")</f>
        <v/>
      </c>
      <c r="AQ228" s="80" t="str">
        <f>IF(AND($F228&lt;&gt;"", $F228&gt;=AQ$5-4, $F228&lt;=AQ$5, COUNTIF($M228:AP228,"u")=0), "u", "")</f>
        <v/>
      </c>
      <c r="AR228" s="80" t="str">
        <f>IF(AND($F228&lt;&gt;"", $F228&gt;=AR$5-4, $F228&lt;=AR$5, COUNTIF($M228:AQ228,"u")=0), "u", "")</f>
        <v/>
      </c>
      <c r="AS228" s="80" t="str">
        <f>IF(AND($F228&lt;&gt;"", $F228&gt;=AS$5-4, $F228&lt;=AS$5, COUNTIF($M228:AR228,"u")=0), "u", "")</f>
        <v/>
      </c>
      <c r="AT228" s="80" t="str">
        <f>IF(AND($F228&lt;&gt;"", $F228&gt;=AT$5-4, $F228&lt;=AT$5, COUNTIF($M228:AS228,"u")=0), "u", "")</f>
        <v/>
      </c>
      <c r="AU228" s="80" t="str">
        <f>IF(AND($F228&lt;&gt;"", $F228&gt;=AU$5-4, $F228&lt;=AU$5, COUNTIF($M228:AT228,"u")=0), "u", "")</f>
        <v/>
      </c>
      <c r="AV228" s="80" t="str">
        <f>IF(AND($F228&lt;&gt;"", $F228&gt;=AV$5-4, $F228&lt;=AV$5, COUNTIF($M228:AU228,"u")=0), "u", "")</f>
        <v/>
      </c>
      <c r="AW228" s="80" t="str">
        <f>IF(AND($F228&lt;&gt;"", $F228&gt;=AW$5-4, $F228&lt;=AW$5, COUNTIF($M228:AV228,"u")=0), "u", "")</f>
        <v/>
      </c>
      <c r="AX228" s="80" t="str">
        <f>IF(AND($F228&lt;&gt;"", $F228&gt;=AX$5-4, $F228&lt;=AX$5, COUNTIF($M228:AW228,"u")=0), "u", "")</f>
        <v/>
      </c>
      <c r="AY228" s="80" t="str">
        <f>IF(AND($F228&lt;&gt;"", $F228&gt;=AY$5-4, $F228&lt;=AY$5, COUNTIF($M228:AX228,"u")=0), "u", "")</f>
        <v/>
      </c>
      <c r="AZ228" s="80" t="str">
        <f>IF(AND($F228&lt;&gt;"", $F228&gt;=AZ$5-4, $F228&lt;=AZ$5, COUNTIF($M228:AY228,"u")=0), "u", "")</f>
        <v/>
      </c>
      <c r="BA228" s="80" t="str">
        <f>IF(AND($F228&lt;&gt;"", $F228&gt;=BA$5-4, $F228&lt;=BA$5, COUNTIF($M228:AZ228,"u")=0), "u", "")</f>
        <v/>
      </c>
      <c r="BB228" s="80" t="str">
        <f>IF(AND($F228&lt;&gt;"", $F228&gt;=BB$5-4, $F228&lt;=BB$5, COUNTIF($M228:BA228,"u")=0), "u", "")</f>
        <v/>
      </c>
      <c r="BC228" s="80" t="str">
        <f>IF(AND($F228&lt;&gt;"", $F228&gt;=BC$5-4, $F228&lt;=BC$5, COUNTIF($M228:BB228,"u")=0), "u", "")</f>
        <v/>
      </c>
      <c r="BD228" s="80" t="str">
        <f>IF(AND($F228&lt;&gt;"", $F228&gt;=BD$5-4, $F228&lt;=BD$5, COUNTIF($M228:BC228,"u")=0), "u", "")</f>
        <v/>
      </c>
      <c r="BE228" s="80" t="str">
        <f>IF(AND($F228&lt;&gt;"", $F228&gt;=BE$5-4, $F228&lt;=BE$5, COUNTIF($M228:BD228,"u")=0), "u", "")</f>
        <v/>
      </c>
      <c r="BF228" s="80" t="str">
        <f>IF(AND($F228&lt;&gt;"", $F228&gt;=BF$5-4, $F228&lt;=BF$5, COUNTIF($M228:BE228,"u")=0), "u", "")</f>
        <v/>
      </c>
      <c r="BG228" s="80" t="str">
        <f>IF(AND($F228&lt;&gt;"", $F228&gt;=BG$5-4, $F228&lt;=BG$5, COUNTIF($M228:BF228,"u")=0), "u", "")</f>
        <v/>
      </c>
      <c r="BH228" s="80" t="str">
        <f>IF(AND($F228&lt;&gt;"", $F228&gt;=BH$5-4, $F228&lt;=BH$5, COUNTIF($M228:BG228,"u")=0), "u", "")</f>
        <v/>
      </c>
      <c r="BI228" s="80" t="str">
        <f>IF(AND($F228&lt;&gt;"", $F228&gt;=BI$5-4, $F228&lt;=BI$5, COUNTIF($M228:BH228,"u")=0), "u", "")</f>
        <v/>
      </c>
      <c r="BJ228" s="80" t="str">
        <f>IF(AND($F228&lt;&gt;"", $F228&gt;=BJ$5-4, $F228&lt;=BJ$5, COUNTIF($M228:BI228,"u")=0), "u", "")</f>
        <v/>
      </c>
      <c r="BK228" s="80" t="str">
        <f>IF(AND($F228&lt;&gt;"", $F228&gt;=BK$5-4, $F228&lt;=BK$5, COUNTIF($M228:BJ228,"u")=0), "u", "")</f>
        <v/>
      </c>
      <c r="BL228" s="80" t="str">
        <f>IF(AND($F228&lt;&gt;"", $F228&gt;=BL$5-4, $F228&lt;=BL$5, COUNTIF($M228:BK228,"u")=0), "u", "")</f>
        <v/>
      </c>
      <c r="BM228" s="80" t="str">
        <f>IF(AND($F228&lt;&gt;"", $F228&gt;=BM$5-4, $F228&lt;=BM$5, COUNTIF($M228:BL228,"u")=0), "u", "")</f>
        <v/>
      </c>
      <c r="BN228" s="80" t="str">
        <f>IF(AND($F228&lt;&gt;"", $F228&gt;=BN$5-4, $F228&lt;=BN$5, COUNTIF($M228:BM228,"u")=0), "u", "")</f>
        <v/>
      </c>
      <c r="BO228" s="80" t="str">
        <f>IF(AND($F228&lt;&gt;"", $F228&gt;=BO$5-4, $F228&lt;=BO$5, COUNTIF($M228:BN228,"u")=0), "u", "")</f>
        <v/>
      </c>
      <c r="BP228" s="80" t="str">
        <f>IF(AND($F228&lt;&gt;"", $F228&gt;=BP$5-4, $F228&lt;=BP$5, COUNTIF($M228:BO228,"u")=0), "u", "")</f>
        <v/>
      </c>
      <c r="BQ228" s="80" t="str">
        <f>IF(AND($F228&lt;&gt;"", $F228&gt;=BQ$5-4, $F228&lt;=BQ$5, COUNTIF($M228:BP228,"u")=0), "u", "")</f>
        <v/>
      </c>
      <c r="BR228" s="80" t="str">
        <f>IF(AND($F228&lt;&gt;"", $F228&gt;=BR$5-4, $F228&lt;=BR$5, COUNTIF($M228:BQ228,"u")=0), "u", "")</f>
        <v/>
      </c>
      <c r="BS228" s="80" t="str">
        <f>IF(AND($F228&lt;&gt;"", $F228&gt;=BS$5-4, $F228&lt;=BS$5, COUNTIF($M228:BR228,"u")=0), "u", "")</f>
        <v/>
      </c>
      <c r="BT228" s="80" t="str">
        <f>IF(AND($F228&lt;&gt;"", $F228&gt;=BT$5-4, $F228&lt;=BT$5, COUNTIF($M228:BS228,"u")=0), "u", "")</f>
        <v/>
      </c>
      <c r="BU228" s="80" t="str">
        <f>IF(AND($F228&lt;&gt;"", $F228&gt;=BU$5-4, $F228&lt;=BU$5, COUNTIF($M228:BT228,"u")=0), "u", "")</f>
        <v/>
      </c>
      <c r="BV228" s="80" t="str">
        <f>IF(AND($F228&lt;&gt;"", $F228&gt;=BV$5-4, $F228&lt;=BV$5, COUNTIF($M228:BU228,"u")=0), "u", "")</f>
        <v/>
      </c>
      <c r="BW228" s="80" t="str">
        <f>IF(AND($F228&lt;&gt;"", $F228&gt;=BW$5-4, $F228&lt;=BW$5, COUNTIF($M228:BV228,"u")=0), "u", "")</f>
        <v/>
      </c>
      <c r="BX228" s="80" t="str">
        <f>IF(AND($F228&lt;&gt;"", $F228&gt;=BX$5-4, $F228&lt;=BX$5, COUNTIF($M228:BW228,"u")=0), "u", "")</f>
        <v/>
      </c>
      <c r="BY228" s="80" t="str">
        <f>IF(AND($F228&lt;&gt;"", $F228&gt;=BY$5-4, $F228&lt;=BY$5, COUNTIF($M228:BX228,"u")=0), "u", "")</f>
        <v/>
      </c>
      <c r="BZ228" s="80" t="str">
        <f>IF(AND($F228&lt;&gt;"", $F228&gt;=BZ$5-4, $F228&lt;=BZ$5, COUNTIF($M228:BY228,"u")=0), "u", "")</f>
        <v/>
      </c>
      <c r="CA228" s="80" t="str">
        <f>IF(AND($F228&lt;&gt;"", $F228&gt;=CA$5-4, $F228&lt;=CA$5, COUNTIF($M228:BZ228,"u")=0), "u", "")</f>
        <v/>
      </c>
      <c r="CB228" s="80" t="str">
        <f>IF(AND($F228&lt;&gt;"", $F228&gt;=CB$5-4, $F228&lt;=CB$5, COUNTIF($M228:CA228,"u")=0), "u", "")</f>
        <v/>
      </c>
      <c r="CC228" s="80" t="str">
        <f>IF(AND($F228&lt;&gt;"", $F228&gt;=CC$5-4, $F228&lt;=CC$5, COUNTIF($M228:CB228,"u")=0), "u", "")</f>
        <v/>
      </c>
      <c r="CD228" s="80" t="str">
        <f>IF(AND($F228&lt;&gt;"", $F228&gt;=CD$5-4, $F228&lt;=CD$5, COUNTIF($M228:CC228,"u")=0), "u", "")</f>
        <v/>
      </c>
      <c r="CE228" s="80" t="str">
        <f>IF(AND($F228&lt;&gt;"", $F228&gt;=CE$5-4, $F228&lt;=CE$5, COUNTIF($M228:CD228,"u")=0), "u", "")</f>
        <v/>
      </c>
      <c r="CF228" s="80" t="str">
        <f>IF(AND($F228&lt;&gt;"", $F228&gt;=CF$5-4, $F228&lt;=CF$5, COUNTIF($M228:CE228,"u")=0), "u", "")</f>
        <v/>
      </c>
      <c r="CG228" s="80" t="str">
        <f>IF(AND($F228&lt;&gt;"", $F228&gt;=CG$5-4, $F228&lt;=CG$5, COUNTIF($M228:CF228,"u")=0), "u", "")</f>
        <v/>
      </c>
      <c r="CH228" s="80" t="str">
        <f>IF(AND($F228&lt;&gt;"", $F228&gt;=CH$5-4, $F228&lt;=CH$5, COUNTIF($M228:CG228,"u")=0), "u", "")</f>
        <v/>
      </c>
      <c r="CI228" s="80" t="str">
        <f>IF(AND($F228&lt;&gt;"", $F228&gt;=CI$5-4, $F228&lt;=CI$5, COUNTIF($M228:CH228,"u")=0), "u", "")</f>
        <v/>
      </c>
      <c r="CJ228" s="80" t="str">
        <f>IF(AND($F228&lt;&gt;"", $F228&gt;=CJ$5-4, $F228&lt;=CJ$5, COUNTIF($M228:CI228,"u")=0), "u", "")</f>
        <v/>
      </c>
      <c r="CK228" s="80" t="str">
        <f>IF(AND($F228&lt;&gt;"", $F228&gt;=CK$5-4, $F228&lt;=CK$5, COUNTIF($M228:CJ228,"u")=0), "u", "")</f>
        <v/>
      </c>
      <c r="CL228" s="80" t="str">
        <f>IF(AND($F228&lt;&gt;"", $F228&gt;=CL$5-4, $F228&lt;=CL$5, COUNTIF($M228:CK228,"u")=0), "u", "")</f>
        <v/>
      </c>
      <c r="CM228" s="80" t="str">
        <f>IF(AND($F228&lt;&gt;"", $F228&gt;=CM$5-4, $F228&lt;=CM$5, COUNTIF($M228:CL228,"u")=0), "u", "")</f>
        <v/>
      </c>
      <c r="CN228" s="80" t="str">
        <f>IF(AND($F228&lt;&gt;"", $F228&gt;=CN$5-4, $F228&lt;=CN$5, COUNTIF($M228:CM228,"u")=0), "u", "")</f>
        <v/>
      </c>
      <c r="CO228" s="80" t="str">
        <f>IF(AND($F228&lt;&gt;"", $F228&gt;=CO$5-4, $F228&lt;=CO$5, COUNTIF($M228:CN228,"u")=0), "u", "")</f>
        <v/>
      </c>
      <c r="CP228" s="80" t="str">
        <f>IF(AND($F228&lt;&gt;"", $F228&gt;=CP$5-4, $F228&lt;=CP$5, COUNTIF($M228:CO228,"u")=0), "u", "")</f>
        <v/>
      </c>
      <c r="CQ228" s="80" t="str">
        <f>IF(AND($F228&lt;&gt;"", $F228&gt;=CQ$5-4, $F228&lt;=CQ$5, COUNTIF($M228:CP228,"u")=0), "u", "")</f>
        <v/>
      </c>
      <c r="CR228" s="80" t="str">
        <f>IF(AND($F228&lt;&gt;"", $F228&gt;=CR$5-4, $F228&lt;=CR$5, COUNTIF($M228:CQ228,"u")=0), "u", "")</f>
        <v/>
      </c>
      <c r="CS228" s="80" t="str">
        <f>IF(AND($F228&lt;&gt;"", $F228&gt;=CS$5-4, $F228&lt;=CS$5, COUNTIF($M228:CR228,"u")=0), "u", "")</f>
        <v/>
      </c>
      <c r="CT228" s="80" t="str">
        <f>IF(AND($F228&lt;&gt;"", $F228&gt;=CT$5-4, $F228&lt;=CT$5, COUNTIF($M228:CS228,"u")=0), "u", "")</f>
        <v/>
      </c>
      <c r="CU228" s="80" t="str">
        <f>IF(AND($F228&lt;&gt;"", $F228&gt;=CU$5-4, $F228&lt;=CU$5, COUNTIF($M228:CT228,"u")=0), "u", "")</f>
        <v/>
      </c>
      <c r="CV228" s="80" t="str">
        <f>IF(AND($F228&lt;&gt;"", $F228&gt;=CV$5-4, $F228&lt;=CV$5, COUNTIF($M228:CU228,"u")=0), "u", "")</f>
        <v/>
      </c>
      <c r="CW228" s="80" t="str">
        <f>IF(AND($F228&lt;&gt;"", $F228&gt;=CW$5-4, $F228&lt;=CW$5, COUNTIF($M228:CV228,"u")=0), "u", "")</f>
        <v/>
      </c>
      <c r="CX228" s="80" t="str">
        <f>IF(AND($F228&lt;&gt;"", $F228&gt;=CX$5-4, $F228&lt;=CX$5, COUNTIF($M228:CW228,"u")=0), "u", "")</f>
        <v/>
      </c>
      <c r="CY228" s="80" t="str">
        <f>IF(AND($F228&lt;&gt;"", $F228&gt;=CY$5-4, $F228&lt;=CY$5, COUNTIF($M228:CX228,"u")=0), "u", "")</f>
        <v/>
      </c>
      <c r="CZ228" s="80" t="str">
        <f>IF(AND($F228&lt;&gt;"", $F228&gt;=CZ$5-4, $F228&lt;=CZ$5, COUNTIF($M228:CY228,"u")=0), "u", "")</f>
        <v/>
      </c>
      <c r="DA228" s="80" t="str">
        <f>IF(AND($F228&lt;&gt;"", $F228&gt;=DA$5-4, $F228&lt;=DA$5, COUNTIF($M228:CZ228,"u")=0), "u", "")</f>
        <v/>
      </c>
      <c r="DB228" s="80" t="str">
        <f>IF(AND($F228&lt;&gt;"", $F228&gt;=DB$5-4, $F228&lt;=DB$5, COUNTIF($M228:DA228,"u")=0), "u", "")</f>
        <v/>
      </c>
      <c r="DC228" s="80" t="str">
        <f>IF(AND($F228&lt;&gt;"", $F228&gt;=DC$5-4, $F228&lt;=DC$5, COUNTIF($M228:DB228,"u")=0), "u", "")</f>
        <v/>
      </c>
      <c r="DD228" s="80" t="str">
        <f>IF(AND($F228&lt;&gt;"", $F228&gt;=DD$5-4, $F228&lt;=DD$5, COUNTIF($M228:DC228,"u")=0), "u", "")</f>
        <v/>
      </c>
      <c r="DE228" s="80" t="str">
        <f>IF(AND($F228&lt;&gt;"", $F228&gt;=DE$5-4, $F228&lt;=DE$5, COUNTIF($M228:DD228,"u")=0), "u", "")</f>
        <v/>
      </c>
      <c r="DF228" s="80" t="str">
        <f>IF(AND($F228&lt;&gt;"", $F228&gt;=DF$5-4, $F228&lt;=DF$5, COUNTIF($M228:DE228,"u")=0), "u", "")</f>
        <v/>
      </c>
      <c r="DG228" s="80" t="str">
        <f>IF(AND($F228&lt;&gt;"", $F228&gt;=DG$5-4, $F228&lt;=DG$5, COUNTIF($M228:DF228,"u")=0), "u", "")</f>
        <v/>
      </c>
      <c r="DH228" s="80" t="str">
        <f>IF(AND($F228&lt;&gt;"", $F228&gt;=DH$5-4, $F228&lt;=DH$5, COUNTIF($M228:DG228,"u")=0), "u", "")</f>
        <v/>
      </c>
      <c r="DI228" s="80" t="str">
        <f>IF(AND($F228&lt;&gt;"", $F228&gt;=DI$5-4, $F228&lt;=DI$5, COUNTIF($M228:DH228,"u")=0), "u", "")</f>
        <v/>
      </c>
      <c r="DJ228" s="80" t="str">
        <f>IF(AND($F228&lt;&gt;"", $F228&gt;=DJ$5-4, $F228&lt;=DJ$5, COUNTIF($M228:DI228,"u")=0), "u", "")</f>
        <v/>
      </c>
      <c r="DK228" s="80" t="str">
        <f>IF(AND($F228&lt;&gt;"", $F228&gt;=DK$5-4, $F228&lt;=DK$5, COUNTIF($M228:DJ228,"u")=0), "u", "")</f>
        <v/>
      </c>
      <c r="DL228" s="80" t="str">
        <f>IF(AND($F228&lt;&gt;"", $F228&gt;=DL$5-4, $F228&lt;=DL$5, COUNTIF($M228:DK228,"u")=0), "u", "")</f>
        <v/>
      </c>
    </row>
    <row r="229" spans="1:116" ht="25.05" customHeight="1" x14ac:dyDescent="0.3">
      <c r="A229" s="39"/>
      <c r="B229" s="75">
        <v>224</v>
      </c>
      <c r="C229" s="97"/>
      <c r="D229" s="92"/>
      <c r="E229" s="53"/>
      <c r="F229" s="53"/>
      <c r="G229" s="83" t="str">
        <f t="shared" si="56"/>
        <v/>
      </c>
      <c r="H229" s="83" t="str">
        <f t="shared" si="56"/>
        <v/>
      </c>
      <c r="I229" s="77" t="str">
        <f t="shared" si="54"/>
        <v/>
      </c>
      <c r="J229" s="78"/>
      <c r="K229" s="86"/>
      <c r="L229" s="56"/>
      <c r="M229" s="80" t="str">
        <f t="shared" si="55"/>
        <v/>
      </c>
      <c r="N229" s="80" t="str">
        <f>IF(AND($F229&lt;&gt;"", $F229&gt;=N$5-4, $F229&lt;=N$5, COUNTIF($M229:M229,"u")=0), "u", "")</f>
        <v/>
      </c>
      <c r="O229" s="80" t="str">
        <f>IF(AND($F229&lt;&gt;"", $F229&gt;=O$5-4, $F229&lt;=O$5, COUNTIF($M229:N229,"u")=0), "u", "")</f>
        <v/>
      </c>
      <c r="P229" s="80" t="str">
        <f>IF(AND($F229&lt;&gt;"", $F229&gt;=P$5-4, $F229&lt;=P$5, COUNTIF($M229:O229,"u")=0), "u", "")</f>
        <v/>
      </c>
      <c r="Q229" s="80" t="str">
        <f>IF(AND($F229&lt;&gt;"", $F229&gt;=Q$5-4, $F229&lt;=Q$5, COUNTIF($M229:P229,"u")=0), "u", "")</f>
        <v/>
      </c>
      <c r="R229" s="80" t="str">
        <f>IF(AND($F229&lt;&gt;"", $F229&gt;=R$5-4, $F229&lt;=R$5, COUNTIF($M229:Q229,"u")=0), "u", "")</f>
        <v/>
      </c>
      <c r="S229" s="80" t="str">
        <f>IF(AND($F229&lt;&gt;"", $F229&gt;=S$5-4, $F229&lt;=S$5, COUNTIF($M229:R229,"u")=0), "u", "")</f>
        <v/>
      </c>
      <c r="T229" s="80" t="str">
        <f>IF(AND($F229&lt;&gt;"", $F229&gt;=T$5-4, $F229&lt;=T$5, COUNTIF($M229:S229,"u")=0), "u", "")</f>
        <v/>
      </c>
      <c r="U229" s="80" t="str">
        <f>IF(AND($F229&lt;&gt;"", $F229&gt;=U$5-4, $F229&lt;=U$5, COUNTIF($M229:T229,"u")=0), "u", "")</f>
        <v/>
      </c>
      <c r="V229" s="80" t="str">
        <f>IF(AND($F229&lt;&gt;"", $F229&gt;=V$5-4, $F229&lt;=V$5, COUNTIF($M229:U229,"u")=0), "u", "")</f>
        <v/>
      </c>
      <c r="W229" s="80" t="str">
        <f>IF(AND($F229&lt;&gt;"", $F229&gt;=W$5-4, $F229&lt;=W$5, COUNTIF($M229:V229,"u")=0), "u", "")</f>
        <v/>
      </c>
      <c r="X229" s="80" t="str">
        <f>IF(AND($F229&lt;&gt;"", $F229&gt;=X$5-4, $F229&lt;=X$5, COUNTIF($M229:W229,"u")=0), "u", "")</f>
        <v/>
      </c>
      <c r="Y229" s="80" t="str">
        <f>IF(AND($F229&lt;&gt;"", $F229&gt;=Y$5-4, $F229&lt;=Y$5, COUNTIF($M229:X229,"u")=0), "u", "")</f>
        <v/>
      </c>
      <c r="Z229" s="80" t="str">
        <f>IF(AND($F229&lt;&gt;"", $F229&gt;=Z$5-4, $F229&lt;=Z$5, COUNTIF($M229:Y229,"u")=0), "u", "")</f>
        <v/>
      </c>
      <c r="AA229" s="80" t="str">
        <f>IF(AND($F229&lt;&gt;"", $F229&gt;=AA$5-4, $F229&lt;=AA$5, COUNTIF($M229:Z229,"u")=0), "u", "")</f>
        <v/>
      </c>
      <c r="AB229" s="80" t="str">
        <f>IF(AND($F229&lt;&gt;"", $F229&gt;=AB$5-4, $F229&lt;=AB$5, COUNTIF($M229:AA229,"u")=0), "u", "")</f>
        <v/>
      </c>
      <c r="AC229" s="80" t="str">
        <f>IF(AND($F229&lt;&gt;"", $F229&gt;=AC$5-4, $F229&lt;=AC$5, COUNTIF($M229:AB229,"u")=0), "u", "")</f>
        <v/>
      </c>
      <c r="AD229" s="80" t="str">
        <f>IF(AND($F229&lt;&gt;"", $F229&gt;=AD$5-4, $F229&lt;=AD$5, COUNTIF($M229:AC229,"u")=0), "u", "")</f>
        <v/>
      </c>
      <c r="AE229" s="80" t="str">
        <f>IF(AND($F229&lt;&gt;"", $F229&gt;=AE$5-4, $F229&lt;=AE$5, COUNTIF($M229:AD229,"u")=0), "u", "")</f>
        <v/>
      </c>
      <c r="AF229" s="80" t="str">
        <f>IF(AND($F229&lt;&gt;"", $F229&gt;=AF$5-4, $F229&lt;=AF$5, COUNTIF($M229:AE229,"u")=0), "u", "")</f>
        <v/>
      </c>
      <c r="AG229" s="80" t="str">
        <f>IF(AND($F229&lt;&gt;"", $F229&gt;=AG$5-4, $F229&lt;=AG$5, COUNTIF($M229:AF229,"u")=0), "u", "")</f>
        <v/>
      </c>
      <c r="AH229" s="80" t="str">
        <f>IF(AND($F229&lt;&gt;"", $F229&gt;=AH$5-4, $F229&lt;=AH$5, COUNTIF($M229:AG229,"u")=0), "u", "")</f>
        <v/>
      </c>
      <c r="AI229" s="80" t="str">
        <f>IF(AND($F229&lt;&gt;"", $F229&gt;=AI$5-4, $F229&lt;=AI$5, COUNTIF($M229:AH229,"u")=0), "u", "")</f>
        <v/>
      </c>
      <c r="AJ229" s="80" t="str">
        <f>IF(AND($F229&lt;&gt;"", $F229&gt;=AJ$5-4, $F229&lt;=AJ$5, COUNTIF($M229:AI229,"u")=0), "u", "")</f>
        <v/>
      </c>
      <c r="AK229" s="80" t="str">
        <f>IF(AND($F229&lt;&gt;"", $F229&gt;=AK$5-4, $F229&lt;=AK$5, COUNTIF($M229:AJ229,"u")=0), "u", "")</f>
        <v/>
      </c>
      <c r="AL229" s="80" t="str">
        <f>IF(AND($F229&lt;&gt;"", $F229&gt;=AL$5-4, $F229&lt;=AL$5, COUNTIF($M229:AK229,"u")=0), "u", "")</f>
        <v/>
      </c>
      <c r="AM229" s="80" t="str">
        <f>IF(AND($F229&lt;&gt;"", $F229&gt;=AM$5-4, $F229&lt;=AM$5, COUNTIF($M229:AL229,"u")=0), "u", "")</f>
        <v/>
      </c>
      <c r="AN229" s="80" t="str">
        <f>IF(AND($F229&lt;&gt;"", $F229&gt;=AN$5-4, $F229&lt;=AN$5, COUNTIF($M229:AM229,"u")=0), "u", "")</f>
        <v/>
      </c>
      <c r="AO229" s="80" t="str">
        <f>IF(AND($F229&lt;&gt;"", $F229&gt;=AO$5-4, $F229&lt;=AO$5, COUNTIF($M229:AN229,"u")=0), "u", "")</f>
        <v/>
      </c>
      <c r="AP229" s="80" t="str">
        <f>IF(AND($F229&lt;&gt;"", $F229&gt;=AP$5-4, $F229&lt;=AP$5, COUNTIF($M229:AO229,"u")=0), "u", "")</f>
        <v/>
      </c>
      <c r="AQ229" s="80" t="str">
        <f>IF(AND($F229&lt;&gt;"", $F229&gt;=AQ$5-4, $F229&lt;=AQ$5, COUNTIF($M229:AP229,"u")=0), "u", "")</f>
        <v/>
      </c>
      <c r="AR229" s="80" t="str">
        <f>IF(AND($F229&lt;&gt;"", $F229&gt;=AR$5-4, $F229&lt;=AR$5, COUNTIF($M229:AQ229,"u")=0), "u", "")</f>
        <v/>
      </c>
      <c r="AS229" s="80" t="str">
        <f>IF(AND($F229&lt;&gt;"", $F229&gt;=AS$5-4, $F229&lt;=AS$5, COUNTIF($M229:AR229,"u")=0), "u", "")</f>
        <v/>
      </c>
      <c r="AT229" s="80" t="str">
        <f>IF(AND($F229&lt;&gt;"", $F229&gt;=AT$5-4, $F229&lt;=AT$5, COUNTIF($M229:AS229,"u")=0), "u", "")</f>
        <v/>
      </c>
      <c r="AU229" s="80" t="str">
        <f>IF(AND($F229&lt;&gt;"", $F229&gt;=AU$5-4, $F229&lt;=AU$5, COUNTIF($M229:AT229,"u")=0), "u", "")</f>
        <v/>
      </c>
      <c r="AV229" s="80" t="str">
        <f>IF(AND($F229&lt;&gt;"", $F229&gt;=AV$5-4, $F229&lt;=AV$5, COUNTIF($M229:AU229,"u")=0), "u", "")</f>
        <v/>
      </c>
      <c r="AW229" s="80" t="str">
        <f>IF(AND($F229&lt;&gt;"", $F229&gt;=AW$5-4, $F229&lt;=AW$5, COUNTIF($M229:AV229,"u")=0), "u", "")</f>
        <v/>
      </c>
      <c r="AX229" s="80" t="str">
        <f>IF(AND($F229&lt;&gt;"", $F229&gt;=AX$5-4, $F229&lt;=AX$5, COUNTIF($M229:AW229,"u")=0), "u", "")</f>
        <v/>
      </c>
      <c r="AY229" s="80" t="str">
        <f>IF(AND($F229&lt;&gt;"", $F229&gt;=AY$5-4, $F229&lt;=AY$5, COUNTIF($M229:AX229,"u")=0), "u", "")</f>
        <v/>
      </c>
      <c r="AZ229" s="80" t="str">
        <f>IF(AND($F229&lt;&gt;"", $F229&gt;=AZ$5-4, $F229&lt;=AZ$5, COUNTIF($M229:AY229,"u")=0), "u", "")</f>
        <v/>
      </c>
      <c r="BA229" s="80" t="str">
        <f>IF(AND($F229&lt;&gt;"", $F229&gt;=BA$5-4, $F229&lt;=BA$5, COUNTIF($M229:AZ229,"u")=0), "u", "")</f>
        <v/>
      </c>
      <c r="BB229" s="80" t="str">
        <f>IF(AND($F229&lt;&gt;"", $F229&gt;=BB$5-4, $F229&lt;=BB$5, COUNTIF($M229:BA229,"u")=0), "u", "")</f>
        <v/>
      </c>
      <c r="BC229" s="80" t="str">
        <f>IF(AND($F229&lt;&gt;"", $F229&gt;=BC$5-4, $F229&lt;=BC$5, COUNTIF($M229:BB229,"u")=0), "u", "")</f>
        <v/>
      </c>
      <c r="BD229" s="80" t="str">
        <f>IF(AND($F229&lt;&gt;"", $F229&gt;=BD$5-4, $F229&lt;=BD$5, COUNTIF($M229:BC229,"u")=0), "u", "")</f>
        <v/>
      </c>
      <c r="BE229" s="80" t="str">
        <f>IF(AND($F229&lt;&gt;"", $F229&gt;=BE$5-4, $F229&lt;=BE$5, COUNTIF($M229:BD229,"u")=0), "u", "")</f>
        <v/>
      </c>
      <c r="BF229" s="80" t="str">
        <f>IF(AND($F229&lt;&gt;"", $F229&gt;=BF$5-4, $F229&lt;=BF$5, COUNTIF($M229:BE229,"u")=0), "u", "")</f>
        <v/>
      </c>
      <c r="BG229" s="80" t="str">
        <f>IF(AND($F229&lt;&gt;"", $F229&gt;=BG$5-4, $F229&lt;=BG$5, COUNTIF($M229:BF229,"u")=0), "u", "")</f>
        <v/>
      </c>
      <c r="BH229" s="80" t="str">
        <f>IF(AND($F229&lt;&gt;"", $F229&gt;=BH$5-4, $F229&lt;=BH$5, COUNTIF($M229:BG229,"u")=0), "u", "")</f>
        <v/>
      </c>
      <c r="BI229" s="80" t="str">
        <f>IF(AND($F229&lt;&gt;"", $F229&gt;=BI$5-4, $F229&lt;=BI$5, COUNTIF($M229:BH229,"u")=0), "u", "")</f>
        <v/>
      </c>
      <c r="BJ229" s="80" t="str">
        <f>IF(AND($F229&lt;&gt;"", $F229&gt;=BJ$5-4, $F229&lt;=BJ$5, COUNTIF($M229:BI229,"u")=0), "u", "")</f>
        <v/>
      </c>
      <c r="BK229" s="80" t="str">
        <f>IF(AND($F229&lt;&gt;"", $F229&gt;=BK$5-4, $F229&lt;=BK$5, COUNTIF($M229:BJ229,"u")=0), "u", "")</f>
        <v/>
      </c>
      <c r="BL229" s="80" t="str">
        <f>IF(AND($F229&lt;&gt;"", $F229&gt;=BL$5-4, $F229&lt;=BL$5, COUNTIF($M229:BK229,"u")=0), "u", "")</f>
        <v/>
      </c>
      <c r="BM229" s="80" t="str">
        <f>IF(AND($F229&lt;&gt;"", $F229&gt;=BM$5-4, $F229&lt;=BM$5, COUNTIF($M229:BL229,"u")=0), "u", "")</f>
        <v/>
      </c>
      <c r="BN229" s="80" t="str">
        <f>IF(AND($F229&lt;&gt;"", $F229&gt;=BN$5-4, $F229&lt;=BN$5, COUNTIF($M229:BM229,"u")=0), "u", "")</f>
        <v/>
      </c>
      <c r="BO229" s="80" t="str">
        <f>IF(AND($F229&lt;&gt;"", $F229&gt;=BO$5-4, $F229&lt;=BO$5, COUNTIF($M229:BN229,"u")=0), "u", "")</f>
        <v/>
      </c>
      <c r="BP229" s="80" t="str">
        <f>IF(AND($F229&lt;&gt;"", $F229&gt;=BP$5-4, $F229&lt;=BP$5, COUNTIF($M229:BO229,"u")=0), "u", "")</f>
        <v/>
      </c>
      <c r="BQ229" s="80" t="str">
        <f>IF(AND($F229&lt;&gt;"", $F229&gt;=BQ$5-4, $F229&lt;=BQ$5, COUNTIF($M229:BP229,"u")=0), "u", "")</f>
        <v/>
      </c>
      <c r="BR229" s="80" t="str">
        <f>IF(AND($F229&lt;&gt;"", $F229&gt;=BR$5-4, $F229&lt;=BR$5, COUNTIF($M229:BQ229,"u")=0), "u", "")</f>
        <v/>
      </c>
      <c r="BS229" s="80" t="str">
        <f>IF(AND($F229&lt;&gt;"", $F229&gt;=BS$5-4, $F229&lt;=BS$5, COUNTIF($M229:BR229,"u")=0), "u", "")</f>
        <v/>
      </c>
      <c r="BT229" s="80" t="str">
        <f>IF(AND($F229&lt;&gt;"", $F229&gt;=BT$5-4, $F229&lt;=BT$5, COUNTIF($M229:BS229,"u")=0), "u", "")</f>
        <v/>
      </c>
      <c r="BU229" s="80" t="str">
        <f>IF(AND($F229&lt;&gt;"", $F229&gt;=BU$5-4, $F229&lt;=BU$5, COUNTIF($M229:BT229,"u")=0), "u", "")</f>
        <v/>
      </c>
      <c r="BV229" s="80" t="str">
        <f>IF(AND($F229&lt;&gt;"", $F229&gt;=BV$5-4, $F229&lt;=BV$5, COUNTIF($M229:BU229,"u")=0), "u", "")</f>
        <v/>
      </c>
      <c r="BW229" s="80" t="str">
        <f>IF(AND($F229&lt;&gt;"", $F229&gt;=BW$5-4, $F229&lt;=BW$5, COUNTIF($M229:BV229,"u")=0), "u", "")</f>
        <v/>
      </c>
      <c r="BX229" s="80" t="str">
        <f>IF(AND($F229&lt;&gt;"", $F229&gt;=BX$5-4, $F229&lt;=BX$5, COUNTIF($M229:BW229,"u")=0), "u", "")</f>
        <v/>
      </c>
      <c r="BY229" s="80" t="str">
        <f>IF(AND($F229&lt;&gt;"", $F229&gt;=BY$5-4, $F229&lt;=BY$5, COUNTIF($M229:BX229,"u")=0), "u", "")</f>
        <v/>
      </c>
      <c r="BZ229" s="80" t="str">
        <f>IF(AND($F229&lt;&gt;"", $F229&gt;=BZ$5-4, $F229&lt;=BZ$5, COUNTIF($M229:BY229,"u")=0), "u", "")</f>
        <v/>
      </c>
      <c r="CA229" s="80" t="str">
        <f>IF(AND($F229&lt;&gt;"", $F229&gt;=CA$5-4, $F229&lt;=CA$5, COUNTIF($M229:BZ229,"u")=0), "u", "")</f>
        <v/>
      </c>
      <c r="CB229" s="80" t="str">
        <f>IF(AND($F229&lt;&gt;"", $F229&gt;=CB$5-4, $F229&lt;=CB$5, COUNTIF($M229:CA229,"u")=0), "u", "")</f>
        <v/>
      </c>
      <c r="CC229" s="80" t="str">
        <f>IF(AND($F229&lt;&gt;"", $F229&gt;=CC$5-4, $F229&lt;=CC$5, COUNTIF($M229:CB229,"u")=0), "u", "")</f>
        <v/>
      </c>
      <c r="CD229" s="80" t="str">
        <f>IF(AND($F229&lt;&gt;"", $F229&gt;=CD$5-4, $F229&lt;=CD$5, COUNTIF($M229:CC229,"u")=0), "u", "")</f>
        <v/>
      </c>
      <c r="CE229" s="80" t="str">
        <f>IF(AND($F229&lt;&gt;"", $F229&gt;=CE$5-4, $F229&lt;=CE$5, COUNTIF($M229:CD229,"u")=0), "u", "")</f>
        <v/>
      </c>
      <c r="CF229" s="80" t="str">
        <f>IF(AND($F229&lt;&gt;"", $F229&gt;=CF$5-4, $F229&lt;=CF$5, COUNTIF($M229:CE229,"u")=0), "u", "")</f>
        <v/>
      </c>
      <c r="CG229" s="80" t="str">
        <f>IF(AND($F229&lt;&gt;"", $F229&gt;=CG$5-4, $F229&lt;=CG$5, COUNTIF($M229:CF229,"u")=0), "u", "")</f>
        <v/>
      </c>
      <c r="CH229" s="80" t="str">
        <f>IF(AND($F229&lt;&gt;"", $F229&gt;=CH$5-4, $F229&lt;=CH$5, COUNTIF($M229:CG229,"u")=0), "u", "")</f>
        <v/>
      </c>
      <c r="CI229" s="80" t="str">
        <f>IF(AND($F229&lt;&gt;"", $F229&gt;=CI$5-4, $F229&lt;=CI$5, COUNTIF($M229:CH229,"u")=0), "u", "")</f>
        <v/>
      </c>
      <c r="CJ229" s="80" t="str">
        <f>IF(AND($F229&lt;&gt;"", $F229&gt;=CJ$5-4, $F229&lt;=CJ$5, COUNTIF($M229:CI229,"u")=0), "u", "")</f>
        <v/>
      </c>
      <c r="CK229" s="80" t="str">
        <f>IF(AND($F229&lt;&gt;"", $F229&gt;=CK$5-4, $F229&lt;=CK$5, COUNTIF($M229:CJ229,"u")=0), "u", "")</f>
        <v/>
      </c>
      <c r="CL229" s="80" t="str">
        <f>IF(AND($F229&lt;&gt;"", $F229&gt;=CL$5-4, $F229&lt;=CL$5, COUNTIF($M229:CK229,"u")=0), "u", "")</f>
        <v/>
      </c>
      <c r="CM229" s="80" t="str">
        <f>IF(AND($F229&lt;&gt;"", $F229&gt;=CM$5-4, $F229&lt;=CM$5, COUNTIF($M229:CL229,"u")=0), "u", "")</f>
        <v/>
      </c>
      <c r="CN229" s="80" t="str">
        <f>IF(AND($F229&lt;&gt;"", $F229&gt;=CN$5-4, $F229&lt;=CN$5, COUNTIF($M229:CM229,"u")=0), "u", "")</f>
        <v/>
      </c>
      <c r="CO229" s="80" t="str">
        <f>IF(AND($F229&lt;&gt;"", $F229&gt;=CO$5-4, $F229&lt;=CO$5, COUNTIF($M229:CN229,"u")=0), "u", "")</f>
        <v/>
      </c>
      <c r="CP229" s="80" t="str">
        <f>IF(AND($F229&lt;&gt;"", $F229&gt;=CP$5-4, $F229&lt;=CP$5, COUNTIF($M229:CO229,"u")=0), "u", "")</f>
        <v/>
      </c>
      <c r="CQ229" s="80" t="str">
        <f>IF(AND($F229&lt;&gt;"", $F229&gt;=CQ$5-4, $F229&lt;=CQ$5, COUNTIF($M229:CP229,"u")=0), "u", "")</f>
        <v/>
      </c>
      <c r="CR229" s="80" t="str">
        <f>IF(AND($F229&lt;&gt;"", $F229&gt;=CR$5-4, $F229&lt;=CR$5, COUNTIF($M229:CQ229,"u")=0), "u", "")</f>
        <v/>
      </c>
      <c r="CS229" s="80" t="str">
        <f>IF(AND($F229&lt;&gt;"", $F229&gt;=CS$5-4, $F229&lt;=CS$5, COUNTIF($M229:CR229,"u")=0), "u", "")</f>
        <v/>
      </c>
      <c r="CT229" s="80" t="str">
        <f>IF(AND($F229&lt;&gt;"", $F229&gt;=CT$5-4, $F229&lt;=CT$5, COUNTIF($M229:CS229,"u")=0), "u", "")</f>
        <v/>
      </c>
      <c r="CU229" s="80" t="str">
        <f>IF(AND($F229&lt;&gt;"", $F229&gt;=CU$5-4, $F229&lt;=CU$5, COUNTIF($M229:CT229,"u")=0), "u", "")</f>
        <v/>
      </c>
      <c r="CV229" s="80" t="str">
        <f>IF(AND($F229&lt;&gt;"", $F229&gt;=CV$5-4, $F229&lt;=CV$5, COUNTIF($M229:CU229,"u")=0), "u", "")</f>
        <v/>
      </c>
      <c r="CW229" s="80" t="str">
        <f>IF(AND($F229&lt;&gt;"", $F229&gt;=CW$5-4, $F229&lt;=CW$5, COUNTIF($M229:CV229,"u")=0), "u", "")</f>
        <v/>
      </c>
      <c r="CX229" s="80" t="str">
        <f>IF(AND($F229&lt;&gt;"", $F229&gt;=CX$5-4, $F229&lt;=CX$5, COUNTIF($M229:CW229,"u")=0), "u", "")</f>
        <v/>
      </c>
      <c r="CY229" s="80" t="str">
        <f>IF(AND($F229&lt;&gt;"", $F229&gt;=CY$5-4, $F229&lt;=CY$5, COUNTIF($M229:CX229,"u")=0), "u", "")</f>
        <v/>
      </c>
      <c r="CZ229" s="80" t="str">
        <f>IF(AND($F229&lt;&gt;"", $F229&gt;=CZ$5-4, $F229&lt;=CZ$5, COUNTIF($M229:CY229,"u")=0), "u", "")</f>
        <v/>
      </c>
      <c r="DA229" s="80" t="str">
        <f>IF(AND($F229&lt;&gt;"", $F229&gt;=DA$5-4, $F229&lt;=DA$5, COUNTIF($M229:CZ229,"u")=0), "u", "")</f>
        <v/>
      </c>
      <c r="DB229" s="80" t="str">
        <f>IF(AND($F229&lt;&gt;"", $F229&gt;=DB$5-4, $F229&lt;=DB$5, COUNTIF($M229:DA229,"u")=0), "u", "")</f>
        <v/>
      </c>
      <c r="DC229" s="80" t="str">
        <f>IF(AND($F229&lt;&gt;"", $F229&gt;=DC$5-4, $F229&lt;=DC$5, COUNTIF($M229:DB229,"u")=0), "u", "")</f>
        <v/>
      </c>
      <c r="DD229" s="80" t="str">
        <f>IF(AND($F229&lt;&gt;"", $F229&gt;=DD$5-4, $F229&lt;=DD$5, COUNTIF($M229:DC229,"u")=0), "u", "")</f>
        <v/>
      </c>
      <c r="DE229" s="80" t="str">
        <f>IF(AND($F229&lt;&gt;"", $F229&gt;=DE$5-4, $F229&lt;=DE$5, COUNTIF($M229:DD229,"u")=0), "u", "")</f>
        <v/>
      </c>
      <c r="DF229" s="80" t="str">
        <f>IF(AND($F229&lt;&gt;"", $F229&gt;=DF$5-4, $F229&lt;=DF$5, COUNTIF($M229:DE229,"u")=0), "u", "")</f>
        <v/>
      </c>
      <c r="DG229" s="80" t="str">
        <f>IF(AND($F229&lt;&gt;"", $F229&gt;=DG$5-4, $F229&lt;=DG$5, COUNTIF($M229:DF229,"u")=0), "u", "")</f>
        <v/>
      </c>
      <c r="DH229" s="80" t="str">
        <f>IF(AND($F229&lt;&gt;"", $F229&gt;=DH$5-4, $F229&lt;=DH$5, COUNTIF($M229:DG229,"u")=0), "u", "")</f>
        <v/>
      </c>
      <c r="DI229" s="80" t="str">
        <f>IF(AND($F229&lt;&gt;"", $F229&gt;=DI$5-4, $F229&lt;=DI$5, COUNTIF($M229:DH229,"u")=0), "u", "")</f>
        <v/>
      </c>
      <c r="DJ229" s="80" t="str">
        <f>IF(AND($F229&lt;&gt;"", $F229&gt;=DJ$5-4, $F229&lt;=DJ$5, COUNTIF($M229:DI229,"u")=0), "u", "")</f>
        <v/>
      </c>
      <c r="DK229" s="80" t="str">
        <f>IF(AND($F229&lt;&gt;"", $F229&gt;=DK$5-4, $F229&lt;=DK$5, COUNTIF($M229:DJ229,"u")=0), "u", "")</f>
        <v/>
      </c>
      <c r="DL229" s="80" t="str">
        <f>IF(AND($F229&lt;&gt;"", $F229&gt;=DL$5-4, $F229&lt;=DL$5, COUNTIF($M229:DK229,"u")=0), "u", "")</f>
        <v/>
      </c>
    </row>
    <row r="230" spans="1:116" ht="25.05" customHeight="1" x14ac:dyDescent="0.3">
      <c r="A230" s="39"/>
      <c r="B230" s="75">
        <v>225</v>
      </c>
      <c r="C230" s="97"/>
      <c r="D230" s="92"/>
      <c r="E230" s="53"/>
      <c r="F230" s="53"/>
      <c r="G230" s="83" t="str">
        <f t="shared" si="56"/>
        <v/>
      </c>
      <c r="H230" s="83" t="str">
        <f t="shared" si="56"/>
        <v/>
      </c>
      <c r="I230" s="77" t="str">
        <f t="shared" si="54"/>
        <v/>
      </c>
      <c r="J230" s="78"/>
      <c r="K230" s="86"/>
      <c r="L230" s="56"/>
      <c r="M230" s="80" t="str">
        <f t="shared" si="55"/>
        <v/>
      </c>
      <c r="N230" s="80" t="str">
        <f>IF(AND($F230&lt;&gt;"", $F230&gt;=N$5-4, $F230&lt;=N$5, COUNTIF($M230:M230,"u")=0), "u", "")</f>
        <v/>
      </c>
      <c r="O230" s="80" t="str">
        <f>IF(AND($F230&lt;&gt;"", $F230&gt;=O$5-4, $F230&lt;=O$5, COUNTIF($M230:N230,"u")=0), "u", "")</f>
        <v/>
      </c>
      <c r="P230" s="80" t="str">
        <f>IF(AND($F230&lt;&gt;"", $F230&gt;=P$5-4, $F230&lt;=P$5, COUNTIF($M230:O230,"u")=0), "u", "")</f>
        <v/>
      </c>
      <c r="Q230" s="80" t="str">
        <f>IF(AND($F230&lt;&gt;"", $F230&gt;=Q$5-4, $F230&lt;=Q$5, COUNTIF($M230:P230,"u")=0), "u", "")</f>
        <v/>
      </c>
      <c r="R230" s="80" t="str">
        <f>IF(AND($F230&lt;&gt;"", $F230&gt;=R$5-4, $F230&lt;=R$5, COUNTIF($M230:Q230,"u")=0), "u", "")</f>
        <v/>
      </c>
      <c r="S230" s="80" t="str">
        <f>IF(AND($F230&lt;&gt;"", $F230&gt;=S$5-4, $F230&lt;=S$5, COUNTIF($M230:R230,"u")=0), "u", "")</f>
        <v/>
      </c>
      <c r="T230" s="80" t="str">
        <f>IF(AND($F230&lt;&gt;"", $F230&gt;=T$5-4, $F230&lt;=T$5, COUNTIF($M230:S230,"u")=0), "u", "")</f>
        <v/>
      </c>
      <c r="U230" s="80" t="str">
        <f>IF(AND($F230&lt;&gt;"", $F230&gt;=U$5-4, $F230&lt;=U$5, COUNTIF($M230:T230,"u")=0), "u", "")</f>
        <v/>
      </c>
      <c r="V230" s="80" t="str">
        <f>IF(AND($F230&lt;&gt;"", $F230&gt;=V$5-4, $F230&lt;=V$5, COUNTIF($M230:U230,"u")=0), "u", "")</f>
        <v/>
      </c>
      <c r="W230" s="80" t="str">
        <f>IF(AND($F230&lt;&gt;"", $F230&gt;=W$5-4, $F230&lt;=W$5, COUNTIF($M230:V230,"u")=0), "u", "")</f>
        <v/>
      </c>
      <c r="X230" s="80" t="str">
        <f>IF(AND($F230&lt;&gt;"", $F230&gt;=X$5-4, $F230&lt;=X$5, COUNTIF($M230:W230,"u")=0), "u", "")</f>
        <v/>
      </c>
      <c r="Y230" s="80" t="str">
        <f>IF(AND($F230&lt;&gt;"", $F230&gt;=Y$5-4, $F230&lt;=Y$5, COUNTIF($M230:X230,"u")=0), "u", "")</f>
        <v/>
      </c>
      <c r="Z230" s="80" t="str">
        <f>IF(AND($F230&lt;&gt;"", $F230&gt;=Z$5-4, $F230&lt;=Z$5, COUNTIF($M230:Y230,"u")=0), "u", "")</f>
        <v/>
      </c>
      <c r="AA230" s="80" t="str">
        <f>IF(AND($F230&lt;&gt;"", $F230&gt;=AA$5-4, $F230&lt;=AA$5, COUNTIF($M230:Z230,"u")=0), "u", "")</f>
        <v/>
      </c>
      <c r="AB230" s="80" t="str">
        <f>IF(AND($F230&lt;&gt;"", $F230&gt;=AB$5-4, $F230&lt;=AB$5, COUNTIF($M230:AA230,"u")=0), "u", "")</f>
        <v/>
      </c>
      <c r="AC230" s="80" t="str">
        <f>IF(AND($F230&lt;&gt;"", $F230&gt;=AC$5-4, $F230&lt;=AC$5, COUNTIF($M230:AB230,"u")=0), "u", "")</f>
        <v/>
      </c>
      <c r="AD230" s="80" t="str">
        <f>IF(AND($F230&lt;&gt;"", $F230&gt;=AD$5-4, $F230&lt;=AD$5, COUNTIF($M230:AC230,"u")=0), "u", "")</f>
        <v/>
      </c>
      <c r="AE230" s="80" t="str">
        <f>IF(AND($F230&lt;&gt;"", $F230&gt;=AE$5-4, $F230&lt;=AE$5, COUNTIF($M230:AD230,"u")=0), "u", "")</f>
        <v/>
      </c>
      <c r="AF230" s="80" t="str">
        <f>IF(AND($F230&lt;&gt;"", $F230&gt;=AF$5-4, $F230&lt;=AF$5, COUNTIF($M230:AE230,"u")=0), "u", "")</f>
        <v/>
      </c>
      <c r="AG230" s="80" t="str">
        <f>IF(AND($F230&lt;&gt;"", $F230&gt;=AG$5-4, $F230&lt;=AG$5, COUNTIF($M230:AF230,"u")=0), "u", "")</f>
        <v/>
      </c>
      <c r="AH230" s="80" t="str">
        <f>IF(AND($F230&lt;&gt;"", $F230&gt;=AH$5-4, $F230&lt;=AH$5, COUNTIF($M230:AG230,"u")=0), "u", "")</f>
        <v/>
      </c>
      <c r="AI230" s="80" t="str">
        <f>IF(AND($F230&lt;&gt;"", $F230&gt;=AI$5-4, $F230&lt;=AI$5, COUNTIF($M230:AH230,"u")=0), "u", "")</f>
        <v/>
      </c>
      <c r="AJ230" s="80" t="str">
        <f>IF(AND($F230&lt;&gt;"", $F230&gt;=AJ$5-4, $F230&lt;=AJ$5, COUNTIF($M230:AI230,"u")=0), "u", "")</f>
        <v/>
      </c>
      <c r="AK230" s="80" t="str">
        <f>IF(AND($F230&lt;&gt;"", $F230&gt;=AK$5-4, $F230&lt;=AK$5, COUNTIF($M230:AJ230,"u")=0), "u", "")</f>
        <v/>
      </c>
      <c r="AL230" s="80" t="str">
        <f>IF(AND($F230&lt;&gt;"", $F230&gt;=AL$5-4, $F230&lt;=AL$5, COUNTIF($M230:AK230,"u")=0), "u", "")</f>
        <v/>
      </c>
      <c r="AM230" s="80" t="str">
        <f>IF(AND($F230&lt;&gt;"", $F230&gt;=AM$5-4, $F230&lt;=AM$5, COUNTIF($M230:AL230,"u")=0), "u", "")</f>
        <v/>
      </c>
      <c r="AN230" s="80" t="str">
        <f>IF(AND($F230&lt;&gt;"", $F230&gt;=AN$5-4, $F230&lt;=AN$5, COUNTIF($M230:AM230,"u")=0), "u", "")</f>
        <v/>
      </c>
      <c r="AO230" s="80" t="str">
        <f>IF(AND($F230&lt;&gt;"", $F230&gt;=AO$5-4, $F230&lt;=AO$5, COUNTIF($M230:AN230,"u")=0), "u", "")</f>
        <v/>
      </c>
      <c r="AP230" s="80" t="str">
        <f>IF(AND($F230&lt;&gt;"", $F230&gt;=AP$5-4, $F230&lt;=AP$5, COUNTIF($M230:AO230,"u")=0), "u", "")</f>
        <v/>
      </c>
      <c r="AQ230" s="80" t="str">
        <f>IF(AND($F230&lt;&gt;"", $F230&gt;=AQ$5-4, $F230&lt;=AQ$5, COUNTIF($M230:AP230,"u")=0), "u", "")</f>
        <v/>
      </c>
      <c r="AR230" s="80" t="str">
        <f>IF(AND($F230&lt;&gt;"", $F230&gt;=AR$5-4, $F230&lt;=AR$5, COUNTIF($M230:AQ230,"u")=0), "u", "")</f>
        <v/>
      </c>
      <c r="AS230" s="80" t="str">
        <f>IF(AND($F230&lt;&gt;"", $F230&gt;=AS$5-4, $F230&lt;=AS$5, COUNTIF($M230:AR230,"u")=0), "u", "")</f>
        <v/>
      </c>
      <c r="AT230" s="80" t="str">
        <f>IF(AND($F230&lt;&gt;"", $F230&gt;=AT$5-4, $F230&lt;=AT$5, COUNTIF($M230:AS230,"u")=0), "u", "")</f>
        <v/>
      </c>
      <c r="AU230" s="80" t="str">
        <f>IF(AND($F230&lt;&gt;"", $F230&gt;=AU$5-4, $F230&lt;=AU$5, COUNTIF($M230:AT230,"u")=0), "u", "")</f>
        <v/>
      </c>
      <c r="AV230" s="80" t="str">
        <f>IF(AND($F230&lt;&gt;"", $F230&gt;=AV$5-4, $F230&lt;=AV$5, COUNTIF($M230:AU230,"u")=0), "u", "")</f>
        <v/>
      </c>
      <c r="AW230" s="80" t="str">
        <f>IF(AND($F230&lt;&gt;"", $F230&gt;=AW$5-4, $F230&lt;=AW$5, COUNTIF($M230:AV230,"u")=0), "u", "")</f>
        <v/>
      </c>
      <c r="AX230" s="80" t="str">
        <f>IF(AND($F230&lt;&gt;"", $F230&gt;=AX$5-4, $F230&lt;=AX$5, COUNTIF($M230:AW230,"u")=0), "u", "")</f>
        <v/>
      </c>
      <c r="AY230" s="80" t="str">
        <f>IF(AND($F230&lt;&gt;"", $F230&gt;=AY$5-4, $F230&lt;=AY$5, COUNTIF($M230:AX230,"u")=0), "u", "")</f>
        <v/>
      </c>
      <c r="AZ230" s="80" t="str">
        <f>IF(AND($F230&lt;&gt;"", $F230&gt;=AZ$5-4, $F230&lt;=AZ$5, COUNTIF($M230:AY230,"u")=0), "u", "")</f>
        <v/>
      </c>
      <c r="BA230" s="80" t="str">
        <f>IF(AND($F230&lt;&gt;"", $F230&gt;=BA$5-4, $F230&lt;=BA$5, COUNTIF($M230:AZ230,"u")=0), "u", "")</f>
        <v/>
      </c>
      <c r="BB230" s="80" t="str">
        <f>IF(AND($F230&lt;&gt;"", $F230&gt;=BB$5-4, $F230&lt;=BB$5, COUNTIF($M230:BA230,"u")=0), "u", "")</f>
        <v/>
      </c>
      <c r="BC230" s="80" t="str">
        <f>IF(AND($F230&lt;&gt;"", $F230&gt;=BC$5-4, $F230&lt;=BC$5, COUNTIF($M230:BB230,"u")=0), "u", "")</f>
        <v/>
      </c>
      <c r="BD230" s="80" t="str">
        <f>IF(AND($F230&lt;&gt;"", $F230&gt;=BD$5-4, $F230&lt;=BD$5, COUNTIF($M230:BC230,"u")=0), "u", "")</f>
        <v/>
      </c>
      <c r="BE230" s="80" t="str">
        <f>IF(AND($F230&lt;&gt;"", $F230&gt;=BE$5-4, $F230&lt;=BE$5, COUNTIF($M230:BD230,"u")=0), "u", "")</f>
        <v/>
      </c>
      <c r="BF230" s="80" t="str">
        <f>IF(AND($F230&lt;&gt;"", $F230&gt;=BF$5-4, $F230&lt;=BF$5, COUNTIF($M230:BE230,"u")=0), "u", "")</f>
        <v/>
      </c>
      <c r="BG230" s="80" t="str">
        <f>IF(AND($F230&lt;&gt;"", $F230&gt;=BG$5-4, $F230&lt;=BG$5, COUNTIF($M230:BF230,"u")=0), "u", "")</f>
        <v/>
      </c>
      <c r="BH230" s="80" t="str">
        <f>IF(AND($F230&lt;&gt;"", $F230&gt;=BH$5-4, $F230&lt;=BH$5, COUNTIF($M230:BG230,"u")=0), "u", "")</f>
        <v/>
      </c>
      <c r="BI230" s="80" t="str">
        <f>IF(AND($F230&lt;&gt;"", $F230&gt;=BI$5-4, $F230&lt;=BI$5, COUNTIF($M230:BH230,"u")=0), "u", "")</f>
        <v/>
      </c>
      <c r="BJ230" s="80" t="str">
        <f>IF(AND($F230&lt;&gt;"", $F230&gt;=BJ$5-4, $F230&lt;=BJ$5, COUNTIF($M230:BI230,"u")=0), "u", "")</f>
        <v/>
      </c>
      <c r="BK230" s="80" t="str">
        <f>IF(AND($F230&lt;&gt;"", $F230&gt;=BK$5-4, $F230&lt;=BK$5, COUNTIF($M230:BJ230,"u")=0), "u", "")</f>
        <v/>
      </c>
      <c r="BL230" s="80" t="str">
        <f>IF(AND($F230&lt;&gt;"", $F230&gt;=BL$5-4, $F230&lt;=BL$5, COUNTIF($M230:BK230,"u")=0), "u", "")</f>
        <v/>
      </c>
      <c r="BM230" s="80" t="str">
        <f>IF(AND($F230&lt;&gt;"", $F230&gt;=BM$5-4, $F230&lt;=BM$5, COUNTIF($M230:BL230,"u")=0), "u", "")</f>
        <v/>
      </c>
      <c r="BN230" s="80" t="str">
        <f>IF(AND($F230&lt;&gt;"", $F230&gt;=BN$5-4, $F230&lt;=BN$5, COUNTIF($M230:BM230,"u")=0), "u", "")</f>
        <v/>
      </c>
      <c r="BO230" s="80" t="str">
        <f>IF(AND($F230&lt;&gt;"", $F230&gt;=BO$5-4, $F230&lt;=BO$5, COUNTIF($M230:BN230,"u")=0), "u", "")</f>
        <v/>
      </c>
      <c r="BP230" s="80" t="str">
        <f>IF(AND($F230&lt;&gt;"", $F230&gt;=BP$5-4, $F230&lt;=BP$5, COUNTIF($M230:BO230,"u")=0), "u", "")</f>
        <v/>
      </c>
      <c r="BQ230" s="80" t="str">
        <f>IF(AND($F230&lt;&gt;"", $F230&gt;=BQ$5-4, $F230&lt;=BQ$5, COUNTIF($M230:BP230,"u")=0), "u", "")</f>
        <v/>
      </c>
      <c r="BR230" s="80" t="str">
        <f>IF(AND($F230&lt;&gt;"", $F230&gt;=BR$5-4, $F230&lt;=BR$5, COUNTIF($M230:BQ230,"u")=0), "u", "")</f>
        <v/>
      </c>
      <c r="BS230" s="80" t="str">
        <f>IF(AND($F230&lt;&gt;"", $F230&gt;=BS$5-4, $F230&lt;=BS$5, COUNTIF($M230:BR230,"u")=0), "u", "")</f>
        <v/>
      </c>
      <c r="BT230" s="80" t="str">
        <f>IF(AND($F230&lt;&gt;"", $F230&gt;=BT$5-4, $F230&lt;=BT$5, COUNTIF($M230:BS230,"u")=0), "u", "")</f>
        <v/>
      </c>
      <c r="BU230" s="80" t="str">
        <f>IF(AND($F230&lt;&gt;"", $F230&gt;=BU$5-4, $F230&lt;=BU$5, COUNTIF($M230:BT230,"u")=0), "u", "")</f>
        <v/>
      </c>
      <c r="BV230" s="80" t="str">
        <f>IF(AND($F230&lt;&gt;"", $F230&gt;=BV$5-4, $F230&lt;=BV$5, COUNTIF($M230:BU230,"u")=0), "u", "")</f>
        <v/>
      </c>
      <c r="BW230" s="80" t="str">
        <f>IF(AND($F230&lt;&gt;"", $F230&gt;=BW$5-4, $F230&lt;=BW$5, COUNTIF($M230:BV230,"u")=0), "u", "")</f>
        <v/>
      </c>
      <c r="BX230" s="80" t="str">
        <f>IF(AND($F230&lt;&gt;"", $F230&gt;=BX$5-4, $F230&lt;=BX$5, COUNTIF($M230:BW230,"u")=0), "u", "")</f>
        <v/>
      </c>
      <c r="BY230" s="80" t="str">
        <f>IF(AND($F230&lt;&gt;"", $F230&gt;=BY$5-4, $F230&lt;=BY$5, COUNTIF($M230:BX230,"u")=0), "u", "")</f>
        <v/>
      </c>
      <c r="BZ230" s="80" t="str">
        <f>IF(AND($F230&lt;&gt;"", $F230&gt;=BZ$5-4, $F230&lt;=BZ$5, COUNTIF($M230:BY230,"u")=0), "u", "")</f>
        <v/>
      </c>
      <c r="CA230" s="80" t="str">
        <f>IF(AND($F230&lt;&gt;"", $F230&gt;=CA$5-4, $F230&lt;=CA$5, COUNTIF($M230:BZ230,"u")=0), "u", "")</f>
        <v/>
      </c>
      <c r="CB230" s="80" t="str">
        <f>IF(AND($F230&lt;&gt;"", $F230&gt;=CB$5-4, $F230&lt;=CB$5, COUNTIF($M230:CA230,"u")=0), "u", "")</f>
        <v/>
      </c>
      <c r="CC230" s="80" t="str">
        <f>IF(AND($F230&lt;&gt;"", $F230&gt;=CC$5-4, $F230&lt;=CC$5, COUNTIF($M230:CB230,"u")=0), "u", "")</f>
        <v/>
      </c>
      <c r="CD230" s="80" t="str">
        <f>IF(AND($F230&lt;&gt;"", $F230&gt;=CD$5-4, $F230&lt;=CD$5, COUNTIF($M230:CC230,"u")=0), "u", "")</f>
        <v/>
      </c>
      <c r="CE230" s="80" t="str">
        <f>IF(AND($F230&lt;&gt;"", $F230&gt;=CE$5-4, $F230&lt;=CE$5, COUNTIF($M230:CD230,"u")=0), "u", "")</f>
        <v/>
      </c>
      <c r="CF230" s="80" t="str">
        <f>IF(AND($F230&lt;&gt;"", $F230&gt;=CF$5-4, $F230&lt;=CF$5, COUNTIF($M230:CE230,"u")=0), "u", "")</f>
        <v/>
      </c>
      <c r="CG230" s="80" t="str">
        <f>IF(AND($F230&lt;&gt;"", $F230&gt;=CG$5-4, $F230&lt;=CG$5, COUNTIF($M230:CF230,"u")=0), "u", "")</f>
        <v/>
      </c>
      <c r="CH230" s="80" t="str">
        <f>IF(AND($F230&lt;&gt;"", $F230&gt;=CH$5-4, $F230&lt;=CH$5, COUNTIF($M230:CG230,"u")=0), "u", "")</f>
        <v/>
      </c>
      <c r="CI230" s="80" t="str">
        <f>IF(AND($F230&lt;&gt;"", $F230&gt;=CI$5-4, $F230&lt;=CI$5, COUNTIF($M230:CH230,"u")=0), "u", "")</f>
        <v/>
      </c>
      <c r="CJ230" s="80" t="str">
        <f>IF(AND($F230&lt;&gt;"", $F230&gt;=CJ$5-4, $F230&lt;=CJ$5, COUNTIF($M230:CI230,"u")=0), "u", "")</f>
        <v/>
      </c>
      <c r="CK230" s="80" t="str">
        <f>IF(AND($F230&lt;&gt;"", $F230&gt;=CK$5-4, $F230&lt;=CK$5, COUNTIF($M230:CJ230,"u")=0), "u", "")</f>
        <v/>
      </c>
      <c r="CL230" s="80" t="str">
        <f>IF(AND($F230&lt;&gt;"", $F230&gt;=CL$5-4, $F230&lt;=CL$5, COUNTIF($M230:CK230,"u")=0), "u", "")</f>
        <v/>
      </c>
      <c r="CM230" s="80" t="str">
        <f>IF(AND($F230&lt;&gt;"", $F230&gt;=CM$5-4, $F230&lt;=CM$5, COUNTIF($M230:CL230,"u")=0), "u", "")</f>
        <v/>
      </c>
      <c r="CN230" s="80" t="str">
        <f>IF(AND($F230&lt;&gt;"", $F230&gt;=CN$5-4, $F230&lt;=CN$5, COUNTIF($M230:CM230,"u")=0), "u", "")</f>
        <v/>
      </c>
      <c r="CO230" s="80" t="str">
        <f>IF(AND($F230&lt;&gt;"", $F230&gt;=CO$5-4, $F230&lt;=CO$5, COUNTIF($M230:CN230,"u")=0), "u", "")</f>
        <v/>
      </c>
      <c r="CP230" s="80" t="str">
        <f>IF(AND($F230&lt;&gt;"", $F230&gt;=CP$5-4, $F230&lt;=CP$5, COUNTIF($M230:CO230,"u")=0), "u", "")</f>
        <v/>
      </c>
      <c r="CQ230" s="80" t="str">
        <f>IF(AND($F230&lt;&gt;"", $F230&gt;=CQ$5-4, $F230&lt;=CQ$5, COUNTIF($M230:CP230,"u")=0), "u", "")</f>
        <v/>
      </c>
      <c r="CR230" s="80" t="str">
        <f>IF(AND($F230&lt;&gt;"", $F230&gt;=CR$5-4, $F230&lt;=CR$5, COUNTIF($M230:CQ230,"u")=0), "u", "")</f>
        <v/>
      </c>
      <c r="CS230" s="80" t="str">
        <f>IF(AND($F230&lt;&gt;"", $F230&gt;=CS$5-4, $F230&lt;=CS$5, COUNTIF($M230:CR230,"u")=0), "u", "")</f>
        <v/>
      </c>
      <c r="CT230" s="80" t="str">
        <f>IF(AND($F230&lt;&gt;"", $F230&gt;=CT$5-4, $F230&lt;=CT$5, COUNTIF($M230:CS230,"u")=0), "u", "")</f>
        <v/>
      </c>
      <c r="CU230" s="80" t="str">
        <f>IF(AND($F230&lt;&gt;"", $F230&gt;=CU$5-4, $F230&lt;=CU$5, COUNTIF($M230:CT230,"u")=0), "u", "")</f>
        <v/>
      </c>
      <c r="CV230" s="80" t="str">
        <f>IF(AND($F230&lt;&gt;"", $F230&gt;=CV$5-4, $F230&lt;=CV$5, COUNTIF($M230:CU230,"u")=0), "u", "")</f>
        <v/>
      </c>
      <c r="CW230" s="80" t="str">
        <f>IF(AND($F230&lt;&gt;"", $F230&gt;=CW$5-4, $F230&lt;=CW$5, COUNTIF($M230:CV230,"u")=0), "u", "")</f>
        <v/>
      </c>
      <c r="CX230" s="80" t="str">
        <f>IF(AND($F230&lt;&gt;"", $F230&gt;=CX$5-4, $F230&lt;=CX$5, COUNTIF($M230:CW230,"u")=0), "u", "")</f>
        <v/>
      </c>
      <c r="CY230" s="80" t="str">
        <f>IF(AND($F230&lt;&gt;"", $F230&gt;=CY$5-4, $F230&lt;=CY$5, COUNTIF($M230:CX230,"u")=0), "u", "")</f>
        <v/>
      </c>
      <c r="CZ230" s="80" t="str">
        <f>IF(AND($F230&lt;&gt;"", $F230&gt;=CZ$5-4, $F230&lt;=CZ$5, COUNTIF($M230:CY230,"u")=0), "u", "")</f>
        <v/>
      </c>
      <c r="DA230" s="80" t="str">
        <f>IF(AND($F230&lt;&gt;"", $F230&gt;=DA$5-4, $F230&lt;=DA$5, COUNTIF($M230:CZ230,"u")=0), "u", "")</f>
        <v/>
      </c>
      <c r="DB230" s="80" t="str">
        <f>IF(AND($F230&lt;&gt;"", $F230&gt;=DB$5-4, $F230&lt;=DB$5, COUNTIF($M230:DA230,"u")=0), "u", "")</f>
        <v/>
      </c>
      <c r="DC230" s="80" t="str">
        <f>IF(AND($F230&lt;&gt;"", $F230&gt;=DC$5-4, $F230&lt;=DC$5, COUNTIF($M230:DB230,"u")=0), "u", "")</f>
        <v/>
      </c>
      <c r="DD230" s="80" t="str">
        <f>IF(AND($F230&lt;&gt;"", $F230&gt;=DD$5-4, $F230&lt;=DD$5, COUNTIF($M230:DC230,"u")=0), "u", "")</f>
        <v/>
      </c>
      <c r="DE230" s="80" t="str">
        <f>IF(AND($F230&lt;&gt;"", $F230&gt;=DE$5-4, $F230&lt;=DE$5, COUNTIF($M230:DD230,"u")=0), "u", "")</f>
        <v/>
      </c>
      <c r="DF230" s="80" t="str">
        <f>IF(AND($F230&lt;&gt;"", $F230&gt;=DF$5-4, $F230&lt;=DF$5, COUNTIF($M230:DE230,"u")=0), "u", "")</f>
        <v/>
      </c>
      <c r="DG230" s="80" t="str">
        <f>IF(AND($F230&lt;&gt;"", $F230&gt;=DG$5-4, $F230&lt;=DG$5, COUNTIF($M230:DF230,"u")=0), "u", "")</f>
        <v/>
      </c>
      <c r="DH230" s="80" t="str">
        <f>IF(AND($F230&lt;&gt;"", $F230&gt;=DH$5-4, $F230&lt;=DH$5, COUNTIF($M230:DG230,"u")=0), "u", "")</f>
        <v/>
      </c>
      <c r="DI230" s="80" t="str">
        <f>IF(AND($F230&lt;&gt;"", $F230&gt;=DI$5-4, $F230&lt;=DI$5, COUNTIF($M230:DH230,"u")=0), "u", "")</f>
        <v/>
      </c>
      <c r="DJ230" s="80" t="str">
        <f>IF(AND($F230&lt;&gt;"", $F230&gt;=DJ$5-4, $F230&lt;=DJ$5, COUNTIF($M230:DI230,"u")=0), "u", "")</f>
        <v/>
      </c>
      <c r="DK230" s="80" t="str">
        <f>IF(AND($F230&lt;&gt;"", $F230&gt;=DK$5-4, $F230&lt;=DK$5, COUNTIF($M230:DJ230,"u")=0), "u", "")</f>
        <v/>
      </c>
      <c r="DL230" s="80" t="str">
        <f>IF(AND($F230&lt;&gt;"", $F230&gt;=DL$5-4, $F230&lt;=DL$5, COUNTIF($M230:DK230,"u")=0), "u", "")</f>
        <v/>
      </c>
    </row>
    <row r="231" spans="1:116" ht="25.05" customHeight="1" x14ac:dyDescent="0.3">
      <c r="A231" s="39"/>
      <c r="B231" s="75">
        <v>226</v>
      </c>
      <c r="C231" s="97"/>
      <c r="D231" s="92"/>
      <c r="E231" s="53"/>
      <c r="F231" s="53"/>
      <c r="G231" s="83" t="str">
        <f t="shared" si="56"/>
        <v/>
      </c>
      <c r="H231" s="83" t="str">
        <f t="shared" si="56"/>
        <v/>
      </c>
      <c r="I231" s="77" t="str">
        <f t="shared" si="54"/>
        <v/>
      </c>
      <c r="J231" s="78"/>
      <c r="K231" s="86"/>
      <c r="L231" s="56"/>
      <c r="M231" s="80" t="str">
        <f t="shared" si="55"/>
        <v/>
      </c>
      <c r="N231" s="80" t="str">
        <f>IF(AND($F231&lt;&gt;"", $F231&gt;=N$5-4, $F231&lt;=N$5, COUNTIF($M231:M231,"u")=0), "u", "")</f>
        <v/>
      </c>
      <c r="O231" s="80" t="str">
        <f>IF(AND($F231&lt;&gt;"", $F231&gt;=O$5-4, $F231&lt;=O$5, COUNTIF($M231:N231,"u")=0), "u", "")</f>
        <v/>
      </c>
      <c r="P231" s="80" t="str">
        <f>IF(AND($F231&lt;&gt;"", $F231&gt;=P$5-4, $F231&lt;=P$5, COUNTIF($M231:O231,"u")=0), "u", "")</f>
        <v/>
      </c>
      <c r="Q231" s="80" t="str">
        <f>IF(AND($F231&lt;&gt;"", $F231&gt;=Q$5-4, $F231&lt;=Q$5, COUNTIF($M231:P231,"u")=0), "u", "")</f>
        <v/>
      </c>
      <c r="R231" s="80" t="str">
        <f>IF(AND($F231&lt;&gt;"", $F231&gt;=R$5-4, $F231&lt;=R$5, COUNTIF($M231:Q231,"u")=0), "u", "")</f>
        <v/>
      </c>
      <c r="S231" s="80" t="str">
        <f>IF(AND($F231&lt;&gt;"", $F231&gt;=S$5-4, $F231&lt;=S$5, COUNTIF($M231:R231,"u")=0), "u", "")</f>
        <v/>
      </c>
      <c r="T231" s="80" t="str">
        <f>IF(AND($F231&lt;&gt;"", $F231&gt;=T$5-4, $F231&lt;=T$5, COUNTIF($M231:S231,"u")=0), "u", "")</f>
        <v/>
      </c>
      <c r="U231" s="80" t="str">
        <f>IF(AND($F231&lt;&gt;"", $F231&gt;=U$5-4, $F231&lt;=U$5, COUNTIF($M231:T231,"u")=0), "u", "")</f>
        <v/>
      </c>
      <c r="V231" s="80" t="str">
        <f>IF(AND($F231&lt;&gt;"", $F231&gt;=V$5-4, $F231&lt;=V$5, COUNTIF($M231:U231,"u")=0), "u", "")</f>
        <v/>
      </c>
      <c r="W231" s="80" t="str">
        <f>IF(AND($F231&lt;&gt;"", $F231&gt;=W$5-4, $F231&lt;=W$5, COUNTIF($M231:V231,"u")=0), "u", "")</f>
        <v/>
      </c>
      <c r="X231" s="80" t="str">
        <f>IF(AND($F231&lt;&gt;"", $F231&gt;=X$5-4, $F231&lt;=X$5, COUNTIF($M231:W231,"u")=0), "u", "")</f>
        <v/>
      </c>
      <c r="Y231" s="80" t="str">
        <f>IF(AND($F231&lt;&gt;"", $F231&gt;=Y$5-4, $F231&lt;=Y$5, COUNTIF($M231:X231,"u")=0), "u", "")</f>
        <v/>
      </c>
      <c r="Z231" s="80" t="str">
        <f>IF(AND($F231&lt;&gt;"", $F231&gt;=Z$5-4, $F231&lt;=Z$5, COUNTIF($M231:Y231,"u")=0), "u", "")</f>
        <v/>
      </c>
      <c r="AA231" s="80" t="str">
        <f>IF(AND($F231&lt;&gt;"", $F231&gt;=AA$5-4, $F231&lt;=AA$5, COUNTIF($M231:Z231,"u")=0), "u", "")</f>
        <v/>
      </c>
      <c r="AB231" s="80" t="str">
        <f>IF(AND($F231&lt;&gt;"", $F231&gt;=AB$5-4, $F231&lt;=AB$5, COUNTIF($M231:AA231,"u")=0), "u", "")</f>
        <v/>
      </c>
      <c r="AC231" s="80" t="str">
        <f>IF(AND($F231&lt;&gt;"", $F231&gt;=AC$5-4, $F231&lt;=AC$5, COUNTIF($M231:AB231,"u")=0), "u", "")</f>
        <v/>
      </c>
      <c r="AD231" s="80" t="str">
        <f>IF(AND($F231&lt;&gt;"", $F231&gt;=AD$5-4, $F231&lt;=AD$5, COUNTIF($M231:AC231,"u")=0), "u", "")</f>
        <v/>
      </c>
      <c r="AE231" s="80" t="str">
        <f>IF(AND($F231&lt;&gt;"", $F231&gt;=AE$5-4, $F231&lt;=AE$5, COUNTIF($M231:AD231,"u")=0), "u", "")</f>
        <v/>
      </c>
      <c r="AF231" s="80" t="str">
        <f>IF(AND($F231&lt;&gt;"", $F231&gt;=AF$5-4, $F231&lt;=AF$5, COUNTIF($M231:AE231,"u")=0), "u", "")</f>
        <v/>
      </c>
      <c r="AG231" s="80" t="str">
        <f>IF(AND($F231&lt;&gt;"", $F231&gt;=AG$5-4, $F231&lt;=AG$5, COUNTIF($M231:AF231,"u")=0), "u", "")</f>
        <v/>
      </c>
      <c r="AH231" s="80" t="str">
        <f>IF(AND($F231&lt;&gt;"", $F231&gt;=AH$5-4, $F231&lt;=AH$5, COUNTIF($M231:AG231,"u")=0), "u", "")</f>
        <v/>
      </c>
      <c r="AI231" s="80" t="str">
        <f>IF(AND($F231&lt;&gt;"", $F231&gt;=AI$5-4, $F231&lt;=AI$5, COUNTIF($M231:AH231,"u")=0), "u", "")</f>
        <v/>
      </c>
      <c r="AJ231" s="80" t="str">
        <f>IF(AND($F231&lt;&gt;"", $F231&gt;=AJ$5-4, $F231&lt;=AJ$5, COUNTIF($M231:AI231,"u")=0), "u", "")</f>
        <v/>
      </c>
      <c r="AK231" s="80" t="str">
        <f>IF(AND($F231&lt;&gt;"", $F231&gt;=AK$5-4, $F231&lt;=AK$5, COUNTIF($M231:AJ231,"u")=0), "u", "")</f>
        <v/>
      </c>
      <c r="AL231" s="80" t="str">
        <f>IF(AND($F231&lt;&gt;"", $F231&gt;=AL$5-4, $F231&lt;=AL$5, COUNTIF($M231:AK231,"u")=0), "u", "")</f>
        <v/>
      </c>
      <c r="AM231" s="80" t="str">
        <f>IF(AND($F231&lt;&gt;"", $F231&gt;=AM$5-4, $F231&lt;=AM$5, COUNTIF($M231:AL231,"u")=0), "u", "")</f>
        <v/>
      </c>
      <c r="AN231" s="80" t="str">
        <f>IF(AND($F231&lt;&gt;"", $F231&gt;=AN$5-4, $F231&lt;=AN$5, COUNTIF($M231:AM231,"u")=0), "u", "")</f>
        <v/>
      </c>
      <c r="AO231" s="80" t="str">
        <f>IF(AND($F231&lt;&gt;"", $F231&gt;=AO$5-4, $F231&lt;=AO$5, COUNTIF($M231:AN231,"u")=0), "u", "")</f>
        <v/>
      </c>
      <c r="AP231" s="80" t="str">
        <f>IF(AND($F231&lt;&gt;"", $F231&gt;=AP$5-4, $F231&lt;=AP$5, COUNTIF($M231:AO231,"u")=0), "u", "")</f>
        <v/>
      </c>
      <c r="AQ231" s="80" t="str">
        <f>IF(AND($F231&lt;&gt;"", $F231&gt;=AQ$5-4, $F231&lt;=AQ$5, COUNTIF($M231:AP231,"u")=0), "u", "")</f>
        <v/>
      </c>
      <c r="AR231" s="80" t="str">
        <f>IF(AND($F231&lt;&gt;"", $F231&gt;=AR$5-4, $F231&lt;=AR$5, COUNTIF($M231:AQ231,"u")=0), "u", "")</f>
        <v/>
      </c>
      <c r="AS231" s="80" t="str">
        <f>IF(AND($F231&lt;&gt;"", $F231&gt;=AS$5-4, $F231&lt;=AS$5, COUNTIF($M231:AR231,"u")=0), "u", "")</f>
        <v/>
      </c>
      <c r="AT231" s="80" t="str">
        <f>IF(AND($F231&lt;&gt;"", $F231&gt;=AT$5-4, $F231&lt;=AT$5, COUNTIF($M231:AS231,"u")=0), "u", "")</f>
        <v/>
      </c>
      <c r="AU231" s="80" t="str">
        <f>IF(AND($F231&lt;&gt;"", $F231&gt;=AU$5-4, $F231&lt;=AU$5, COUNTIF($M231:AT231,"u")=0), "u", "")</f>
        <v/>
      </c>
      <c r="AV231" s="80" t="str">
        <f>IF(AND($F231&lt;&gt;"", $F231&gt;=AV$5-4, $F231&lt;=AV$5, COUNTIF($M231:AU231,"u")=0), "u", "")</f>
        <v/>
      </c>
      <c r="AW231" s="80" t="str">
        <f>IF(AND($F231&lt;&gt;"", $F231&gt;=AW$5-4, $F231&lt;=AW$5, COUNTIF($M231:AV231,"u")=0), "u", "")</f>
        <v/>
      </c>
      <c r="AX231" s="80" t="str">
        <f>IF(AND($F231&lt;&gt;"", $F231&gt;=AX$5-4, $F231&lt;=AX$5, COUNTIF($M231:AW231,"u")=0), "u", "")</f>
        <v/>
      </c>
      <c r="AY231" s="80" t="str">
        <f>IF(AND($F231&lt;&gt;"", $F231&gt;=AY$5-4, $F231&lt;=AY$5, COUNTIF($M231:AX231,"u")=0), "u", "")</f>
        <v/>
      </c>
      <c r="AZ231" s="80" t="str">
        <f>IF(AND($F231&lt;&gt;"", $F231&gt;=AZ$5-4, $F231&lt;=AZ$5, COUNTIF($M231:AY231,"u")=0), "u", "")</f>
        <v/>
      </c>
      <c r="BA231" s="80" t="str">
        <f>IF(AND($F231&lt;&gt;"", $F231&gt;=BA$5-4, $F231&lt;=BA$5, COUNTIF($M231:AZ231,"u")=0), "u", "")</f>
        <v/>
      </c>
      <c r="BB231" s="80" t="str">
        <f>IF(AND($F231&lt;&gt;"", $F231&gt;=BB$5-4, $F231&lt;=BB$5, COUNTIF($M231:BA231,"u")=0), "u", "")</f>
        <v/>
      </c>
      <c r="BC231" s="80" t="str">
        <f>IF(AND($F231&lt;&gt;"", $F231&gt;=BC$5-4, $F231&lt;=BC$5, COUNTIF($M231:BB231,"u")=0), "u", "")</f>
        <v/>
      </c>
      <c r="BD231" s="80" t="str">
        <f>IF(AND($F231&lt;&gt;"", $F231&gt;=BD$5-4, $F231&lt;=BD$5, COUNTIF($M231:BC231,"u")=0), "u", "")</f>
        <v/>
      </c>
      <c r="BE231" s="80" t="str">
        <f>IF(AND($F231&lt;&gt;"", $F231&gt;=BE$5-4, $F231&lt;=BE$5, COUNTIF($M231:BD231,"u")=0), "u", "")</f>
        <v/>
      </c>
      <c r="BF231" s="80" t="str">
        <f>IF(AND($F231&lt;&gt;"", $F231&gt;=BF$5-4, $F231&lt;=BF$5, COUNTIF($M231:BE231,"u")=0), "u", "")</f>
        <v/>
      </c>
      <c r="BG231" s="80" t="str">
        <f>IF(AND($F231&lt;&gt;"", $F231&gt;=BG$5-4, $F231&lt;=BG$5, COUNTIF($M231:BF231,"u")=0), "u", "")</f>
        <v/>
      </c>
      <c r="BH231" s="80" t="str">
        <f>IF(AND($F231&lt;&gt;"", $F231&gt;=BH$5-4, $F231&lt;=BH$5, COUNTIF($M231:BG231,"u")=0), "u", "")</f>
        <v/>
      </c>
      <c r="BI231" s="80" t="str">
        <f>IF(AND($F231&lt;&gt;"", $F231&gt;=BI$5-4, $F231&lt;=BI$5, COUNTIF($M231:BH231,"u")=0), "u", "")</f>
        <v/>
      </c>
      <c r="BJ231" s="80" t="str">
        <f>IF(AND($F231&lt;&gt;"", $F231&gt;=BJ$5-4, $F231&lt;=BJ$5, COUNTIF($M231:BI231,"u")=0), "u", "")</f>
        <v/>
      </c>
      <c r="BK231" s="80" t="str">
        <f>IF(AND($F231&lt;&gt;"", $F231&gt;=BK$5-4, $F231&lt;=BK$5, COUNTIF($M231:BJ231,"u")=0), "u", "")</f>
        <v/>
      </c>
      <c r="BL231" s="80" t="str">
        <f>IF(AND($F231&lt;&gt;"", $F231&gt;=BL$5-4, $F231&lt;=BL$5, COUNTIF($M231:BK231,"u")=0), "u", "")</f>
        <v/>
      </c>
      <c r="BM231" s="80" t="str">
        <f>IF(AND($F231&lt;&gt;"", $F231&gt;=BM$5-4, $F231&lt;=BM$5, COUNTIF($M231:BL231,"u")=0), "u", "")</f>
        <v/>
      </c>
      <c r="BN231" s="80" t="str">
        <f>IF(AND($F231&lt;&gt;"", $F231&gt;=BN$5-4, $F231&lt;=BN$5, COUNTIF($M231:BM231,"u")=0), "u", "")</f>
        <v/>
      </c>
      <c r="BO231" s="80" t="str">
        <f>IF(AND($F231&lt;&gt;"", $F231&gt;=BO$5-4, $F231&lt;=BO$5, COUNTIF($M231:BN231,"u")=0), "u", "")</f>
        <v/>
      </c>
      <c r="BP231" s="80" t="str">
        <f>IF(AND($F231&lt;&gt;"", $F231&gt;=BP$5-4, $F231&lt;=BP$5, COUNTIF($M231:BO231,"u")=0), "u", "")</f>
        <v/>
      </c>
      <c r="BQ231" s="80" t="str">
        <f>IF(AND($F231&lt;&gt;"", $F231&gt;=BQ$5-4, $F231&lt;=BQ$5, COUNTIF($M231:BP231,"u")=0), "u", "")</f>
        <v/>
      </c>
      <c r="BR231" s="80" t="str">
        <f>IF(AND($F231&lt;&gt;"", $F231&gt;=BR$5-4, $F231&lt;=BR$5, COUNTIF($M231:BQ231,"u")=0), "u", "")</f>
        <v/>
      </c>
      <c r="BS231" s="80" t="str">
        <f>IF(AND($F231&lt;&gt;"", $F231&gt;=BS$5-4, $F231&lt;=BS$5, COUNTIF($M231:BR231,"u")=0), "u", "")</f>
        <v/>
      </c>
      <c r="BT231" s="80" t="str">
        <f>IF(AND($F231&lt;&gt;"", $F231&gt;=BT$5-4, $F231&lt;=BT$5, COUNTIF($M231:BS231,"u")=0), "u", "")</f>
        <v/>
      </c>
      <c r="BU231" s="80" t="str">
        <f>IF(AND($F231&lt;&gt;"", $F231&gt;=BU$5-4, $F231&lt;=BU$5, COUNTIF($M231:BT231,"u")=0), "u", "")</f>
        <v/>
      </c>
      <c r="BV231" s="80" t="str">
        <f>IF(AND($F231&lt;&gt;"", $F231&gt;=BV$5-4, $F231&lt;=BV$5, COUNTIF($M231:BU231,"u")=0), "u", "")</f>
        <v/>
      </c>
      <c r="BW231" s="80" t="str">
        <f>IF(AND($F231&lt;&gt;"", $F231&gt;=BW$5-4, $F231&lt;=BW$5, COUNTIF($M231:BV231,"u")=0), "u", "")</f>
        <v/>
      </c>
      <c r="BX231" s="80" t="str">
        <f>IF(AND($F231&lt;&gt;"", $F231&gt;=BX$5-4, $F231&lt;=BX$5, COUNTIF($M231:BW231,"u")=0), "u", "")</f>
        <v/>
      </c>
      <c r="BY231" s="80" t="str">
        <f>IF(AND($F231&lt;&gt;"", $F231&gt;=BY$5-4, $F231&lt;=BY$5, COUNTIF($M231:BX231,"u")=0), "u", "")</f>
        <v/>
      </c>
      <c r="BZ231" s="80" t="str">
        <f>IF(AND($F231&lt;&gt;"", $F231&gt;=BZ$5-4, $F231&lt;=BZ$5, COUNTIF($M231:BY231,"u")=0), "u", "")</f>
        <v/>
      </c>
      <c r="CA231" s="80" t="str">
        <f>IF(AND($F231&lt;&gt;"", $F231&gt;=CA$5-4, $F231&lt;=CA$5, COUNTIF($M231:BZ231,"u")=0), "u", "")</f>
        <v/>
      </c>
      <c r="CB231" s="80" t="str">
        <f>IF(AND($F231&lt;&gt;"", $F231&gt;=CB$5-4, $F231&lt;=CB$5, COUNTIF($M231:CA231,"u")=0), "u", "")</f>
        <v/>
      </c>
      <c r="CC231" s="80" t="str">
        <f>IF(AND($F231&lt;&gt;"", $F231&gt;=CC$5-4, $F231&lt;=CC$5, COUNTIF($M231:CB231,"u")=0), "u", "")</f>
        <v/>
      </c>
      <c r="CD231" s="80" t="str">
        <f>IF(AND($F231&lt;&gt;"", $F231&gt;=CD$5-4, $F231&lt;=CD$5, COUNTIF($M231:CC231,"u")=0), "u", "")</f>
        <v/>
      </c>
      <c r="CE231" s="80" t="str">
        <f>IF(AND($F231&lt;&gt;"", $F231&gt;=CE$5-4, $F231&lt;=CE$5, COUNTIF($M231:CD231,"u")=0), "u", "")</f>
        <v/>
      </c>
      <c r="CF231" s="80" t="str">
        <f>IF(AND($F231&lt;&gt;"", $F231&gt;=CF$5-4, $F231&lt;=CF$5, COUNTIF($M231:CE231,"u")=0), "u", "")</f>
        <v/>
      </c>
      <c r="CG231" s="80" t="str">
        <f>IF(AND($F231&lt;&gt;"", $F231&gt;=CG$5-4, $F231&lt;=CG$5, COUNTIF($M231:CF231,"u")=0), "u", "")</f>
        <v/>
      </c>
      <c r="CH231" s="80" t="str">
        <f>IF(AND($F231&lt;&gt;"", $F231&gt;=CH$5-4, $F231&lt;=CH$5, COUNTIF($M231:CG231,"u")=0), "u", "")</f>
        <v/>
      </c>
      <c r="CI231" s="80" t="str">
        <f>IF(AND($F231&lt;&gt;"", $F231&gt;=CI$5-4, $F231&lt;=CI$5, COUNTIF($M231:CH231,"u")=0), "u", "")</f>
        <v/>
      </c>
      <c r="CJ231" s="80" t="str">
        <f>IF(AND($F231&lt;&gt;"", $F231&gt;=CJ$5-4, $F231&lt;=CJ$5, COUNTIF($M231:CI231,"u")=0), "u", "")</f>
        <v/>
      </c>
      <c r="CK231" s="80" t="str">
        <f>IF(AND($F231&lt;&gt;"", $F231&gt;=CK$5-4, $F231&lt;=CK$5, COUNTIF($M231:CJ231,"u")=0), "u", "")</f>
        <v/>
      </c>
      <c r="CL231" s="80" t="str">
        <f>IF(AND($F231&lt;&gt;"", $F231&gt;=CL$5-4, $F231&lt;=CL$5, COUNTIF($M231:CK231,"u")=0), "u", "")</f>
        <v/>
      </c>
      <c r="CM231" s="80" t="str">
        <f>IF(AND($F231&lt;&gt;"", $F231&gt;=CM$5-4, $F231&lt;=CM$5, COUNTIF($M231:CL231,"u")=0), "u", "")</f>
        <v/>
      </c>
      <c r="CN231" s="80" t="str">
        <f>IF(AND($F231&lt;&gt;"", $F231&gt;=CN$5-4, $F231&lt;=CN$5, COUNTIF($M231:CM231,"u")=0), "u", "")</f>
        <v/>
      </c>
      <c r="CO231" s="80" t="str">
        <f>IF(AND($F231&lt;&gt;"", $F231&gt;=CO$5-4, $F231&lt;=CO$5, COUNTIF($M231:CN231,"u")=0), "u", "")</f>
        <v/>
      </c>
      <c r="CP231" s="80" t="str">
        <f>IF(AND($F231&lt;&gt;"", $F231&gt;=CP$5-4, $F231&lt;=CP$5, COUNTIF($M231:CO231,"u")=0), "u", "")</f>
        <v/>
      </c>
      <c r="CQ231" s="80" t="str">
        <f>IF(AND($F231&lt;&gt;"", $F231&gt;=CQ$5-4, $F231&lt;=CQ$5, COUNTIF($M231:CP231,"u")=0), "u", "")</f>
        <v/>
      </c>
      <c r="CR231" s="80" t="str">
        <f>IF(AND($F231&lt;&gt;"", $F231&gt;=CR$5-4, $F231&lt;=CR$5, COUNTIF($M231:CQ231,"u")=0), "u", "")</f>
        <v/>
      </c>
      <c r="CS231" s="80" t="str">
        <f>IF(AND($F231&lt;&gt;"", $F231&gt;=CS$5-4, $F231&lt;=CS$5, COUNTIF($M231:CR231,"u")=0), "u", "")</f>
        <v/>
      </c>
      <c r="CT231" s="80" t="str">
        <f>IF(AND($F231&lt;&gt;"", $F231&gt;=CT$5-4, $F231&lt;=CT$5, COUNTIF($M231:CS231,"u")=0), "u", "")</f>
        <v/>
      </c>
      <c r="CU231" s="80" t="str">
        <f>IF(AND($F231&lt;&gt;"", $F231&gt;=CU$5-4, $F231&lt;=CU$5, COUNTIF($M231:CT231,"u")=0), "u", "")</f>
        <v/>
      </c>
      <c r="CV231" s="80" t="str">
        <f>IF(AND($F231&lt;&gt;"", $F231&gt;=CV$5-4, $F231&lt;=CV$5, COUNTIF($M231:CU231,"u")=0), "u", "")</f>
        <v/>
      </c>
      <c r="CW231" s="80" t="str">
        <f>IF(AND($F231&lt;&gt;"", $F231&gt;=CW$5-4, $F231&lt;=CW$5, COUNTIF($M231:CV231,"u")=0), "u", "")</f>
        <v/>
      </c>
      <c r="CX231" s="80" t="str">
        <f>IF(AND($F231&lt;&gt;"", $F231&gt;=CX$5-4, $F231&lt;=CX$5, COUNTIF($M231:CW231,"u")=0), "u", "")</f>
        <v/>
      </c>
      <c r="CY231" s="80" t="str">
        <f>IF(AND($F231&lt;&gt;"", $F231&gt;=CY$5-4, $F231&lt;=CY$5, COUNTIF($M231:CX231,"u")=0), "u", "")</f>
        <v/>
      </c>
      <c r="CZ231" s="80" t="str">
        <f>IF(AND($F231&lt;&gt;"", $F231&gt;=CZ$5-4, $F231&lt;=CZ$5, COUNTIF($M231:CY231,"u")=0), "u", "")</f>
        <v/>
      </c>
      <c r="DA231" s="80" t="str">
        <f>IF(AND($F231&lt;&gt;"", $F231&gt;=DA$5-4, $F231&lt;=DA$5, COUNTIF($M231:CZ231,"u")=0), "u", "")</f>
        <v/>
      </c>
      <c r="DB231" s="80" t="str">
        <f>IF(AND($F231&lt;&gt;"", $F231&gt;=DB$5-4, $F231&lt;=DB$5, COUNTIF($M231:DA231,"u")=0), "u", "")</f>
        <v/>
      </c>
      <c r="DC231" s="80" t="str">
        <f>IF(AND($F231&lt;&gt;"", $F231&gt;=DC$5-4, $F231&lt;=DC$5, COUNTIF($M231:DB231,"u")=0), "u", "")</f>
        <v/>
      </c>
      <c r="DD231" s="80" t="str">
        <f>IF(AND($F231&lt;&gt;"", $F231&gt;=DD$5-4, $F231&lt;=DD$5, COUNTIF($M231:DC231,"u")=0), "u", "")</f>
        <v/>
      </c>
      <c r="DE231" s="80" t="str">
        <f>IF(AND($F231&lt;&gt;"", $F231&gt;=DE$5-4, $F231&lt;=DE$5, COUNTIF($M231:DD231,"u")=0), "u", "")</f>
        <v/>
      </c>
      <c r="DF231" s="80" t="str">
        <f>IF(AND($F231&lt;&gt;"", $F231&gt;=DF$5-4, $F231&lt;=DF$5, COUNTIF($M231:DE231,"u")=0), "u", "")</f>
        <v/>
      </c>
      <c r="DG231" s="80" t="str">
        <f>IF(AND($F231&lt;&gt;"", $F231&gt;=DG$5-4, $F231&lt;=DG$5, COUNTIF($M231:DF231,"u")=0), "u", "")</f>
        <v/>
      </c>
      <c r="DH231" s="80" t="str">
        <f>IF(AND($F231&lt;&gt;"", $F231&gt;=DH$5-4, $F231&lt;=DH$5, COUNTIF($M231:DG231,"u")=0), "u", "")</f>
        <v/>
      </c>
      <c r="DI231" s="80" t="str">
        <f>IF(AND($F231&lt;&gt;"", $F231&gt;=DI$5-4, $F231&lt;=DI$5, COUNTIF($M231:DH231,"u")=0), "u", "")</f>
        <v/>
      </c>
      <c r="DJ231" s="80" t="str">
        <f>IF(AND($F231&lt;&gt;"", $F231&gt;=DJ$5-4, $F231&lt;=DJ$5, COUNTIF($M231:DI231,"u")=0), "u", "")</f>
        <v/>
      </c>
      <c r="DK231" s="80" t="str">
        <f>IF(AND($F231&lt;&gt;"", $F231&gt;=DK$5-4, $F231&lt;=DK$5, COUNTIF($M231:DJ231,"u")=0), "u", "")</f>
        <v/>
      </c>
      <c r="DL231" s="80" t="str">
        <f>IF(AND($F231&lt;&gt;"", $F231&gt;=DL$5-4, $F231&lt;=DL$5, COUNTIF($M231:DK231,"u")=0), "u", "")</f>
        <v/>
      </c>
    </row>
    <row r="232" spans="1:116" ht="25.05" customHeight="1" x14ac:dyDescent="0.3">
      <c r="A232" s="39"/>
      <c r="B232" s="75">
        <v>227</v>
      </c>
      <c r="C232" s="97"/>
      <c r="D232" s="92"/>
      <c r="E232" s="53"/>
      <c r="F232" s="53"/>
      <c r="G232" s="83" t="str">
        <f t="shared" si="56"/>
        <v/>
      </c>
      <c r="H232" s="83" t="str">
        <f t="shared" si="56"/>
        <v/>
      </c>
      <c r="I232" s="77" t="str">
        <f t="shared" si="54"/>
        <v/>
      </c>
      <c r="J232" s="78"/>
      <c r="K232" s="86"/>
      <c r="L232" s="56"/>
      <c r="M232" s="80" t="str">
        <f t="shared" si="55"/>
        <v/>
      </c>
      <c r="N232" s="80" t="str">
        <f>IF(AND($F232&lt;&gt;"", $F232&gt;=N$5-4, $F232&lt;=N$5, COUNTIF($M232:M232,"u")=0), "u", "")</f>
        <v/>
      </c>
      <c r="O232" s="80" t="str">
        <f>IF(AND($F232&lt;&gt;"", $F232&gt;=O$5-4, $F232&lt;=O$5, COUNTIF($M232:N232,"u")=0), "u", "")</f>
        <v/>
      </c>
      <c r="P232" s="80" t="str">
        <f>IF(AND($F232&lt;&gt;"", $F232&gt;=P$5-4, $F232&lt;=P$5, COUNTIF($M232:O232,"u")=0), "u", "")</f>
        <v/>
      </c>
      <c r="Q232" s="80" t="str">
        <f>IF(AND($F232&lt;&gt;"", $F232&gt;=Q$5-4, $F232&lt;=Q$5, COUNTIF($M232:P232,"u")=0), "u", "")</f>
        <v/>
      </c>
      <c r="R232" s="80" t="str">
        <f>IF(AND($F232&lt;&gt;"", $F232&gt;=R$5-4, $F232&lt;=R$5, COUNTIF($M232:Q232,"u")=0), "u", "")</f>
        <v/>
      </c>
      <c r="S232" s="80" t="str">
        <f>IF(AND($F232&lt;&gt;"", $F232&gt;=S$5-4, $F232&lt;=S$5, COUNTIF($M232:R232,"u")=0), "u", "")</f>
        <v/>
      </c>
      <c r="T232" s="80" t="str">
        <f>IF(AND($F232&lt;&gt;"", $F232&gt;=T$5-4, $F232&lt;=T$5, COUNTIF($M232:S232,"u")=0), "u", "")</f>
        <v/>
      </c>
      <c r="U232" s="80" t="str">
        <f>IF(AND($F232&lt;&gt;"", $F232&gt;=U$5-4, $F232&lt;=U$5, COUNTIF($M232:T232,"u")=0), "u", "")</f>
        <v/>
      </c>
      <c r="V232" s="80" t="str">
        <f>IF(AND($F232&lt;&gt;"", $F232&gt;=V$5-4, $F232&lt;=V$5, COUNTIF($M232:U232,"u")=0), "u", "")</f>
        <v/>
      </c>
      <c r="W232" s="80" t="str">
        <f>IF(AND($F232&lt;&gt;"", $F232&gt;=W$5-4, $F232&lt;=W$5, COUNTIF($M232:V232,"u")=0), "u", "")</f>
        <v/>
      </c>
      <c r="X232" s="80" t="str">
        <f>IF(AND($F232&lt;&gt;"", $F232&gt;=X$5-4, $F232&lt;=X$5, COUNTIF($M232:W232,"u")=0), "u", "")</f>
        <v/>
      </c>
      <c r="Y232" s="80" t="str">
        <f>IF(AND($F232&lt;&gt;"", $F232&gt;=Y$5-4, $F232&lt;=Y$5, COUNTIF($M232:X232,"u")=0), "u", "")</f>
        <v/>
      </c>
      <c r="Z232" s="80" t="str">
        <f>IF(AND($F232&lt;&gt;"", $F232&gt;=Z$5-4, $F232&lt;=Z$5, COUNTIF($M232:Y232,"u")=0), "u", "")</f>
        <v/>
      </c>
      <c r="AA232" s="80" t="str">
        <f>IF(AND($F232&lt;&gt;"", $F232&gt;=AA$5-4, $F232&lt;=AA$5, COUNTIF($M232:Z232,"u")=0), "u", "")</f>
        <v/>
      </c>
      <c r="AB232" s="80" t="str">
        <f>IF(AND($F232&lt;&gt;"", $F232&gt;=AB$5-4, $F232&lt;=AB$5, COUNTIF($M232:AA232,"u")=0), "u", "")</f>
        <v/>
      </c>
      <c r="AC232" s="80" t="str">
        <f>IF(AND($F232&lt;&gt;"", $F232&gt;=AC$5-4, $F232&lt;=AC$5, COUNTIF($M232:AB232,"u")=0), "u", "")</f>
        <v/>
      </c>
      <c r="AD232" s="80" t="str">
        <f>IF(AND($F232&lt;&gt;"", $F232&gt;=AD$5-4, $F232&lt;=AD$5, COUNTIF($M232:AC232,"u")=0), "u", "")</f>
        <v/>
      </c>
      <c r="AE232" s="80" t="str">
        <f>IF(AND($F232&lt;&gt;"", $F232&gt;=AE$5-4, $F232&lt;=AE$5, COUNTIF($M232:AD232,"u")=0), "u", "")</f>
        <v/>
      </c>
      <c r="AF232" s="80" t="str">
        <f>IF(AND($F232&lt;&gt;"", $F232&gt;=AF$5-4, $F232&lt;=AF$5, COUNTIF($M232:AE232,"u")=0), "u", "")</f>
        <v/>
      </c>
      <c r="AG232" s="80" t="str">
        <f>IF(AND($F232&lt;&gt;"", $F232&gt;=AG$5-4, $F232&lt;=AG$5, COUNTIF($M232:AF232,"u")=0), "u", "")</f>
        <v/>
      </c>
      <c r="AH232" s="80" t="str">
        <f>IF(AND($F232&lt;&gt;"", $F232&gt;=AH$5-4, $F232&lt;=AH$5, COUNTIF($M232:AG232,"u")=0), "u", "")</f>
        <v/>
      </c>
      <c r="AI232" s="80" t="str">
        <f>IF(AND($F232&lt;&gt;"", $F232&gt;=AI$5-4, $F232&lt;=AI$5, COUNTIF($M232:AH232,"u")=0), "u", "")</f>
        <v/>
      </c>
      <c r="AJ232" s="80" t="str">
        <f>IF(AND($F232&lt;&gt;"", $F232&gt;=AJ$5-4, $F232&lt;=AJ$5, COUNTIF($M232:AI232,"u")=0), "u", "")</f>
        <v/>
      </c>
      <c r="AK232" s="80" t="str">
        <f>IF(AND($F232&lt;&gt;"", $F232&gt;=AK$5-4, $F232&lt;=AK$5, COUNTIF($M232:AJ232,"u")=0), "u", "")</f>
        <v/>
      </c>
      <c r="AL232" s="80" t="str">
        <f>IF(AND($F232&lt;&gt;"", $F232&gt;=AL$5-4, $F232&lt;=AL$5, COUNTIF($M232:AK232,"u")=0), "u", "")</f>
        <v/>
      </c>
      <c r="AM232" s="80" t="str">
        <f>IF(AND($F232&lt;&gt;"", $F232&gt;=AM$5-4, $F232&lt;=AM$5, COUNTIF($M232:AL232,"u")=0), "u", "")</f>
        <v/>
      </c>
      <c r="AN232" s="80" t="str">
        <f>IF(AND($F232&lt;&gt;"", $F232&gt;=AN$5-4, $F232&lt;=AN$5, COUNTIF($M232:AM232,"u")=0), "u", "")</f>
        <v/>
      </c>
      <c r="AO232" s="80" t="str">
        <f>IF(AND($F232&lt;&gt;"", $F232&gt;=AO$5-4, $F232&lt;=AO$5, COUNTIF($M232:AN232,"u")=0), "u", "")</f>
        <v/>
      </c>
      <c r="AP232" s="80" t="str">
        <f>IF(AND($F232&lt;&gt;"", $F232&gt;=AP$5-4, $F232&lt;=AP$5, COUNTIF($M232:AO232,"u")=0), "u", "")</f>
        <v/>
      </c>
      <c r="AQ232" s="80" t="str">
        <f>IF(AND($F232&lt;&gt;"", $F232&gt;=AQ$5-4, $F232&lt;=AQ$5, COUNTIF($M232:AP232,"u")=0), "u", "")</f>
        <v/>
      </c>
      <c r="AR232" s="80" t="str">
        <f>IF(AND($F232&lt;&gt;"", $F232&gt;=AR$5-4, $F232&lt;=AR$5, COUNTIF($M232:AQ232,"u")=0), "u", "")</f>
        <v/>
      </c>
      <c r="AS232" s="80" t="str">
        <f>IF(AND($F232&lt;&gt;"", $F232&gt;=AS$5-4, $F232&lt;=AS$5, COUNTIF($M232:AR232,"u")=0), "u", "")</f>
        <v/>
      </c>
      <c r="AT232" s="80" t="str">
        <f>IF(AND($F232&lt;&gt;"", $F232&gt;=AT$5-4, $F232&lt;=AT$5, COUNTIF($M232:AS232,"u")=0), "u", "")</f>
        <v/>
      </c>
      <c r="AU232" s="80" t="str">
        <f>IF(AND($F232&lt;&gt;"", $F232&gt;=AU$5-4, $F232&lt;=AU$5, COUNTIF($M232:AT232,"u")=0), "u", "")</f>
        <v/>
      </c>
      <c r="AV232" s="80" t="str">
        <f>IF(AND($F232&lt;&gt;"", $F232&gt;=AV$5-4, $F232&lt;=AV$5, COUNTIF($M232:AU232,"u")=0), "u", "")</f>
        <v/>
      </c>
      <c r="AW232" s="80" t="str">
        <f>IF(AND($F232&lt;&gt;"", $F232&gt;=AW$5-4, $F232&lt;=AW$5, COUNTIF($M232:AV232,"u")=0), "u", "")</f>
        <v/>
      </c>
      <c r="AX232" s="80" t="str">
        <f>IF(AND($F232&lt;&gt;"", $F232&gt;=AX$5-4, $F232&lt;=AX$5, COUNTIF($M232:AW232,"u")=0), "u", "")</f>
        <v/>
      </c>
      <c r="AY232" s="80" t="str">
        <f>IF(AND($F232&lt;&gt;"", $F232&gt;=AY$5-4, $F232&lt;=AY$5, COUNTIF($M232:AX232,"u")=0), "u", "")</f>
        <v/>
      </c>
      <c r="AZ232" s="80" t="str">
        <f>IF(AND($F232&lt;&gt;"", $F232&gt;=AZ$5-4, $F232&lt;=AZ$5, COUNTIF($M232:AY232,"u")=0), "u", "")</f>
        <v/>
      </c>
      <c r="BA232" s="80" t="str">
        <f>IF(AND($F232&lt;&gt;"", $F232&gt;=BA$5-4, $F232&lt;=BA$5, COUNTIF($M232:AZ232,"u")=0), "u", "")</f>
        <v/>
      </c>
      <c r="BB232" s="80" t="str">
        <f>IF(AND($F232&lt;&gt;"", $F232&gt;=BB$5-4, $F232&lt;=BB$5, COUNTIF($M232:BA232,"u")=0), "u", "")</f>
        <v/>
      </c>
      <c r="BC232" s="80" t="str">
        <f>IF(AND($F232&lt;&gt;"", $F232&gt;=BC$5-4, $F232&lt;=BC$5, COUNTIF($M232:BB232,"u")=0), "u", "")</f>
        <v/>
      </c>
      <c r="BD232" s="80" t="str">
        <f>IF(AND($F232&lt;&gt;"", $F232&gt;=BD$5-4, $F232&lt;=BD$5, COUNTIF($M232:BC232,"u")=0), "u", "")</f>
        <v/>
      </c>
      <c r="BE232" s="80" t="str">
        <f>IF(AND($F232&lt;&gt;"", $F232&gt;=BE$5-4, $F232&lt;=BE$5, COUNTIF($M232:BD232,"u")=0), "u", "")</f>
        <v/>
      </c>
      <c r="BF232" s="80" t="str">
        <f>IF(AND($F232&lt;&gt;"", $F232&gt;=BF$5-4, $F232&lt;=BF$5, COUNTIF($M232:BE232,"u")=0), "u", "")</f>
        <v/>
      </c>
      <c r="BG232" s="80" t="str">
        <f>IF(AND($F232&lt;&gt;"", $F232&gt;=BG$5-4, $F232&lt;=BG$5, COUNTIF($M232:BF232,"u")=0), "u", "")</f>
        <v/>
      </c>
      <c r="BH232" s="80" t="str">
        <f>IF(AND($F232&lt;&gt;"", $F232&gt;=BH$5-4, $F232&lt;=BH$5, COUNTIF($M232:BG232,"u")=0), "u", "")</f>
        <v/>
      </c>
      <c r="BI232" s="80" t="str">
        <f>IF(AND($F232&lt;&gt;"", $F232&gt;=BI$5-4, $F232&lt;=BI$5, COUNTIF($M232:BH232,"u")=0), "u", "")</f>
        <v/>
      </c>
      <c r="BJ232" s="80" t="str">
        <f>IF(AND($F232&lt;&gt;"", $F232&gt;=BJ$5-4, $F232&lt;=BJ$5, COUNTIF($M232:BI232,"u")=0), "u", "")</f>
        <v/>
      </c>
      <c r="BK232" s="80" t="str">
        <f>IF(AND($F232&lt;&gt;"", $F232&gt;=BK$5-4, $F232&lt;=BK$5, COUNTIF($M232:BJ232,"u")=0), "u", "")</f>
        <v/>
      </c>
      <c r="BL232" s="80" t="str">
        <f>IF(AND($F232&lt;&gt;"", $F232&gt;=BL$5-4, $F232&lt;=BL$5, COUNTIF($M232:BK232,"u")=0), "u", "")</f>
        <v/>
      </c>
      <c r="BM232" s="80" t="str">
        <f>IF(AND($F232&lt;&gt;"", $F232&gt;=BM$5-4, $F232&lt;=BM$5, COUNTIF($M232:BL232,"u")=0), "u", "")</f>
        <v/>
      </c>
      <c r="BN232" s="80" t="str">
        <f>IF(AND($F232&lt;&gt;"", $F232&gt;=BN$5-4, $F232&lt;=BN$5, COUNTIF($M232:BM232,"u")=0), "u", "")</f>
        <v/>
      </c>
      <c r="BO232" s="80" t="str">
        <f>IF(AND($F232&lt;&gt;"", $F232&gt;=BO$5-4, $F232&lt;=BO$5, COUNTIF($M232:BN232,"u")=0), "u", "")</f>
        <v/>
      </c>
      <c r="BP232" s="80" t="str">
        <f>IF(AND($F232&lt;&gt;"", $F232&gt;=BP$5-4, $F232&lt;=BP$5, COUNTIF($M232:BO232,"u")=0), "u", "")</f>
        <v/>
      </c>
      <c r="BQ232" s="80" t="str">
        <f>IF(AND($F232&lt;&gt;"", $F232&gt;=BQ$5-4, $F232&lt;=BQ$5, COUNTIF($M232:BP232,"u")=0), "u", "")</f>
        <v/>
      </c>
      <c r="BR232" s="80" t="str">
        <f>IF(AND($F232&lt;&gt;"", $F232&gt;=BR$5-4, $F232&lt;=BR$5, COUNTIF($M232:BQ232,"u")=0), "u", "")</f>
        <v/>
      </c>
      <c r="BS232" s="80" t="str">
        <f>IF(AND($F232&lt;&gt;"", $F232&gt;=BS$5-4, $F232&lt;=BS$5, COUNTIF($M232:BR232,"u")=0), "u", "")</f>
        <v/>
      </c>
      <c r="BT232" s="80" t="str">
        <f>IF(AND($F232&lt;&gt;"", $F232&gt;=BT$5-4, $F232&lt;=BT$5, COUNTIF($M232:BS232,"u")=0), "u", "")</f>
        <v/>
      </c>
      <c r="BU232" s="80" t="str">
        <f>IF(AND($F232&lt;&gt;"", $F232&gt;=BU$5-4, $F232&lt;=BU$5, COUNTIF($M232:BT232,"u")=0), "u", "")</f>
        <v/>
      </c>
      <c r="BV232" s="80" t="str">
        <f>IF(AND($F232&lt;&gt;"", $F232&gt;=BV$5-4, $F232&lt;=BV$5, COUNTIF($M232:BU232,"u")=0), "u", "")</f>
        <v/>
      </c>
      <c r="BW232" s="80" t="str">
        <f>IF(AND($F232&lt;&gt;"", $F232&gt;=BW$5-4, $F232&lt;=BW$5, COUNTIF($M232:BV232,"u")=0), "u", "")</f>
        <v/>
      </c>
      <c r="BX232" s="80" t="str">
        <f>IF(AND($F232&lt;&gt;"", $F232&gt;=BX$5-4, $F232&lt;=BX$5, COUNTIF($M232:BW232,"u")=0), "u", "")</f>
        <v/>
      </c>
      <c r="BY232" s="80" t="str">
        <f>IF(AND($F232&lt;&gt;"", $F232&gt;=BY$5-4, $F232&lt;=BY$5, COUNTIF($M232:BX232,"u")=0), "u", "")</f>
        <v/>
      </c>
      <c r="BZ232" s="80" t="str">
        <f>IF(AND($F232&lt;&gt;"", $F232&gt;=BZ$5-4, $F232&lt;=BZ$5, COUNTIF($M232:BY232,"u")=0), "u", "")</f>
        <v/>
      </c>
      <c r="CA232" s="80" t="str">
        <f>IF(AND($F232&lt;&gt;"", $F232&gt;=CA$5-4, $F232&lt;=CA$5, COUNTIF($M232:BZ232,"u")=0), "u", "")</f>
        <v/>
      </c>
      <c r="CB232" s="80" t="str">
        <f>IF(AND($F232&lt;&gt;"", $F232&gt;=CB$5-4, $F232&lt;=CB$5, COUNTIF($M232:CA232,"u")=0), "u", "")</f>
        <v/>
      </c>
      <c r="CC232" s="80" t="str">
        <f>IF(AND($F232&lt;&gt;"", $F232&gt;=CC$5-4, $F232&lt;=CC$5, COUNTIF($M232:CB232,"u")=0), "u", "")</f>
        <v/>
      </c>
      <c r="CD232" s="80" t="str">
        <f>IF(AND($F232&lt;&gt;"", $F232&gt;=CD$5-4, $F232&lt;=CD$5, COUNTIF($M232:CC232,"u")=0), "u", "")</f>
        <v/>
      </c>
      <c r="CE232" s="80" t="str">
        <f>IF(AND($F232&lt;&gt;"", $F232&gt;=CE$5-4, $F232&lt;=CE$5, COUNTIF($M232:CD232,"u")=0), "u", "")</f>
        <v/>
      </c>
      <c r="CF232" s="80" t="str">
        <f>IF(AND($F232&lt;&gt;"", $F232&gt;=CF$5-4, $F232&lt;=CF$5, COUNTIF($M232:CE232,"u")=0), "u", "")</f>
        <v/>
      </c>
      <c r="CG232" s="80" t="str">
        <f>IF(AND($F232&lt;&gt;"", $F232&gt;=CG$5-4, $F232&lt;=CG$5, COUNTIF($M232:CF232,"u")=0), "u", "")</f>
        <v/>
      </c>
      <c r="CH232" s="80" t="str">
        <f>IF(AND($F232&lt;&gt;"", $F232&gt;=CH$5-4, $F232&lt;=CH$5, COUNTIF($M232:CG232,"u")=0), "u", "")</f>
        <v/>
      </c>
      <c r="CI232" s="80" t="str">
        <f>IF(AND($F232&lt;&gt;"", $F232&gt;=CI$5-4, $F232&lt;=CI$5, COUNTIF($M232:CH232,"u")=0), "u", "")</f>
        <v/>
      </c>
      <c r="CJ232" s="80" t="str">
        <f>IF(AND($F232&lt;&gt;"", $F232&gt;=CJ$5-4, $F232&lt;=CJ$5, COUNTIF($M232:CI232,"u")=0), "u", "")</f>
        <v/>
      </c>
      <c r="CK232" s="80" t="str">
        <f>IF(AND($F232&lt;&gt;"", $F232&gt;=CK$5-4, $F232&lt;=CK$5, COUNTIF($M232:CJ232,"u")=0), "u", "")</f>
        <v/>
      </c>
      <c r="CL232" s="80" t="str">
        <f>IF(AND($F232&lt;&gt;"", $F232&gt;=CL$5-4, $F232&lt;=CL$5, COUNTIF($M232:CK232,"u")=0), "u", "")</f>
        <v/>
      </c>
      <c r="CM232" s="80" t="str">
        <f>IF(AND($F232&lt;&gt;"", $F232&gt;=CM$5-4, $F232&lt;=CM$5, COUNTIF($M232:CL232,"u")=0), "u", "")</f>
        <v/>
      </c>
      <c r="CN232" s="80" t="str">
        <f>IF(AND($F232&lt;&gt;"", $F232&gt;=CN$5-4, $F232&lt;=CN$5, COUNTIF($M232:CM232,"u")=0), "u", "")</f>
        <v/>
      </c>
      <c r="CO232" s="80" t="str">
        <f>IF(AND($F232&lt;&gt;"", $F232&gt;=CO$5-4, $F232&lt;=CO$5, COUNTIF($M232:CN232,"u")=0), "u", "")</f>
        <v/>
      </c>
      <c r="CP232" s="80" t="str">
        <f>IF(AND($F232&lt;&gt;"", $F232&gt;=CP$5-4, $F232&lt;=CP$5, COUNTIF($M232:CO232,"u")=0), "u", "")</f>
        <v/>
      </c>
      <c r="CQ232" s="80" t="str">
        <f>IF(AND($F232&lt;&gt;"", $F232&gt;=CQ$5-4, $F232&lt;=CQ$5, COUNTIF($M232:CP232,"u")=0), "u", "")</f>
        <v/>
      </c>
      <c r="CR232" s="80" t="str">
        <f>IF(AND($F232&lt;&gt;"", $F232&gt;=CR$5-4, $F232&lt;=CR$5, COUNTIF($M232:CQ232,"u")=0), "u", "")</f>
        <v/>
      </c>
      <c r="CS232" s="80" t="str">
        <f>IF(AND($F232&lt;&gt;"", $F232&gt;=CS$5-4, $F232&lt;=CS$5, COUNTIF($M232:CR232,"u")=0), "u", "")</f>
        <v/>
      </c>
      <c r="CT232" s="80" t="str">
        <f>IF(AND($F232&lt;&gt;"", $F232&gt;=CT$5-4, $F232&lt;=CT$5, COUNTIF($M232:CS232,"u")=0), "u", "")</f>
        <v/>
      </c>
      <c r="CU232" s="80" t="str">
        <f>IF(AND($F232&lt;&gt;"", $F232&gt;=CU$5-4, $F232&lt;=CU$5, COUNTIF($M232:CT232,"u")=0), "u", "")</f>
        <v/>
      </c>
      <c r="CV232" s="80" t="str">
        <f>IF(AND($F232&lt;&gt;"", $F232&gt;=CV$5-4, $F232&lt;=CV$5, COUNTIF($M232:CU232,"u")=0), "u", "")</f>
        <v/>
      </c>
      <c r="CW232" s="80" t="str">
        <f>IF(AND($F232&lt;&gt;"", $F232&gt;=CW$5-4, $F232&lt;=CW$5, COUNTIF($M232:CV232,"u")=0), "u", "")</f>
        <v/>
      </c>
      <c r="CX232" s="80" t="str">
        <f>IF(AND($F232&lt;&gt;"", $F232&gt;=CX$5-4, $F232&lt;=CX$5, COUNTIF($M232:CW232,"u")=0), "u", "")</f>
        <v/>
      </c>
      <c r="CY232" s="80" t="str">
        <f>IF(AND($F232&lt;&gt;"", $F232&gt;=CY$5-4, $F232&lt;=CY$5, COUNTIF($M232:CX232,"u")=0), "u", "")</f>
        <v/>
      </c>
      <c r="CZ232" s="80" t="str">
        <f>IF(AND($F232&lt;&gt;"", $F232&gt;=CZ$5-4, $F232&lt;=CZ$5, COUNTIF($M232:CY232,"u")=0), "u", "")</f>
        <v/>
      </c>
      <c r="DA232" s="80" t="str">
        <f>IF(AND($F232&lt;&gt;"", $F232&gt;=DA$5-4, $F232&lt;=DA$5, COUNTIF($M232:CZ232,"u")=0), "u", "")</f>
        <v/>
      </c>
      <c r="DB232" s="80" t="str">
        <f>IF(AND($F232&lt;&gt;"", $F232&gt;=DB$5-4, $F232&lt;=DB$5, COUNTIF($M232:DA232,"u")=0), "u", "")</f>
        <v/>
      </c>
      <c r="DC232" s="80" t="str">
        <f>IF(AND($F232&lt;&gt;"", $F232&gt;=DC$5-4, $F232&lt;=DC$5, COUNTIF($M232:DB232,"u")=0), "u", "")</f>
        <v/>
      </c>
      <c r="DD232" s="80" t="str">
        <f>IF(AND($F232&lt;&gt;"", $F232&gt;=DD$5-4, $F232&lt;=DD$5, COUNTIF($M232:DC232,"u")=0), "u", "")</f>
        <v/>
      </c>
      <c r="DE232" s="80" t="str">
        <f>IF(AND($F232&lt;&gt;"", $F232&gt;=DE$5-4, $F232&lt;=DE$5, COUNTIF($M232:DD232,"u")=0), "u", "")</f>
        <v/>
      </c>
      <c r="DF232" s="80" t="str">
        <f>IF(AND($F232&lt;&gt;"", $F232&gt;=DF$5-4, $F232&lt;=DF$5, COUNTIF($M232:DE232,"u")=0), "u", "")</f>
        <v/>
      </c>
      <c r="DG232" s="80" t="str">
        <f>IF(AND($F232&lt;&gt;"", $F232&gt;=DG$5-4, $F232&lt;=DG$5, COUNTIF($M232:DF232,"u")=0), "u", "")</f>
        <v/>
      </c>
      <c r="DH232" s="80" t="str">
        <f>IF(AND($F232&lt;&gt;"", $F232&gt;=DH$5-4, $F232&lt;=DH$5, COUNTIF($M232:DG232,"u")=0), "u", "")</f>
        <v/>
      </c>
      <c r="DI232" s="80" t="str">
        <f>IF(AND($F232&lt;&gt;"", $F232&gt;=DI$5-4, $F232&lt;=DI$5, COUNTIF($M232:DH232,"u")=0), "u", "")</f>
        <v/>
      </c>
      <c r="DJ232" s="80" t="str">
        <f>IF(AND($F232&lt;&gt;"", $F232&gt;=DJ$5-4, $F232&lt;=DJ$5, COUNTIF($M232:DI232,"u")=0), "u", "")</f>
        <v/>
      </c>
      <c r="DK232" s="80" t="str">
        <f>IF(AND($F232&lt;&gt;"", $F232&gt;=DK$5-4, $F232&lt;=DK$5, COUNTIF($M232:DJ232,"u")=0), "u", "")</f>
        <v/>
      </c>
      <c r="DL232" s="80" t="str">
        <f>IF(AND($F232&lt;&gt;"", $F232&gt;=DL$5-4, $F232&lt;=DL$5, COUNTIF($M232:DK232,"u")=0), "u", "")</f>
        <v/>
      </c>
    </row>
    <row r="233" spans="1:116" ht="25.05" customHeight="1" x14ac:dyDescent="0.3">
      <c r="A233" s="39"/>
      <c r="B233" s="75">
        <v>228</v>
      </c>
      <c r="C233" s="97"/>
      <c r="D233" s="92"/>
      <c r="E233" s="53"/>
      <c r="F233" s="53"/>
      <c r="G233" s="83" t="str">
        <f t="shared" si="56"/>
        <v/>
      </c>
      <c r="H233" s="83" t="str">
        <f t="shared" si="56"/>
        <v/>
      </c>
      <c r="I233" s="77" t="str">
        <f t="shared" si="54"/>
        <v/>
      </c>
      <c r="J233" s="78"/>
      <c r="K233" s="86"/>
      <c r="L233" s="56"/>
      <c r="M233" s="80" t="str">
        <f t="shared" si="55"/>
        <v/>
      </c>
      <c r="N233" s="80" t="str">
        <f>IF(AND($F233&lt;&gt;"", $F233&gt;=N$5-4, $F233&lt;=N$5, COUNTIF($M233:M233,"u")=0), "u", "")</f>
        <v/>
      </c>
      <c r="O233" s="80" t="str">
        <f>IF(AND($F233&lt;&gt;"", $F233&gt;=O$5-4, $F233&lt;=O$5, COUNTIF($M233:N233,"u")=0), "u", "")</f>
        <v/>
      </c>
      <c r="P233" s="80" t="str">
        <f>IF(AND($F233&lt;&gt;"", $F233&gt;=P$5-4, $F233&lt;=P$5, COUNTIF($M233:O233,"u")=0), "u", "")</f>
        <v/>
      </c>
      <c r="Q233" s="80" t="str">
        <f>IF(AND($F233&lt;&gt;"", $F233&gt;=Q$5-4, $F233&lt;=Q$5, COUNTIF($M233:P233,"u")=0), "u", "")</f>
        <v/>
      </c>
      <c r="R233" s="80" t="str">
        <f>IF(AND($F233&lt;&gt;"", $F233&gt;=R$5-4, $F233&lt;=R$5, COUNTIF($M233:Q233,"u")=0), "u", "")</f>
        <v/>
      </c>
      <c r="S233" s="80" t="str">
        <f>IF(AND($F233&lt;&gt;"", $F233&gt;=S$5-4, $F233&lt;=S$5, COUNTIF($M233:R233,"u")=0), "u", "")</f>
        <v/>
      </c>
      <c r="T233" s="80" t="str">
        <f>IF(AND($F233&lt;&gt;"", $F233&gt;=T$5-4, $F233&lt;=T$5, COUNTIF($M233:S233,"u")=0), "u", "")</f>
        <v/>
      </c>
      <c r="U233" s="80" t="str">
        <f>IF(AND($F233&lt;&gt;"", $F233&gt;=U$5-4, $F233&lt;=U$5, COUNTIF($M233:T233,"u")=0), "u", "")</f>
        <v/>
      </c>
      <c r="V233" s="80" t="str">
        <f>IF(AND($F233&lt;&gt;"", $F233&gt;=V$5-4, $F233&lt;=V$5, COUNTIF($M233:U233,"u")=0), "u", "")</f>
        <v/>
      </c>
      <c r="W233" s="80" t="str">
        <f>IF(AND($F233&lt;&gt;"", $F233&gt;=W$5-4, $F233&lt;=W$5, COUNTIF($M233:V233,"u")=0), "u", "")</f>
        <v/>
      </c>
      <c r="X233" s="80" t="str">
        <f>IF(AND($F233&lt;&gt;"", $F233&gt;=X$5-4, $F233&lt;=X$5, COUNTIF($M233:W233,"u")=0), "u", "")</f>
        <v/>
      </c>
      <c r="Y233" s="80" t="str">
        <f>IF(AND($F233&lt;&gt;"", $F233&gt;=Y$5-4, $F233&lt;=Y$5, COUNTIF($M233:X233,"u")=0), "u", "")</f>
        <v/>
      </c>
      <c r="Z233" s="80" t="str">
        <f>IF(AND($F233&lt;&gt;"", $F233&gt;=Z$5-4, $F233&lt;=Z$5, COUNTIF($M233:Y233,"u")=0), "u", "")</f>
        <v/>
      </c>
      <c r="AA233" s="80" t="str">
        <f>IF(AND($F233&lt;&gt;"", $F233&gt;=AA$5-4, $F233&lt;=AA$5, COUNTIF($M233:Z233,"u")=0), "u", "")</f>
        <v/>
      </c>
      <c r="AB233" s="80" t="str">
        <f>IF(AND($F233&lt;&gt;"", $F233&gt;=AB$5-4, $F233&lt;=AB$5, COUNTIF($M233:AA233,"u")=0), "u", "")</f>
        <v/>
      </c>
      <c r="AC233" s="80" t="str">
        <f>IF(AND($F233&lt;&gt;"", $F233&gt;=AC$5-4, $F233&lt;=AC$5, COUNTIF($M233:AB233,"u")=0), "u", "")</f>
        <v/>
      </c>
      <c r="AD233" s="80" t="str">
        <f>IF(AND($F233&lt;&gt;"", $F233&gt;=AD$5-4, $F233&lt;=AD$5, COUNTIF($M233:AC233,"u")=0), "u", "")</f>
        <v/>
      </c>
      <c r="AE233" s="80" t="str">
        <f>IF(AND($F233&lt;&gt;"", $F233&gt;=AE$5-4, $F233&lt;=AE$5, COUNTIF($M233:AD233,"u")=0), "u", "")</f>
        <v/>
      </c>
      <c r="AF233" s="80" t="str">
        <f>IF(AND($F233&lt;&gt;"", $F233&gt;=AF$5-4, $F233&lt;=AF$5, COUNTIF($M233:AE233,"u")=0), "u", "")</f>
        <v/>
      </c>
      <c r="AG233" s="80" t="str">
        <f>IF(AND($F233&lt;&gt;"", $F233&gt;=AG$5-4, $F233&lt;=AG$5, COUNTIF($M233:AF233,"u")=0), "u", "")</f>
        <v/>
      </c>
      <c r="AH233" s="80" t="str">
        <f>IF(AND($F233&lt;&gt;"", $F233&gt;=AH$5-4, $F233&lt;=AH$5, COUNTIF($M233:AG233,"u")=0), "u", "")</f>
        <v/>
      </c>
      <c r="AI233" s="80" t="str">
        <f>IF(AND($F233&lt;&gt;"", $F233&gt;=AI$5-4, $F233&lt;=AI$5, COUNTIF($M233:AH233,"u")=0), "u", "")</f>
        <v/>
      </c>
      <c r="AJ233" s="80" t="str">
        <f>IF(AND($F233&lt;&gt;"", $F233&gt;=AJ$5-4, $F233&lt;=AJ$5, COUNTIF($M233:AI233,"u")=0), "u", "")</f>
        <v/>
      </c>
      <c r="AK233" s="80" t="str">
        <f>IF(AND($F233&lt;&gt;"", $F233&gt;=AK$5-4, $F233&lt;=AK$5, COUNTIF($M233:AJ233,"u")=0), "u", "")</f>
        <v/>
      </c>
      <c r="AL233" s="80" t="str">
        <f>IF(AND($F233&lt;&gt;"", $F233&gt;=AL$5-4, $F233&lt;=AL$5, COUNTIF($M233:AK233,"u")=0), "u", "")</f>
        <v/>
      </c>
      <c r="AM233" s="80" t="str">
        <f>IF(AND($F233&lt;&gt;"", $F233&gt;=AM$5-4, $F233&lt;=AM$5, COUNTIF($M233:AL233,"u")=0), "u", "")</f>
        <v/>
      </c>
      <c r="AN233" s="80" t="str">
        <f>IF(AND($F233&lt;&gt;"", $F233&gt;=AN$5-4, $F233&lt;=AN$5, COUNTIF($M233:AM233,"u")=0), "u", "")</f>
        <v/>
      </c>
      <c r="AO233" s="80" t="str">
        <f>IF(AND($F233&lt;&gt;"", $F233&gt;=AO$5-4, $F233&lt;=AO$5, COUNTIF($M233:AN233,"u")=0), "u", "")</f>
        <v/>
      </c>
      <c r="AP233" s="80" t="str">
        <f>IF(AND($F233&lt;&gt;"", $F233&gt;=AP$5-4, $F233&lt;=AP$5, COUNTIF($M233:AO233,"u")=0), "u", "")</f>
        <v/>
      </c>
      <c r="AQ233" s="80" t="str">
        <f>IF(AND($F233&lt;&gt;"", $F233&gt;=AQ$5-4, $F233&lt;=AQ$5, COUNTIF($M233:AP233,"u")=0), "u", "")</f>
        <v/>
      </c>
      <c r="AR233" s="80" t="str">
        <f>IF(AND($F233&lt;&gt;"", $F233&gt;=AR$5-4, $F233&lt;=AR$5, COUNTIF($M233:AQ233,"u")=0), "u", "")</f>
        <v/>
      </c>
      <c r="AS233" s="80" t="str">
        <f>IF(AND($F233&lt;&gt;"", $F233&gt;=AS$5-4, $F233&lt;=AS$5, COUNTIF($M233:AR233,"u")=0), "u", "")</f>
        <v/>
      </c>
      <c r="AT233" s="80" t="str">
        <f>IF(AND($F233&lt;&gt;"", $F233&gt;=AT$5-4, $F233&lt;=AT$5, COUNTIF($M233:AS233,"u")=0), "u", "")</f>
        <v/>
      </c>
      <c r="AU233" s="80" t="str">
        <f>IF(AND($F233&lt;&gt;"", $F233&gt;=AU$5-4, $F233&lt;=AU$5, COUNTIF($M233:AT233,"u")=0), "u", "")</f>
        <v/>
      </c>
      <c r="AV233" s="80" t="str">
        <f>IF(AND($F233&lt;&gt;"", $F233&gt;=AV$5-4, $F233&lt;=AV$5, COUNTIF($M233:AU233,"u")=0), "u", "")</f>
        <v/>
      </c>
      <c r="AW233" s="80" t="str">
        <f>IF(AND($F233&lt;&gt;"", $F233&gt;=AW$5-4, $F233&lt;=AW$5, COUNTIF($M233:AV233,"u")=0), "u", "")</f>
        <v/>
      </c>
      <c r="AX233" s="80" t="str">
        <f>IF(AND($F233&lt;&gt;"", $F233&gt;=AX$5-4, $F233&lt;=AX$5, COUNTIF($M233:AW233,"u")=0), "u", "")</f>
        <v/>
      </c>
      <c r="AY233" s="80" t="str">
        <f>IF(AND($F233&lt;&gt;"", $F233&gt;=AY$5-4, $F233&lt;=AY$5, COUNTIF($M233:AX233,"u")=0), "u", "")</f>
        <v/>
      </c>
      <c r="AZ233" s="80" t="str">
        <f>IF(AND($F233&lt;&gt;"", $F233&gt;=AZ$5-4, $F233&lt;=AZ$5, COUNTIF($M233:AY233,"u")=0), "u", "")</f>
        <v/>
      </c>
      <c r="BA233" s="80" t="str">
        <f>IF(AND($F233&lt;&gt;"", $F233&gt;=BA$5-4, $F233&lt;=BA$5, COUNTIF($M233:AZ233,"u")=0), "u", "")</f>
        <v/>
      </c>
      <c r="BB233" s="80" t="str">
        <f>IF(AND($F233&lt;&gt;"", $F233&gt;=BB$5-4, $F233&lt;=BB$5, COUNTIF($M233:BA233,"u")=0), "u", "")</f>
        <v/>
      </c>
      <c r="BC233" s="80" t="str">
        <f>IF(AND($F233&lt;&gt;"", $F233&gt;=BC$5-4, $F233&lt;=BC$5, COUNTIF($M233:BB233,"u")=0), "u", "")</f>
        <v/>
      </c>
      <c r="BD233" s="80" t="str">
        <f>IF(AND($F233&lt;&gt;"", $F233&gt;=BD$5-4, $F233&lt;=BD$5, COUNTIF($M233:BC233,"u")=0), "u", "")</f>
        <v/>
      </c>
      <c r="BE233" s="80" t="str">
        <f>IF(AND($F233&lt;&gt;"", $F233&gt;=BE$5-4, $F233&lt;=BE$5, COUNTIF($M233:BD233,"u")=0), "u", "")</f>
        <v/>
      </c>
      <c r="BF233" s="80" t="str">
        <f>IF(AND($F233&lt;&gt;"", $F233&gt;=BF$5-4, $F233&lt;=BF$5, COUNTIF($M233:BE233,"u")=0), "u", "")</f>
        <v/>
      </c>
      <c r="BG233" s="80" t="str">
        <f>IF(AND($F233&lt;&gt;"", $F233&gt;=BG$5-4, $F233&lt;=BG$5, COUNTIF($M233:BF233,"u")=0), "u", "")</f>
        <v/>
      </c>
      <c r="BH233" s="80" t="str">
        <f>IF(AND($F233&lt;&gt;"", $F233&gt;=BH$5-4, $F233&lt;=BH$5, COUNTIF($M233:BG233,"u")=0), "u", "")</f>
        <v/>
      </c>
      <c r="BI233" s="80" t="str">
        <f>IF(AND($F233&lt;&gt;"", $F233&gt;=BI$5-4, $F233&lt;=BI$5, COUNTIF($M233:BH233,"u")=0), "u", "")</f>
        <v/>
      </c>
      <c r="BJ233" s="80" t="str">
        <f>IF(AND($F233&lt;&gt;"", $F233&gt;=BJ$5-4, $F233&lt;=BJ$5, COUNTIF($M233:BI233,"u")=0), "u", "")</f>
        <v/>
      </c>
      <c r="BK233" s="80" t="str">
        <f>IF(AND($F233&lt;&gt;"", $F233&gt;=BK$5-4, $F233&lt;=BK$5, COUNTIF($M233:BJ233,"u")=0), "u", "")</f>
        <v/>
      </c>
      <c r="BL233" s="80" t="str">
        <f>IF(AND($F233&lt;&gt;"", $F233&gt;=BL$5-4, $F233&lt;=BL$5, COUNTIF($M233:BK233,"u")=0), "u", "")</f>
        <v/>
      </c>
      <c r="BM233" s="80" t="str">
        <f>IF(AND($F233&lt;&gt;"", $F233&gt;=BM$5-4, $F233&lt;=BM$5, COUNTIF($M233:BL233,"u")=0), "u", "")</f>
        <v/>
      </c>
      <c r="BN233" s="80" t="str">
        <f>IF(AND($F233&lt;&gt;"", $F233&gt;=BN$5-4, $F233&lt;=BN$5, COUNTIF($M233:BM233,"u")=0), "u", "")</f>
        <v/>
      </c>
      <c r="BO233" s="80" t="str">
        <f>IF(AND($F233&lt;&gt;"", $F233&gt;=BO$5-4, $F233&lt;=BO$5, COUNTIF($M233:BN233,"u")=0), "u", "")</f>
        <v/>
      </c>
      <c r="BP233" s="80" t="str">
        <f>IF(AND($F233&lt;&gt;"", $F233&gt;=BP$5-4, $F233&lt;=BP$5, COUNTIF($M233:BO233,"u")=0), "u", "")</f>
        <v/>
      </c>
      <c r="BQ233" s="80" t="str">
        <f>IF(AND($F233&lt;&gt;"", $F233&gt;=BQ$5-4, $F233&lt;=BQ$5, COUNTIF($M233:BP233,"u")=0), "u", "")</f>
        <v/>
      </c>
      <c r="BR233" s="80" t="str">
        <f>IF(AND($F233&lt;&gt;"", $F233&gt;=BR$5-4, $F233&lt;=BR$5, COUNTIF($M233:BQ233,"u")=0), "u", "")</f>
        <v/>
      </c>
      <c r="BS233" s="80" t="str">
        <f>IF(AND($F233&lt;&gt;"", $F233&gt;=BS$5-4, $F233&lt;=BS$5, COUNTIF($M233:BR233,"u")=0), "u", "")</f>
        <v/>
      </c>
      <c r="BT233" s="80" t="str">
        <f>IF(AND($F233&lt;&gt;"", $F233&gt;=BT$5-4, $F233&lt;=BT$5, COUNTIF($M233:BS233,"u")=0), "u", "")</f>
        <v/>
      </c>
      <c r="BU233" s="80" t="str">
        <f>IF(AND($F233&lt;&gt;"", $F233&gt;=BU$5-4, $F233&lt;=BU$5, COUNTIF($M233:BT233,"u")=0), "u", "")</f>
        <v/>
      </c>
      <c r="BV233" s="80" t="str">
        <f>IF(AND($F233&lt;&gt;"", $F233&gt;=BV$5-4, $F233&lt;=BV$5, COUNTIF($M233:BU233,"u")=0), "u", "")</f>
        <v/>
      </c>
      <c r="BW233" s="80" t="str">
        <f>IF(AND($F233&lt;&gt;"", $F233&gt;=BW$5-4, $F233&lt;=BW$5, COUNTIF($M233:BV233,"u")=0), "u", "")</f>
        <v/>
      </c>
      <c r="BX233" s="80" t="str">
        <f>IF(AND($F233&lt;&gt;"", $F233&gt;=BX$5-4, $F233&lt;=BX$5, COUNTIF($M233:BW233,"u")=0), "u", "")</f>
        <v/>
      </c>
      <c r="BY233" s="80" t="str">
        <f>IF(AND($F233&lt;&gt;"", $F233&gt;=BY$5-4, $F233&lt;=BY$5, COUNTIF($M233:BX233,"u")=0), "u", "")</f>
        <v/>
      </c>
      <c r="BZ233" s="80" t="str">
        <f>IF(AND($F233&lt;&gt;"", $F233&gt;=BZ$5-4, $F233&lt;=BZ$5, COUNTIF($M233:BY233,"u")=0), "u", "")</f>
        <v/>
      </c>
      <c r="CA233" s="80" t="str">
        <f>IF(AND($F233&lt;&gt;"", $F233&gt;=CA$5-4, $F233&lt;=CA$5, COUNTIF($M233:BZ233,"u")=0), "u", "")</f>
        <v/>
      </c>
      <c r="CB233" s="80" t="str">
        <f>IF(AND($F233&lt;&gt;"", $F233&gt;=CB$5-4, $F233&lt;=CB$5, COUNTIF($M233:CA233,"u")=0), "u", "")</f>
        <v/>
      </c>
      <c r="CC233" s="80" t="str">
        <f>IF(AND($F233&lt;&gt;"", $F233&gt;=CC$5-4, $F233&lt;=CC$5, COUNTIF($M233:CB233,"u")=0), "u", "")</f>
        <v/>
      </c>
      <c r="CD233" s="80" t="str">
        <f>IF(AND($F233&lt;&gt;"", $F233&gt;=CD$5-4, $F233&lt;=CD$5, COUNTIF($M233:CC233,"u")=0), "u", "")</f>
        <v/>
      </c>
      <c r="CE233" s="80" t="str">
        <f>IF(AND($F233&lt;&gt;"", $F233&gt;=CE$5-4, $F233&lt;=CE$5, COUNTIF($M233:CD233,"u")=0), "u", "")</f>
        <v/>
      </c>
      <c r="CF233" s="80" t="str">
        <f>IF(AND($F233&lt;&gt;"", $F233&gt;=CF$5-4, $F233&lt;=CF$5, COUNTIF($M233:CE233,"u")=0), "u", "")</f>
        <v/>
      </c>
      <c r="CG233" s="80" t="str">
        <f>IF(AND($F233&lt;&gt;"", $F233&gt;=CG$5-4, $F233&lt;=CG$5, COUNTIF($M233:CF233,"u")=0), "u", "")</f>
        <v/>
      </c>
      <c r="CH233" s="80" t="str">
        <f>IF(AND($F233&lt;&gt;"", $F233&gt;=CH$5-4, $F233&lt;=CH$5, COUNTIF($M233:CG233,"u")=0), "u", "")</f>
        <v/>
      </c>
      <c r="CI233" s="80" t="str">
        <f>IF(AND($F233&lt;&gt;"", $F233&gt;=CI$5-4, $F233&lt;=CI$5, COUNTIF($M233:CH233,"u")=0), "u", "")</f>
        <v/>
      </c>
      <c r="CJ233" s="80" t="str">
        <f>IF(AND($F233&lt;&gt;"", $F233&gt;=CJ$5-4, $F233&lt;=CJ$5, COUNTIF($M233:CI233,"u")=0), "u", "")</f>
        <v/>
      </c>
      <c r="CK233" s="80" t="str">
        <f>IF(AND($F233&lt;&gt;"", $F233&gt;=CK$5-4, $F233&lt;=CK$5, COUNTIF($M233:CJ233,"u")=0), "u", "")</f>
        <v/>
      </c>
      <c r="CL233" s="80" t="str">
        <f>IF(AND($F233&lt;&gt;"", $F233&gt;=CL$5-4, $F233&lt;=CL$5, COUNTIF($M233:CK233,"u")=0), "u", "")</f>
        <v/>
      </c>
      <c r="CM233" s="80" t="str">
        <f>IF(AND($F233&lt;&gt;"", $F233&gt;=CM$5-4, $F233&lt;=CM$5, COUNTIF($M233:CL233,"u")=0), "u", "")</f>
        <v/>
      </c>
      <c r="CN233" s="80" t="str">
        <f>IF(AND($F233&lt;&gt;"", $F233&gt;=CN$5-4, $F233&lt;=CN$5, COUNTIF($M233:CM233,"u")=0), "u", "")</f>
        <v/>
      </c>
      <c r="CO233" s="80" t="str">
        <f>IF(AND($F233&lt;&gt;"", $F233&gt;=CO$5-4, $F233&lt;=CO$5, COUNTIF($M233:CN233,"u")=0), "u", "")</f>
        <v/>
      </c>
      <c r="CP233" s="80" t="str">
        <f>IF(AND($F233&lt;&gt;"", $F233&gt;=CP$5-4, $F233&lt;=CP$5, COUNTIF($M233:CO233,"u")=0), "u", "")</f>
        <v/>
      </c>
      <c r="CQ233" s="80" t="str">
        <f>IF(AND($F233&lt;&gt;"", $F233&gt;=CQ$5-4, $F233&lt;=CQ$5, COUNTIF($M233:CP233,"u")=0), "u", "")</f>
        <v/>
      </c>
      <c r="CR233" s="80" t="str">
        <f>IF(AND($F233&lt;&gt;"", $F233&gt;=CR$5-4, $F233&lt;=CR$5, COUNTIF($M233:CQ233,"u")=0), "u", "")</f>
        <v/>
      </c>
      <c r="CS233" s="80" t="str">
        <f>IF(AND($F233&lt;&gt;"", $F233&gt;=CS$5-4, $F233&lt;=CS$5, COUNTIF($M233:CR233,"u")=0), "u", "")</f>
        <v/>
      </c>
      <c r="CT233" s="80" t="str">
        <f>IF(AND($F233&lt;&gt;"", $F233&gt;=CT$5-4, $F233&lt;=CT$5, COUNTIF($M233:CS233,"u")=0), "u", "")</f>
        <v/>
      </c>
      <c r="CU233" s="80" t="str">
        <f>IF(AND($F233&lt;&gt;"", $F233&gt;=CU$5-4, $F233&lt;=CU$5, COUNTIF($M233:CT233,"u")=0), "u", "")</f>
        <v/>
      </c>
      <c r="CV233" s="80" t="str">
        <f>IF(AND($F233&lt;&gt;"", $F233&gt;=CV$5-4, $F233&lt;=CV$5, COUNTIF($M233:CU233,"u")=0), "u", "")</f>
        <v/>
      </c>
      <c r="CW233" s="80" t="str">
        <f>IF(AND($F233&lt;&gt;"", $F233&gt;=CW$5-4, $F233&lt;=CW$5, COUNTIF($M233:CV233,"u")=0), "u", "")</f>
        <v/>
      </c>
      <c r="CX233" s="80" t="str">
        <f>IF(AND($F233&lt;&gt;"", $F233&gt;=CX$5-4, $F233&lt;=CX$5, COUNTIF($M233:CW233,"u")=0), "u", "")</f>
        <v/>
      </c>
      <c r="CY233" s="80" t="str">
        <f>IF(AND($F233&lt;&gt;"", $F233&gt;=CY$5-4, $F233&lt;=CY$5, COUNTIF($M233:CX233,"u")=0), "u", "")</f>
        <v/>
      </c>
      <c r="CZ233" s="80" t="str">
        <f>IF(AND($F233&lt;&gt;"", $F233&gt;=CZ$5-4, $F233&lt;=CZ$5, COUNTIF($M233:CY233,"u")=0), "u", "")</f>
        <v/>
      </c>
      <c r="DA233" s="80" t="str">
        <f>IF(AND($F233&lt;&gt;"", $F233&gt;=DA$5-4, $F233&lt;=DA$5, COUNTIF($M233:CZ233,"u")=0), "u", "")</f>
        <v/>
      </c>
      <c r="DB233" s="80" t="str">
        <f>IF(AND($F233&lt;&gt;"", $F233&gt;=DB$5-4, $F233&lt;=DB$5, COUNTIF($M233:DA233,"u")=0), "u", "")</f>
        <v/>
      </c>
      <c r="DC233" s="80" t="str">
        <f>IF(AND($F233&lt;&gt;"", $F233&gt;=DC$5-4, $F233&lt;=DC$5, COUNTIF($M233:DB233,"u")=0), "u", "")</f>
        <v/>
      </c>
      <c r="DD233" s="80" t="str">
        <f>IF(AND($F233&lt;&gt;"", $F233&gt;=DD$5-4, $F233&lt;=DD$5, COUNTIF($M233:DC233,"u")=0), "u", "")</f>
        <v/>
      </c>
      <c r="DE233" s="80" t="str">
        <f>IF(AND($F233&lt;&gt;"", $F233&gt;=DE$5-4, $F233&lt;=DE$5, COUNTIF($M233:DD233,"u")=0), "u", "")</f>
        <v/>
      </c>
      <c r="DF233" s="80" t="str">
        <f>IF(AND($F233&lt;&gt;"", $F233&gt;=DF$5-4, $F233&lt;=DF$5, COUNTIF($M233:DE233,"u")=0), "u", "")</f>
        <v/>
      </c>
      <c r="DG233" s="80" t="str">
        <f>IF(AND($F233&lt;&gt;"", $F233&gt;=DG$5-4, $F233&lt;=DG$5, COUNTIF($M233:DF233,"u")=0), "u", "")</f>
        <v/>
      </c>
      <c r="DH233" s="80" t="str">
        <f>IF(AND($F233&lt;&gt;"", $F233&gt;=DH$5-4, $F233&lt;=DH$5, COUNTIF($M233:DG233,"u")=0), "u", "")</f>
        <v/>
      </c>
      <c r="DI233" s="80" t="str">
        <f>IF(AND($F233&lt;&gt;"", $F233&gt;=DI$5-4, $F233&lt;=DI$5, COUNTIF($M233:DH233,"u")=0), "u", "")</f>
        <v/>
      </c>
      <c r="DJ233" s="80" t="str">
        <f>IF(AND($F233&lt;&gt;"", $F233&gt;=DJ$5-4, $F233&lt;=DJ$5, COUNTIF($M233:DI233,"u")=0), "u", "")</f>
        <v/>
      </c>
      <c r="DK233" s="80" t="str">
        <f>IF(AND($F233&lt;&gt;"", $F233&gt;=DK$5-4, $F233&lt;=DK$5, COUNTIF($M233:DJ233,"u")=0), "u", "")</f>
        <v/>
      </c>
      <c r="DL233" s="80" t="str">
        <f>IF(AND($F233&lt;&gt;"", $F233&gt;=DL$5-4, $F233&lt;=DL$5, COUNTIF($M233:DK233,"u")=0), "u", "")</f>
        <v/>
      </c>
    </row>
    <row r="234" spans="1:116" ht="25.05" customHeight="1" x14ac:dyDescent="0.3">
      <c r="A234" s="39"/>
      <c r="B234" s="75">
        <v>229</v>
      </c>
      <c r="C234" s="97"/>
      <c r="D234" s="92"/>
      <c r="E234" s="53"/>
      <c r="F234" s="53"/>
      <c r="G234" s="83" t="str">
        <f t="shared" si="56"/>
        <v/>
      </c>
      <c r="H234" s="83" t="str">
        <f t="shared" si="56"/>
        <v/>
      </c>
      <c r="I234" s="77" t="str">
        <f t="shared" si="54"/>
        <v/>
      </c>
      <c r="J234" s="78"/>
      <c r="K234" s="86"/>
      <c r="L234" s="56"/>
      <c r="M234" s="80" t="str">
        <f t="shared" si="55"/>
        <v/>
      </c>
      <c r="N234" s="80" t="str">
        <f>IF(AND($F234&lt;&gt;"", $F234&gt;=N$5-4, $F234&lt;=N$5, COUNTIF($M234:M234,"u")=0), "u", "")</f>
        <v/>
      </c>
      <c r="O234" s="80" t="str">
        <f>IF(AND($F234&lt;&gt;"", $F234&gt;=O$5-4, $F234&lt;=O$5, COUNTIF($M234:N234,"u")=0), "u", "")</f>
        <v/>
      </c>
      <c r="P234" s="80" t="str">
        <f>IF(AND($F234&lt;&gt;"", $F234&gt;=P$5-4, $F234&lt;=P$5, COUNTIF($M234:O234,"u")=0), "u", "")</f>
        <v/>
      </c>
      <c r="Q234" s="80" t="str">
        <f>IF(AND($F234&lt;&gt;"", $F234&gt;=Q$5-4, $F234&lt;=Q$5, COUNTIF($M234:P234,"u")=0), "u", "")</f>
        <v/>
      </c>
      <c r="R234" s="80" t="str">
        <f>IF(AND($F234&lt;&gt;"", $F234&gt;=R$5-4, $F234&lt;=R$5, COUNTIF($M234:Q234,"u")=0), "u", "")</f>
        <v/>
      </c>
      <c r="S234" s="80" t="str">
        <f>IF(AND($F234&lt;&gt;"", $F234&gt;=S$5-4, $F234&lt;=S$5, COUNTIF($M234:R234,"u")=0), "u", "")</f>
        <v/>
      </c>
      <c r="T234" s="80" t="str">
        <f>IF(AND($F234&lt;&gt;"", $F234&gt;=T$5-4, $F234&lt;=T$5, COUNTIF($M234:S234,"u")=0), "u", "")</f>
        <v/>
      </c>
      <c r="U234" s="80" t="str">
        <f>IF(AND($F234&lt;&gt;"", $F234&gt;=U$5-4, $F234&lt;=U$5, COUNTIF($M234:T234,"u")=0), "u", "")</f>
        <v/>
      </c>
      <c r="V234" s="80" t="str">
        <f>IF(AND($F234&lt;&gt;"", $F234&gt;=V$5-4, $F234&lt;=V$5, COUNTIF($M234:U234,"u")=0), "u", "")</f>
        <v/>
      </c>
      <c r="W234" s="80" t="str">
        <f>IF(AND($F234&lt;&gt;"", $F234&gt;=W$5-4, $F234&lt;=W$5, COUNTIF($M234:V234,"u")=0), "u", "")</f>
        <v/>
      </c>
      <c r="X234" s="80" t="str">
        <f>IF(AND($F234&lt;&gt;"", $F234&gt;=X$5-4, $F234&lt;=X$5, COUNTIF($M234:W234,"u")=0), "u", "")</f>
        <v/>
      </c>
      <c r="Y234" s="80" t="str">
        <f>IF(AND($F234&lt;&gt;"", $F234&gt;=Y$5-4, $F234&lt;=Y$5, COUNTIF($M234:X234,"u")=0), "u", "")</f>
        <v/>
      </c>
      <c r="Z234" s="80" t="str">
        <f>IF(AND($F234&lt;&gt;"", $F234&gt;=Z$5-4, $F234&lt;=Z$5, COUNTIF($M234:Y234,"u")=0), "u", "")</f>
        <v/>
      </c>
      <c r="AA234" s="80" t="str">
        <f>IF(AND($F234&lt;&gt;"", $F234&gt;=AA$5-4, $F234&lt;=AA$5, COUNTIF($M234:Z234,"u")=0), "u", "")</f>
        <v/>
      </c>
      <c r="AB234" s="80" t="str">
        <f>IF(AND($F234&lt;&gt;"", $F234&gt;=AB$5-4, $F234&lt;=AB$5, COUNTIF($M234:AA234,"u")=0), "u", "")</f>
        <v/>
      </c>
      <c r="AC234" s="80" t="str">
        <f>IF(AND($F234&lt;&gt;"", $F234&gt;=AC$5-4, $F234&lt;=AC$5, COUNTIF($M234:AB234,"u")=0), "u", "")</f>
        <v/>
      </c>
      <c r="AD234" s="80" t="str">
        <f>IF(AND($F234&lt;&gt;"", $F234&gt;=AD$5-4, $F234&lt;=AD$5, COUNTIF($M234:AC234,"u")=0), "u", "")</f>
        <v/>
      </c>
      <c r="AE234" s="80" t="str">
        <f>IF(AND($F234&lt;&gt;"", $F234&gt;=AE$5-4, $F234&lt;=AE$5, COUNTIF($M234:AD234,"u")=0), "u", "")</f>
        <v/>
      </c>
      <c r="AF234" s="80" t="str">
        <f>IF(AND($F234&lt;&gt;"", $F234&gt;=AF$5-4, $F234&lt;=AF$5, COUNTIF($M234:AE234,"u")=0), "u", "")</f>
        <v/>
      </c>
      <c r="AG234" s="80" t="str">
        <f>IF(AND($F234&lt;&gt;"", $F234&gt;=AG$5-4, $F234&lt;=AG$5, COUNTIF($M234:AF234,"u")=0), "u", "")</f>
        <v/>
      </c>
      <c r="AH234" s="80" t="str">
        <f>IF(AND($F234&lt;&gt;"", $F234&gt;=AH$5-4, $F234&lt;=AH$5, COUNTIF($M234:AG234,"u")=0), "u", "")</f>
        <v/>
      </c>
      <c r="AI234" s="80" t="str">
        <f>IF(AND($F234&lt;&gt;"", $F234&gt;=AI$5-4, $F234&lt;=AI$5, COUNTIF($M234:AH234,"u")=0), "u", "")</f>
        <v/>
      </c>
      <c r="AJ234" s="80" t="str">
        <f>IF(AND($F234&lt;&gt;"", $F234&gt;=AJ$5-4, $F234&lt;=AJ$5, COUNTIF($M234:AI234,"u")=0), "u", "")</f>
        <v/>
      </c>
      <c r="AK234" s="80" t="str">
        <f>IF(AND($F234&lt;&gt;"", $F234&gt;=AK$5-4, $F234&lt;=AK$5, COUNTIF($M234:AJ234,"u")=0), "u", "")</f>
        <v/>
      </c>
      <c r="AL234" s="80" t="str">
        <f>IF(AND($F234&lt;&gt;"", $F234&gt;=AL$5-4, $F234&lt;=AL$5, COUNTIF($M234:AK234,"u")=0), "u", "")</f>
        <v/>
      </c>
      <c r="AM234" s="80" t="str">
        <f>IF(AND($F234&lt;&gt;"", $F234&gt;=AM$5-4, $F234&lt;=AM$5, COUNTIF($M234:AL234,"u")=0), "u", "")</f>
        <v/>
      </c>
      <c r="AN234" s="80" t="str">
        <f>IF(AND($F234&lt;&gt;"", $F234&gt;=AN$5-4, $F234&lt;=AN$5, COUNTIF($M234:AM234,"u")=0), "u", "")</f>
        <v/>
      </c>
      <c r="AO234" s="80" t="str">
        <f>IF(AND($F234&lt;&gt;"", $F234&gt;=AO$5-4, $F234&lt;=AO$5, COUNTIF($M234:AN234,"u")=0), "u", "")</f>
        <v/>
      </c>
      <c r="AP234" s="80" t="str">
        <f>IF(AND($F234&lt;&gt;"", $F234&gt;=AP$5-4, $F234&lt;=AP$5, COUNTIF($M234:AO234,"u")=0), "u", "")</f>
        <v/>
      </c>
      <c r="AQ234" s="80" t="str">
        <f>IF(AND($F234&lt;&gt;"", $F234&gt;=AQ$5-4, $F234&lt;=AQ$5, COUNTIF($M234:AP234,"u")=0), "u", "")</f>
        <v/>
      </c>
      <c r="AR234" s="80" t="str">
        <f>IF(AND($F234&lt;&gt;"", $F234&gt;=AR$5-4, $F234&lt;=AR$5, COUNTIF($M234:AQ234,"u")=0), "u", "")</f>
        <v/>
      </c>
      <c r="AS234" s="80" t="str">
        <f>IF(AND($F234&lt;&gt;"", $F234&gt;=AS$5-4, $F234&lt;=AS$5, COUNTIF($M234:AR234,"u")=0), "u", "")</f>
        <v/>
      </c>
      <c r="AT234" s="80" t="str">
        <f>IF(AND($F234&lt;&gt;"", $F234&gt;=AT$5-4, $F234&lt;=AT$5, COUNTIF($M234:AS234,"u")=0), "u", "")</f>
        <v/>
      </c>
      <c r="AU234" s="80" t="str">
        <f>IF(AND($F234&lt;&gt;"", $F234&gt;=AU$5-4, $F234&lt;=AU$5, COUNTIF($M234:AT234,"u")=0), "u", "")</f>
        <v/>
      </c>
      <c r="AV234" s="80" t="str">
        <f>IF(AND($F234&lt;&gt;"", $F234&gt;=AV$5-4, $F234&lt;=AV$5, COUNTIF($M234:AU234,"u")=0), "u", "")</f>
        <v/>
      </c>
      <c r="AW234" s="80" t="str">
        <f>IF(AND($F234&lt;&gt;"", $F234&gt;=AW$5-4, $F234&lt;=AW$5, COUNTIF($M234:AV234,"u")=0), "u", "")</f>
        <v/>
      </c>
      <c r="AX234" s="80" t="str">
        <f>IF(AND($F234&lt;&gt;"", $F234&gt;=AX$5-4, $F234&lt;=AX$5, COUNTIF($M234:AW234,"u")=0), "u", "")</f>
        <v/>
      </c>
      <c r="AY234" s="80" t="str">
        <f>IF(AND($F234&lt;&gt;"", $F234&gt;=AY$5-4, $F234&lt;=AY$5, COUNTIF($M234:AX234,"u")=0), "u", "")</f>
        <v/>
      </c>
      <c r="AZ234" s="80" t="str">
        <f>IF(AND($F234&lt;&gt;"", $F234&gt;=AZ$5-4, $F234&lt;=AZ$5, COUNTIF($M234:AY234,"u")=0), "u", "")</f>
        <v/>
      </c>
      <c r="BA234" s="80" t="str">
        <f>IF(AND($F234&lt;&gt;"", $F234&gt;=BA$5-4, $F234&lt;=BA$5, COUNTIF($M234:AZ234,"u")=0), "u", "")</f>
        <v/>
      </c>
      <c r="BB234" s="80" t="str">
        <f>IF(AND($F234&lt;&gt;"", $F234&gt;=BB$5-4, $F234&lt;=BB$5, COUNTIF($M234:BA234,"u")=0), "u", "")</f>
        <v/>
      </c>
      <c r="BC234" s="80" t="str">
        <f>IF(AND($F234&lt;&gt;"", $F234&gt;=BC$5-4, $F234&lt;=BC$5, COUNTIF($M234:BB234,"u")=0), "u", "")</f>
        <v/>
      </c>
      <c r="BD234" s="80" t="str">
        <f>IF(AND($F234&lt;&gt;"", $F234&gt;=BD$5-4, $F234&lt;=BD$5, COUNTIF($M234:BC234,"u")=0), "u", "")</f>
        <v/>
      </c>
      <c r="BE234" s="80" t="str">
        <f>IF(AND($F234&lt;&gt;"", $F234&gt;=BE$5-4, $F234&lt;=BE$5, COUNTIF($M234:BD234,"u")=0), "u", "")</f>
        <v/>
      </c>
      <c r="BF234" s="80" t="str">
        <f>IF(AND($F234&lt;&gt;"", $F234&gt;=BF$5-4, $F234&lt;=BF$5, COUNTIF($M234:BE234,"u")=0), "u", "")</f>
        <v/>
      </c>
      <c r="BG234" s="80" t="str">
        <f>IF(AND($F234&lt;&gt;"", $F234&gt;=BG$5-4, $F234&lt;=BG$5, COUNTIF($M234:BF234,"u")=0), "u", "")</f>
        <v/>
      </c>
      <c r="BH234" s="80" t="str">
        <f>IF(AND($F234&lt;&gt;"", $F234&gt;=BH$5-4, $F234&lt;=BH$5, COUNTIF($M234:BG234,"u")=0), "u", "")</f>
        <v/>
      </c>
      <c r="BI234" s="80" t="str">
        <f>IF(AND($F234&lt;&gt;"", $F234&gt;=BI$5-4, $F234&lt;=BI$5, COUNTIF($M234:BH234,"u")=0), "u", "")</f>
        <v/>
      </c>
      <c r="BJ234" s="80" t="str">
        <f>IF(AND($F234&lt;&gt;"", $F234&gt;=BJ$5-4, $F234&lt;=BJ$5, COUNTIF($M234:BI234,"u")=0), "u", "")</f>
        <v/>
      </c>
      <c r="BK234" s="80" t="str">
        <f>IF(AND($F234&lt;&gt;"", $F234&gt;=BK$5-4, $F234&lt;=BK$5, COUNTIF($M234:BJ234,"u")=0), "u", "")</f>
        <v/>
      </c>
      <c r="BL234" s="80" t="str">
        <f>IF(AND($F234&lt;&gt;"", $F234&gt;=BL$5-4, $F234&lt;=BL$5, COUNTIF($M234:BK234,"u")=0), "u", "")</f>
        <v/>
      </c>
      <c r="BM234" s="80" t="str">
        <f>IF(AND($F234&lt;&gt;"", $F234&gt;=BM$5-4, $F234&lt;=BM$5, COUNTIF($M234:BL234,"u")=0), "u", "")</f>
        <v/>
      </c>
      <c r="BN234" s="80" t="str">
        <f>IF(AND($F234&lt;&gt;"", $F234&gt;=BN$5-4, $F234&lt;=BN$5, COUNTIF($M234:BM234,"u")=0), "u", "")</f>
        <v/>
      </c>
      <c r="BO234" s="80" t="str">
        <f>IF(AND($F234&lt;&gt;"", $F234&gt;=BO$5-4, $F234&lt;=BO$5, COUNTIF($M234:BN234,"u")=0), "u", "")</f>
        <v/>
      </c>
      <c r="BP234" s="80" t="str">
        <f>IF(AND($F234&lt;&gt;"", $F234&gt;=BP$5-4, $F234&lt;=BP$5, COUNTIF($M234:BO234,"u")=0), "u", "")</f>
        <v/>
      </c>
      <c r="BQ234" s="80" t="str">
        <f>IF(AND($F234&lt;&gt;"", $F234&gt;=BQ$5-4, $F234&lt;=BQ$5, COUNTIF($M234:BP234,"u")=0), "u", "")</f>
        <v/>
      </c>
      <c r="BR234" s="80" t="str">
        <f>IF(AND($F234&lt;&gt;"", $F234&gt;=BR$5-4, $F234&lt;=BR$5, COUNTIF($M234:BQ234,"u")=0), "u", "")</f>
        <v/>
      </c>
      <c r="BS234" s="80" t="str">
        <f>IF(AND($F234&lt;&gt;"", $F234&gt;=BS$5-4, $F234&lt;=BS$5, COUNTIF($M234:BR234,"u")=0), "u", "")</f>
        <v/>
      </c>
      <c r="BT234" s="80" t="str">
        <f>IF(AND($F234&lt;&gt;"", $F234&gt;=BT$5-4, $F234&lt;=BT$5, COUNTIF($M234:BS234,"u")=0), "u", "")</f>
        <v/>
      </c>
      <c r="BU234" s="80" t="str">
        <f>IF(AND($F234&lt;&gt;"", $F234&gt;=BU$5-4, $F234&lt;=BU$5, COUNTIF($M234:BT234,"u")=0), "u", "")</f>
        <v/>
      </c>
      <c r="BV234" s="80" t="str">
        <f>IF(AND($F234&lt;&gt;"", $F234&gt;=BV$5-4, $F234&lt;=BV$5, COUNTIF($M234:BU234,"u")=0), "u", "")</f>
        <v/>
      </c>
      <c r="BW234" s="80" t="str">
        <f>IF(AND($F234&lt;&gt;"", $F234&gt;=BW$5-4, $F234&lt;=BW$5, COUNTIF($M234:BV234,"u")=0), "u", "")</f>
        <v/>
      </c>
      <c r="BX234" s="80" t="str">
        <f>IF(AND($F234&lt;&gt;"", $F234&gt;=BX$5-4, $F234&lt;=BX$5, COUNTIF($M234:BW234,"u")=0), "u", "")</f>
        <v/>
      </c>
      <c r="BY234" s="80" t="str">
        <f>IF(AND($F234&lt;&gt;"", $F234&gt;=BY$5-4, $F234&lt;=BY$5, COUNTIF($M234:BX234,"u")=0), "u", "")</f>
        <v/>
      </c>
      <c r="BZ234" s="80" t="str">
        <f>IF(AND($F234&lt;&gt;"", $F234&gt;=BZ$5-4, $F234&lt;=BZ$5, COUNTIF($M234:BY234,"u")=0), "u", "")</f>
        <v/>
      </c>
      <c r="CA234" s="80" t="str">
        <f>IF(AND($F234&lt;&gt;"", $F234&gt;=CA$5-4, $F234&lt;=CA$5, COUNTIF($M234:BZ234,"u")=0), "u", "")</f>
        <v/>
      </c>
      <c r="CB234" s="80" t="str">
        <f>IF(AND($F234&lt;&gt;"", $F234&gt;=CB$5-4, $F234&lt;=CB$5, COUNTIF($M234:CA234,"u")=0), "u", "")</f>
        <v/>
      </c>
      <c r="CC234" s="80" t="str">
        <f>IF(AND($F234&lt;&gt;"", $F234&gt;=CC$5-4, $F234&lt;=CC$5, COUNTIF($M234:CB234,"u")=0), "u", "")</f>
        <v/>
      </c>
      <c r="CD234" s="80" t="str">
        <f>IF(AND($F234&lt;&gt;"", $F234&gt;=CD$5-4, $F234&lt;=CD$5, COUNTIF($M234:CC234,"u")=0), "u", "")</f>
        <v/>
      </c>
      <c r="CE234" s="80" t="str">
        <f>IF(AND($F234&lt;&gt;"", $F234&gt;=CE$5-4, $F234&lt;=CE$5, COUNTIF($M234:CD234,"u")=0), "u", "")</f>
        <v/>
      </c>
      <c r="CF234" s="80" t="str">
        <f>IF(AND($F234&lt;&gt;"", $F234&gt;=CF$5-4, $F234&lt;=CF$5, COUNTIF($M234:CE234,"u")=0), "u", "")</f>
        <v/>
      </c>
      <c r="CG234" s="80" t="str">
        <f>IF(AND($F234&lt;&gt;"", $F234&gt;=CG$5-4, $F234&lt;=CG$5, COUNTIF($M234:CF234,"u")=0), "u", "")</f>
        <v/>
      </c>
      <c r="CH234" s="80" t="str">
        <f>IF(AND($F234&lt;&gt;"", $F234&gt;=CH$5-4, $F234&lt;=CH$5, COUNTIF($M234:CG234,"u")=0), "u", "")</f>
        <v/>
      </c>
      <c r="CI234" s="80" t="str">
        <f>IF(AND($F234&lt;&gt;"", $F234&gt;=CI$5-4, $F234&lt;=CI$5, COUNTIF($M234:CH234,"u")=0), "u", "")</f>
        <v/>
      </c>
      <c r="CJ234" s="80" t="str">
        <f>IF(AND($F234&lt;&gt;"", $F234&gt;=CJ$5-4, $F234&lt;=CJ$5, COUNTIF($M234:CI234,"u")=0), "u", "")</f>
        <v/>
      </c>
      <c r="CK234" s="80" t="str">
        <f>IF(AND($F234&lt;&gt;"", $F234&gt;=CK$5-4, $F234&lt;=CK$5, COUNTIF($M234:CJ234,"u")=0), "u", "")</f>
        <v/>
      </c>
      <c r="CL234" s="80" t="str">
        <f>IF(AND($F234&lt;&gt;"", $F234&gt;=CL$5-4, $F234&lt;=CL$5, COUNTIF($M234:CK234,"u")=0), "u", "")</f>
        <v/>
      </c>
      <c r="CM234" s="80" t="str">
        <f>IF(AND($F234&lt;&gt;"", $F234&gt;=CM$5-4, $F234&lt;=CM$5, COUNTIF($M234:CL234,"u")=0), "u", "")</f>
        <v/>
      </c>
      <c r="CN234" s="80" t="str">
        <f>IF(AND($F234&lt;&gt;"", $F234&gt;=CN$5-4, $F234&lt;=CN$5, COUNTIF($M234:CM234,"u")=0), "u", "")</f>
        <v/>
      </c>
      <c r="CO234" s="80" t="str">
        <f>IF(AND($F234&lt;&gt;"", $F234&gt;=CO$5-4, $F234&lt;=CO$5, COUNTIF($M234:CN234,"u")=0), "u", "")</f>
        <v/>
      </c>
      <c r="CP234" s="80" t="str">
        <f>IF(AND($F234&lt;&gt;"", $F234&gt;=CP$5-4, $F234&lt;=CP$5, COUNTIF($M234:CO234,"u")=0), "u", "")</f>
        <v/>
      </c>
      <c r="CQ234" s="80" t="str">
        <f>IF(AND($F234&lt;&gt;"", $F234&gt;=CQ$5-4, $F234&lt;=CQ$5, COUNTIF($M234:CP234,"u")=0), "u", "")</f>
        <v/>
      </c>
      <c r="CR234" s="80" t="str">
        <f>IF(AND($F234&lt;&gt;"", $F234&gt;=CR$5-4, $F234&lt;=CR$5, COUNTIF($M234:CQ234,"u")=0), "u", "")</f>
        <v/>
      </c>
      <c r="CS234" s="80" t="str">
        <f>IF(AND($F234&lt;&gt;"", $F234&gt;=CS$5-4, $F234&lt;=CS$5, COUNTIF($M234:CR234,"u")=0), "u", "")</f>
        <v/>
      </c>
      <c r="CT234" s="80" t="str">
        <f>IF(AND($F234&lt;&gt;"", $F234&gt;=CT$5-4, $F234&lt;=CT$5, COUNTIF($M234:CS234,"u")=0), "u", "")</f>
        <v/>
      </c>
      <c r="CU234" s="80" t="str">
        <f>IF(AND($F234&lt;&gt;"", $F234&gt;=CU$5-4, $F234&lt;=CU$5, COUNTIF($M234:CT234,"u")=0), "u", "")</f>
        <v/>
      </c>
      <c r="CV234" s="80" t="str">
        <f>IF(AND($F234&lt;&gt;"", $F234&gt;=CV$5-4, $F234&lt;=CV$5, COUNTIF($M234:CU234,"u")=0), "u", "")</f>
        <v/>
      </c>
      <c r="CW234" s="80" t="str">
        <f>IF(AND($F234&lt;&gt;"", $F234&gt;=CW$5-4, $F234&lt;=CW$5, COUNTIF($M234:CV234,"u")=0), "u", "")</f>
        <v/>
      </c>
      <c r="CX234" s="80" t="str">
        <f>IF(AND($F234&lt;&gt;"", $F234&gt;=CX$5-4, $F234&lt;=CX$5, COUNTIF($M234:CW234,"u")=0), "u", "")</f>
        <v/>
      </c>
      <c r="CY234" s="80" t="str">
        <f>IF(AND($F234&lt;&gt;"", $F234&gt;=CY$5-4, $F234&lt;=CY$5, COUNTIF($M234:CX234,"u")=0), "u", "")</f>
        <v/>
      </c>
      <c r="CZ234" s="80" t="str">
        <f>IF(AND($F234&lt;&gt;"", $F234&gt;=CZ$5-4, $F234&lt;=CZ$5, COUNTIF($M234:CY234,"u")=0), "u", "")</f>
        <v/>
      </c>
      <c r="DA234" s="80" t="str">
        <f>IF(AND($F234&lt;&gt;"", $F234&gt;=DA$5-4, $F234&lt;=DA$5, COUNTIF($M234:CZ234,"u")=0), "u", "")</f>
        <v/>
      </c>
      <c r="DB234" s="80" t="str">
        <f>IF(AND($F234&lt;&gt;"", $F234&gt;=DB$5-4, $F234&lt;=DB$5, COUNTIF($M234:DA234,"u")=0), "u", "")</f>
        <v/>
      </c>
      <c r="DC234" s="80" t="str">
        <f>IF(AND($F234&lt;&gt;"", $F234&gt;=DC$5-4, $F234&lt;=DC$5, COUNTIF($M234:DB234,"u")=0), "u", "")</f>
        <v/>
      </c>
      <c r="DD234" s="80" t="str">
        <f>IF(AND($F234&lt;&gt;"", $F234&gt;=DD$5-4, $F234&lt;=DD$5, COUNTIF($M234:DC234,"u")=0), "u", "")</f>
        <v/>
      </c>
      <c r="DE234" s="80" t="str">
        <f>IF(AND($F234&lt;&gt;"", $F234&gt;=DE$5-4, $F234&lt;=DE$5, COUNTIF($M234:DD234,"u")=0), "u", "")</f>
        <v/>
      </c>
      <c r="DF234" s="80" t="str">
        <f>IF(AND($F234&lt;&gt;"", $F234&gt;=DF$5-4, $F234&lt;=DF$5, COUNTIF($M234:DE234,"u")=0), "u", "")</f>
        <v/>
      </c>
      <c r="DG234" s="80" t="str">
        <f>IF(AND($F234&lt;&gt;"", $F234&gt;=DG$5-4, $F234&lt;=DG$5, COUNTIF($M234:DF234,"u")=0), "u", "")</f>
        <v/>
      </c>
      <c r="DH234" s="80" t="str">
        <f>IF(AND($F234&lt;&gt;"", $F234&gt;=DH$5-4, $F234&lt;=DH$5, COUNTIF($M234:DG234,"u")=0), "u", "")</f>
        <v/>
      </c>
      <c r="DI234" s="80" t="str">
        <f>IF(AND($F234&lt;&gt;"", $F234&gt;=DI$5-4, $F234&lt;=DI$5, COUNTIF($M234:DH234,"u")=0), "u", "")</f>
        <v/>
      </c>
      <c r="DJ234" s="80" t="str">
        <f>IF(AND($F234&lt;&gt;"", $F234&gt;=DJ$5-4, $F234&lt;=DJ$5, COUNTIF($M234:DI234,"u")=0), "u", "")</f>
        <v/>
      </c>
      <c r="DK234" s="80" t="str">
        <f>IF(AND($F234&lt;&gt;"", $F234&gt;=DK$5-4, $F234&lt;=DK$5, COUNTIF($M234:DJ234,"u")=0), "u", "")</f>
        <v/>
      </c>
      <c r="DL234" s="80" t="str">
        <f>IF(AND($F234&lt;&gt;"", $F234&gt;=DL$5-4, $F234&lt;=DL$5, COUNTIF($M234:DK234,"u")=0), "u", "")</f>
        <v/>
      </c>
    </row>
    <row r="235" spans="1:116" ht="25.05" customHeight="1" x14ac:dyDescent="0.3">
      <c r="A235" s="39"/>
      <c r="B235" s="75">
        <v>230</v>
      </c>
      <c r="C235" s="97"/>
      <c r="D235" s="92"/>
      <c r="E235" s="53"/>
      <c r="F235" s="53"/>
      <c r="G235" s="83" t="str">
        <f t="shared" si="56"/>
        <v/>
      </c>
      <c r="H235" s="83" t="str">
        <f t="shared" si="56"/>
        <v/>
      </c>
      <c r="I235" s="77" t="str">
        <f t="shared" si="54"/>
        <v/>
      </c>
      <c r="J235" s="78"/>
      <c r="K235" s="86"/>
      <c r="L235" s="56"/>
      <c r="M235" s="80" t="str">
        <f t="shared" si="55"/>
        <v/>
      </c>
      <c r="N235" s="80" t="str">
        <f>IF(AND($F235&lt;&gt;"", $F235&gt;=N$5-4, $F235&lt;=N$5, COUNTIF($M235:M235,"u")=0), "u", "")</f>
        <v/>
      </c>
      <c r="O235" s="80" t="str">
        <f>IF(AND($F235&lt;&gt;"", $F235&gt;=O$5-4, $F235&lt;=O$5, COUNTIF($M235:N235,"u")=0), "u", "")</f>
        <v/>
      </c>
      <c r="P235" s="80" t="str">
        <f>IF(AND($F235&lt;&gt;"", $F235&gt;=P$5-4, $F235&lt;=P$5, COUNTIF($M235:O235,"u")=0), "u", "")</f>
        <v/>
      </c>
      <c r="Q235" s="80" t="str">
        <f>IF(AND($F235&lt;&gt;"", $F235&gt;=Q$5-4, $F235&lt;=Q$5, COUNTIF($M235:P235,"u")=0), "u", "")</f>
        <v/>
      </c>
      <c r="R235" s="80" t="str">
        <f>IF(AND($F235&lt;&gt;"", $F235&gt;=R$5-4, $F235&lt;=R$5, COUNTIF($M235:Q235,"u")=0), "u", "")</f>
        <v/>
      </c>
      <c r="S235" s="80" t="str">
        <f>IF(AND($F235&lt;&gt;"", $F235&gt;=S$5-4, $F235&lt;=S$5, COUNTIF($M235:R235,"u")=0), "u", "")</f>
        <v/>
      </c>
      <c r="T235" s="80" t="str">
        <f>IF(AND($F235&lt;&gt;"", $F235&gt;=T$5-4, $F235&lt;=T$5, COUNTIF($M235:S235,"u")=0), "u", "")</f>
        <v/>
      </c>
      <c r="U235" s="80" t="str">
        <f>IF(AND($F235&lt;&gt;"", $F235&gt;=U$5-4, $F235&lt;=U$5, COUNTIF($M235:T235,"u")=0), "u", "")</f>
        <v/>
      </c>
      <c r="V235" s="80" t="str">
        <f>IF(AND($F235&lt;&gt;"", $F235&gt;=V$5-4, $F235&lt;=V$5, COUNTIF($M235:U235,"u")=0), "u", "")</f>
        <v/>
      </c>
      <c r="W235" s="80" t="str">
        <f>IF(AND($F235&lt;&gt;"", $F235&gt;=W$5-4, $F235&lt;=W$5, COUNTIF($M235:V235,"u")=0), "u", "")</f>
        <v/>
      </c>
      <c r="X235" s="80" t="str">
        <f>IF(AND($F235&lt;&gt;"", $F235&gt;=X$5-4, $F235&lt;=X$5, COUNTIF($M235:W235,"u")=0), "u", "")</f>
        <v/>
      </c>
      <c r="Y235" s="80" t="str">
        <f>IF(AND($F235&lt;&gt;"", $F235&gt;=Y$5-4, $F235&lt;=Y$5, COUNTIF($M235:X235,"u")=0), "u", "")</f>
        <v/>
      </c>
      <c r="Z235" s="80" t="str">
        <f>IF(AND($F235&lt;&gt;"", $F235&gt;=Z$5-4, $F235&lt;=Z$5, COUNTIF($M235:Y235,"u")=0), "u", "")</f>
        <v/>
      </c>
      <c r="AA235" s="80" t="str">
        <f>IF(AND($F235&lt;&gt;"", $F235&gt;=AA$5-4, $F235&lt;=AA$5, COUNTIF($M235:Z235,"u")=0), "u", "")</f>
        <v/>
      </c>
      <c r="AB235" s="80" t="str">
        <f>IF(AND($F235&lt;&gt;"", $F235&gt;=AB$5-4, $F235&lt;=AB$5, COUNTIF($M235:AA235,"u")=0), "u", "")</f>
        <v/>
      </c>
      <c r="AC235" s="80" t="str">
        <f>IF(AND($F235&lt;&gt;"", $F235&gt;=AC$5-4, $F235&lt;=AC$5, COUNTIF($M235:AB235,"u")=0), "u", "")</f>
        <v/>
      </c>
      <c r="AD235" s="80" t="str">
        <f>IF(AND($F235&lt;&gt;"", $F235&gt;=AD$5-4, $F235&lt;=AD$5, COUNTIF($M235:AC235,"u")=0), "u", "")</f>
        <v/>
      </c>
      <c r="AE235" s="80" t="str">
        <f>IF(AND($F235&lt;&gt;"", $F235&gt;=AE$5-4, $F235&lt;=AE$5, COUNTIF($M235:AD235,"u")=0), "u", "")</f>
        <v/>
      </c>
      <c r="AF235" s="80" t="str">
        <f>IF(AND($F235&lt;&gt;"", $F235&gt;=AF$5-4, $F235&lt;=AF$5, COUNTIF($M235:AE235,"u")=0), "u", "")</f>
        <v/>
      </c>
      <c r="AG235" s="80" t="str">
        <f>IF(AND($F235&lt;&gt;"", $F235&gt;=AG$5-4, $F235&lt;=AG$5, COUNTIF($M235:AF235,"u")=0), "u", "")</f>
        <v/>
      </c>
      <c r="AH235" s="80" t="str">
        <f>IF(AND($F235&lt;&gt;"", $F235&gt;=AH$5-4, $F235&lt;=AH$5, COUNTIF($M235:AG235,"u")=0), "u", "")</f>
        <v/>
      </c>
      <c r="AI235" s="80" t="str">
        <f>IF(AND($F235&lt;&gt;"", $F235&gt;=AI$5-4, $F235&lt;=AI$5, COUNTIF($M235:AH235,"u")=0), "u", "")</f>
        <v/>
      </c>
      <c r="AJ235" s="80" t="str">
        <f>IF(AND($F235&lt;&gt;"", $F235&gt;=AJ$5-4, $F235&lt;=AJ$5, COUNTIF($M235:AI235,"u")=0), "u", "")</f>
        <v/>
      </c>
      <c r="AK235" s="80" t="str">
        <f>IF(AND($F235&lt;&gt;"", $F235&gt;=AK$5-4, $F235&lt;=AK$5, COUNTIF($M235:AJ235,"u")=0), "u", "")</f>
        <v/>
      </c>
      <c r="AL235" s="80" t="str">
        <f>IF(AND($F235&lt;&gt;"", $F235&gt;=AL$5-4, $F235&lt;=AL$5, COUNTIF($M235:AK235,"u")=0), "u", "")</f>
        <v/>
      </c>
      <c r="AM235" s="80" t="str">
        <f>IF(AND($F235&lt;&gt;"", $F235&gt;=AM$5-4, $F235&lt;=AM$5, COUNTIF($M235:AL235,"u")=0), "u", "")</f>
        <v/>
      </c>
      <c r="AN235" s="80" t="str">
        <f>IF(AND($F235&lt;&gt;"", $F235&gt;=AN$5-4, $F235&lt;=AN$5, COUNTIF($M235:AM235,"u")=0), "u", "")</f>
        <v/>
      </c>
      <c r="AO235" s="80" t="str">
        <f>IF(AND($F235&lt;&gt;"", $F235&gt;=AO$5-4, $F235&lt;=AO$5, COUNTIF($M235:AN235,"u")=0), "u", "")</f>
        <v/>
      </c>
      <c r="AP235" s="80" t="str">
        <f>IF(AND($F235&lt;&gt;"", $F235&gt;=AP$5-4, $F235&lt;=AP$5, COUNTIF($M235:AO235,"u")=0), "u", "")</f>
        <v/>
      </c>
      <c r="AQ235" s="80" t="str">
        <f>IF(AND($F235&lt;&gt;"", $F235&gt;=AQ$5-4, $F235&lt;=AQ$5, COUNTIF($M235:AP235,"u")=0), "u", "")</f>
        <v/>
      </c>
      <c r="AR235" s="80" t="str">
        <f>IF(AND($F235&lt;&gt;"", $F235&gt;=AR$5-4, $F235&lt;=AR$5, COUNTIF($M235:AQ235,"u")=0), "u", "")</f>
        <v/>
      </c>
      <c r="AS235" s="80" t="str">
        <f>IF(AND($F235&lt;&gt;"", $F235&gt;=AS$5-4, $F235&lt;=AS$5, COUNTIF($M235:AR235,"u")=0), "u", "")</f>
        <v/>
      </c>
      <c r="AT235" s="80" t="str">
        <f>IF(AND($F235&lt;&gt;"", $F235&gt;=AT$5-4, $F235&lt;=AT$5, COUNTIF($M235:AS235,"u")=0), "u", "")</f>
        <v/>
      </c>
      <c r="AU235" s="80" t="str">
        <f>IF(AND($F235&lt;&gt;"", $F235&gt;=AU$5-4, $F235&lt;=AU$5, COUNTIF($M235:AT235,"u")=0), "u", "")</f>
        <v/>
      </c>
      <c r="AV235" s="80" t="str">
        <f>IF(AND($F235&lt;&gt;"", $F235&gt;=AV$5-4, $F235&lt;=AV$5, COUNTIF($M235:AU235,"u")=0), "u", "")</f>
        <v/>
      </c>
      <c r="AW235" s="80" t="str">
        <f>IF(AND($F235&lt;&gt;"", $F235&gt;=AW$5-4, $F235&lt;=AW$5, COUNTIF($M235:AV235,"u")=0), "u", "")</f>
        <v/>
      </c>
      <c r="AX235" s="80" t="str">
        <f>IF(AND($F235&lt;&gt;"", $F235&gt;=AX$5-4, $F235&lt;=AX$5, COUNTIF($M235:AW235,"u")=0), "u", "")</f>
        <v/>
      </c>
      <c r="AY235" s="80" t="str">
        <f>IF(AND($F235&lt;&gt;"", $F235&gt;=AY$5-4, $F235&lt;=AY$5, COUNTIF($M235:AX235,"u")=0), "u", "")</f>
        <v/>
      </c>
      <c r="AZ235" s="80" t="str">
        <f>IF(AND($F235&lt;&gt;"", $F235&gt;=AZ$5-4, $F235&lt;=AZ$5, COUNTIF($M235:AY235,"u")=0), "u", "")</f>
        <v/>
      </c>
      <c r="BA235" s="80" t="str">
        <f>IF(AND($F235&lt;&gt;"", $F235&gt;=BA$5-4, $F235&lt;=BA$5, COUNTIF($M235:AZ235,"u")=0), "u", "")</f>
        <v/>
      </c>
      <c r="BB235" s="80" t="str">
        <f>IF(AND($F235&lt;&gt;"", $F235&gt;=BB$5-4, $F235&lt;=BB$5, COUNTIF($M235:BA235,"u")=0), "u", "")</f>
        <v/>
      </c>
      <c r="BC235" s="80" t="str">
        <f>IF(AND($F235&lt;&gt;"", $F235&gt;=BC$5-4, $F235&lt;=BC$5, COUNTIF($M235:BB235,"u")=0), "u", "")</f>
        <v/>
      </c>
      <c r="BD235" s="80" t="str">
        <f>IF(AND($F235&lt;&gt;"", $F235&gt;=BD$5-4, $F235&lt;=BD$5, COUNTIF($M235:BC235,"u")=0), "u", "")</f>
        <v/>
      </c>
      <c r="BE235" s="80" t="str">
        <f>IF(AND($F235&lt;&gt;"", $F235&gt;=BE$5-4, $F235&lt;=BE$5, COUNTIF($M235:BD235,"u")=0), "u", "")</f>
        <v/>
      </c>
      <c r="BF235" s="80" t="str">
        <f>IF(AND($F235&lt;&gt;"", $F235&gt;=BF$5-4, $F235&lt;=BF$5, COUNTIF($M235:BE235,"u")=0), "u", "")</f>
        <v/>
      </c>
      <c r="BG235" s="80" t="str">
        <f>IF(AND($F235&lt;&gt;"", $F235&gt;=BG$5-4, $F235&lt;=BG$5, COUNTIF($M235:BF235,"u")=0), "u", "")</f>
        <v/>
      </c>
      <c r="BH235" s="80" t="str">
        <f>IF(AND($F235&lt;&gt;"", $F235&gt;=BH$5-4, $F235&lt;=BH$5, COUNTIF($M235:BG235,"u")=0), "u", "")</f>
        <v/>
      </c>
      <c r="BI235" s="80" t="str">
        <f>IF(AND($F235&lt;&gt;"", $F235&gt;=BI$5-4, $F235&lt;=BI$5, COUNTIF($M235:BH235,"u")=0), "u", "")</f>
        <v/>
      </c>
      <c r="BJ235" s="80" t="str">
        <f>IF(AND($F235&lt;&gt;"", $F235&gt;=BJ$5-4, $F235&lt;=BJ$5, COUNTIF($M235:BI235,"u")=0), "u", "")</f>
        <v/>
      </c>
      <c r="BK235" s="80" t="str">
        <f>IF(AND($F235&lt;&gt;"", $F235&gt;=BK$5-4, $F235&lt;=BK$5, COUNTIF($M235:BJ235,"u")=0), "u", "")</f>
        <v/>
      </c>
      <c r="BL235" s="80" t="str">
        <f>IF(AND($F235&lt;&gt;"", $F235&gt;=BL$5-4, $F235&lt;=BL$5, COUNTIF($M235:BK235,"u")=0), "u", "")</f>
        <v/>
      </c>
      <c r="BM235" s="80" t="str">
        <f>IF(AND($F235&lt;&gt;"", $F235&gt;=BM$5-4, $F235&lt;=BM$5, COUNTIF($M235:BL235,"u")=0), "u", "")</f>
        <v/>
      </c>
      <c r="BN235" s="80" t="str">
        <f>IF(AND($F235&lt;&gt;"", $F235&gt;=BN$5-4, $F235&lt;=BN$5, COUNTIF($M235:BM235,"u")=0), "u", "")</f>
        <v/>
      </c>
      <c r="BO235" s="80" t="str">
        <f>IF(AND($F235&lt;&gt;"", $F235&gt;=BO$5-4, $F235&lt;=BO$5, COUNTIF($M235:BN235,"u")=0), "u", "")</f>
        <v/>
      </c>
      <c r="BP235" s="80" t="str">
        <f>IF(AND($F235&lt;&gt;"", $F235&gt;=BP$5-4, $F235&lt;=BP$5, COUNTIF($M235:BO235,"u")=0), "u", "")</f>
        <v/>
      </c>
      <c r="BQ235" s="80" t="str">
        <f>IF(AND($F235&lt;&gt;"", $F235&gt;=BQ$5-4, $F235&lt;=BQ$5, COUNTIF($M235:BP235,"u")=0), "u", "")</f>
        <v/>
      </c>
      <c r="BR235" s="80" t="str">
        <f>IF(AND($F235&lt;&gt;"", $F235&gt;=BR$5-4, $F235&lt;=BR$5, COUNTIF($M235:BQ235,"u")=0), "u", "")</f>
        <v/>
      </c>
      <c r="BS235" s="80" t="str">
        <f>IF(AND($F235&lt;&gt;"", $F235&gt;=BS$5-4, $F235&lt;=BS$5, COUNTIF($M235:BR235,"u")=0), "u", "")</f>
        <v/>
      </c>
      <c r="BT235" s="80" t="str">
        <f>IF(AND($F235&lt;&gt;"", $F235&gt;=BT$5-4, $F235&lt;=BT$5, COUNTIF($M235:BS235,"u")=0), "u", "")</f>
        <v/>
      </c>
      <c r="BU235" s="80" t="str">
        <f>IF(AND($F235&lt;&gt;"", $F235&gt;=BU$5-4, $F235&lt;=BU$5, COUNTIF($M235:BT235,"u")=0), "u", "")</f>
        <v/>
      </c>
      <c r="BV235" s="80" t="str">
        <f>IF(AND($F235&lt;&gt;"", $F235&gt;=BV$5-4, $F235&lt;=BV$5, COUNTIF($M235:BU235,"u")=0), "u", "")</f>
        <v/>
      </c>
      <c r="BW235" s="80" t="str">
        <f>IF(AND($F235&lt;&gt;"", $F235&gt;=BW$5-4, $F235&lt;=BW$5, COUNTIF($M235:BV235,"u")=0), "u", "")</f>
        <v/>
      </c>
      <c r="BX235" s="80" t="str">
        <f>IF(AND($F235&lt;&gt;"", $F235&gt;=BX$5-4, $F235&lt;=BX$5, COUNTIF($M235:BW235,"u")=0), "u", "")</f>
        <v/>
      </c>
      <c r="BY235" s="80" t="str">
        <f>IF(AND($F235&lt;&gt;"", $F235&gt;=BY$5-4, $F235&lt;=BY$5, COUNTIF($M235:BX235,"u")=0), "u", "")</f>
        <v/>
      </c>
      <c r="BZ235" s="80" t="str">
        <f>IF(AND($F235&lt;&gt;"", $F235&gt;=BZ$5-4, $F235&lt;=BZ$5, COUNTIF($M235:BY235,"u")=0), "u", "")</f>
        <v/>
      </c>
      <c r="CA235" s="80" t="str">
        <f>IF(AND($F235&lt;&gt;"", $F235&gt;=CA$5-4, $F235&lt;=CA$5, COUNTIF($M235:BZ235,"u")=0), "u", "")</f>
        <v/>
      </c>
      <c r="CB235" s="80" t="str">
        <f>IF(AND($F235&lt;&gt;"", $F235&gt;=CB$5-4, $F235&lt;=CB$5, COUNTIF($M235:CA235,"u")=0), "u", "")</f>
        <v/>
      </c>
      <c r="CC235" s="80" t="str">
        <f>IF(AND($F235&lt;&gt;"", $F235&gt;=CC$5-4, $F235&lt;=CC$5, COUNTIF($M235:CB235,"u")=0), "u", "")</f>
        <v/>
      </c>
      <c r="CD235" s="80" t="str">
        <f>IF(AND($F235&lt;&gt;"", $F235&gt;=CD$5-4, $F235&lt;=CD$5, COUNTIF($M235:CC235,"u")=0), "u", "")</f>
        <v/>
      </c>
      <c r="CE235" s="80" t="str">
        <f>IF(AND($F235&lt;&gt;"", $F235&gt;=CE$5-4, $F235&lt;=CE$5, COUNTIF($M235:CD235,"u")=0), "u", "")</f>
        <v/>
      </c>
      <c r="CF235" s="80" t="str">
        <f>IF(AND($F235&lt;&gt;"", $F235&gt;=CF$5-4, $F235&lt;=CF$5, COUNTIF($M235:CE235,"u")=0), "u", "")</f>
        <v/>
      </c>
      <c r="CG235" s="80" t="str">
        <f>IF(AND($F235&lt;&gt;"", $F235&gt;=CG$5-4, $F235&lt;=CG$5, COUNTIF($M235:CF235,"u")=0), "u", "")</f>
        <v/>
      </c>
      <c r="CH235" s="80" t="str">
        <f>IF(AND($F235&lt;&gt;"", $F235&gt;=CH$5-4, $F235&lt;=CH$5, COUNTIF($M235:CG235,"u")=0), "u", "")</f>
        <v/>
      </c>
      <c r="CI235" s="80" t="str">
        <f>IF(AND($F235&lt;&gt;"", $F235&gt;=CI$5-4, $F235&lt;=CI$5, COUNTIF($M235:CH235,"u")=0), "u", "")</f>
        <v/>
      </c>
      <c r="CJ235" s="80" t="str">
        <f>IF(AND($F235&lt;&gt;"", $F235&gt;=CJ$5-4, $F235&lt;=CJ$5, COUNTIF($M235:CI235,"u")=0), "u", "")</f>
        <v/>
      </c>
      <c r="CK235" s="80" t="str">
        <f>IF(AND($F235&lt;&gt;"", $F235&gt;=CK$5-4, $F235&lt;=CK$5, COUNTIF($M235:CJ235,"u")=0), "u", "")</f>
        <v/>
      </c>
      <c r="CL235" s="80" t="str">
        <f>IF(AND($F235&lt;&gt;"", $F235&gt;=CL$5-4, $F235&lt;=CL$5, COUNTIF($M235:CK235,"u")=0), "u", "")</f>
        <v/>
      </c>
      <c r="CM235" s="80" t="str">
        <f>IF(AND($F235&lt;&gt;"", $F235&gt;=CM$5-4, $F235&lt;=CM$5, COUNTIF($M235:CL235,"u")=0), "u", "")</f>
        <v/>
      </c>
      <c r="CN235" s="80" t="str">
        <f>IF(AND($F235&lt;&gt;"", $F235&gt;=CN$5-4, $F235&lt;=CN$5, COUNTIF($M235:CM235,"u")=0), "u", "")</f>
        <v/>
      </c>
      <c r="CO235" s="80" t="str">
        <f>IF(AND($F235&lt;&gt;"", $F235&gt;=CO$5-4, $F235&lt;=CO$5, COUNTIF($M235:CN235,"u")=0), "u", "")</f>
        <v/>
      </c>
      <c r="CP235" s="80" t="str">
        <f>IF(AND($F235&lt;&gt;"", $F235&gt;=CP$5-4, $F235&lt;=CP$5, COUNTIF($M235:CO235,"u")=0), "u", "")</f>
        <v/>
      </c>
      <c r="CQ235" s="80" t="str">
        <f>IF(AND($F235&lt;&gt;"", $F235&gt;=CQ$5-4, $F235&lt;=CQ$5, COUNTIF($M235:CP235,"u")=0), "u", "")</f>
        <v/>
      </c>
      <c r="CR235" s="80" t="str">
        <f>IF(AND($F235&lt;&gt;"", $F235&gt;=CR$5-4, $F235&lt;=CR$5, COUNTIF($M235:CQ235,"u")=0), "u", "")</f>
        <v/>
      </c>
      <c r="CS235" s="80" t="str">
        <f>IF(AND($F235&lt;&gt;"", $F235&gt;=CS$5-4, $F235&lt;=CS$5, COUNTIF($M235:CR235,"u")=0), "u", "")</f>
        <v/>
      </c>
      <c r="CT235" s="80" t="str">
        <f>IF(AND($F235&lt;&gt;"", $F235&gt;=CT$5-4, $F235&lt;=CT$5, COUNTIF($M235:CS235,"u")=0), "u", "")</f>
        <v/>
      </c>
      <c r="CU235" s="80" t="str">
        <f>IF(AND($F235&lt;&gt;"", $F235&gt;=CU$5-4, $F235&lt;=CU$5, COUNTIF($M235:CT235,"u")=0), "u", "")</f>
        <v/>
      </c>
      <c r="CV235" s="80" t="str">
        <f>IF(AND($F235&lt;&gt;"", $F235&gt;=CV$5-4, $F235&lt;=CV$5, COUNTIF($M235:CU235,"u")=0), "u", "")</f>
        <v/>
      </c>
      <c r="CW235" s="80" t="str">
        <f>IF(AND($F235&lt;&gt;"", $F235&gt;=CW$5-4, $F235&lt;=CW$5, COUNTIF($M235:CV235,"u")=0), "u", "")</f>
        <v/>
      </c>
      <c r="CX235" s="80" t="str">
        <f>IF(AND($F235&lt;&gt;"", $F235&gt;=CX$5-4, $F235&lt;=CX$5, COUNTIF($M235:CW235,"u")=0), "u", "")</f>
        <v/>
      </c>
      <c r="CY235" s="80" t="str">
        <f>IF(AND($F235&lt;&gt;"", $F235&gt;=CY$5-4, $F235&lt;=CY$5, COUNTIF($M235:CX235,"u")=0), "u", "")</f>
        <v/>
      </c>
      <c r="CZ235" s="80" t="str">
        <f>IF(AND($F235&lt;&gt;"", $F235&gt;=CZ$5-4, $F235&lt;=CZ$5, COUNTIF($M235:CY235,"u")=0), "u", "")</f>
        <v/>
      </c>
      <c r="DA235" s="80" t="str">
        <f>IF(AND($F235&lt;&gt;"", $F235&gt;=DA$5-4, $F235&lt;=DA$5, COUNTIF($M235:CZ235,"u")=0), "u", "")</f>
        <v/>
      </c>
      <c r="DB235" s="80" t="str">
        <f>IF(AND($F235&lt;&gt;"", $F235&gt;=DB$5-4, $F235&lt;=DB$5, COUNTIF($M235:DA235,"u")=0), "u", "")</f>
        <v/>
      </c>
      <c r="DC235" s="80" t="str">
        <f>IF(AND($F235&lt;&gt;"", $F235&gt;=DC$5-4, $F235&lt;=DC$5, COUNTIF($M235:DB235,"u")=0), "u", "")</f>
        <v/>
      </c>
      <c r="DD235" s="80" t="str">
        <f>IF(AND($F235&lt;&gt;"", $F235&gt;=DD$5-4, $F235&lt;=DD$5, COUNTIF($M235:DC235,"u")=0), "u", "")</f>
        <v/>
      </c>
      <c r="DE235" s="80" t="str">
        <f>IF(AND($F235&lt;&gt;"", $F235&gt;=DE$5-4, $F235&lt;=DE$5, COUNTIF($M235:DD235,"u")=0), "u", "")</f>
        <v/>
      </c>
      <c r="DF235" s="80" t="str">
        <f>IF(AND($F235&lt;&gt;"", $F235&gt;=DF$5-4, $F235&lt;=DF$5, COUNTIF($M235:DE235,"u")=0), "u", "")</f>
        <v/>
      </c>
      <c r="DG235" s="80" t="str">
        <f>IF(AND($F235&lt;&gt;"", $F235&gt;=DG$5-4, $F235&lt;=DG$5, COUNTIF($M235:DF235,"u")=0), "u", "")</f>
        <v/>
      </c>
      <c r="DH235" s="80" t="str">
        <f>IF(AND($F235&lt;&gt;"", $F235&gt;=DH$5-4, $F235&lt;=DH$5, COUNTIF($M235:DG235,"u")=0), "u", "")</f>
        <v/>
      </c>
      <c r="DI235" s="80" t="str">
        <f>IF(AND($F235&lt;&gt;"", $F235&gt;=DI$5-4, $F235&lt;=DI$5, COUNTIF($M235:DH235,"u")=0), "u", "")</f>
        <v/>
      </c>
      <c r="DJ235" s="80" t="str">
        <f>IF(AND($F235&lt;&gt;"", $F235&gt;=DJ$5-4, $F235&lt;=DJ$5, COUNTIF($M235:DI235,"u")=0), "u", "")</f>
        <v/>
      </c>
      <c r="DK235" s="80" t="str">
        <f>IF(AND($F235&lt;&gt;"", $F235&gt;=DK$5-4, $F235&lt;=DK$5, COUNTIF($M235:DJ235,"u")=0), "u", "")</f>
        <v/>
      </c>
      <c r="DL235" s="80" t="str">
        <f>IF(AND($F235&lt;&gt;"", $F235&gt;=DL$5-4, $F235&lt;=DL$5, COUNTIF($M235:DK235,"u")=0), "u", "")</f>
        <v/>
      </c>
    </row>
    <row r="236" spans="1:116" ht="25.05" customHeight="1" x14ac:dyDescent="0.3">
      <c r="A236" s="39"/>
      <c r="B236" s="75">
        <v>231</v>
      </c>
      <c r="C236" s="97"/>
      <c r="D236" s="92"/>
      <c r="E236" s="53"/>
      <c r="F236" s="53"/>
      <c r="G236" s="83" t="str">
        <f t="shared" si="56"/>
        <v/>
      </c>
      <c r="H236" s="83" t="str">
        <f t="shared" si="56"/>
        <v/>
      </c>
      <c r="I236" s="77" t="str">
        <f t="shared" si="54"/>
        <v/>
      </c>
      <c r="J236" s="78"/>
      <c r="K236" s="86"/>
      <c r="L236" s="56"/>
      <c r="M236" s="80" t="str">
        <f t="shared" si="55"/>
        <v/>
      </c>
      <c r="N236" s="80" t="str">
        <f>IF(AND($F236&lt;&gt;"", $F236&gt;=N$5-4, $F236&lt;=N$5, COUNTIF($M236:M236,"u")=0), "u", "")</f>
        <v/>
      </c>
      <c r="O236" s="80" t="str">
        <f>IF(AND($F236&lt;&gt;"", $F236&gt;=O$5-4, $F236&lt;=O$5, COUNTIF($M236:N236,"u")=0), "u", "")</f>
        <v/>
      </c>
      <c r="P236" s="80" t="str">
        <f>IF(AND($F236&lt;&gt;"", $F236&gt;=P$5-4, $F236&lt;=P$5, COUNTIF($M236:O236,"u")=0), "u", "")</f>
        <v/>
      </c>
      <c r="Q236" s="80" t="str">
        <f>IF(AND($F236&lt;&gt;"", $F236&gt;=Q$5-4, $F236&lt;=Q$5, COUNTIF($M236:P236,"u")=0), "u", "")</f>
        <v/>
      </c>
      <c r="R236" s="80" t="str">
        <f>IF(AND($F236&lt;&gt;"", $F236&gt;=R$5-4, $F236&lt;=R$5, COUNTIF($M236:Q236,"u")=0), "u", "")</f>
        <v/>
      </c>
      <c r="S236" s="80" t="str">
        <f>IF(AND($F236&lt;&gt;"", $F236&gt;=S$5-4, $F236&lt;=S$5, COUNTIF($M236:R236,"u")=0), "u", "")</f>
        <v/>
      </c>
      <c r="T236" s="80" t="str">
        <f>IF(AND($F236&lt;&gt;"", $F236&gt;=T$5-4, $F236&lt;=T$5, COUNTIF($M236:S236,"u")=0), "u", "")</f>
        <v/>
      </c>
      <c r="U236" s="80" t="str">
        <f>IF(AND($F236&lt;&gt;"", $F236&gt;=U$5-4, $F236&lt;=U$5, COUNTIF($M236:T236,"u")=0), "u", "")</f>
        <v/>
      </c>
      <c r="V236" s="80" t="str">
        <f>IF(AND($F236&lt;&gt;"", $F236&gt;=V$5-4, $F236&lt;=V$5, COUNTIF($M236:U236,"u")=0), "u", "")</f>
        <v/>
      </c>
      <c r="W236" s="80" t="str">
        <f>IF(AND($F236&lt;&gt;"", $F236&gt;=W$5-4, $F236&lt;=W$5, COUNTIF($M236:V236,"u")=0), "u", "")</f>
        <v/>
      </c>
      <c r="X236" s="80" t="str">
        <f>IF(AND($F236&lt;&gt;"", $F236&gt;=X$5-4, $F236&lt;=X$5, COUNTIF($M236:W236,"u")=0), "u", "")</f>
        <v/>
      </c>
      <c r="Y236" s="80" t="str">
        <f>IF(AND($F236&lt;&gt;"", $F236&gt;=Y$5-4, $F236&lt;=Y$5, COUNTIF($M236:X236,"u")=0), "u", "")</f>
        <v/>
      </c>
      <c r="Z236" s="80" t="str">
        <f>IF(AND($F236&lt;&gt;"", $F236&gt;=Z$5-4, $F236&lt;=Z$5, COUNTIF($M236:Y236,"u")=0), "u", "")</f>
        <v/>
      </c>
      <c r="AA236" s="80" t="str">
        <f>IF(AND($F236&lt;&gt;"", $F236&gt;=AA$5-4, $F236&lt;=AA$5, COUNTIF($M236:Z236,"u")=0), "u", "")</f>
        <v/>
      </c>
      <c r="AB236" s="80" t="str">
        <f>IF(AND($F236&lt;&gt;"", $F236&gt;=AB$5-4, $F236&lt;=AB$5, COUNTIF($M236:AA236,"u")=0), "u", "")</f>
        <v/>
      </c>
      <c r="AC236" s="80" t="str">
        <f>IF(AND($F236&lt;&gt;"", $F236&gt;=AC$5-4, $F236&lt;=AC$5, COUNTIF($M236:AB236,"u")=0), "u", "")</f>
        <v/>
      </c>
      <c r="AD236" s="80" t="str">
        <f>IF(AND($F236&lt;&gt;"", $F236&gt;=AD$5-4, $F236&lt;=AD$5, COUNTIF($M236:AC236,"u")=0), "u", "")</f>
        <v/>
      </c>
      <c r="AE236" s="80" t="str">
        <f>IF(AND($F236&lt;&gt;"", $F236&gt;=AE$5-4, $F236&lt;=AE$5, COUNTIF($M236:AD236,"u")=0), "u", "")</f>
        <v/>
      </c>
      <c r="AF236" s="80" t="str">
        <f>IF(AND($F236&lt;&gt;"", $F236&gt;=AF$5-4, $F236&lt;=AF$5, COUNTIF($M236:AE236,"u")=0), "u", "")</f>
        <v/>
      </c>
      <c r="AG236" s="80" t="str">
        <f>IF(AND($F236&lt;&gt;"", $F236&gt;=AG$5-4, $F236&lt;=AG$5, COUNTIF($M236:AF236,"u")=0), "u", "")</f>
        <v/>
      </c>
      <c r="AH236" s="80" t="str">
        <f>IF(AND($F236&lt;&gt;"", $F236&gt;=AH$5-4, $F236&lt;=AH$5, COUNTIF($M236:AG236,"u")=0), "u", "")</f>
        <v/>
      </c>
      <c r="AI236" s="80" t="str">
        <f>IF(AND($F236&lt;&gt;"", $F236&gt;=AI$5-4, $F236&lt;=AI$5, COUNTIF($M236:AH236,"u")=0), "u", "")</f>
        <v/>
      </c>
      <c r="AJ236" s="80" t="str">
        <f>IF(AND($F236&lt;&gt;"", $F236&gt;=AJ$5-4, $F236&lt;=AJ$5, COUNTIF($M236:AI236,"u")=0), "u", "")</f>
        <v/>
      </c>
      <c r="AK236" s="80" t="str">
        <f>IF(AND($F236&lt;&gt;"", $F236&gt;=AK$5-4, $F236&lt;=AK$5, COUNTIF($M236:AJ236,"u")=0), "u", "")</f>
        <v/>
      </c>
      <c r="AL236" s="80" t="str">
        <f>IF(AND($F236&lt;&gt;"", $F236&gt;=AL$5-4, $F236&lt;=AL$5, COUNTIF($M236:AK236,"u")=0), "u", "")</f>
        <v/>
      </c>
      <c r="AM236" s="80" t="str">
        <f>IF(AND($F236&lt;&gt;"", $F236&gt;=AM$5-4, $F236&lt;=AM$5, COUNTIF($M236:AL236,"u")=0), "u", "")</f>
        <v/>
      </c>
      <c r="AN236" s="80" t="str">
        <f>IF(AND($F236&lt;&gt;"", $F236&gt;=AN$5-4, $F236&lt;=AN$5, COUNTIF($M236:AM236,"u")=0), "u", "")</f>
        <v/>
      </c>
      <c r="AO236" s="80" t="str">
        <f>IF(AND($F236&lt;&gt;"", $F236&gt;=AO$5-4, $F236&lt;=AO$5, COUNTIF($M236:AN236,"u")=0), "u", "")</f>
        <v/>
      </c>
      <c r="AP236" s="80" t="str">
        <f>IF(AND($F236&lt;&gt;"", $F236&gt;=AP$5-4, $F236&lt;=AP$5, COUNTIF($M236:AO236,"u")=0), "u", "")</f>
        <v/>
      </c>
      <c r="AQ236" s="80" t="str">
        <f>IF(AND($F236&lt;&gt;"", $F236&gt;=AQ$5-4, $F236&lt;=AQ$5, COUNTIF($M236:AP236,"u")=0), "u", "")</f>
        <v/>
      </c>
      <c r="AR236" s="80" t="str">
        <f>IF(AND($F236&lt;&gt;"", $F236&gt;=AR$5-4, $F236&lt;=AR$5, COUNTIF($M236:AQ236,"u")=0), "u", "")</f>
        <v/>
      </c>
      <c r="AS236" s="80" t="str">
        <f>IF(AND($F236&lt;&gt;"", $F236&gt;=AS$5-4, $F236&lt;=AS$5, COUNTIF($M236:AR236,"u")=0), "u", "")</f>
        <v/>
      </c>
      <c r="AT236" s="80" t="str">
        <f>IF(AND($F236&lt;&gt;"", $F236&gt;=AT$5-4, $F236&lt;=AT$5, COUNTIF($M236:AS236,"u")=0), "u", "")</f>
        <v/>
      </c>
      <c r="AU236" s="80" t="str">
        <f>IF(AND($F236&lt;&gt;"", $F236&gt;=AU$5-4, $F236&lt;=AU$5, COUNTIF($M236:AT236,"u")=0), "u", "")</f>
        <v/>
      </c>
      <c r="AV236" s="80" t="str">
        <f>IF(AND($F236&lt;&gt;"", $F236&gt;=AV$5-4, $F236&lt;=AV$5, COUNTIF($M236:AU236,"u")=0), "u", "")</f>
        <v/>
      </c>
      <c r="AW236" s="80" t="str">
        <f>IF(AND($F236&lt;&gt;"", $F236&gt;=AW$5-4, $F236&lt;=AW$5, COUNTIF($M236:AV236,"u")=0), "u", "")</f>
        <v/>
      </c>
      <c r="AX236" s="80" t="str">
        <f>IF(AND($F236&lt;&gt;"", $F236&gt;=AX$5-4, $F236&lt;=AX$5, COUNTIF($M236:AW236,"u")=0), "u", "")</f>
        <v/>
      </c>
      <c r="AY236" s="80" t="str">
        <f>IF(AND($F236&lt;&gt;"", $F236&gt;=AY$5-4, $F236&lt;=AY$5, COUNTIF($M236:AX236,"u")=0), "u", "")</f>
        <v/>
      </c>
      <c r="AZ236" s="80" t="str">
        <f>IF(AND($F236&lt;&gt;"", $F236&gt;=AZ$5-4, $F236&lt;=AZ$5, COUNTIF($M236:AY236,"u")=0), "u", "")</f>
        <v/>
      </c>
      <c r="BA236" s="80" t="str">
        <f>IF(AND($F236&lt;&gt;"", $F236&gt;=BA$5-4, $F236&lt;=BA$5, COUNTIF($M236:AZ236,"u")=0), "u", "")</f>
        <v/>
      </c>
      <c r="BB236" s="80" t="str">
        <f>IF(AND($F236&lt;&gt;"", $F236&gt;=BB$5-4, $F236&lt;=BB$5, COUNTIF($M236:BA236,"u")=0), "u", "")</f>
        <v/>
      </c>
      <c r="BC236" s="80" t="str">
        <f>IF(AND($F236&lt;&gt;"", $F236&gt;=BC$5-4, $F236&lt;=BC$5, COUNTIF($M236:BB236,"u")=0), "u", "")</f>
        <v/>
      </c>
      <c r="BD236" s="80" t="str">
        <f>IF(AND($F236&lt;&gt;"", $F236&gt;=BD$5-4, $F236&lt;=BD$5, COUNTIF($M236:BC236,"u")=0), "u", "")</f>
        <v/>
      </c>
      <c r="BE236" s="80" t="str">
        <f>IF(AND($F236&lt;&gt;"", $F236&gt;=BE$5-4, $F236&lt;=BE$5, COUNTIF($M236:BD236,"u")=0), "u", "")</f>
        <v/>
      </c>
      <c r="BF236" s="80" t="str">
        <f>IF(AND($F236&lt;&gt;"", $F236&gt;=BF$5-4, $F236&lt;=BF$5, COUNTIF($M236:BE236,"u")=0), "u", "")</f>
        <v/>
      </c>
      <c r="BG236" s="80" t="str">
        <f>IF(AND($F236&lt;&gt;"", $F236&gt;=BG$5-4, $F236&lt;=BG$5, COUNTIF($M236:BF236,"u")=0), "u", "")</f>
        <v/>
      </c>
      <c r="BH236" s="80" t="str">
        <f>IF(AND($F236&lt;&gt;"", $F236&gt;=BH$5-4, $F236&lt;=BH$5, COUNTIF($M236:BG236,"u")=0), "u", "")</f>
        <v/>
      </c>
      <c r="BI236" s="80" t="str">
        <f>IF(AND($F236&lt;&gt;"", $F236&gt;=BI$5-4, $F236&lt;=BI$5, COUNTIF($M236:BH236,"u")=0), "u", "")</f>
        <v/>
      </c>
      <c r="BJ236" s="80" t="str">
        <f>IF(AND($F236&lt;&gt;"", $F236&gt;=BJ$5-4, $F236&lt;=BJ$5, COUNTIF($M236:BI236,"u")=0), "u", "")</f>
        <v/>
      </c>
      <c r="BK236" s="80" t="str">
        <f>IF(AND($F236&lt;&gt;"", $F236&gt;=BK$5-4, $F236&lt;=BK$5, COUNTIF($M236:BJ236,"u")=0), "u", "")</f>
        <v/>
      </c>
      <c r="BL236" s="80" t="str">
        <f>IF(AND($F236&lt;&gt;"", $F236&gt;=BL$5-4, $F236&lt;=BL$5, COUNTIF($M236:BK236,"u")=0), "u", "")</f>
        <v/>
      </c>
      <c r="BM236" s="80" t="str">
        <f>IF(AND($F236&lt;&gt;"", $F236&gt;=BM$5-4, $F236&lt;=BM$5, COUNTIF($M236:BL236,"u")=0), "u", "")</f>
        <v/>
      </c>
      <c r="BN236" s="80" t="str">
        <f>IF(AND($F236&lt;&gt;"", $F236&gt;=BN$5-4, $F236&lt;=BN$5, COUNTIF($M236:BM236,"u")=0), "u", "")</f>
        <v/>
      </c>
      <c r="BO236" s="80" t="str">
        <f>IF(AND($F236&lt;&gt;"", $F236&gt;=BO$5-4, $F236&lt;=BO$5, COUNTIF($M236:BN236,"u")=0), "u", "")</f>
        <v/>
      </c>
      <c r="BP236" s="80" t="str">
        <f>IF(AND($F236&lt;&gt;"", $F236&gt;=BP$5-4, $F236&lt;=BP$5, COUNTIF($M236:BO236,"u")=0), "u", "")</f>
        <v/>
      </c>
      <c r="BQ236" s="80" t="str">
        <f>IF(AND($F236&lt;&gt;"", $F236&gt;=BQ$5-4, $F236&lt;=BQ$5, COUNTIF($M236:BP236,"u")=0), "u", "")</f>
        <v/>
      </c>
      <c r="BR236" s="80" t="str">
        <f>IF(AND($F236&lt;&gt;"", $F236&gt;=BR$5-4, $F236&lt;=BR$5, COUNTIF($M236:BQ236,"u")=0), "u", "")</f>
        <v/>
      </c>
      <c r="BS236" s="80" t="str">
        <f>IF(AND($F236&lt;&gt;"", $F236&gt;=BS$5-4, $F236&lt;=BS$5, COUNTIF($M236:BR236,"u")=0), "u", "")</f>
        <v/>
      </c>
      <c r="BT236" s="80" t="str">
        <f>IF(AND($F236&lt;&gt;"", $F236&gt;=BT$5-4, $F236&lt;=BT$5, COUNTIF($M236:BS236,"u")=0), "u", "")</f>
        <v/>
      </c>
      <c r="BU236" s="80" t="str">
        <f>IF(AND($F236&lt;&gt;"", $F236&gt;=BU$5-4, $F236&lt;=BU$5, COUNTIF($M236:BT236,"u")=0), "u", "")</f>
        <v/>
      </c>
      <c r="BV236" s="80" t="str">
        <f>IF(AND($F236&lt;&gt;"", $F236&gt;=BV$5-4, $F236&lt;=BV$5, COUNTIF($M236:BU236,"u")=0), "u", "")</f>
        <v/>
      </c>
      <c r="BW236" s="80" t="str">
        <f>IF(AND($F236&lt;&gt;"", $F236&gt;=BW$5-4, $F236&lt;=BW$5, COUNTIF($M236:BV236,"u")=0), "u", "")</f>
        <v/>
      </c>
      <c r="BX236" s="80" t="str">
        <f>IF(AND($F236&lt;&gt;"", $F236&gt;=BX$5-4, $F236&lt;=BX$5, COUNTIF($M236:BW236,"u")=0), "u", "")</f>
        <v/>
      </c>
      <c r="BY236" s="80" t="str">
        <f>IF(AND($F236&lt;&gt;"", $F236&gt;=BY$5-4, $F236&lt;=BY$5, COUNTIF($M236:BX236,"u")=0), "u", "")</f>
        <v/>
      </c>
      <c r="BZ236" s="80" t="str">
        <f>IF(AND($F236&lt;&gt;"", $F236&gt;=BZ$5-4, $F236&lt;=BZ$5, COUNTIF($M236:BY236,"u")=0), "u", "")</f>
        <v/>
      </c>
      <c r="CA236" s="80" t="str">
        <f>IF(AND($F236&lt;&gt;"", $F236&gt;=CA$5-4, $F236&lt;=CA$5, COUNTIF($M236:BZ236,"u")=0), "u", "")</f>
        <v/>
      </c>
      <c r="CB236" s="80" t="str">
        <f>IF(AND($F236&lt;&gt;"", $F236&gt;=CB$5-4, $F236&lt;=CB$5, COUNTIF($M236:CA236,"u")=0), "u", "")</f>
        <v/>
      </c>
      <c r="CC236" s="80" t="str">
        <f>IF(AND($F236&lt;&gt;"", $F236&gt;=CC$5-4, $F236&lt;=CC$5, COUNTIF($M236:CB236,"u")=0), "u", "")</f>
        <v/>
      </c>
      <c r="CD236" s="80" t="str">
        <f>IF(AND($F236&lt;&gt;"", $F236&gt;=CD$5-4, $F236&lt;=CD$5, COUNTIF($M236:CC236,"u")=0), "u", "")</f>
        <v/>
      </c>
      <c r="CE236" s="80" t="str">
        <f>IF(AND($F236&lt;&gt;"", $F236&gt;=CE$5-4, $F236&lt;=CE$5, COUNTIF($M236:CD236,"u")=0), "u", "")</f>
        <v/>
      </c>
      <c r="CF236" s="80" t="str">
        <f>IF(AND($F236&lt;&gt;"", $F236&gt;=CF$5-4, $F236&lt;=CF$5, COUNTIF($M236:CE236,"u")=0), "u", "")</f>
        <v/>
      </c>
      <c r="CG236" s="80" t="str">
        <f>IF(AND($F236&lt;&gt;"", $F236&gt;=CG$5-4, $F236&lt;=CG$5, COUNTIF($M236:CF236,"u")=0), "u", "")</f>
        <v/>
      </c>
      <c r="CH236" s="80" t="str">
        <f>IF(AND($F236&lt;&gt;"", $F236&gt;=CH$5-4, $F236&lt;=CH$5, COUNTIF($M236:CG236,"u")=0), "u", "")</f>
        <v/>
      </c>
      <c r="CI236" s="80" t="str">
        <f>IF(AND($F236&lt;&gt;"", $F236&gt;=CI$5-4, $F236&lt;=CI$5, COUNTIF($M236:CH236,"u")=0), "u", "")</f>
        <v/>
      </c>
      <c r="CJ236" s="80" t="str">
        <f>IF(AND($F236&lt;&gt;"", $F236&gt;=CJ$5-4, $F236&lt;=CJ$5, COUNTIF($M236:CI236,"u")=0), "u", "")</f>
        <v/>
      </c>
      <c r="CK236" s="80" t="str">
        <f>IF(AND($F236&lt;&gt;"", $F236&gt;=CK$5-4, $F236&lt;=CK$5, COUNTIF($M236:CJ236,"u")=0), "u", "")</f>
        <v/>
      </c>
      <c r="CL236" s="80" t="str">
        <f>IF(AND($F236&lt;&gt;"", $F236&gt;=CL$5-4, $F236&lt;=CL$5, COUNTIF($M236:CK236,"u")=0), "u", "")</f>
        <v/>
      </c>
      <c r="CM236" s="80" t="str">
        <f>IF(AND($F236&lt;&gt;"", $F236&gt;=CM$5-4, $F236&lt;=CM$5, COUNTIF($M236:CL236,"u")=0), "u", "")</f>
        <v/>
      </c>
      <c r="CN236" s="80" t="str">
        <f>IF(AND($F236&lt;&gt;"", $F236&gt;=CN$5-4, $F236&lt;=CN$5, COUNTIF($M236:CM236,"u")=0), "u", "")</f>
        <v/>
      </c>
      <c r="CO236" s="80" t="str">
        <f>IF(AND($F236&lt;&gt;"", $F236&gt;=CO$5-4, $F236&lt;=CO$5, COUNTIF($M236:CN236,"u")=0), "u", "")</f>
        <v/>
      </c>
      <c r="CP236" s="80" t="str">
        <f>IF(AND($F236&lt;&gt;"", $F236&gt;=CP$5-4, $F236&lt;=CP$5, COUNTIF($M236:CO236,"u")=0), "u", "")</f>
        <v/>
      </c>
      <c r="CQ236" s="80" t="str">
        <f>IF(AND($F236&lt;&gt;"", $F236&gt;=CQ$5-4, $F236&lt;=CQ$5, COUNTIF($M236:CP236,"u")=0), "u", "")</f>
        <v/>
      </c>
      <c r="CR236" s="80" t="str">
        <f>IF(AND($F236&lt;&gt;"", $F236&gt;=CR$5-4, $F236&lt;=CR$5, COUNTIF($M236:CQ236,"u")=0), "u", "")</f>
        <v/>
      </c>
      <c r="CS236" s="80" t="str">
        <f>IF(AND($F236&lt;&gt;"", $F236&gt;=CS$5-4, $F236&lt;=CS$5, COUNTIF($M236:CR236,"u")=0), "u", "")</f>
        <v/>
      </c>
      <c r="CT236" s="80" t="str">
        <f>IF(AND($F236&lt;&gt;"", $F236&gt;=CT$5-4, $F236&lt;=CT$5, COUNTIF($M236:CS236,"u")=0), "u", "")</f>
        <v/>
      </c>
      <c r="CU236" s="80" t="str">
        <f>IF(AND($F236&lt;&gt;"", $F236&gt;=CU$5-4, $F236&lt;=CU$5, COUNTIF($M236:CT236,"u")=0), "u", "")</f>
        <v/>
      </c>
      <c r="CV236" s="80" t="str">
        <f>IF(AND($F236&lt;&gt;"", $F236&gt;=CV$5-4, $F236&lt;=CV$5, COUNTIF($M236:CU236,"u")=0), "u", "")</f>
        <v/>
      </c>
      <c r="CW236" s="80" t="str">
        <f>IF(AND($F236&lt;&gt;"", $F236&gt;=CW$5-4, $F236&lt;=CW$5, COUNTIF($M236:CV236,"u")=0), "u", "")</f>
        <v/>
      </c>
      <c r="CX236" s="80" t="str">
        <f>IF(AND($F236&lt;&gt;"", $F236&gt;=CX$5-4, $F236&lt;=CX$5, COUNTIF($M236:CW236,"u")=0), "u", "")</f>
        <v/>
      </c>
      <c r="CY236" s="80" t="str">
        <f>IF(AND($F236&lt;&gt;"", $F236&gt;=CY$5-4, $F236&lt;=CY$5, COUNTIF($M236:CX236,"u")=0), "u", "")</f>
        <v/>
      </c>
      <c r="CZ236" s="80" t="str">
        <f>IF(AND($F236&lt;&gt;"", $F236&gt;=CZ$5-4, $F236&lt;=CZ$5, COUNTIF($M236:CY236,"u")=0), "u", "")</f>
        <v/>
      </c>
      <c r="DA236" s="80" t="str">
        <f>IF(AND($F236&lt;&gt;"", $F236&gt;=DA$5-4, $F236&lt;=DA$5, COUNTIF($M236:CZ236,"u")=0), "u", "")</f>
        <v/>
      </c>
      <c r="DB236" s="80" t="str">
        <f>IF(AND($F236&lt;&gt;"", $F236&gt;=DB$5-4, $F236&lt;=DB$5, COUNTIF($M236:DA236,"u")=0), "u", "")</f>
        <v/>
      </c>
      <c r="DC236" s="80" t="str">
        <f>IF(AND($F236&lt;&gt;"", $F236&gt;=DC$5-4, $F236&lt;=DC$5, COUNTIF($M236:DB236,"u")=0), "u", "")</f>
        <v/>
      </c>
      <c r="DD236" s="80" t="str">
        <f>IF(AND($F236&lt;&gt;"", $F236&gt;=DD$5-4, $F236&lt;=DD$5, COUNTIF($M236:DC236,"u")=0), "u", "")</f>
        <v/>
      </c>
      <c r="DE236" s="80" t="str">
        <f>IF(AND($F236&lt;&gt;"", $F236&gt;=DE$5-4, $F236&lt;=DE$5, COUNTIF($M236:DD236,"u")=0), "u", "")</f>
        <v/>
      </c>
      <c r="DF236" s="80" t="str">
        <f>IF(AND($F236&lt;&gt;"", $F236&gt;=DF$5-4, $F236&lt;=DF$5, COUNTIF($M236:DE236,"u")=0), "u", "")</f>
        <v/>
      </c>
      <c r="DG236" s="80" t="str">
        <f>IF(AND($F236&lt;&gt;"", $F236&gt;=DG$5-4, $F236&lt;=DG$5, COUNTIF($M236:DF236,"u")=0), "u", "")</f>
        <v/>
      </c>
      <c r="DH236" s="80" t="str">
        <f>IF(AND($F236&lt;&gt;"", $F236&gt;=DH$5-4, $F236&lt;=DH$5, COUNTIF($M236:DG236,"u")=0), "u", "")</f>
        <v/>
      </c>
      <c r="DI236" s="80" t="str">
        <f>IF(AND($F236&lt;&gt;"", $F236&gt;=DI$5-4, $F236&lt;=DI$5, COUNTIF($M236:DH236,"u")=0), "u", "")</f>
        <v/>
      </c>
      <c r="DJ236" s="80" t="str">
        <f>IF(AND($F236&lt;&gt;"", $F236&gt;=DJ$5-4, $F236&lt;=DJ$5, COUNTIF($M236:DI236,"u")=0), "u", "")</f>
        <v/>
      </c>
      <c r="DK236" s="80" t="str">
        <f>IF(AND($F236&lt;&gt;"", $F236&gt;=DK$5-4, $F236&lt;=DK$5, COUNTIF($M236:DJ236,"u")=0), "u", "")</f>
        <v/>
      </c>
      <c r="DL236" s="80" t="str">
        <f>IF(AND($F236&lt;&gt;"", $F236&gt;=DL$5-4, $F236&lt;=DL$5, COUNTIF($M236:DK236,"u")=0), "u", "")</f>
        <v/>
      </c>
    </row>
    <row r="237" spans="1:116" ht="25.05" customHeight="1" x14ac:dyDescent="0.3">
      <c r="A237" s="39"/>
      <c r="B237" s="75">
        <v>232</v>
      </c>
      <c r="C237" s="97"/>
      <c r="D237" s="92"/>
      <c r="E237" s="53"/>
      <c r="F237" s="53"/>
      <c r="G237" s="83" t="str">
        <f t="shared" si="56"/>
        <v/>
      </c>
      <c r="H237" s="83" t="str">
        <f t="shared" si="56"/>
        <v/>
      </c>
      <c r="I237" s="77" t="str">
        <f t="shared" si="54"/>
        <v/>
      </c>
      <c r="J237" s="78"/>
      <c r="K237" s="86"/>
      <c r="L237" s="56"/>
      <c r="M237" s="80" t="str">
        <f t="shared" si="55"/>
        <v/>
      </c>
      <c r="N237" s="80" t="str">
        <f>IF(AND($F237&lt;&gt;"", $F237&gt;=N$5-4, $F237&lt;=N$5, COUNTIF($M237:M237,"u")=0), "u", "")</f>
        <v/>
      </c>
      <c r="O237" s="80" t="str">
        <f>IF(AND($F237&lt;&gt;"", $F237&gt;=O$5-4, $F237&lt;=O$5, COUNTIF($M237:N237,"u")=0), "u", "")</f>
        <v/>
      </c>
      <c r="P237" s="80" t="str">
        <f>IF(AND($F237&lt;&gt;"", $F237&gt;=P$5-4, $F237&lt;=P$5, COUNTIF($M237:O237,"u")=0), "u", "")</f>
        <v/>
      </c>
      <c r="Q237" s="80" t="str">
        <f>IF(AND($F237&lt;&gt;"", $F237&gt;=Q$5-4, $F237&lt;=Q$5, COUNTIF($M237:P237,"u")=0), "u", "")</f>
        <v/>
      </c>
      <c r="R237" s="80" t="str">
        <f>IF(AND($F237&lt;&gt;"", $F237&gt;=R$5-4, $F237&lt;=R$5, COUNTIF($M237:Q237,"u")=0), "u", "")</f>
        <v/>
      </c>
      <c r="S237" s="80" t="str">
        <f>IF(AND($F237&lt;&gt;"", $F237&gt;=S$5-4, $F237&lt;=S$5, COUNTIF($M237:R237,"u")=0), "u", "")</f>
        <v/>
      </c>
      <c r="T237" s="80" t="str">
        <f>IF(AND($F237&lt;&gt;"", $F237&gt;=T$5-4, $F237&lt;=T$5, COUNTIF($M237:S237,"u")=0), "u", "")</f>
        <v/>
      </c>
      <c r="U237" s="80" t="str">
        <f>IF(AND($F237&lt;&gt;"", $F237&gt;=U$5-4, $F237&lt;=U$5, COUNTIF($M237:T237,"u")=0), "u", "")</f>
        <v/>
      </c>
      <c r="V237" s="80" t="str">
        <f>IF(AND($F237&lt;&gt;"", $F237&gt;=V$5-4, $F237&lt;=V$5, COUNTIF($M237:U237,"u")=0), "u", "")</f>
        <v/>
      </c>
      <c r="W237" s="80" t="str">
        <f>IF(AND($F237&lt;&gt;"", $F237&gt;=W$5-4, $F237&lt;=W$5, COUNTIF($M237:V237,"u")=0), "u", "")</f>
        <v/>
      </c>
      <c r="X237" s="80" t="str">
        <f>IF(AND($F237&lt;&gt;"", $F237&gt;=X$5-4, $F237&lt;=X$5, COUNTIF($M237:W237,"u")=0), "u", "")</f>
        <v/>
      </c>
      <c r="Y237" s="80" t="str">
        <f>IF(AND($F237&lt;&gt;"", $F237&gt;=Y$5-4, $F237&lt;=Y$5, COUNTIF($M237:X237,"u")=0), "u", "")</f>
        <v/>
      </c>
      <c r="Z237" s="80" t="str">
        <f>IF(AND($F237&lt;&gt;"", $F237&gt;=Z$5-4, $F237&lt;=Z$5, COUNTIF($M237:Y237,"u")=0), "u", "")</f>
        <v/>
      </c>
      <c r="AA237" s="80" t="str">
        <f>IF(AND($F237&lt;&gt;"", $F237&gt;=AA$5-4, $F237&lt;=AA$5, COUNTIF($M237:Z237,"u")=0), "u", "")</f>
        <v/>
      </c>
      <c r="AB237" s="80" t="str">
        <f>IF(AND($F237&lt;&gt;"", $F237&gt;=AB$5-4, $F237&lt;=AB$5, COUNTIF($M237:AA237,"u")=0), "u", "")</f>
        <v/>
      </c>
      <c r="AC237" s="80" t="str">
        <f>IF(AND($F237&lt;&gt;"", $F237&gt;=AC$5-4, $F237&lt;=AC$5, COUNTIF($M237:AB237,"u")=0), "u", "")</f>
        <v/>
      </c>
      <c r="AD237" s="80" t="str">
        <f>IF(AND($F237&lt;&gt;"", $F237&gt;=AD$5-4, $F237&lt;=AD$5, COUNTIF($M237:AC237,"u")=0), "u", "")</f>
        <v/>
      </c>
      <c r="AE237" s="80" t="str">
        <f>IF(AND($F237&lt;&gt;"", $F237&gt;=AE$5-4, $F237&lt;=AE$5, COUNTIF($M237:AD237,"u")=0), "u", "")</f>
        <v/>
      </c>
      <c r="AF237" s="80" t="str">
        <f>IF(AND($F237&lt;&gt;"", $F237&gt;=AF$5-4, $F237&lt;=AF$5, COUNTIF($M237:AE237,"u")=0), "u", "")</f>
        <v/>
      </c>
      <c r="AG237" s="80" t="str">
        <f>IF(AND($F237&lt;&gt;"", $F237&gt;=AG$5-4, $F237&lt;=AG$5, COUNTIF($M237:AF237,"u")=0), "u", "")</f>
        <v/>
      </c>
      <c r="AH237" s="80" t="str">
        <f>IF(AND($F237&lt;&gt;"", $F237&gt;=AH$5-4, $F237&lt;=AH$5, COUNTIF($M237:AG237,"u")=0), "u", "")</f>
        <v/>
      </c>
      <c r="AI237" s="80" t="str">
        <f>IF(AND($F237&lt;&gt;"", $F237&gt;=AI$5-4, $F237&lt;=AI$5, COUNTIF($M237:AH237,"u")=0), "u", "")</f>
        <v/>
      </c>
      <c r="AJ237" s="80" t="str">
        <f>IF(AND($F237&lt;&gt;"", $F237&gt;=AJ$5-4, $F237&lt;=AJ$5, COUNTIF($M237:AI237,"u")=0), "u", "")</f>
        <v/>
      </c>
      <c r="AK237" s="80" t="str">
        <f>IF(AND($F237&lt;&gt;"", $F237&gt;=AK$5-4, $F237&lt;=AK$5, COUNTIF($M237:AJ237,"u")=0), "u", "")</f>
        <v/>
      </c>
      <c r="AL237" s="80" t="str">
        <f>IF(AND($F237&lt;&gt;"", $F237&gt;=AL$5-4, $F237&lt;=AL$5, COUNTIF($M237:AK237,"u")=0), "u", "")</f>
        <v/>
      </c>
      <c r="AM237" s="80" t="str">
        <f>IF(AND($F237&lt;&gt;"", $F237&gt;=AM$5-4, $F237&lt;=AM$5, COUNTIF($M237:AL237,"u")=0), "u", "")</f>
        <v/>
      </c>
      <c r="AN237" s="80" t="str">
        <f>IF(AND($F237&lt;&gt;"", $F237&gt;=AN$5-4, $F237&lt;=AN$5, COUNTIF($M237:AM237,"u")=0), "u", "")</f>
        <v/>
      </c>
      <c r="AO237" s="80" t="str">
        <f>IF(AND($F237&lt;&gt;"", $F237&gt;=AO$5-4, $F237&lt;=AO$5, COUNTIF($M237:AN237,"u")=0), "u", "")</f>
        <v/>
      </c>
      <c r="AP237" s="80" t="str">
        <f>IF(AND($F237&lt;&gt;"", $F237&gt;=AP$5-4, $F237&lt;=AP$5, COUNTIF($M237:AO237,"u")=0), "u", "")</f>
        <v/>
      </c>
      <c r="AQ237" s="80" t="str">
        <f>IF(AND($F237&lt;&gt;"", $F237&gt;=AQ$5-4, $F237&lt;=AQ$5, COUNTIF($M237:AP237,"u")=0), "u", "")</f>
        <v/>
      </c>
      <c r="AR237" s="80" t="str">
        <f>IF(AND($F237&lt;&gt;"", $F237&gt;=AR$5-4, $F237&lt;=AR$5, COUNTIF($M237:AQ237,"u")=0), "u", "")</f>
        <v/>
      </c>
      <c r="AS237" s="80" t="str">
        <f>IF(AND($F237&lt;&gt;"", $F237&gt;=AS$5-4, $F237&lt;=AS$5, COUNTIF($M237:AR237,"u")=0), "u", "")</f>
        <v/>
      </c>
      <c r="AT237" s="80" t="str">
        <f>IF(AND($F237&lt;&gt;"", $F237&gt;=AT$5-4, $F237&lt;=AT$5, COUNTIF($M237:AS237,"u")=0), "u", "")</f>
        <v/>
      </c>
      <c r="AU237" s="80" t="str">
        <f>IF(AND($F237&lt;&gt;"", $F237&gt;=AU$5-4, $F237&lt;=AU$5, COUNTIF($M237:AT237,"u")=0), "u", "")</f>
        <v/>
      </c>
      <c r="AV237" s="80" t="str">
        <f>IF(AND($F237&lt;&gt;"", $F237&gt;=AV$5-4, $F237&lt;=AV$5, COUNTIF($M237:AU237,"u")=0), "u", "")</f>
        <v/>
      </c>
      <c r="AW237" s="80" t="str">
        <f>IF(AND($F237&lt;&gt;"", $F237&gt;=AW$5-4, $F237&lt;=AW$5, COUNTIF($M237:AV237,"u")=0), "u", "")</f>
        <v/>
      </c>
      <c r="AX237" s="80" t="str">
        <f>IF(AND($F237&lt;&gt;"", $F237&gt;=AX$5-4, $F237&lt;=AX$5, COUNTIF($M237:AW237,"u")=0), "u", "")</f>
        <v/>
      </c>
      <c r="AY237" s="80" t="str">
        <f>IF(AND($F237&lt;&gt;"", $F237&gt;=AY$5-4, $F237&lt;=AY$5, COUNTIF($M237:AX237,"u")=0), "u", "")</f>
        <v/>
      </c>
      <c r="AZ237" s="80" t="str">
        <f>IF(AND($F237&lt;&gt;"", $F237&gt;=AZ$5-4, $F237&lt;=AZ$5, COUNTIF($M237:AY237,"u")=0), "u", "")</f>
        <v/>
      </c>
      <c r="BA237" s="80" t="str">
        <f>IF(AND($F237&lt;&gt;"", $F237&gt;=BA$5-4, $F237&lt;=BA$5, COUNTIF($M237:AZ237,"u")=0), "u", "")</f>
        <v/>
      </c>
      <c r="BB237" s="80" t="str">
        <f>IF(AND($F237&lt;&gt;"", $F237&gt;=BB$5-4, $F237&lt;=BB$5, COUNTIF($M237:BA237,"u")=0), "u", "")</f>
        <v/>
      </c>
      <c r="BC237" s="80" t="str">
        <f>IF(AND($F237&lt;&gt;"", $F237&gt;=BC$5-4, $F237&lt;=BC$5, COUNTIF($M237:BB237,"u")=0), "u", "")</f>
        <v/>
      </c>
      <c r="BD237" s="80" t="str">
        <f>IF(AND($F237&lt;&gt;"", $F237&gt;=BD$5-4, $F237&lt;=BD$5, COUNTIF($M237:BC237,"u")=0), "u", "")</f>
        <v/>
      </c>
      <c r="BE237" s="80" t="str">
        <f>IF(AND($F237&lt;&gt;"", $F237&gt;=BE$5-4, $F237&lt;=BE$5, COUNTIF($M237:BD237,"u")=0), "u", "")</f>
        <v/>
      </c>
      <c r="BF237" s="80" t="str">
        <f>IF(AND($F237&lt;&gt;"", $F237&gt;=BF$5-4, $F237&lt;=BF$5, COUNTIF($M237:BE237,"u")=0), "u", "")</f>
        <v/>
      </c>
      <c r="BG237" s="80" t="str">
        <f>IF(AND($F237&lt;&gt;"", $F237&gt;=BG$5-4, $F237&lt;=BG$5, COUNTIF($M237:BF237,"u")=0), "u", "")</f>
        <v/>
      </c>
      <c r="BH237" s="80" t="str">
        <f>IF(AND($F237&lt;&gt;"", $F237&gt;=BH$5-4, $F237&lt;=BH$5, COUNTIF($M237:BG237,"u")=0), "u", "")</f>
        <v/>
      </c>
      <c r="BI237" s="80" t="str">
        <f>IF(AND($F237&lt;&gt;"", $F237&gt;=BI$5-4, $F237&lt;=BI$5, COUNTIF($M237:BH237,"u")=0), "u", "")</f>
        <v/>
      </c>
      <c r="BJ237" s="80" t="str">
        <f>IF(AND($F237&lt;&gt;"", $F237&gt;=BJ$5-4, $F237&lt;=BJ$5, COUNTIF($M237:BI237,"u")=0), "u", "")</f>
        <v/>
      </c>
      <c r="BK237" s="80" t="str">
        <f>IF(AND($F237&lt;&gt;"", $F237&gt;=BK$5-4, $F237&lt;=BK$5, COUNTIF($M237:BJ237,"u")=0), "u", "")</f>
        <v/>
      </c>
      <c r="BL237" s="80" t="str">
        <f>IF(AND($F237&lt;&gt;"", $F237&gt;=BL$5-4, $F237&lt;=BL$5, COUNTIF($M237:BK237,"u")=0), "u", "")</f>
        <v/>
      </c>
      <c r="BM237" s="80" t="str">
        <f>IF(AND($F237&lt;&gt;"", $F237&gt;=BM$5-4, $F237&lt;=BM$5, COUNTIF($M237:BL237,"u")=0), "u", "")</f>
        <v/>
      </c>
      <c r="BN237" s="80" t="str">
        <f>IF(AND($F237&lt;&gt;"", $F237&gt;=BN$5-4, $F237&lt;=BN$5, COUNTIF($M237:BM237,"u")=0), "u", "")</f>
        <v/>
      </c>
      <c r="BO237" s="80" t="str">
        <f>IF(AND($F237&lt;&gt;"", $F237&gt;=BO$5-4, $F237&lt;=BO$5, COUNTIF($M237:BN237,"u")=0), "u", "")</f>
        <v/>
      </c>
      <c r="BP237" s="80" t="str">
        <f>IF(AND($F237&lt;&gt;"", $F237&gt;=BP$5-4, $F237&lt;=BP$5, COUNTIF($M237:BO237,"u")=0), "u", "")</f>
        <v/>
      </c>
      <c r="BQ237" s="80" t="str">
        <f>IF(AND($F237&lt;&gt;"", $F237&gt;=BQ$5-4, $F237&lt;=BQ$5, COUNTIF($M237:BP237,"u")=0), "u", "")</f>
        <v/>
      </c>
      <c r="BR237" s="80" t="str">
        <f>IF(AND($F237&lt;&gt;"", $F237&gt;=BR$5-4, $F237&lt;=BR$5, COUNTIF($M237:BQ237,"u")=0), "u", "")</f>
        <v/>
      </c>
      <c r="BS237" s="80" t="str">
        <f>IF(AND($F237&lt;&gt;"", $F237&gt;=BS$5-4, $F237&lt;=BS$5, COUNTIF($M237:BR237,"u")=0), "u", "")</f>
        <v/>
      </c>
      <c r="BT237" s="80" t="str">
        <f>IF(AND($F237&lt;&gt;"", $F237&gt;=BT$5-4, $F237&lt;=BT$5, COUNTIF($M237:BS237,"u")=0), "u", "")</f>
        <v/>
      </c>
      <c r="BU237" s="80" t="str">
        <f>IF(AND($F237&lt;&gt;"", $F237&gt;=BU$5-4, $F237&lt;=BU$5, COUNTIF($M237:BT237,"u")=0), "u", "")</f>
        <v/>
      </c>
      <c r="BV237" s="80" t="str">
        <f>IF(AND($F237&lt;&gt;"", $F237&gt;=BV$5-4, $F237&lt;=BV$5, COUNTIF($M237:BU237,"u")=0), "u", "")</f>
        <v/>
      </c>
      <c r="BW237" s="80" t="str">
        <f>IF(AND($F237&lt;&gt;"", $F237&gt;=BW$5-4, $F237&lt;=BW$5, COUNTIF($M237:BV237,"u")=0), "u", "")</f>
        <v/>
      </c>
      <c r="BX237" s="80" t="str">
        <f>IF(AND($F237&lt;&gt;"", $F237&gt;=BX$5-4, $F237&lt;=BX$5, COUNTIF($M237:BW237,"u")=0), "u", "")</f>
        <v/>
      </c>
      <c r="BY237" s="80" t="str">
        <f>IF(AND($F237&lt;&gt;"", $F237&gt;=BY$5-4, $F237&lt;=BY$5, COUNTIF($M237:BX237,"u")=0), "u", "")</f>
        <v/>
      </c>
      <c r="BZ237" s="80" t="str">
        <f>IF(AND($F237&lt;&gt;"", $F237&gt;=BZ$5-4, $F237&lt;=BZ$5, COUNTIF($M237:BY237,"u")=0), "u", "")</f>
        <v/>
      </c>
      <c r="CA237" s="80" t="str">
        <f>IF(AND($F237&lt;&gt;"", $F237&gt;=CA$5-4, $F237&lt;=CA$5, COUNTIF($M237:BZ237,"u")=0), "u", "")</f>
        <v/>
      </c>
      <c r="CB237" s="80" t="str">
        <f>IF(AND($F237&lt;&gt;"", $F237&gt;=CB$5-4, $F237&lt;=CB$5, COUNTIF($M237:CA237,"u")=0), "u", "")</f>
        <v/>
      </c>
      <c r="CC237" s="80" t="str">
        <f>IF(AND($F237&lt;&gt;"", $F237&gt;=CC$5-4, $F237&lt;=CC$5, COUNTIF($M237:CB237,"u")=0), "u", "")</f>
        <v/>
      </c>
      <c r="CD237" s="80" t="str">
        <f>IF(AND($F237&lt;&gt;"", $F237&gt;=CD$5-4, $F237&lt;=CD$5, COUNTIF($M237:CC237,"u")=0), "u", "")</f>
        <v/>
      </c>
      <c r="CE237" s="80" t="str">
        <f>IF(AND($F237&lt;&gt;"", $F237&gt;=CE$5-4, $F237&lt;=CE$5, COUNTIF($M237:CD237,"u")=0), "u", "")</f>
        <v/>
      </c>
      <c r="CF237" s="80" t="str">
        <f>IF(AND($F237&lt;&gt;"", $F237&gt;=CF$5-4, $F237&lt;=CF$5, COUNTIF($M237:CE237,"u")=0), "u", "")</f>
        <v/>
      </c>
      <c r="CG237" s="80" t="str">
        <f>IF(AND($F237&lt;&gt;"", $F237&gt;=CG$5-4, $F237&lt;=CG$5, COUNTIF($M237:CF237,"u")=0), "u", "")</f>
        <v/>
      </c>
      <c r="CH237" s="80" t="str">
        <f>IF(AND($F237&lt;&gt;"", $F237&gt;=CH$5-4, $F237&lt;=CH$5, COUNTIF($M237:CG237,"u")=0), "u", "")</f>
        <v/>
      </c>
      <c r="CI237" s="80" t="str">
        <f>IF(AND($F237&lt;&gt;"", $F237&gt;=CI$5-4, $F237&lt;=CI$5, COUNTIF($M237:CH237,"u")=0), "u", "")</f>
        <v/>
      </c>
      <c r="CJ237" s="80" t="str">
        <f>IF(AND($F237&lt;&gt;"", $F237&gt;=CJ$5-4, $F237&lt;=CJ$5, COUNTIF($M237:CI237,"u")=0), "u", "")</f>
        <v/>
      </c>
      <c r="CK237" s="80" t="str">
        <f>IF(AND($F237&lt;&gt;"", $F237&gt;=CK$5-4, $F237&lt;=CK$5, COUNTIF($M237:CJ237,"u")=0), "u", "")</f>
        <v/>
      </c>
      <c r="CL237" s="80" t="str">
        <f>IF(AND($F237&lt;&gt;"", $F237&gt;=CL$5-4, $F237&lt;=CL$5, COUNTIF($M237:CK237,"u")=0), "u", "")</f>
        <v/>
      </c>
      <c r="CM237" s="80" t="str">
        <f>IF(AND($F237&lt;&gt;"", $F237&gt;=CM$5-4, $F237&lt;=CM$5, COUNTIF($M237:CL237,"u")=0), "u", "")</f>
        <v/>
      </c>
      <c r="CN237" s="80" t="str">
        <f>IF(AND($F237&lt;&gt;"", $F237&gt;=CN$5-4, $F237&lt;=CN$5, COUNTIF($M237:CM237,"u")=0), "u", "")</f>
        <v/>
      </c>
      <c r="CO237" s="80" t="str">
        <f>IF(AND($F237&lt;&gt;"", $F237&gt;=CO$5-4, $F237&lt;=CO$5, COUNTIF($M237:CN237,"u")=0), "u", "")</f>
        <v/>
      </c>
      <c r="CP237" s="80" t="str">
        <f>IF(AND($F237&lt;&gt;"", $F237&gt;=CP$5-4, $F237&lt;=CP$5, COUNTIF($M237:CO237,"u")=0), "u", "")</f>
        <v/>
      </c>
      <c r="CQ237" s="80" t="str">
        <f>IF(AND($F237&lt;&gt;"", $F237&gt;=CQ$5-4, $F237&lt;=CQ$5, COUNTIF($M237:CP237,"u")=0), "u", "")</f>
        <v/>
      </c>
      <c r="CR237" s="80" t="str">
        <f>IF(AND($F237&lt;&gt;"", $F237&gt;=CR$5-4, $F237&lt;=CR$5, COUNTIF($M237:CQ237,"u")=0), "u", "")</f>
        <v/>
      </c>
      <c r="CS237" s="80" t="str">
        <f>IF(AND($F237&lt;&gt;"", $F237&gt;=CS$5-4, $F237&lt;=CS$5, COUNTIF($M237:CR237,"u")=0), "u", "")</f>
        <v/>
      </c>
      <c r="CT237" s="80" t="str">
        <f>IF(AND($F237&lt;&gt;"", $F237&gt;=CT$5-4, $F237&lt;=CT$5, COUNTIF($M237:CS237,"u")=0), "u", "")</f>
        <v/>
      </c>
      <c r="CU237" s="80" t="str">
        <f>IF(AND($F237&lt;&gt;"", $F237&gt;=CU$5-4, $F237&lt;=CU$5, COUNTIF($M237:CT237,"u")=0), "u", "")</f>
        <v/>
      </c>
      <c r="CV237" s="80" t="str">
        <f>IF(AND($F237&lt;&gt;"", $F237&gt;=CV$5-4, $F237&lt;=CV$5, COUNTIF($M237:CU237,"u")=0), "u", "")</f>
        <v/>
      </c>
      <c r="CW237" s="80" t="str">
        <f>IF(AND($F237&lt;&gt;"", $F237&gt;=CW$5-4, $F237&lt;=CW$5, COUNTIF($M237:CV237,"u")=0), "u", "")</f>
        <v/>
      </c>
      <c r="CX237" s="80" t="str">
        <f>IF(AND($F237&lt;&gt;"", $F237&gt;=CX$5-4, $F237&lt;=CX$5, COUNTIF($M237:CW237,"u")=0), "u", "")</f>
        <v/>
      </c>
      <c r="CY237" s="80" t="str">
        <f>IF(AND($F237&lt;&gt;"", $F237&gt;=CY$5-4, $F237&lt;=CY$5, COUNTIF($M237:CX237,"u")=0), "u", "")</f>
        <v/>
      </c>
      <c r="CZ237" s="80" t="str">
        <f>IF(AND($F237&lt;&gt;"", $F237&gt;=CZ$5-4, $F237&lt;=CZ$5, COUNTIF($M237:CY237,"u")=0), "u", "")</f>
        <v/>
      </c>
      <c r="DA237" s="80" t="str">
        <f>IF(AND($F237&lt;&gt;"", $F237&gt;=DA$5-4, $F237&lt;=DA$5, COUNTIF($M237:CZ237,"u")=0), "u", "")</f>
        <v/>
      </c>
      <c r="DB237" s="80" t="str">
        <f>IF(AND($F237&lt;&gt;"", $F237&gt;=DB$5-4, $F237&lt;=DB$5, COUNTIF($M237:DA237,"u")=0), "u", "")</f>
        <v/>
      </c>
      <c r="DC237" s="80" t="str">
        <f>IF(AND($F237&lt;&gt;"", $F237&gt;=DC$5-4, $F237&lt;=DC$5, COUNTIF($M237:DB237,"u")=0), "u", "")</f>
        <v/>
      </c>
      <c r="DD237" s="80" t="str">
        <f>IF(AND($F237&lt;&gt;"", $F237&gt;=DD$5-4, $F237&lt;=DD$5, COUNTIF($M237:DC237,"u")=0), "u", "")</f>
        <v/>
      </c>
      <c r="DE237" s="80" t="str">
        <f>IF(AND($F237&lt;&gt;"", $F237&gt;=DE$5-4, $F237&lt;=DE$5, COUNTIF($M237:DD237,"u")=0), "u", "")</f>
        <v/>
      </c>
      <c r="DF237" s="80" t="str">
        <f>IF(AND($F237&lt;&gt;"", $F237&gt;=DF$5-4, $F237&lt;=DF$5, COUNTIF($M237:DE237,"u")=0), "u", "")</f>
        <v/>
      </c>
      <c r="DG237" s="80" t="str">
        <f>IF(AND($F237&lt;&gt;"", $F237&gt;=DG$5-4, $F237&lt;=DG$5, COUNTIF($M237:DF237,"u")=0), "u", "")</f>
        <v/>
      </c>
      <c r="DH237" s="80" t="str">
        <f>IF(AND($F237&lt;&gt;"", $F237&gt;=DH$5-4, $F237&lt;=DH$5, COUNTIF($M237:DG237,"u")=0), "u", "")</f>
        <v/>
      </c>
      <c r="DI237" s="80" t="str">
        <f>IF(AND($F237&lt;&gt;"", $F237&gt;=DI$5-4, $F237&lt;=DI$5, COUNTIF($M237:DH237,"u")=0), "u", "")</f>
        <v/>
      </c>
      <c r="DJ237" s="80" t="str">
        <f>IF(AND($F237&lt;&gt;"", $F237&gt;=DJ$5-4, $F237&lt;=DJ$5, COUNTIF($M237:DI237,"u")=0), "u", "")</f>
        <v/>
      </c>
      <c r="DK237" s="80" t="str">
        <f>IF(AND($F237&lt;&gt;"", $F237&gt;=DK$5-4, $F237&lt;=DK$5, COUNTIF($M237:DJ237,"u")=0), "u", "")</f>
        <v/>
      </c>
      <c r="DL237" s="80" t="str">
        <f>IF(AND($F237&lt;&gt;"", $F237&gt;=DL$5-4, $F237&lt;=DL$5, COUNTIF($M237:DK237,"u")=0), "u", "")</f>
        <v/>
      </c>
    </row>
    <row r="238" spans="1:116" ht="25.05" customHeight="1" x14ac:dyDescent="0.3">
      <c r="A238" s="39"/>
      <c r="B238" s="75">
        <v>233</v>
      </c>
      <c r="C238" s="97"/>
      <c r="D238" s="92"/>
      <c r="E238" s="53"/>
      <c r="F238" s="53"/>
      <c r="G238" s="83" t="str">
        <f t="shared" si="56"/>
        <v/>
      </c>
      <c r="H238" s="83" t="str">
        <f t="shared" si="56"/>
        <v/>
      </c>
      <c r="I238" s="77" t="str">
        <f t="shared" si="54"/>
        <v/>
      </c>
      <c r="J238" s="78"/>
      <c r="K238" s="86"/>
      <c r="L238" s="56"/>
      <c r="M238" s="80" t="str">
        <f t="shared" si="55"/>
        <v/>
      </c>
      <c r="N238" s="80" t="str">
        <f>IF(AND($F238&lt;&gt;"", $F238&gt;=N$5-4, $F238&lt;=N$5, COUNTIF($M238:M238,"u")=0), "u", "")</f>
        <v/>
      </c>
      <c r="O238" s="80" t="str">
        <f>IF(AND($F238&lt;&gt;"", $F238&gt;=O$5-4, $F238&lt;=O$5, COUNTIF($M238:N238,"u")=0), "u", "")</f>
        <v/>
      </c>
      <c r="P238" s="80" t="str">
        <f>IF(AND($F238&lt;&gt;"", $F238&gt;=P$5-4, $F238&lt;=P$5, COUNTIF($M238:O238,"u")=0), "u", "")</f>
        <v/>
      </c>
      <c r="Q238" s="80" t="str">
        <f>IF(AND($F238&lt;&gt;"", $F238&gt;=Q$5-4, $F238&lt;=Q$5, COUNTIF($M238:P238,"u")=0), "u", "")</f>
        <v/>
      </c>
      <c r="R238" s="80" t="str">
        <f>IF(AND($F238&lt;&gt;"", $F238&gt;=R$5-4, $F238&lt;=R$5, COUNTIF($M238:Q238,"u")=0), "u", "")</f>
        <v/>
      </c>
      <c r="S238" s="80" t="str">
        <f>IF(AND($F238&lt;&gt;"", $F238&gt;=S$5-4, $F238&lt;=S$5, COUNTIF($M238:R238,"u")=0), "u", "")</f>
        <v/>
      </c>
      <c r="T238" s="80" t="str">
        <f>IF(AND($F238&lt;&gt;"", $F238&gt;=T$5-4, $F238&lt;=T$5, COUNTIF($M238:S238,"u")=0), "u", "")</f>
        <v/>
      </c>
      <c r="U238" s="80" t="str">
        <f>IF(AND($F238&lt;&gt;"", $F238&gt;=U$5-4, $F238&lt;=U$5, COUNTIF($M238:T238,"u")=0), "u", "")</f>
        <v/>
      </c>
      <c r="V238" s="80" t="str">
        <f>IF(AND($F238&lt;&gt;"", $F238&gt;=V$5-4, $F238&lt;=V$5, COUNTIF($M238:U238,"u")=0), "u", "")</f>
        <v/>
      </c>
      <c r="W238" s="80" t="str">
        <f>IF(AND($F238&lt;&gt;"", $F238&gt;=W$5-4, $F238&lt;=W$5, COUNTIF($M238:V238,"u")=0), "u", "")</f>
        <v/>
      </c>
      <c r="X238" s="80" t="str">
        <f>IF(AND($F238&lt;&gt;"", $F238&gt;=X$5-4, $F238&lt;=X$5, COUNTIF($M238:W238,"u")=0), "u", "")</f>
        <v/>
      </c>
      <c r="Y238" s="80" t="str">
        <f>IF(AND($F238&lt;&gt;"", $F238&gt;=Y$5-4, $F238&lt;=Y$5, COUNTIF($M238:X238,"u")=0), "u", "")</f>
        <v/>
      </c>
      <c r="Z238" s="80" t="str">
        <f>IF(AND($F238&lt;&gt;"", $F238&gt;=Z$5-4, $F238&lt;=Z$5, COUNTIF($M238:Y238,"u")=0), "u", "")</f>
        <v/>
      </c>
      <c r="AA238" s="80" t="str">
        <f>IF(AND($F238&lt;&gt;"", $F238&gt;=AA$5-4, $F238&lt;=AA$5, COUNTIF($M238:Z238,"u")=0), "u", "")</f>
        <v/>
      </c>
      <c r="AB238" s="80" t="str">
        <f>IF(AND($F238&lt;&gt;"", $F238&gt;=AB$5-4, $F238&lt;=AB$5, COUNTIF($M238:AA238,"u")=0), "u", "")</f>
        <v/>
      </c>
      <c r="AC238" s="80" t="str">
        <f>IF(AND($F238&lt;&gt;"", $F238&gt;=AC$5-4, $F238&lt;=AC$5, COUNTIF($M238:AB238,"u")=0), "u", "")</f>
        <v/>
      </c>
      <c r="AD238" s="80" t="str">
        <f>IF(AND($F238&lt;&gt;"", $F238&gt;=AD$5-4, $F238&lt;=AD$5, COUNTIF($M238:AC238,"u")=0), "u", "")</f>
        <v/>
      </c>
      <c r="AE238" s="80" t="str">
        <f>IF(AND($F238&lt;&gt;"", $F238&gt;=AE$5-4, $F238&lt;=AE$5, COUNTIF($M238:AD238,"u")=0), "u", "")</f>
        <v/>
      </c>
      <c r="AF238" s="80" t="str">
        <f>IF(AND($F238&lt;&gt;"", $F238&gt;=AF$5-4, $F238&lt;=AF$5, COUNTIF($M238:AE238,"u")=0), "u", "")</f>
        <v/>
      </c>
      <c r="AG238" s="80" t="str">
        <f>IF(AND($F238&lt;&gt;"", $F238&gt;=AG$5-4, $F238&lt;=AG$5, COUNTIF($M238:AF238,"u")=0), "u", "")</f>
        <v/>
      </c>
      <c r="AH238" s="80" t="str">
        <f>IF(AND($F238&lt;&gt;"", $F238&gt;=AH$5-4, $F238&lt;=AH$5, COUNTIF($M238:AG238,"u")=0), "u", "")</f>
        <v/>
      </c>
      <c r="AI238" s="80" t="str">
        <f>IF(AND($F238&lt;&gt;"", $F238&gt;=AI$5-4, $F238&lt;=AI$5, COUNTIF($M238:AH238,"u")=0), "u", "")</f>
        <v/>
      </c>
      <c r="AJ238" s="80" t="str">
        <f>IF(AND($F238&lt;&gt;"", $F238&gt;=AJ$5-4, $F238&lt;=AJ$5, COUNTIF($M238:AI238,"u")=0), "u", "")</f>
        <v/>
      </c>
      <c r="AK238" s="80" t="str">
        <f>IF(AND($F238&lt;&gt;"", $F238&gt;=AK$5-4, $F238&lt;=AK$5, COUNTIF($M238:AJ238,"u")=0), "u", "")</f>
        <v/>
      </c>
      <c r="AL238" s="80" t="str">
        <f>IF(AND($F238&lt;&gt;"", $F238&gt;=AL$5-4, $F238&lt;=AL$5, COUNTIF($M238:AK238,"u")=0), "u", "")</f>
        <v/>
      </c>
      <c r="AM238" s="80" t="str">
        <f>IF(AND($F238&lt;&gt;"", $F238&gt;=AM$5-4, $F238&lt;=AM$5, COUNTIF($M238:AL238,"u")=0), "u", "")</f>
        <v/>
      </c>
      <c r="AN238" s="80" t="str">
        <f>IF(AND($F238&lt;&gt;"", $F238&gt;=AN$5-4, $F238&lt;=AN$5, COUNTIF($M238:AM238,"u")=0), "u", "")</f>
        <v/>
      </c>
      <c r="AO238" s="80" t="str">
        <f>IF(AND($F238&lt;&gt;"", $F238&gt;=AO$5-4, $F238&lt;=AO$5, COUNTIF($M238:AN238,"u")=0), "u", "")</f>
        <v/>
      </c>
      <c r="AP238" s="80" t="str">
        <f>IF(AND($F238&lt;&gt;"", $F238&gt;=AP$5-4, $F238&lt;=AP$5, COUNTIF($M238:AO238,"u")=0), "u", "")</f>
        <v/>
      </c>
      <c r="AQ238" s="80" t="str">
        <f>IF(AND($F238&lt;&gt;"", $F238&gt;=AQ$5-4, $F238&lt;=AQ$5, COUNTIF($M238:AP238,"u")=0), "u", "")</f>
        <v/>
      </c>
      <c r="AR238" s="80" t="str">
        <f>IF(AND($F238&lt;&gt;"", $F238&gt;=AR$5-4, $F238&lt;=AR$5, COUNTIF($M238:AQ238,"u")=0), "u", "")</f>
        <v/>
      </c>
      <c r="AS238" s="80" t="str">
        <f>IF(AND($F238&lt;&gt;"", $F238&gt;=AS$5-4, $F238&lt;=AS$5, COUNTIF($M238:AR238,"u")=0), "u", "")</f>
        <v/>
      </c>
      <c r="AT238" s="80" t="str">
        <f>IF(AND($F238&lt;&gt;"", $F238&gt;=AT$5-4, $F238&lt;=AT$5, COUNTIF($M238:AS238,"u")=0), "u", "")</f>
        <v/>
      </c>
      <c r="AU238" s="80" t="str">
        <f>IF(AND($F238&lt;&gt;"", $F238&gt;=AU$5-4, $F238&lt;=AU$5, COUNTIF($M238:AT238,"u")=0), "u", "")</f>
        <v/>
      </c>
      <c r="AV238" s="80" t="str">
        <f>IF(AND($F238&lt;&gt;"", $F238&gt;=AV$5-4, $F238&lt;=AV$5, COUNTIF($M238:AU238,"u")=0), "u", "")</f>
        <v/>
      </c>
      <c r="AW238" s="80" t="str">
        <f>IF(AND($F238&lt;&gt;"", $F238&gt;=AW$5-4, $F238&lt;=AW$5, COUNTIF($M238:AV238,"u")=0), "u", "")</f>
        <v/>
      </c>
      <c r="AX238" s="80" t="str">
        <f>IF(AND($F238&lt;&gt;"", $F238&gt;=AX$5-4, $F238&lt;=AX$5, COUNTIF($M238:AW238,"u")=0), "u", "")</f>
        <v/>
      </c>
      <c r="AY238" s="80" t="str">
        <f>IF(AND($F238&lt;&gt;"", $F238&gt;=AY$5-4, $F238&lt;=AY$5, COUNTIF($M238:AX238,"u")=0), "u", "")</f>
        <v/>
      </c>
      <c r="AZ238" s="80" t="str">
        <f>IF(AND($F238&lt;&gt;"", $F238&gt;=AZ$5-4, $F238&lt;=AZ$5, COUNTIF($M238:AY238,"u")=0), "u", "")</f>
        <v/>
      </c>
      <c r="BA238" s="80" t="str">
        <f>IF(AND($F238&lt;&gt;"", $F238&gt;=BA$5-4, $F238&lt;=BA$5, COUNTIF($M238:AZ238,"u")=0), "u", "")</f>
        <v/>
      </c>
      <c r="BB238" s="80" t="str">
        <f>IF(AND($F238&lt;&gt;"", $F238&gt;=BB$5-4, $F238&lt;=BB$5, COUNTIF($M238:BA238,"u")=0), "u", "")</f>
        <v/>
      </c>
      <c r="BC238" s="80" t="str">
        <f>IF(AND($F238&lt;&gt;"", $F238&gt;=BC$5-4, $F238&lt;=BC$5, COUNTIF($M238:BB238,"u")=0), "u", "")</f>
        <v/>
      </c>
      <c r="BD238" s="80" t="str">
        <f>IF(AND($F238&lt;&gt;"", $F238&gt;=BD$5-4, $F238&lt;=BD$5, COUNTIF($M238:BC238,"u")=0), "u", "")</f>
        <v/>
      </c>
      <c r="BE238" s="80" t="str">
        <f>IF(AND($F238&lt;&gt;"", $F238&gt;=BE$5-4, $F238&lt;=BE$5, COUNTIF($M238:BD238,"u")=0), "u", "")</f>
        <v/>
      </c>
      <c r="BF238" s="80" t="str">
        <f>IF(AND($F238&lt;&gt;"", $F238&gt;=BF$5-4, $F238&lt;=BF$5, COUNTIF($M238:BE238,"u")=0), "u", "")</f>
        <v/>
      </c>
      <c r="BG238" s="80" t="str">
        <f>IF(AND($F238&lt;&gt;"", $F238&gt;=BG$5-4, $F238&lt;=BG$5, COUNTIF($M238:BF238,"u")=0), "u", "")</f>
        <v/>
      </c>
      <c r="BH238" s="80" t="str">
        <f>IF(AND($F238&lt;&gt;"", $F238&gt;=BH$5-4, $F238&lt;=BH$5, COUNTIF($M238:BG238,"u")=0), "u", "")</f>
        <v/>
      </c>
      <c r="BI238" s="80" t="str">
        <f>IF(AND($F238&lt;&gt;"", $F238&gt;=BI$5-4, $F238&lt;=BI$5, COUNTIF($M238:BH238,"u")=0), "u", "")</f>
        <v/>
      </c>
      <c r="BJ238" s="80" t="str">
        <f>IF(AND($F238&lt;&gt;"", $F238&gt;=BJ$5-4, $F238&lt;=BJ$5, COUNTIF($M238:BI238,"u")=0), "u", "")</f>
        <v/>
      </c>
      <c r="BK238" s="80" t="str">
        <f>IF(AND($F238&lt;&gt;"", $F238&gt;=BK$5-4, $F238&lt;=BK$5, COUNTIF($M238:BJ238,"u")=0), "u", "")</f>
        <v/>
      </c>
      <c r="BL238" s="80" t="str">
        <f>IF(AND($F238&lt;&gt;"", $F238&gt;=BL$5-4, $F238&lt;=BL$5, COUNTIF($M238:BK238,"u")=0), "u", "")</f>
        <v/>
      </c>
      <c r="BM238" s="80" t="str">
        <f>IF(AND($F238&lt;&gt;"", $F238&gt;=BM$5-4, $F238&lt;=BM$5, COUNTIF($M238:BL238,"u")=0), "u", "")</f>
        <v/>
      </c>
      <c r="BN238" s="80" t="str">
        <f>IF(AND($F238&lt;&gt;"", $F238&gt;=BN$5-4, $F238&lt;=BN$5, COUNTIF($M238:BM238,"u")=0), "u", "")</f>
        <v/>
      </c>
      <c r="BO238" s="80" t="str">
        <f>IF(AND($F238&lt;&gt;"", $F238&gt;=BO$5-4, $F238&lt;=BO$5, COUNTIF($M238:BN238,"u")=0), "u", "")</f>
        <v/>
      </c>
      <c r="BP238" s="80" t="str">
        <f>IF(AND($F238&lt;&gt;"", $F238&gt;=BP$5-4, $F238&lt;=BP$5, COUNTIF($M238:BO238,"u")=0), "u", "")</f>
        <v/>
      </c>
      <c r="BQ238" s="80" t="str">
        <f>IF(AND($F238&lt;&gt;"", $F238&gt;=BQ$5-4, $F238&lt;=BQ$5, COUNTIF($M238:BP238,"u")=0), "u", "")</f>
        <v/>
      </c>
      <c r="BR238" s="80" t="str">
        <f>IF(AND($F238&lt;&gt;"", $F238&gt;=BR$5-4, $F238&lt;=BR$5, COUNTIF($M238:BQ238,"u")=0), "u", "")</f>
        <v/>
      </c>
      <c r="BS238" s="80" t="str">
        <f>IF(AND($F238&lt;&gt;"", $F238&gt;=BS$5-4, $F238&lt;=BS$5, COUNTIF($M238:BR238,"u")=0), "u", "")</f>
        <v/>
      </c>
      <c r="BT238" s="80" t="str">
        <f>IF(AND($F238&lt;&gt;"", $F238&gt;=BT$5-4, $F238&lt;=BT$5, COUNTIF($M238:BS238,"u")=0), "u", "")</f>
        <v/>
      </c>
      <c r="BU238" s="80" t="str">
        <f>IF(AND($F238&lt;&gt;"", $F238&gt;=BU$5-4, $F238&lt;=BU$5, COUNTIF($M238:BT238,"u")=0), "u", "")</f>
        <v/>
      </c>
      <c r="BV238" s="80" t="str">
        <f>IF(AND($F238&lt;&gt;"", $F238&gt;=BV$5-4, $F238&lt;=BV$5, COUNTIF($M238:BU238,"u")=0), "u", "")</f>
        <v/>
      </c>
      <c r="BW238" s="80" t="str">
        <f>IF(AND($F238&lt;&gt;"", $F238&gt;=BW$5-4, $F238&lt;=BW$5, COUNTIF($M238:BV238,"u")=0), "u", "")</f>
        <v/>
      </c>
      <c r="BX238" s="80" t="str">
        <f>IF(AND($F238&lt;&gt;"", $F238&gt;=BX$5-4, $F238&lt;=BX$5, COUNTIF($M238:BW238,"u")=0), "u", "")</f>
        <v/>
      </c>
      <c r="BY238" s="80" t="str">
        <f>IF(AND($F238&lt;&gt;"", $F238&gt;=BY$5-4, $F238&lt;=BY$5, COUNTIF($M238:BX238,"u")=0), "u", "")</f>
        <v/>
      </c>
      <c r="BZ238" s="80" t="str">
        <f>IF(AND($F238&lt;&gt;"", $F238&gt;=BZ$5-4, $F238&lt;=BZ$5, COUNTIF($M238:BY238,"u")=0), "u", "")</f>
        <v/>
      </c>
      <c r="CA238" s="80" t="str">
        <f>IF(AND($F238&lt;&gt;"", $F238&gt;=CA$5-4, $F238&lt;=CA$5, COUNTIF($M238:BZ238,"u")=0), "u", "")</f>
        <v/>
      </c>
      <c r="CB238" s="80" t="str">
        <f>IF(AND($F238&lt;&gt;"", $F238&gt;=CB$5-4, $F238&lt;=CB$5, COUNTIF($M238:CA238,"u")=0), "u", "")</f>
        <v/>
      </c>
      <c r="CC238" s="80" t="str">
        <f>IF(AND($F238&lt;&gt;"", $F238&gt;=CC$5-4, $F238&lt;=CC$5, COUNTIF($M238:CB238,"u")=0), "u", "")</f>
        <v/>
      </c>
      <c r="CD238" s="80" t="str">
        <f>IF(AND($F238&lt;&gt;"", $F238&gt;=CD$5-4, $F238&lt;=CD$5, COUNTIF($M238:CC238,"u")=0), "u", "")</f>
        <v/>
      </c>
      <c r="CE238" s="80" t="str">
        <f>IF(AND($F238&lt;&gt;"", $F238&gt;=CE$5-4, $F238&lt;=CE$5, COUNTIF($M238:CD238,"u")=0), "u", "")</f>
        <v/>
      </c>
      <c r="CF238" s="80" t="str">
        <f>IF(AND($F238&lt;&gt;"", $F238&gt;=CF$5-4, $F238&lt;=CF$5, COUNTIF($M238:CE238,"u")=0), "u", "")</f>
        <v/>
      </c>
      <c r="CG238" s="80" t="str">
        <f>IF(AND($F238&lt;&gt;"", $F238&gt;=CG$5-4, $F238&lt;=CG$5, COUNTIF($M238:CF238,"u")=0), "u", "")</f>
        <v/>
      </c>
      <c r="CH238" s="80" t="str">
        <f>IF(AND($F238&lt;&gt;"", $F238&gt;=CH$5-4, $F238&lt;=CH$5, COUNTIF($M238:CG238,"u")=0), "u", "")</f>
        <v/>
      </c>
      <c r="CI238" s="80" t="str">
        <f>IF(AND($F238&lt;&gt;"", $F238&gt;=CI$5-4, $F238&lt;=CI$5, COUNTIF($M238:CH238,"u")=0), "u", "")</f>
        <v/>
      </c>
      <c r="CJ238" s="80" t="str">
        <f>IF(AND($F238&lt;&gt;"", $F238&gt;=CJ$5-4, $F238&lt;=CJ$5, COUNTIF($M238:CI238,"u")=0), "u", "")</f>
        <v/>
      </c>
      <c r="CK238" s="80" t="str">
        <f>IF(AND($F238&lt;&gt;"", $F238&gt;=CK$5-4, $F238&lt;=CK$5, COUNTIF($M238:CJ238,"u")=0), "u", "")</f>
        <v/>
      </c>
      <c r="CL238" s="80" t="str">
        <f>IF(AND($F238&lt;&gt;"", $F238&gt;=CL$5-4, $F238&lt;=CL$5, COUNTIF($M238:CK238,"u")=0), "u", "")</f>
        <v/>
      </c>
      <c r="CM238" s="80" t="str">
        <f>IF(AND($F238&lt;&gt;"", $F238&gt;=CM$5-4, $F238&lt;=CM$5, COUNTIF($M238:CL238,"u")=0), "u", "")</f>
        <v/>
      </c>
      <c r="CN238" s="80" t="str">
        <f>IF(AND($F238&lt;&gt;"", $F238&gt;=CN$5-4, $F238&lt;=CN$5, COUNTIF($M238:CM238,"u")=0), "u", "")</f>
        <v/>
      </c>
      <c r="CO238" s="80" t="str">
        <f>IF(AND($F238&lt;&gt;"", $F238&gt;=CO$5-4, $F238&lt;=CO$5, COUNTIF($M238:CN238,"u")=0), "u", "")</f>
        <v/>
      </c>
      <c r="CP238" s="80" t="str">
        <f>IF(AND($F238&lt;&gt;"", $F238&gt;=CP$5-4, $F238&lt;=CP$5, COUNTIF($M238:CO238,"u")=0), "u", "")</f>
        <v/>
      </c>
      <c r="CQ238" s="80" t="str">
        <f>IF(AND($F238&lt;&gt;"", $F238&gt;=CQ$5-4, $F238&lt;=CQ$5, COUNTIF($M238:CP238,"u")=0), "u", "")</f>
        <v/>
      </c>
      <c r="CR238" s="80" t="str">
        <f>IF(AND($F238&lt;&gt;"", $F238&gt;=CR$5-4, $F238&lt;=CR$5, COUNTIF($M238:CQ238,"u")=0), "u", "")</f>
        <v/>
      </c>
      <c r="CS238" s="80" t="str">
        <f>IF(AND($F238&lt;&gt;"", $F238&gt;=CS$5-4, $F238&lt;=CS$5, COUNTIF($M238:CR238,"u")=0), "u", "")</f>
        <v/>
      </c>
      <c r="CT238" s="80" t="str">
        <f>IF(AND($F238&lt;&gt;"", $F238&gt;=CT$5-4, $F238&lt;=CT$5, COUNTIF($M238:CS238,"u")=0), "u", "")</f>
        <v/>
      </c>
      <c r="CU238" s="80" t="str">
        <f>IF(AND($F238&lt;&gt;"", $F238&gt;=CU$5-4, $F238&lt;=CU$5, COUNTIF($M238:CT238,"u")=0), "u", "")</f>
        <v/>
      </c>
      <c r="CV238" s="80" t="str">
        <f>IF(AND($F238&lt;&gt;"", $F238&gt;=CV$5-4, $F238&lt;=CV$5, COUNTIF($M238:CU238,"u")=0), "u", "")</f>
        <v/>
      </c>
      <c r="CW238" s="80" t="str">
        <f>IF(AND($F238&lt;&gt;"", $F238&gt;=CW$5-4, $F238&lt;=CW$5, COUNTIF($M238:CV238,"u")=0), "u", "")</f>
        <v/>
      </c>
      <c r="CX238" s="80" t="str">
        <f>IF(AND($F238&lt;&gt;"", $F238&gt;=CX$5-4, $F238&lt;=CX$5, COUNTIF($M238:CW238,"u")=0), "u", "")</f>
        <v/>
      </c>
      <c r="CY238" s="80" t="str">
        <f>IF(AND($F238&lt;&gt;"", $F238&gt;=CY$5-4, $F238&lt;=CY$5, COUNTIF($M238:CX238,"u")=0), "u", "")</f>
        <v/>
      </c>
      <c r="CZ238" s="80" t="str">
        <f>IF(AND($F238&lt;&gt;"", $F238&gt;=CZ$5-4, $F238&lt;=CZ$5, COUNTIF($M238:CY238,"u")=0), "u", "")</f>
        <v/>
      </c>
      <c r="DA238" s="80" t="str">
        <f>IF(AND($F238&lt;&gt;"", $F238&gt;=DA$5-4, $F238&lt;=DA$5, COUNTIF($M238:CZ238,"u")=0), "u", "")</f>
        <v/>
      </c>
      <c r="DB238" s="80" t="str">
        <f>IF(AND($F238&lt;&gt;"", $F238&gt;=DB$5-4, $F238&lt;=DB$5, COUNTIF($M238:DA238,"u")=0), "u", "")</f>
        <v/>
      </c>
      <c r="DC238" s="80" t="str">
        <f>IF(AND($F238&lt;&gt;"", $F238&gt;=DC$5-4, $F238&lt;=DC$5, COUNTIF($M238:DB238,"u")=0), "u", "")</f>
        <v/>
      </c>
      <c r="DD238" s="80" t="str">
        <f>IF(AND($F238&lt;&gt;"", $F238&gt;=DD$5-4, $F238&lt;=DD$5, COUNTIF($M238:DC238,"u")=0), "u", "")</f>
        <v/>
      </c>
      <c r="DE238" s="80" t="str">
        <f>IF(AND($F238&lt;&gt;"", $F238&gt;=DE$5-4, $F238&lt;=DE$5, COUNTIF($M238:DD238,"u")=0), "u", "")</f>
        <v/>
      </c>
      <c r="DF238" s="80" t="str">
        <f>IF(AND($F238&lt;&gt;"", $F238&gt;=DF$5-4, $F238&lt;=DF$5, COUNTIF($M238:DE238,"u")=0), "u", "")</f>
        <v/>
      </c>
      <c r="DG238" s="80" t="str">
        <f>IF(AND($F238&lt;&gt;"", $F238&gt;=DG$5-4, $F238&lt;=DG$5, COUNTIF($M238:DF238,"u")=0), "u", "")</f>
        <v/>
      </c>
      <c r="DH238" s="80" t="str">
        <f>IF(AND($F238&lt;&gt;"", $F238&gt;=DH$5-4, $F238&lt;=DH$5, COUNTIF($M238:DG238,"u")=0), "u", "")</f>
        <v/>
      </c>
      <c r="DI238" s="80" t="str">
        <f>IF(AND($F238&lt;&gt;"", $F238&gt;=DI$5-4, $F238&lt;=DI$5, COUNTIF($M238:DH238,"u")=0), "u", "")</f>
        <v/>
      </c>
      <c r="DJ238" s="80" t="str">
        <f>IF(AND($F238&lt;&gt;"", $F238&gt;=DJ$5-4, $F238&lt;=DJ$5, COUNTIF($M238:DI238,"u")=0), "u", "")</f>
        <v/>
      </c>
      <c r="DK238" s="80" t="str">
        <f>IF(AND($F238&lt;&gt;"", $F238&gt;=DK$5-4, $F238&lt;=DK$5, COUNTIF($M238:DJ238,"u")=0), "u", "")</f>
        <v/>
      </c>
      <c r="DL238" s="80" t="str">
        <f>IF(AND($F238&lt;&gt;"", $F238&gt;=DL$5-4, $F238&lt;=DL$5, COUNTIF($M238:DK238,"u")=0), "u", "")</f>
        <v/>
      </c>
    </row>
    <row r="239" spans="1:116" ht="25.05" customHeight="1" x14ac:dyDescent="0.3">
      <c r="A239" s="39"/>
      <c r="B239" s="75">
        <v>234</v>
      </c>
      <c r="C239" s="97"/>
      <c r="D239" s="92"/>
      <c r="E239" s="53"/>
      <c r="F239" s="53"/>
      <c r="G239" s="83" t="str">
        <f t="shared" si="56"/>
        <v/>
      </c>
      <c r="H239" s="83" t="str">
        <f t="shared" si="56"/>
        <v/>
      </c>
      <c r="I239" s="77" t="str">
        <f t="shared" si="54"/>
        <v/>
      </c>
      <c r="J239" s="78"/>
      <c r="K239" s="86"/>
      <c r="L239" s="56"/>
      <c r="M239" s="80" t="str">
        <f t="shared" si="55"/>
        <v/>
      </c>
      <c r="N239" s="80" t="str">
        <f>IF(AND($F239&lt;&gt;"", $F239&gt;=N$5-4, $F239&lt;=N$5, COUNTIF($M239:M239,"u")=0), "u", "")</f>
        <v/>
      </c>
      <c r="O239" s="80" t="str">
        <f>IF(AND($F239&lt;&gt;"", $F239&gt;=O$5-4, $F239&lt;=O$5, COUNTIF($M239:N239,"u")=0), "u", "")</f>
        <v/>
      </c>
      <c r="P239" s="80" t="str">
        <f>IF(AND($F239&lt;&gt;"", $F239&gt;=P$5-4, $F239&lt;=P$5, COUNTIF($M239:O239,"u")=0), "u", "")</f>
        <v/>
      </c>
      <c r="Q239" s="80" t="str">
        <f>IF(AND($F239&lt;&gt;"", $F239&gt;=Q$5-4, $F239&lt;=Q$5, COUNTIF($M239:P239,"u")=0), "u", "")</f>
        <v/>
      </c>
      <c r="R239" s="80" t="str">
        <f>IF(AND($F239&lt;&gt;"", $F239&gt;=R$5-4, $F239&lt;=R$5, COUNTIF($M239:Q239,"u")=0), "u", "")</f>
        <v/>
      </c>
      <c r="S239" s="80" t="str">
        <f>IF(AND($F239&lt;&gt;"", $F239&gt;=S$5-4, $F239&lt;=S$5, COUNTIF($M239:R239,"u")=0), "u", "")</f>
        <v/>
      </c>
      <c r="T239" s="80" t="str">
        <f>IF(AND($F239&lt;&gt;"", $F239&gt;=T$5-4, $F239&lt;=T$5, COUNTIF($M239:S239,"u")=0), "u", "")</f>
        <v/>
      </c>
      <c r="U239" s="80" t="str">
        <f>IF(AND($F239&lt;&gt;"", $F239&gt;=U$5-4, $F239&lt;=U$5, COUNTIF($M239:T239,"u")=0), "u", "")</f>
        <v/>
      </c>
      <c r="V239" s="80" t="str">
        <f>IF(AND($F239&lt;&gt;"", $F239&gt;=V$5-4, $F239&lt;=V$5, COUNTIF($M239:U239,"u")=0), "u", "")</f>
        <v/>
      </c>
      <c r="W239" s="80" t="str">
        <f>IF(AND($F239&lt;&gt;"", $F239&gt;=W$5-4, $F239&lt;=W$5, COUNTIF($M239:V239,"u")=0), "u", "")</f>
        <v/>
      </c>
      <c r="X239" s="80" t="str">
        <f>IF(AND($F239&lt;&gt;"", $F239&gt;=X$5-4, $F239&lt;=X$5, COUNTIF($M239:W239,"u")=0), "u", "")</f>
        <v/>
      </c>
      <c r="Y239" s="80" t="str">
        <f>IF(AND($F239&lt;&gt;"", $F239&gt;=Y$5-4, $F239&lt;=Y$5, COUNTIF($M239:X239,"u")=0), "u", "")</f>
        <v/>
      </c>
      <c r="Z239" s="80" t="str">
        <f>IF(AND($F239&lt;&gt;"", $F239&gt;=Z$5-4, $F239&lt;=Z$5, COUNTIF($M239:Y239,"u")=0), "u", "")</f>
        <v/>
      </c>
      <c r="AA239" s="80" t="str">
        <f>IF(AND($F239&lt;&gt;"", $F239&gt;=AA$5-4, $F239&lt;=AA$5, COUNTIF($M239:Z239,"u")=0), "u", "")</f>
        <v/>
      </c>
      <c r="AB239" s="80" t="str">
        <f>IF(AND($F239&lt;&gt;"", $F239&gt;=AB$5-4, $F239&lt;=AB$5, COUNTIF($M239:AA239,"u")=0), "u", "")</f>
        <v/>
      </c>
      <c r="AC239" s="80" t="str">
        <f>IF(AND($F239&lt;&gt;"", $F239&gt;=AC$5-4, $F239&lt;=AC$5, COUNTIF($M239:AB239,"u")=0), "u", "")</f>
        <v/>
      </c>
      <c r="AD239" s="80" t="str">
        <f>IF(AND($F239&lt;&gt;"", $F239&gt;=AD$5-4, $F239&lt;=AD$5, COUNTIF($M239:AC239,"u")=0), "u", "")</f>
        <v/>
      </c>
      <c r="AE239" s="80" t="str">
        <f>IF(AND($F239&lt;&gt;"", $F239&gt;=AE$5-4, $F239&lt;=AE$5, COUNTIF($M239:AD239,"u")=0), "u", "")</f>
        <v/>
      </c>
      <c r="AF239" s="80" t="str">
        <f>IF(AND($F239&lt;&gt;"", $F239&gt;=AF$5-4, $F239&lt;=AF$5, COUNTIF($M239:AE239,"u")=0), "u", "")</f>
        <v/>
      </c>
      <c r="AG239" s="80" t="str">
        <f>IF(AND($F239&lt;&gt;"", $F239&gt;=AG$5-4, $F239&lt;=AG$5, COUNTIF($M239:AF239,"u")=0), "u", "")</f>
        <v/>
      </c>
      <c r="AH239" s="80" t="str">
        <f>IF(AND($F239&lt;&gt;"", $F239&gt;=AH$5-4, $F239&lt;=AH$5, COUNTIF($M239:AG239,"u")=0), "u", "")</f>
        <v/>
      </c>
      <c r="AI239" s="80" t="str">
        <f>IF(AND($F239&lt;&gt;"", $F239&gt;=AI$5-4, $F239&lt;=AI$5, COUNTIF($M239:AH239,"u")=0), "u", "")</f>
        <v/>
      </c>
      <c r="AJ239" s="80" t="str">
        <f>IF(AND($F239&lt;&gt;"", $F239&gt;=AJ$5-4, $F239&lt;=AJ$5, COUNTIF($M239:AI239,"u")=0), "u", "")</f>
        <v/>
      </c>
      <c r="AK239" s="80" t="str">
        <f>IF(AND($F239&lt;&gt;"", $F239&gt;=AK$5-4, $F239&lt;=AK$5, COUNTIF($M239:AJ239,"u")=0), "u", "")</f>
        <v/>
      </c>
      <c r="AL239" s="80" t="str">
        <f>IF(AND($F239&lt;&gt;"", $F239&gt;=AL$5-4, $F239&lt;=AL$5, COUNTIF($M239:AK239,"u")=0), "u", "")</f>
        <v/>
      </c>
      <c r="AM239" s="80" t="str">
        <f>IF(AND($F239&lt;&gt;"", $F239&gt;=AM$5-4, $F239&lt;=AM$5, COUNTIF($M239:AL239,"u")=0), "u", "")</f>
        <v/>
      </c>
      <c r="AN239" s="80" t="str">
        <f>IF(AND($F239&lt;&gt;"", $F239&gt;=AN$5-4, $F239&lt;=AN$5, COUNTIF($M239:AM239,"u")=0), "u", "")</f>
        <v/>
      </c>
      <c r="AO239" s="80" t="str">
        <f>IF(AND($F239&lt;&gt;"", $F239&gt;=AO$5-4, $F239&lt;=AO$5, COUNTIF($M239:AN239,"u")=0), "u", "")</f>
        <v/>
      </c>
      <c r="AP239" s="80" t="str">
        <f>IF(AND($F239&lt;&gt;"", $F239&gt;=AP$5-4, $F239&lt;=AP$5, COUNTIF($M239:AO239,"u")=0), "u", "")</f>
        <v/>
      </c>
      <c r="AQ239" s="80" t="str">
        <f>IF(AND($F239&lt;&gt;"", $F239&gt;=AQ$5-4, $F239&lt;=AQ$5, COUNTIF($M239:AP239,"u")=0), "u", "")</f>
        <v/>
      </c>
      <c r="AR239" s="80" t="str">
        <f>IF(AND($F239&lt;&gt;"", $F239&gt;=AR$5-4, $F239&lt;=AR$5, COUNTIF($M239:AQ239,"u")=0), "u", "")</f>
        <v/>
      </c>
      <c r="AS239" s="80" t="str">
        <f>IF(AND($F239&lt;&gt;"", $F239&gt;=AS$5-4, $F239&lt;=AS$5, COUNTIF($M239:AR239,"u")=0), "u", "")</f>
        <v/>
      </c>
      <c r="AT239" s="80" t="str">
        <f>IF(AND($F239&lt;&gt;"", $F239&gt;=AT$5-4, $F239&lt;=AT$5, COUNTIF($M239:AS239,"u")=0), "u", "")</f>
        <v/>
      </c>
      <c r="AU239" s="80" t="str">
        <f>IF(AND($F239&lt;&gt;"", $F239&gt;=AU$5-4, $F239&lt;=AU$5, COUNTIF($M239:AT239,"u")=0), "u", "")</f>
        <v/>
      </c>
      <c r="AV239" s="80" t="str">
        <f>IF(AND($F239&lt;&gt;"", $F239&gt;=AV$5-4, $F239&lt;=AV$5, COUNTIF($M239:AU239,"u")=0), "u", "")</f>
        <v/>
      </c>
      <c r="AW239" s="80" t="str">
        <f>IF(AND($F239&lt;&gt;"", $F239&gt;=AW$5-4, $F239&lt;=AW$5, COUNTIF($M239:AV239,"u")=0), "u", "")</f>
        <v/>
      </c>
      <c r="AX239" s="80" t="str">
        <f>IF(AND($F239&lt;&gt;"", $F239&gt;=AX$5-4, $F239&lt;=AX$5, COUNTIF($M239:AW239,"u")=0), "u", "")</f>
        <v/>
      </c>
      <c r="AY239" s="80" t="str">
        <f>IF(AND($F239&lt;&gt;"", $F239&gt;=AY$5-4, $F239&lt;=AY$5, COUNTIF($M239:AX239,"u")=0), "u", "")</f>
        <v/>
      </c>
      <c r="AZ239" s="80" t="str">
        <f>IF(AND($F239&lt;&gt;"", $F239&gt;=AZ$5-4, $F239&lt;=AZ$5, COUNTIF($M239:AY239,"u")=0), "u", "")</f>
        <v/>
      </c>
      <c r="BA239" s="80" t="str">
        <f>IF(AND($F239&lt;&gt;"", $F239&gt;=BA$5-4, $F239&lt;=BA$5, COUNTIF($M239:AZ239,"u")=0), "u", "")</f>
        <v/>
      </c>
      <c r="BB239" s="80" t="str">
        <f>IF(AND($F239&lt;&gt;"", $F239&gt;=BB$5-4, $F239&lt;=BB$5, COUNTIF($M239:BA239,"u")=0), "u", "")</f>
        <v/>
      </c>
      <c r="BC239" s="80" t="str">
        <f>IF(AND($F239&lt;&gt;"", $F239&gt;=BC$5-4, $F239&lt;=BC$5, COUNTIF($M239:BB239,"u")=0), "u", "")</f>
        <v/>
      </c>
      <c r="BD239" s="80" t="str">
        <f>IF(AND($F239&lt;&gt;"", $F239&gt;=BD$5-4, $F239&lt;=BD$5, COUNTIF($M239:BC239,"u")=0), "u", "")</f>
        <v/>
      </c>
      <c r="BE239" s="80" t="str">
        <f>IF(AND($F239&lt;&gt;"", $F239&gt;=BE$5-4, $F239&lt;=BE$5, COUNTIF($M239:BD239,"u")=0), "u", "")</f>
        <v/>
      </c>
      <c r="BF239" s="80" t="str">
        <f>IF(AND($F239&lt;&gt;"", $F239&gt;=BF$5-4, $F239&lt;=BF$5, COUNTIF($M239:BE239,"u")=0), "u", "")</f>
        <v/>
      </c>
      <c r="BG239" s="80" t="str">
        <f>IF(AND($F239&lt;&gt;"", $F239&gt;=BG$5-4, $F239&lt;=BG$5, COUNTIF($M239:BF239,"u")=0), "u", "")</f>
        <v/>
      </c>
      <c r="BH239" s="80" t="str">
        <f>IF(AND($F239&lt;&gt;"", $F239&gt;=BH$5-4, $F239&lt;=BH$5, COUNTIF($M239:BG239,"u")=0), "u", "")</f>
        <v/>
      </c>
      <c r="BI239" s="80" t="str">
        <f>IF(AND($F239&lt;&gt;"", $F239&gt;=BI$5-4, $F239&lt;=BI$5, COUNTIF($M239:BH239,"u")=0), "u", "")</f>
        <v/>
      </c>
      <c r="BJ239" s="80" t="str">
        <f>IF(AND($F239&lt;&gt;"", $F239&gt;=BJ$5-4, $F239&lt;=BJ$5, COUNTIF($M239:BI239,"u")=0), "u", "")</f>
        <v/>
      </c>
      <c r="BK239" s="80" t="str">
        <f>IF(AND($F239&lt;&gt;"", $F239&gt;=BK$5-4, $F239&lt;=BK$5, COUNTIF($M239:BJ239,"u")=0), "u", "")</f>
        <v/>
      </c>
      <c r="BL239" s="80" t="str">
        <f>IF(AND($F239&lt;&gt;"", $F239&gt;=BL$5-4, $F239&lt;=BL$5, COUNTIF($M239:BK239,"u")=0), "u", "")</f>
        <v/>
      </c>
      <c r="BM239" s="80" t="str">
        <f>IF(AND($F239&lt;&gt;"", $F239&gt;=BM$5-4, $F239&lt;=BM$5, COUNTIF($M239:BL239,"u")=0), "u", "")</f>
        <v/>
      </c>
      <c r="BN239" s="80" t="str">
        <f>IF(AND($F239&lt;&gt;"", $F239&gt;=BN$5-4, $F239&lt;=BN$5, COUNTIF($M239:BM239,"u")=0), "u", "")</f>
        <v/>
      </c>
      <c r="BO239" s="80" t="str">
        <f>IF(AND($F239&lt;&gt;"", $F239&gt;=BO$5-4, $F239&lt;=BO$5, COUNTIF($M239:BN239,"u")=0), "u", "")</f>
        <v/>
      </c>
      <c r="BP239" s="80" t="str">
        <f>IF(AND($F239&lt;&gt;"", $F239&gt;=BP$5-4, $F239&lt;=BP$5, COUNTIF($M239:BO239,"u")=0), "u", "")</f>
        <v/>
      </c>
      <c r="BQ239" s="80" t="str">
        <f>IF(AND($F239&lt;&gt;"", $F239&gt;=BQ$5-4, $F239&lt;=BQ$5, COUNTIF($M239:BP239,"u")=0), "u", "")</f>
        <v/>
      </c>
      <c r="BR239" s="80" t="str">
        <f>IF(AND($F239&lt;&gt;"", $F239&gt;=BR$5-4, $F239&lt;=BR$5, COUNTIF($M239:BQ239,"u")=0), "u", "")</f>
        <v/>
      </c>
      <c r="BS239" s="80" t="str">
        <f>IF(AND($F239&lt;&gt;"", $F239&gt;=BS$5-4, $F239&lt;=BS$5, COUNTIF($M239:BR239,"u")=0), "u", "")</f>
        <v/>
      </c>
      <c r="BT239" s="80" t="str">
        <f>IF(AND($F239&lt;&gt;"", $F239&gt;=BT$5-4, $F239&lt;=BT$5, COUNTIF($M239:BS239,"u")=0), "u", "")</f>
        <v/>
      </c>
      <c r="BU239" s="80" t="str">
        <f>IF(AND($F239&lt;&gt;"", $F239&gt;=BU$5-4, $F239&lt;=BU$5, COUNTIF($M239:BT239,"u")=0), "u", "")</f>
        <v/>
      </c>
      <c r="BV239" s="80" t="str">
        <f>IF(AND($F239&lt;&gt;"", $F239&gt;=BV$5-4, $F239&lt;=BV$5, COUNTIF($M239:BU239,"u")=0), "u", "")</f>
        <v/>
      </c>
      <c r="BW239" s="80" t="str">
        <f>IF(AND($F239&lt;&gt;"", $F239&gt;=BW$5-4, $F239&lt;=BW$5, COUNTIF($M239:BV239,"u")=0), "u", "")</f>
        <v/>
      </c>
      <c r="BX239" s="80" t="str">
        <f>IF(AND($F239&lt;&gt;"", $F239&gt;=BX$5-4, $F239&lt;=BX$5, COUNTIF($M239:BW239,"u")=0), "u", "")</f>
        <v/>
      </c>
      <c r="BY239" s="80" t="str">
        <f>IF(AND($F239&lt;&gt;"", $F239&gt;=BY$5-4, $F239&lt;=BY$5, COUNTIF($M239:BX239,"u")=0), "u", "")</f>
        <v/>
      </c>
      <c r="BZ239" s="80" t="str">
        <f>IF(AND($F239&lt;&gt;"", $F239&gt;=BZ$5-4, $F239&lt;=BZ$5, COUNTIF($M239:BY239,"u")=0), "u", "")</f>
        <v/>
      </c>
      <c r="CA239" s="80" t="str">
        <f>IF(AND($F239&lt;&gt;"", $F239&gt;=CA$5-4, $F239&lt;=CA$5, COUNTIF($M239:BZ239,"u")=0), "u", "")</f>
        <v/>
      </c>
      <c r="CB239" s="80" t="str">
        <f>IF(AND($F239&lt;&gt;"", $F239&gt;=CB$5-4, $F239&lt;=CB$5, COUNTIF($M239:CA239,"u")=0), "u", "")</f>
        <v/>
      </c>
      <c r="CC239" s="80" t="str">
        <f>IF(AND($F239&lt;&gt;"", $F239&gt;=CC$5-4, $F239&lt;=CC$5, COUNTIF($M239:CB239,"u")=0), "u", "")</f>
        <v/>
      </c>
      <c r="CD239" s="80" t="str">
        <f>IF(AND($F239&lt;&gt;"", $F239&gt;=CD$5-4, $F239&lt;=CD$5, COUNTIF($M239:CC239,"u")=0), "u", "")</f>
        <v/>
      </c>
      <c r="CE239" s="80" t="str">
        <f>IF(AND($F239&lt;&gt;"", $F239&gt;=CE$5-4, $F239&lt;=CE$5, COUNTIF($M239:CD239,"u")=0), "u", "")</f>
        <v/>
      </c>
      <c r="CF239" s="80" t="str">
        <f>IF(AND($F239&lt;&gt;"", $F239&gt;=CF$5-4, $F239&lt;=CF$5, COUNTIF($M239:CE239,"u")=0), "u", "")</f>
        <v/>
      </c>
      <c r="CG239" s="80" t="str">
        <f>IF(AND($F239&lt;&gt;"", $F239&gt;=CG$5-4, $F239&lt;=CG$5, COUNTIF($M239:CF239,"u")=0), "u", "")</f>
        <v/>
      </c>
      <c r="CH239" s="80" t="str">
        <f>IF(AND($F239&lt;&gt;"", $F239&gt;=CH$5-4, $F239&lt;=CH$5, COUNTIF($M239:CG239,"u")=0), "u", "")</f>
        <v/>
      </c>
      <c r="CI239" s="80" t="str">
        <f>IF(AND($F239&lt;&gt;"", $F239&gt;=CI$5-4, $F239&lt;=CI$5, COUNTIF($M239:CH239,"u")=0), "u", "")</f>
        <v/>
      </c>
      <c r="CJ239" s="80" t="str">
        <f>IF(AND($F239&lt;&gt;"", $F239&gt;=CJ$5-4, $F239&lt;=CJ$5, COUNTIF($M239:CI239,"u")=0), "u", "")</f>
        <v/>
      </c>
      <c r="CK239" s="80" t="str">
        <f>IF(AND($F239&lt;&gt;"", $F239&gt;=CK$5-4, $F239&lt;=CK$5, COUNTIF($M239:CJ239,"u")=0), "u", "")</f>
        <v/>
      </c>
      <c r="CL239" s="80" t="str">
        <f>IF(AND($F239&lt;&gt;"", $F239&gt;=CL$5-4, $F239&lt;=CL$5, COUNTIF($M239:CK239,"u")=0), "u", "")</f>
        <v/>
      </c>
      <c r="CM239" s="80" t="str">
        <f>IF(AND($F239&lt;&gt;"", $F239&gt;=CM$5-4, $F239&lt;=CM$5, COUNTIF($M239:CL239,"u")=0), "u", "")</f>
        <v/>
      </c>
      <c r="CN239" s="80" t="str">
        <f>IF(AND($F239&lt;&gt;"", $F239&gt;=CN$5-4, $F239&lt;=CN$5, COUNTIF($M239:CM239,"u")=0), "u", "")</f>
        <v/>
      </c>
      <c r="CO239" s="80" t="str">
        <f>IF(AND($F239&lt;&gt;"", $F239&gt;=CO$5-4, $F239&lt;=CO$5, COUNTIF($M239:CN239,"u")=0), "u", "")</f>
        <v/>
      </c>
      <c r="CP239" s="80" t="str">
        <f>IF(AND($F239&lt;&gt;"", $F239&gt;=CP$5-4, $F239&lt;=CP$5, COUNTIF($M239:CO239,"u")=0), "u", "")</f>
        <v/>
      </c>
      <c r="CQ239" s="80" t="str">
        <f>IF(AND($F239&lt;&gt;"", $F239&gt;=CQ$5-4, $F239&lt;=CQ$5, COUNTIF($M239:CP239,"u")=0), "u", "")</f>
        <v/>
      </c>
      <c r="CR239" s="80" t="str">
        <f>IF(AND($F239&lt;&gt;"", $F239&gt;=CR$5-4, $F239&lt;=CR$5, COUNTIF($M239:CQ239,"u")=0), "u", "")</f>
        <v/>
      </c>
      <c r="CS239" s="80" t="str">
        <f>IF(AND($F239&lt;&gt;"", $F239&gt;=CS$5-4, $F239&lt;=CS$5, COUNTIF($M239:CR239,"u")=0), "u", "")</f>
        <v/>
      </c>
      <c r="CT239" s="80" t="str">
        <f>IF(AND($F239&lt;&gt;"", $F239&gt;=CT$5-4, $F239&lt;=CT$5, COUNTIF($M239:CS239,"u")=0), "u", "")</f>
        <v/>
      </c>
      <c r="CU239" s="80" t="str">
        <f>IF(AND($F239&lt;&gt;"", $F239&gt;=CU$5-4, $F239&lt;=CU$5, COUNTIF($M239:CT239,"u")=0), "u", "")</f>
        <v/>
      </c>
      <c r="CV239" s="80" t="str">
        <f>IF(AND($F239&lt;&gt;"", $F239&gt;=CV$5-4, $F239&lt;=CV$5, COUNTIF($M239:CU239,"u")=0), "u", "")</f>
        <v/>
      </c>
      <c r="CW239" s="80" t="str">
        <f>IF(AND($F239&lt;&gt;"", $F239&gt;=CW$5-4, $F239&lt;=CW$5, COUNTIF($M239:CV239,"u")=0), "u", "")</f>
        <v/>
      </c>
      <c r="CX239" s="80" t="str">
        <f>IF(AND($F239&lt;&gt;"", $F239&gt;=CX$5-4, $F239&lt;=CX$5, COUNTIF($M239:CW239,"u")=0), "u", "")</f>
        <v/>
      </c>
      <c r="CY239" s="80" t="str">
        <f>IF(AND($F239&lt;&gt;"", $F239&gt;=CY$5-4, $F239&lt;=CY$5, COUNTIF($M239:CX239,"u")=0), "u", "")</f>
        <v/>
      </c>
      <c r="CZ239" s="80" t="str">
        <f>IF(AND($F239&lt;&gt;"", $F239&gt;=CZ$5-4, $F239&lt;=CZ$5, COUNTIF($M239:CY239,"u")=0), "u", "")</f>
        <v/>
      </c>
      <c r="DA239" s="80" t="str">
        <f>IF(AND($F239&lt;&gt;"", $F239&gt;=DA$5-4, $F239&lt;=DA$5, COUNTIF($M239:CZ239,"u")=0), "u", "")</f>
        <v/>
      </c>
      <c r="DB239" s="80" t="str">
        <f>IF(AND($F239&lt;&gt;"", $F239&gt;=DB$5-4, $F239&lt;=DB$5, COUNTIF($M239:DA239,"u")=0), "u", "")</f>
        <v/>
      </c>
      <c r="DC239" s="80" t="str">
        <f>IF(AND($F239&lt;&gt;"", $F239&gt;=DC$5-4, $F239&lt;=DC$5, COUNTIF($M239:DB239,"u")=0), "u", "")</f>
        <v/>
      </c>
      <c r="DD239" s="80" t="str">
        <f>IF(AND($F239&lt;&gt;"", $F239&gt;=DD$5-4, $F239&lt;=DD$5, COUNTIF($M239:DC239,"u")=0), "u", "")</f>
        <v/>
      </c>
      <c r="DE239" s="80" t="str">
        <f>IF(AND($F239&lt;&gt;"", $F239&gt;=DE$5-4, $F239&lt;=DE$5, COUNTIF($M239:DD239,"u")=0), "u", "")</f>
        <v/>
      </c>
      <c r="DF239" s="80" t="str">
        <f>IF(AND($F239&lt;&gt;"", $F239&gt;=DF$5-4, $F239&lt;=DF$5, COUNTIF($M239:DE239,"u")=0), "u", "")</f>
        <v/>
      </c>
      <c r="DG239" s="80" t="str">
        <f>IF(AND($F239&lt;&gt;"", $F239&gt;=DG$5-4, $F239&lt;=DG$5, COUNTIF($M239:DF239,"u")=0), "u", "")</f>
        <v/>
      </c>
      <c r="DH239" s="80" t="str">
        <f>IF(AND($F239&lt;&gt;"", $F239&gt;=DH$5-4, $F239&lt;=DH$5, COUNTIF($M239:DG239,"u")=0), "u", "")</f>
        <v/>
      </c>
      <c r="DI239" s="80" t="str">
        <f>IF(AND($F239&lt;&gt;"", $F239&gt;=DI$5-4, $F239&lt;=DI$5, COUNTIF($M239:DH239,"u")=0), "u", "")</f>
        <v/>
      </c>
      <c r="DJ239" s="80" t="str">
        <f>IF(AND($F239&lt;&gt;"", $F239&gt;=DJ$5-4, $F239&lt;=DJ$5, COUNTIF($M239:DI239,"u")=0), "u", "")</f>
        <v/>
      </c>
      <c r="DK239" s="80" t="str">
        <f>IF(AND($F239&lt;&gt;"", $F239&gt;=DK$5-4, $F239&lt;=DK$5, COUNTIF($M239:DJ239,"u")=0), "u", "")</f>
        <v/>
      </c>
      <c r="DL239" s="80" t="str">
        <f>IF(AND($F239&lt;&gt;"", $F239&gt;=DL$5-4, $F239&lt;=DL$5, COUNTIF($M239:DK239,"u")=0), "u", "")</f>
        <v/>
      </c>
    </row>
    <row r="240" spans="1:116" ht="25.05" customHeight="1" x14ac:dyDescent="0.3">
      <c r="A240" s="39"/>
      <c r="B240" s="75">
        <v>235</v>
      </c>
      <c r="C240" s="97"/>
      <c r="D240" s="92"/>
      <c r="E240" s="53"/>
      <c r="F240" s="53"/>
      <c r="G240" s="83" t="str">
        <f t="shared" si="56"/>
        <v/>
      </c>
      <c r="H240" s="83" t="str">
        <f t="shared" si="56"/>
        <v/>
      </c>
      <c r="I240" s="77" t="str">
        <f t="shared" si="54"/>
        <v/>
      </c>
      <c r="J240" s="78"/>
      <c r="K240" s="86"/>
      <c r="L240" s="56"/>
      <c r="M240" s="80" t="str">
        <f t="shared" si="55"/>
        <v/>
      </c>
      <c r="N240" s="80" t="str">
        <f>IF(AND($F240&lt;&gt;"", $F240&gt;=N$5-4, $F240&lt;=N$5, COUNTIF($M240:M240,"u")=0), "u", "")</f>
        <v/>
      </c>
      <c r="O240" s="80" t="str">
        <f>IF(AND($F240&lt;&gt;"", $F240&gt;=O$5-4, $F240&lt;=O$5, COUNTIF($M240:N240,"u")=0), "u", "")</f>
        <v/>
      </c>
      <c r="P240" s="80" t="str">
        <f>IF(AND($F240&lt;&gt;"", $F240&gt;=P$5-4, $F240&lt;=P$5, COUNTIF($M240:O240,"u")=0), "u", "")</f>
        <v/>
      </c>
      <c r="Q240" s="80" t="str">
        <f>IF(AND($F240&lt;&gt;"", $F240&gt;=Q$5-4, $F240&lt;=Q$5, COUNTIF($M240:P240,"u")=0), "u", "")</f>
        <v/>
      </c>
      <c r="R240" s="80" t="str">
        <f>IF(AND($F240&lt;&gt;"", $F240&gt;=R$5-4, $F240&lt;=R$5, COUNTIF($M240:Q240,"u")=0), "u", "")</f>
        <v/>
      </c>
      <c r="S240" s="80" t="str">
        <f>IF(AND($F240&lt;&gt;"", $F240&gt;=S$5-4, $F240&lt;=S$5, COUNTIF($M240:R240,"u")=0), "u", "")</f>
        <v/>
      </c>
      <c r="T240" s="80" t="str">
        <f>IF(AND($F240&lt;&gt;"", $F240&gt;=T$5-4, $F240&lt;=T$5, COUNTIF($M240:S240,"u")=0), "u", "")</f>
        <v/>
      </c>
      <c r="U240" s="80" t="str">
        <f>IF(AND($F240&lt;&gt;"", $F240&gt;=U$5-4, $F240&lt;=U$5, COUNTIF($M240:T240,"u")=0), "u", "")</f>
        <v/>
      </c>
      <c r="V240" s="80" t="str">
        <f>IF(AND($F240&lt;&gt;"", $F240&gt;=V$5-4, $F240&lt;=V$5, COUNTIF($M240:U240,"u")=0), "u", "")</f>
        <v/>
      </c>
      <c r="W240" s="80" t="str">
        <f>IF(AND($F240&lt;&gt;"", $F240&gt;=W$5-4, $F240&lt;=W$5, COUNTIF($M240:V240,"u")=0), "u", "")</f>
        <v/>
      </c>
      <c r="X240" s="80" t="str">
        <f>IF(AND($F240&lt;&gt;"", $F240&gt;=X$5-4, $F240&lt;=X$5, COUNTIF($M240:W240,"u")=0), "u", "")</f>
        <v/>
      </c>
      <c r="Y240" s="80" t="str">
        <f>IF(AND($F240&lt;&gt;"", $F240&gt;=Y$5-4, $F240&lt;=Y$5, COUNTIF($M240:X240,"u")=0), "u", "")</f>
        <v/>
      </c>
      <c r="Z240" s="80" t="str">
        <f>IF(AND($F240&lt;&gt;"", $F240&gt;=Z$5-4, $F240&lt;=Z$5, COUNTIF($M240:Y240,"u")=0), "u", "")</f>
        <v/>
      </c>
      <c r="AA240" s="80" t="str">
        <f>IF(AND($F240&lt;&gt;"", $F240&gt;=AA$5-4, $F240&lt;=AA$5, COUNTIF($M240:Z240,"u")=0), "u", "")</f>
        <v/>
      </c>
      <c r="AB240" s="80" t="str">
        <f>IF(AND($F240&lt;&gt;"", $F240&gt;=AB$5-4, $F240&lt;=AB$5, COUNTIF($M240:AA240,"u")=0), "u", "")</f>
        <v/>
      </c>
      <c r="AC240" s="80" t="str">
        <f>IF(AND($F240&lt;&gt;"", $F240&gt;=AC$5-4, $F240&lt;=AC$5, COUNTIF($M240:AB240,"u")=0), "u", "")</f>
        <v/>
      </c>
      <c r="AD240" s="80" t="str">
        <f>IF(AND($F240&lt;&gt;"", $F240&gt;=AD$5-4, $F240&lt;=AD$5, COUNTIF($M240:AC240,"u")=0), "u", "")</f>
        <v/>
      </c>
      <c r="AE240" s="80" t="str">
        <f>IF(AND($F240&lt;&gt;"", $F240&gt;=AE$5-4, $F240&lt;=AE$5, COUNTIF($M240:AD240,"u")=0), "u", "")</f>
        <v/>
      </c>
      <c r="AF240" s="80" t="str">
        <f>IF(AND($F240&lt;&gt;"", $F240&gt;=AF$5-4, $F240&lt;=AF$5, COUNTIF($M240:AE240,"u")=0), "u", "")</f>
        <v/>
      </c>
      <c r="AG240" s="80" t="str">
        <f>IF(AND($F240&lt;&gt;"", $F240&gt;=AG$5-4, $F240&lt;=AG$5, COUNTIF($M240:AF240,"u")=0), "u", "")</f>
        <v/>
      </c>
      <c r="AH240" s="80" t="str">
        <f>IF(AND($F240&lt;&gt;"", $F240&gt;=AH$5-4, $F240&lt;=AH$5, COUNTIF($M240:AG240,"u")=0), "u", "")</f>
        <v/>
      </c>
      <c r="AI240" s="80" t="str">
        <f>IF(AND($F240&lt;&gt;"", $F240&gt;=AI$5-4, $F240&lt;=AI$5, COUNTIF($M240:AH240,"u")=0), "u", "")</f>
        <v/>
      </c>
      <c r="AJ240" s="80" t="str">
        <f>IF(AND($F240&lt;&gt;"", $F240&gt;=AJ$5-4, $F240&lt;=AJ$5, COUNTIF($M240:AI240,"u")=0), "u", "")</f>
        <v/>
      </c>
      <c r="AK240" s="80" t="str">
        <f>IF(AND($F240&lt;&gt;"", $F240&gt;=AK$5-4, $F240&lt;=AK$5, COUNTIF($M240:AJ240,"u")=0), "u", "")</f>
        <v/>
      </c>
      <c r="AL240" s="80" t="str">
        <f>IF(AND($F240&lt;&gt;"", $F240&gt;=AL$5-4, $F240&lt;=AL$5, COUNTIF($M240:AK240,"u")=0), "u", "")</f>
        <v/>
      </c>
      <c r="AM240" s="80" t="str">
        <f>IF(AND($F240&lt;&gt;"", $F240&gt;=AM$5-4, $F240&lt;=AM$5, COUNTIF($M240:AL240,"u")=0), "u", "")</f>
        <v/>
      </c>
      <c r="AN240" s="80" t="str">
        <f>IF(AND($F240&lt;&gt;"", $F240&gt;=AN$5-4, $F240&lt;=AN$5, COUNTIF($M240:AM240,"u")=0), "u", "")</f>
        <v/>
      </c>
      <c r="AO240" s="80" t="str">
        <f>IF(AND($F240&lt;&gt;"", $F240&gt;=AO$5-4, $F240&lt;=AO$5, COUNTIF($M240:AN240,"u")=0), "u", "")</f>
        <v/>
      </c>
      <c r="AP240" s="80" t="str">
        <f>IF(AND($F240&lt;&gt;"", $F240&gt;=AP$5-4, $F240&lt;=AP$5, COUNTIF($M240:AO240,"u")=0), "u", "")</f>
        <v/>
      </c>
      <c r="AQ240" s="80" t="str">
        <f>IF(AND($F240&lt;&gt;"", $F240&gt;=AQ$5-4, $F240&lt;=AQ$5, COUNTIF($M240:AP240,"u")=0), "u", "")</f>
        <v/>
      </c>
      <c r="AR240" s="80" t="str">
        <f>IF(AND($F240&lt;&gt;"", $F240&gt;=AR$5-4, $F240&lt;=AR$5, COUNTIF($M240:AQ240,"u")=0), "u", "")</f>
        <v/>
      </c>
      <c r="AS240" s="80" t="str">
        <f>IF(AND($F240&lt;&gt;"", $F240&gt;=AS$5-4, $F240&lt;=AS$5, COUNTIF($M240:AR240,"u")=0), "u", "")</f>
        <v/>
      </c>
      <c r="AT240" s="80" t="str">
        <f>IF(AND($F240&lt;&gt;"", $F240&gt;=AT$5-4, $F240&lt;=AT$5, COUNTIF($M240:AS240,"u")=0), "u", "")</f>
        <v/>
      </c>
      <c r="AU240" s="80" t="str">
        <f>IF(AND($F240&lt;&gt;"", $F240&gt;=AU$5-4, $F240&lt;=AU$5, COUNTIF($M240:AT240,"u")=0), "u", "")</f>
        <v/>
      </c>
      <c r="AV240" s="80" t="str">
        <f>IF(AND($F240&lt;&gt;"", $F240&gt;=AV$5-4, $F240&lt;=AV$5, COUNTIF($M240:AU240,"u")=0), "u", "")</f>
        <v/>
      </c>
      <c r="AW240" s="80" t="str">
        <f>IF(AND($F240&lt;&gt;"", $F240&gt;=AW$5-4, $F240&lt;=AW$5, COUNTIF($M240:AV240,"u")=0), "u", "")</f>
        <v/>
      </c>
      <c r="AX240" s="80" t="str">
        <f>IF(AND($F240&lt;&gt;"", $F240&gt;=AX$5-4, $F240&lt;=AX$5, COUNTIF($M240:AW240,"u")=0), "u", "")</f>
        <v/>
      </c>
      <c r="AY240" s="80" t="str">
        <f>IF(AND($F240&lt;&gt;"", $F240&gt;=AY$5-4, $F240&lt;=AY$5, COUNTIF($M240:AX240,"u")=0), "u", "")</f>
        <v/>
      </c>
      <c r="AZ240" s="80" t="str">
        <f>IF(AND($F240&lt;&gt;"", $F240&gt;=AZ$5-4, $F240&lt;=AZ$5, COUNTIF($M240:AY240,"u")=0), "u", "")</f>
        <v/>
      </c>
      <c r="BA240" s="80" t="str">
        <f>IF(AND($F240&lt;&gt;"", $F240&gt;=BA$5-4, $F240&lt;=BA$5, COUNTIF($M240:AZ240,"u")=0), "u", "")</f>
        <v/>
      </c>
      <c r="BB240" s="80" t="str">
        <f>IF(AND($F240&lt;&gt;"", $F240&gt;=BB$5-4, $F240&lt;=BB$5, COUNTIF($M240:BA240,"u")=0), "u", "")</f>
        <v/>
      </c>
      <c r="BC240" s="80" t="str">
        <f>IF(AND($F240&lt;&gt;"", $F240&gt;=BC$5-4, $F240&lt;=BC$5, COUNTIF($M240:BB240,"u")=0), "u", "")</f>
        <v/>
      </c>
      <c r="BD240" s="80" t="str">
        <f>IF(AND($F240&lt;&gt;"", $F240&gt;=BD$5-4, $F240&lt;=BD$5, COUNTIF($M240:BC240,"u")=0), "u", "")</f>
        <v/>
      </c>
      <c r="BE240" s="80" t="str">
        <f>IF(AND($F240&lt;&gt;"", $F240&gt;=BE$5-4, $F240&lt;=BE$5, COUNTIF($M240:BD240,"u")=0), "u", "")</f>
        <v/>
      </c>
      <c r="BF240" s="80" t="str">
        <f>IF(AND($F240&lt;&gt;"", $F240&gt;=BF$5-4, $F240&lt;=BF$5, COUNTIF($M240:BE240,"u")=0), "u", "")</f>
        <v/>
      </c>
      <c r="BG240" s="80" t="str">
        <f>IF(AND($F240&lt;&gt;"", $F240&gt;=BG$5-4, $F240&lt;=BG$5, COUNTIF($M240:BF240,"u")=0), "u", "")</f>
        <v/>
      </c>
      <c r="BH240" s="80" t="str">
        <f>IF(AND($F240&lt;&gt;"", $F240&gt;=BH$5-4, $F240&lt;=BH$5, COUNTIF($M240:BG240,"u")=0), "u", "")</f>
        <v/>
      </c>
      <c r="BI240" s="80" t="str">
        <f>IF(AND($F240&lt;&gt;"", $F240&gt;=BI$5-4, $F240&lt;=BI$5, COUNTIF($M240:BH240,"u")=0), "u", "")</f>
        <v/>
      </c>
      <c r="BJ240" s="80" t="str">
        <f>IF(AND($F240&lt;&gt;"", $F240&gt;=BJ$5-4, $F240&lt;=BJ$5, COUNTIF($M240:BI240,"u")=0), "u", "")</f>
        <v/>
      </c>
      <c r="BK240" s="80" t="str">
        <f>IF(AND($F240&lt;&gt;"", $F240&gt;=BK$5-4, $F240&lt;=BK$5, COUNTIF($M240:BJ240,"u")=0), "u", "")</f>
        <v/>
      </c>
      <c r="BL240" s="80" t="str">
        <f>IF(AND($F240&lt;&gt;"", $F240&gt;=BL$5-4, $F240&lt;=BL$5, COUNTIF($M240:BK240,"u")=0), "u", "")</f>
        <v/>
      </c>
      <c r="BM240" s="80" t="str">
        <f>IF(AND($F240&lt;&gt;"", $F240&gt;=BM$5-4, $F240&lt;=BM$5, COUNTIF($M240:BL240,"u")=0), "u", "")</f>
        <v/>
      </c>
      <c r="BN240" s="80" t="str">
        <f>IF(AND($F240&lt;&gt;"", $F240&gt;=BN$5-4, $F240&lt;=BN$5, COUNTIF($M240:BM240,"u")=0), "u", "")</f>
        <v/>
      </c>
      <c r="BO240" s="80" t="str">
        <f>IF(AND($F240&lt;&gt;"", $F240&gt;=BO$5-4, $F240&lt;=BO$5, COUNTIF($M240:BN240,"u")=0), "u", "")</f>
        <v/>
      </c>
      <c r="BP240" s="80" t="str">
        <f>IF(AND($F240&lt;&gt;"", $F240&gt;=BP$5-4, $F240&lt;=BP$5, COUNTIF($M240:BO240,"u")=0), "u", "")</f>
        <v/>
      </c>
      <c r="BQ240" s="80" t="str">
        <f>IF(AND($F240&lt;&gt;"", $F240&gt;=BQ$5-4, $F240&lt;=BQ$5, COUNTIF($M240:BP240,"u")=0), "u", "")</f>
        <v/>
      </c>
      <c r="BR240" s="80" t="str">
        <f>IF(AND($F240&lt;&gt;"", $F240&gt;=BR$5-4, $F240&lt;=BR$5, COUNTIF($M240:BQ240,"u")=0), "u", "")</f>
        <v/>
      </c>
      <c r="BS240" s="80" t="str">
        <f>IF(AND($F240&lt;&gt;"", $F240&gt;=BS$5-4, $F240&lt;=BS$5, COUNTIF($M240:BR240,"u")=0), "u", "")</f>
        <v/>
      </c>
      <c r="BT240" s="80" t="str">
        <f>IF(AND($F240&lt;&gt;"", $F240&gt;=BT$5-4, $F240&lt;=BT$5, COUNTIF($M240:BS240,"u")=0), "u", "")</f>
        <v/>
      </c>
      <c r="BU240" s="80" t="str">
        <f>IF(AND($F240&lt;&gt;"", $F240&gt;=BU$5-4, $F240&lt;=BU$5, COUNTIF($M240:BT240,"u")=0), "u", "")</f>
        <v/>
      </c>
      <c r="BV240" s="80" t="str">
        <f>IF(AND($F240&lt;&gt;"", $F240&gt;=BV$5-4, $F240&lt;=BV$5, COUNTIF($M240:BU240,"u")=0), "u", "")</f>
        <v/>
      </c>
      <c r="BW240" s="80" t="str">
        <f>IF(AND($F240&lt;&gt;"", $F240&gt;=BW$5-4, $F240&lt;=BW$5, COUNTIF($M240:BV240,"u")=0), "u", "")</f>
        <v/>
      </c>
      <c r="BX240" s="80" t="str">
        <f>IF(AND($F240&lt;&gt;"", $F240&gt;=BX$5-4, $F240&lt;=BX$5, COUNTIF($M240:BW240,"u")=0), "u", "")</f>
        <v/>
      </c>
      <c r="BY240" s="80" t="str">
        <f>IF(AND($F240&lt;&gt;"", $F240&gt;=BY$5-4, $F240&lt;=BY$5, COUNTIF($M240:BX240,"u")=0), "u", "")</f>
        <v/>
      </c>
      <c r="BZ240" s="80" t="str">
        <f>IF(AND($F240&lt;&gt;"", $F240&gt;=BZ$5-4, $F240&lt;=BZ$5, COUNTIF($M240:BY240,"u")=0), "u", "")</f>
        <v/>
      </c>
      <c r="CA240" s="80" t="str">
        <f>IF(AND($F240&lt;&gt;"", $F240&gt;=CA$5-4, $F240&lt;=CA$5, COUNTIF($M240:BZ240,"u")=0), "u", "")</f>
        <v/>
      </c>
      <c r="CB240" s="80" t="str">
        <f>IF(AND($F240&lt;&gt;"", $F240&gt;=CB$5-4, $F240&lt;=CB$5, COUNTIF($M240:CA240,"u")=0), "u", "")</f>
        <v/>
      </c>
      <c r="CC240" s="80" t="str">
        <f>IF(AND($F240&lt;&gt;"", $F240&gt;=CC$5-4, $F240&lt;=CC$5, COUNTIF($M240:CB240,"u")=0), "u", "")</f>
        <v/>
      </c>
      <c r="CD240" s="80" t="str">
        <f>IF(AND($F240&lt;&gt;"", $F240&gt;=CD$5-4, $F240&lt;=CD$5, COUNTIF($M240:CC240,"u")=0), "u", "")</f>
        <v/>
      </c>
      <c r="CE240" s="80" t="str">
        <f>IF(AND($F240&lt;&gt;"", $F240&gt;=CE$5-4, $F240&lt;=CE$5, COUNTIF($M240:CD240,"u")=0), "u", "")</f>
        <v/>
      </c>
      <c r="CF240" s="80" t="str">
        <f>IF(AND($F240&lt;&gt;"", $F240&gt;=CF$5-4, $F240&lt;=CF$5, COUNTIF($M240:CE240,"u")=0), "u", "")</f>
        <v/>
      </c>
      <c r="CG240" s="80" t="str">
        <f>IF(AND($F240&lt;&gt;"", $F240&gt;=CG$5-4, $F240&lt;=CG$5, COUNTIF($M240:CF240,"u")=0), "u", "")</f>
        <v/>
      </c>
      <c r="CH240" s="80" t="str">
        <f>IF(AND($F240&lt;&gt;"", $F240&gt;=CH$5-4, $F240&lt;=CH$5, COUNTIF($M240:CG240,"u")=0), "u", "")</f>
        <v/>
      </c>
      <c r="CI240" s="80" t="str">
        <f>IF(AND($F240&lt;&gt;"", $F240&gt;=CI$5-4, $F240&lt;=CI$5, COUNTIF($M240:CH240,"u")=0), "u", "")</f>
        <v/>
      </c>
      <c r="CJ240" s="80" t="str">
        <f>IF(AND($F240&lt;&gt;"", $F240&gt;=CJ$5-4, $F240&lt;=CJ$5, COUNTIF($M240:CI240,"u")=0), "u", "")</f>
        <v/>
      </c>
      <c r="CK240" s="80" t="str">
        <f>IF(AND($F240&lt;&gt;"", $F240&gt;=CK$5-4, $F240&lt;=CK$5, COUNTIF($M240:CJ240,"u")=0), "u", "")</f>
        <v/>
      </c>
      <c r="CL240" s="80" t="str">
        <f>IF(AND($F240&lt;&gt;"", $F240&gt;=CL$5-4, $F240&lt;=CL$5, COUNTIF($M240:CK240,"u")=0), "u", "")</f>
        <v/>
      </c>
      <c r="CM240" s="80" t="str">
        <f>IF(AND($F240&lt;&gt;"", $F240&gt;=CM$5-4, $F240&lt;=CM$5, COUNTIF($M240:CL240,"u")=0), "u", "")</f>
        <v/>
      </c>
      <c r="CN240" s="80" t="str">
        <f>IF(AND($F240&lt;&gt;"", $F240&gt;=CN$5-4, $F240&lt;=CN$5, COUNTIF($M240:CM240,"u")=0), "u", "")</f>
        <v/>
      </c>
      <c r="CO240" s="80" t="str">
        <f>IF(AND($F240&lt;&gt;"", $F240&gt;=CO$5-4, $F240&lt;=CO$5, COUNTIF($M240:CN240,"u")=0), "u", "")</f>
        <v/>
      </c>
      <c r="CP240" s="80" t="str">
        <f>IF(AND($F240&lt;&gt;"", $F240&gt;=CP$5-4, $F240&lt;=CP$5, COUNTIF($M240:CO240,"u")=0), "u", "")</f>
        <v/>
      </c>
      <c r="CQ240" s="80" t="str">
        <f>IF(AND($F240&lt;&gt;"", $F240&gt;=CQ$5-4, $F240&lt;=CQ$5, COUNTIF($M240:CP240,"u")=0), "u", "")</f>
        <v/>
      </c>
      <c r="CR240" s="80" t="str">
        <f>IF(AND($F240&lt;&gt;"", $F240&gt;=CR$5-4, $F240&lt;=CR$5, COUNTIF($M240:CQ240,"u")=0), "u", "")</f>
        <v/>
      </c>
      <c r="CS240" s="80" t="str">
        <f>IF(AND($F240&lt;&gt;"", $F240&gt;=CS$5-4, $F240&lt;=CS$5, COUNTIF($M240:CR240,"u")=0), "u", "")</f>
        <v/>
      </c>
      <c r="CT240" s="80" t="str">
        <f>IF(AND($F240&lt;&gt;"", $F240&gt;=CT$5-4, $F240&lt;=CT$5, COUNTIF($M240:CS240,"u")=0), "u", "")</f>
        <v/>
      </c>
      <c r="CU240" s="80" t="str">
        <f>IF(AND($F240&lt;&gt;"", $F240&gt;=CU$5-4, $F240&lt;=CU$5, COUNTIF($M240:CT240,"u")=0), "u", "")</f>
        <v/>
      </c>
      <c r="CV240" s="80" t="str">
        <f>IF(AND($F240&lt;&gt;"", $F240&gt;=CV$5-4, $F240&lt;=CV$5, COUNTIF($M240:CU240,"u")=0), "u", "")</f>
        <v/>
      </c>
      <c r="CW240" s="80" t="str">
        <f>IF(AND($F240&lt;&gt;"", $F240&gt;=CW$5-4, $F240&lt;=CW$5, COUNTIF($M240:CV240,"u")=0), "u", "")</f>
        <v/>
      </c>
      <c r="CX240" s="80" t="str">
        <f>IF(AND($F240&lt;&gt;"", $F240&gt;=CX$5-4, $F240&lt;=CX$5, COUNTIF($M240:CW240,"u")=0), "u", "")</f>
        <v/>
      </c>
      <c r="CY240" s="80" t="str">
        <f>IF(AND($F240&lt;&gt;"", $F240&gt;=CY$5-4, $F240&lt;=CY$5, COUNTIF($M240:CX240,"u")=0), "u", "")</f>
        <v/>
      </c>
      <c r="CZ240" s="80" t="str">
        <f>IF(AND($F240&lt;&gt;"", $F240&gt;=CZ$5-4, $F240&lt;=CZ$5, COUNTIF($M240:CY240,"u")=0), "u", "")</f>
        <v/>
      </c>
      <c r="DA240" s="80" t="str">
        <f>IF(AND($F240&lt;&gt;"", $F240&gt;=DA$5-4, $F240&lt;=DA$5, COUNTIF($M240:CZ240,"u")=0), "u", "")</f>
        <v/>
      </c>
      <c r="DB240" s="80" t="str">
        <f>IF(AND($F240&lt;&gt;"", $F240&gt;=DB$5-4, $F240&lt;=DB$5, COUNTIF($M240:DA240,"u")=0), "u", "")</f>
        <v/>
      </c>
      <c r="DC240" s="80" t="str">
        <f>IF(AND($F240&lt;&gt;"", $F240&gt;=DC$5-4, $F240&lt;=DC$5, COUNTIF($M240:DB240,"u")=0), "u", "")</f>
        <v/>
      </c>
      <c r="DD240" s="80" t="str">
        <f>IF(AND($F240&lt;&gt;"", $F240&gt;=DD$5-4, $F240&lt;=DD$5, COUNTIF($M240:DC240,"u")=0), "u", "")</f>
        <v/>
      </c>
      <c r="DE240" s="80" t="str">
        <f>IF(AND($F240&lt;&gt;"", $F240&gt;=DE$5-4, $F240&lt;=DE$5, COUNTIF($M240:DD240,"u")=0), "u", "")</f>
        <v/>
      </c>
      <c r="DF240" s="80" t="str">
        <f>IF(AND($F240&lt;&gt;"", $F240&gt;=DF$5-4, $F240&lt;=DF$5, COUNTIF($M240:DE240,"u")=0), "u", "")</f>
        <v/>
      </c>
      <c r="DG240" s="80" t="str">
        <f>IF(AND($F240&lt;&gt;"", $F240&gt;=DG$5-4, $F240&lt;=DG$5, COUNTIF($M240:DF240,"u")=0), "u", "")</f>
        <v/>
      </c>
      <c r="DH240" s="80" t="str">
        <f>IF(AND($F240&lt;&gt;"", $F240&gt;=DH$5-4, $F240&lt;=DH$5, COUNTIF($M240:DG240,"u")=0), "u", "")</f>
        <v/>
      </c>
      <c r="DI240" s="80" t="str">
        <f>IF(AND($F240&lt;&gt;"", $F240&gt;=DI$5-4, $F240&lt;=DI$5, COUNTIF($M240:DH240,"u")=0), "u", "")</f>
        <v/>
      </c>
      <c r="DJ240" s="80" t="str">
        <f>IF(AND($F240&lt;&gt;"", $F240&gt;=DJ$5-4, $F240&lt;=DJ$5, COUNTIF($M240:DI240,"u")=0), "u", "")</f>
        <v/>
      </c>
      <c r="DK240" s="80" t="str">
        <f>IF(AND($F240&lt;&gt;"", $F240&gt;=DK$5-4, $F240&lt;=DK$5, COUNTIF($M240:DJ240,"u")=0), "u", "")</f>
        <v/>
      </c>
      <c r="DL240" s="80" t="str">
        <f>IF(AND($F240&lt;&gt;"", $F240&gt;=DL$5-4, $F240&lt;=DL$5, COUNTIF($M240:DK240,"u")=0), "u", "")</f>
        <v/>
      </c>
    </row>
    <row r="241" spans="1:116" ht="25.05" customHeight="1" x14ac:dyDescent="0.3">
      <c r="A241" s="39"/>
      <c r="B241" s="75">
        <v>236</v>
      </c>
      <c r="C241" s="97"/>
      <c r="D241" s="92"/>
      <c r="E241" s="53"/>
      <c r="F241" s="53"/>
      <c r="G241" s="83" t="str">
        <f t="shared" si="56"/>
        <v/>
      </c>
      <c r="H241" s="83" t="str">
        <f t="shared" si="56"/>
        <v/>
      </c>
      <c r="I241" s="77" t="str">
        <f t="shared" si="54"/>
        <v/>
      </c>
      <c r="J241" s="78"/>
      <c r="K241" s="86"/>
      <c r="L241" s="56"/>
      <c r="M241" s="80" t="str">
        <f t="shared" si="55"/>
        <v/>
      </c>
      <c r="N241" s="80" t="str">
        <f>IF(AND($F241&lt;&gt;"", $F241&gt;=N$5-4, $F241&lt;=N$5, COUNTIF($M241:M241,"u")=0), "u", "")</f>
        <v/>
      </c>
      <c r="O241" s="80" t="str">
        <f>IF(AND($F241&lt;&gt;"", $F241&gt;=O$5-4, $F241&lt;=O$5, COUNTIF($M241:N241,"u")=0), "u", "")</f>
        <v/>
      </c>
      <c r="P241" s="80" t="str">
        <f>IF(AND($F241&lt;&gt;"", $F241&gt;=P$5-4, $F241&lt;=P$5, COUNTIF($M241:O241,"u")=0), "u", "")</f>
        <v/>
      </c>
      <c r="Q241" s="80" t="str">
        <f>IF(AND($F241&lt;&gt;"", $F241&gt;=Q$5-4, $F241&lt;=Q$5, COUNTIF($M241:P241,"u")=0), "u", "")</f>
        <v/>
      </c>
      <c r="R241" s="80" t="str">
        <f>IF(AND($F241&lt;&gt;"", $F241&gt;=R$5-4, $F241&lt;=R$5, COUNTIF($M241:Q241,"u")=0), "u", "")</f>
        <v/>
      </c>
      <c r="S241" s="80" t="str">
        <f>IF(AND($F241&lt;&gt;"", $F241&gt;=S$5-4, $F241&lt;=S$5, COUNTIF($M241:R241,"u")=0), "u", "")</f>
        <v/>
      </c>
      <c r="T241" s="80" t="str">
        <f>IF(AND($F241&lt;&gt;"", $F241&gt;=T$5-4, $F241&lt;=T$5, COUNTIF($M241:S241,"u")=0), "u", "")</f>
        <v/>
      </c>
      <c r="U241" s="80" t="str">
        <f>IF(AND($F241&lt;&gt;"", $F241&gt;=U$5-4, $F241&lt;=U$5, COUNTIF($M241:T241,"u")=0), "u", "")</f>
        <v/>
      </c>
      <c r="V241" s="80" t="str">
        <f>IF(AND($F241&lt;&gt;"", $F241&gt;=V$5-4, $F241&lt;=V$5, COUNTIF($M241:U241,"u")=0), "u", "")</f>
        <v/>
      </c>
      <c r="W241" s="80" t="str">
        <f>IF(AND($F241&lt;&gt;"", $F241&gt;=W$5-4, $F241&lt;=W$5, COUNTIF($M241:V241,"u")=0), "u", "")</f>
        <v/>
      </c>
      <c r="X241" s="80" t="str">
        <f>IF(AND($F241&lt;&gt;"", $F241&gt;=X$5-4, $F241&lt;=X$5, COUNTIF($M241:W241,"u")=0), "u", "")</f>
        <v/>
      </c>
      <c r="Y241" s="80" t="str">
        <f>IF(AND($F241&lt;&gt;"", $F241&gt;=Y$5-4, $F241&lt;=Y$5, COUNTIF($M241:X241,"u")=0), "u", "")</f>
        <v/>
      </c>
      <c r="Z241" s="80" t="str">
        <f>IF(AND($F241&lt;&gt;"", $F241&gt;=Z$5-4, $F241&lt;=Z$5, COUNTIF($M241:Y241,"u")=0), "u", "")</f>
        <v/>
      </c>
      <c r="AA241" s="80" t="str">
        <f>IF(AND($F241&lt;&gt;"", $F241&gt;=AA$5-4, $F241&lt;=AA$5, COUNTIF($M241:Z241,"u")=0), "u", "")</f>
        <v/>
      </c>
      <c r="AB241" s="80" t="str">
        <f>IF(AND($F241&lt;&gt;"", $F241&gt;=AB$5-4, $F241&lt;=AB$5, COUNTIF($M241:AA241,"u")=0), "u", "")</f>
        <v/>
      </c>
      <c r="AC241" s="80" t="str">
        <f>IF(AND($F241&lt;&gt;"", $F241&gt;=AC$5-4, $F241&lt;=AC$5, COUNTIF($M241:AB241,"u")=0), "u", "")</f>
        <v/>
      </c>
      <c r="AD241" s="80" t="str">
        <f>IF(AND($F241&lt;&gt;"", $F241&gt;=AD$5-4, $F241&lt;=AD$5, COUNTIF($M241:AC241,"u")=0), "u", "")</f>
        <v/>
      </c>
      <c r="AE241" s="80" t="str">
        <f>IF(AND($F241&lt;&gt;"", $F241&gt;=AE$5-4, $F241&lt;=AE$5, COUNTIF($M241:AD241,"u")=0), "u", "")</f>
        <v/>
      </c>
      <c r="AF241" s="80" t="str">
        <f>IF(AND($F241&lt;&gt;"", $F241&gt;=AF$5-4, $F241&lt;=AF$5, COUNTIF($M241:AE241,"u")=0), "u", "")</f>
        <v/>
      </c>
      <c r="AG241" s="80" t="str">
        <f>IF(AND($F241&lt;&gt;"", $F241&gt;=AG$5-4, $F241&lt;=AG$5, COUNTIF($M241:AF241,"u")=0), "u", "")</f>
        <v/>
      </c>
      <c r="AH241" s="80" t="str">
        <f>IF(AND($F241&lt;&gt;"", $F241&gt;=AH$5-4, $F241&lt;=AH$5, COUNTIF($M241:AG241,"u")=0), "u", "")</f>
        <v/>
      </c>
      <c r="AI241" s="80" t="str">
        <f>IF(AND($F241&lt;&gt;"", $F241&gt;=AI$5-4, $F241&lt;=AI$5, COUNTIF($M241:AH241,"u")=0), "u", "")</f>
        <v/>
      </c>
      <c r="AJ241" s="80" t="str">
        <f>IF(AND($F241&lt;&gt;"", $F241&gt;=AJ$5-4, $F241&lt;=AJ$5, COUNTIF($M241:AI241,"u")=0), "u", "")</f>
        <v/>
      </c>
      <c r="AK241" s="80" t="str">
        <f>IF(AND($F241&lt;&gt;"", $F241&gt;=AK$5-4, $F241&lt;=AK$5, COUNTIF($M241:AJ241,"u")=0), "u", "")</f>
        <v/>
      </c>
      <c r="AL241" s="80" t="str">
        <f>IF(AND($F241&lt;&gt;"", $F241&gt;=AL$5-4, $F241&lt;=AL$5, COUNTIF($M241:AK241,"u")=0), "u", "")</f>
        <v/>
      </c>
      <c r="AM241" s="80" t="str">
        <f>IF(AND($F241&lt;&gt;"", $F241&gt;=AM$5-4, $F241&lt;=AM$5, COUNTIF($M241:AL241,"u")=0), "u", "")</f>
        <v/>
      </c>
      <c r="AN241" s="80" t="str">
        <f>IF(AND($F241&lt;&gt;"", $F241&gt;=AN$5-4, $F241&lt;=AN$5, COUNTIF($M241:AM241,"u")=0), "u", "")</f>
        <v/>
      </c>
      <c r="AO241" s="80" t="str">
        <f>IF(AND($F241&lt;&gt;"", $F241&gt;=AO$5-4, $F241&lt;=AO$5, COUNTIF($M241:AN241,"u")=0), "u", "")</f>
        <v/>
      </c>
      <c r="AP241" s="80" t="str">
        <f>IF(AND($F241&lt;&gt;"", $F241&gt;=AP$5-4, $F241&lt;=AP$5, COUNTIF($M241:AO241,"u")=0), "u", "")</f>
        <v/>
      </c>
      <c r="AQ241" s="80" t="str">
        <f>IF(AND($F241&lt;&gt;"", $F241&gt;=AQ$5-4, $F241&lt;=AQ$5, COUNTIF($M241:AP241,"u")=0), "u", "")</f>
        <v/>
      </c>
      <c r="AR241" s="80" t="str">
        <f>IF(AND($F241&lt;&gt;"", $F241&gt;=AR$5-4, $F241&lt;=AR$5, COUNTIF($M241:AQ241,"u")=0), "u", "")</f>
        <v/>
      </c>
      <c r="AS241" s="80" t="str">
        <f>IF(AND($F241&lt;&gt;"", $F241&gt;=AS$5-4, $F241&lt;=AS$5, COUNTIF($M241:AR241,"u")=0), "u", "")</f>
        <v/>
      </c>
      <c r="AT241" s="80" t="str">
        <f>IF(AND($F241&lt;&gt;"", $F241&gt;=AT$5-4, $F241&lt;=AT$5, COUNTIF($M241:AS241,"u")=0), "u", "")</f>
        <v/>
      </c>
      <c r="AU241" s="80" t="str">
        <f>IF(AND($F241&lt;&gt;"", $F241&gt;=AU$5-4, $F241&lt;=AU$5, COUNTIF($M241:AT241,"u")=0), "u", "")</f>
        <v/>
      </c>
      <c r="AV241" s="80" t="str">
        <f>IF(AND($F241&lt;&gt;"", $F241&gt;=AV$5-4, $F241&lt;=AV$5, COUNTIF($M241:AU241,"u")=0), "u", "")</f>
        <v/>
      </c>
      <c r="AW241" s="80" t="str">
        <f>IF(AND($F241&lt;&gt;"", $F241&gt;=AW$5-4, $F241&lt;=AW$5, COUNTIF($M241:AV241,"u")=0), "u", "")</f>
        <v/>
      </c>
      <c r="AX241" s="80" t="str">
        <f>IF(AND($F241&lt;&gt;"", $F241&gt;=AX$5-4, $F241&lt;=AX$5, COUNTIF($M241:AW241,"u")=0), "u", "")</f>
        <v/>
      </c>
      <c r="AY241" s="80" t="str">
        <f>IF(AND($F241&lt;&gt;"", $F241&gt;=AY$5-4, $F241&lt;=AY$5, COUNTIF($M241:AX241,"u")=0), "u", "")</f>
        <v/>
      </c>
      <c r="AZ241" s="80" t="str">
        <f>IF(AND($F241&lt;&gt;"", $F241&gt;=AZ$5-4, $F241&lt;=AZ$5, COUNTIF($M241:AY241,"u")=0), "u", "")</f>
        <v/>
      </c>
      <c r="BA241" s="80" t="str">
        <f>IF(AND($F241&lt;&gt;"", $F241&gt;=BA$5-4, $F241&lt;=BA$5, COUNTIF($M241:AZ241,"u")=0), "u", "")</f>
        <v/>
      </c>
      <c r="BB241" s="80" t="str">
        <f>IF(AND($F241&lt;&gt;"", $F241&gt;=BB$5-4, $F241&lt;=BB$5, COUNTIF($M241:BA241,"u")=0), "u", "")</f>
        <v/>
      </c>
      <c r="BC241" s="80" t="str">
        <f>IF(AND($F241&lt;&gt;"", $F241&gt;=BC$5-4, $F241&lt;=BC$5, COUNTIF($M241:BB241,"u")=0), "u", "")</f>
        <v/>
      </c>
      <c r="BD241" s="80" t="str">
        <f>IF(AND($F241&lt;&gt;"", $F241&gt;=BD$5-4, $F241&lt;=BD$5, COUNTIF($M241:BC241,"u")=0), "u", "")</f>
        <v/>
      </c>
      <c r="BE241" s="80" t="str">
        <f>IF(AND($F241&lt;&gt;"", $F241&gt;=BE$5-4, $F241&lt;=BE$5, COUNTIF($M241:BD241,"u")=0), "u", "")</f>
        <v/>
      </c>
      <c r="BF241" s="80" t="str">
        <f>IF(AND($F241&lt;&gt;"", $F241&gt;=BF$5-4, $F241&lt;=BF$5, COUNTIF($M241:BE241,"u")=0), "u", "")</f>
        <v/>
      </c>
      <c r="BG241" s="80" t="str">
        <f>IF(AND($F241&lt;&gt;"", $F241&gt;=BG$5-4, $F241&lt;=BG$5, COUNTIF($M241:BF241,"u")=0), "u", "")</f>
        <v/>
      </c>
      <c r="BH241" s="80" t="str">
        <f>IF(AND($F241&lt;&gt;"", $F241&gt;=BH$5-4, $F241&lt;=BH$5, COUNTIF($M241:BG241,"u")=0), "u", "")</f>
        <v/>
      </c>
      <c r="BI241" s="80" t="str">
        <f>IF(AND($F241&lt;&gt;"", $F241&gt;=BI$5-4, $F241&lt;=BI$5, COUNTIF($M241:BH241,"u")=0), "u", "")</f>
        <v/>
      </c>
      <c r="BJ241" s="80" t="str">
        <f>IF(AND($F241&lt;&gt;"", $F241&gt;=BJ$5-4, $F241&lt;=BJ$5, COUNTIF($M241:BI241,"u")=0), "u", "")</f>
        <v/>
      </c>
      <c r="BK241" s="80" t="str">
        <f>IF(AND($F241&lt;&gt;"", $F241&gt;=BK$5-4, $F241&lt;=BK$5, COUNTIF($M241:BJ241,"u")=0), "u", "")</f>
        <v/>
      </c>
      <c r="BL241" s="80" t="str">
        <f>IF(AND($F241&lt;&gt;"", $F241&gt;=BL$5-4, $F241&lt;=BL$5, COUNTIF($M241:BK241,"u")=0), "u", "")</f>
        <v/>
      </c>
      <c r="BM241" s="80" t="str">
        <f>IF(AND($F241&lt;&gt;"", $F241&gt;=BM$5-4, $F241&lt;=BM$5, COUNTIF($M241:BL241,"u")=0), "u", "")</f>
        <v/>
      </c>
      <c r="BN241" s="80" t="str">
        <f>IF(AND($F241&lt;&gt;"", $F241&gt;=BN$5-4, $F241&lt;=BN$5, COUNTIF($M241:BM241,"u")=0), "u", "")</f>
        <v/>
      </c>
      <c r="BO241" s="80" t="str">
        <f>IF(AND($F241&lt;&gt;"", $F241&gt;=BO$5-4, $F241&lt;=BO$5, COUNTIF($M241:BN241,"u")=0), "u", "")</f>
        <v/>
      </c>
      <c r="BP241" s="80" t="str">
        <f>IF(AND($F241&lt;&gt;"", $F241&gt;=BP$5-4, $F241&lt;=BP$5, COUNTIF($M241:BO241,"u")=0), "u", "")</f>
        <v/>
      </c>
      <c r="BQ241" s="80" t="str">
        <f>IF(AND($F241&lt;&gt;"", $F241&gt;=BQ$5-4, $F241&lt;=BQ$5, COUNTIF($M241:BP241,"u")=0), "u", "")</f>
        <v/>
      </c>
      <c r="BR241" s="80" t="str">
        <f>IF(AND($F241&lt;&gt;"", $F241&gt;=BR$5-4, $F241&lt;=BR$5, COUNTIF($M241:BQ241,"u")=0), "u", "")</f>
        <v/>
      </c>
      <c r="BS241" s="80" t="str">
        <f>IF(AND($F241&lt;&gt;"", $F241&gt;=BS$5-4, $F241&lt;=BS$5, COUNTIF($M241:BR241,"u")=0), "u", "")</f>
        <v/>
      </c>
      <c r="BT241" s="80" t="str">
        <f>IF(AND($F241&lt;&gt;"", $F241&gt;=BT$5-4, $F241&lt;=BT$5, COUNTIF($M241:BS241,"u")=0), "u", "")</f>
        <v/>
      </c>
      <c r="BU241" s="80" t="str">
        <f>IF(AND($F241&lt;&gt;"", $F241&gt;=BU$5-4, $F241&lt;=BU$5, COUNTIF($M241:BT241,"u")=0), "u", "")</f>
        <v/>
      </c>
      <c r="BV241" s="80" t="str">
        <f>IF(AND($F241&lt;&gt;"", $F241&gt;=BV$5-4, $F241&lt;=BV$5, COUNTIF($M241:BU241,"u")=0), "u", "")</f>
        <v/>
      </c>
      <c r="BW241" s="80" t="str">
        <f>IF(AND($F241&lt;&gt;"", $F241&gt;=BW$5-4, $F241&lt;=BW$5, COUNTIF($M241:BV241,"u")=0), "u", "")</f>
        <v/>
      </c>
      <c r="BX241" s="80" t="str">
        <f>IF(AND($F241&lt;&gt;"", $F241&gt;=BX$5-4, $F241&lt;=BX$5, COUNTIF($M241:BW241,"u")=0), "u", "")</f>
        <v/>
      </c>
      <c r="BY241" s="80" t="str">
        <f>IF(AND($F241&lt;&gt;"", $F241&gt;=BY$5-4, $F241&lt;=BY$5, COUNTIF($M241:BX241,"u")=0), "u", "")</f>
        <v/>
      </c>
      <c r="BZ241" s="80" t="str">
        <f>IF(AND($F241&lt;&gt;"", $F241&gt;=BZ$5-4, $F241&lt;=BZ$5, COUNTIF($M241:BY241,"u")=0), "u", "")</f>
        <v/>
      </c>
      <c r="CA241" s="80" t="str">
        <f>IF(AND($F241&lt;&gt;"", $F241&gt;=CA$5-4, $F241&lt;=CA$5, COUNTIF($M241:BZ241,"u")=0), "u", "")</f>
        <v/>
      </c>
      <c r="CB241" s="80" t="str">
        <f>IF(AND($F241&lt;&gt;"", $F241&gt;=CB$5-4, $F241&lt;=CB$5, COUNTIF($M241:CA241,"u")=0), "u", "")</f>
        <v/>
      </c>
      <c r="CC241" s="80" t="str">
        <f>IF(AND($F241&lt;&gt;"", $F241&gt;=CC$5-4, $F241&lt;=CC$5, COUNTIF($M241:CB241,"u")=0), "u", "")</f>
        <v/>
      </c>
      <c r="CD241" s="80" t="str">
        <f>IF(AND($F241&lt;&gt;"", $F241&gt;=CD$5-4, $F241&lt;=CD$5, COUNTIF($M241:CC241,"u")=0), "u", "")</f>
        <v/>
      </c>
      <c r="CE241" s="80" t="str">
        <f>IF(AND($F241&lt;&gt;"", $F241&gt;=CE$5-4, $F241&lt;=CE$5, COUNTIF($M241:CD241,"u")=0), "u", "")</f>
        <v/>
      </c>
      <c r="CF241" s="80" t="str">
        <f>IF(AND($F241&lt;&gt;"", $F241&gt;=CF$5-4, $F241&lt;=CF$5, COUNTIF($M241:CE241,"u")=0), "u", "")</f>
        <v/>
      </c>
      <c r="CG241" s="80" t="str">
        <f>IF(AND($F241&lt;&gt;"", $F241&gt;=CG$5-4, $F241&lt;=CG$5, COUNTIF($M241:CF241,"u")=0), "u", "")</f>
        <v/>
      </c>
      <c r="CH241" s="80" t="str">
        <f>IF(AND($F241&lt;&gt;"", $F241&gt;=CH$5-4, $F241&lt;=CH$5, COUNTIF($M241:CG241,"u")=0), "u", "")</f>
        <v/>
      </c>
      <c r="CI241" s="80" t="str">
        <f>IF(AND($F241&lt;&gt;"", $F241&gt;=CI$5-4, $F241&lt;=CI$5, COUNTIF($M241:CH241,"u")=0), "u", "")</f>
        <v/>
      </c>
      <c r="CJ241" s="80" t="str">
        <f>IF(AND($F241&lt;&gt;"", $F241&gt;=CJ$5-4, $F241&lt;=CJ$5, COUNTIF($M241:CI241,"u")=0), "u", "")</f>
        <v/>
      </c>
      <c r="CK241" s="80" t="str">
        <f>IF(AND($F241&lt;&gt;"", $F241&gt;=CK$5-4, $F241&lt;=CK$5, COUNTIF($M241:CJ241,"u")=0), "u", "")</f>
        <v/>
      </c>
      <c r="CL241" s="80" t="str">
        <f>IF(AND($F241&lt;&gt;"", $F241&gt;=CL$5-4, $F241&lt;=CL$5, COUNTIF($M241:CK241,"u")=0), "u", "")</f>
        <v/>
      </c>
      <c r="CM241" s="80" t="str">
        <f>IF(AND($F241&lt;&gt;"", $F241&gt;=CM$5-4, $F241&lt;=CM$5, COUNTIF($M241:CL241,"u")=0), "u", "")</f>
        <v/>
      </c>
      <c r="CN241" s="80" t="str">
        <f>IF(AND($F241&lt;&gt;"", $F241&gt;=CN$5-4, $F241&lt;=CN$5, COUNTIF($M241:CM241,"u")=0), "u", "")</f>
        <v/>
      </c>
      <c r="CO241" s="80" t="str">
        <f>IF(AND($F241&lt;&gt;"", $F241&gt;=CO$5-4, $F241&lt;=CO$5, COUNTIF($M241:CN241,"u")=0), "u", "")</f>
        <v/>
      </c>
      <c r="CP241" s="80" t="str">
        <f>IF(AND($F241&lt;&gt;"", $F241&gt;=CP$5-4, $F241&lt;=CP$5, COUNTIF($M241:CO241,"u")=0), "u", "")</f>
        <v/>
      </c>
      <c r="CQ241" s="80" t="str">
        <f>IF(AND($F241&lt;&gt;"", $F241&gt;=CQ$5-4, $F241&lt;=CQ$5, COUNTIF($M241:CP241,"u")=0), "u", "")</f>
        <v/>
      </c>
      <c r="CR241" s="80" t="str">
        <f>IF(AND($F241&lt;&gt;"", $F241&gt;=CR$5-4, $F241&lt;=CR$5, COUNTIF($M241:CQ241,"u")=0), "u", "")</f>
        <v/>
      </c>
      <c r="CS241" s="80" t="str">
        <f>IF(AND($F241&lt;&gt;"", $F241&gt;=CS$5-4, $F241&lt;=CS$5, COUNTIF($M241:CR241,"u")=0), "u", "")</f>
        <v/>
      </c>
      <c r="CT241" s="80" t="str">
        <f>IF(AND($F241&lt;&gt;"", $F241&gt;=CT$5-4, $F241&lt;=CT$5, COUNTIF($M241:CS241,"u")=0), "u", "")</f>
        <v/>
      </c>
      <c r="CU241" s="80" t="str">
        <f>IF(AND($F241&lt;&gt;"", $F241&gt;=CU$5-4, $F241&lt;=CU$5, COUNTIF($M241:CT241,"u")=0), "u", "")</f>
        <v/>
      </c>
      <c r="CV241" s="80" t="str">
        <f>IF(AND($F241&lt;&gt;"", $F241&gt;=CV$5-4, $F241&lt;=CV$5, COUNTIF($M241:CU241,"u")=0), "u", "")</f>
        <v/>
      </c>
      <c r="CW241" s="80" t="str">
        <f>IF(AND($F241&lt;&gt;"", $F241&gt;=CW$5-4, $F241&lt;=CW$5, COUNTIF($M241:CV241,"u")=0), "u", "")</f>
        <v/>
      </c>
      <c r="CX241" s="80" t="str">
        <f>IF(AND($F241&lt;&gt;"", $F241&gt;=CX$5-4, $F241&lt;=CX$5, COUNTIF($M241:CW241,"u")=0), "u", "")</f>
        <v/>
      </c>
      <c r="CY241" s="80" t="str">
        <f>IF(AND($F241&lt;&gt;"", $F241&gt;=CY$5-4, $F241&lt;=CY$5, COUNTIF($M241:CX241,"u")=0), "u", "")</f>
        <v/>
      </c>
      <c r="CZ241" s="80" t="str">
        <f>IF(AND($F241&lt;&gt;"", $F241&gt;=CZ$5-4, $F241&lt;=CZ$5, COUNTIF($M241:CY241,"u")=0), "u", "")</f>
        <v/>
      </c>
      <c r="DA241" s="80" t="str">
        <f>IF(AND($F241&lt;&gt;"", $F241&gt;=DA$5-4, $F241&lt;=DA$5, COUNTIF($M241:CZ241,"u")=0), "u", "")</f>
        <v/>
      </c>
      <c r="DB241" s="80" t="str">
        <f>IF(AND($F241&lt;&gt;"", $F241&gt;=DB$5-4, $F241&lt;=DB$5, COUNTIF($M241:DA241,"u")=0), "u", "")</f>
        <v/>
      </c>
      <c r="DC241" s="80" t="str">
        <f>IF(AND($F241&lt;&gt;"", $F241&gt;=DC$5-4, $F241&lt;=DC$5, COUNTIF($M241:DB241,"u")=0), "u", "")</f>
        <v/>
      </c>
      <c r="DD241" s="80" t="str">
        <f>IF(AND($F241&lt;&gt;"", $F241&gt;=DD$5-4, $F241&lt;=DD$5, COUNTIF($M241:DC241,"u")=0), "u", "")</f>
        <v/>
      </c>
      <c r="DE241" s="80" t="str">
        <f>IF(AND($F241&lt;&gt;"", $F241&gt;=DE$5-4, $F241&lt;=DE$5, COUNTIF($M241:DD241,"u")=0), "u", "")</f>
        <v/>
      </c>
      <c r="DF241" s="80" t="str">
        <f>IF(AND($F241&lt;&gt;"", $F241&gt;=DF$5-4, $F241&lt;=DF$5, COUNTIF($M241:DE241,"u")=0), "u", "")</f>
        <v/>
      </c>
      <c r="DG241" s="80" t="str">
        <f>IF(AND($F241&lt;&gt;"", $F241&gt;=DG$5-4, $F241&lt;=DG$5, COUNTIF($M241:DF241,"u")=0), "u", "")</f>
        <v/>
      </c>
      <c r="DH241" s="80" t="str">
        <f>IF(AND($F241&lt;&gt;"", $F241&gt;=DH$5-4, $F241&lt;=DH$5, COUNTIF($M241:DG241,"u")=0), "u", "")</f>
        <v/>
      </c>
      <c r="DI241" s="80" t="str">
        <f>IF(AND($F241&lt;&gt;"", $F241&gt;=DI$5-4, $F241&lt;=DI$5, COUNTIF($M241:DH241,"u")=0), "u", "")</f>
        <v/>
      </c>
      <c r="DJ241" s="80" t="str">
        <f>IF(AND($F241&lt;&gt;"", $F241&gt;=DJ$5-4, $F241&lt;=DJ$5, COUNTIF($M241:DI241,"u")=0), "u", "")</f>
        <v/>
      </c>
      <c r="DK241" s="80" t="str">
        <f>IF(AND($F241&lt;&gt;"", $F241&gt;=DK$5-4, $F241&lt;=DK$5, COUNTIF($M241:DJ241,"u")=0), "u", "")</f>
        <v/>
      </c>
      <c r="DL241" s="80" t="str">
        <f>IF(AND($F241&lt;&gt;"", $F241&gt;=DL$5-4, $F241&lt;=DL$5, COUNTIF($M241:DK241,"u")=0), "u", "")</f>
        <v/>
      </c>
    </row>
    <row r="242" spans="1:116" ht="25.05" customHeight="1" x14ac:dyDescent="0.3">
      <c r="A242" s="39"/>
      <c r="B242" s="75">
        <v>237</v>
      </c>
      <c r="C242" s="97"/>
      <c r="D242" s="92"/>
      <c r="E242" s="53"/>
      <c r="F242" s="53"/>
      <c r="G242" s="83" t="str">
        <f t="shared" si="56"/>
        <v/>
      </c>
      <c r="H242" s="83" t="str">
        <f t="shared" si="56"/>
        <v/>
      </c>
      <c r="I242" s="77" t="str">
        <f t="shared" si="54"/>
        <v/>
      </c>
      <c r="J242" s="78"/>
      <c r="K242" s="86"/>
      <c r="L242" s="56"/>
      <c r="M242" s="80" t="str">
        <f t="shared" si="55"/>
        <v/>
      </c>
      <c r="N242" s="80" t="str">
        <f>IF(AND($F242&lt;&gt;"", $F242&gt;=N$5-4, $F242&lt;=N$5, COUNTIF($M242:M242,"u")=0), "u", "")</f>
        <v/>
      </c>
      <c r="O242" s="80" t="str">
        <f>IF(AND($F242&lt;&gt;"", $F242&gt;=O$5-4, $F242&lt;=O$5, COUNTIF($M242:N242,"u")=0), "u", "")</f>
        <v/>
      </c>
      <c r="P242" s="80" t="str">
        <f>IF(AND($F242&lt;&gt;"", $F242&gt;=P$5-4, $F242&lt;=P$5, COUNTIF($M242:O242,"u")=0), "u", "")</f>
        <v/>
      </c>
      <c r="Q242" s="80" t="str">
        <f>IF(AND($F242&lt;&gt;"", $F242&gt;=Q$5-4, $F242&lt;=Q$5, COUNTIF($M242:P242,"u")=0), "u", "")</f>
        <v/>
      </c>
      <c r="R242" s="80" t="str">
        <f>IF(AND($F242&lt;&gt;"", $F242&gt;=R$5-4, $F242&lt;=R$5, COUNTIF($M242:Q242,"u")=0), "u", "")</f>
        <v/>
      </c>
      <c r="S242" s="80" t="str">
        <f>IF(AND($F242&lt;&gt;"", $F242&gt;=S$5-4, $F242&lt;=S$5, COUNTIF($M242:R242,"u")=0), "u", "")</f>
        <v/>
      </c>
      <c r="T242" s="80" t="str">
        <f>IF(AND($F242&lt;&gt;"", $F242&gt;=T$5-4, $F242&lt;=T$5, COUNTIF($M242:S242,"u")=0), "u", "")</f>
        <v/>
      </c>
      <c r="U242" s="80" t="str">
        <f>IF(AND($F242&lt;&gt;"", $F242&gt;=U$5-4, $F242&lt;=U$5, COUNTIF($M242:T242,"u")=0), "u", "")</f>
        <v/>
      </c>
      <c r="V242" s="80" t="str">
        <f>IF(AND($F242&lt;&gt;"", $F242&gt;=V$5-4, $F242&lt;=V$5, COUNTIF($M242:U242,"u")=0), "u", "")</f>
        <v/>
      </c>
      <c r="W242" s="80" t="str">
        <f>IF(AND($F242&lt;&gt;"", $F242&gt;=W$5-4, $F242&lt;=W$5, COUNTIF($M242:V242,"u")=0), "u", "")</f>
        <v/>
      </c>
      <c r="X242" s="80" t="str">
        <f>IF(AND($F242&lt;&gt;"", $F242&gt;=X$5-4, $F242&lt;=X$5, COUNTIF($M242:W242,"u")=0), "u", "")</f>
        <v/>
      </c>
      <c r="Y242" s="80" t="str">
        <f>IF(AND($F242&lt;&gt;"", $F242&gt;=Y$5-4, $F242&lt;=Y$5, COUNTIF($M242:X242,"u")=0), "u", "")</f>
        <v/>
      </c>
      <c r="Z242" s="80" t="str">
        <f>IF(AND($F242&lt;&gt;"", $F242&gt;=Z$5-4, $F242&lt;=Z$5, COUNTIF($M242:Y242,"u")=0), "u", "")</f>
        <v/>
      </c>
      <c r="AA242" s="80" t="str">
        <f>IF(AND($F242&lt;&gt;"", $F242&gt;=AA$5-4, $F242&lt;=AA$5, COUNTIF($M242:Z242,"u")=0), "u", "")</f>
        <v/>
      </c>
      <c r="AB242" s="80" t="str">
        <f>IF(AND($F242&lt;&gt;"", $F242&gt;=AB$5-4, $F242&lt;=AB$5, COUNTIF($M242:AA242,"u")=0), "u", "")</f>
        <v/>
      </c>
      <c r="AC242" s="80" t="str">
        <f>IF(AND($F242&lt;&gt;"", $F242&gt;=AC$5-4, $F242&lt;=AC$5, COUNTIF($M242:AB242,"u")=0), "u", "")</f>
        <v/>
      </c>
      <c r="AD242" s="80" t="str">
        <f>IF(AND($F242&lt;&gt;"", $F242&gt;=AD$5-4, $F242&lt;=AD$5, COUNTIF($M242:AC242,"u")=0), "u", "")</f>
        <v/>
      </c>
      <c r="AE242" s="80" t="str">
        <f>IF(AND($F242&lt;&gt;"", $F242&gt;=AE$5-4, $F242&lt;=AE$5, COUNTIF($M242:AD242,"u")=0), "u", "")</f>
        <v/>
      </c>
      <c r="AF242" s="80" t="str">
        <f>IF(AND($F242&lt;&gt;"", $F242&gt;=AF$5-4, $F242&lt;=AF$5, COUNTIF($M242:AE242,"u")=0), "u", "")</f>
        <v/>
      </c>
      <c r="AG242" s="80" t="str">
        <f>IF(AND($F242&lt;&gt;"", $F242&gt;=AG$5-4, $F242&lt;=AG$5, COUNTIF($M242:AF242,"u")=0), "u", "")</f>
        <v/>
      </c>
      <c r="AH242" s="80" t="str">
        <f>IF(AND($F242&lt;&gt;"", $F242&gt;=AH$5-4, $F242&lt;=AH$5, COUNTIF($M242:AG242,"u")=0), "u", "")</f>
        <v/>
      </c>
      <c r="AI242" s="80" t="str">
        <f>IF(AND($F242&lt;&gt;"", $F242&gt;=AI$5-4, $F242&lt;=AI$5, COUNTIF($M242:AH242,"u")=0), "u", "")</f>
        <v/>
      </c>
      <c r="AJ242" s="80" t="str">
        <f>IF(AND($F242&lt;&gt;"", $F242&gt;=AJ$5-4, $F242&lt;=AJ$5, COUNTIF($M242:AI242,"u")=0), "u", "")</f>
        <v/>
      </c>
      <c r="AK242" s="80" t="str">
        <f>IF(AND($F242&lt;&gt;"", $F242&gt;=AK$5-4, $F242&lt;=AK$5, COUNTIF($M242:AJ242,"u")=0), "u", "")</f>
        <v/>
      </c>
      <c r="AL242" s="80" t="str">
        <f>IF(AND($F242&lt;&gt;"", $F242&gt;=AL$5-4, $F242&lt;=AL$5, COUNTIF($M242:AK242,"u")=0), "u", "")</f>
        <v/>
      </c>
      <c r="AM242" s="80" t="str">
        <f>IF(AND($F242&lt;&gt;"", $F242&gt;=AM$5-4, $F242&lt;=AM$5, COUNTIF($M242:AL242,"u")=0), "u", "")</f>
        <v/>
      </c>
      <c r="AN242" s="80" t="str">
        <f>IF(AND($F242&lt;&gt;"", $F242&gt;=AN$5-4, $F242&lt;=AN$5, COUNTIF($M242:AM242,"u")=0), "u", "")</f>
        <v/>
      </c>
      <c r="AO242" s="80" t="str">
        <f>IF(AND($F242&lt;&gt;"", $F242&gt;=AO$5-4, $F242&lt;=AO$5, COUNTIF($M242:AN242,"u")=0), "u", "")</f>
        <v/>
      </c>
      <c r="AP242" s="80" t="str">
        <f>IF(AND($F242&lt;&gt;"", $F242&gt;=AP$5-4, $F242&lt;=AP$5, COUNTIF($M242:AO242,"u")=0), "u", "")</f>
        <v/>
      </c>
      <c r="AQ242" s="80" t="str">
        <f>IF(AND($F242&lt;&gt;"", $F242&gt;=AQ$5-4, $F242&lt;=AQ$5, COUNTIF($M242:AP242,"u")=0), "u", "")</f>
        <v/>
      </c>
      <c r="AR242" s="80" t="str">
        <f>IF(AND($F242&lt;&gt;"", $F242&gt;=AR$5-4, $F242&lt;=AR$5, COUNTIF($M242:AQ242,"u")=0), "u", "")</f>
        <v/>
      </c>
      <c r="AS242" s="80" t="str">
        <f>IF(AND($F242&lt;&gt;"", $F242&gt;=AS$5-4, $F242&lt;=AS$5, COUNTIF($M242:AR242,"u")=0), "u", "")</f>
        <v/>
      </c>
      <c r="AT242" s="80" t="str">
        <f>IF(AND($F242&lt;&gt;"", $F242&gt;=AT$5-4, $F242&lt;=AT$5, COUNTIF($M242:AS242,"u")=0), "u", "")</f>
        <v/>
      </c>
      <c r="AU242" s="80" t="str">
        <f>IF(AND($F242&lt;&gt;"", $F242&gt;=AU$5-4, $F242&lt;=AU$5, COUNTIF($M242:AT242,"u")=0), "u", "")</f>
        <v/>
      </c>
      <c r="AV242" s="80" t="str">
        <f>IF(AND($F242&lt;&gt;"", $F242&gt;=AV$5-4, $F242&lt;=AV$5, COUNTIF($M242:AU242,"u")=0), "u", "")</f>
        <v/>
      </c>
      <c r="AW242" s="80" t="str">
        <f>IF(AND($F242&lt;&gt;"", $F242&gt;=AW$5-4, $F242&lt;=AW$5, COUNTIF($M242:AV242,"u")=0), "u", "")</f>
        <v/>
      </c>
      <c r="AX242" s="80" t="str">
        <f>IF(AND($F242&lt;&gt;"", $F242&gt;=AX$5-4, $F242&lt;=AX$5, COUNTIF($M242:AW242,"u")=0), "u", "")</f>
        <v/>
      </c>
      <c r="AY242" s="80" t="str">
        <f>IF(AND($F242&lt;&gt;"", $F242&gt;=AY$5-4, $F242&lt;=AY$5, COUNTIF($M242:AX242,"u")=0), "u", "")</f>
        <v/>
      </c>
      <c r="AZ242" s="80" t="str">
        <f>IF(AND($F242&lt;&gt;"", $F242&gt;=AZ$5-4, $F242&lt;=AZ$5, COUNTIF($M242:AY242,"u")=0), "u", "")</f>
        <v/>
      </c>
      <c r="BA242" s="80" t="str">
        <f>IF(AND($F242&lt;&gt;"", $F242&gt;=BA$5-4, $F242&lt;=BA$5, COUNTIF($M242:AZ242,"u")=0), "u", "")</f>
        <v/>
      </c>
      <c r="BB242" s="80" t="str">
        <f>IF(AND($F242&lt;&gt;"", $F242&gt;=BB$5-4, $F242&lt;=BB$5, COUNTIF($M242:BA242,"u")=0), "u", "")</f>
        <v/>
      </c>
      <c r="BC242" s="80" t="str">
        <f>IF(AND($F242&lt;&gt;"", $F242&gt;=BC$5-4, $F242&lt;=BC$5, COUNTIF($M242:BB242,"u")=0), "u", "")</f>
        <v/>
      </c>
      <c r="BD242" s="80" t="str">
        <f>IF(AND($F242&lt;&gt;"", $F242&gt;=BD$5-4, $F242&lt;=BD$5, COUNTIF($M242:BC242,"u")=0), "u", "")</f>
        <v/>
      </c>
      <c r="BE242" s="80" t="str">
        <f>IF(AND($F242&lt;&gt;"", $F242&gt;=BE$5-4, $F242&lt;=BE$5, COUNTIF($M242:BD242,"u")=0), "u", "")</f>
        <v/>
      </c>
      <c r="BF242" s="80" t="str">
        <f>IF(AND($F242&lt;&gt;"", $F242&gt;=BF$5-4, $F242&lt;=BF$5, COUNTIF($M242:BE242,"u")=0), "u", "")</f>
        <v/>
      </c>
      <c r="BG242" s="80" t="str">
        <f>IF(AND($F242&lt;&gt;"", $F242&gt;=BG$5-4, $F242&lt;=BG$5, COUNTIF($M242:BF242,"u")=0), "u", "")</f>
        <v/>
      </c>
      <c r="BH242" s="80" t="str">
        <f>IF(AND($F242&lt;&gt;"", $F242&gt;=BH$5-4, $F242&lt;=BH$5, COUNTIF($M242:BG242,"u")=0), "u", "")</f>
        <v/>
      </c>
      <c r="BI242" s="80" t="str">
        <f>IF(AND($F242&lt;&gt;"", $F242&gt;=BI$5-4, $F242&lt;=BI$5, COUNTIF($M242:BH242,"u")=0), "u", "")</f>
        <v/>
      </c>
      <c r="BJ242" s="80" t="str">
        <f>IF(AND($F242&lt;&gt;"", $F242&gt;=BJ$5-4, $F242&lt;=BJ$5, COUNTIF($M242:BI242,"u")=0), "u", "")</f>
        <v/>
      </c>
      <c r="BK242" s="80" t="str">
        <f>IF(AND($F242&lt;&gt;"", $F242&gt;=BK$5-4, $F242&lt;=BK$5, COUNTIF($M242:BJ242,"u")=0), "u", "")</f>
        <v/>
      </c>
      <c r="BL242" s="80" t="str">
        <f>IF(AND($F242&lt;&gt;"", $F242&gt;=BL$5-4, $F242&lt;=BL$5, COUNTIF($M242:BK242,"u")=0), "u", "")</f>
        <v/>
      </c>
      <c r="BM242" s="80" t="str">
        <f>IF(AND($F242&lt;&gt;"", $F242&gt;=BM$5-4, $F242&lt;=BM$5, COUNTIF($M242:BL242,"u")=0), "u", "")</f>
        <v/>
      </c>
      <c r="BN242" s="80" t="str">
        <f>IF(AND($F242&lt;&gt;"", $F242&gt;=BN$5-4, $F242&lt;=BN$5, COUNTIF($M242:BM242,"u")=0), "u", "")</f>
        <v/>
      </c>
      <c r="BO242" s="80" t="str">
        <f>IF(AND($F242&lt;&gt;"", $F242&gt;=BO$5-4, $F242&lt;=BO$5, COUNTIF($M242:BN242,"u")=0), "u", "")</f>
        <v/>
      </c>
      <c r="BP242" s="80" t="str">
        <f>IF(AND($F242&lt;&gt;"", $F242&gt;=BP$5-4, $F242&lt;=BP$5, COUNTIF($M242:BO242,"u")=0), "u", "")</f>
        <v/>
      </c>
      <c r="BQ242" s="80" t="str">
        <f>IF(AND($F242&lt;&gt;"", $F242&gt;=BQ$5-4, $F242&lt;=BQ$5, COUNTIF($M242:BP242,"u")=0), "u", "")</f>
        <v/>
      </c>
      <c r="BR242" s="80" t="str">
        <f>IF(AND($F242&lt;&gt;"", $F242&gt;=BR$5-4, $F242&lt;=BR$5, COUNTIF($M242:BQ242,"u")=0), "u", "")</f>
        <v/>
      </c>
      <c r="BS242" s="80" t="str">
        <f>IF(AND($F242&lt;&gt;"", $F242&gt;=BS$5-4, $F242&lt;=BS$5, COUNTIF($M242:BR242,"u")=0), "u", "")</f>
        <v/>
      </c>
      <c r="BT242" s="80" t="str">
        <f>IF(AND($F242&lt;&gt;"", $F242&gt;=BT$5-4, $F242&lt;=BT$5, COUNTIF($M242:BS242,"u")=0), "u", "")</f>
        <v/>
      </c>
      <c r="BU242" s="80" t="str">
        <f>IF(AND($F242&lt;&gt;"", $F242&gt;=BU$5-4, $F242&lt;=BU$5, COUNTIF($M242:BT242,"u")=0), "u", "")</f>
        <v/>
      </c>
      <c r="BV242" s="80" t="str">
        <f>IF(AND($F242&lt;&gt;"", $F242&gt;=BV$5-4, $F242&lt;=BV$5, COUNTIF($M242:BU242,"u")=0), "u", "")</f>
        <v/>
      </c>
      <c r="BW242" s="80" t="str">
        <f>IF(AND($F242&lt;&gt;"", $F242&gt;=BW$5-4, $F242&lt;=BW$5, COUNTIF($M242:BV242,"u")=0), "u", "")</f>
        <v/>
      </c>
      <c r="BX242" s="80" t="str">
        <f>IF(AND($F242&lt;&gt;"", $F242&gt;=BX$5-4, $F242&lt;=BX$5, COUNTIF($M242:BW242,"u")=0), "u", "")</f>
        <v/>
      </c>
      <c r="BY242" s="80" t="str">
        <f>IF(AND($F242&lt;&gt;"", $F242&gt;=BY$5-4, $F242&lt;=BY$5, COUNTIF($M242:BX242,"u")=0), "u", "")</f>
        <v/>
      </c>
      <c r="BZ242" s="80" t="str">
        <f>IF(AND($F242&lt;&gt;"", $F242&gt;=BZ$5-4, $F242&lt;=BZ$5, COUNTIF($M242:BY242,"u")=0), "u", "")</f>
        <v/>
      </c>
      <c r="CA242" s="80" t="str">
        <f>IF(AND($F242&lt;&gt;"", $F242&gt;=CA$5-4, $F242&lt;=CA$5, COUNTIF($M242:BZ242,"u")=0), "u", "")</f>
        <v/>
      </c>
      <c r="CB242" s="80" t="str">
        <f>IF(AND($F242&lt;&gt;"", $F242&gt;=CB$5-4, $F242&lt;=CB$5, COUNTIF($M242:CA242,"u")=0), "u", "")</f>
        <v/>
      </c>
      <c r="CC242" s="80" t="str">
        <f>IF(AND($F242&lt;&gt;"", $F242&gt;=CC$5-4, $F242&lt;=CC$5, COUNTIF($M242:CB242,"u")=0), "u", "")</f>
        <v/>
      </c>
      <c r="CD242" s="80" t="str">
        <f>IF(AND($F242&lt;&gt;"", $F242&gt;=CD$5-4, $F242&lt;=CD$5, COUNTIF($M242:CC242,"u")=0), "u", "")</f>
        <v/>
      </c>
      <c r="CE242" s="80" t="str">
        <f>IF(AND($F242&lt;&gt;"", $F242&gt;=CE$5-4, $F242&lt;=CE$5, COUNTIF($M242:CD242,"u")=0), "u", "")</f>
        <v/>
      </c>
      <c r="CF242" s="80" t="str">
        <f>IF(AND($F242&lt;&gt;"", $F242&gt;=CF$5-4, $F242&lt;=CF$5, COUNTIF($M242:CE242,"u")=0), "u", "")</f>
        <v/>
      </c>
      <c r="CG242" s="80" t="str">
        <f>IF(AND($F242&lt;&gt;"", $F242&gt;=CG$5-4, $F242&lt;=CG$5, COUNTIF($M242:CF242,"u")=0), "u", "")</f>
        <v/>
      </c>
      <c r="CH242" s="80" t="str">
        <f>IF(AND($F242&lt;&gt;"", $F242&gt;=CH$5-4, $F242&lt;=CH$5, COUNTIF($M242:CG242,"u")=0), "u", "")</f>
        <v/>
      </c>
      <c r="CI242" s="80" t="str">
        <f>IF(AND($F242&lt;&gt;"", $F242&gt;=CI$5-4, $F242&lt;=CI$5, COUNTIF($M242:CH242,"u")=0), "u", "")</f>
        <v/>
      </c>
      <c r="CJ242" s="80" t="str">
        <f>IF(AND($F242&lt;&gt;"", $F242&gt;=CJ$5-4, $F242&lt;=CJ$5, COUNTIF($M242:CI242,"u")=0), "u", "")</f>
        <v/>
      </c>
      <c r="CK242" s="80" t="str">
        <f>IF(AND($F242&lt;&gt;"", $F242&gt;=CK$5-4, $F242&lt;=CK$5, COUNTIF($M242:CJ242,"u")=0), "u", "")</f>
        <v/>
      </c>
      <c r="CL242" s="80" t="str">
        <f>IF(AND($F242&lt;&gt;"", $F242&gt;=CL$5-4, $F242&lt;=CL$5, COUNTIF($M242:CK242,"u")=0), "u", "")</f>
        <v/>
      </c>
      <c r="CM242" s="80" t="str">
        <f>IF(AND($F242&lt;&gt;"", $F242&gt;=CM$5-4, $F242&lt;=CM$5, COUNTIF($M242:CL242,"u")=0), "u", "")</f>
        <v/>
      </c>
      <c r="CN242" s="80" t="str">
        <f>IF(AND($F242&lt;&gt;"", $F242&gt;=CN$5-4, $F242&lt;=CN$5, COUNTIF($M242:CM242,"u")=0), "u", "")</f>
        <v/>
      </c>
      <c r="CO242" s="80" t="str">
        <f>IF(AND($F242&lt;&gt;"", $F242&gt;=CO$5-4, $F242&lt;=CO$5, COUNTIF($M242:CN242,"u")=0), "u", "")</f>
        <v/>
      </c>
      <c r="CP242" s="80" t="str">
        <f>IF(AND($F242&lt;&gt;"", $F242&gt;=CP$5-4, $F242&lt;=CP$5, COUNTIF($M242:CO242,"u")=0), "u", "")</f>
        <v/>
      </c>
      <c r="CQ242" s="80" t="str">
        <f>IF(AND($F242&lt;&gt;"", $F242&gt;=CQ$5-4, $F242&lt;=CQ$5, COUNTIF($M242:CP242,"u")=0), "u", "")</f>
        <v/>
      </c>
      <c r="CR242" s="80" t="str">
        <f>IF(AND($F242&lt;&gt;"", $F242&gt;=CR$5-4, $F242&lt;=CR$5, COUNTIF($M242:CQ242,"u")=0), "u", "")</f>
        <v/>
      </c>
      <c r="CS242" s="80" t="str">
        <f>IF(AND($F242&lt;&gt;"", $F242&gt;=CS$5-4, $F242&lt;=CS$5, COUNTIF($M242:CR242,"u")=0), "u", "")</f>
        <v/>
      </c>
      <c r="CT242" s="80" t="str">
        <f>IF(AND($F242&lt;&gt;"", $F242&gt;=CT$5-4, $F242&lt;=CT$5, COUNTIF($M242:CS242,"u")=0), "u", "")</f>
        <v/>
      </c>
      <c r="CU242" s="80" t="str">
        <f>IF(AND($F242&lt;&gt;"", $F242&gt;=CU$5-4, $F242&lt;=CU$5, COUNTIF($M242:CT242,"u")=0), "u", "")</f>
        <v/>
      </c>
      <c r="CV242" s="80" t="str">
        <f>IF(AND($F242&lt;&gt;"", $F242&gt;=CV$5-4, $F242&lt;=CV$5, COUNTIF($M242:CU242,"u")=0), "u", "")</f>
        <v/>
      </c>
      <c r="CW242" s="80" t="str">
        <f>IF(AND($F242&lt;&gt;"", $F242&gt;=CW$5-4, $F242&lt;=CW$5, COUNTIF($M242:CV242,"u")=0), "u", "")</f>
        <v/>
      </c>
      <c r="CX242" s="80" t="str">
        <f>IF(AND($F242&lt;&gt;"", $F242&gt;=CX$5-4, $F242&lt;=CX$5, COUNTIF($M242:CW242,"u")=0), "u", "")</f>
        <v/>
      </c>
      <c r="CY242" s="80" t="str">
        <f>IF(AND($F242&lt;&gt;"", $F242&gt;=CY$5-4, $F242&lt;=CY$5, COUNTIF($M242:CX242,"u")=0), "u", "")</f>
        <v/>
      </c>
      <c r="CZ242" s="80" t="str">
        <f>IF(AND($F242&lt;&gt;"", $F242&gt;=CZ$5-4, $F242&lt;=CZ$5, COUNTIF($M242:CY242,"u")=0), "u", "")</f>
        <v/>
      </c>
      <c r="DA242" s="80" t="str">
        <f>IF(AND($F242&lt;&gt;"", $F242&gt;=DA$5-4, $F242&lt;=DA$5, COUNTIF($M242:CZ242,"u")=0), "u", "")</f>
        <v/>
      </c>
      <c r="DB242" s="80" t="str">
        <f>IF(AND($F242&lt;&gt;"", $F242&gt;=DB$5-4, $F242&lt;=DB$5, COUNTIF($M242:DA242,"u")=0), "u", "")</f>
        <v/>
      </c>
      <c r="DC242" s="80" t="str">
        <f>IF(AND($F242&lt;&gt;"", $F242&gt;=DC$5-4, $F242&lt;=DC$5, COUNTIF($M242:DB242,"u")=0), "u", "")</f>
        <v/>
      </c>
      <c r="DD242" s="80" t="str">
        <f>IF(AND($F242&lt;&gt;"", $F242&gt;=DD$5-4, $F242&lt;=DD$5, COUNTIF($M242:DC242,"u")=0), "u", "")</f>
        <v/>
      </c>
      <c r="DE242" s="80" t="str">
        <f>IF(AND($F242&lt;&gt;"", $F242&gt;=DE$5-4, $F242&lt;=DE$5, COUNTIF($M242:DD242,"u")=0), "u", "")</f>
        <v/>
      </c>
      <c r="DF242" s="80" t="str">
        <f>IF(AND($F242&lt;&gt;"", $F242&gt;=DF$5-4, $F242&lt;=DF$5, COUNTIF($M242:DE242,"u")=0), "u", "")</f>
        <v/>
      </c>
      <c r="DG242" s="80" t="str">
        <f>IF(AND($F242&lt;&gt;"", $F242&gt;=DG$5-4, $F242&lt;=DG$5, COUNTIF($M242:DF242,"u")=0), "u", "")</f>
        <v/>
      </c>
      <c r="DH242" s="80" t="str">
        <f>IF(AND($F242&lt;&gt;"", $F242&gt;=DH$5-4, $F242&lt;=DH$5, COUNTIF($M242:DG242,"u")=0), "u", "")</f>
        <v/>
      </c>
      <c r="DI242" s="80" t="str">
        <f>IF(AND($F242&lt;&gt;"", $F242&gt;=DI$5-4, $F242&lt;=DI$5, COUNTIF($M242:DH242,"u")=0), "u", "")</f>
        <v/>
      </c>
      <c r="DJ242" s="80" t="str">
        <f>IF(AND($F242&lt;&gt;"", $F242&gt;=DJ$5-4, $F242&lt;=DJ$5, COUNTIF($M242:DI242,"u")=0), "u", "")</f>
        <v/>
      </c>
      <c r="DK242" s="80" t="str">
        <f>IF(AND($F242&lt;&gt;"", $F242&gt;=DK$5-4, $F242&lt;=DK$5, COUNTIF($M242:DJ242,"u")=0), "u", "")</f>
        <v/>
      </c>
      <c r="DL242" s="80" t="str">
        <f>IF(AND($F242&lt;&gt;"", $F242&gt;=DL$5-4, $F242&lt;=DL$5, COUNTIF($M242:DK242,"u")=0), "u", "")</f>
        <v/>
      </c>
    </row>
    <row r="243" spans="1:116" ht="25.05" customHeight="1" x14ac:dyDescent="0.3">
      <c r="A243" s="39"/>
      <c r="B243" s="75">
        <v>238</v>
      </c>
      <c r="C243" s="97"/>
      <c r="D243" s="92"/>
      <c r="E243" s="53"/>
      <c r="F243" s="53"/>
      <c r="G243" s="83" t="str">
        <f t="shared" si="56"/>
        <v/>
      </c>
      <c r="H243" s="83" t="str">
        <f t="shared" si="56"/>
        <v/>
      </c>
      <c r="I243" s="77" t="str">
        <f t="shared" si="54"/>
        <v/>
      </c>
      <c r="J243" s="78"/>
      <c r="K243" s="86"/>
      <c r="L243" s="56"/>
      <c r="M243" s="80" t="str">
        <f t="shared" si="55"/>
        <v/>
      </c>
      <c r="N243" s="80" t="str">
        <f>IF(AND($F243&lt;&gt;"", $F243&gt;=N$5-4, $F243&lt;=N$5, COUNTIF($M243:M243,"u")=0), "u", "")</f>
        <v/>
      </c>
      <c r="O243" s="80" t="str">
        <f>IF(AND($F243&lt;&gt;"", $F243&gt;=O$5-4, $F243&lt;=O$5, COUNTIF($M243:N243,"u")=0), "u", "")</f>
        <v/>
      </c>
      <c r="P243" s="80" t="str">
        <f>IF(AND($F243&lt;&gt;"", $F243&gt;=P$5-4, $F243&lt;=P$5, COUNTIF($M243:O243,"u")=0), "u", "")</f>
        <v/>
      </c>
      <c r="Q243" s="80" t="str">
        <f>IF(AND($F243&lt;&gt;"", $F243&gt;=Q$5-4, $F243&lt;=Q$5, COUNTIF($M243:P243,"u")=0), "u", "")</f>
        <v/>
      </c>
      <c r="R243" s="80" t="str">
        <f>IF(AND($F243&lt;&gt;"", $F243&gt;=R$5-4, $F243&lt;=R$5, COUNTIF($M243:Q243,"u")=0), "u", "")</f>
        <v/>
      </c>
      <c r="S243" s="80" t="str">
        <f>IF(AND($F243&lt;&gt;"", $F243&gt;=S$5-4, $F243&lt;=S$5, COUNTIF($M243:R243,"u")=0), "u", "")</f>
        <v/>
      </c>
      <c r="T243" s="80" t="str">
        <f>IF(AND($F243&lt;&gt;"", $F243&gt;=T$5-4, $F243&lt;=T$5, COUNTIF($M243:S243,"u")=0), "u", "")</f>
        <v/>
      </c>
      <c r="U243" s="80" t="str">
        <f>IF(AND($F243&lt;&gt;"", $F243&gt;=U$5-4, $F243&lt;=U$5, COUNTIF($M243:T243,"u")=0), "u", "")</f>
        <v/>
      </c>
      <c r="V243" s="80" t="str">
        <f>IF(AND($F243&lt;&gt;"", $F243&gt;=V$5-4, $F243&lt;=V$5, COUNTIF($M243:U243,"u")=0), "u", "")</f>
        <v/>
      </c>
      <c r="W243" s="80" t="str">
        <f>IF(AND($F243&lt;&gt;"", $F243&gt;=W$5-4, $F243&lt;=W$5, COUNTIF($M243:V243,"u")=0), "u", "")</f>
        <v/>
      </c>
      <c r="X243" s="80" t="str">
        <f>IF(AND($F243&lt;&gt;"", $F243&gt;=X$5-4, $F243&lt;=X$5, COUNTIF($M243:W243,"u")=0), "u", "")</f>
        <v/>
      </c>
      <c r="Y243" s="80" t="str">
        <f>IF(AND($F243&lt;&gt;"", $F243&gt;=Y$5-4, $F243&lt;=Y$5, COUNTIF($M243:X243,"u")=0), "u", "")</f>
        <v/>
      </c>
      <c r="Z243" s="80" t="str">
        <f>IF(AND($F243&lt;&gt;"", $F243&gt;=Z$5-4, $F243&lt;=Z$5, COUNTIF($M243:Y243,"u")=0), "u", "")</f>
        <v/>
      </c>
      <c r="AA243" s="80" t="str">
        <f>IF(AND($F243&lt;&gt;"", $F243&gt;=AA$5-4, $F243&lt;=AA$5, COUNTIF($M243:Z243,"u")=0), "u", "")</f>
        <v/>
      </c>
      <c r="AB243" s="80" t="str">
        <f>IF(AND($F243&lt;&gt;"", $F243&gt;=AB$5-4, $F243&lt;=AB$5, COUNTIF($M243:AA243,"u")=0), "u", "")</f>
        <v/>
      </c>
      <c r="AC243" s="80" t="str">
        <f>IF(AND($F243&lt;&gt;"", $F243&gt;=AC$5-4, $F243&lt;=AC$5, COUNTIF($M243:AB243,"u")=0), "u", "")</f>
        <v/>
      </c>
      <c r="AD243" s="80" t="str">
        <f>IF(AND($F243&lt;&gt;"", $F243&gt;=AD$5-4, $F243&lt;=AD$5, COUNTIF($M243:AC243,"u")=0), "u", "")</f>
        <v/>
      </c>
      <c r="AE243" s="80" t="str">
        <f>IF(AND($F243&lt;&gt;"", $F243&gt;=AE$5-4, $F243&lt;=AE$5, COUNTIF($M243:AD243,"u")=0), "u", "")</f>
        <v/>
      </c>
      <c r="AF243" s="80" t="str">
        <f>IF(AND($F243&lt;&gt;"", $F243&gt;=AF$5-4, $F243&lt;=AF$5, COUNTIF($M243:AE243,"u")=0), "u", "")</f>
        <v/>
      </c>
      <c r="AG243" s="80" t="str">
        <f>IF(AND($F243&lt;&gt;"", $F243&gt;=AG$5-4, $F243&lt;=AG$5, COUNTIF($M243:AF243,"u")=0), "u", "")</f>
        <v/>
      </c>
      <c r="AH243" s="80" t="str">
        <f>IF(AND($F243&lt;&gt;"", $F243&gt;=AH$5-4, $F243&lt;=AH$5, COUNTIF($M243:AG243,"u")=0), "u", "")</f>
        <v/>
      </c>
      <c r="AI243" s="80" t="str">
        <f>IF(AND($F243&lt;&gt;"", $F243&gt;=AI$5-4, $F243&lt;=AI$5, COUNTIF($M243:AH243,"u")=0), "u", "")</f>
        <v/>
      </c>
      <c r="AJ243" s="80" t="str">
        <f>IF(AND($F243&lt;&gt;"", $F243&gt;=AJ$5-4, $F243&lt;=AJ$5, COUNTIF($M243:AI243,"u")=0), "u", "")</f>
        <v/>
      </c>
      <c r="AK243" s="80" t="str">
        <f>IF(AND($F243&lt;&gt;"", $F243&gt;=AK$5-4, $F243&lt;=AK$5, COUNTIF($M243:AJ243,"u")=0), "u", "")</f>
        <v/>
      </c>
      <c r="AL243" s="80" t="str">
        <f>IF(AND($F243&lt;&gt;"", $F243&gt;=AL$5-4, $F243&lt;=AL$5, COUNTIF($M243:AK243,"u")=0), "u", "")</f>
        <v/>
      </c>
      <c r="AM243" s="80" t="str">
        <f>IF(AND($F243&lt;&gt;"", $F243&gt;=AM$5-4, $F243&lt;=AM$5, COUNTIF($M243:AL243,"u")=0), "u", "")</f>
        <v/>
      </c>
      <c r="AN243" s="80" t="str">
        <f>IF(AND($F243&lt;&gt;"", $F243&gt;=AN$5-4, $F243&lt;=AN$5, COUNTIF($M243:AM243,"u")=0), "u", "")</f>
        <v/>
      </c>
      <c r="AO243" s="80" t="str">
        <f>IF(AND($F243&lt;&gt;"", $F243&gt;=AO$5-4, $F243&lt;=AO$5, COUNTIF($M243:AN243,"u")=0), "u", "")</f>
        <v/>
      </c>
      <c r="AP243" s="80" t="str">
        <f>IF(AND($F243&lt;&gt;"", $F243&gt;=AP$5-4, $F243&lt;=AP$5, COUNTIF($M243:AO243,"u")=0), "u", "")</f>
        <v/>
      </c>
      <c r="AQ243" s="80" t="str">
        <f>IF(AND($F243&lt;&gt;"", $F243&gt;=AQ$5-4, $F243&lt;=AQ$5, COUNTIF($M243:AP243,"u")=0), "u", "")</f>
        <v/>
      </c>
      <c r="AR243" s="80" t="str">
        <f>IF(AND($F243&lt;&gt;"", $F243&gt;=AR$5-4, $F243&lt;=AR$5, COUNTIF($M243:AQ243,"u")=0), "u", "")</f>
        <v/>
      </c>
      <c r="AS243" s="80" t="str">
        <f>IF(AND($F243&lt;&gt;"", $F243&gt;=AS$5-4, $F243&lt;=AS$5, COUNTIF($M243:AR243,"u")=0), "u", "")</f>
        <v/>
      </c>
      <c r="AT243" s="80" t="str">
        <f>IF(AND($F243&lt;&gt;"", $F243&gt;=AT$5-4, $F243&lt;=AT$5, COUNTIF($M243:AS243,"u")=0), "u", "")</f>
        <v/>
      </c>
      <c r="AU243" s="80" t="str">
        <f>IF(AND($F243&lt;&gt;"", $F243&gt;=AU$5-4, $F243&lt;=AU$5, COUNTIF($M243:AT243,"u")=0), "u", "")</f>
        <v/>
      </c>
      <c r="AV243" s="80" t="str">
        <f>IF(AND($F243&lt;&gt;"", $F243&gt;=AV$5-4, $F243&lt;=AV$5, COUNTIF($M243:AU243,"u")=0), "u", "")</f>
        <v/>
      </c>
      <c r="AW243" s="80" t="str">
        <f>IF(AND($F243&lt;&gt;"", $F243&gt;=AW$5-4, $F243&lt;=AW$5, COUNTIF($M243:AV243,"u")=0), "u", "")</f>
        <v/>
      </c>
      <c r="AX243" s="80" t="str">
        <f>IF(AND($F243&lt;&gt;"", $F243&gt;=AX$5-4, $F243&lt;=AX$5, COUNTIF($M243:AW243,"u")=0), "u", "")</f>
        <v/>
      </c>
      <c r="AY243" s="80" t="str">
        <f>IF(AND($F243&lt;&gt;"", $F243&gt;=AY$5-4, $F243&lt;=AY$5, COUNTIF($M243:AX243,"u")=0), "u", "")</f>
        <v/>
      </c>
      <c r="AZ243" s="80" t="str">
        <f>IF(AND($F243&lt;&gt;"", $F243&gt;=AZ$5-4, $F243&lt;=AZ$5, COUNTIF($M243:AY243,"u")=0), "u", "")</f>
        <v/>
      </c>
      <c r="BA243" s="80" t="str">
        <f>IF(AND($F243&lt;&gt;"", $F243&gt;=BA$5-4, $F243&lt;=BA$5, COUNTIF($M243:AZ243,"u")=0), "u", "")</f>
        <v/>
      </c>
      <c r="BB243" s="80" t="str">
        <f>IF(AND($F243&lt;&gt;"", $F243&gt;=BB$5-4, $F243&lt;=BB$5, COUNTIF($M243:BA243,"u")=0), "u", "")</f>
        <v/>
      </c>
      <c r="BC243" s="80" t="str">
        <f>IF(AND($F243&lt;&gt;"", $F243&gt;=BC$5-4, $F243&lt;=BC$5, COUNTIF($M243:BB243,"u")=0), "u", "")</f>
        <v/>
      </c>
      <c r="BD243" s="80" t="str">
        <f>IF(AND($F243&lt;&gt;"", $F243&gt;=BD$5-4, $F243&lt;=BD$5, COUNTIF($M243:BC243,"u")=0), "u", "")</f>
        <v/>
      </c>
      <c r="BE243" s="80" t="str">
        <f>IF(AND($F243&lt;&gt;"", $F243&gt;=BE$5-4, $F243&lt;=BE$5, COUNTIF($M243:BD243,"u")=0), "u", "")</f>
        <v/>
      </c>
      <c r="BF243" s="80" t="str">
        <f>IF(AND($F243&lt;&gt;"", $F243&gt;=BF$5-4, $F243&lt;=BF$5, COUNTIF($M243:BE243,"u")=0), "u", "")</f>
        <v/>
      </c>
      <c r="BG243" s="80" t="str">
        <f>IF(AND($F243&lt;&gt;"", $F243&gt;=BG$5-4, $F243&lt;=BG$5, COUNTIF($M243:BF243,"u")=0), "u", "")</f>
        <v/>
      </c>
      <c r="BH243" s="80" t="str">
        <f>IF(AND($F243&lt;&gt;"", $F243&gt;=BH$5-4, $F243&lt;=BH$5, COUNTIF($M243:BG243,"u")=0), "u", "")</f>
        <v/>
      </c>
      <c r="BI243" s="80" t="str">
        <f>IF(AND($F243&lt;&gt;"", $F243&gt;=BI$5-4, $F243&lt;=BI$5, COUNTIF($M243:BH243,"u")=0), "u", "")</f>
        <v/>
      </c>
      <c r="BJ243" s="80" t="str">
        <f>IF(AND($F243&lt;&gt;"", $F243&gt;=BJ$5-4, $F243&lt;=BJ$5, COUNTIF($M243:BI243,"u")=0), "u", "")</f>
        <v/>
      </c>
      <c r="BK243" s="80" t="str">
        <f>IF(AND($F243&lt;&gt;"", $F243&gt;=BK$5-4, $F243&lt;=BK$5, COUNTIF($M243:BJ243,"u")=0), "u", "")</f>
        <v/>
      </c>
      <c r="BL243" s="80" t="str">
        <f>IF(AND($F243&lt;&gt;"", $F243&gt;=BL$5-4, $F243&lt;=BL$5, COUNTIF($M243:BK243,"u")=0), "u", "")</f>
        <v/>
      </c>
      <c r="BM243" s="80" t="str">
        <f>IF(AND($F243&lt;&gt;"", $F243&gt;=BM$5-4, $F243&lt;=BM$5, COUNTIF($M243:BL243,"u")=0), "u", "")</f>
        <v/>
      </c>
      <c r="BN243" s="80" t="str">
        <f>IF(AND($F243&lt;&gt;"", $F243&gt;=BN$5-4, $F243&lt;=BN$5, COUNTIF($M243:BM243,"u")=0), "u", "")</f>
        <v/>
      </c>
      <c r="BO243" s="80" t="str">
        <f>IF(AND($F243&lt;&gt;"", $F243&gt;=BO$5-4, $F243&lt;=BO$5, COUNTIF($M243:BN243,"u")=0), "u", "")</f>
        <v/>
      </c>
      <c r="BP243" s="80" t="str">
        <f>IF(AND($F243&lt;&gt;"", $F243&gt;=BP$5-4, $F243&lt;=BP$5, COUNTIF($M243:BO243,"u")=0), "u", "")</f>
        <v/>
      </c>
      <c r="BQ243" s="80" t="str">
        <f>IF(AND($F243&lt;&gt;"", $F243&gt;=BQ$5-4, $F243&lt;=BQ$5, COUNTIF($M243:BP243,"u")=0), "u", "")</f>
        <v/>
      </c>
      <c r="BR243" s="80" t="str">
        <f>IF(AND($F243&lt;&gt;"", $F243&gt;=BR$5-4, $F243&lt;=BR$5, COUNTIF($M243:BQ243,"u")=0), "u", "")</f>
        <v/>
      </c>
      <c r="BS243" s="80" t="str">
        <f>IF(AND($F243&lt;&gt;"", $F243&gt;=BS$5-4, $F243&lt;=BS$5, COUNTIF($M243:BR243,"u")=0), "u", "")</f>
        <v/>
      </c>
      <c r="BT243" s="80" t="str">
        <f>IF(AND($F243&lt;&gt;"", $F243&gt;=BT$5-4, $F243&lt;=BT$5, COUNTIF($M243:BS243,"u")=0), "u", "")</f>
        <v/>
      </c>
      <c r="BU243" s="80" t="str">
        <f>IF(AND($F243&lt;&gt;"", $F243&gt;=BU$5-4, $F243&lt;=BU$5, COUNTIF($M243:BT243,"u")=0), "u", "")</f>
        <v/>
      </c>
      <c r="BV243" s="80" t="str">
        <f>IF(AND($F243&lt;&gt;"", $F243&gt;=BV$5-4, $F243&lt;=BV$5, COUNTIF($M243:BU243,"u")=0), "u", "")</f>
        <v/>
      </c>
      <c r="BW243" s="80" t="str">
        <f>IF(AND($F243&lt;&gt;"", $F243&gt;=BW$5-4, $F243&lt;=BW$5, COUNTIF($M243:BV243,"u")=0), "u", "")</f>
        <v/>
      </c>
      <c r="BX243" s="80" t="str">
        <f>IF(AND($F243&lt;&gt;"", $F243&gt;=BX$5-4, $F243&lt;=BX$5, COUNTIF($M243:BW243,"u")=0), "u", "")</f>
        <v/>
      </c>
      <c r="BY243" s="80" t="str">
        <f>IF(AND($F243&lt;&gt;"", $F243&gt;=BY$5-4, $F243&lt;=BY$5, COUNTIF($M243:BX243,"u")=0), "u", "")</f>
        <v/>
      </c>
      <c r="BZ243" s="80" t="str">
        <f>IF(AND($F243&lt;&gt;"", $F243&gt;=BZ$5-4, $F243&lt;=BZ$5, COUNTIF($M243:BY243,"u")=0), "u", "")</f>
        <v/>
      </c>
      <c r="CA243" s="80" t="str">
        <f>IF(AND($F243&lt;&gt;"", $F243&gt;=CA$5-4, $F243&lt;=CA$5, COUNTIF($M243:BZ243,"u")=0), "u", "")</f>
        <v/>
      </c>
      <c r="CB243" s="80" t="str">
        <f>IF(AND($F243&lt;&gt;"", $F243&gt;=CB$5-4, $F243&lt;=CB$5, COUNTIF($M243:CA243,"u")=0), "u", "")</f>
        <v/>
      </c>
      <c r="CC243" s="80" t="str">
        <f>IF(AND($F243&lt;&gt;"", $F243&gt;=CC$5-4, $F243&lt;=CC$5, COUNTIF($M243:CB243,"u")=0), "u", "")</f>
        <v/>
      </c>
      <c r="CD243" s="80" t="str">
        <f>IF(AND($F243&lt;&gt;"", $F243&gt;=CD$5-4, $F243&lt;=CD$5, COUNTIF($M243:CC243,"u")=0), "u", "")</f>
        <v/>
      </c>
      <c r="CE243" s="80" t="str">
        <f>IF(AND($F243&lt;&gt;"", $F243&gt;=CE$5-4, $F243&lt;=CE$5, COUNTIF($M243:CD243,"u")=0), "u", "")</f>
        <v/>
      </c>
      <c r="CF243" s="80" t="str">
        <f>IF(AND($F243&lt;&gt;"", $F243&gt;=CF$5-4, $F243&lt;=CF$5, COUNTIF($M243:CE243,"u")=0), "u", "")</f>
        <v/>
      </c>
      <c r="CG243" s="80" t="str">
        <f>IF(AND($F243&lt;&gt;"", $F243&gt;=CG$5-4, $F243&lt;=CG$5, COUNTIF($M243:CF243,"u")=0), "u", "")</f>
        <v/>
      </c>
      <c r="CH243" s="80" t="str">
        <f>IF(AND($F243&lt;&gt;"", $F243&gt;=CH$5-4, $F243&lt;=CH$5, COUNTIF($M243:CG243,"u")=0), "u", "")</f>
        <v/>
      </c>
      <c r="CI243" s="80" t="str">
        <f>IF(AND($F243&lt;&gt;"", $F243&gt;=CI$5-4, $F243&lt;=CI$5, COUNTIF($M243:CH243,"u")=0), "u", "")</f>
        <v/>
      </c>
      <c r="CJ243" s="80" t="str">
        <f>IF(AND($F243&lt;&gt;"", $F243&gt;=CJ$5-4, $F243&lt;=CJ$5, COUNTIF($M243:CI243,"u")=0), "u", "")</f>
        <v/>
      </c>
      <c r="CK243" s="80" t="str">
        <f>IF(AND($F243&lt;&gt;"", $F243&gt;=CK$5-4, $F243&lt;=CK$5, COUNTIF($M243:CJ243,"u")=0), "u", "")</f>
        <v/>
      </c>
      <c r="CL243" s="80" t="str">
        <f>IF(AND($F243&lt;&gt;"", $F243&gt;=CL$5-4, $F243&lt;=CL$5, COUNTIF($M243:CK243,"u")=0), "u", "")</f>
        <v/>
      </c>
      <c r="CM243" s="80" t="str">
        <f>IF(AND($F243&lt;&gt;"", $F243&gt;=CM$5-4, $F243&lt;=CM$5, COUNTIF($M243:CL243,"u")=0), "u", "")</f>
        <v/>
      </c>
      <c r="CN243" s="80" t="str">
        <f>IF(AND($F243&lt;&gt;"", $F243&gt;=CN$5-4, $F243&lt;=CN$5, COUNTIF($M243:CM243,"u")=0), "u", "")</f>
        <v/>
      </c>
      <c r="CO243" s="80" t="str">
        <f>IF(AND($F243&lt;&gt;"", $F243&gt;=CO$5-4, $F243&lt;=CO$5, COUNTIF($M243:CN243,"u")=0), "u", "")</f>
        <v/>
      </c>
      <c r="CP243" s="80" t="str">
        <f>IF(AND($F243&lt;&gt;"", $F243&gt;=CP$5-4, $F243&lt;=CP$5, COUNTIF($M243:CO243,"u")=0), "u", "")</f>
        <v/>
      </c>
      <c r="CQ243" s="80" t="str">
        <f>IF(AND($F243&lt;&gt;"", $F243&gt;=CQ$5-4, $F243&lt;=CQ$5, COUNTIF($M243:CP243,"u")=0), "u", "")</f>
        <v/>
      </c>
      <c r="CR243" s="80" t="str">
        <f>IF(AND($F243&lt;&gt;"", $F243&gt;=CR$5-4, $F243&lt;=CR$5, COUNTIF($M243:CQ243,"u")=0), "u", "")</f>
        <v/>
      </c>
      <c r="CS243" s="80" t="str">
        <f>IF(AND($F243&lt;&gt;"", $F243&gt;=CS$5-4, $F243&lt;=CS$5, COUNTIF($M243:CR243,"u")=0), "u", "")</f>
        <v/>
      </c>
      <c r="CT243" s="80" t="str">
        <f>IF(AND($F243&lt;&gt;"", $F243&gt;=CT$5-4, $F243&lt;=CT$5, COUNTIF($M243:CS243,"u")=0), "u", "")</f>
        <v/>
      </c>
      <c r="CU243" s="80" t="str">
        <f>IF(AND($F243&lt;&gt;"", $F243&gt;=CU$5-4, $F243&lt;=CU$5, COUNTIF($M243:CT243,"u")=0), "u", "")</f>
        <v/>
      </c>
      <c r="CV243" s="80" t="str">
        <f>IF(AND($F243&lt;&gt;"", $F243&gt;=CV$5-4, $F243&lt;=CV$5, COUNTIF($M243:CU243,"u")=0), "u", "")</f>
        <v/>
      </c>
      <c r="CW243" s="80" t="str">
        <f>IF(AND($F243&lt;&gt;"", $F243&gt;=CW$5-4, $F243&lt;=CW$5, COUNTIF($M243:CV243,"u")=0), "u", "")</f>
        <v/>
      </c>
      <c r="CX243" s="80" t="str">
        <f>IF(AND($F243&lt;&gt;"", $F243&gt;=CX$5-4, $F243&lt;=CX$5, COUNTIF($M243:CW243,"u")=0), "u", "")</f>
        <v/>
      </c>
      <c r="CY243" s="80" t="str">
        <f>IF(AND($F243&lt;&gt;"", $F243&gt;=CY$5-4, $F243&lt;=CY$5, COUNTIF($M243:CX243,"u")=0), "u", "")</f>
        <v/>
      </c>
      <c r="CZ243" s="80" t="str">
        <f>IF(AND($F243&lt;&gt;"", $F243&gt;=CZ$5-4, $F243&lt;=CZ$5, COUNTIF($M243:CY243,"u")=0), "u", "")</f>
        <v/>
      </c>
      <c r="DA243" s="80" t="str">
        <f>IF(AND($F243&lt;&gt;"", $F243&gt;=DA$5-4, $F243&lt;=DA$5, COUNTIF($M243:CZ243,"u")=0), "u", "")</f>
        <v/>
      </c>
      <c r="DB243" s="80" t="str">
        <f>IF(AND($F243&lt;&gt;"", $F243&gt;=DB$5-4, $F243&lt;=DB$5, COUNTIF($M243:DA243,"u")=0), "u", "")</f>
        <v/>
      </c>
      <c r="DC243" s="80" t="str">
        <f>IF(AND($F243&lt;&gt;"", $F243&gt;=DC$5-4, $F243&lt;=DC$5, COUNTIF($M243:DB243,"u")=0), "u", "")</f>
        <v/>
      </c>
      <c r="DD243" s="80" t="str">
        <f>IF(AND($F243&lt;&gt;"", $F243&gt;=DD$5-4, $F243&lt;=DD$5, COUNTIF($M243:DC243,"u")=0), "u", "")</f>
        <v/>
      </c>
      <c r="DE243" s="80" t="str">
        <f>IF(AND($F243&lt;&gt;"", $F243&gt;=DE$5-4, $F243&lt;=DE$5, COUNTIF($M243:DD243,"u")=0), "u", "")</f>
        <v/>
      </c>
      <c r="DF243" s="80" t="str">
        <f>IF(AND($F243&lt;&gt;"", $F243&gt;=DF$5-4, $F243&lt;=DF$5, COUNTIF($M243:DE243,"u")=0), "u", "")</f>
        <v/>
      </c>
      <c r="DG243" s="80" t="str">
        <f>IF(AND($F243&lt;&gt;"", $F243&gt;=DG$5-4, $F243&lt;=DG$5, COUNTIF($M243:DF243,"u")=0), "u", "")</f>
        <v/>
      </c>
      <c r="DH243" s="80" t="str">
        <f>IF(AND($F243&lt;&gt;"", $F243&gt;=DH$5-4, $F243&lt;=DH$5, COUNTIF($M243:DG243,"u")=0), "u", "")</f>
        <v/>
      </c>
      <c r="DI243" s="80" t="str">
        <f>IF(AND($F243&lt;&gt;"", $F243&gt;=DI$5-4, $F243&lt;=DI$5, COUNTIF($M243:DH243,"u")=0), "u", "")</f>
        <v/>
      </c>
      <c r="DJ243" s="80" t="str">
        <f>IF(AND($F243&lt;&gt;"", $F243&gt;=DJ$5-4, $F243&lt;=DJ$5, COUNTIF($M243:DI243,"u")=0), "u", "")</f>
        <v/>
      </c>
      <c r="DK243" s="80" t="str">
        <f>IF(AND($F243&lt;&gt;"", $F243&gt;=DK$5-4, $F243&lt;=DK$5, COUNTIF($M243:DJ243,"u")=0), "u", "")</f>
        <v/>
      </c>
      <c r="DL243" s="80" t="str">
        <f>IF(AND($F243&lt;&gt;"", $F243&gt;=DL$5-4, $F243&lt;=DL$5, COUNTIF($M243:DK243,"u")=0), "u", "")</f>
        <v/>
      </c>
    </row>
    <row r="244" spans="1:116" ht="25.05" customHeight="1" x14ac:dyDescent="0.3">
      <c r="A244" s="39"/>
      <c r="B244" s="75">
        <v>239</v>
      </c>
      <c r="C244" s="97"/>
      <c r="D244" s="92"/>
      <c r="E244" s="53"/>
      <c r="F244" s="53"/>
      <c r="G244" s="83" t="str">
        <f t="shared" si="56"/>
        <v/>
      </c>
      <c r="H244" s="83" t="str">
        <f t="shared" si="56"/>
        <v/>
      </c>
      <c r="I244" s="77" t="str">
        <f t="shared" si="54"/>
        <v/>
      </c>
      <c r="J244" s="78"/>
      <c r="K244" s="86"/>
      <c r="L244" s="56"/>
      <c r="M244" s="80" t="str">
        <f t="shared" si="55"/>
        <v/>
      </c>
      <c r="N244" s="80" t="str">
        <f>IF(AND($F244&lt;&gt;"", $F244&gt;=N$5-4, $F244&lt;=N$5, COUNTIF($M244:M244,"u")=0), "u", "")</f>
        <v/>
      </c>
      <c r="O244" s="80" t="str">
        <f>IF(AND($F244&lt;&gt;"", $F244&gt;=O$5-4, $F244&lt;=O$5, COUNTIF($M244:N244,"u")=0), "u", "")</f>
        <v/>
      </c>
      <c r="P244" s="80" t="str">
        <f>IF(AND($F244&lt;&gt;"", $F244&gt;=P$5-4, $F244&lt;=P$5, COUNTIF($M244:O244,"u")=0), "u", "")</f>
        <v/>
      </c>
      <c r="Q244" s="80" t="str">
        <f>IF(AND($F244&lt;&gt;"", $F244&gt;=Q$5-4, $F244&lt;=Q$5, COUNTIF($M244:P244,"u")=0), "u", "")</f>
        <v/>
      </c>
      <c r="R244" s="80" t="str">
        <f>IF(AND($F244&lt;&gt;"", $F244&gt;=R$5-4, $F244&lt;=R$5, COUNTIF($M244:Q244,"u")=0), "u", "")</f>
        <v/>
      </c>
      <c r="S244" s="80" t="str">
        <f>IF(AND($F244&lt;&gt;"", $F244&gt;=S$5-4, $F244&lt;=S$5, COUNTIF($M244:R244,"u")=0), "u", "")</f>
        <v/>
      </c>
      <c r="T244" s="80" t="str">
        <f>IF(AND($F244&lt;&gt;"", $F244&gt;=T$5-4, $F244&lt;=T$5, COUNTIF($M244:S244,"u")=0), "u", "")</f>
        <v/>
      </c>
      <c r="U244" s="80" t="str">
        <f>IF(AND($F244&lt;&gt;"", $F244&gt;=U$5-4, $F244&lt;=U$5, COUNTIF($M244:T244,"u")=0), "u", "")</f>
        <v/>
      </c>
      <c r="V244" s="80" t="str">
        <f>IF(AND($F244&lt;&gt;"", $F244&gt;=V$5-4, $F244&lt;=V$5, COUNTIF($M244:U244,"u")=0), "u", "")</f>
        <v/>
      </c>
      <c r="W244" s="80" t="str">
        <f>IF(AND($F244&lt;&gt;"", $F244&gt;=W$5-4, $F244&lt;=W$5, COUNTIF($M244:V244,"u")=0), "u", "")</f>
        <v/>
      </c>
      <c r="X244" s="80" t="str">
        <f>IF(AND($F244&lt;&gt;"", $F244&gt;=X$5-4, $F244&lt;=X$5, COUNTIF($M244:W244,"u")=0), "u", "")</f>
        <v/>
      </c>
      <c r="Y244" s="80" t="str">
        <f>IF(AND($F244&lt;&gt;"", $F244&gt;=Y$5-4, $F244&lt;=Y$5, COUNTIF($M244:X244,"u")=0), "u", "")</f>
        <v/>
      </c>
      <c r="Z244" s="80" t="str">
        <f>IF(AND($F244&lt;&gt;"", $F244&gt;=Z$5-4, $F244&lt;=Z$5, COUNTIF($M244:Y244,"u")=0), "u", "")</f>
        <v/>
      </c>
      <c r="AA244" s="80" t="str">
        <f>IF(AND($F244&lt;&gt;"", $F244&gt;=AA$5-4, $F244&lt;=AA$5, COUNTIF($M244:Z244,"u")=0), "u", "")</f>
        <v/>
      </c>
      <c r="AB244" s="80" t="str">
        <f>IF(AND($F244&lt;&gt;"", $F244&gt;=AB$5-4, $F244&lt;=AB$5, COUNTIF($M244:AA244,"u")=0), "u", "")</f>
        <v/>
      </c>
      <c r="AC244" s="80" t="str">
        <f>IF(AND($F244&lt;&gt;"", $F244&gt;=AC$5-4, $F244&lt;=AC$5, COUNTIF($M244:AB244,"u")=0), "u", "")</f>
        <v/>
      </c>
      <c r="AD244" s="80" t="str">
        <f>IF(AND($F244&lt;&gt;"", $F244&gt;=AD$5-4, $F244&lt;=AD$5, COUNTIF($M244:AC244,"u")=0), "u", "")</f>
        <v/>
      </c>
      <c r="AE244" s="80" t="str">
        <f>IF(AND($F244&lt;&gt;"", $F244&gt;=AE$5-4, $F244&lt;=AE$5, COUNTIF($M244:AD244,"u")=0), "u", "")</f>
        <v/>
      </c>
      <c r="AF244" s="80" t="str">
        <f>IF(AND($F244&lt;&gt;"", $F244&gt;=AF$5-4, $F244&lt;=AF$5, COUNTIF($M244:AE244,"u")=0), "u", "")</f>
        <v/>
      </c>
      <c r="AG244" s="80" t="str">
        <f>IF(AND($F244&lt;&gt;"", $F244&gt;=AG$5-4, $F244&lt;=AG$5, COUNTIF($M244:AF244,"u")=0), "u", "")</f>
        <v/>
      </c>
      <c r="AH244" s="80" t="str">
        <f>IF(AND($F244&lt;&gt;"", $F244&gt;=AH$5-4, $F244&lt;=AH$5, COUNTIF($M244:AG244,"u")=0), "u", "")</f>
        <v/>
      </c>
      <c r="AI244" s="80" t="str">
        <f>IF(AND($F244&lt;&gt;"", $F244&gt;=AI$5-4, $F244&lt;=AI$5, COUNTIF($M244:AH244,"u")=0), "u", "")</f>
        <v/>
      </c>
      <c r="AJ244" s="80" t="str">
        <f>IF(AND($F244&lt;&gt;"", $F244&gt;=AJ$5-4, $F244&lt;=AJ$5, COUNTIF($M244:AI244,"u")=0), "u", "")</f>
        <v/>
      </c>
      <c r="AK244" s="80" t="str">
        <f>IF(AND($F244&lt;&gt;"", $F244&gt;=AK$5-4, $F244&lt;=AK$5, COUNTIF($M244:AJ244,"u")=0), "u", "")</f>
        <v/>
      </c>
      <c r="AL244" s="80" t="str">
        <f>IF(AND($F244&lt;&gt;"", $F244&gt;=AL$5-4, $F244&lt;=AL$5, COUNTIF($M244:AK244,"u")=0), "u", "")</f>
        <v/>
      </c>
      <c r="AM244" s="80" t="str">
        <f>IF(AND($F244&lt;&gt;"", $F244&gt;=AM$5-4, $F244&lt;=AM$5, COUNTIF($M244:AL244,"u")=0), "u", "")</f>
        <v/>
      </c>
      <c r="AN244" s="80" t="str">
        <f>IF(AND($F244&lt;&gt;"", $F244&gt;=AN$5-4, $F244&lt;=AN$5, COUNTIF($M244:AM244,"u")=0), "u", "")</f>
        <v/>
      </c>
      <c r="AO244" s="80" t="str">
        <f>IF(AND($F244&lt;&gt;"", $F244&gt;=AO$5-4, $F244&lt;=AO$5, COUNTIF($M244:AN244,"u")=0), "u", "")</f>
        <v/>
      </c>
      <c r="AP244" s="80" t="str">
        <f>IF(AND($F244&lt;&gt;"", $F244&gt;=AP$5-4, $F244&lt;=AP$5, COUNTIF($M244:AO244,"u")=0), "u", "")</f>
        <v/>
      </c>
      <c r="AQ244" s="80" t="str">
        <f>IF(AND($F244&lt;&gt;"", $F244&gt;=AQ$5-4, $F244&lt;=AQ$5, COUNTIF($M244:AP244,"u")=0), "u", "")</f>
        <v/>
      </c>
      <c r="AR244" s="80" t="str">
        <f>IF(AND($F244&lt;&gt;"", $F244&gt;=AR$5-4, $F244&lt;=AR$5, COUNTIF($M244:AQ244,"u")=0), "u", "")</f>
        <v/>
      </c>
      <c r="AS244" s="80" t="str">
        <f>IF(AND($F244&lt;&gt;"", $F244&gt;=AS$5-4, $F244&lt;=AS$5, COUNTIF($M244:AR244,"u")=0), "u", "")</f>
        <v/>
      </c>
      <c r="AT244" s="80" t="str">
        <f>IF(AND($F244&lt;&gt;"", $F244&gt;=AT$5-4, $F244&lt;=AT$5, COUNTIF($M244:AS244,"u")=0), "u", "")</f>
        <v/>
      </c>
      <c r="AU244" s="80" t="str">
        <f>IF(AND($F244&lt;&gt;"", $F244&gt;=AU$5-4, $F244&lt;=AU$5, COUNTIF($M244:AT244,"u")=0), "u", "")</f>
        <v/>
      </c>
      <c r="AV244" s="80" t="str">
        <f>IF(AND($F244&lt;&gt;"", $F244&gt;=AV$5-4, $F244&lt;=AV$5, COUNTIF($M244:AU244,"u")=0), "u", "")</f>
        <v/>
      </c>
      <c r="AW244" s="80" t="str">
        <f>IF(AND($F244&lt;&gt;"", $F244&gt;=AW$5-4, $F244&lt;=AW$5, COUNTIF($M244:AV244,"u")=0), "u", "")</f>
        <v/>
      </c>
      <c r="AX244" s="80" t="str">
        <f>IF(AND($F244&lt;&gt;"", $F244&gt;=AX$5-4, $F244&lt;=AX$5, COUNTIF($M244:AW244,"u")=0), "u", "")</f>
        <v/>
      </c>
      <c r="AY244" s="80" t="str">
        <f>IF(AND($F244&lt;&gt;"", $F244&gt;=AY$5-4, $F244&lt;=AY$5, COUNTIF($M244:AX244,"u")=0), "u", "")</f>
        <v/>
      </c>
      <c r="AZ244" s="80" t="str">
        <f>IF(AND($F244&lt;&gt;"", $F244&gt;=AZ$5-4, $F244&lt;=AZ$5, COUNTIF($M244:AY244,"u")=0), "u", "")</f>
        <v/>
      </c>
      <c r="BA244" s="80" t="str">
        <f>IF(AND($F244&lt;&gt;"", $F244&gt;=BA$5-4, $F244&lt;=BA$5, COUNTIF($M244:AZ244,"u")=0), "u", "")</f>
        <v/>
      </c>
      <c r="BB244" s="80" t="str">
        <f>IF(AND($F244&lt;&gt;"", $F244&gt;=BB$5-4, $F244&lt;=BB$5, COUNTIF($M244:BA244,"u")=0), "u", "")</f>
        <v/>
      </c>
      <c r="BC244" s="80" t="str">
        <f>IF(AND($F244&lt;&gt;"", $F244&gt;=BC$5-4, $F244&lt;=BC$5, COUNTIF($M244:BB244,"u")=0), "u", "")</f>
        <v/>
      </c>
      <c r="BD244" s="80" t="str">
        <f>IF(AND($F244&lt;&gt;"", $F244&gt;=BD$5-4, $F244&lt;=BD$5, COUNTIF($M244:BC244,"u")=0), "u", "")</f>
        <v/>
      </c>
      <c r="BE244" s="80" t="str">
        <f>IF(AND($F244&lt;&gt;"", $F244&gt;=BE$5-4, $F244&lt;=BE$5, COUNTIF($M244:BD244,"u")=0), "u", "")</f>
        <v/>
      </c>
      <c r="BF244" s="80" t="str">
        <f>IF(AND($F244&lt;&gt;"", $F244&gt;=BF$5-4, $F244&lt;=BF$5, COUNTIF($M244:BE244,"u")=0), "u", "")</f>
        <v/>
      </c>
      <c r="BG244" s="80" t="str">
        <f>IF(AND($F244&lt;&gt;"", $F244&gt;=BG$5-4, $F244&lt;=BG$5, COUNTIF($M244:BF244,"u")=0), "u", "")</f>
        <v/>
      </c>
      <c r="BH244" s="80" t="str">
        <f>IF(AND($F244&lt;&gt;"", $F244&gt;=BH$5-4, $F244&lt;=BH$5, COUNTIF($M244:BG244,"u")=0), "u", "")</f>
        <v/>
      </c>
      <c r="BI244" s="80" t="str">
        <f>IF(AND($F244&lt;&gt;"", $F244&gt;=BI$5-4, $F244&lt;=BI$5, COUNTIF($M244:BH244,"u")=0), "u", "")</f>
        <v/>
      </c>
      <c r="BJ244" s="80" t="str">
        <f>IF(AND($F244&lt;&gt;"", $F244&gt;=BJ$5-4, $F244&lt;=BJ$5, COUNTIF($M244:BI244,"u")=0), "u", "")</f>
        <v/>
      </c>
      <c r="BK244" s="80" t="str">
        <f>IF(AND($F244&lt;&gt;"", $F244&gt;=BK$5-4, $F244&lt;=BK$5, COUNTIF($M244:BJ244,"u")=0), "u", "")</f>
        <v/>
      </c>
      <c r="BL244" s="80" t="str">
        <f>IF(AND($F244&lt;&gt;"", $F244&gt;=BL$5-4, $F244&lt;=BL$5, COUNTIF($M244:BK244,"u")=0), "u", "")</f>
        <v/>
      </c>
      <c r="BM244" s="80" t="str">
        <f>IF(AND($F244&lt;&gt;"", $F244&gt;=BM$5-4, $F244&lt;=BM$5, COUNTIF($M244:BL244,"u")=0), "u", "")</f>
        <v/>
      </c>
      <c r="BN244" s="80" t="str">
        <f>IF(AND($F244&lt;&gt;"", $F244&gt;=BN$5-4, $F244&lt;=BN$5, COUNTIF($M244:BM244,"u")=0), "u", "")</f>
        <v/>
      </c>
      <c r="BO244" s="80" t="str">
        <f>IF(AND($F244&lt;&gt;"", $F244&gt;=BO$5-4, $F244&lt;=BO$5, COUNTIF($M244:BN244,"u")=0), "u", "")</f>
        <v/>
      </c>
      <c r="BP244" s="80" t="str">
        <f>IF(AND($F244&lt;&gt;"", $F244&gt;=BP$5-4, $F244&lt;=BP$5, COUNTIF($M244:BO244,"u")=0), "u", "")</f>
        <v/>
      </c>
      <c r="BQ244" s="80" t="str">
        <f>IF(AND($F244&lt;&gt;"", $F244&gt;=BQ$5-4, $F244&lt;=BQ$5, COUNTIF($M244:BP244,"u")=0), "u", "")</f>
        <v/>
      </c>
      <c r="BR244" s="80" t="str">
        <f>IF(AND($F244&lt;&gt;"", $F244&gt;=BR$5-4, $F244&lt;=BR$5, COUNTIF($M244:BQ244,"u")=0), "u", "")</f>
        <v/>
      </c>
      <c r="BS244" s="80" t="str">
        <f>IF(AND($F244&lt;&gt;"", $F244&gt;=BS$5-4, $F244&lt;=BS$5, COUNTIF($M244:BR244,"u")=0), "u", "")</f>
        <v/>
      </c>
      <c r="BT244" s="80" t="str">
        <f>IF(AND($F244&lt;&gt;"", $F244&gt;=BT$5-4, $F244&lt;=BT$5, COUNTIF($M244:BS244,"u")=0), "u", "")</f>
        <v/>
      </c>
      <c r="BU244" s="80" t="str">
        <f>IF(AND($F244&lt;&gt;"", $F244&gt;=BU$5-4, $F244&lt;=BU$5, COUNTIF($M244:BT244,"u")=0), "u", "")</f>
        <v/>
      </c>
      <c r="BV244" s="80" t="str">
        <f>IF(AND($F244&lt;&gt;"", $F244&gt;=BV$5-4, $F244&lt;=BV$5, COUNTIF($M244:BU244,"u")=0), "u", "")</f>
        <v/>
      </c>
      <c r="BW244" s="80" t="str">
        <f>IF(AND($F244&lt;&gt;"", $F244&gt;=BW$5-4, $F244&lt;=BW$5, COUNTIF($M244:BV244,"u")=0), "u", "")</f>
        <v/>
      </c>
      <c r="BX244" s="80" t="str">
        <f>IF(AND($F244&lt;&gt;"", $F244&gt;=BX$5-4, $F244&lt;=BX$5, COUNTIF($M244:BW244,"u")=0), "u", "")</f>
        <v/>
      </c>
      <c r="BY244" s="80" t="str">
        <f>IF(AND($F244&lt;&gt;"", $F244&gt;=BY$5-4, $F244&lt;=BY$5, COUNTIF($M244:BX244,"u")=0), "u", "")</f>
        <v/>
      </c>
      <c r="BZ244" s="80" t="str">
        <f>IF(AND($F244&lt;&gt;"", $F244&gt;=BZ$5-4, $F244&lt;=BZ$5, COUNTIF($M244:BY244,"u")=0), "u", "")</f>
        <v/>
      </c>
      <c r="CA244" s="80" t="str">
        <f>IF(AND($F244&lt;&gt;"", $F244&gt;=CA$5-4, $F244&lt;=CA$5, COUNTIF($M244:BZ244,"u")=0), "u", "")</f>
        <v/>
      </c>
      <c r="CB244" s="80" t="str">
        <f>IF(AND($F244&lt;&gt;"", $F244&gt;=CB$5-4, $F244&lt;=CB$5, COUNTIF($M244:CA244,"u")=0), "u", "")</f>
        <v/>
      </c>
      <c r="CC244" s="80" t="str">
        <f>IF(AND($F244&lt;&gt;"", $F244&gt;=CC$5-4, $F244&lt;=CC$5, COUNTIF($M244:CB244,"u")=0), "u", "")</f>
        <v/>
      </c>
      <c r="CD244" s="80" t="str">
        <f>IF(AND($F244&lt;&gt;"", $F244&gt;=CD$5-4, $F244&lt;=CD$5, COUNTIF($M244:CC244,"u")=0), "u", "")</f>
        <v/>
      </c>
      <c r="CE244" s="80" t="str">
        <f>IF(AND($F244&lt;&gt;"", $F244&gt;=CE$5-4, $F244&lt;=CE$5, COUNTIF($M244:CD244,"u")=0), "u", "")</f>
        <v/>
      </c>
      <c r="CF244" s="80" t="str">
        <f>IF(AND($F244&lt;&gt;"", $F244&gt;=CF$5-4, $F244&lt;=CF$5, COUNTIF($M244:CE244,"u")=0), "u", "")</f>
        <v/>
      </c>
      <c r="CG244" s="80" t="str">
        <f>IF(AND($F244&lt;&gt;"", $F244&gt;=CG$5-4, $F244&lt;=CG$5, COUNTIF($M244:CF244,"u")=0), "u", "")</f>
        <v/>
      </c>
      <c r="CH244" s="80" t="str">
        <f>IF(AND($F244&lt;&gt;"", $F244&gt;=CH$5-4, $F244&lt;=CH$5, COUNTIF($M244:CG244,"u")=0), "u", "")</f>
        <v/>
      </c>
      <c r="CI244" s="80" t="str">
        <f>IF(AND($F244&lt;&gt;"", $F244&gt;=CI$5-4, $F244&lt;=CI$5, COUNTIF($M244:CH244,"u")=0), "u", "")</f>
        <v/>
      </c>
      <c r="CJ244" s="80" t="str">
        <f>IF(AND($F244&lt;&gt;"", $F244&gt;=CJ$5-4, $F244&lt;=CJ$5, COUNTIF($M244:CI244,"u")=0), "u", "")</f>
        <v/>
      </c>
      <c r="CK244" s="80" t="str">
        <f>IF(AND($F244&lt;&gt;"", $F244&gt;=CK$5-4, $F244&lt;=CK$5, COUNTIF($M244:CJ244,"u")=0), "u", "")</f>
        <v/>
      </c>
      <c r="CL244" s="80" t="str">
        <f>IF(AND($F244&lt;&gt;"", $F244&gt;=CL$5-4, $F244&lt;=CL$5, COUNTIF($M244:CK244,"u")=0), "u", "")</f>
        <v/>
      </c>
      <c r="CM244" s="80" t="str">
        <f>IF(AND($F244&lt;&gt;"", $F244&gt;=CM$5-4, $F244&lt;=CM$5, COUNTIF($M244:CL244,"u")=0), "u", "")</f>
        <v/>
      </c>
      <c r="CN244" s="80" t="str">
        <f>IF(AND($F244&lt;&gt;"", $F244&gt;=CN$5-4, $F244&lt;=CN$5, COUNTIF($M244:CM244,"u")=0), "u", "")</f>
        <v/>
      </c>
      <c r="CO244" s="80" t="str">
        <f>IF(AND($F244&lt;&gt;"", $F244&gt;=CO$5-4, $F244&lt;=CO$5, COUNTIF($M244:CN244,"u")=0), "u", "")</f>
        <v/>
      </c>
      <c r="CP244" s="80" t="str">
        <f>IF(AND($F244&lt;&gt;"", $F244&gt;=CP$5-4, $F244&lt;=CP$5, COUNTIF($M244:CO244,"u")=0), "u", "")</f>
        <v/>
      </c>
      <c r="CQ244" s="80" t="str">
        <f>IF(AND($F244&lt;&gt;"", $F244&gt;=CQ$5-4, $F244&lt;=CQ$5, COUNTIF($M244:CP244,"u")=0), "u", "")</f>
        <v/>
      </c>
      <c r="CR244" s="80" t="str">
        <f>IF(AND($F244&lt;&gt;"", $F244&gt;=CR$5-4, $F244&lt;=CR$5, COUNTIF($M244:CQ244,"u")=0), "u", "")</f>
        <v/>
      </c>
      <c r="CS244" s="80" t="str">
        <f>IF(AND($F244&lt;&gt;"", $F244&gt;=CS$5-4, $F244&lt;=CS$5, COUNTIF($M244:CR244,"u")=0), "u", "")</f>
        <v/>
      </c>
      <c r="CT244" s="80" t="str">
        <f>IF(AND($F244&lt;&gt;"", $F244&gt;=CT$5-4, $F244&lt;=CT$5, COUNTIF($M244:CS244,"u")=0), "u", "")</f>
        <v/>
      </c>
      <c r="CU244" s="80" t="str">
        <f>IF(AND($F244&lt;&gt;"", $F244&gt;=CU$5-4, $F244&lt;=CU$5, COUNTIF($M244:CT244,"u")=0), "u", "")</f>
        <v/>
      </c>
      <c r="CV244" s="80" t="str">
        <f>IF(AND($F244&lt;&gt;"", $F244&gt;=CV$5-4, $F244&lt;=CV$5, COUNTIF($M244:CU244,"u")=0), "u", "")</f>
        <v/>
      </c>
      <c r="CW244" s="80" t="str">
        <f>IF(AND($F244&lt;&gt;"", $F244&gt;=CW$5-4, $F244&lt;=CW$5, COUNTIF($M244:CV244,"u")=0), "u", "")</f>
        <v/>
      </c>
      <c r="CX244" s="80" t="str">
        <f>IF(AND($F244&lt;&gt;"", $F244&gt;=CX$5-4, $F244&lt;=CX$5, COUNTIF($M244:CW244,"u")=0), "u", "")</f>
        <v/>
      </c>
      <c r="CY244" s="80" t="str">
        <f>IF(AND($F244&lt;&gt;"", $F244&gt;=CY$5-4, $F244&lt;=CY$5, COUNTIF($M244:CX244,"u")=0), "u", "")</f>
        <v/>
      </c>
      <c r="CZ244" s="80" t="str">
        <f>IF(AND($F244&lt;&gt;"", $F244&gt;=CZ$5-4, $F244&lt;=CZ$5, COUNTIF($M244:CY244,"u")=0), "u", "")</f>
        <v/>
      </c>
      <c r="DA244" s="80" t="str">
        <f>IF(AND($F244&lt;&gt;"", $F244&gt;=DA$5-4, $F244&lt;=DA$5, COUNTIF($M244:CZ244,"u")=0), "u", "")</f>
        <v/>
      </c>
      <c r="DB244" s="80" t="str">
        <f>IF(AND($F244&lt;&gt;"", $F244&gt;=DB$5-4, $F244&lt;=DB$5, COUNTIF($M244:DA244,"u")=0), "u", "")</f>
        <v/>
      </c>
      <c r="DC244" s="80" t="str">
        <f>IF(AND($F244&lt;&gt;"", $F244&gt;=DC$5-4, $F244&lt;=DC$5, COUNTIF($M244:DB244,"u")=0), "u", "")</f>
        <v/>
      </c>
      <c r="DD244" s="80" t="str">
        <f>IF(AND($F244&lt;&gt;"", $F244&gt;=DD$5-4, $F244&lt;=DD$5, COUNTIF($M244:DC244,"u")=0), "u", "")</f>
        <v/>
      </c>
      <c r="DE244" s="80" t="str">
        <f>IF(AND($F244&lt;&gt;"", $F244&gt;=DE$5-4, $F244&lt;=DE$5, COUNTIF($M244:DD244,"u")=0), "u", "")</f>
        <v/>
      </c>
      <c r="DF244" s="80" t="str">
        <f>IF(AND($F244&lt;&gt;"", $F244&gt;=DF$5-4, $F244&lt;=DF$5, COUNTIF($M244:DE244,"u")=0), "u", "")</f>
        <v/>
      </c>
      <c r="DG244" s="80" t="str">
        <f>IF(AND($F244&lt;&gt;"", $F244&gt;=DG$5-4, $F244&lt;=DG$5, COUNTIF($M244:DF244,"u")=0), "u", "")</f>
        <v/>
      </c>
      <c r="DH244" s="80" t="str">
        <f>IF(AND($F244&lt;&gt;"", $F244&gt;=DH$5-4, $F244&lt;=DH$5, COUNTIF($M244:DG244,"u")=0), "u", "")</f>
        <v/>
      </c>
      <c r="DI244" s="80" t="str">
        <f>IF(AND($F244&lt;&gt;"", $F244&gt;=DI$5-4, $F244&lt;=DI$5, COUNTIF($M244:DH244,"u")=0), "u", "")</f>
        <v/>
      </c>
      <c r="DJ244" s="80" t="str">
        <f>IF(AND($F244&lt;&gt;"", $F244&gt;=DJ$5-4, $F244&lt;=DJ$5, COUNTIF($M244:DI244,"u")=0), "u", "")</f>
        <v/>
      </c>
      <c r="DK244" s="80" t="str">
        <f>IF(AND($F244&lt;&gt;"", $F244&gt;=DK$5-4, $F244&lt;=DK$5, COUNTIF($M244:DJ244,"u")=0), "u", "")</f>
        <v/>
      </c>
      <c r="DL244" s="80" t="str">
        <f>IF(AND($F244&lt;&gt;"", $F244&gt;=DL$5-4, $F244&lt;=DL$5, COUNTIF($M244:DK244,"u")=0), "u", "")</f>
        <v/>
      </c>
    </row>
    <row r="245" spans="1:116" ht="25.05" customHeight="1" x14ac:dyDescent="0.3">
      <c r="A245" s="39"/>
      <c r="B245" s="75">
        <v>240</v>
      </c>
      <c r="C245" s="97"/>
      <c r="D245" s="92"/>
      <c r="E245" s="53"/>
      <c r="F245" s="53"/>
      <c r="G245" s="83" t="str">
        <f t="shared" si="56"/>
        <v/>
      </c>
      <c r="H245" s="83" t="str">
        <f t="shared" si="56"/>
        <v/>
      </c>
      <c r="I245" s="77" t="str">
        <f t="shared" si="54"/>
        <v/>
      </c>
      <c r="J245" s="78"/>
      <c r="K245" s="86"/>
      <c r="L245" s="56"/>
      <c r="M245" s="80" t="str">
        <f t="shared" si="55"/>
        <v/>
      </c>
      <c r="N245" s="80" t="str">
        <f>IF(AND($F245&lt;&gt;"", $F245&gt;=N$5-4, $F245&lt;=N$5, COUNTIF($M245:M245,"u")=0), "u", "")</f>
        <v/>
      </c>
      <c r="O245" s="80" t="str">
        <f>IF(AND($F245&lt;&gt;"", $F245&gt;=O$5-4, $F245&lt;=O$5, COUNTIF($M245:N245,"u")=0), "u", "")</f>
        <v/>
      </c>
      <c r="P245" s="80" t="str">
        <f>IF(AND($F245&lt;&gt;"", $F245&gt;=P$5-4, $F245&lt;=P$5, COUNTIF($M245:O245,"u")=0), "u", "")</f>
        <v/>
      </c>
      <c r="Q245" s="80" t="str">
        <f>IF(AND($F245&lt;&gt;"", $F245&gt;=Q$5-4, $F245&lt;=Q$5, COUNTIF($M245:P245,"u")=0), "u", "")</f>
        <v/>
      </c>
      <c r="R245" s="80" t="str">
        <f>IF(AND($F245&lt;&gt;"", $F245&gt;=R$5-4, $F245&lt;=R$5, COUNTIF($M245:Q245,"u")=0), "u", "")</f>
        <v/>
      </c>
      <c r="S245" s="80" t="str">
        <f>IF(AND($F245&lt;&gt;"", $F245&gt;=S$5-4, $F245&lt;=S$5, COUNTIF($M245:R245,"u")=0), "u", "")</f>
        <v/>
      </c>
      <c r="T245" s="80" t="str">
        <f>IF(AND($F245&lt;&gt;"", $F245&gt;=T$5-4, $F245&lt;=T$5, COUNTIF($M245:S245,"u")=0), "u", "")</f>
        <v/>
      </c>
      <c r="U245" s="80" t="str">
        <f>IF(AND($F245&lt;&gt;"", $F245&gt;=U$5-4, $F245&lt;=U$5, COUNTIF($M245:T245,"u")=0), "u", "")</f>
        <v/>
      </c>
      <c r="V245" s="80" t="str">
        <f>IF(AND($F245&lt;&gt;"", $F245&gt;=V$5-4, $F245&lt;=V$5, COUNTIF($M245:U245,"u")=0), "u", "")</f>
        <v/>
      </c>
      <c r="W245" s="80" t="str">
        <f>IF(AND($F245&lt;&gt;"", $F245&gt;=W$5-4, $F245&lt;=W$5, COUNTIF($M245:V245,"u")=0), "u", "")</f>
        <v/>
      </c>
      <c r="X245" s="80" t="str">
        <f>IF(AND($F245&lt;&gt;"", $F245&gt;=X$5-4, $F245&lt;=X$5, COUNTIF($M245:W245,"u")=0), "u", "")</f>
        <v/>
      </c>
      <c r="Y245" s="80" t="str">
        <f>IF(AND($F245&lt;&gt;"", $F245&gt;=Y$5-4, $F245&lt;=Y$5, COUNTIF($M245:X245,"u")=0), "u", "")</f>
        <v/>
      </c>
      <c r="Z245" s="80" t="str">
        <f>IF(AND($F245&lt;&gt;"", $F245&gt;=Z$5-4, $F245&lt;=Z$5, COUNTIF($M245:Y245,"u")=0), "u", "")</f>
        <v/>
      </c>
      <c r="AA245" s="80" t="str">
        <f>IF(AND($F245&lt;&gt;"", $F245&gt;=AA$5-4, $F245&lt;=AA$5, COUNTIF($M245:Z245,"u")=0), "u", "")</f>
        <v/>
      </c>
      <c r="AB245" s="80" t="str">
        <f>IF(AND($F245&lt;&gt;"", $F245&gt;=AB$5-4, $F245&lt;=AB$5, COUNTIF($M245:AA245,"u")=0), "u", "")</f>
        <v/>
      </c>
      <c r="AC245" s="80" t="str">
        <f>IF(AND($F245&lt;&gt;"", $F245&gt;=AC$5-4, $F245&lt;=AC$5, COUNTIF($M245:AB245,"u")=0), "u", "")</f>
        <v/>
      </c>
      <c r="AD245" s="80" t="str">
        <f>IF(AND($F245&lt;&gt;"", $F245&gt;=AD$5-4, $F245&lt;=AD$5, COUNTIF($M245:AC245,"u")=0), "u", "")</f>
        <v/>
      </c>
      <c r="AE245" s="80" t="str">
        <f>IF(AND($F245&lt;&gt;"", $F245&gt;=AE$5-4, $F245&lt;=AE$5, COUNTIF($M245:AD245,"u")=0), "u", "")</f>
        <v/>
      </c>
      <c r="AF245" s="80" t="str">
        <f>IF(AND($F245&lt;&gt;"", $F245&gt;=AF$5-4, $F245&lt;=AF$5, COUNTIF($M245:AE245,"u")=0), "u", "")</f>
        <v/>
      </c>
      <c r="AG245" s="80" t="str">
        <f>IF(AND($F245&lt;&gt;"", $F245&gt;=AG$5-4, $F245&lt;=AG$5, COUNTIF($M245:AF245,"u")=0), "u", "")</f>
        <v/>
      </c>
      <c r="AH245" s="80" t="str">
        <f>IF(AND($F245&lt;&gt;"", $F245&gt;=AH$5-4, $F245&lt;=AH$5, COUNTIF($M245:AG245,"u")=0), "u", "")</f>
        <v/>
      </c>
      <c r="AI245" s="80" t="str">
        <f>IF(AND($F245&lt;&gt;"", $F245&gt;=AI$5-4, $F245&lt;=AI$5, COUNTIF($M245:AH245,"u")=0), "u", "")</f>
        <v/>
      </c>
      <c r="AJ245" s="80" t="str">
        <f>IF(AND($F245&lt;&gt;"", $F245&gt;=AJ$5-4, $F245&lt;=AJ$5, COUNTIF($M245:AI245,"u")=0), "u", "")</f>
        <v/>
      </c>
      <c r="AK245" s="80" t="str">
        <f>IF(AND($F245&lt;&gt;"", $F245&gt;=AK$5-4, $F245&lt;=AK$5, COUNTIF($M245:AJ245,"u")=0), "u", "")</f>
        <v/>
      </c>
      <c r="AL245" s="80" t="str">
        <f>IF(AND($F245&lt;&gt;"", $F245&gt;=AL$5-4, $F245&lt;=AL$5, COUNTIF($M245:AK245,"u")=0), "u", "")</f>
        <v/>
      </c>
      <c r="AM245" s="80" t="str">
        <f>IF(AND($F245&lt;&gt;"", $F245&gt;=AM$5-4, $F245&lt;=AM$5, COUNTIF($M245:AL245,"u")=0), "u", "")</f>
        <v/>
      </c>
      <c r="AN245" s="80" t="str">
        <f>IF(AND($F245&lt;&gt;"", $F245&gt;=AN$5-4, $F245&lt;=AN$5, COUNTIF($M245:AM245,"u")=0), "u", "")</f>
        <v/>
      </c>
      <c r="AO245" s="80" t="str">
        <f>IF(AND($F245&lt;&gt;"", $F245&gt;=AO$5-4, $F245&lt;=AO$5, COUNTIF($M245:AN245,"u")=0), "u", "")</f>
        <v/>
      </c>
      <c r="AP245" s="80" t="str">
        <f>IF(AND($F245&lt;&gt;"", $F245&gt;=AP$5-4, $F245&lt;=AP$5, COUNTIF($M245:AO245,"u")=0), "u", "")</f>
        <v/>
      </c>
      <c r="AQ245" s="80" t="str">
        <f>IF(AND($F245&lt;&gt;"", $F245&gt;=AQ$5-4, $F245&lt;=AQ$5, COUNTIF($M245:AP245,"u")=0), "u", "")</f>
        <v/>
      </c>
      <c r="AR245" s="80" t="str">
        <f>IF(AND($F245&lt;&gt;"", $F245&gt;=AR$5-4, $F245&lt;=AR$5, COUNTIF($M245:AQ245,"u")=0), "u", "")</f>
        <v/>
      </c>
      <c r="AS245" s="80" t="str">
        <f>IF(AND($F245&lt;&gt;"", $F245&gt;=AS$5-4, $F245&lt;=AS$5, COUNTIF($M245:AR245,"u")=0), "u", "")</f>
        <v/>
      </c>
      <c r="AT245" s="80" t="str">
        <f>IF(AND($F245&lt;&gt;"", $F245&gt;=AT$5-4, $F245&lt;=AT$5, COUNTIF($M245:AS245,"u")=0), "u", "")</f>
        <v/>
      </c>
      <c r="AU245" s="80" t="str">
        <f>IF(AND($F245&lt;&gt;"", $F245&gt;=AU$5-4, $F245&lt;=AU$5, COUNTIF($M245:AT245,"u")=0), "u", "")</f>
        <v/>
      </c>
      <c r="AV245" s="80" t="str">
        <f>IF(AND($F245&lt;&gt;"", $F245&gt;=AV$5-4, $F245&lt;=AV$5, COUNTIF($M245:AU245,"u")=0), "u", "")</f>
        <v/>
      </c>
      <c r="AW245" s="80" t="str">
        <f>IF(AND($F245&lt;&gt;"", $F245&gt;=AW$5-4, $F245&lt;=AW$5, COUNTIF($M245:AV245,"u")=0), "u", "")</f>
        <v/>
      </c>
      <c r="AX245" s="80" t="str">
        <f>IF(AND($F245&lt;&gt;"", $F245&gt;=AX$5-4, $F245&lt;=AX$5, COUNTIF($M245:AW245,"u")=0), "u", "")</f>
        <v/>
      </c>
      <c r="AY245" s="80" t="str">
        <f>IF(AND($F245&lt;&gt;"", $F245&gt;=AY$5-4, $F245&lt;=AY$5, COUNTIF($M245:AX245,"u")=0), "u", "")</f>
        <v/>
      </c>
      <c r="AZ245" s="80" t="str">
        <f>IF(AND($F245&lt;&gt;"", $F245&gt;=AZ$5-4, $F245&lt;=AZ$5, COUNTIF($M245:AY245,"u")=0), "u", "")</f>
        <v/>
      </c>
      <c r="BA245" s="80" t="str">
        <f>IF(AND($F245&lt;&gt;"", $F245&gt;=BA$5-4, $F245&lt;=BA$5, COUNTIF($M245:AZ245,"u")=0), "u", "")</f>
        <v/>
      </c>
      <c r="BB245" s="80" t="str">
        <f>IF(AND($F245&lt;&gt;"", $F245&gt;=BB$5-4, $F245&lt;=BB$5, COUNTIF($M245:BA245,"u")=0), "u", "")</f>
        <v/>
      </c>
      <c r="BC245" s="80" t="str">
        <f>IF(AND($F245&lt;&gt;"", $F245&gt;=BC$5-4, $F245&lt;=BC$5, COUNTIF($M245:BB245,"u")=0), "u", "")</f>
        <v/>
      </c>
      <c r="BD245" s="80" t="str">
        <f>IF(AND($F245&lt;&gt;"", $F245&gt;=BD$5-4, $F245&lt;=BD$5, COUNTIF($M245:BC245,"u")=0), "u", "")</f>
        <v/>
      </c>
      <c r="BE245" s="80" t="str">
        <f>IF(AND($F245&lt;&gt;"", $F245&gt;=BE$5-4, $F245&lt;=BE$5, COUNTIF($M245:BD245,"u")=0), "u", "")</f>
        <v/>
      </c>
      <c r="BF245" s="80" t="str">
        <f>IF(AND($F245&lt;&gt;"", $F245&gt;=BF$5-4, $F245&lt;=BF$5, COUNTIF($M245:BE245,"u")=0), "u", "")</f>
        <v/>
      </c>
      <c r="BG245" s="80" t="str">
        <f>IF(AND($F245&lt;&gt;"", $F245&gt;=BG$5-4, $F245&lt;=BG$5, COUNTIF($M245:BF245,"u")=0), "u", "")</f>
        <v/>
      </c>
      <c r="BH245" s="80" t="str">
        <f>IF(AND($F245&lt;&gt;"", $F245&gt;=BH$5-4, $F245&lt;=BH$5, COUNTIF($M245:BG245,"u")=0), "u", "")</f>
        <v/>
      </c>
      <c r="BI245" s="80" t="str">
        <f>IF(AND($F245&lt;&gt;"", $F245&gt;=BI$5-4, $F245&lt;=BI$5, COUNTIF($M245:BH245,"u")=0), "u", "")</f>
        <v/>
      </c>
      <c r="BJ245" s="80" t="str">
        <f>IF(AND($F245&lt;&gt;"", $F245&gt;=BJ$5-4, $F245&lt;=BJ$5, COUNTIF($M245:BI245,"u")=0), "u", "")</f>
        <v/>
      </c>
      <c r="BK245" s="80" t="str">
        <f>IF(AND($F245&lt;&gt;"", $F245&gt;=BK$5-4, $F245&lt;=BK$5, COUNTIF($M245:BJ245,"u")=0), "u", "")</f>
        <v/>
      </c>
      <c r="BL245" s="80" t="str">
        <f>IF(AND($F245&lt;&gt;"", $F245&gt;=BL$5-4, $F245&lt;=BL$5, COUNTIF($M245:BK245,"u")=0), "u", "")</f>
        <v/>
      </c>
      <c r="BM245" s="80" t="str">
        <f>IF(AND($F245&lt;&gt;"", $F245&gt;=BM$5-4, $F245&lt;=BM$5, COUNTIF($M245:BL245,"u")=0), "u", "")</f>
        <v/>
      </c>
      <c r="BN245" s="80" t="str">
        <f>IF(AND($F245&lt;&gt;"", $F245&gt;=BN$5-4, $F245&lt;=BN$5, COUNTIF($M245:BM245,"u")=0), "u", "")</f>
        <v/>
      </c>
      <c r="BO245" s="80" t="str">
        <f>IF(AND($F245&lt;&gt;"", $F245&gt;=BO$5-4, $F245&lt;=BO$5, COUNTIF($M245:BN245,"u")=0), "u", "")</f>
        <v/>
      </c>
      <c r="BP245" s="80" t="str">
        <f>IF(AND($F245&lt;&gt;"", $F245&gt;=BP$5-4, $F245&lt;=BP$5, COUNTIF($M245:BO245,"u")=0), "u", "")</f>
        <v/>
      </c>
      <c r="BQ245" s="80" t="str">
        <f>IF(AND($F245&lt;&gt;"", $F245&gt;=BQ$5-4, $F245&lt;=BQ$5, COUNTIF($M245:BP245,"u")=0), "u", "")</f>
        <v/>
      </c>
      <c r="BR245" s="80" t="str">
        <f>IF(AND($F245&lt;&gt;"", $F245&gt;=BR$5-4, $F245&lt;=BR$5, COUNTIF($M245:BQ245,"u")=0), "u", "")</f>
        <v/>
      </c>
      <c r="BS245" s="80" t="str">
        <f>IF(AND($F245&lt;&gt;"", $F245&gt;=BS$5-4, $F245&lt;=BS$5, COUNTIF($M245:BR245,"u")=0), "u", "")</f>
        <v/>
      </c>
      <c r="BT245" s="80" t="str">
        <f>IF(AND($F245&lt;&gt;"", $F245&gt;=BT$5-4, $F245&lt;=BT$5, COUNTIF($M245:BS245,"u")=0), "u", "")</f>
        <v/>
      </c>
      <c r="BU245" s="80" t="str">
        <f>IF(AND($F245&lt;&gt;"", $F245&gt;=BU$5-4, $F245&lt;=BU$5, COUNTIF($M245:BT245,"u")=0), "u", "")</f>
        <v/>
      </c>
      <c r="BV245" s="80" t="str">
        <f>IF(AND($F245&lt;&gt;"", $F245&gt;=BV$5-4, $F245&lt;=BV$5, COUNTIF($M245:BU245,"u")=0), "u", "")</f>
        <v/>
      </c>
      <c r="BW245" s="80" t="str">
        <f>IF(AND($F245&lt;&gt;"", $F245&gt;=BW$5-4, $F245&lt;=BW$5, COUNTIF($M245:BV245,"u")=0), "u", "")</f>
        <v/>
      </c>
      <c r="BX245" s="80" t="str">
        <f>IF(AND($F245&lt;&gt;"", $F245&gt;=BX$5-4, $F245&lt;=BX$5, COUNTIF($M245:BW245,"u")=0), "u", "")</f>
        <v/>
      </c>
      <c r="BY245" s="80" t="str">
        <f>IF(AND($F245&lt;&gt;"", $F245&gt;=BY$5-4, $F245&lt;=BY$5, COUNTIF($M245:BX245,"u")=0), "u", "")</f>
        <v/>
      </c>
      <c r="BZ245" s="80" t="str">
        <f>IF(AND($F245&lt;&gt;"", $F245&gt;=BZ$5-4, $F245&lt;=BZ$5, COUNTIF($M245:BY245,"u")=0), "u", "")</f>
        <v/>
      </c>
      <c r="CA245" s="80" t="str">
        <f>IF(AND($F245&lt;&gt;"", $F245&gt;=CA$5-4, $F245&lt;=CA$5, COUNTIF($M245:BZ245,"u")=0), "u", "")</f>
        <v/>
      </c>
      <c r="CB245" s="80" t="str">
        <f>IF(AND($F245&lt;&gt;"", $F245&gt;=CB$5-4, $F245&lt;=CB$5, COUNTIF($M245:CA245,"u")=0), "u", "")</f>
        <v/>
      </c>
      <c r="CC245" s="80" t="str">
        <f>IF(AND($F245&lt;&gt;"", $F245&gt;=CC$5-4, $F245&lt;=CC$5, COUNTIF($M245:CB245,"u")=0), "u", "")</f>
        <v/>
      </c>
      <c r="CD245" s="80" t="str">
        <f>IF(AND($F245&lt;&gt;"", $F245&gt;=CD$5-4, $F245&lt;=CD$5, COUNTIF($M245:CC245,"u")=0), "u", "")</f>
        <v/>
      </c>
      <c r="CE245" s="80" t="str">
        <f>IF(AND($F245&lt;&gt;"", $F245&gt;=CE$5-4, $F245&lt;=CE$5, COUNTIF($M245:CD245,"u")=0), "u", "")</f>
        <v/>
      </c>
      <c r="CF245" s="80" t="str">
        <f>IF(AND($F245&lt;&gt;"", $F245&gt;=CF$5-4, $F245&lt;=CF$5, COUNTIF($M245:CE245,"u")=0), "u", "")</f>
        <v/>
      </c>
      <c r="CG245" s="80" t="str">
        <f>IF(AND($F245&lt;&gt;"", $F245&gt;=CG$5-4, $F245&lt;=CG$5, COUNTIF($M245:CF245,"u")=0), "u", "")</f>
        <v/>
      </c>
      <c r="CH245" s="80" t="str">
        <f>IF(AND($F245&lt;&gt;"", $F245&gt;=CH$5-4, $F245&lt;=CH$5, COUNTIF($M245:CG245,"u")=0), "u", "")</f>
        <v/>
      </c>
      <c r="CI245" s="80" t="str">
        <f>IF(AND($F245&lt;&gt;"", $F245&gt;=CI$5-4, $F245&lt;=CI$5, COUNTIF($M245:CH245,"u")=0), "u", "")</f>
        <v/>
      </c>
      <c r="CJ245" s="80" t="str">
        <f>IF(AND($F245&lt;&gt;"", $F245&gt;=CJ$5-4, $F245&lt;=CJ$5, COUNTIF($M245:CI245,"u")=0), "u", "")</f>
        <v/>
      </c>
      <c r="CK245" s="80" t="str">
        <f>IF(AND($F245&lt;&gt;"", $F245&gt;=CK$5-4, $F245&lt;=CK$5, COUNTIF($M245:CJ245,"u")=0), "u", "")</f>
        <v/>
      </c>
      <c r="CL245" s="80" t="str">
        <f>IF(AND($F245&lt;&gt;"", $F245&gt;=CL$5-4, $F245&lt;=CL$5, COUNTIF($M245:CK245,"u")=0), "u", "")</f>
        <v/>
      </c>
      <c r="CM245" s="80" t="str">
        <f>IF(AND($F245&lt;&gt;"", $F245&gt;=CM$5-4, $F245&lt;=CM$5, COUNTIF($M245:CL245,"u")=0), "u", "")</f>
        <v/>
      </c>
      <c r="CN245" s="80" t="str">
        <f>IF(AND($F245&lt;&gt;"", $F245&gt;=CN$5-4, $F245&lt;=CN$5, COUNTIF($M245:CM245,"u")=0), "u", "")</f>
        <v/>
      </c>
      <c r="CO245" s="80" t="str">
        <f>IF(AND($F245&lt;&gt;"", $F245&gt;=CO$5-4, $F245&lt;=CO$5, COUNTIF($M245:CN245,"u")=0), "u", "")</f>
        <v/>
      </c>
      <c r="CP245" s="80" t="str">
        <f>IF(AND($F245&lt;&gt;"", $F245&gt;=CP$5-4, $F245&lt;=CP$5, COUNTIF($M245:CO245,"u")=0), "u", "")</f>
        <v/>
      </c>
      <c r="CQ245" s="80" t="str">
        <f>IF(AND($F245&lt;&gt;"", $F245&gt;=CQ$5-4, $F245&lt;=CQ$5, COUNTIF($M245:CP245,"u")=0), "u", "")</f>
        <v/>
      </c>
      <c r="CR245" s="80" t="str">
        <f>IF(AND($F245&lt;&gt;"", $F245&gt;=CR$5-4, $F245&lt;=CR$5, COUNTIF($M245:CQ245,"u")=0), "u", "")</f>
        <v/>
      </c>
      <c r="CS245" s="80" t="str">
        <f>IF(AND($F245&lt;&gt;"", $F245&gt;=CS$5-4, $F245&lt;=CS$5, COUNTIF($M245:CR245,"u")=0), "u", "")</f>
        <v/>
      </c>
      <c r="CT245" s="80" t="str">
        <f>IF(AND($F245&lt;&gt;"", $F245&gt;=CT$5-4, $F245&lt;=CT$5, COUNTIF($M245:CS245,"u")=0), "u", "")</f>
        <v/>
      </c>
      <c r="CU245" s="80" t="str">
        <f>IF(AND($F245&lt;&gt;"", $F245&gt;=CU$5-4, $F245&lt;=CU$5, COUNTIF($M245:CT245,"u")=0), "u", "")</f>
        <v/>
      </c>
      <c r="CV245" s="80" t="str">
        <f>IF(AND($F245&lt;&gt;"", $F245&gt;=CV$5-4, $F245&lt;=CV$5, COUNTIF($M245:CU245,"u")=0), "u", "")</f>
        <v/>
      </c>
      <c r="CW245" s="80" t="str">
        <f>IF(AND($F245&lt;&gt;"", $F245&gt;=CW$5-4, $F245&lt;=CW$5, COUNTIF($M245:CV245,"u")=0), "u", "")</f>
        <v/>
      </c>
      <c r="CX245" s="80" t="str">
        <f>IF(AND($F245&lt;&gt;"", $F245&gt;=CX$5-4, $F245&lt;=CX$5, COUNTIF($M245:CW245,"u")=0), "u", "")</f>
        <v/>
      </c>
      <c r="CY245" s="80" t="str">
        <f>IF(AND($F245&lt;&gt;"", $F245&gt;=CY$5-4, $F245&lt;=CY$5, COUNTIF($M245:CX245,"u")=0), "u", "")</f>
        <v/>
      </c>
      <c r="CZ245" s="80" t="str">
        <f>IF(AND($F245&lt;&gt;"", $F245&gt;=CZ$5-4, $F245&lt;=CZ$5, COUNTIF($M245:CY245,"u")=0), "u", "")</f>
        <v/>
      </c>
      <c r="DA245" s="80" t="str">
        <f>IF(AND($F245&lt;&gt;"", $F245&gt;=DA$5-4, $F245&lt;=DA$5, COUNTIF($M245:CZ245,"u")=0), "u", "")</f>
        <v/>
      </c>
      <c r="DB245" s="80" t="str">
        <f>IF(AND($F245&lt;&gt;"", $F245&gt;=DB$5-4, $F245&lt;=DB$5, COUNTIF($M245:DA245,"u")=0), "u", "")</f>
        <v/>
      </c>
      <c r="DC245" s="80" t="str">
        <f>IF(AND($F245&lt;&gt;"", $F245&gt;=DC$5-4, $F245&lt;=DC$5, COUNTIF($M245:DB245,"u")=0), "u", "")</f>
        <v/>
      </c>
      <c r="DD245" s="80" t="str">
        <f>IF(AND($F245&lt;&gt;"", $F245&gt;=DD$5-4, $F245&lt;=DD$5, COUNTIF($M245:DC245,"u")=0), "u", "")</f>
        <v/>
      </c>
      <c r="DE245" s="80" t="str">
        <f>IF(AND($F245&lt;&gt;"", $F245&gt;=DE$5-4, $F245&lt;=DE$5, COUNTIF($M245:DD245,"u")=0), "u", "")</f>
        <v/>
      </c>
      <c r="DF245" s="80" t="str">
        <f>IF(AND($F245&lt;&gt;"", $F245&gt;=DF$5-4, $F245&lt;=DF$5, COUNTIF($M245:DE245,"u")=0), "u", "")</f>
        <v/>
      </c>
      <c r="DG245" s="80" t="str">
        <f>IF(AND($F245&lt;&gt;"", $F245&gt;=DG$5-4, $F245&lt;=DG$5, COUNTIF($M245:DF245,"u")=0), "u", "")</f>
        <v/>
      </c>
      <c r="DH245" s="80" t="str">
        <f>IF(AND($F245&lt;&gt;"", $F245&gt;=DH$5-4, $F245&lt;=DH$5, COUNTIF($M245:DG245,"u")=0), "u", "")</f>
        <v/>
      </c>
      <c r="DI245" s="80" t="str">
        <f>IF(AND($F245&lt;&gt;"", $F245&gt;=DI$5-4, $F245&lt;=DI$5, COUNTIF($M245:DH245,"u")=0), "u", "")</f>
        <v/>
      </c>
      <c r="DJ245" s="80" t="str">
        <f>IF(AND($F245&lt;&gt;"", $F245&gt;=DJ$5-4, $F245&lt;=DJ$5, COUNTIF($M245:DI245,"u")=0), "u", "")</f>
        <v/>
      </c>
      <c r="DK245" s="80" t="str">
        <f>IF(AND($F245&lt;&gt;"", $F245&gt;=DK$5-4, $F245&lt;=DK$5, COUNTIF($M245:DJ245,"u")=0), "u", "")</f>
        <v/>
      </c>
      <c r="DL245" s="80" t="str">
        <f>IF(AND($F245&lt;&gt;"", $F245&gt;=DL$5-4, $F245&lt;=DL$5, COUNTIF($M245:DK245,"u")=0), "u", "")</f>
        <v/>
      </c>
    </row>
    <row r="246" spans="1:116" ht="25.05" customHeight="1" x14ac:dyDescent="0.3">
      <c r="A246" s="39"/>
      <c r="B246" s="75">
        <v>241</v>
      </c>
      <c r="C246" s="97"/>
      <c r="D246" s="92"/>
      <c r="E246" s="53"/>
      <c r="F246" s="53"/>
      <c r="G246" s="83" t="str">
        <f t="shared" si="56"/>
        <v/>
      </c>
      <c r="H246" s="83" t="str">
        <f t="shared" si="56"/>
        <v/>
      </c>
      <c r="I246" s="77" t="str">
        <f t="shared" si="54"/>
        <v/>
      </c>
      <c r="J246" s="78"/>
      <c r="K246" s="86"/>
      <c r="L246" s="56"/>
      <c r="M246" s="80" t="str">
        <f t="shared" si="55"/>
        <v/>
      </c>
      <c r="N246" s="80" t="str">
        <f>IF(AND($F246&lt;&gt;"", $F246&gt;=N$5-4, $F246&lt;=N$5, COUNTIF($M246:M246,"u")=0), "u", "")</f>
        <v/>
      </c>
      <c r="O246" s="80" t="str">
        <f>IF(AND($F246&lt;&gt;"", $F246&gt;=O$5-4, $F246&lt;=O$5, COUNTIF($M246:N246,"u")=0), "u", "")</f>
        <v/>
      </c>
      <c r="P246" s="80" t="str">
        <f>IF(AND($F246&lt;&gt;"", $F246&gt;=P$5-4, $F246&lt;=P$5, COUNTIF($M246:O246,"u")=0), "u", "")</f>
        <v/>
      </c>
      <c r="Q246" s="80" t="str">
        <f>IF(AND($F246&lt;&gt;"", $F246&gt;=Q$5-4, $F246&lt;=Q$5, COUNTIF($M246:P246,"u")=0), "u", "")</f>
        <v/>
      </c>
      <c r="R246" s="80" t="str">
        <f>IF(AND($F246&lt;&gt;"", $F246&gt;=R$5-4, $F246&lt;=R$5, COUNTIF($M246:Q246,"u")=0), "u", "")</f>
        <v/>
      </c>
      <c r="S246" s="80" t="str">
        <f>IF(AND($F246&lt;&gt;"", $F246&gt;=S$5-4, $F246&lt;=S$5, COUNTIF($M246:R246,"u")=0), "u", "")</f>
        <v/>
      </c>
      <c r="T246" s="80" t="str">
        <f>IF(AND($F246&lt;&gt;"", $F246&gt;=T$5-4, $F246&lt;=T$5, COUNTIF($M246:S246,"u")=0), "u", "")</f>
        <v/>
      </c>
      <c r="U246" s="80" t="str">
        <f>IF(AND($F246&lt;&gt;"", $F246&gt;=U$5-4, $F246&lt;=U$5, COUNTIF($M246:T246,"u")=0), "u", "")</f>
        <v/>
      </c>
      <c r="V246" s="80" t="str">
        <f>IF(AND($F246&lt;&gt;"", $F246&gt;=V$5-4, $F246&lt;=V$5, COUNTIF($M246:U246,"u")=0), "u", "")</f>
        <v/>
      </c>
      <c r="W246" s="80" t="str">
        <f>IF(AND($F246&lt;&gt;"", $F246&gt;=W$5-4, $F246&lt;=W$5, COUNTIF($M246:V246,"u")=0), "u", "")</f>
        <v/>
      </c>
      <c r="X246" s="80" t="str">
        <f>IF(AND($F246&lt;&gt;"", $F246&gt;=X$5-4, $F246&lt;=X$5, COUNTIF($M246:W246,"u")=0), "u", "")</f>
        <v/>
      </c>
      <c r="Y246" s="80" t="str">
        <f>IF(AND($F246&lt;&gt;"", $F246&gt;=Y$5-4, $F246&lt;=Y$5, COUNTIF($M246:X246,"u")=0), "u", "")</f>
        <v/>
      </c>
      <c r="Z246" s="80" t="str">
        <f>IF(AND($F246&lt;&gt;"", $F246&gt;=Z$5-4, $F246&lt;=Z$5, COUNTIF($M246:Y246,"u")=0), "u", "")</f>
        <v/>
      </c>
      <c r="AA246" s="80" t="str">
        <f>IF(AND($F246&lt;&gt;"", $F246&gt;=AA$5-4, $F246&lt;=AA$5, COUNTIF($M246:Z246,"u")=0), "u", "")</f>
        <v/>
      </c>
      <c r="AB246" s="80" t="str">
        <f>IF(AND($F246&lt;&gt;"", $F246&gt;=AB$5-4, $F246&lt;=AB$5, COUNTIF($M246:AA246,"u")=0), "u", "")</f>
        <v/>
      </c>
      <c r="AC246" s="80" t="str">
        <f>IF(AND($F246&lt;&gt;"", $F246&gt;=AC$5-4, $F246&lt;=AC$5, COUNTIF($M246:AB246,"u")=0), "u", "")</f>
        <v/>
      </c>
      <c r="AD246" s="80" t="str">
        <f>IF(AND($F246&lt;&gt;"", $F246&gt;=AD$5-4, $F246&lt;=AD$5, COUNTIF($M246:AC246,"u")=0), "u", "")</f>
        <v/>
      </c>
      <c r="AE246" s="80" t="str">
        <f>IF(AND($F246&lt;&gt;"", $F246&gt;=AE$5-4, $F246&lt;=AE$5, COUNTIF($M246:AD246,"u")=0), "u", "")</f>
        <v/>
      </c>
      <c r="AF246" s="80" t="str">
        <f>IF(AND($F246&lt;&gt;"", $F246&gt;=AF$5-4, $F246&lt;=AF$5, COUNTIF($M246:AE246,"u")=0), "u", "")</f>
        <v/>
      </c>
      <c r="AG246" s="80" t="str">
        <f>IF(AND($F246&lt;&gt;"", $F246&gt;=AG$5-4, $F246&lt;=AG$5, COUNTIF($M246:AF246,"u")=0), "u", "")</f>
        <v/>
      </c>
      <c r="AH246" s="80" t="str">
        <f>IF(AND($F246&lt;&gt;"", $F246&gt;=AH$5-4, $F246&lt;=AH$5, COUNTIF($M246:AG246,"u")=0), "u", "")</f>
        <v/>
      </c>
      <c r="AI246" s="80" t="str">
        <f>IF(AND($F246&lt;&gt;"", $F246&gt;=AI$5-4, $F246&lt;=AI$5, COUNTIF($M246:AH246,"u")=0), "u", "")</f>
        <v/>
      </c>
      <c r="AJ246" s="80" t="str">
        <f>IF(AND($F246&lt;&gt;"", $F246&gt;=AJ$5-4, $F246&lt;=AJ$5, COUNTIF($M246:AI246,"u")=0), "u", "")</f>
        <v/>
      </c>
      <c r="AK246" s="80" t="str">
        <f>IF(AND($F246&lt;&gt;"", $F246&gt;=AK$5-4, $F246&lt;=AK$5, COUNTIF($M246:AJ246,"u")=0), "u", "")</f>
        <v/>
      </c>
      <c r="AL246" s="80" t="str">
        <f>IF(AND($F246&lt;&gt;"", $F246&gt;=AL$5-4, $F246&lt;=AL$5, COUNTIF($M246:AK246,"u")=0), "u", "")</f>
        <v/>
      </c>
      <c r="AM246" s="80" t="str">
        <f>IF(AND($F246&lt;&gt;"", $F246&gt;=AM$5-4, $F246&lt;=AM$5, COUNTIF($M246:AL246,"u")=0), "u", "")</f>
        <v/>
      </c>
      <c r="AN246" s="80" t="str">
        <f>IF(AND($F246&lt;&gt;"", $F246&gt;=AN$5-4, $F246&lt;=AN$5, COUNTIF($M246:AM246,"u")=0), "u", "")</f>
        <v/>
      </c>
      <c r="AO246" s="80" t="str">
        <f>IF(AND($F246&lt;&gt;"", $F246&gt;=AO$5-4, $F246&lt;=AO$5, COUNTIF($M246:AN246,"u")=0), "u", "")</f>
        <v/>
      </c>
      <c r="AP246" s="80" t="str">
        <f>IF(AND($F246&lt;&gt;"", $F246&gt;=AP$5-4, $F246&lt;=AP$5, COUNTIF($M246:AO246,"u")=0), "u", "")</f>
        <v/>
      </c>
      <c r="AQ246" s="80" t="str">
        <f>IF(AND($F246&lt;&gt;"", $F246&gt;=AQ$5-4, $F246&lt;=AQ$5, COUNTIF($M246:AP246,"u")=0), "u", "")</f>
        <v/>
      </c>
      <c r="AR246" s="80" t="str">
        <f>IF(AND($F246&lt;&gt;"", $F246&gt;=AR$5-4, $F246&lt;=AR$5, COUNTIF($M246:AQ246,"u")=0), "u", "")</f>
        <v/>
      </c>
      <c r="AS246" s="80" t="str">
        <f>IF(AND($F246&lt;&gt;"", $F246&gt;=AS$5-4, $F246&lt;=AS$5, COUNTIF($M246:AR246,"u")=0), "u", "")</f>
        <v/>
      </c>
      <c r="AT246" s="80" t="str">
        <f>IF(AND($F246&lt;&gt;"", $F246&gt;=AT$5-4, $F246&lt;=AT$5, COUNTIF($M246:AS246,"u")=0), "u", "")</f>
        <v/>
      </c>
      <c r="AU246" s="80" t="str">
        <f>IF(AND($F246&lt;&gt;"", $F246&gt;=AU$5-4, $F246&lt;=AU$5, COUNTIF($M246:AT246,"u")=0), "u", "")</f>
        <v/>
      </c>
      <c r="AV246" s="80" t="str">
        <f>IF(AND($F246&lt;&gt;"", $F246&gt;=AV$5-4, $F246&lt;=AV$5, COUNTIF($M246:AU246,"u")=0), "u", "")</f>
        <v/>
      </c>
      <c r="AW246" s="80" t="str">
        <f>IF(AND($F246&lt;&gt;"", $F246&gt;=AW$5-4, $F246&lt;=AW$5, COUNTIF($M246:AV246,"u")=0), "u", "")</f>
        <v/>
      </c>
      <c r="AX246" s="80" t="str">
        <f>IF(AND($F246&lt;&gt;"", $F246&gt;=AX$5-4, $F246&lt;=AX$5, COUNTIF($M246:AW246,"u")=0), "u", "")</f>
        <v/>
      </c>
      <c r="AY246" s="80" t="str">
        <f>IF(AND($F246&lt;&gt;"", $F246&gt;=AY$5-4, $F246&lt;=AY$5, COUNTIF($M246:AX246,"u")=0), "u", "")</f>
        <v/>
      </c>
      <c r="AZ246" s="80" t="str">
        <f>IF(AND($F246&lt;&gt;"", $F246&gt;=AZ$5-4, $F246&lt;=AZ$5, COUNTIF($M246:AY246,"u")=0), "u", "")</f>
        <v/>
      </c>
      <c r="BA246" s="80" t="str">
        <f>IF(AND($F246&lt;&gt;"", $F246&gt;=BA$5-4, $F246&lt;=BA$5, COUNTIF($M246:AZ246,"u")=0), "u", "")</f>
        <v/>
      </c>
      <c r="BB246" s="80" t="str">
        <f>IF(AND($F246&lt;&gt;"", $F246&gt;=BB$5-4, $F246&lt;=BB$5, COUNTIF($M246:BA246,"u")=0), "u", "")</f>
        <v/>
      </c>
      <c r="BC246" s="80" t="str">
        <f>IF(AND($F246&lt;&gt;"", $F246&gt;=BC$5-4, $F246&lt;=BC$5, COUNTIF($M246:BB246,"u")=0), "u", "")</f>
        <v/>
      </c>
      <c r="BD246" s="80" t="str">
        <f>IF(AND($F246&lt;&gt;"", $F246&gt;=BD$5-4, $F246&lt;=BD$5, COUNTIF($M246:BC246,"u")=0), "u", "")</f>
        <v/>
      </c>
      <c r="BE246" s="80" t="str">
        <f>IF(AND($F246&lt;&gt;"", $F246&gt;=BE$5-4, $F246&lt;=BE$5, COUNTIF($M246:BD246,"u")=0), "u", "")</f>
        <v/>
      </c>
      <c r="BF246" s="80" t="str">
        <f>IF(AND($F246&lt;&gt;"", $F246&gt;=BF$5-4, $F246&lt;=BF$5, COUNTIF($M246:BE246,"u")=0), "u", "")</f>
        <v/>
      </c>
      <c r="BG246" s="80" t="str">
        <f>IF(AND($F246&lt;&gt;"", $F246&gt;=BG$5-4, $F246&lt;=BG$5, COUNTIF($M246:BF246,"u")=0), "u", "")</f>
        <v/>
      </c>
      <c r="BH246" s="80" t="str">
        <f>IF(AND($F246&lt;&gt;"", $F246&gt;=BH$5-4, $F246&lt;=BH$5, COUNTIF($M246:BG246,"u")=0), "u", "")</f>
        <v/>
      </c>
      <c r="BI246" s="80" t="str">
        <f>IF(AND($F246&lt;&gt;"", $F246&gt;=BI$5-4, $F246&lt;=BI$5, COUNTIF($M246:BH246,"u")=0), "u", "")</f>
        <v/>
      </c>
      <c r="BJ246" s="80" t="str">
        <f>IF(AND($F246&lt;&gt;"", $F246&gt;=BJ$5-4, $F246&lt;=BJ$5, COUNTIF($M246:BI246,"u")=0), "u", "")</f>
        <v/>
      </c>
      <c r="BK246" s="80" t="str">
        <f>IF(AND($F246&lt;&gt;"", $F246&gt;=BK$5-4, $F246&lt;=BK$5, COUNTIF($M246:BJ246,"u")=0), "u", "")</f>
        <v/>
      </c>
      <c r="BL246" s="80" t="str">
        <f>IF(AND($F246&lt;&gt;"", $F246&gt;=BL$5-4, $F246&lt;=BL$5, COUNTIF($M246:BK246,"u")=0), "u", "")</f>
        <v/>
      </c>
      <c r="BM246" s="80" t="str">
        <f>IF(AND($F246&lt;&gt;"", $F246&gt;=BM$5-4, $F246&lt;=BM$5, COUNTIF($M246:BL246,"u")=0), "u", "")</f>
        <v/>
      </c>
      <c r="BN246" s="80" t="str">
        <f>IF(AND($F246&lt;&gt;"", $F246&gt;=BN$5-4, $F246&lt;=BN$5, COUNTIF($M246:BM246,"u")=0), "u", "")</f>
        <v/>
      </c>
      <c r="BO246" s="80" t="str">
        <f>IF(AND($F246&lt;&gt;"", $F246&gt;=BO$5-4, $F246&lt;=BO$5, COUNTIF($M246:BN246,"u")=0), "u", "")</f>
        <v/>
      </c>
      <c r="BP246" s="80" t="str">
        <f>IF(AND($F246&lt;&gt;"", $F246&gt;=BP$5-4, $F246&lt;=BP$5, COUNTIF($M246:BO246,"u")=0), "u", "")</f>
        <v/>
      </c>
      <c r="BQ246" s="80" t="str">
        <f>IF(AND($F246&lt;&gt;"", $F246&gt;=BQ$5-4, $F246&lt;=BQ$5, COUNTIF($M246:BP246,"u")=0), "u", "")</f>
        <v/>
      </c>
      <c r="BR246" s="80" t="str">
        <f>IF(AND($F246&lt;&gt;"", $F246&gt;=BR$5-4, $F246&lt;=BR$5, COUNTIF($M246:BQ246,"u")=0), "u", "")</f>
        <v/>
      </c>
      <c r="BS246" s="80" t="str">
        <f>IF(AND($F246&lt;&gt;"", $F246&gt;=BS$5-4, $F246&lt;=BS$5, COUNTIF($M246:BR246,"u")=0), "u", "")</f>
        <v/>
      </c>
      <c r="BT246" s="80" t="str">
        <f>IF(AND($F246&lt;&gt;"", $F246&gt;=BT$5-4, $F246&lt;=BT$5, COUNTIF($M246:BS246,"u")=0), "u", "")</f>
        <v/>
      </c>
      <c r="BU246" s="80" t="str">
        <f>IF(AND($F246&lt;&gt;"", $F246&gt;=BU$5-4, $F246&lt;=BU$5, COUNTIF($M246:BT246,"u")=0), "u", "")</f>
        <v/>
      </c>
      <c r="BV246" s="80" t="str">
        <f>IF(AND($F246&lt;&gt;"", $F246&gt;=BV$5-4, $F246&lt;=BV$5, COUNTIF($M246:BU246,"u")=0), "u", "")</f>
        <v/>
      </c>
      <c r="BW246" s="80" t="str">
        <f>IF(AND($F246&lt;&gt;"", $F246&gt;=BW$5-4, $F246&lt;=BW$5, COUNTIF($M246:BV246,"u")=0), "u", "")</f>
        <v/>
      </c>
      <c r="BX246" s="80" t="str">
        <f>IF(AND($F246&lt;&gt;"", $F246&gt;=BX$5-4, $F246&lt;=BX$5, COUNTIF($M246:BW246,"u")=0), "u", "")</f>
        <v/>
      </c>
      <c r="BY246" s="80" t="str">
        <f>IF(AND($F246&lt;&gt;"", $F246&gt;=BY$5-4, $F246&lt;=BY$5, COUNTIF($M246:BX246,"u")=0), "u", "")</f>
        <v/>
      </c>
      <c r="BZ246" s="80" t="str">
        <f>IF(AND($F246&lt;&gt;"", $F246&gt;=BZ$5-4, $F246&lt;=BZ$5, COUNTIF($M246:BY246,"u")=0), "u", "")</f>
        <v/>
      </c>
      <c r="CA246" s="80" t="str">
        <f>IF(AND($F246&lt;&gt;"", $F246&gt;=CA$5-4, $F246&lt;=CA$5, COUNTIF($M246:BZ246,"u")=0), "u", "")</f>
        <v/>
      </c>
      <c r="CB246" s="80" t="str">
        <f>IF(AND($F246&lt;&gt;"", $F246&gt;=CB$5-4, $F246&lt;=CB$5, COUNTIF($M246:CA246,"u")=0), "u", "")</f>
        <v/>
      </c>
      <c r="CC246" s="80" t="str">
        <f>IF(AND($F246&lt;&gt;"", $F246&gt;=CC$5-4, $F246&lt;=CC$5, COUNTIF($M246:CB246,"u")=0), "u", "")</f>
        <v/>
      </c>
      <c r="CD246" s="80" t="str">
        <f>IF(AND($F246&lt;&gt;"", $F246&gt;=CD$5-4, $F246&lt;=CD$5, COUNTIF($M246:CC246,"u")=0), "u", "")</f>
        <v/>
      </c>
      <c r="CE246" s="80" t="str">
        <f>IF(AND($F246&lt;&gt;"", $F246&gt;=CE$5-4, $F246&lt;=CE$5, COUNTIF($M246:CD246,"u")=0), "u", "")</f>
        <v/>
      </c>
      <c r="CF246" s="80" t="str">
        <f>IF(AND($F246&lt;&gt;"", $F246&gt;=CF$5-4, $F246&lt;=CF$5, COUNTIF($M246:CE246,"u")=0), "u", "")</f>
        <v/>
      </c>
      <c r="CG246" s="80" t="str">
        <f>IF(AND($F246&lt;&gt;"", $F246&gt;=CG$5-4, $F246&lt;=CG$5, COUNTIF($M246:CF246,"u")=0), "u", "")</f>
        <v/>
      </c>
      <c r="CH246" s="80" t="str">
        <f>IF(AND($F246&lt;&gt;"", $F246&gt;=CH$5-4, $F246&lt;=CH$5, COUNTIF($M246:CG246,"u")=0), "u", "")</f>
        <v/>
      </c>
      <c r="CI246" s="80" t="str">
        <f>IF(AND($F246&lt;&gt;"", $F246&gt;=CI$5-4, $F246&lt;=CI$5, COUNTIF($M246:CH246,"u")=0), "u", "")</f>
        <v/>
      </c>
      <c r="CJ246" s="80" t="str">
        <f>IF(AND($F246&lt;&gt;"", $F246&gt;=CJ$5-4, $F246&lt;=CJ$5, COUNTIF($M246:CI246,"u")=0), "u", "")</f>
        <v/>
      </c>
      <c r="CK246" s="80" t="str">
        <f>IF(AND($F246&lt;&gt;"", $F246&gt;=CK$5-4, $F246&lt;=CK$5, COUNTIF($M246:CJ246,"u")=0), "u", "")</f>
        <v/>
      </c>
      <c r="CL246" s="80" t="str">
        <f>IF(AND($F246&lt;&gt;"", $F246&gt;=CL$5-4, $F246&lt;=CL$5, COUNTIF($M246:CK246,"u")=0), "u", "")</f>
        <v/>
      </c>
      <c r="CM246" s="80" t="str">
        <f>IF(AND($F246&lt;&gt;"", $F246&gt;=CM$5-4, $F246&lt;=CM$5, COUNTIF($M246:CL246,"u")=0), "u", "")</f>
        <v/>
      </c>
      <c r="CN246" s="80" t="str">
        <f>IF(AND($F246&lt;&gt;"", $F246&gt;=CN$5-4, $F246&lt;=CN$5, COUNTIF($M246:CM246,"u")=0), "u", "")</f>
        <v/>
      </c>
      <c r="CO246" s="80" t="str">
        <f>IF(AND($F246&lt;&gt;"", $F246&gt;=CO$5-4, $F246&lt;=CO$5, COUNTIF($M246:CN246,"u")=0), "u", "")</f>
        <v/>
      </c>
      <c r="CP246" s="80" t="str">
        <f>IF(AND($F246&lt;&gt;"", $F246&gt;=CP$5-4, $F246&lt;=CP$5, COUNTIF($M246:CO246,"u")=0), "u", "")</f>
        <v/>
      </c>
      <c r="CQ246" s="80" t="str">
        <f>IF(AND($F246&lt;&gt;"", $F246&gt;=CQ$5-4, $F246&lt;=CQ$5, COUNTIF($M246:CP246,"u")=0), "u", "")</f>
        <v/>
      </c>
      <c r="CR246" s="80" t="str">
        <f>IF(AND($F246&lt;&gt;"", $F246&gt;=CR$5-4, $F246&lt;=CR$5, COUNTIF($M246:CQ246,"u")=0), "u", "")</f>
        <v/>
      </c>
      <c r="CS246" s="80" t="str">
        <f>IF(AND($F246&lt;&gt;"", $F246&gt;=CS$5-4, $F246&lt;=CS$5, COUNTIF($M246:CR246,"u")=0), "u", "")</f>
        <v/>
      </c>
      <c r="CT246" s="80" t="str">
        <f>IF(AND($F246&lt;&gt;"", $F246&gt;=CT$5-4, $F246&lt;=CT$5, COUNTIF($M246:CS246,"u")=0), "u", "")</f>
        <v/>
      </c>
      <c r="CU246" s="80" t="str">
        <f>IF(AND($F246&lt;&gt;"", $F246&gt;=CU$5-4, $F246&lt;=CU$5, COUNTIF($M246:CT246,"u")=0), "u", "")</f>
        <v/>
      </c>
      <c r="CV246" s="80" t="str">
        <f>IF(AND($F246&lt;&gt;"", $F246&gt;=CV$5-4, $F246&lt;=CV$5, COUNTIF($M246:CU246,"u")=0), "u", "")</f>
        <v/>
      </c>
      <c r="CW246" s="80" t="str">
        <f>IF(AND($F246&lt;&gt;"", $F246&gt;=CW$5-4, $F246&lt;=CW$5, COUNTIF($M246:CV246,"u")=0), "u", "")</f>
        <v/>
      </c>
      <c r="CX246" s="80" t="str">
        <f>IF(AND($F246&lt;&gt;"", $F246&gt;=CX$5-4, $F246&lt;=CX$5, COUNTIF($M246:CW246,"u")=0), "u", "")</f>
        <v/>
      </c>
      <c r="CY246" s="80" t="str">
        <f>IF(AND($F246&lt;&gt;"", $F246&gt;=CY$5-4, $F246&lt;=CY$5, COUNTIF($M246:CX246,"u")=0), "u", "")</f>
        <v/>
      </c>
      <c r="CZ246" s="80" t="str">
        <f>IF(AND($F246&lt;&gt;"", $F246&gt;=CZ$5-4, $F246&lt;=CZ$5, COUNTIF($M246:CY246,"u")=0), "u", "")</f>
        <v/>
      </c>
      <c r="DA246" s="80" t="str">
        <f>IF(AND($F246&lt;&gt;"", $F246&gt;=DA$5-4, $F246&lt;=DA$5, COUNTIF($M246:CZ246,"u")=0), "u", "")</f>
        <v/>
      </c>
      <c r="DB246" s="80" t="str">
        <f>IF(AND($F246&lt;&gt;"", $F246&gt;=DB$5-4, $F246&lt;=DB$5, COUNTIF($M246:DA246,"u")=0), "u", "")</f>
        <v/>
      </c>
      <c r="DC246" s="80" t="str">
        <f>IF(AND($F246&lt;&gt;"", $F246&gt;=DC$5-4, $F246&lt;=DC$5, COUNTIF($M246:DB246,"u")=0), "u", "")</f>
        <v/>
      </c>
      <c r="DD246" s="80" t="str">
        <f>IF(AND($F246&lt;&gt;"", $F246&gt;=DD$5-4, $F246&lt;=DD$5, COUNTIF($M246:DC246,"u")=0), "u", "")</f>
        <v/>
      </c>
      <c r="DE246" s="80" t="str">
        <f>IF(AND($F246&lt;&gt;"", $F246&gt;=DE$5-4, $F246&lt;=DE$5, COUNTIF($M246:DD246,"u")=0), "u", "")</f>
        <v/>
      </c>
      <c r="DF246" s="80" t="str">
        <f>IF(AND($F246&lt;&gt;"", $F246&gt;=DF$5-4, $F246&lt;=DF$5, COUNTIF($M246:DE246,"u")=0), "u", "")</f>
        <v/>
      </c>
      <c r="DG246" s="80" t="str">
        <f>IF(AND($F246&lt;&gt;"", $F246&gt;=DG$5-4, $F246&lt;=DG$5, COUNTIF($M246:DF246,"u")=0), "u", "")</f>
        <v/>
      </c>
      <c r="DH246" s="80" t="str">
        <f>IF(AND($F246&lt;&gt;"", $F246&gt;=DH$5-4, $F246&lt;=DH$5, COUNTIF($M246:DG246,"u")=0), "u", "")</f>
        <v/>
      </c>
      <c r="DI246" s="80" t="str">
        <f>IF(AND($F246&lt;&gt;"", $F246&gt;=DI$5-4, $F246&lt;=DI$5, COUNTIF($M246:DH246,"u")=0), "u", "")</f>
        <v/>
      </c>
      <c r="DJ246" s="80" t="str">
        <f>IF(AND($F246&lt;&gt;"", $F246&gt;=DJ$5-4, $F246&lt;=DJ$5, COUNTIF($M246:DI246,"u")=0), "u", "")</f>
        <v/>
      </c>
      <c r="DK246" s="80" t="str">
        <f>IF(AND($F246&lt;&gt;"", $F246&gt;=DK$5-4, $F246&lt;=DK$5, COUNTIF($M246:DJ246,"u")=0), "u", "")</f>
        <v/>
      </c>
      <c r="DL246" s="80" t="str">
        <f>IF(AND($F246&lt;&gt;"", $F246&gt;=DL$5-4, $F246&lt;=DL$5, COUNTIF($M246:DK246,"u")=0), "u", "")</f>
        <v/>
      </c>
    </row>
    <row r="247" spans="1:116" ht="25.05" customHeight="1" x14ac:dyDescent="0.3">
      <c r="A247" s="39"/>
      <c r="B247" s="75">
        <v>242</v>
      </c>
      <c r="C247" s="97"/>
      <c r="D247" s="92"/>
      <c r="E247" s="53"/>
      <c r="F247" s="53"/>
      <c r="G247" s="83" t="str">
        <f t="shared" si="56"/>
        <v/>
      </c>
      <c r="H247" s="83" t="str">
        <f t="shared" si="56"/>
        <v/>
      </c>
      <c r="I247" s="77" t="str">
        <f t="shared" si="54"/>
        <v/>
      </c>
      <c r="J247" s="78"/>
      <c r="K247" s="86"/>
      <c r="L247" s="56"/>
      <c r="M247" s="80" t="str">
        <f t="shared" si="55"/>
        <v/>
      </c>
      <c r="N247" s="80" t="str">
        <f>IF(AND($F247&lt;&gt;"", $F247&gt;=N$5-4, $F247&lt;=N$5, COUNTIF($M247:M247,"u")=0), "u", "")</f>
        <v/>
      </c>
      <c r="O247" s="80" t="str">
        <f>IF(AND($F247&lt;&gt;"", $F247&gt;=O$5-4, $F247&lt;=O$5, COUNTIF($M247:N247,"u")=0), "u", "")</f>
        <v/>
      </c>
      <c r="P247" s="80" t="str">
        <f>IF(AND($F247&lt;&gt;"", $F247&gt;=P$5-4, $F247&lt;=P$5, COUNTIF($M247:O247,"u")=0), "u", "")</f>
        <v/>
      </c>
      <c r="Q247" s="80" t="str">
        <f>IF(AND($F247&lt;&gt;"", $F247&gt;=Q$5-4, $F247&lt;=Q$5, COUNTIF($M247:P247,"u")=0), "u", "")</f>
        <v/>
      </c>
      <c r="R247" s="80" t="str">
        <f>IF(AND($F247&lt;&gt;"", $F247&gt;=R$5-4, $F247&lt;=R$5, COUNTIF($M247:Q247,"u")=0), "u", "")</f>
        <v/>
      </c>
      <c r="S247" s="80" t="str">
        <f>IF(AND($F247&lt;&gt;"", $F247&gt;=S$5-4, $F247&lt;=S$5, COUNTIF($M247:R247,"u")=0), "u", "")</f>
        <v/>
      </c>
      <c r="T247" s="80" t="str">
        <f>IF(AND($F247&lt;&gt;"", $F247&gt;=T$5-4, $F247&lt;=T$5, COUNTIF($M247:S247,"u")=0), "u", "")</f>
        <v/>
      </c>
      <c r="U247" s="80" t="str">
        <f>IF(AND($F247&lt;&gt;"", $F247&gt;=U$5-4, $F247&lt;=U$5, COUNTIF($M247:T247,"u")=0), "u", "")</f>
        <v/>
      </c>
      <c r="V247" s="80" t="str">
        <f>IF(AND($F247&lt;&gt;"", $F247&gt;=V$5-4, $F247&lt;=V$5, COUNTIF($M247:U247,"u")=0), "u", "")</f>
        <v/>
      </c>
      <c r="W247" s="80" t="str">
        <f>IF(AND($F247&lt;&gt;"", $F247&gt;=W$5-4, $F247&lt;=W$5, COUNTIF($M247:V247,"u")=0), "u", "")</f>
        <v/>
      </c>
      <c r="X247" s="80" t="str">
        <f>IF(AND($F247&lt;&gt;"", $F247&gt;=X$5-4, $F247&lt;=X$5, COUNTIF($M247:W247,"u")=0), "u", "")</f>
        <v/>
      </c>
      <c r="Y247" s="80" t="str">
        <f>IF(AND($F247&lt;&gt;"", $F247&gt;=Y$5-4, $F247&lt;=Y$5, COUNTIF($M247:X247,"u")=0), "u", "")</f>
        <v/>
      </c>
      <c r="Z247" s="80" t="str">
        <f>IF(AND($F247&lt;&gt;"", $F247&gt;=Z$5-4, $F247&lt;=Z$5, COUNTIF($M247:Y247,"u")=0), "u", "")</f>
        <v/>
      </c>
      <c r="AA247" s="80" t="str">
        <f>IF(AND($F247&lt;&gt;"", $F247&gt;=AA$5-4, $F247&lt;=AA$5, COUNTIF($M247:Z247,"u")=0), "u", "")</f>
        <v/>
      </c>
      <c r="AB247" s="80" t="str">
        <f>IF(AND($F247&lt;&gt;"", $F247&gt;=AB$5-4, $F247&lt;=AB$5, COUNTIF($M247:AA247,"u")=0), "u", "")</f>
        <v/>
      </c>
      <c r="AC247" s="80" t="str">
        <f>IF(AND($F247&lt;&gt;"", $F247&gt;=AC$5-4, $F247&lt;=AC$5, COUNTIF($M247:AB247,"u")=0), "u", "")</f>
        <v/>
      </c>
      <c r="AD247" s="80" t="str">
        <f>IF(AND($F247&lt;&gt;"", $F247&gt;=AD$5-4, $F247&lt;=AD$5, COUNTIF($M247:AC247,"u")=0), "u", "")</f>
        <v/>
      </c>
      <c r="AE247" s="80" t="str">
        <f>IF(AND($F247&lt;&gt;"", $F247&gt;=AE$5-4, $F247&lt;=AE$5, COUNTIF($M247:AD247,"u")=0), "u", "")</f>
        <v/>
      </c>
      <c r="AF247" s="80" t="str">
        <f>IF(AND($F247&lt;&gt;"", $F247&gt;=AF$5-4, $F247&lt;=AF$5, COUNTIF($M247:AE247,"u")=0), "u", "")</f>
        <v/>
      </c>
      <c r="AG247" s="80" t="str">
        <f>IF(AND($F247&lt;&gt;"", $F247&gt;=AG$5-4, $F247&lt;=AG$5, COUNTIF($M247:AF247,"u")=0), "u", "")</f>
        <v/>
      </c>
      <c r="AH247" s="80" t="str">
        <f>IF(AND($F247&lt;&gt;"", $F247&gt;=AH$5-4, $F247&lt;=AH$5, COUNTIF($M247:AG247,"u")=0), "u", "")</f>
        <v/>
      </c>
      <c r="AI247" s="80" t="str">
        <f>IF(AND($F247&lt;&gt;"", $F247&gt;=AI$5-4, $F247&lt;=AI$5, COUNTIF($M247:AH247,"u")=0), "u", "")</f>
        <v/>
      </c>
      <c r="AJ247" s="80" t="str">
        <f>IF(AND($F247&lt;&gt;"", $F247&gt;=AJ$5-4, $F247&lt;=AJ$5, COUNTIF($M247:AI247,"u")=0), "u", "")</f>
        <v/>
      </c>
      <c r="AK247" s="80" t="str">
        <f>IF(AND($F247&lt;&gt;"", $F247&gt;=AK$5-4, $F247&lt;=AK$5, COUNTIF($M247:AJ247,"u")=0), "u", "")</f>
        <v/>
      </c>
      <c r="AL247" s="80" t="str">
        <f>IF(AND($F247&lt;&gt;"", $F247&gt;=AL$5-4, $F247&lt;=AL$5, COUNTIF($M247:AK247,"u")=0), "u", "")</f>
        <v/>
      </c>
      <c r="AM247" s="80" t="str">
        <f>IF(AND($F247&lt;&gt;"", $F247&gt;=AM$5-4, $F247&lt;=AM$5, COUNTIF($M247:AL247,"u")=0), "u", "")</f>
        <v/>
      </c>
      <c r="AN247" s="80" t="str">
        <f>IF(AND($F247&lt;&gt;"", $F247&gt;=AN$5-4, $F247&lt;=AN$5, COUNTIF($M247:AM247,"u")=0), "u", "")</f>
        <v/>
      </c>
      <c r="AO247" s="80" t="str">
        <f>IF(AND($F247&lt;&gt;"", $F247&gt;=AO$5-4, $F247&lt;=AO$5, COUNTIF($M247:AN247,"u")=0), "u", "")</f>
        <v/>
      </c>
      <c r="AP247" s="80" t="str">
        <f>IF(AND($F247&lt;&gt;"", $F247&gt;=AP$5-4, $F247&lt;=AP$5, COUNTIF($M247:AO247,"u")=0), "u", "")</f>
        <v/>
      </c>
      <c r="AQ247" s="80" t="str">
        <f>IF(AND($F247&lt;&gt;"", $F247&gt;=AQ$5-4, $F247&lt;=AQ$5, COUNTIF($M247:AP247,"u")=0), "u", "")</f>
        <v/>
      </c>
      <c r="AR247" s="80" t="str">
        <f>IF(AND($F247&lt;&gt;"", $F247&gt;=AR$5-4, $F247&lt;=AR$5, COUNTIF($M247:AQ247,"u")=0), "u", "")</f>
        <v/>
      </c>
      <c r="AS247" s="80" t="str">
        <f>IF(AND($F247&lt;&gt;"", $F247&gt;=AS$5-4, $F247&lt;=AS$5, COUNTIF($M247:AR247,"u")=0), "u", "")</f>
        <v/>
      </c>
      <c r="AT247" s="80" t="str">
        <f>IF(AND($F247&lt;&gt;"", $F247&gt;=AT$5-4, $F247&lt;=AT$5, COUNTIF($M247:AS247,"u")=0), "u", "")</f>
        <v/>
      </c>
      <c r="AU247" s="80" t="str">
        <f>IF(AND($F247&lt;&gt;"", $F247&gt;=AU$5-4, $F247&lt;=AU$5, COUNTIF($M247:AT247,"u")=0), "u", "")</f>
        <v/>
      </c>
      <c r="AV247" s="80" t="str">
        <f>IF(AND($F247&lt;&gt;"", $F247&gt;=AV$5-4, $F247&lt;=AV$5, COUNTIF($M247:AU247,"u")=0), "u", "")</f>
        <v/>
      </c>
      <c r="AW247" s="80" t="str">
        <f>IF(AND($F247&lt;&gt;"", $F247&gt;=AW$5-4, $F247&lt;=AW$5, COUNTIF($M247:AV247,"u")=0), "u", "")</f>
        <v/>
      </c>
      <c r="AX247" s="80" t="str">
        <f>IF(AND($F247&lt;&gt;"", $F247&gt;=AX$5-4, $F247&lt;=AX$5, COUNTIF($M247:AW247,"u")=0), "u", "")</f>
        <v/>
      </c>
      <c r="AY247" s="80" t="str">
        <f>IF(AND($F247&lt;&gt;"", $F247&gt;=AY$5-4, $F247&lt;=AY$5, COUNTIF($M247:AX247,"u")=0), "u", "")</f>
        <v/>
      </c>
      <c r="AZ247" s="80" t="str">
        <f>IF(AND($F247&lt;&gt;"", $F247&gt;=AZ$5-4, $F247&lt;=AZ$5, COUNTIF($M247:AY247,"u")=0), "u", "")</f>
        <v/>
      </c>
      <c r="BA247" s="80" t="str">
        <f>IF(AND($F247&lt;&gt;"", $F247&gt;=BA$5-4, $F247&lt;=BA$5, COUNTIF($M247:AZ247,"u")=0), "u", "")</f>
        <v/>
      </c>
      <c r="BB247" s="80" t="str">
        <f>IF(AND($F247&lt;&gt;"", $F247&gt;=BB$5-4, $F247&lt;=BB$5, COUNTIF($M247:BA247,"u")=0), "u", "")</f>
        <v/>
      </c>
      <c r="BC247" s="80" t="str">
        <f>IF(AND($F247&lt;&gt;"", $F247&gt;=BC$5-4, $F247&lt;=BC$5, COUNTIF($M247:BB247,"u")=0), "u", "")</f>
        <v/>
      </c>
      <c r="BD247" s="80" t="str">
        <f>IF(AND($F247&lt;&gt;"", $F247&gt;=BD$5-4, $F247&lt;=BD$5, COUNTIF($M247:BC247,"u")=0), "u", "")</f>
        <v/>
      </c>
      <c r="BE247" s="80" t="str">
        <f>IF(AND($F247&lt;&gt;"", $F247&gt;=BE$5-4, $F247&lt;=BE$5, COUNTIF($M247:BD247,"u")=0), "u", "")</f>
        <v/>
      </c>
      <c r="BF247" s="80" t="str">
        <f>IF(AND($F247&lt;&gt;"", $F247&gt;=BF$5-4, $F247&lt;=BF$5, COUNTIF($M247:BE247,"u")=0), "u", "")</f>
        <v/>
      </c>
      <c r="BG247" s="80" t="str">
        <f>IF(AND($F247&lt;&gt;"", $F247&gt;=BG$5-4, $F247&lt;=BG$5, COUNTIF($M247:BF247,"u")=0), "u", "")</f>
        <v/>
      </c>
      <c r="BH247" s="80" t="str">
        <f>IF(AND($F247&lt;&gt;"", $F247&gt;=BH$5-4, $F247&lt;=BH$5, COUNTIF($M247:BG247,"u")=0), "u", "")</f>
        <v/>
      </c>
      <c r="BI247" s="80" t="str">
        <f>IF(AND($F247&lt;&gt;"", $F247&gt;=BI$5-4, $F247&lt;=BI$5, COUNTIF($M247:BH247,"u")=0), "u", "")</f>
        <v/>
      </c>
      <c r="BJ247" s="80" t="str">
        <f>IF(AND($F247&lt;&gt;"", $F247&gt;=BJ$5-4, $F247&lt;=BJ$5, COUNTIF($M247:BI247,"u")=0), "u", "")</f>
        <v/>
      </c>
      <c r="BK247" s="80" t="str">
        <f>IF(AND($F247&lt;&gt;"", $F247&gt;=BK$5-4, $F247&lt;=BK$5, COUNTIF($M247:BJ247,"u")=0), "u", "")</f>
        <v/>
      </c>
      <c r="BL247" s="80" t="str">
        <f>IF(AND($F247&lt;&gt;"", $F247&gt;=BL$5-4, $F247&lt;=BL$5, COUNTIF($M247:BK247,"u")=0), "u", "")</f>
        <v/>
      </c>
      <c r="BM247" s="80" t="str">
        <f>IF(AND($F247&lt;&gt;"", $F247&gt;=BM$5-4, $F247&lt;=BM$5, COUNTIF($M247:BL247,"u")=0), "u", "")</f>
        <v/>
      </c>
      <c r="BN247" s="80" t="str">
        <f>IF(AND($F247&lt;&gt;"", $F247&gt;=BN$5-4, $F247&lt;=BN$5, COUNTIF($M247:BM247,"u")=0), "u", "")</f>
        <v/>
      </c>
      <c r="BO247" s="80" t="str">
        <f>IF(AND($F247&lt;&gt;"", $F247&gt;=BO$5-4, $F247&lt;=BO$5, COUNTIF($M247:BN247,"u")=0), "u", "")</f>
        <v/>
      </c>
      <c r="BP247" s="80" t="str">
        <f>IF(AND($F247&lt;&gt;"", $F247&gt;=BP$5-4, $F247&lt;=BP$5, COUNTIF($M247:BO247,"u")=0), "u", "")</f>
        <v/>
      </c>
      <c r="BQ247" s="80" t="str">
        <f>IF(AND($F247&lt;&gt;"", $F247&gt;=BQ$5-4, $F247&lt;=BQ$5, COUNTIF($M247:BP247,"u")=0), "u", "")</f>
        <v/>
      </c>
      <c r="BR247" s="80" t="str">
        <f>IF(AND($F247&lt;&gt;"", $F247&gt;=BR$5-4, $F247&lt;=BR$5, COUNTIF($M247:BQ247,"u")=0), "u", "")</f>
        <v/>
      </c>
      <c r="BS247" s="80" t="str">
        <f>IF(AND($F247&lt;&gt;"", $F247&gt;=BS$5-4, $F247&lt;=BS$5, COUNTIF($M247:BR247,"u")=0), "u", "")</f>
        <v/>
      </c>
      <c r="BT247" s="80" t="str">
        <f>IF(AND($F247&lt;&gt;"", $F247&gt;=BT$5-4, $F247&lt;=BT$5, COUNTIF($M247:BS247,"u")=0), "u", "")</f>
        <v/>
      </c>
      <c r="BU247" s="80" t="str">
        <f>IF(AND($F247&lt;&gt;"", $F247&gt;=BU$5-4, $F247&lt;=BU$5, COUNTIF($M247:BT247,"u")=0), "u", "")</f>
        <v/>
      </c>
      <c r="BV247" s="80" t="str">
        <f>IF(AND($F247&lt;&gt;"", $F247&gt;=BV$5-4, $F247&lt;=BV$5, COUNTIF($M247:BU247,"u")=0), "u", "")</f>
        <v/>
      </c>
      <c r="BW247" s="80" t="str">
        <f>IF(AND($F247&lt;&gt;"", $F247&gt;=BW$5-4, $F247&lt;=BW$5, COUNTIF($M247:BV247,"u")=0), "u", "")</f>
        <v/>
      </c>
      <c r="BX247" s="80" t="str">
        <f>IF(AND($F247&lt;&gt;"", $F247&gt;=BX$5-4, $F247&lt;=BX$5, COUNTIF($M247:BW247,"u")=0), "u", "")</f>
        <v/>
      </c>
      <c r="BY247" s="80" t="str">
        <f>IF(AND($F247&lt;&gt;"", $F247&gt;=BY$5-4, $F247&lt;=BY$5, COUNTIF($M247:BX247,"u")=0), "u", "")</f>
        <v/>
      </c>
      <c r="BZ247" s="80" t="str">
        <f>IF(AND($F247&lt;&gt;"", $F247&gt;=BZ$5-4, $F247&lt;=BZ$5, COUNTIF($M247:BY247,"u")=0), "u", "")</f>
        <v/>
      </c>
      <c r="CA247" s="80" t="str">
        <f>IF(AND($F247&lt;&gt;"", $F247&gt;=CA$5-4, $F247&lt;=CA$5, COUNTIF($M247:BZ247,"u")=0), "u", "")</f>
        <v/>
      </c>
      <c r="CB247" s="80" t="str">
        <f>IF(AND($F247&lt;&gt;"", $F247&gt;=CB$5-4, $F247&lt;=CB$5, COUNTIF($M247:CA247,"u")=0), "u", "")</f>
        <v/>
      </c>
      <c r="CC247" s="80" t="str">
        <f>IF(AND($F247&lt;&gt;"", $F247&gt;=CC$5-4, $F247&lt;=CC$5, COUNTIF($M247:CB247,"u")=0), "u", "")</f>
        <v/>
      </c>
      <c r="CD247" s="80" t="str">
        <f>IF(AND($F247&lt;&gt;"", $F247&gt;=CD$5-4, $F247&lt;=CD$5, COUNTIF($M247:CC247,"u")=0), "u", "")</f>
        <v/>
      </c>
      <c r="CE247" s="80" t="str">
        <f>IF(AND($F247&lt;&gt;"", $F247&gt;=CE$5-4, $F247&lt;=CE$5, COUNTIF($M247:CD247,"u")=0), "u", "")</f>
        <v/>
      </c>
      <c r="CF247" s="80" t="str">
        <f>IF(AND($F247&lt;&gt;"", $F247&gt;=CF$5-4, $F247&lt;=CF$5, COUNTIF($M247:CE247,"u")=0), "u", "")</f>
        <v/>
      </c>
      <c r="CG247" s="80" t="str">
        <f>IF(AND($F247&lt;&gt;"", $F247&gt;=CG$5-4, $F247&lt;=CG$5, COUNTIF($M247:CF247,"u")=0), "u", "")</f>
        <v/>
      </c>
      <c r="CH247" s="80" t="str">
        <f>IF(AND($F247&lt;&gt;"", $F247&gt;=CH$5-4, $F247&lt;=CH$5, COUNTIF($M247:CG247,"u")=0), "u", "")</f>
        <v/>
      </c>
      <c r="CI247" s="80" t="str">
        <f>IF(AND($F247&lt;&gt;"", $F247&gt;=CI$5-4, $F247&lt;=CI$5, COUNTIF($M247:CH247,"u")=0), "u", "")</f>
        <v/>
      </c>
      <c r="CJ247" s="80" t="str">
        <f>IF(AND($F247&lt;&gt;"", $F247&gt;=CJ$5-4, $F247&lt;=CJ$5, COUNTIF($M247:CI247,"u")=0), "u", "")</f>
        <v/>
      </c>
      <c r="CK247" s="80" t="str">
        <f>IF(AND($F247&lt;&gt;"", $F247&gt;=CK$5-4, $F247&lt;=CK$5, COUNTIF($M247:CJ247,"u")=0), "u", "")</f>
        <v/>
      </c>
      <c r="CL247" s="80" t="str">
        <f>IF(AND($F247&lt;&gt;"", $F247&gt;=CL$5-4, $F247&lt;=CL$5, COUNTIF($M247:CK247,"u")=0), "u", "")</f>
        <v/>
      </c>
      <c r="CM247" s="80" t="str">
        <f>IF(AND($F247&lt;&gt;"", $F247&gt;=CM$5-4, $F247&lt;=CM$5, COUNTIF($M247:CL247,"u")=0), "u", "")</f>
        <v/>
      </c>
      <c r="CN247" s="80" t="str">
        <f>IF(AND($F247&lt;&gt;"", $F247&gt;=CN$5-4, $F247&lt;=CN$5, COUNTIF($M247:CM247,"u")=0), "u", "")</f>
        <v/>
      </c>
      <c r="CO247" s="80" t="str">
        <f>IF(AND($F247&lt;&gt;"", $F247&gt;=CO$5-4, $F247&lt;=CO$5, COUNTIF($M247:CN247,"u")=0), "u", "")</f>
        <v/>
      </c>
      <c r="CP247" s="80" t="str">
        <f>IF(AND($F247&lt;&gt;"", $F247&gt;=CP$5-4, $F247&lt;=CP$5, COUNTIF($M247:CO247,"u")=0), "u", "")</f>
        <v/>
      </c>
      <c r="CQ247" s="80" t="str">
        <f>IF(AND($F247&lt;&gt;"", $F247&gt;=CQ$5-4, $F247&lt;=CQ$5, COUNTIF($M247:CP247,"u")=0), "u", "")</f>
        <v/>
      </c>
      <c r="CR247" s="80" t="str">
        <f>IF(AND($F247&lt;&gt;"", $F247&gt;=CR$5-4, $F247&lt;=CR$5, COUNTIF($M247:CQ247,"u")=0), "u", "")</f>
        <v/>
      </c>
      <c r="CS247" s="80" t="str">
        <f>IF(AND($F247&lt;&gt;"", $F247&gt;=CS$5-4, $F247&lt;=CS$5, COUNTIF($M247:CR247,"u")=0), "u", "")</f>
        <v/>
      </c>
      <c r="CT247" s="80" t="str">
        <f>IF(AND($F247&lt;&gt;"", $F247&gt;=CT$5-4, $F247&lt;=CT$5, COUNTIF($M247:CS247,"u")=0), "u", "")</f>
        <v/>
      </c>
      <c r="CU247" s="80" t="str">
        <f>IF(AND($F247&lt;&gt;"", $F247&gt;=CU$5-4, $F247&lt;=CU$5, COUNTIF($M247:CT247,"u")=0), "u", "")</f>
        <v/>
      </c>
      <c r="CV247" s="80" t="str">
        <f>IF(AND($F247&lt;&gt;"", $F247&gt;=CV$5-4, $F247&lt;=CV$5, COUNTIF($M247:CU247,"u")=0), "u", "")</f>
        <v/>
      </c>
      <c r="CW247" s="80" t="str">
        <f>IF(AND($F247&lt;&gt;"", $F247&gt;=CW$5-4, $F247&lt;=CW$5, COUNTIF($M247:CV247,"u")=0), "u", "")</f>
        <v/>
      </c>
      <c r="CX247" s="80" t="str">
        <f>IF(AND($F247&lt;&gt;"", $F247&gt;=CX$5-4, $F247&lt;=CX$5, COUNTIF($M247:CW247,"u")=0), "u", "")</f>
        <v/>
      </c>
      <c r="CY247" s="80" t="str">
        <f>IF(AND($F247&lt;&gt;"", $F247&gt;=CY$5-4, $F247&lt;=CY$5, COUNTIF($M247:CX247,"u")=0), "u", "")</f>
        <v/>
      </c>
      <c r="CZ247" s="80" t="str">
        <f>IF(AND($F247&lt;&gt;"", $F247&gt;=CZ$5-4, $F247&lt;=CZ$5, COUNTIF($M247:CY247,"u")=0), "u", "")</f>
        <v/>
      </c>
      <c r="DA247" s="80" t="str">
        <f>IF(AND($F247&lt;&gt;"", $F247&gt;=DA$5-4, $F247&lt;=DA$5, COUNTIF($M247:CZ247,"u")=0), "u", "")</f>
        <v/>
      </c>
      <c r="DB247" s="80" t="str">
        <f>IF(AND($F247&lt;&gt;"", $F247&gt;=DB$5-4, $F247&lt;=DB$5, COUNTIF($M247:DA247,"u")=0), "u", "")</f>
        <v/>
      </c>
      <c r="DC247" s="80" t="str">
        <f>IF(AND($F247&lt;&gt;"", $F247&gt;=DC$5-4, $F247&lt;=DC$5, COUNTIF($M247:DB247,"u")=0), "u", "")</f>
        <v/>
      </c>
      <c r="DD247" s="80" t="str">
        <f>IF(AND($F247&lt;&gt;"", $F247&gt;=DD$5-4, $F247&lt;=DD$5, COUNTIF($M247:DC247,"u")=0), "u", "")</f>
        <v/>
      </c>
      <c r="DE247" s="80" t="str">
        <f>IF(AND($F247&lt;&gt;"", $F247&gt;=DE$5-4, $F247&lt;=DE$5, COUNTIF($M247:DD247,"u")=0), "u", "")</f>
        <v/>
      </c>
      <c r="DF247" s="80" t="str">
        <f>IF(AND($F247&lt;&gt;"", $F247&gt;=DF$5-4, $F247&lt;=DF$5, COUNTIF($M247:DE247,"u")=0), "u", "")</f>
        <v/>
      </c>
      <c r="DG247" s="80" t="str">
        <f>IF(AND($F247&lt;&gt;"", $F247&gt;=DG$5-4, $F247&lt;=DG$5, COUNTIF($M247:DF247,"u")=0), "u", "")</f>
        <v/>
      </c>
      <c r="DH247" s="80" t="str">
        <f>IF(AND($F247&lt;&gt;"", $F247&gt;=DH$5-4, $F247&lt;=DH$5, COUNTIF($M247:DG247,"u")=0), "u", "")</f>
        <v/>
      </c>
      <c r="DI247" s="80" t="str">
        <f>IF(AND($F247&lt;&gt;"", $F247&gt;=DI$5-4, $F247&lt;=DI$5, COUNTIF($M247:DH247,"u")=0), "u", "")</f>
        <v/>
      </c>
      <c r="DJ247" s="80" t="str">
        <f>IF(AND($F247&lt;&gt;"", $F247&gt;=DJ$5-4, $F247&lt;=DJ$5, COUNTIF($M247:DI247,"u")=0), "u", "")</f>
        <v/>
      </c>
      <c r="DK247" s="80" t="str">
        <f>IF(AND($F247&lt;&gt;"", $F247&gt;=DK$5-4, $F247&lt;=DK$5, COUNTIF($M247:DJ247,"u")=0), "u", "")</f>
        <v/>
      </c>
      <c r="DL247" s="80" t="str">
        <f>IF(AND($F247&lt;&gt;"", $F247&gt;=DL$5-4, $F247&lt;=DL$5, COUNTIF($M247:DK247,"u")=0), "u", "")</f>
        <v/>
      </c>
    </row>
    <row r="248" spans="1:116" ht="25.05" customHeight="1" x14ac:dyDescent="0.3">
      <c r="A248" s="39"/>
      <c r="B248" s="75">
        <v>243</v>
      </c>
      <c r="C248" s="97"/>
      <c r="D248" s="92"/>
      <c r="E248" s="53"/>
      <c r="F248" s="53"/>
      <c r="G248" s="83" t="str">
        <f t="shared" si="56"/>
        <v/>
      </c>
      <c r="H248" s="83" t="str">
        <f t="shared" si="56"/>
        <v/>
      </c>
      <c r="I248" s="77" t="str">
        <f t="shared" si="54"/>
        <v/>
      </c>
      <c r="J248" s="78"/>
      <c r="K248" s="86"/>
      <c r="L248" s="56"/>
      <c r="M248" s="80" t="str">
        <f t="shared" si="55"/>
        <v/>
      </c>
      <c r="N248" s="80" t="str">
        <f>IF(AND($F248&lt;&gt;"", $F248&gt;=N$5-4, $F248&lt;=N$5, COUNTIF($M248:M248,"u")=0), "u", "")</f>
        <v/>
      </c>
      <c r="O248" s="80" t="str">
        <f>IF(AND($F248&lt;&gt;"", $F248&gt;=O$5-4, $F248&lt;=O$5, COUNTIF($M248:N248,"u")=0), "u", "")</f>
        <v/>
      </c>
      <c r="P248" s="80" t="str">
        <f>IF(AND($F248&lt;&gt;"", $F248&gt;=P$5-4, $F248&lt;=P$5, COUNTIF($M248:O248,"u")=0), "u", "")</f>
        <v/>
      </c>
      <c r="Q248" s="80" t="str">
        <f>IF(AND($F248&lt;&gt;"", $F248&gt;=Q$5-4, $F248&lt;=Q$5, COUNTIF($M248:P248,"u")=0), "u", "")</f>
        <v/>
      </c>
      <c r="R248" s="80" t="str">
        <f>IF(AND($F248&lt;&gt;"", $F248&gt;=R$5-4, $F248&lt;=R$5, COUNTIF($M248:Q248,"u")=0), "u", "")</f>
        <v/>
      </c>
      <c r="S248" s="80" t="str">
        <f>IF(AND($F248&lt;&gt;"", $F248&gt;=S$5-4, $F248&lt;=S$5, COUNTIF($M248:R248,"u")=0), "u", "")</f>
        <v/>
      </c>
      <c r="T248" s="80" t="str">
        <f>IF(AND($F248&lt;&gt;"", $F248&gt;=T$5-4, $F248&lt;=T$5, COUNTIF($M248:S248,"u")=0), "u", "")</f>
        <v/>
      </c>
      <c r="U248" s="80" t="str">
        <f>IF(AND($F248&lt;&gt;"", $F248&gt;=U$5-4, $F248&lt;=U$5, COUNTIF($M248:T248,"u")=0), "u", "")</f>
        <v/>
      </c>
      <c r="V248" s="80" t="str">
        <f>IF(AND($F248&lt;&gt;"", $F248&gt;=V$5-4, $F248&lt;=V$5, COUNTIF($M248:U248,"u")=0), "u", "")</f>
        <v/>
      </c>
      <c r="W248" s="80" t="str">
        <f>IF(AND($F248&lt;&gt;"", $F248&gt;=W$5-4, $F248&lt;=W$5, COUNTIF($M248:V248,"u")=0), "u", "")</f>
        <v/>
      </c>
      <c r="X248" s="80" t="str">
        <f>IF(AND($F248&lt;&gt;"", $F248&gt;=X$5-4, $F248&lt;=X$5, COUNTIF($M248:W248,"u")=0), "u", "")</f>
        <v/>
      </c>
      <c r="Y248" s="80" t="str">
        <f>IF(AND($F248&lt;&gt;"", $F248&gt;=Y$5-4, $F248&lt;=Y$5, COUNTIF($M248:X248,"u")=0), "u", "")</f>
        <v/>
      </c>
      <c r="Z248" s="80" t="str">
        <f>IF(AND($F248&lt;&gt;"", $F248&gt;=Z$5-4, $F248&lt;=Z$5, COUNTIF($M248:Y248,"u")=0), "u", "")</f>
        <v/>
      </c>
      <c r="AA248" s="80" t="str">
        <f>IF(AND($F248&lt;&gt;"", $F248&gt;=AA$5-4, $F248&lt;=AA$5, COUNTIF($M248:Z248,"u")=0), "u", "")</f>
        <v/>
      </c>
      <c r="AB248" s="80" t="str">
        <f>IF(AND($F248&lt;&gt;"", $F248&gt;=AB$5-4, $F248&lt;=AB$5, COUNTIF($M248:AA248,"u")=0), "u", "")</f>
        <v/>
      </c>
      <c r="AC248" s="80" t="str">
        <f>IF(AND($F248&lt;&gt;"", $F248&gt;=AC$5-4, $F248&lt;=AC$5, COUNTIF($M248:AB248,"u")=0), "u", "")</f>
        <v/>
      </c>
      <c r="AD248" s="80" t="str">
        <f>IF(AND($F248&lt;&gt;"", $F248&gt;=AD$5-4, $F248&lt;=AD$5, COUNTIF($M248:AC248,"u")=0), "u", "")</f>
        <v/>
      </c>
      <c r="AE248" s="80" t="str">
        <f>IF(AND($F248&lt;&gt;"", $F248&gt;=AE$5-4, $F248&lt;=AE$5, COUNTIF($M248:AD248,"u")=0), "u", "")</f>
        <v/>
      </c>
      <c r="AF248" s="80" t="str">
        <f>IF(AND($F248&lt;&gt;"", $F248&gt;=AF$5-4, $F248&lt;=AF$5, COUNTIF($M248:AE248,"u")=0), "u", "")</f>
        <v/>
      </c>
      <c r="AG248" s="80" t="str">
        <f>IF(AND($F248&lt;&gt;"", $F248&gt;=AG$5-4, $F248&lt;=AG$5, COUNTIF($M248:AF248,"u")=0), "u", "")</f>
        <v/>
      </c>
      <c r="AH248" s="80" t="str">
        <f>IF(AND($F248&lt;&gt;"", $F248&gt;=AH$5-4, $F248&lt;=AH$5, COUNTIF($M248:AG248,"u")=0), "u", "")</f>
        <v/>
      </c>
      <c r="AI248" s="80" t="str">
        <f>IF(AND($F248&lt;&gt;"", $F248&gt;=AI$5-4, $F248&lt;=AI$5, COUNTIF($M248:AH248,"u")=0), "u", "")</f>
        <v/>
      </c>
      <c r="AJ248" s="80" t="str">
        <f>IF(AND($F248&lt;&gt;"", $F248&gt;=AJ$5-4, $F248&lt;=AJ$5, COUNTIF($M248:AI248,"u")=0), "u", "")</f>
        <v/>
      </c>
      <c r="AK248" s="80" t="str">
        <f>IF(AND($F248&lt;&gt;"", $F248&gt;=AK$5-4, $F248&lt;=AK$5, COUNTIF($M248:AJ248,"u")=0), "u", "")</f>
        <v/>
      </c>
      <c r="AL248" s="80" t="str">
        <f>IF(AND($F248&lt;&gt;"", $F248&gt;=AL$5-4, $F248&lt;=AL$5, COUNTIF($M248:AK248,"u")=0), "u", "")</f>
        <v/>
      </c>
      <c r="AM248" s="80" t="str">
        <f>IF(AND($F248&lt;&gt;"", $F248&gt;=AM$5-4, $F248&lt;=AM$5, COUNTIF($M248:AL248,"u")=0), "u", "")</f>
        <v/>
      </c>
      <c r="AN248" s="80" t="str">
        <f>IF(AND($F248&lt;&gt;"", $F248&gt;=AN$5-4, $F248&lt;=AN$5, COUNTIF($M248:AM248,"u")=0), "u", "")</f>
        <v/>
      </c>
      <c r="AO248" s="80" t="str">
        <f>IF(AND($F248&lt;&gt;"", $F248&gt;=AO$5-4, $F248&lt;=AO$5, COUNTIF($M248:AN248,"u")=0), "u", "")</f>
        <v/>
      </c>
      <c r="AP248" s="80" t="str">
        <f>IF(AND($F248&lt;&gt;"", $F248&gt;=AP$5-4, $F248&lt;=AP$5, COUNTIF($M248:AO248,"u")=0), "u", "")</f>
        <v/>
      </c>
      <c r="AQ248" s="80" t="str">
        <f>IF(AND($F248&lt;&gt;"", $F248&gt;=AQ$5-4, $F248&lt;=AQ$5, COUNTIF($M248:AP248,"u")=0), "u", "")</f>
        <v/>
      </c>
      <c r="AR248" s="80" t="str">
        <f>IF(AND($F248&lt;&gt;"", $F248&gt;=AR$5-4, $F248&lt;=AR$5, COUNTIF($M248:AQ248,"u")=0), "u", "")</f>
        <v/>
      </c>
      <c r="AS248" s="80" t="str">
        <f>IF(AND($F248&lt;&gt;"", $F248&gt;=AS$5-4, $F248&lt;=AS$5, COUNTIF($M248:AR248,"u")=0), "u", "")</f>
        <v/>
      </c>
      <c r="AT248" s="80" t="str">
        <f>IF(AND($F248&lt;&gt;"", $F248&gt;=AT$5-4, $F248&lt;=AT$5, COUNTIF($M248:AS248,"u")=0), "u", "")</f>
        <v/>
      </c>
      <c r="AU248" s="80" t="str">
        <f>IF(AND($F248&lt;&gt;"", $F248&gt;=AU$5-4, $F248&lt;=AU$5, COUNTIF($M248:AT248,"u")=0), "u", "")</f>
        <v/>
      </c>
      <c r="AV248" s="80" t="str">
        <f>IF(AND($F248&lt;&gt;"", $F248&gt;=AV$5-4, $F248&lt;=AV$5, COUNTIF($M248:AU248,"u")=0), "u", "")</f>
        <v/>
      </c>
      <c r="AW248" s="80" t="str">
        <f>IF(AND($F248&lt;&gt;"", $F248&gt;=AW$5-4, $F248&lt;=AW$5, COUNTIF($M248:AV248,"u")=0), "u", "")</f>
        <v/>
      </c>
      <c r="AX248" s="80" t="str">
        <f>IF(AND($F248&lt;&gt;"", $F248&gt;=AX$5-4, $F248&lt;=AX$5, COUNTIF($M248:AW248,"u")=0), "u", "")</f>
        <v/>
      </c>
      <c r="AY248" s="80" t="str">
        <f>IF(AND($F248&lt;&gt;"", $F248&gt;=AY$5-4, $F248&lt;=AY$5, COUNTIF($M248:AX248,"u")=0), "u", "")</f>
        <v/>
      </c>
      <c r="AZ248" s="80" t="str">
        <f>IF(AND($F248&lt;&gt;"", $F248&gt;=AZ$5-4, $F248&lt;=AZ$5, COUNTIF($M248:AY248,"u")=0), "u", "")</f>
        <v/>
      </c>
      <c r="BA248" s="80" t="str">
        <f>IF(AND($F248&lt;&gt;"", $F248&gt;=BA$5-4, $F248&lt;=BA$5, COUNTIF($M248:AZ248,"u")=0), "u", "")</f>
        <v/>
      </c>
      <c r="BB248" s="80" t="str">
        <f>IF(AND($F248&lt;&gt;"", $F248&gt;=BB$5-4, $F248&lt;=BB$5, COUNTIF($M248:BA248,"u")=0), "u", "")</f>
        <v/>
      </c>
      <c r="BC248" s="80" t="str">
        <f>IF(AND($F248&lt;&gt;"", $F248&gt;=BC$5-4, $F248&lt;=BC$5, COUNTIF($M248:BB248,"u")=0), "u", "")</f>
        <v/>
      </c>
      <c r="BD248" s="80" t="str">
        <f>IF(AND($F248&lt;&gt;"", $F248&gt;=BD$5-4, $F248&lt;=BD$5, COUNTIF($M248:BC248,"u")=0), "u", "")</f>
        <v/>
      </c>
      <c r="BE248" s="80" t="str">
        <f>IF(AND($F248&lt;&gt;"", $F248&gt;=BE$5-4, $F248&lt;=BE$5, COUNTIF($M248:BD248,"u")=0), "u", "")</f>
        <v/>
      </c>
      <c r="BF248" s="80" t="str">
        <f>IF(AND($F248&lt;&gt;"", $F248&gt;=BF$5-4, $F248&lt;=BF$5, COUNTIF($M248:BE248,"u")=0), "u", "")</f>
        <v/>
      </c>
      <c r="BG248" s="80" t="str">
        <f>IF(AND($F248&lt;&gt;"", $F248&gt;=BG$5-4, $F248&lt;=BG$5, COUNTIF($M248:BF248,"u")=0), "u", "")</f>
        <v/>
      </c>
      <c r="BH248" s="80" t="str">
        <f>IF(AND($F248&lt;&gt;"", $F248&gt;=BH$5-4, $F248&lt;=BH$5, COUNTIF($M248:BG248,"u")=0), "u", "")</f>
        <v/>
      </c>
      <c r="BI248" s="80" t="str">
        <f>IF(AND($F248&lt;&gt;"", $F248&gt;=BI$5-4, $F248&lt;=BI$5, COUNTIF($M248:BH248,"u")=0), "u", "")</f>
        <v/>
      </c>
      <c r="BJ248" s="80" t="str">
        <f>IF(AND($F248&lt;&gt;"", $F248&gt;=BJ$5-4, $F248&lt;=BJ$5, COUNTIF($M248:BI248,"u")=0), "u", "")</f>
        <v/>
      </c>
      <c r="BK248" s="80" t="str">
        <f>IF(AND($F248&lt;&gt;"", $F248&gt;=BK$5-4, $F248&lt;=BK$5, COUNTIF($M248:BJ248,"u")=0), "u", "")</f>
        <v/>
      </c>
      <c r="BL248" s="80" t="str">
        <f>IF(AND($F248&lt;&gt;"", $F248&gt;=BL$5-4, $F248&lt;=BL$5, COUNTIF($M248:BK248,"u")=0), "u", "")</f>
        <v/>
      </c>
      <c r="BM248" s="80" t="str">
        <f>IF(AND($F248&lt;&gt;"", $F248&gt;=BM$5-4, $F248&lt;=BM$5, COUNTIF($M248:BL248,"u")=0), "u", "")</f>
        <v/>
      </c>
      <c r="BN248" s="80" t="str">
        <f>IF(AND($F248&lt;&gt;"", $F248&gt;=BN$5-4, $F248&lt;=BN$5, COUNTIF($M248:BM248,"u")=0), "u", "")</f>
        <v/>
      </c>
      <c r="BO248" s="80" t="str">
        <f>IF(AND($F248&lt;&gt;"", $F248&gt;=BO$5-4, $F248&lt;=BO$5, COUNTIF($M248:BN248,"u")=0), "u", "")</f>
        <v/>
      </c>
      <c r="BP248" s="80" t="str">
        <f>IF(AND($F248&lt;&gt;"", $F248&gt;=BP$5-4, $F248&lt;=BP$5, COUNTIF($M248:BO248,"u")=0), "u", "")</f>
        <v/>
      </c>
      <c r="BQ248" s="80" t="str">
        <f>IF(AND($F248&lt;&gt;"", $F248&gt;=BQ$5-4, $F248&lt;=BQ$5, COUNTIF($M248:BP248,"u")=0), "u", "")</f>
        <v/>
      </c>
      <c r="BR248" s="80" t="str">
        <f>IF(AND($F248&lt;&gt;"", $F248&gt;=BR$5-4, $F248&lt;=BR$5, COUNTIF($M248:BQ248,"u")=0), "u", "")</f>
        <v/>
      </c>
      <c r="BS248" s="80" t="str">
        <f>IF(AND($F248&lt;&gt;"", $F248&gt;=BS$5-4, $F248&lt;=BS$5, COUNTIF($M248:BR248,"u")=0), "u", "")</f>
        <v/>
      </c>
      <c r="BT248" s="80" t="str">
        <f>IF(AND($F248&lt;&gt;"", $F248&gt;=BT$5-4, $F248&lt;=BT$5, COUNTIF($M248:BS248,"u")=0), "u", "")</f>
        <v/>
      </c>
      <c r="BU248" s="80" t="str">
        <f>IF(AND($F248&lt;&gt;"", $F248&gt;=BU$5-4, $F248&lt;=BU$5, COUNTIF($M248:BT248,"u")=0), "u", "")</f>
        <v/>
      </c>
      <c r="BV248" s="80" t="str">
        <f>IF(AND($F248&lt;&gt;"", $F248&gt;=BV$5-4, $F248&lt;=BV$5, COUNTIF($M248:BU248,"u")=0), "u", "")</f>
        <v/>
      </c>
      <c r="BW248" s="80" t="str">
        <f>IF(AND($F248&lt;&gt;"", $F248&gt;=BW$5-4, $F248&lt;=BW$5, COUNTIF($M248:BV248,"u")=0), "u", "")</f>
        <v/>
      </c>
      <c r="BX248" s="80" t="str">
        <f>IF(AND($F248&lt;&gt;"", $F248&gt;=BX$5-4, $F248&lt;=BX$5, COUNTIF($M248:BW248,"u")=0), "u", "")</f>
        <v/>
      </c>
      <c r="BY248" s="80" t="str">
        <f>IF(AND($F248&lt;&gt;"", $F248&gt;=BY$5-4, $F248&lt;=BY$5, COUNTIF($M248:BX248,"u")=0), "u", "")</f>
        <v/>
      </c>
      <c r="BZ248" s="80" t="str">
        <f>IF(AND($F248&lt;&gt;"", $F248&gt;=BZ$5-4, $F248&lt;=BZ$5, COUNTIF($M248:BY248,"u")=0), "u", "")</f>
        <v/>
      </c>
      <c r="CA248" s="80" t="str">
        <f>IF(AND($F248&lt;&gt;"", $F248&gt;=CA$5-4, $F248&lt;=CA$5, COUNTIF($M248:BZ248,"u")=0), "u", "")</f>
        <v/>
      </c>
      <c r="CB248" s="80" t="str">
        <f>IF(AND($F248&lt;&gt;"", $F248&gt;=CB$5-4, $F248&lt;=CB$5, COUNTIF($M248:CA248,"u")=0), "u", "")</f>
        <v/>
      </c>
      <c r="CC248" s="80" t="str">
        <f>IF(AND($F248&lt;&gt;"", $F248&gt;=CC$5-4, $F248&lt;=CC$5, COUNTIF($M248:CB248,"u")=0), "u", "")</f>
        <v/>
      </c>
      <c r="CD248" s="80" t="str">
        <f>IF(AND($F248&lt;&gt;"", $F248&gt;=CD$5-4, $F248&lt;=CD$5, COUNTIF($M248:CC248,"u")=0), "u", "")</f>
        <v/>
      </c>
      <c r="CE248" s="80" t="str">
        <f>IF(AND($F248&lt;&gt;"", $F248&gt;=CE$5-4, $F248&lt;=CE$5, COUNTIF($M248:CD248,"u")=0), "u", "")</f>
        <v/>
      </c>
      <c r="CF248" s="80" t="str">
        <f>IF(AND($F248&lt;&gt;"", $F248&gt;=CF$5-4, $F248&lt;=CF$5, COUNTIF($M248:CE248,"u")=0), "u", "")</f>
        <v/>
      </c>
      <c r="CG248" s="80" t="str">
        <f>IF(AND($F248&lt;&gt;"", $F248&gt;=CG$5-4, $F248&lt;=CG$5, COUNTIF($M248:CF248,"u")=0), "u", "")</f>
        <v/>
      </c>
      <c r="CH248" s="80" t="str">
        <f>IF(AND($F248&lt;&gt;"", $F248&gt;=CH$5-4, $F248&lt;=CH$5, COUNTIF($M248:CG248,"u")=0), "u", "")</f>
        <v/>
      </c>
      <c r="CI248" s="80" t="str">
        <f>IF(AND($F248&lt;&gt;"", $F248&gt;=CI$5-4, $F248&lt;=CI$5, COUNTIF($M248:CH248,"u")=0), "u", "")</f>
        <v/>
      </c>
      <c r="CJ248" s="80" t="str">
        <f>IF(AND($F248&lt;&gt;"", $F248&gt;=CJ$5-4, $F248&lt;=CJ$5, COUNTIF($M248:CI248,"u")=0), "u", "")</f>
        <v/>
      </c>
      <c r="CK248" s="80" t="str">
        <f>IF(AND($F248&lt;&gt;"", $F248&gt;=CK$5-4, $F248&lt;=CK$5, COUNTIF($M248:CJ248,"u")=0), "u", "")</f>
        <v/>
      </c>
      <c r="CL248" s="80" t="str">
        <f>IF(AND($F248&lt;&gt;"", $F248&gt;=CL$5-4, $F248&lt;=CL$5, COUNTIF($M248:CK248,"u")=0), "u", "")</f>
        <v/>
      </c>
      <c r="CM248" s="80" t="str">
        <f>IF(AND($F248&lt;&gt;"", $F248&gt;=CM$5-4, $F248&lt;=CM$5, COUNTIF($M248:CL248,"u")=0), "u", "")</f>
        <v/>
      </c>
      <c r="CN248" s="80" t="str">
        <f>IF(AND($F248&lt;&gt;"", $F248&gt;=CN$5-4, $F248&lt;=CN$5, COUNTIF($M248:CM248,"u")=0), "u", "")</f>
        <v/>
      </c>
      <c r="CO248" s="80" t="str">
        <f>IF(AND($F248&lt;&gt;"", $F248&gt;=CO$5-4, $F248&lt;=CO$5, COUNTIF($M248:CN248,"u")=0), "u", "")</f>
        <v/>
      </c>
      <c r="CP248" s="80" t="str">
        <f>IF(AND($F248&lt;&gt;"", $F248&gt;=CP$5-4, $F248&lt;=CP$5, COUNTIF($M248:CO248,"u")=0), "u", "")</f>
        <v/>
      </c>
      <c r="CQ248" s="80" t="str">
        <f>IF(AND($F248&lt;&gt;"", $F248&gt;=CQ$5-4, $F248&lt;=CQ$5, COUNTIF($M248:CP248,"u")=0), "u", "")</f>
        <v/>
      </c>
      <c r="CR248" s="80" t="str">
        <f>IF(AND($F248&lt;&gt;"", $F248&gt;=CR$5-4, $F248&lt;=CR$5, COUNTIF($M248:CQ248,"u")=0), "u", "")</f>
        <v/>
      </c>
      <c r="CS248" s="80" t="str">
        <f>IF(AND($F248&lt;&gt;"", $F248&gt;=CS$5-4, $F248&lt;=CS$5, COUNTIF($M248:CR248,"u")=0), "u", "")</f>
        <v/>
      </c>
      <c r="CT248" s="80" t="str">
        <f>IF(AND($F248&lt;&gt;"", $F248&gt;=CT$5-4, $F248&lt;=CT$5, COUNTIF($M248:CS248,"u")=0), "u", "")</f>
        <v/>
      </c>
      <c r="CU248" s="80" t="str">
        <f>IF(AND($F248&lt;&gt;"", $F248&gt;=CU$5-4, $F248&lt;=CU$5, COUNTIF($M248:CT248,"u")=0), "u", "")</f>
        <v/>
      </c>
      <c r="CV248" s="80" t="str">
        <f>IF(AND($F248&lt;&gt;"", $F248&gt;=CV$5-4, $F248&lt;=CV$5, COUNTIF($M248:CU248,"u")=0), "u", "")</f>
        <v/>
      </c>
      <c r="CW248" s="80" t="str">
        <f>IF(AND($F248&lt;&gt;"", $F248&gt;=CW$5-4, $F248&lt;=CW$5, COUNTIF($M248:CV248,"u")=0), "u", "")</f>
        <v/>
      </c>
      <c r="CX248" s="80" t="str">
        <f>IF(AND($F248&lt;&gt;"", $F248&gt;=CX$5-4, $F248&lt;=CX$5, COUNTIF($M248:CW248,"u")=0), "u", "")</f>
        <v/>
      </c>
      <c r="CY248" s="80" t="str">
        <f>IF(AND($F248&lt;&gt;"", $F248&gt;=CY$5-4, $F248&lt;=CY$5, COUNTIF($M248:CX248,"u")=0), "u", "")</f>
        <v/>
      </c>
      <c r="CZ248" s="80" t="str">
        <f>IF(AND($F248&lt;&gt;"", $F248&gt;=CZ$5-4, $F248&lt;=CZ$5, COUNTIF($M248:CY248,"u")=0), "u", "")</f>
        <v/>
      </c>
      <c r="DA248" s="80" t="str">
        <f>IF(AND($F248&lt;&gt;"", $F248&gt;=DA$5-4, $F248&lt;=DA$5, COUNTIF($M248:CZ248,"u")=0), "u", "")</f>
        <v/>
      </c>
      <c r="DB248" s="80" t="str">
        <f>IF(AND($F248&lt;&gt;"", $F248&gt;=DB$5-4, $F248&lt;=DB$5, COUNTIF($M248:DA248,"u")=0), "u", "")</f>
        <v/>
      </c>
      <c r="DC248" s="80" t="str">
        <f>IF(AND($F248&lt;&gt;"", $F248&gt;=DC$5-4, $F248&lt;=DC$5, COUNTIF($M248:DB248,"u")=0), "u", "")</f>
        <v/>
      </c>
      <c r="DD248" s="80" t="str">
        <f>IF(AND($F248&lt;&gt;"", $F248&gt;=DD$5-4, $F248&lt;=DD$5, COUNTIF($M248:DC248,"u")=0), "u", "")</f>
        <v/>
      </c>
      <c r="DE248" s="80" t="str">
        <f>IF(AND($F248&lt;&gt;"", $F248&gt;=DE$5-4, $F248&lt;=DE$5, COUNTIF($M248:DD248,"u")=0), "u", "")</f>
        <v/>
      </c>
      <c r="DF248" s="80" t="str">
        <f>IF(AND($F248&lt;&gt;"", $F248&gt;=DF$5-4, $F248&lt;=DF$5, COUNTIF($M248:DE248,"u")=0), "u", "")</f>
        <v/>
      </c>
      <c r="DG248" s="80" t="str">
        <f>IF(AND($F248&lt;&gt;"", $F248&gt;=DG$5-4, $F248&lt;=DG$5, COUNTIF($M248:DF248,"u")=0), "u", "")</f>
        <v/>
      </c>
      <c r="DH248" s="80" t="str">
        <f>IF(AND($F248&lt;&gt;"", $F248&gt;=DH$5-4, $F248&lt;=DH$5, COUNTIF($M248:DG248,"u")=0), "u", "")</f>
        <v/>
      </c>
      <c r="DI248" s="80" t="str">
        <f>IF(AND($F248&lt;&gt;"", $F248&gt;=DI$5-4, $F248&lt;=DI$5, COUNTIF($M248:DH248,"u")=0), "u", "")</f>
        <v/>
      </c>
      <c r="DJ248" s="80" t="str">
        <f>IF(AND($F248&lt;&gt;"", $F248&gt;=DJ$5-4, $F248&lt;=DJ$5, COUNTIF($M248:DI248,"u")=0), "u", "")</f>
        <v/>
      </c>
      <c r="DK248" s="80" t="str">
        <f>IF(AND($F248&lt;&gt;"", $F248&gt;=DK$5-4, $F248&lt;=DK$5, COUNTIF($M248:DJ248,"u")=0), "u", "")</f>
        <v/>
      </c>
      <c r="DL248" s="80" t="str">
        <f>IF(AND($F248&lt;&gt;"", $F248&gt;=DL$5-4, $F248&lt;=DL$5, COUNTIF($M248:DK248,"u")=0), "u", "")</f>
        <v/>
      </c>
    </row>
    <row r="249" spans="1:116" ht="25.05" customHeight="1" x14ac:dyDescent="0.3">
      <c r="A249" s="39"/>
      <c r="B249" s="75">
        <v>244</v>
      </c>
      <c r="C249" s="97"/>
      <c r="D249" s="92"/>
      <c r="E249" s="53"/>
      <c r="F249" s="53"/>
      <c r="G249" s="83" t="str">
        <f t="shared" si="56"/>
        <v/>
      </c>
      <c r="H249" s="83" t="str">
        <f t="shared" si="56"/>
        <v/>
      </c>
      <c r="I249" s="77" t="str">
        <f t="shared" si="54"/>
        <v/>
      </c>
      <c r="J249" s="78"/>
      <c r="K249" s="86"/>
      <c r="L249" s="56"/>
      <c r="M249" s="80" t="str">
        <f t="shared" si="55"/>
        <v/>
      </c>
      <c r="N249" s="80" t="str">
        <f>IF(AND($F249&lt;&gt;"", $F249&gt;=N$5-4, $F249&lt;=N$5, COUNTIF($M249:M249,"u")=0), "u", "")</f>
        <v/>
      </c>
      <c r="O249" s="80" t="str">
        <f>IF(AND($F249&lt;&gt;"", $F249&gt;=O$5-4, $F249&lt;=O$5, COUNTIF($M249:N249,"u")=0), "u", "")</f>
        <v/>
      </c>
      <c r="P249" s="80" t="str">
        <f>IF(AND($F249&lt;&gt;"", $F249&gt;=P$5-4, $F249&lt;=P$5, COUNTIF($M249:O249,"u")=0), "u", "")</f>
        <v/>
      </c>
      <c r="Q249" s="80" t="str">
        <f>IF(AND($F249&lt;&gt;"", $F249&gt;=Q$5-4, $F249&lt;=Q$5, COUNTIF($M249:P249,"u")=0), "u", "")</f>
        <v/>
      </c>
      <c r="R249" s="80" t="str">
        <f>IF(AND($F249&lt;&gt;"", $F249&gt;=R$5-4, $F249&lt;=R$5, COUNTIF($M249:Q249,"u")=0), "u", "")</f>
        <v/>
      </c>
      <c r="S249" s="80" t="str">
        <f>IF(AND($F249&lt;&gt;"", $F249&gt;=S$5-4, $F249&lt;=S$5, COUNTIF($M249:R249,"u")=0), "u", "")</f>
        <v/>
      </c>
      <c r="T249" s="80" t="str">
        <f>IF(AND($F249&lt;&gt;"", $F249&gt;=T$5-4, $F249&lt;=T$5, COUNTIF($M249:S249,"u")=0), "u", "")</f>
        <v/>
      </c>
      <c r="U249" s="80" t="str">
        <f>IF(AND($F249&lt;&gt;"", $F249&gt;=U$5-4, $F249&lt;=U$5, COUNTIF($M249:T249,"u")=0), "u", "")</f>
        <v/>
      </c>
      <c r="V249" s="80" t="str">
        <f>IF(AND($F249&lt;&gt;"", $F249&gt;=V$5-4, $F249&lt;=V$5, COUNTIF($M249:U249,"u")=0), "u", "")</f>
        <v/>
      </c>
      <c r="W249" s="80" t="str">
        <f>IF(AND($F249&lt;&gt;"", $F249&gt;=W$5-4, $F249&lt;=W$5, COUNTIF($M249:V249,"u")=0), "u", "")</f>
        <v/>
      </c>
      <c r="X249" s="80" t="str">
        <f>IF(AND($F249&lt;&gt;"", $F249&gt;=X$5-4, $F249&lt;=X$5, COUNTIF($M249:W249,"u")=0), "u", "")</f>
        <v/>
      </c>
      <c r="Y249" s="80" t="str">
        <f>IF(AND($F249&lt;&gt;"", $F249&gt;=Y$5-4, $F249&lt;=Y$5, COUNTIF($M249:X249,"u")=0), "u", "")</f>
        <v/>
      </c>
      <c r="Z249" s="80" t="str">
        <f>IF(AND($F249&lt;&gt;"", $F249&gt;=Z$5-4, $F249&lt;=Z$5, COUNTIF($M249:Y249,"u")=0), "u", "")</f>
        <v/>
      </c>
      <c r="AA249" s="80" t="str">
        <f>IF(AND($F249&lt;&gt;"", $F249&gt;=AA$5-4, $F249&lt;=AA$5, COUNTIF($M249:Z249,"u")=0), "u", "")</f>
        <v/>
      </c>
      <c r="AB249" s="80" t="str">
        <f>IF(AND($F249&lt;&gt;"", $F249&gt;=AB$5-4, $F249&lt;=AB$5, COUNTIF($M249:AA249,"u")=0), "u", "")</f>
        <v/>
      </c>
      <c r="AC249" s="80" t="str">
        <f>IF(AND($F249&lt;&gt;"", $F249&gt;=AC$5-4, $F249&lt;=AC$5, COUNTIF($M249:AB249,"u")=0), "u", "")</f>
        <v/>
      </c>
      <c r="AD249" s="80" t="str">
        <f>IF(AND($F249&lt;&gt;"", $F249&gt;=AD$5-4, $F249&lt;=AD$5, COUNTIF($M249:AC249,"u")=0), "u", "")</f>
        <v/>
      </c>
      <c r="AE249" s="80" t="str">
        <f>IF(AND($F249&lt;&gt;"", $F249&gt;=AE$5-4, $F249&lt;=AE$5, COUNTIF($M249:AD249,"u")=0), "u", "")</f>
        <v/>
      </c>
      <c r="AF249" s="80" t="str">
        <f>IF(AND($F249&lt;&gt;"", $F249&gt;=AF$5-4, $F249&lt;=AF$5, COUNTIF($M249:AE249,"u")=0), "u", "")</f>
        <v/>
      </c>
      <c r="AG249" s="80" t="str">
        <f>IF(AND($F249&lt;&gt;"", $F249&gt;=AG$5-4, $F249&lt;=AG$5, COUNTIF($M249:AF249,"u")=0), "u", "")</f>
        <v/>
      </c>
      <c r="AH249" s="80" t="str">
        <f>IF(AND($F249&lt;&gt;"", $F249&gt;=AH$5-4, $F249&lt;=AH$5, COUNTIF($M249:AG249,"u")=0), "u", "")</f>
        <v/>
      </c>
      <c r="AI249" s="80" t="str">
        <f>IF(AND($F249&lt;&gt;"", $F249&gt;=AI$5-4, $F249&lt;=AI$5, COUNTIF($M249:AH249,"u")=0), "u", "")</f>
        <v/>
      </c>
      <c r="AJ249" s="80" t="str">
        <f>IF(AND($F249&lt;&gt;"", $F249&gt;=AJ$5-4, $F249&lt;=AJ$5, COUNTIF($M249:AI249,"u")=0), "u", "")</f>
        <v/>
      </c>
      <c r="AK249" s="80" t="str">
        <f>IF(AND($F249&lt;&gt;"", $F249&gt;=AK$5-4, $F249&lt;=AK$5, COUNTIF($M249:AJ249,"u")=0), "u", "")</f>
        <v/>
      </c>
      <c r="AL249" s="80" t="str">
        <f>IF(AND($F249&lt;&gt;"", $F249&gt;=AL$5-4, $F249&lt;=AL$5, COUNTIF($M249:AK249,"u")=0), "u", "")</f>
        <v/>
      </c>
      <c r="AM249" s="80" t="str">
        <f>IF(AND($F249&lt;&gt;"", $F249&gt;=AM$5-4, $F249&lt;=AM$5, COUNTIF($M249:AL249,"u")=0), "u", "")</f>
        <v/>
      </c>
      <c r="AN249" s="80" t="str">
        <f>IF(AND($F249&lt;&gt;"", $F249&gt;=AN$5-4, $F249&lt;=AN$5, COUNTIF($M249:AM249,"u")=0), "u", "")</f>
        <v/>
      </c>
      <c r="AO249" s="80" t="str">
        <f>IF(AND($F249&lt;&gt;"", $F249&gt;=AO$5-4, $F249&lt;=AO$5, COUNTIF($M249:AN249,"u")=0), "u", "")</f>
        <v/>
      </c>
      <c r="AP249" s="80" t="str">
        <f>IF(AND($F249&lt;&gt;"", $F249&gt;=AP$5-4, $F249&lt;=AP$5, COUNTIF($M249:AO249,"u")=0), "u", "")</f>
        <v/>
      </c>
      <c r="AQ249" s="80" t="str">
        <f>IF(AND($F249&lt;&gt;"", $F249&gt;=AQ$5-4, $F249&lt;=AQ$5, COUNTIF($M249:AP249,"u")=0), "u", "")</f>
        <v/>
      </c>
      <c r="AR249" s="80" t="str">
        <f>IF(AND($F249&lt;&gt;"", $F249&gt;=AR$5-4, $F249&lt;=AR$5, COUNTIF($M249:AQ249,"u")=0), "u", "")</f>
        <v/>
      </c>
      <c r="AS249" s="80" t="str">
        <f>IF(AND($F249&lt;&gt;"", $F249&gt;=AS$5-4, $F249&lt;=AS$5, COUNTIF($M249:AR249,"u")=0), "u", "")</f>
        <v/>
      </c>
      <c r="AT249" s="80" t="str">
        <f>IF(AND($F249&lt;&gt;"", $F249&gt;=AT$5-4, $F249&lt;=AT$5, COUNTIF($M249:AS249,"u")=0), "u", "")</f>
        <v/>
      </c>
      <c r="AU249" s="80" t="str">
        <f>IF(AND($F249&lt;&gt;"", $F249&gt;=AU$5-4, $F249&lt;=AU$5, COUNTIF($M249:AT249,"u")=0), "u", "")</f>
        <v/>
      </c>
      <c r="AV249" s="80" t="str">
        <f>IF(AND($F249&lt;&gt;"", $F249&gt;=AV$5-4, $F249&lt;=AV$5, COUNTIF($M249:AU249,"u")=0), "u", "")</f>
        <v/>
      </c>
      <c r="AW249" s="80" t="str">
        <f>IF(AND($F249&lt;&gt;"", $F249&gt;=AW$5-4, $F249&lt;=AW$5, COUNTIF($M249:AV249,"u")=0), "u", "")</f>
        <v/>
      </c>
      <c r="AX249" s="80" t="str">
        <f>IF(AND($F249&lt;&gt;"", $F249&gt;=AX$5-4, $F249&lt;=AX$5, COUNTIF($M249:AW249,"u")=0), "u", "")</f>
        <v/>
      </c>
      <c r="AY249" s="80" t="str">
        <f>IF(AND($F249&lt;&gt;"", $F249&gt;=AY$5-4, $F249&lt;=AY$5, COUNTIF($M249:AX249,"u")=0), "u", "")</f>
        <v/>
      </c>
      <c r="AZ249" s="80" t="str">
        <f>IF(AND($F249&lt;&gt;"", $F249&gt;=AZ$5-4, $F249&lt;=AZ$5, COUNTIF($M249:AY249,"u")=0), "u", "")</f>
        <v/>
      </c>
      <c r="BA249" s="80" t="str">
        <f>IF(AND($F249&lt;&gt;"", $F249&gt;=BA$5-4, $F249&lt;=BA$5, COUNTIF($M249:AZ249,"u")=0), "u", "")</f>
        <v/>
      </c>
      <c r="BB249" s="80" t="str">
        <f>IF(AND($F249&lt;&gt;"", $F249&gt;=BB$5-4, $F249&lt;=BB$5, COUNTIF($M249:BA249,"u")=0), "u", "")</f>
        <v/>
      </c>
      <c r="BC249" s="80" t="str">
        <f>IF(AND($F249&lt;&gt;"", $F249&gt;=BC$5-4, $F249&lt;=BC$5, COUNTIF($M249:BB249,"u")=0), "u", "")</f>
        <v/>
      </c>
      <c r="BD249" s="80" t="str">
        <f>IF(AND($F249&lt;&gt;"", $F249&gt;=BD$5-4, $F249&lt;=BD$5, COUNTIF($M249:BC249,"u")=0), "u", "")</f>
        <v/>
      </c>
      <c r="BE249" s="80" t="str">
        <f>IF(AND($F249&lt;&gt;"", $F249&gt;=BE$5-4, $F249&lt;=BE$5, COUNTIF($M249:BD249,"u")=0), "u", "")</f>
        <v/>
      </c>
      <c r="BF249" s="80" t="str">
        <f>IF(AND($F249&lt;&gt;"", $F249&gt;=BF$5-4, $F249&lt;=BF$5, COUNTIF($M249:BE249,"u")=0), "u", "")</f>
        <v/>
      </c>
      <c r="BG249" s="80" t="str">
        <f>IF(AND($F249&lt;&gt;"", $F249&gt;=BG$5-4, $F249&lt;=BG$5, COUNTIF($M249:BF249,"u")=0), "u", "")</f>
        <v/>
      </c>
      <c r="BH249" s="80" t="str">
        <f>IF(AND($F249&lt;&gt;"", $F249&gt;=BH$5-4, $F249&lt;=BH$5, COUNTIF($M249:BG249,"u")=0), "u", "")</f>
        <v/>
      </c>
      <c r="BI249" s="80" t="str">
        <f>IF(AND($F249&lt;&gt;"", $F249&gt;=BI$5-4, $F249&lt;=BI$5, COUNTIF($M249:BH249,"u")=0), "u", "")</f>
        <v/>
      </c>
      <c r="BJ249" s="80" t="str">
        <f>IF(AND($F249&lt;&gt;"", $F249&gt;=BJ$5-4, $F249&lt;=BJ$5, COUNTIF($M249:BI249,"u")=0), "u", "")</f>
        <v/>
      </c>
      <c r="BK249" s="80" t="str">
        <f>IF(AND($F249&lt;&gt;"", $F249&gt;=BK$5-4, $F249&lt;=BK$5, COUNTIF($M249:BJ249,"u")=0), "u", "")</f>
        <v/>
      </c>
      <c r="BL249" s="80" t="str">
        <f>IF(AND($F249&lt;&gt;"", $F249&gt;=BL$5-4, $F249&lt;=BL$5, COUNTIF($M249:BK249,"u")=0), "u", "")</f>
        <v/>
      </c>
      <c r="BM249" s="80" t="str">
        <f>IF(AND($F249&lt;&gt;"", $F249&gt;=BM$5-4, $F249&lt;=BM$5, COUNTIF($M249:BL249,"u")=0), "u", "")</f>
        <v/>
      </c>
      <c r="BN249" s="80" t="str">
        <f>IF(AND($F249&lt;&gt;"", $F249&gt;=BN$5-4, $F249&lt;=BN$5, COUNTIF($M249:BM249,"u")=0), "u", "")</f>
        <v/>
      </c>
      <c r="BO249" s="80" t="str">
        <f>IF(AND($F249&lt;&gt;"", $F249&gt;=BO$5-4, $F249&lt;=BO$5, COUNTIF($M249:BN249,"u")=0), "u", "")</f>
        <v/>
      </c>
      <c r="BP249" s="80" t="str">
        <f>IF(AND($F249&lt;&gt;"", $F249&gt;=BP$5-4, $F249&lt;=BP$5, COUNTIF($M249:BO249,"u")=0), "u", "")</f>
        <v/>
      </c>
      <c r="BQ249" s="80" t="str">
        <f>IF(AND($F249&lt;&gt;"", $F249&gt;=BQ$5-4, $F249&lt;=BQ$5, COUNTIF($M249:BP249,"u")=0), "u", "")</f>
        <v/>
      </c>
      <c r="BR249" s="80" t="str">
        <f>IF(AND($F249&lt;&gt;"", $F249&gt;=BR$5-4, $F249&lt;=BR$5, COUNTIF($M249:BQ249,"u")=0), "u", "")</f>
        <v/>
      </c>
      <c r="BS249" s="80" t="str">
        <f>IF(AND($F249&lt;&gt;"", $F249&gt;=BS$5-4, $F249&lt;=BS$5, COUNTIF($M249:BR249,"u")=0), "u", "")</f>
        <v/>
      </c>
      <c r="BT249" s="80" t="str">
        <f>IF(AND($F249&lt;&gt;"", $F249&gt;=BT$5-4, $F249&lt;=BT$5, COUNTIF($M249:BS249,"u")=0), "u", "")</f>
        <v/>
      </c>
      <c r="BU249" s="80" t="str">
        <f>IF(AND($F249&lt;&gt;"", $F249&gt;=BU$5-4, $F249&lt;=BU$5, COUNTIF($M249:BT249,"u")=0), "u", "")</f>
        <v/>
      </c>
      <c r="BV249" s="80" t="str">
        <f>IF(AND($F249&lt;&gt;"", $F249&gt;=BV$5-4, $F249&lt;=BV$5, COUNTIF($M249:BU249,"u")=0), "u", "")</f>
        <v/>
      </c>
      <c r="BW249" s="80" t="str">
        <f>IF(AND($F249&lt;&gt;"", $F249&gt;=BW$5-4, $F249&lt;=BW$5, COUNTIF($M249:BV249,"u")=0), "u", "")</f>
        <v/>
      </c>
      <c r="BX249" s="80" t="str">
        <f>IF(AND($F249&lt;&gt;"", $F249&gt;=BX$5-4, $F249&lt;=BX$5, COUNTIF($M249:BW249,"u")=0), "u", "")</f>
        <v/>
      </c>
      <c r="BY249" s="80" t="str">
        <f>IF(AND($F249&lt;&gt;"", $F249&gt;=BY$5-4, $F249&lt;=BY$5, COUNTIF($M249:BX249,"u")=0), "u", "")</f>
        <v/>
      </c>
      <c r="BZ249" s="80" t="str">
        <f>IF(AND($F249&lt;&gt;"", $F249&gt;=BZ$5-4, $F249&lt;=BZ$5, COUNTIF($M249:BY249,"u")=0), "u", "")</f>
        <v/>
      </c>
      <c r="CA249" s="80" t="str">
        <f>IF(AND($F249&lt;&gt;"", $F249&gt;=CA$5-4, $F249&lt;=CA$5, COUNTIF($M249:BZ249,"u")=0), "u", "")</f>
        <v/>
      </c>
      <c r="CB249" s="80" t="str">
        <f>IF(AND($F249&lt;&gt;"", $F249&gt;=CB$5-4, $F249&lt;=CB$5, COUNTIF($M249:CA249,"u")=0), "u", "")</f>
        <v/>
      </c>
      <c r="CC249" s="80" t="str">
        <f>IF(AND($F249&lt;&gt;"", $F249&gt;=CC$5-4, $F249&lt;=CC$5, COUNTIF($M249:CB249,"u")=0), "u", "")</f>
        <v/>
      </c>
      <c r="CD249" s="80" t="str">
        <f>IF(AND($F249&lt;&gt;"", $F249&gt;=CD$5-4, $F249&lt;=CD$5, COUNTIF($M249:CC249,"u")=0), "u", "")</f>
        <v/>
      </c>
      <c r="CE249" s="80" t="str">
        <f>IF(AND($F249&lt;&gt;"", $F249&gt;=CE$5-4, $F249&lt;=CE$5, COUNTIF($M249:CD249,"u")=0), "u", "")</f>
        <v/>
      </c>
      <c r="CF249" s="80" t="str">
        <f>IF(AND($F249&lt;&gt;"", $F249&gt;=CF$5-4, $F249&lt;=CF$5, COUNTIF($M249:CE249,"u")=0), "u", "")</f>
        <v/>
      </c>
      <c r="CG249" s="80" t="str">
        <f>IF(AND($F249&lt;&gt;"", $F249&gt;=CG$5-4, $F249&lt;=CG$5, COUNTIF($M249:CF249,"u")=0), "u", "")</f>
        <v/>
      </c>
      <c r="CH249" s="80" t="str">
        <f>IF(AND($F249&lt;&gt;"", $F249&gt;=CH$5-4, $F249&lt;=CH$5, COUNTIF($M249:CG249,"u")=0), "u", "")</f>
        <v/>
      </c>
      <c r="CI249" s="80" t="str">
        <f>IF(AND($F249&lt;&gt;"", $F249&gt;=CI$5-4, $F249&lt;=CI$5, COUNTIF($M249:CH249,"u")=0), "u", "")</f>
        <v/>
      </c>
      <c r="CJ249" s="80" t="str">
        <f>IF(AND($F249&lt;&gt;"", $F249&gt;=CJ$5-4, $F249&lt;=CJ$5, COUNTIF($M249:CI249,"u")=0), "u", "")</f>
        <v/>
      </c>
      <c r="CK249" s="80" t="str">
        <f>IF(AND($F249&lt;&gt;"", $F249&gt;=CK$5-4, $F249&lt;=CK$5, COUNTIF($M249:CJ249,"u")=0), "u", "")</f>
        <v/>
      </c>
      <c r="CL249" s="80" t="str">
        <f>IF(AND($F249&lt;&gt;"", $F249&gt;=CL$5-4, $F249&lt;=CL$5, COUNTIF($M249:CK249,"u")=0), "u", "")</f>
        <v/>
      </c>
      <c r="CM249" s="80" t="str">
        <f>IF(AND($F249&lt;&gt;"", $F249&gt;=CM$5-4, $F249&lt;=CM$5, COUNTIF($M249:CL249,"u")=0), "u", "")</f>
        <v/>
      </c>
      <c r="CN249" s="80" t="str">
        <f>IF(AND($F249&lt;&gt;"", $F249&gt;=CN$5-4, $F249&lt;=CN$5, COUNTIF($M249:CM249,"u")=0), "u", "")</f>
        <v/>
      </c>
      <c r="CO249" s="80" t="str">
        <f>IF(AND($F249&lt;&gt;"", $F249&gt;=CO$5-4, $F249&lt;=CO$5, COUNTIF($M249:CN249,"u")=0), "u", "")</f>
        <v/>
      </c>
      <c r="CP249" s="80" t="str">
        <f>IF(AND($F249&lt;&gt;"", $F249&gt;=CP$5-4, $F249&lt;=CP$5, COUNTIF($M249:CO249,"u")=0), "u", "")</f>
        <v/>
      </c>
      <c r="CQ249" s="80" t="str">
        <f>IF(AND($F249&lt;&gt;"", $F249&gt;=CQ$5-4, $F249&lt;=CQ$5, COUNTIF($M249:CP249,"u")=0), "u", "")</f>
        <v/>
      </c>
      <c r="CR249" s="80" t="str">
        <f>IF(AND($F249&lt;&gt;"", $F249&gt;=CR$5-4, $F249&lt;=CR$5, COUNTIF($M249:CQ249,"u")=0), "u", "")</f>
        <v/>
      </c>
      <c r="CS249" s="80" t="str">
        <f>IF(AND($F249&lt;&gt;"", $F249&gt;=CS$5-4, $F249&lt;=CS$5, COUNTIF($M249:CR249,"u")=0), "u", "")</f>
        <v/>
      </c>
      <c r="CT249" s="80" t="str">
        <f>IF(AND($F249&lt;&gt;"", $F249&gt;=CT$5-4, $F249&lt;=CT$5, COUNTIF($M249:CS249,"u")=0), "u", "")</f>
        <v/>
      </c>
      <c r="CU249" s="80" t="str">
        <f>IF(AND($F249&lt;&gt;"", $F249&gt;=CU$5-4, $F249&lt;=CU$5, COUNTIF($M249:CT249,"u")=0), "u", "")</f>
        <v/>
      </c>
      <c r="CV249" s="80" t="str">
        <f>IF(AND($F249&lt;&gt;"", $F249&gt;=CV$5-4, $F249&lt;=CV$5, COUNTIF($M249:CU249,"u")=0), "u", "")</f>
        <v/>
      </c>
      <c r="CW249" s="80" t="str">
        <f>IF(AND($F249&lt;&gt;"", $F249&gt;=CW$5-4, $F249&lt;=CW$5, COUNTIF($M249:CV249,"u")=0), "u", "")</f>
        <v/>
      </c>
      <c r="CX249" s="80" t="str">
        <f>IF(AND($F249&lt;&gt;"", $F249&gt;=CX$5-4, $F249&lt;=CX$5, COUNTIF($M249:CW249,"u")=0), "u", "")</f>
        <v/>
      </c>
      <c r="CY249" s="80" t="str">
        <f>IF(AND($F249&lt;&gt;"", $F249&gt;=CY$5-4, $F249&lt;=CY$5, COUNTIF($M249:CX249,"u")=0), "u", "")</f>
        <v/>
      </c>
      <c r="CZ249" s="80" t="str">
        <f>IF(AND($F249&lt;&gt;"", $F249&gt;=CZ$5-4, $F249&lt;=CZ$5, COUNTIF($M249:CY249,"u")=0), "u", "")</f>
        <v/>
      </c>
      <c r="DA249" s="80" t="str">
        <f>IF(AND($F249&lt;&gt;"", $F249&gt;=DA$5-4, $F249&lt;=DA$5, COUNTIF($M249:CZ249,"u")=0), "u", "")</f>
        <v/>
      </c>
      <c r="DB249" s="80" t="str">
        <f>IF(AND($F249&lt;&gt;"", $F249&gt;=DB$5-4, $F249&lt;=DB$5, COUNTIF($M249:DA249,"u")=0), "u", "")</f>
        <v/>
      </c>
      <c r="DC249" s="80" t="str">
        <f>IF(AND($F249&lt;&gt;"", $F249&gt;=DC$5-4, $F249&lt;=DC$5, COUNTIF($M249:DB249,"u")=0), "u", "")</f>
        <v/>
      </c>
      <c r="DD249" s="80" t="str">
        <f>IF(AND($F249&lt;&gt;"", $F249&gt;=DD$5-4, $F249&lt;=DD$5, COUNTIF($M249:DC249,"u")=0), "u", "")</f>
        <v/>
      </c>
      <c r="DE249" s="80" t="str">
        <f>IF(AND($F249&lt;&gt;"", $F249&gt;=DE$5-4, $F249&lt;=DE$5, COUNTIF($M249:DD249,"u")=0), "u", "")</f>
        <v/>
      </c>
      <c r="DF249" s="80" t="str">
        <f>IF(AND($F249&lt;&gt;"", $F249&gt;=DF$5-4, $F249&lt;=DF$5, COUNTIF($M249:DE249,"u")=0), "u", "")</f>
        <v/>
      </c>
      <c r="DG249" s="80" t="str">
        <f>IF(AND($F249&lt;&gt;"", $F249&gt;=DG$5-4, $F249&lt;=DG$5, COUNTIF($M249:DF249,"u")=0), "u", "")</f>
        <v/>
      </c>
      <c r="DH249" s="80" t="str">
        <f>IF(AND($F249&lt;&gt;"", $F249&gt;=DH$5-4, $F249&lt;=DH$5, COUNTIF($M249:DG249,"u")=0), "u", "")</f>
        <v/>
      </c>
      <c r="DI249" s="80" t="str">
        <f>IF(AND($F249&lt;&gt;"", $F249&gt;=DI$5-4, $F249&lt;=DI$5, COUNTIF($M249:DH249,"u")=0), "u", "")</f>
        <v/>
      </c>
      <c r="DJ249" s="80" t="str">
        <f>IF(AND($F249&lt;&gt;"", $F249&gt;=DJ$5-4, $F249&lt;=DJ$5, COUNTIF($M249:DI249,"u")=0), "u", "")</f>
        <v/>
      </c>
      <c r="DK249" s="80" t="str">
        <f>IF(AND($F249&lt;&gt;"", $F249&gt;=DK$5-4, $F249&lt;=DK$5, COUNTIF($M249:DJ249,"u")=0), "u", "")</f>
        <v/>
      </c>
      <c r="DL249" s="80" t="str">
        <f>IF(AND($F249&lt;&gt;"", $F249&gt;=DL$5-4, $F249&lt;=DL$5, COUNTIF($M249:DK249,"u")=0), "u", "")</f>
        <v/>
      </c>
    </row>
    <row r="250" spans="1:116" ht="25.05" customHeight="1" x14ac:dyDescent="0.3">
      <c r="A250" s="39"/>
      <c r="B250" s="75">
        <v>245</v>
      </c>
      <c r="C250" s="97"/>
      <c r="D250" s="92"/>
      <c r="E250" s="53"/>
      <c r="F250" s="53"/>
      <c r="G250" s="83" t="str">
        <f t="shared" si="56"/>
        <v/>
      </c>
      <c r="H250" s="83" t="str">
        <f t="shared" si="56"/>
        <v/>
      </c>
      <c r="I250" s="77" t="str">
        <f t="shared" si="54"/>
        <v/>
      </c>
      <c r="J250" s="78"/>
      <c r="K250" s="86"/>
      <c r="L250" s="56"/>
      <c r="M250" s="80" t="str">
        <f t="shared" si="55"/>
        <v/>
      </c>
      <c r="N250" s="80" t="str">
        <f>IF(AND($F250&lt;&gt;"", $F250&gt;=N$5-4, $F250&lt;=N$5, COUNTIF($M250:M250,"u")=0), "u", "")</f>
        <v/>
      </c>
      <c r="O250" s="80" t="str">
        <f>IF(AND($F250&lt;&gt;"", $F250&gt;=O$5-4, $F250&lt;=O$5, COUNTIF($M250:N250,"u")=0), "u", "")</f>
        <v/>
      </c>
      <c r="P250" s="80" t="str">
        <f>IF(AND($F250&lt;&gt;"", $F250&gt;=P$5-4, $F250&lt;=P$5, COUNTIF($M250:O250,"u")=0), "u", "")</f>
        <v/>
      </c>
      <c r="Q250" s="80" t="str">
        <f>IF(AND($F250&lt;&gt;"", $F250&gt;=Q$5-4, $F250&lt;=Q$5, COUNTIF($M250:P250,"u")=0), "u", "")</f>
        <v/>
      </c>
      <c r="R250" s="80" t="str">
        <f>IF(AND($F250&lt;&gt;"", $F250&gt;=R$5-4, $F250&lt;=R$5, COUNTIF($M250:Q250,"u")=0), "u", "")</f>
        <v/>
      </c>
      <c r="S250" s="80" t="str">
        <f>IF(AND($F250&lt;&gt;"", $F250&gt;=S$5-4, $F250&lt;=S$5, COUNTIF($M250:R250,"u")=0), "u", "")</f>
        <v/>
      </c>
      <c r="T250" s="80" t="str">
        <f>IF(AND($F250&lt;&gt;"", $F250&gt;=T$5-4, $F250&lt;=T$5, COUNTIF($M250:S250,"u")=0), "u", "")</f>
        <v/>
      </c>
      <c r="U250" s="80" t="str">
        <f>IF(AND($F250&lt;&gt;"", $F250&gt;=U$5-4, $F250&lt;=U$5, COUNTIF($M250:T250,"u")=0), "u", "")</f>
        <v/>
      </c>
      <c r="V250" s="80" t="str">
        <f>IF(AND($F250&lt;&gt;"", $F250&gt;=V$5-4, $F250&lt;=V$5, COUNTIF($M250:U250,"u")=0), "u", "")</f>
        <v/>
      </c>
      <c r="W250" s="80" t="str">
        <f>IF(AND($F250&lt;&gt;"", $F250&gt;=W$5-4, $F250&lt;=W$5, COUNTIF($M250:V250,"u")=0), "u", "")</f>
        <v/>
      </c>
      <c r="X250" s="80" t="str">
        <f>IF(AND($F250&lt;&gt;"", $F250&gt;=X$5-4, $F250&lt;=X$5, COUNTIF($M250:W250,"u")=0), "u", "")</f>
        <v/>
      </c>
      <c r="Y250" s="80" t="str">
        <f>IF(AND($F250&lt;&gt;"", $F250&gt;=Y$5-4, $F250&lt;=Y$5, COUNTIF($M250:X250,"u")=0), "u", "")</f>
        <v/>
      </c>
      <c r="Z250" s="80" t="str">
        <f>IF(AND($F250&lt;&gt;"", $F250&gt;=Z$5-4, $F250&lt;=Z$5, COUNTIF($M250:Y250,"u")=0), "u", "")</f>
        <v/>
      </c>
      <c r="AA250" s="80" t="str">
        <f>IF(AND($F250&lt;&gt;"", $F250&gt;=AA$5-4, $F250&lt;=AA$5, COUNTIF($M250:Z250,"u")=0), "u", "")</f>
        <v/>
      </c>
      <c r="AB250" s="80" t="str">
        <f>IF(AND($F250&lt;&gt;"", $F250&gt;=AB$5-4, $F250&lt;=AB$5, COUNTIF($M250:AA250,"u")=0), "u", "")</f>
        <v/>
      </c>
      <c r="AC250" s="80" t="str">
        <f>IF(AND($F250&lt;&gt;"", $F250&gt;=AC$5-4, $F250&lt;=AC$5, COUNTIF($M250:AB250,"u")=0), "u", "")</f>
        <v/>
      </c>
      <c r="AD250" s="80" t="str">
        <f>IF(AND($F250&lt;&gt;"", $F250&gt;=AD$5-4, $F250&lt;=AD$5, COUNTIF($M250:AC250,"u")=0), "u", "")</f>
        <v/>
      </c>
      <c r="AE250" s="80" t="str">
        <f>IF(AND($F250&lt;&gt;"", $F250&gt;=AE$5-4, $F250&lt;=AE$5, COUNTIF($M250:AD250,"u")=0), "u", "")</f>
        <v/>
      </c>
      <c r="AF250" s="80" t="str">
        <f>IF(AND($F250&lt;&gt;"", $F250&gt;=AF$5-4, $F250&lt;=AF$5, COUNTIF($M250:AE250,"u")=0), "u", "")</f>
        <v/>
      </c>
      <c r="AG250" s="80" t="str">
        <f>IF(AND($F250&lt;&gt;"", $F250&gt;=AG$5-4, $F250&lt;=AG$5, COUNTIF($M250:AF250,"u")=0), "u", "")</f>
        <v/>
      </c>
      <c r="AH250" s="80" t="str">
        <f>IF(AND($F250&lt;&gt;"", $F250&gt;=AH$5-4, $F250&lt;=AH$5, COUNTIF($M250:AG250,"u")=0), "u", "")</f>
        <v/>
      </c>
      <c r="AI250" s="80" t="str">
        <f>IF(AND($F250&lt;&gt;"", $F250&gt;=AI$5-4, $F250&lt;=AI$5, COUNTIF($M250:AH250,"u")=0), "u", "")</f>
        <v/>
      </c>
      <c r="AJ250" s="80" t="str">
        <f>IF(AND($F250&lt;&gt;"", $F250&gt;=AJ$5-4, $F250&lt;=AJ$5, COUNTIF($M250:AI250,"u")=0), "u", "")</f>
        <v/>
      </c>
      <c r="AK250" s="80" t="str">
        <f>IF(AND($F250&lt;&gt;"", $F250&gt;=AK$5-4, $F250&lt;=AK$5, COUNTIF($M250:AJ250,"u")=0), "u", "")</f>
        <v/>
      </c>
      <c r="AL250" s="80" t="str">
        <f>IF(AND($F250&lt;&gt;"", $F250&gt;=AL$5-4, $F250&lt;=AL$5, COUNTIF($M250:AK250,"u")=0), "u", "")</f>
        <v/>
      </c>
      <c r="AM250" s="80" t="str">
        <f>IF(AND($F250&lt;&gt;"", $F250&gt;=AM$5-4, $F250&lt;=AM$5, COUNTIF($M250:AL250,"u")=0), "u", "")</f>
        <v/>
      </c>
      <c r="AN250" s="80" t="str">
        <f>IF(AND($F250&lt;&gt;"", $F250&gt;=AN$5-4, $F250&lt;=AN$5, COUNTIF($M250:AM250,"u")=0), "u", "")</f>
        <v/>
      </c>
      <c r="AO250" s="80" t="str">
        <f>IF(AND($F250&lt;&gt;"", $F250&gt;=AO$5-4, $F250&lt;=AO$5, COUNTIF($M250:AN250,"u")=0), "u", "")</f>
        <v/>
      </c>
      <c r="AP250" s="80" t="str">
        <f>IF(AND($F250&lt;&gt;"", $F250&gt;=AP$5-4, $F250&lt;=AP$5, COUNTIF($M250:AO250,"u")=0), "u", "")</f>
        <v/>
      </c>
      <c r="AQ250" s="80" t="str">
        <f>IF(AND($F250&lt;&gt;"", $F250&gt;=AQ$5-4, $F250&lt;=AQ$5, COUNTIF($M250:AP250,"u")=0), "u", "")</f>
        <v/>
      </c>
      <c r="AR250" s="80" t="str">
        <f>IF(AND($F250&lt;&gt;"", $F250&gt;=AR$5-4, $F250&lt;=AR$5, COUNTIF($M250:AQ250,"u")=0), "u", "")</f>
        <v/>
      </c>
      <c r="AS250" s="80" t="str">
        <f>IF(AND($F250&lt;&gt;"", $F250&gt;=AS$5-4, $F250&lt;=AS$5, COUNTIF($M250:AR250,"u")=0), "u", "")</f>
        <v/>
      </c>
      <c r="AT250" s="80" t="str">
        <f>IF(AND($F250&lt;&gt;"", $F250&gt;=AT$5-4, $F250&lt;=AT$5, COUNTIF($M250:AS250,"u")=0), "u", "")</f>
        <v/>
      </c>
      <c r="AU250" s="80" t="str">
        <f>IF(AND($F250&lt;&gt;"", $F250&gt;=AU$5-4, $F250&lt;=AU$5, COUNTIF($M250:AT250,"u")=0), "u", "")</f>
        <v/>
      </c>
      <c r="AV250" s="80" t="str">
        <f>IF(AND($F250&lt;&gt;"", $F250&gt;=AV$5-4, $F250&lt;=AV$5, COUNTIF($M250:AU250,"u")=0), "u", "")</f>
        <v/>
      </c>
      <c r="AW250" s="80" t="str">
        <f>IF(AND($F250&lt;&gt;"", $F250&gt;=AW$5-4, $F250&lt;=AW$5, COUNTIF($M250:AV250,"u")=0), "u", "")</f>
        <v/>
      </c>
      <c r="AX250" s="80" t="str">
        <f>IF(AND($F250&lt;&gt;"", $F250&gt;=AX$5-4, $F250&lt;=AX$5, COUNTIF($M250:AW250,"u")=0), "u", "")</f>
        <v/>
      </c>
      <c r="AY250" s="80" t="str">
        <f>IF(AND($F250&lt;&gt;"", $F250&gt;=AY$5-4, $F250&lt;=AY$5, COUNTIF($M250:AX250,"u")=0), "u", "")</f>
        <v/>
      </c>
      <c r="AZ250" s="80" t="str">
        <f>IF(AND($F250&lt;&gt;"", $F250&gt;=AZ$5-4, $F250&lt;=AZ$5, COUNTIF($M250:AY250,"u")=0), "u", "")</f>
        <v/>
      </c>
      <c r="BA250" s="80" t="str">
        <f>IF(AND($F250&lt;&gt;"", $F250&gt;=BA$5-4, $F250&lt;=BA$5, COUNTIF($M250:AZ250,"u")=0), "u", "")</f>
        <v/>
      </c>
      <c r="BB250" s="80" t="str">
        <f>IF(AND($F250&lt;&gt;"", $F250&gt;=BB$5-4, $F250&lt;=BB$5, COUNTIF($M250:BA250,"u")=0), "u", "")</f>
        <v/>
      </c>
      <c r="BC250" s="80" t="str">
        <f>IF(AND($F250&lt;&gt;"", $F250&gt;=BC$5-4, $F250&lt;=BC$5, COUNTIF($M250:BB250,"u")=0), "u", "")</f>
        <v/>
      </c>
      <c r="BD250" s="80" t="str">
        <f>IF(AND($F250&lt;&gt;"", $F250&gt;=BD$5-4, $F250&lt;=BD$5, COUNTIF($M250:BC250,"u")=0), "u", "")</f>
        <v/>
      </c>
      <c r="BE250" s="80" t="str">
        <f>IF(AND($F250&lt;&gt;"", $F250&gt;=BE$5-4, $F250&lt;=BE$5, COUNTIF($M250:BD250,"u")=0), "u", "")</f>
        <v/>
      </c>
      <c r="BF250" s="80" t="str">
        <f>IF(AND($F250&lt;&gt;"", $F250&gt;=BF$5-4, $F250&lt;=BF$5, COUNTIF($M250:BE250,"u")=0), "u", "")</f>
        <v/>
      </c>
      <c r="BG250" s="80" t="str">
        <f>IF(AND($F250&lt;&gt;"", $F250&gt;=BG$5-4, $F250&lt;=BG$5, COUNTIF($M250:BF250,"u")=0), "u", "")</f>
        <v/>
      </c>
      <c r="BH250" s="80" t="str">
        <f>IF(AND($F250&lt;&gt;"", $F250&gt;=BH$5-4, $F250&lt;=BH$5, COUNTIF($M250:BG250,"u")=0), "u", "")</f>
        <v/>
      </c>
      <c r="BI250" s="80" t="str">
        <f>IF(AND($F250&lt;&gt;"", $F250&gt;=BI$5-4, $F250&lt;=BI$5, COUNTIF($M250:BH250,"u")=0), "u", "")</f>
        <v/>
      </c>
      <c r="BJ250" s="80" t="str">
        <f>IF(AND($F250&lt;&gt;"", $F250&gt;=BJ$5-4, $F250&lt;=BJ$5, COUNTIF($M250:BI250,"u")=0), "u", "")</f>
        <v/>
      </c>
      <c r="BK250" s="80" t="str">
        <f>IF(AND($F250&lt;&gt;"", $F250&gt;=BK$5-4, $F250&lt;=BK$5, COUNTIF($M250:BJ250,"u")=0), "u", "")</f>
        <v/>
      </c>
      <c r="BL250" s="80" t="str">
        <f>IF(AND($F250&lt;&gt;"", $F250&gt;=BL$5-4, $F250&lt;=BL$5, COUNTIF($M250:BK250,"u")=0), "u", "")</f>
        <v/>
      </c>
      <c r="BM250" s="80" t="str">
        <f>IF(AND($F250&lt;&gt;"", $F250&gt;=BM$5-4, $F250&lt;=BM$5, COUNTIF($M250:BL250,"u")=0), "u", "")</f>
        <v/>
      </c>
      <c r="BN250" s="80" t="str">
        <f>IF(AND($F250&lt;&gt;"", $F250&gt;=BN$5-4, $F250&lt;=BN$5, COUNTIF($M250:BM250,"u")=0), "u", "")</f>
        <v/>
      </c>
      <c r="BO250" s="80" t="str">
        <f>IF(AND($F250&lt;&gt;"", $F250&gt;=BO$5-4, $F250&lt;=BO$5, COUNTIF($M250:BN250,"u")=0), "u", "")</f>
        <v/>
      </c>
      <c r="BP250" s="80" t="str">
        <f>IF(AND($F250&lt;&gt;"", $F250&gt;=BP$5-4, $F250&lt;=BP$5, COUNTIF($M250:BO250,"u")=0), "u", "")</f>
        <v/>
      </c>
      <c r="BQ250" s="80" t="str">
        <f>IF(AND($F250&lt;&gt;"", $F250&gt;=BQ$5-4, $F250&lt;=BQ$5, COUNTIF($M250:BP250,"u")=0), "u", "")</f>
        <v/>
      </c>
      <c r="BR250" s="80" t="str">
        <f>IF(AND($F250&lt;&gt;"", $F250&gt;=BR$5-4, $F250&lt;=BR$5, COUNTIF($M250:BQ250,"u")=0), "u", "")</f>
        <v/>
      </c>
      <c r="BS250" s="80" t="str">
        <f>IF(AND($F250&lt;&gt;"", $F250&gt;=BS$5-4, $F250&lt;=BS$5, COUNTIF($M250:BR250,"u")=0), "u", "")</f>
        <v/>
      </c>
      <c r="BT250" s="80" t="str">
        <f>IF(AND($F250&lt;&gt;"", $F250&gt;=BT$5-4, $F250&lt;=BT$5, COUNTIF($M250:BS250,"u")=0), "u", "")</f>
        <v/>
      </c>
      <c r="BU250" s="80" t="str">
        <f>IF(AND($F250&lt;&gt;"", $F250&gt;=BU$5-4, $F250&lt;=BU$5, COUNTIF($M250:BT250,"u")=0), "u", "")</f>
        <v/>
      </c>
      <c r="BV250" s="80" t="str">
        <f>IF(AND($F250&lt;&gt;"", $F250&gt;=BV$5-4, $F250&lt;=BV$5, COUNTIF($M250:BU250,"u")=0), "u", "")</f>
        <v/>
      </c>
      <c r="BW250" s="80" t="str">
        <f>IF(AND($F250&lt;&gt;"", $F250&gt;=BW$5-4, $F250&lt;=BW$5, COUNTIF($M250:BV250,"u")=0), "u", "")</f>
        <v/>
      </c>
      <c r="BX250" s="80" t="str">
        <f>IF(AND($F250&lt;&gt;"", $F250&gt;=BX$5-4, $F250&lt;=BX$5, COUNTIF($M250:BW250,"u")=0), "u", "")</f>
        <v/>
      </c>
      <c r="BY250" s="80" t="str">
        <f>IF(AND($F250&lt;&gt;"", $F250&gt;=BY$5-4, $F250&lt;=BY$5, COUNTIF($M250:BX250,"u")=0), "u", "")</f>
        <v/>
      </c>
      <c r="BZ250" s="80" t="str">
        <f>IF(AND($F250&lt;&gt;"", $F250&gt;=BZ$5-4, $F250&lt;=BZ$5, COUNTIF($M250:BY250,"u")=0), "u", "")</f>
        <v/>
      </c>
      <c r="CA250" s="80" t="str">
        <f>IF(AND($F250&lt;&gt;"", $F250&gt;=CA$5-4, $F250&lt;=CA$5, COUNTIF($M250:BZ250,"u")=0), "u", "")</f>
        <v/>
      </c>
      <c r="CB250" s="80" t="str">
        <f>IF(AND($F250&lt;&gt;"", $F250&gt;=CB$5-4, $F250&lt;=CB$5, COUNTIF($M250:CA250,"u")=0), "u", "")</f>
        <v/>
      </c>
      <c r="CC250" s="80" t="str">
        <f>IF(AND($F250&lt;&gt;"", $F250&gt;=CC$5-4, $F250&lt;=CC$5, COUNTIF($M250:CB250,"u")=0), "u", "")</f>
        <v/>
      </c>
      <c r="CD250" s="80" t="str">
        <f>IF(AND($F250&lt;&gt;"", $F250&gt;=CD$5-4, $F250&lt;=CD$5, COUNTIF($M250:CC250,"u")=0), "u", "")</f>
        <v/>
      </c>
      <c r="CE250" s="80" t="str">
        <f>IF(AND($F250&lt;&gt;"", $F250&gt;=CE$5-4, $F250&lt;=CE$5, COUNTIF($M250:CD250,"u")=0), "u", "")</f>
        <v/>
      </c>
      <c r="CF250" s="80" t="str">
        <f>IF(AND($F250&lt;&gt;"", $F250&gt;=CF$5-4, $F250&lt;=CF$5, COUNTIF($M250:CE250,"u")=0), "u", "")</f>
        <v/>
      </c>
      <c r="CG250" s="80" t="str">
        <f>IF(AND($F250&lt;&gt;"", $F250&gt;=CG$5-4, $F250&lt;=CG$5, COUNTIF($M250:CF250,"u")=0), "u", "")</f>
        <v/>
      </c>
      <c r="CH250" s="80" t="str">
        <f>IF(AND($F250&lt;&gt;"", $F250&gt;=CH$5-4, $F250&lt;=CH$5, COUNTIF($M250:CG250,"u")=0), "u", "")</f>
        <v/>
      </c>
      <c r="CI250" s="80" t="str">
        <f>IF(AND($F250&lt;&gt;"", $F250&gt;=CI$5-4, $F250&lt;=CI$5, COUNTIF($M250:CH250,"u")=0), "u", "")</f>
        <v/>
      </c>
      <c r="CJ250" s="80" t="str">
        <f>IF(AND($F250&lt;&gt;"", $F250&gt;=CJ$5-4, $F250&lt;=CJ$5, COUNTIF($M250:CI250,"u")=0), "u", "")</f>
        <v/>
      </c>
      <c r="CK250" s="80" t="str">
        <f>IF(AND($F250&lt;&gt;"", $F250&gt;=CK$5-4, $F250&lt;=CK$5, COUNTIF($M250:CJ250,"u")=0), "u", "")</f>
        <v/>
      </c>
      <c r="CL250" s="80" t="str">
        <f>IF(AND($F250&lt;&gt;"", $F250&gt;=CL$5-4, $F250&lt;=CL$5, COUNTIF($M250:CK250,"u")=0), "u", "")</f>
        <v/>
      </c>
      <c r="CM250" s="80" t="str">
        <f>IF(AND($F250&lt;&gt;"", $F250&gt;=CM$5-4, $F250&lt;=CM$5, COUNTIF($M250:CL250,"u")=0), "u", "")</f>
        <v/>
      </c>
      <c r="CN250" s="80" t="str">
        <f>IF(AND($F250&lt;&gt;"", $F250&gt;=CN$5-4, $F250&lt;=CN$5, COUNTIF($M250:CM250,"u")=0), "u", "")</f>
        <v/>
      </c>
      <c r="CO250" s="80" t="str">
        <f>IF(AND($F250&lt;&gt;"", $F250&gt;=CO$5-4, $F250&lt;=CO$5, COUNTIF($M250:CN250,"u")=0), "u", "")</f>
        <v/>
      </c>
      <c r="CP250" s="80" t="str">
        <f>IF(AND($F250&lt;&gt;"", $F250&gt;=CP$5-4, $F250&lt;=CP$5, COUNTIF($M250:CO250,"u")=0), "u", "")</f>
        <v/>
      </c>
      <c r="CQ250" s="80" t="str">
        <f>IF(AND($F250&lt;&gt;"", $F250&gt;=CQ$5-4, $F250&lt;=CQ$5, COUNTIF($M250:CP250,"u")=0), "u", "")</f>
        <v/>
      </c>
      <c r="CR250" s="80" t="str">
        <f>IF(AND($F250&lt;&gt;"", $F250&gt;=CR$5-4, $F250&lt;=CR$5, COUNTIF($M250:CQ250,"u")=0), "u", "")</f>
        <v/>
      </c>
      <c r="CS250" s="80" t="str">
        <f>IF(AND($F250&lt;&gt;"", $F250&gt;=CS$5-4, $F250&lt;=CS$5, COUNTIF($M250:CR250,"u")=0), "u", "")</f>
        <v/>
      </c>
      <c r="CT250" s="80" t="str">
        <f>IF(AND($F250&lt;&gt;"", $F250&gt;=CT$5-4, $F250&lt;=CT$5, COUNTIF($M250:CS250,"u")=0), "u", "")</f>
        <v/>
      </c>
      <c r="CU250" s="80" t="str">
        <f>IF(AND($F250&lt;&gt;"", $F250&gt;=CU$5-4, $F250&lt;=CU$5, COUNTIF($M250:CT250,"u")=0), "u", "")</f>
        <v/>
      </c>
      <c r="CV250" s="80" t="str">
        <f>IF(AND($F250&lt;&gt;"", $F250&gt;=CV$5-4, $F250&lt;=CV$5, COUNTIF($M250:CU250,"u")=0), "u", "")</f>
        <v/>
      </c>
      <c r="CW250" s="80" t="str">
        <f>IF(AND($F250&lt;&gt;"", $F250&gt;=CW$5-4, $F250&lt;=CW$5, COUNTIF($M250:CV250,"u")=0), "u", "")</f>
        <v/>
      </c>
      <c r="CX250" s="80" t="str">
        <f>IF(AND($F250&lt;&gt;"", $F250&gt;=CX$5-4, $F250&lt;=CX$5, COUNTIF($M250:CW250,"u")=0), "u", "")</f>
        <v/>
      </c>
      <c r="CY250" s="80" t="str">
        <f>IF(AND($F250&lt;&gt;"", $F250&gt;=CY$5-4, $F250&lt;=CY$5, COUNTIF($M250:CX250,"u")=0), "u", "")</f>
        <v/>
      </c>
      <c r="CZ250" s="80" t="str">
        <f>IF(AND($F250&lt;&gt;"", $F250&gt;=CZ$5-4, $F250&lt;=CZ$5, COUNTIF($M250:CY250,"u")=0), "u", "")</f>
        <v/>
      </c>
      <c r="DA250" s="80" t="str">
        <f>IF(AND($F250&lt;&gt;"", $F250&gt;=DA$5-4, $F250&lt;=DA$5, COUNTIF($M250:CZ250,"u")=0), "u", "")</f>
        <v/>
      </c>
      <c r="DB250" s="80" t="str">
        <f>IF(AND($F250&lt;&gt;"", $F250&gt;=DB$5-4, $F250&lt;=DB$5, COUNTIF($M250:DA250,"u")=0), "u", "")</f>
        <v/>
      </c>
      <c r="DC250" s="80" t="str">
        <f>IF(AND($F250&lt;&gt;"", $F250&gt;=DC$5-4, $F250&lt;=DC$5, COUNTIF($M250:DB250,"u")=0), "u", "")</f>
        <v/>
      </c>
      <c r="DD250" s="80" t="str">
        <f>IF(AND($F250&lt;&gt;"", $F250&gt;=DD$5-4, $F250&lt;=DD$5, COUNTIF($M250:DC250,"u")=0), "u", "")</f>
        <v/>
      </c>
      <c r="DE250" s="80" t="str">
        <f>IF(AND($F250&lt;&gt;"", $F250&gt;=DE$5-4, $F250&lt;=DE$5, COUNTIF($M250:DD250,"u")=0), "u", "")</f>
        <v/>
      </c>
      <c r="DF250" s="80" t="str">
        <f>IF(AND($F250&lt;&gt;"", $F250&gt;=DF$5-4, $F250&lt;=DF$5, COUNTIF($M250:DE250,"u")=0), "u", "")</f>
        <v/>
      </c>
      <c r="DG250" s="80" t="str">
        <f>IF(AND($F250&lt;&gt;"", $F250&gt;=DG$5-4, $F250&lt;=DG$5, COUNTIF($M250:DF250,"u")=0), "u", "")</f>
        <v/>
      </c>
      <c r="DH250" s="80" t="str">
        <f>IF(AND($F250&lt;&gt;"", $F250&gt;=DH$5-4, $F250&lt;=DH$5, COUNTIF($M250:DG250,"u")=0), "u", "")</f>
        <v/>
      </c>
      <c r="DI250" s="80" t="str">
        <f>IF(AND($F250&lt;&gt;"", $F250&gt;=DI$5-4, $F250&lt;=DI$5, COUNTIF($M250:DH250,"u")=0), "u", "")</f>
        <v/>
      </c>
      <c r="DJ250" s="80" t="str">
        <f>IF(AND($F250&lt;&gt;"", $F250&gt;=DJ$5-4, $F250&lt;=DJ$5, COUNTIF($M250:DI250,"u")=0), "u", "")</f>
        <v/>
      </c>
      <c r="DK250" s="80" t="str">
        <f>IF(AND($F250&lt;&gt;"", $F250&gt;=DK$5-4, $F250&lt;=DK$5, COUNTIF($M250:DJ250,"u")=0), "u", "")</f>
        <v/>
      </c>
      <c r="DL250" s="80" t="str">
        <f>IF(AND($F250&lt;&gt;"", $F250&gt;=DL$5-4, $F250&lt;=DL$5, COUNTIF($M250:DK250,"u")=0), "u", "")</f>
        <v/>
      </c>
    </row>
    <row r="251" spans="1:116" ht="25.05" customHeight="1" x14ac:dyDescent="0.3">
      <c r="A251" s="39"/>
      <c r="B251" s="75">
        <v>246</v>
      </c>
      <c r="C251" s="97"/>
      <c r="D251" s="92"/>
      <c r="E251" s="53"/>
      <c r="F251" s="53"/>
      <c r="G251" s="83" t="str">
        <f t="shared" si="56"/>
        <v/>
      </c>
      <c r="H251" s="83" t="str">
        <f t="shared" si="56"/>
        <v/>
      </c>
      <c r="I251" s="77" t="str">
        <f t="shared" si="54"/>
        <v/>
      </c>
      <c r="J251" s="78"/>
      <c r="K251" s="86"/>
      <c r="L251" s="56"/>
      <c r="M251" s="80" t="str">
        <f t="shared" si="55"/>
        <v/>
      </c>
      <c r="N251" s="80" t="str">
        <f>IF(AND($F251&lt;&gt;"", $F251&gt;=N$5-4, $F251&lt;=N$5, COUNTIF($M251:M251,"u")=0), "u", "")</f>
        <v/>
      </c>
      <c r="O251" s="80" t="str">
        <f>IF(AND($F251&lt;&gt;"", $F251&gt;=O$5-4, $F251&lt;=O$5, COUNTIF($M251:N251,"u")=0), "u", "")</f>
        <v/>
      </c>
      <c r="P251" s="80" t="str">
        <f>IF(AND($F251&lt;&gt;"", $F251&gt;=P$5-4, $F251&lt;=P$5, COUNTIF($M251:O251,"u")=0), "u", "")</f>
        <v/>
      </c>
      <c r="Q251" s="80" t="str">
        <f>IF(AND($F251&lt;&gt;"", $F251&gt;=Q$5-4, $F251&lt;=Q$5, COUNTIF($M251:P251,"u")=0), "u", "")</f>
        <v/>
      </c>
      <c r="R251" s="80" t="str">
        <f>IF(AND($F251&lt;&gt;"", $F251&gt;=R$5-4, $F251&lt;=R$5, COUNTIF($M251:Q251,"u")=0), "u", "")</f>
        <v/>
      </c>
      <c r="S251" s="80" t="str">
        <f>IF(AND($F251&lt;&gt;"", $F251&gt;=S$5-4, $F251&lt;=S$5, COUNTIF($M251:R251,"u")=0), "u", "")</f>
        <v/>
      </c>
      <c r="T251" s="80" t="str">
        <f>IF(AND($F251&lt;&gt;"", $F251&gt;=T$5-4, $F251&lt;=T$5, COUNTIF($M251:S251,"u")=0), "u", "")</f>
        <v/>
      </c>
      <c r="U251" s="80" t="str">
        <f>IF(AND($F251&lt;&gt;"", $F251&gt;=U$5-4, $F251&lt;=U$5, COUNTIF($M251:T251,"u")=0), "u", "")</f>
        <v/>
      </c>
      <c r="V251" s="80" t="str">
        <f>IF(AND($F251&lt;&gt;"", $F251&gt;=V$5-4, $F251&lt;=V$5, COUNTIF($M251:U251,"u")=0), "u", "")</f>
        <v/>
      </c>
      <c r="W251" s="80" t="str">
        <f>IF(AND($F251&lt;&gt;"", $F251&gt;=W$5-4, $F251&lt;=W$5, COUNTIF($M251:V251,"u")=0), "u", "")</f>
        <v/>
      </c>
      <c r="X251" s="80" t="str">
        <f>IF(AND($F251&lt;&gt;"", $F251&gt;=X$5-4, $F251&lt;=X$5, COUNTIF($M251:W251,"u")=0), "u", "")</f>
        <v/>
      </c>
      <c r="Y251" s="80" t="str">
        <f>IF(AND($F251&lt;&gt;"", $F251&gt;=Y$5-4, $F251&lt;=Y$5, COUNTIF($M251:X251,"u")=0), "u", "")</f>
        <v/>
      </c>
      <c r="Z251" s="80" t="str">
        <f>IF(AND($F251&lt;&gt;"", $F251&gt;=Z$5-4, $F251&lt;=Z$5, COUNTIF($M251:Y251,"u")=0), "u", "")</f>
        <v/>
      </c>
      <c r="AA251" s="80" t="str">
        <f>IF(AND($F251&lt;&gt;"", $F251&gt;=AA$5-4, $F251&lt;=AA$5, COUNTIF($M251:Z251,"u")=0), "u", "")</f>
        <v/>
      </c>
      <c r="AB251" s="80" t="str">
        <f>IF(AND($F251&lt;&gt;"", $F251&gt;=AB$5-4, $F251&lt;=AB$5, COUNTIF($M251:AA251,"u")=0), "u", "")</f>
        <v/>
      </c>
      <c r="AC251" s="80" t="str">
        <f>IF(AND($F251&lt;&gt;"", $F251&gt;=AC$5-4, $F251&lt;=AC$5, COUNTIF($M251:AB251,"u")=0), "u", "")</f>
        <v/>
      </c>
      <c r="AD251" s="80" t="str">
        <f>IF(AND($F251&lt;&gt;"", $F251&gt;=AD$5-4, $F251&lt;=AD$5, COUNTIF($M251:AC251,"u")=0), "u", "")</f>
        <v/>
      </c>
      <c r="AE251" s="80" t="str">
        <f>IF(AND($F251&lt;&gt;"", $F251&gt;=AE$5-4, $F251&lt;=AE$5, COUNTIF($M251:AD251,"u")=0), "u", "")</f>
        <v/>
      </c>
      <c r="AF251" s="80" t="str">
        <f>IF(AND($F251&lt;&gt;"", $F251&gt;=AF$5-4, $F251&lt;=AF$5, COUNTIF($M251:AE251,"u")=0), "u", "")</f>
        <v/>
      </c>
      <c r="AG251" s="80" t="str">
        <f>IF(AND($F251&lt;&gt;"", $F251&gt;=AG$5-4, $F251&lt;=AG$5, COUNTIF($M251:AF251,"u")=0), "u", "")</f>
        <v/>
      </c>
      <c r="AH251" s="80" t="str">
        <f>IF(AND($F251&lt;&gt;"", $F251&gt;=AH$5-4, $F251&lt;=AH$5, COUNTIF($M251:AG251,"u")=0), "u", "")</f>
        <v/>
      </c>
      <c r="AI251" s="80" t="str">
        <f>IF(AND($F251&lt;&gt;"", $F251&gt;=AI$5-4, $F251&lt;=AI$5, COUNTIF($M251:AH251,"u")=0), "u", "")</f>
        <v/>
      </c>
      <c r="AJ251" s="80" t="str">
        <f>IF(AND($F251&lt;&gt;"", $F251&gt;=AJ$5-4, $F251&lt;=AJ$5, COUNTIF($M251:AI251,"u")=0), "u", "")</f>
        <v/>
      </c>
      <c r="AK251" s="80" t="str">
        <f>IF(AND($F251&lt;&gt;"", $F251&gt;=AK$5-4, $F251&lt;=AK$5, COUNTIF($M251:AJ251,"u")=0), "u", "")</f>
        <v/>
      </c>
      <c r="AL251" s="80" t="str">
        <f>IF(AND($F251&lt;&gt;"", $F251&gt;=AL$5-4, $F251&lt;=AL$5, COUNTIF($M251:AK251,"u")=0), "u", "")</f>
        <v/>
      </c>
      <c r="AM251" s="80" t="str">
        <f>IF(AND($F251&lt;&gt;"", $F251&gt;=AM$5-4, $F251&lt;=AM$5, COUNTIF($M251:AL251,"u")=0), "u", "")</f>
        <v/>
      </c>
      <c r="AN251" s="80" t="str">
        <f>IF(AND($F251&lt;&gt;"", $F251&gt;=AN$5-4, $F251&lt;=AN$5, COUNTIF($M251:AM251,"u")=0), "u", "")</f>
        <v/>
      </c>
      <c r="AO251" s="80" t="str">
        <f>IF(AND($F251&lt;&gt;"", $F251&gt;=AO$5-4, $F251&lt;=AO$5, COUNTIF($M251:AN251,"u")=0), "u", "")</f>
        <v/>
      </c>
      <c r="AP251" s="80" t="str">
        <f>IF(AND($F251&lt;&gt;"", $F251&gt;=AP$5-4, $F251&lt;=AP$5, COUNTIF($M251:AO251,"u")=0), "u", "")</f>
        <v/>
      </c>
      <c r="AQ251" s="80" t="str">
        <f>IF(AND($F251&lt;&gt;"", $F251&gt;=AQ$5-4, $F251&lt;=AQ$5, COUNTIF($M251:AP251,"u")=0), "u", "")</f>
        <v/>
      </c>
      <c r="AR251" s="80" t="str">
        <f>IF(AND($F251&lt;&gt;"", $F251&gt;=AR$5-4, $F251&lt;=AR$5, COUNTIF($M251:AQ251,"u")=0), "u", "")</f>
        <v/>
      </c>
      <c r="AS251" s="80" t="str">
        <f>IF(AND($F251&lt;&gt;"", $F251&gt;=AS$5-4, $F251&lt;=AS$5, COUNTIF($M251:AR251,"u")=0), "u", "")</f>
        <v/>
      </c>
      <c r="AT251" s="80" t="str">
        <f>IF(AND($F251&lt;&gt;"", $F251&gt;=AT$5-4, $F251&lt;=AT$5, COUNTIF($M251:AS251,"u")=0), "u", "")</f>
        <v/>
      </c>
      <c r="AU251" s="80" t="str">
        <f>IF(AND($F251&lt;&gt;"", $F251&gt;=AU$5-4, $F251&lt;=AU$5, COUNTIF($M251:AT251,"u")=0), "u", "")</f>
        <v/>
      </c>
      <c r="AV251" s="80" t="str">
        <f>IF(AND($F251&lt;&gt;"", $F251&gt;=AV$5-4, $F251&lt;=AV$5, COUNTIF($M251:AU251,"u")=0), "u", "")</f>
        <v/>
      </c>
      <c r="AW251" s="80" t="str">
        <f>IF(AND($F251&lt;&gt;"", $F251&gt;=AW$5-4, $F251&lt;=AW$5, COUNTIF($M251:AV251,"u")=0), "u", "")</f>
        <v/>
      </c>
      <c r="AX251" s="80" t="str">
        <f>IF(AND($F251&lt;&gt;"", $F251&gt;=AX$5-4, $F251&lt;=AX$5, COUNTIF($M251:AW251,"u")=0), "u", "")</f>
        <v/>
      </c>
      <c r="AY251" s="80" t="str">
        <f>IF(AND($F251&lt;&gt;"", $F251&gt;=AY$5-4, $F251&lt;=AY$5, COUNTIF($M251:AX251,"u")=0), "u", "")</f>
        <v/>
      </c>
      <c r="AZ251" s="80" t="str">
        <f>IF(AND($F251&lt;&gt;"", $F251&gt;=AZ$5-4, $F251&lt;=AZ$5, COUNTIF($M251:AY251,"u")=0), "u", "")</f>
        <v/>
      </c>
      <c r="BA251" s="80" t="str">
        <f>IF(AND($F251&lt;&gt;"", $F251&gt;=BA$5-4, $F251&lt;=BA$5, COUNTIF($M251:AZ251,"u")=0), "u", "")</f>
        <v/>
      </c>
      <c r="BB251" s="80" t="str">
        <f>IF(AND($F251&lt;&gt;"", $F251&gt;=BB$5-4, $F251&lt;=BB$5, COUNTIF($M251:BA251,"u")=0), "u", "")</f>
        <v/>
      </c>
      <c r="BC251" s="80" t="str">
        <f>IF(AND($F251&lt;&gt;"", $F251&gt;=BC$5-4, $F251&lt;=BC$5, COUNTIF($M251:BB251,"u")=0), "u", "")</f>
        <v/>
      </c>
      <c r="BD251" s="80" t="str">
        <f>IF(AND($F251&lt;&gt;"", $F251&gt;=BD$5-4, $F251&lt;=BD$5, COUNTIF($M251:BC251,"u")=0), "u", "")</f>
        <v/>
      </c>
      <c r="BE251" s="80" t="str">
        <f>IF(AND($F251&lt;&gt;"", $F251&gt;=BE$5-4, $F251&lt;=BE$5, COUNTIF($M251:BD251,"u")=0), "u", "")</f>
        <v/>
      </c>
      <c r="BF251" s="80" t="str">
        <f>IF(AND($F251&lt;&gt;"", $F251&gt;=BF$5-4, $F251&lt;=BF$5, COUNTIF($M251:BE251,"u")=0), "u", "")</f>
        <v/>
      </c>
      <c r="BG251" s="80" t="str">
        <f>IF(AND($F251&lt;&gt;"", $F251&gt;=BG$5-4, $F251&lt;=BG$5, COUNTIF($M251:BF251,"u")=0), "u", "")</f>
        <v/>
      </c>
      <c r="BH251" s="80" t="str">
        <f>IF(AND($F251&lt;&gt;"", $F251&gt;=BH$5-4, $F251&lt;=BH$5, COUNTIF($M251:BG251,"u")=0), "u", "")</f>
        <v/>
      </c>
      <c r="BI251" s="80" t="str">
        <f>IF(AND($F251&lt;&gt;"", $F251&gt;=BI$5-4, $F251&lt;=BI$5, COUNTIF($M251:BH251,"u")=0), "u", "")</f>
        <v/>
      </c>
      <c r="BJ251" s="80" t="str">
        <f>IF(AND($F251&lt;&gt;"", $F251&gt;=BJ$5-4, $F251&lt;=BJ$5, COUNTIF($M251:BI251,"u")=0), "u", "")</f>
        <v/>
      </c>
      <c r="BK251" s="80" t="str">
        <f>IF(AND($F251&lt;&gt;"", $F251&gt;=BK$5-4, $F251&lt;=BK$5, COUNTIF($M251:BJ251,"u")=0), "u", "")</f>
        <v/>
      </c>
      <c r="BL251" s="80" t="str">
        <f>IF(AND($F251&lt;&gt;"", $F251&gt;=BL$5-4, $F251&lt;=BL$5, COUNTIF($M251:BK251,"u")=0), "u", "")</f>
        <v/>
      </c>
      <c r="BM251" s="80" t="str">
        <f>IF(AND($F251&lt;&gt;"", $F251&gt;=BM$5-4, $F251&lt;=BM$5, COUNTIF($M251:BL251,"u")=0), "u", "")</f>
        <v/>
      </c>
      <c r="BN251" s="80" t="str">
        <f>IF(AND($F251&lt;&gt;"", $F251&gt;=BN$5-4, $F251&lt;=BN$5, COUNTIF($M251:BM251,"u")=0), "u", "")</f>
        <v/>
      </c>
      <c r="BO251" s="80" t="str">
        <f>IF(AND($F251&lt;&gt;"", $F251&gt;=BO$5-4, $F251&lt;=BO$5, COUNTIF($M251:BN251,"u")=0), "u", "")</f>
        <v/>
      </c>
      <c r="BP251" s="80" t="str">
        <f>IF(AND($F251&lt;&gt;"", $F251&gt;=BP$5-4, $F251&lt;=BP$5, COUNTIF($M251:BO251,"u")=0), "u", "")</f>
        <v/>
      </c>
      <c r="BQ251" s="80" t="str">
        <f>IF(AND($F251&lt;&gt;"", $F251&gt;=BQ$5-4, $F251&lt;=BQ$5, COUNTIF($M251:BP251,"u")=0), "u", "")</f>
        <v/>
      </c>
      <c r="BR251" s="80" t="str">
        <f>IF(AND($F251&lt;&gt;"", $F251&gt;=BR$5-4, $F251&lt;=BR$5, COUNTIF($M251:BQ251,"u")=0), "u", "")</f>
        <v/>
      </c>
      <c r="BS251" s="80" t="str">
        <f>IF(AND($F251&lt;&gt;"", $F251&gt;=BS$5-4, $F251&lt;=BS$5, COUNTIF($M251:BR251,"u")=0), "u", "")</f>
        <v/>
      </c>
      <c r="BT251" s="80" t="str">
        <f>IF(AND($F251&lt;&gt;"", $F251&gt;=BT$5-4, $F251&lt;=BT$5, COUNTIF($M251:BS251,"u")=0), "u", "")</f>
        <v/>
      </c>
      <c r="BU251" s="80" t="str">
        <f>IF(AND($F251&lt;&gt;"", $F251&gt;=BU$5-4, $F251&lt;=BU$5, COUNTIF($M251:BT251,"u")=0), "u", "")</f>
        <v/>
      </c>
      <c r="BV251" s="80" t="str">
        <f>IF(AND($F251&lt;&gt;"", $F251&gt;=BV$5-4, $F251&lt;=BV$5, COUNTIF($M251:BU251,"u")=0), "u", "")</f>
        <v/>
      </c>
      <c r="BW251" s="80" t="str">
        <f>IF(AND($F251&lt;&gt;"", $F251&gt;=BW$5-4, $F251&lt;=BW$5, COUNTIF($M251:BV251,"u")=0), "u", "")</f>
        <v/>
      </c>
      <c r="BX251" s="80" t="str">
        <f>IF(AND($F251&lt;&gt;"", $F251&gt;=BX$5-4, $F251&lt;=BX$5, COUNTIF($M251:BW251,"u")=0), "u", "")</f>
        <v/>
      </c>
      <c r="BY251" s="80" t="str">
        <f>IF(AND($F251&lt;&gt;"", $F251&gt;=BY$5-4, $F251&lt;=BY$5, COUNTIF($M251:BX251,"u")=0), "u", "")</f>
        <v/>
      </c>
      <c r="BZ251" s="80" t="str">
        <f>IF(AND($F251&lt;&gt;"", $F251&gt;=BZ$5-4, $F251&lt;=BZ$5, COUNTIF($M251:BY251,"u")=0), "u", "")</f>
        <v/>
      </c>
      <c r="CA251" s="80" t="str">
        <f>IF(AND($F251&lt;&gt;"", $F251&gt;=CA$5-4, $F251&lt;=CA$5, COUNTIF($M251:BZ251,"u")=0), "u", "")</f>
        <v/>
      </c>
      <c r="CB251" s="80" t="str">
        <f>IF(AND($F251&lt;&gt;"", $F251&gt;=CB$5-4, $F251&lt;=CB$5, COUNTIF($M251:CA251,"u")=0), "u", "")</f>
        <v/>
      </c>
      <c r="CC251" s="80" t="str">
        <f>IF(AND($F251&lt;&gt;"", $F251&gt;=CC$5-4, $F251&lt;=CC$5, COUNTIF($M251:CB251,"u")=0), "u", "")</f>
        <v/>
      </c>
      <c r="CD251" s="80" t="str">
        <f>IF(AND($F251&lt;&gt;"", $F251&gt;=CD$5-4, $F251&lt;=CD$5, COUNTIF($M251:CC251,"u")=0), "u", "")</f>
        <v/>
      </c>
      <c r="CE251" s="80" t="str">
        <f>IF(AND($F251&lt;&gt;"", $F251&gt;=CE$5-4, $F251&lt;=CE$5, COUNTIF($M251:CD251,"u")=0), "u", "")</f>
        <v/>
      </c>
      <c r="CF251" s="80" t="str">
        <f>IF(AND($F251&lt;&gt;"", $F251&gt;=CF$5-4, $F251&lt;=CF$5, COUNTIF($M251:CE251,"u")=0), "u", "")</f>
        <v/>
      </c>
      <c r="CG251" s="80" t="str">
        <f>IF(AND($F251&lt;&gt;"", $F251&gt;=CG$5-4, $F251&lt;=CG$5, COUNTIF($M251:CF251,"u")=0), "u", "")</f>
        <v/>
      </c>
      <c r="CH251" s="80" t="str">
        <f>IF(AND($F251&lt;&gt;"", $F251&gt;=CH$5-4, $F251&lt;=CH$5, COUNTIF($M251:CG251,"u")=0), "u", "")</f>
        <v/>
      </c>
      <c r="CI251" s="80" t="str">
        <f>IF(AND($F251&lt;&gt;"", $F251&gt;=CI$5-4, $F251&lt;=CI$5, COUNTIF($M251:CH251,"u")=0), "u", "")</f>
        <v/>
      </c>
      <c r="CJ251" s="80" t="str">
        <f>IF(AND($F251&lt;&gt;"", $F251&gt;=CJ$5-4, $F251&lt;=CJ$5, COUNTIF($M251:CI251,"u")=0), "u", "")</f>
        <v/>
      </c>
      <c r="CK251" s="80" t="str">
        <f>IF(AND($F251&lt;&gt;"", $F251&gt;=CK$5-4, $F251&lt;=CK$5, COUNTIF($M251:CJ251,"u")=0), "u", "")</f>
        <v/>
      </c>
      <c r="CL251" s="80" t="str">
        <f>IF(AND($F251&lt;&gt;"", $F251&gt;=CL$5-4, $F251&lt;=CL$5, COUNTIF($M251:CK251,"u")=0), "u", "")</f>
        <v/>
      </c>
      <c r="CM251" s="80" t="str">
        <f>IF(AND($F251&lt;&gt;"", $F251&gt;=CM$5-4, $F251&lt;=CM$5, COUNTIF($M251:CL251,"u")=0), "u", "")</f>
        <v/>
      </c>
      <c r="CN251" s="80" t="str">
        <f>IF(AND($F251&lt;&gt;"", $F251&gt;=CN$5-4, $F251&lt;=CN$5, COUNTIF($M251:CM251,"u")=0), "u", "")</f>
        <v/>
      </c>
      <c r="CO251" s="80" t="str">
        <f>IF(AND($F251&lt;&gt;"", $F251&gt;=CO$5-4, $F251&lt;=CO$5, COUNTIF($M251:CN251,"u")=0), "u", "")</f>
        <v/>
      </c>
      <c r="CP251" s="80" t="str">
        <f>IF(AND($F251&lt;&gt;"", $F251&gt;=CP$5-4, $F251&lt;=CP$5, COUNTIF($M251:CO251,"u")=0), "u", "")</f>
        <v/>
      </c>
      <c r="CQ251" s="80" t="str">
        <f>IF(AND($F251&lt;&gt;"", $F251&gt;=CQ$5-4, $F251&lt;=CQ$5, COUNTIF($M251:CP251,"u")=0), "u", "")</f>
        <v/>
      </c>
      <c r="CR251" s="80" t="str">
        <f>IF(AND($F251&lt;&gt;"", $F251&gt;=CR$5-4, $F251&lt;=CR$5, COUNTIF($M251:CQ251,"u")=0), "u", "")</f>
        <v/>
      </c>
      <c r="CS251" s="80" t="str">
        <f>IF(AND($F251&lt;&gt;"", $F251&gt;=CS$5-4, $F251&lt;=CS$5, COUNTIF($M251:CR251,"u")=0), "u", "")</f>
        <v/>
      </c>
      <c r="CT251" s="80" t="str">
        <f>IF(AND($F251&lt;&gt;"", $F251&gt;=CT$5-4, $F251&lt;=CT$5, COUNTIF($M251:CS251,"u")=0), "u", "")</f>
        <v/>
      </c>
      <c r="CU251" s="80" t="str">
        <f>IF(AND($F251&lt;&gt;"", $F251&gt;=CU$5-4, $F251&lt;=CU$5, COUNTIF($M251:CT251,"u")=0), "u", "")</f>
        <v/>
      </c>
      <c r="CV251" s="80" t="str">
        <f>IF(AND($F251&lt;&gt;"", $F251&gt;=CV$5-4, $F251&lt;=CV$5, COUNTIF($M251:CU251,"u")=0), "u", "")</f>
        <v/>
      </c>
      <c r="CW251" s="80" t="str">
        <f>IF(AND($F251&lt;&gt;"", $F251&gt;=CW$5-4, $F251&lt;=CW$5, COUNTIF($M251:CV251,"u")=0), "u", "")</f>
        <v/>
      </c>
      <c r="CX251" s="80" t="str">
        <f>IF(AND($F251&lt;&gt;"", $F251&gt;=CX$5-4, $F251&lt;=CX$5, COUNTIF($M251:CW251,"u")=0), "u", "")</f>
        <v/>
      </c>
      <c r="CY251" s="80" t="str">
        <f>IF(AND($F251&lt;&gt;"", $F251&gt;=CY$5-4, $F251&lt;=CY$5, COUNTIF($M251:CX251,"u")=0), "u", "")</f>
        <v/>
      </c>
      <c r="CZ251" s="80" t="str">
        <f>IF(AND($F251&lt;&gt;"", $F251&gt;=CZ$5-4, $F251&lt;=CZ$5, COUNTIF($M251:CY251,"u")=0), "u", "")</f>
        <v/>
      </c>
      <c r="DA251" s="80" t="str">
        <f>IF(AND($F251&lt;&gt;"", $F251&gt;=DA$5-4, $F251&lt;=DA$5, COUNTIF($M251:CZ251,"u")=0), "u", "")</f>
        <v/>
      </c>
      <c r="DB251" s="80" t="str">
        <f>IF(AND($F251&lt;&gt;"", $F251&gt;=DB$5-4, $F251&lt;=DB$5, COUNTIF($M251:DA251,"u")=0), "u", "")</f>
        <v/>
      </c>
      <c r="DC251" s="80" t="str">
        <f>IF(AND($F251&lt;&gt;"", $F251&gt;=DC$5-4, $F251&lt;=DC$5, COUNTIF($M251:DB251,"u")=0), "u", "")</f>
        <v/>
      </c>
      <c r="DD251" s="80" t="str">
        <f>IF(AND($F251&lt;&gt;"", $F251&gt;=DD$5-4, $F251&lt;=DD$5, COUNTIF($M251:DC251,"u")=0), "u", "")</f>
        <v/>
      </c>
      <c r="DE251" s="80" t="str">
        <f>IF(AND($F251&lt;&gt;"", $F251&gt;=DE$5-4, $F251&lt;=DE$5, COUNTIF($M251:DD251,"u")=0), "u", "")</f>
        <v/>
      </c>
      <c r="DF251" s="80" t="str">
        <f>IF(AND($F251&lt;&gt;"", $F251&gt;=DF$5-4, $F251&lt;=DF$5, COUNTIF($M251:DE251,"u")=0), "u", "")</f>
        <v/>
      </c>
      <c r="DG251" s="80" t="str">
        <f>IF(AND($F251&lt;&gt;"", $F251&gt;=DG$5-4, $F251&lt;=DG$5, COUNTIF($M251:DF251,"u")=0), "u", "")</f>
        <v/>
      </c>
      <c r="DH251" s="80" t="str">
        <f>IF(AND($F251&lt;&gt;"", $F251&gt;=DH$5-4, $F251&lt;=DH$5, COUNTIF($M251:DG251,"u")=0), "u", "")</f>
        <v/>
      </c>
      <c r="DI251" s="80" t="str">
        <f>IF(AND($F251&lt;&gt;"", $F251&gt;=DI$5-4, $F251&lt;=DI$5, COUNTIF($M251:DH251,"u")=0), "u", "")</f>
        <v/>
      </c>
      <c r="DJ251" s="80" t="str">
        <f>IF(AND($F251&lt;&gt;"", $F251&gt;=DJ$5-4, $F251&lt;=DJ$5, COUNTIF($M251:DI251,"u")=0), "u", "")</f>
        <v/>
      </c>
      <c r="DK251" s="80" t="str">
        <f>IF(AND($F251&lt;&gt;"", $F251&gt;=DK$5-4, $F251&lt;=DK$5, COUNTIF($M251:DJ251,"u")=0), "u", "")</f>
        <v/>
      </c>
      <c r="DL251" s="80" t="str">
        <f>IF(AND($F251&lt;&gt;"", $F251&gt;=DL$5-4, $F251&lt;=DL$5, COUNTIF($M251:DK251,"u")=0), "u", "")</f>
        <v/>
      </c>
    </row>
    <row r="252" spans="1:116" ht="25.05" customHeight="1" x14ac:dyDescent="0.3">
      <c r="A252" s="39"/>
      <c r="B252" s="75">
        <v>247</v>
      </c>
      <c r="C252" s="97"/>
      <c r="D252" s="92"/>
      <c r="E252" s="53"/>
      <c r="F252" s="53"/>
      <c r="G252" s="83" t="str">
        <f t="shared" si="56"/>
        <v/>
      </c>
      <c r="H252" s="83" t="str">
        <f t="shared" si="56"/>
        <v/>
      </c>
      <c r="I252" s="77" t="str">
        <f t="shared" si="54"/>
        <v/>
      </c>
      <c r="J252" s="78"/>
      <c r="K252" s="86"/>
      <c r="L252" s="56"/>
      <c r="M252" s="80" t="str">
        <f t="shared" si="55"/>
        <v/>
      </c>
      <c r="N252" s="80" t="str">
        <f>IF(AND($F252&lt;&gt;"", $F252&gt;=N$5-4, $F252&lt;=N$5, COUNTIF($M252:M252,"u")=0), "u", "")</f>
        <v/>
      </c>
      <c r="O252" s="80" t="str">
        <f>IF(AND($F252&lt;&gt;"", $F252&gt;=O$5-4, $F252&lt;=O$5, COUNTIF($M252:N252,"u")=0), "u", "")</f>
        <v/>
      </c>
      <c r="P252" s="80" t="str">
        <f>IF(AND($F252&lt;&gt;"", $F252&gt;=P$5-4, $F252&lt;=P$5, COUNTIF($M252:O252,"u")=0), "u", "")</f>
        <v/>
      </c>
      <c r="Q252" s="80" t="str">
        <f>IF(AND($F252&lt;&gt;"", $F252&gt;=Q$5-4, $F252&lt;=Q$5, COUNTIF($M252:P252,"u")=0), "u", "")</f>
        <v/>
      </c>
      <c r="R252" s="80" t="str">
        <f>IF(AND($F252&lt;&gt;"", $F252&gt;=R$5-4, $F252&lt;=R$5, COUNTIF($M252:Q252,"u")=0), "u", "")</f>
        <v/>
      </c>
      <c r="S252" s="80" t="str">
        <f>IF(AND($F252&lt;&gt;"", $F252&gt;=S$5-4, $F252&lt;=S$5, COUNTIF($M252:R252,"u")=0), "u", "")</f>
        <v/>
      </c>
      <c r="T252" s="80" t="str">
        <f>IF(AND($F252&lt;&gt;"", $F252&gt;=T$5-4, $F252&lt;=T$5, COUNTIF($M252:S252,"u")=0), "u", "")</f>
        <v/>
      </c>
      <c r="U252" s="80" t="str">
        <f>IF(AND($F252&lt;&gt;"", $F252&gt;=U$5-4, $F252&lt;=U$5, COUNTIF($M252:T252,"u")=0), "u", "")</f>
        <v/>
      </c>
      <c r="V252" s="80" t="str">
        <f>IF(AND($F252&lt;&gt;"", $F252&gt;=V$5-4, $F252&lt;=V$5, COUNTIF($M252:U252,"u")=0), "u", "")</f>
        <v/>
      </c>
      <c r="W252" s="80" t="str">
        <f>IF(AND($F252&lt;&gt;"", $F252&gt;=W$5-4, $F252&lt;=W$5, COUNTIF($M252:V252,"u")=0), "u", "")</f>
        <v/>
      </c>
      <c r="X252" s="80" t="str">
        <f>IF(AND($F252&lt;&gt;"", $F252&gt;=X$5-4, $F252&lt;=X$5, COUNTIF($M252:W252,"u")=0), "u", "")</f>
        <v/>
      </c>
      <c r="Y252" s="80" t="str">
        <f>IF(AND($F252&lt;&gt;"", $F252&gt;=Y$5-4, $F252&lt;=Y$5, COUNTIF($M252:X252,"u")=0), "u", "")</f>
        <v/>
      </c>
      <c r="Z252" s="80" t="str">
        <f>IF(AND($F252&lt;&gt;"", $F252&gt;=Z$5-4, $F252&lt;=Z$5, COUNTIF($M252:Y252,"u")=0), "u", "")</f>
        <v/>
      </c>
      <c r="AA252" s="80" t="str">
        <f>IF(AND($F252&lt;&gt;"", $F252&gt;=AA$5-4, $F252&lt;=AA$5, COUNTIF($M252:Z252,"u")=0), "u", "")</f>
        <v/>
      </c>
      <c r="AB252" s="80" t="str">
        <f>IF(AND($F252&lt;&gt;"", $F252&gt;=AB$5-4, $F252&lt;=AB$5, COUNTIF($M252:AA252,"u")=0), "u", "")</f>
        <v/>
      </c>
      <c r="AC252" s="80" t="str">
        <f>IF(AND($F252&lt;&gt;"", $F252&gt;=AC$5-4, $F252&lt;=AC$5, COUNTIF($M252:AB252,"u")=0), "u", "")</f>
        <v/>
      </c>
      <c r="AD252" s="80" t="str">
        <f>IF(AND($F252&lt;&gt;"", $F252&gt;=AD$5-4, $F252&lt;=AD$5, COUNTIF($M252:AC252,"u")=0), "u", "")</f>
        <v/>
      </c>
      <c r="AE252" s="80" t="str">
        <f>IF(AND($F252&lt;&gt;"", $F252&gt;=AE$5-4, $F252&lt;=AE$5, COUNTIF($M252:AD252,"u")=0), "u", "")</f>
        <v/>
      </c>
      <c r="AF252" s="80" t="str">
        <f>IF(AND($F252&lt;&gt;"", $F252&gt;=AF$5-4, $F252&lt;=AF$5, COUNTIF($M252:AE252,"u")=0), "u", "")</f>
        <v/>
      </c>
      <c r="AG252" s="80" t="str">
        <f>IF(AND($F252&lt;&gt;"", $F252&gt;=AG$5-4, $F252&lt;=AG$5, COUNTIF($M252:AF252,"u")=0), "u", "")</f>
        <v/>
      </c>
      <c r="AH252" s="80" t="str">
        <f>IF(AND($F252&lt;&gt;"", $F252&gt;=AH$5-4, $F252&lt;=AH$5, COUNTIF($M252:AG252,"u")=0), "u", "")</f>
        <v/>
      </c>
      <c r="AI252" s="80" t="str">
        <f>IF(AND($F252&lt;&gt;"", $F252&gt;=AI$5-4, $F252&lt;=AI$5, COUNTIF($M252:AH252,"u")=0), "u", "")</f>
        <v/>
      </c>
      <c r="AJ252" s="80" t="str">
        <f>IF(AND($F252&lt;&gt;"", $F252&gt;=AJ$5-4, $F252&lt;=AJ$5, COUNTIF($M252:AI252,"u")=0), "u", "")</f>
        <v/>
      </c>
      <c r="AK252" s="80" t="str">
        <f>IF(AND($F252&lt;&gt;"", $F252&gt;=AK$5-4, $F252&lt;=AK$5, COUNTIF($M252:AJ252,"u")=0), "u", "")</f>
        <v/>
      </c>
      <c r="AL252" s="80" t="str">
        <f>IF(AND($F252&lt;&gt;"", $F252&gt;=AL$5-4, $F252&lt;=AL$5, COUNTIF($M252:AK252,"u")=0), "u", "")</f>
        <v/>
      </c>
      <c r="AM252" s="80" t="str">
        <f>IF(AND($F252&lt;&gt;"", $F252&gt;=AM$5-4, $F252&lt;=AM$5, COUNTIF($M252:AL252,"u")=0), "u", "")</f>
        <v/>
      </c>
      <c r="AN252" s="80" t="str">
        <f>IF(AND($F252&lt;&gt;"", $F252&gt;=AN$5-4, $F252&lt;=AN$5, COUNTIF($M252:AM252,"u")=0), "u", "")</f>
        <v/>
      </c>
      <c r="AO252" s="80" t="str">
        <f>IF(AND($F252&lt;&gt;"", $F252&gt;=AO$5-4, $F252&lt;=AO$5, COUNTIF($M252:AN252,"u")=0), "u", "")</f>
        <v/>
      </c>
      <c r="AP252" s="80" t="str">
        <f>IF(AND($F252&lt;&gt;"", $F252&gt;=AP$5-4, $F252&lt;=AP$5, COUNTIF($M252:AO252,"u")=0), "u", "")</f>
        <v/>
      </c>
      <c r="AQ252" s="80" t="str">
        <f>IF(AND($F252&lt;&gt;"", $F252&gt;=AQ$5-4, $F252&lt;=AQ$5, COUNTIF($M252:AP252,"u")=0), "u", "")</f>
        <v/>
      </c>
      <c r="AR252" s="80" t="str">
        <f>IF(AND($F252&lt;&gt;"", $F252&gt;=AR$5-4, $F252&lt;=AR$5, COUNTIF($M252:AQ252,"u")=0), "u", "")</f>
        <v/>
      </c>
      <c r="AS252" s="80" t="str">
        <f>IF(AND($F252&lt;&gt;"", $F252&gt;=AS$5-4, $F252&lt;=AS$5, COUNTIF($M252:AR252,"u")=0), "u", "")</f>
        <v/>
      </c>
      <c r="AT252" s="80" t="str">
        <f>IF(AND($F252&lt;&gt;"", $F252&gt;=AT$5-4, $F252&lt;=AT$5, COUNTIF($M252:AS252,"u")=0), "u", "")</f>
        <v/>
      </c>
      <c r="AU252" s="80" t="str">
        <f>IF(AND($F252&lt;&gt;"", $F252&gt;=AU$5-4, $F252&lt;=AU$5, COUNTIF($M252:AT252,"u")=0), "u", "")</f>
        <v/>
      </c>
      <c r="AV252" s="80" t="str">
        <f>IF(AND($F252&lt;&gt;"", $F252&gt;=AV$5-4, $F252&lt;=AV$5, COUNTIF($M252:AU252,"u")=0), "u", "")</f>
        <v/>
      </c>
      <c r="AW252" s="80" t="str">
        <f>IF(AND($F252&lt;&gt;"", $F252&gt;=AW$5-4, $F252&lt;=AW$5, COUNTIF($M252:AV252,"u")=0), "u", "")</f>
        <v/>
      </c>
      <c r="AX252" s="80" t="str">
        <f>IF(AND($F252&lt;&gt;"", $F252&gt;=AX$5-4, $F252&lt;=AX$5, COUNTIF($M252:AW252,"u")=0), "u", "")</f>
        <v/>
      </c>
      <c r="AY252" s="80" t="str">
        <f>IF(AND($F252&lt;&gt;"", $F252&gt;=AY$5-4, $F252&lt;=AY$5, COUNTIF($M252:AX252,"u")=0), "u", "")</f>
        <v/>
      </c>
      <c r="AZ252" s="80" t="str">
        <f>IF(AND($F252&lt;&gt;"", $F252&gt;=AZ$5-4, $F252&lt;=AZ$5, COUNTIF($M252:AY252,"u")=0), "u", "")</f>
        <v/>
      </c>
      <c r="BA252" s="80" t="str">
        <f>IF(AND($F252&lt;&gt;"", $F252&gt;=BA$5-4, $F252&lt;=BA$5, COUNTIF($M252:AZ252,"u")=0), "u", "")</f>
        <v/>
      </c>
      <c r="BB252" s="80" t="str">
        <f>IF(AND($F252&lt;&gt;"", $F252&gt;=BB$5-4, $F252&lt;=BB$5, COUNTIF($M252:BA252,"u")=0), "u", "")</f>
        <v/>
      </c>
      <c r="BC252" s="80" t="str">
        <f>IF(AND($F252&lt;&gt;"", $F252&gt;=BC$5-4, $F252&lt;=BC$5, COUNTIF($M252:BB252,"u")=0), "u", "")</f>
        <v/>
      </c>
      <c r="BD252" s="80" t="str">
        <f>IF(AND($F252&lt;&gt;"", $F252&gt;=BD$5-4, $F252&lt;=BD$5, COUNTIF($M252:BC252,"u")=0), "u", "")</f>
        <v/>
      </c>
      <c r="BE252" s="80" t="str">
        <f>IF(AND($F252&lt;&gt;"", $F252&gt;=BE$5-4, $F252&lt;=BE$5, COUNTIF($M252:BD252,"u")=0), "u", "")</f>
        <v/>
      </c>
      <c r="BF252" s="80" t="str">
        <f>IF(AND($F252&lt;&gt;"", $F252&gt;=BF$5-4, $F252&lt;=BF$5, COUNTIF($M252:BE252,"u")=0), "u", "")</f>
        <v/>
      </c>
      <c r="BG252" s="80" t="str">
        <f>IF(AND($F252&lt;&gt;"", $F252&gt;=BG$5-4, $F252&lt;=BG$5, COUNTIF($M252:BF252,"u")=0), "u", "")</f>
        <v/>
      </c>
      <c r="BH252" s="80" t="str">
        <f>IF(AND($F252&lt;&gt;"", $F252&gt;=BH$5-4, $F252&lt;=BH$5, COUNTIF($M252:BG252,"u")=0), "u", "")</f>
        <v/>
      </c>
      <c r="BI252" s="80" t="str">
        <f>IF(AND($F252&lt;&gt;"", $F252&gt;=BI$5-4, $F252&lt;=BI$5, COUNTIF($M252:BH252,"u")=0), "u", "")</f>
        <v/>
      </c>
      <c r="BJ252" s="80" t="str">
        <f>IF(AND($F252&lt;&gt;"", $F252&gt;=BJ$5-4, $F252&lt;=BJ$5, COUNTIF($M252:BI252,"u")=0), "u", "")</f>
        <v/>
      </c>
      <c r="BK252" s="80" t="str">
        <f>IF(AND($F252&lt;&gt;"", $F252&gt;=BK$5-4, $F252&lt;=BK$5, COUNTIF($M252:BJ252,"u")=0), "u", "")</f>
        <v/>
      </c>
      <c r="BL252" s="80" t="str">
        <f>IF(AND($F252&lt;&gt;"", $F252&gt;=BL$5-4, $F252&lt;=BL$5, COUNTIF($M252:BK252,"u")=0), "u", "")</f>
        <v/>
      </c>
      <c r="BM252" s="80" t="str">
        <f>IF(AND($F252&lt;&gt;"", $F252&gt;=BM$5-4, $F252&lt;=BM$5, COUNTIF($M252:BL252,"u")=0), "u", "")</f>
        <v/>
      </c>
      <c r="BN252" s="80" t="str">
        <f>IF(AND($F252&lt;&gt;"", $F252&gt;=BN$5-4, $F252&lt;=BN$5, COUNTIF($M252:BM252,"u")=0), "u", "")</f>
        <v/>
      </c>
      <c r="BO252" s="80" t="str">
        <f>IF(AND($F252&lt;&gt;"", $F252&gt;=BO$5-4, $F252&lt;=BO$5, COUNTIF($M252:BN252,"u")=0), "u", "")</f>
        <v/>
      </c>
      <c r="BP252" s="80" t="str">
        <f>IF(AND($F252&lt;&gt;"", $F252&gt;=BP$5-4, $F252&lt;=BP$5, COUNTIF($M252:BO252,"u")=0), "u", "")</f>
        <v/>
      </c>
      <c r="BQ252" s="80" t="str">
        <f>IF(AND($F252&lt;&gt;"", $F252&gt;=BQ$5-4, $F252&lt;=BQ$5, COUNTIF($M252:BP252,"u")=0), "u", "")</f>
        <v/>
      </c>
      <c r="BR252" s="80" t="str">
        <f>IF(AND($F252&lt;&gt;"", $F252&gt;=BR$5-4, $F252&lt;=BR$5, COUNTIF($M252:BQ252,"u")=0), "u", "")</f>
        <v/>
      </c>
      <c r="BS252" s="80" t="str">
        <f>IF(AND($F252&lt;&gt;"", $F252&gt;=BS$5-4, $F252&lt;=BS$5, COUNTIF($M252:BR252,"u")=0), "u", "")</f>
        <v/>
      </c>
      <c r="BT252" s="80" t="str">
        <f>IF(AND($F252&lt;&gt;"", $F252&gt;=BT$5-4, $F252&lt;=BT$5, COUNTIF($M252:BS252,"u")=0), "u", "")</f>
        <v/>
      </c>
      <c r="BU252" s="80" t="str">
        <f>IF(AND($F252&lt;&gt;"", $F252&gt;=BU$5-4, $F252&lt;=BU$5, COUNTIF($M252:BT252,"u")=0), "u", "")</f>
        <v/>
      </c>
      <c r="BV252" s="80" t="str">
        <f>IF(AND($F252&lt;&gt;"", $F252&gt;=BV$5-4, $F252&lt;=BV$5, COUNTIF($M252:BU252,"u")=0), "u", "")</f>
        <v/>
      </c>
      <c r="BW252" s="80" t="str">
        <f>IF(AND($F252&lt;&gt;"", $F252&gt;=BW$5-4, $F252&lt;=BW$5, COUNTIF($M252:BV252,"u")=0), "u", "")</f>
        <v/>
      </c>
      <c r="BX252" s="80" t="str">
        <f>IF(AND($F252&lt;&gt;"", $F252&gt;=BX$5-4, $F252&lt;=BX$5, COUNTIF($M252:BW252,"u")=0), "u", "")</f>
        <v/>
      </c>
      <c r="BY252" s="80" t="str">
        <f>IF(AND($F252&lt;&gt;"", $F252&gt;=BY$5-4, $F252&lt;=BY$5, COUNTIF($M252:BX252,"u")=0), "u", "")</f>
        <v/>
      </c>
      <c r="BZ252" s="80" t="str">
        <f>IF(AND($F252&lt;&gt;"", $F252&gt;=BZ$5-4, $F252&lt;=BZ$5, COUNTIF($M252:BY252,"u")=0), "u", "")</f>
        <v/>
      </c>
      <c r="CA252" s="80" t="str">
        <f>IF(AND($F252&lt;&gt;"", $F252&gt;=CA$5-4, $F252&lt;=CA$5, COUNTIF($M252:BZ252,"u")=0), "u", "")</f>
        <v/>
      </c>
      <c r="CB252" s="80" t="str">
        <f>IF(AND($F252&lt;&gt;"", $F252&gt;=CB$5-4, $F252&lt;=CB$5, COUNTIF($M252:CA252,"u")=0), "u", "")</f>
        <v/>
      </c>
      <c r="CC252" s="80" t="str">
        <f>IF(AND($F252&lt;&gt;"", $F252&gt;=CC$5-4, $F252&lt;=CC$5, COUNTIF($M252:CB252,"u")=0), "u", "")</f>
        <v/>
      </c>
      <c r="CD252" s="80" t="str">
        <f>IF(AND($F252&lt;&gt;"", $F252&gt;=CD$5-4, $F252&lt;=CD$5, COUNTIF($M252:CC252,"u")=0), "u", "")</f>
        <v/>
      </c>
      <c r="CE252" s="80" t="str">
        <f>IF(AND($F252&lt;&gt;"", $F252&gt;=CE$5-4, $F252&lt;=CE$5, COUNTIF($M252:CD252,"u")=0), "u", "")</f>
        <v/>
      </c>
      <c r="CF252" s="80" t="str">
        <f>IF(AND($F252&lt;&gt;"", $F252&gt;=CF$5-4, $F252&lt;=CF$5, COUNTIF($M252:CE252,"u")=0), "u", "")</f>
        <v/>
      </c>
      <c r="CG252" s="80" t="str">
        <f>IF(AND($F252&lt;&gt;"", $F252&gt;=CG$5-4, $F252&lt;=CG$5, COUNTIF($M252:CF252,"u")=0), "u", "")</f>
        <v/>
      </c>
      <c r="CH252" s="80" t="str">
        <f>IF(AND($F252&lt;&gt;"", $F252&gt;=CH$5-4, $F252&lt;=CH$5, COUNTIF($M252:CG252,"u")=0), "u", "")</f>
        <v/>
      </c>
      <c r="CI252" s="80" t="str">
        <f>IF(AND($F252&lt;&gt;"", $F252&gt;=CI$5-4, $F252&lt;=CI$5, COUNTIF($M252:CH252,"u")=0), "u", "")</f>
        <v/>
      </c>
      <c r="CJ252" s="80" t="str">
        <f>IF(AND($F252&lt;&gt;"", $F252&gt;=CJ$5-4, $F252&lt;=CJ$5, COUNTIF($M252:CI252,"u")=0), "u", "")</f>
        <v/>
      </c>
      <c r="CK252" s="80" t="str">
        <f>IF(AND($F252&lt;&gt;"", $F252&gt;=CK$5-4, $F252&lt;=CK$5, COUNTIF($M252:CJ252,"u")=0), "u", "")</f>
        <v/>
      </c>
      <c r="CL252" s="80" t="str">
        <f>IF(AND($F252&lt;&gt;"", $F252&gt;=CL$5-4, $F252&lt;=CL$5, COUNTIF($M252:CK252,"u")=0), "u", "")</f>
        <v/>
      </c>
      <c r="CM252" s="80" t="str">
        <f>IF(AND($F252&lt;&gt;"", $F252&gt;=CM$5-4, $F252&lt;=CM$5, COUNTIF($M252:CL252,"u")=0), "u", "")</f>
        <v/>
      </c>
      <c r="CN252" s="80" t="str">
        <f>IF(AND($F252&lt;&gt;"", $F252&gt;=CN$5-4, $F252&lt;=CN$5, COUNTIF($M252:CM252,"u")=0), "u", "")</f>
        <v/>
      </c>
      <c r="CO252" s="80" t="str">
        <f>IF(AND($F252&lt;&gt;"", $F252&gt;=CO$5-4, $F252&lt;=CO$5, COUNTIF($M252:CN252,"u")=0), "u", "")</f>
        <v/>
      </c>
      <c r="CP252" s="80" t="str">
        <f>IF(AND($F252&lt;&gt;"", $F252&gt;=CP$5-4, $F252&lt;=CP$5, COUNTIF($M252:CO252,"u")=0), "u", "")</f>
        <v/>
      </c>
      <c r="CQ252" s="80" t="str">
        <f>IF(AND($F252&lt;&gt;"", $F252&gt;=CQ$5-4, $F252&lt;=CQ$5, COUNTIF($M252:CP252,"u")=0), "u", "")</f>
        <v/>
      </c>
      <c r="CR252" s="80" t="str">
        <f>IF(AND($F252&lt;&gt;"", $F252&gt;=CR$5-4, $F252&lt;=CR$5, COUNTIF($M252:CQ252,"u")=0), "u", "")</f>
        <v/>
      </c>
      <c r="CS252" s="80" t="str">
        <f>IF(AND($F252&lt;&gt;"", $F252&gt;=CS$5-4, $F252&lt;=CS$5, COUNTIF($M252:CR252,"u")=0), "u", "")</f>
        <v/>
      </c>
      <c r="CT252" s="80" t="str">
        <f>IF(AND($F252&lt;&gt;"", $F252&gt;=CT$5-4, $F252&lt;=CT$5, COUNTIF($M252:CS252,"u")=0), "u", "")</f>
        <v/>
      </c>
      <c r="CU252" s="80" t="str">
        <f>IF(AND($F252&lt;&gt;"", $F252&gt;=CU$5-4, $F252&lt;=CU$5, COUNTIF($M252:CT252,"u")=0), "u", "")</f>
        <v/>
      </c>
      <c r="CV252" s="80" t="str">
        <f>IF(AND($F252&lt;&gt;"", $F252&gt;=CV$5-4, $F252&lt;=CV$5, COUNTIF($M252:CU252,"u")=0), "u", "")</f>
        <v/>
      </c>
      <c r="CW252" s="80" t="str">
        <f>IF(AND($F252&lt;&gt;"", $F252&gt;=CW$5-4, $F252&lt;=CW$5, COUNTIF($M252:CV252,"u")=0), "u", "")</f>
        <v/>
      </c>
      <c r="CX252" s="80" t="str">
        <f>IF(AND($F252&lt;&gt;"", $F252&gt;=CX$5-4, $F252&lt;=CX$5, COUNTIF($M252:CW252,"u")=0), "u", "")</f>
        <v/>
      </c>
      <c r="CY252" s="80" t="str">
        <f>IF(AND($F252&lt;&gt;"", $F252&gt;=CY$5-4, $F252&lt;=CY$5, COUNTIF($M252:CX252,"u")=0), "u", "")</f>
        <v/>
      </c>
      <c r="CZ252" s="80" t="str">
        <f>IF(AND($F252&lt;&gt;"", $F252&gt;=CZ$5-4, $F252&lt;=CZ$5, COUNTIF($M252:CY252,"u")=0), "u", "")</f>
        <v/>
      </c>
      <c r="DA252" s="80" t="str">
        <f>IF(AND($F252&lt;&gt;"", $F252&gt;=DA$5-4, $F252&lt;=DA$5, COUNTIF($M252:CZ252,"u")=0), "u", "")</f>
        <v/>
      </c>
      <c r="DB252" s="80" t="str">
        <f>IF(AND($F252&lt;&gt;"", $F252&gt;=DB$5-4, $F252&lt;=DB$5, COUNTIF($M252:DA252,"u")=0), "u", "")</f>
        <v/>
      </c>
      <c r="DC252" s="80" t="str">
        <f>IF(AND($F252&lt;&gt;"", $F252&gt;=DC$5-4, $F252&lt;=DC$5, COUNTIF($M252:DB252,"u")=0), "u", "")</f>
        <v/>
      </c>
      <c r="DD252" s="80" t="str">
        <f>IF(AND($F252&lt;&gt;"", $F252&gt;=DD$5-4, $F252&lt;=DD$5, COUNTIF($M252:DC252,"u")=0), "u", "")</f>
        <v/>
      </c>
      <c r="DE252" s="80" t="str">
        <f>IF(AND($F252&lt;&gt;"", $F252&gt;=DE$5-4, $F252&lt;=DE$5, COUNTIF($M252:DD252,"u")=0), "u", "")</f>
        <v/>
      </c>
      <c r="DF252" s="80" t="str">
        <f>IF(AND($F252&lt;&gt;"", $F252&gt;=DF$5-4, $F252&lt;=DF$5, COUNTIF($M252:DE252,"u")=0), "u", "")</f>
        <v/>
      </c>
      <c r="DG252" s="80" t="str">
        <f>IF(AND($F252&lt;&gt;"", $F252&gt;=DG$5-4, $F252&lt;=DG$5, COUNTIF($M252:DF252,"u")=0), "u", "")</f>
        <v/>
      </c>
      <c r="DH252" s="80" t="str">
        <f>IF(AND($F252&lt;&gt;"", $F252&gt;=DH$5-4, $F252&lt;=DH$5, COUNTIF($M252:DG252,"u")=0), "u", "")</f>
        <v/>
      </c>
      <c r="DI252" s="80" t="str">
        <f>IF(AND($F252&lt;&gt;"", $F252&gt;=DI$5-4, $F252&lt;=DI$5, COUNTIF($M252:DH252,"u")=0), "u", "")</f>
        <v/>
      </c>
      <c r="DJ252" s="80" t="str">
        <f>IF(AND($F252&lt;&gt;"", $F252&gt;=DJ$5-4, $F252&lt;=DJ$5, COUNTIF($M252:DI252,"u")=0), "u", "")</f>
        <v/>
      </c>
      <c r="DK252" s="80" t="str">
        <f>IF(AND($F252&lt;&gt;"", $F252&gt;=DK$5-4, $F252&lt;=DK$5, COUNTIF($M252:DJ252,"u")=0), "u", "")</f>
        <v/>
      </c>
      <c r="DL252" s="80" t="str">
        <f>IF(AND($F252&lt;&gt;"", $F252&gt;=DL$5-4, $F252&lt;=DL$5, COUNTIF($M252:DK252,"u")=0), "u", "")</f>
        <v/>
      </c>
    </row>
    <row r="253" spans="1:116" ht="25.05" customHeight="1" x14ac:dyDescent="0.3">
      <c r="A253" s="39"/>
      <c r="B253" s="75">
        <v>248</v>
      </c>
      <c r="C253" s="97"/>
      <c r="D253" s="92"/>
      <c r="E253" s="53"/>
      <c r="F253" s="53"/>
      <c r="G253" s="83" t="str">
        <f t="shared" si="56"/>
        <v/>
      </c>
      <c r="H253" s="83" t="str">
        <f t="shared" si="56"/>
        <v/>
      </c>
      <c r="I253" s="77" t="str">
        <f t="shared" si="54"/>
        <v/>
      </c>
      <c r="J253" s="78"/>
      <c r="K253" s="86"/>
      <c r="L253" s="56"/>
      <c r="M253" s="80" t="str">
        <f t="shared" si="55"/>
        <v/>
      </c>
      <c r="N253" s="80" t="str">
        <f>IF(AND($F253&lt;&gt;"", $F253&gt;=N$5-4, $F253&lt;=N$5, COUNTIF($M253:M253,"u")=0), "u", "")</f>
        <v/>
      </c>
      <c r="O253" s="80" t="str">
        <f>IF(AND($F253&lt;&gt;"", $F253&gt;=O$5-4, $F253&lt;=O$5, COUNTIF($M253:N253,"u")=0), "u", "")</f>
        <v/>
      </c>
      <c r="P253" s="80" t="str">
        <f>IF(AND($F253&lt;&gt;"", $F253&gt;=P$5-4, $F253&lt;=P$5, COUNTIF($M253:O253,"u")=0), "u", "")</f>
        <v/>
      </c>
      <c r="Q253" s="80" t="str">
        <f>IF(AND($F253&lt;&gt;"", $F253&gt;=Q$5-4, $F253&lt;=Q$5, COUNTIF($M253:P253,"u")=0), "u", "")</f>
        <v/>
      </c>
      <c r="R253" s="80" t="str">
        <f>IF(AND($F253&lt;&gt;"", $F253&gt;=R$5-4, $F253&lt;=R$5, COUNTIF($M253:Q253,"u")=0), "u", "")</f>
        <v/>
      </c>
      <c r="S253" s="80" t="str">
        <f>IF(AND($F253&lt;&gt;"", $F253&gt;=S$5-4, $F253&lt;=S$5, COUNTIF($M253:R253,"u")=0), "u", "")</f>
        <v/>
      </c>
      <c r="T253" s="80" t="str">
        <f>IF(AND($F253&lt;&gt;"", $F253&gt;=T$5-4, $F253&lt;=T$5, COUNTIF($M253:S253,"u")=0), "u", "")</f>
        <v/>
      </c>
      <c r="U253" s="80" t="str">
        <f>IF(AND($F253&lt;&gt;"", $F253&gt;=U$5-4, $F253&lt;=U$5, COUNTIF($M253:T253,"u")=0), "u", "")</f>
        <v/>
      </c>
      <c r="V253" s="80" t="str">
        <f>IF(AND($F253&lt;&gt;"", $F253&gt;=V$5-4, $F253&lt;=V$5, COUNTIF($M253:U253,"u")=0), "u", "")</f>
        <v/>
      </c>
      <c r="W253" s="80" t="str">
        <f>IF(AND($F253&lt;&gt;"", $F253&gt;=W$5-4, $F253&lt;=W$5, COUNTIF($M253:V253,"u")=0), "u", "")</f>
        <v/>
      </c>
      <c r="X253" s="80" t="str">
        <f>IF(AND($F253&lt;&gt;"", $F253&gt;=X$5-4, $F253&lt;=X$5, COUNTIF($M253:W253,"u")=0), "u", "")</f>
        <v/>
      </c>
      <c r="Y253" s="80" t="str">
        <f>IF(AND($F253&lt;&gt;"", $F253&gt;=Y$5-4, $F253&lt;=Y$5, COUNTIF($M253:X253,"u")=0), "u", "")</f>
        <v/>
      </c>
      <c r="Z253" s="80" t="str">
        <f>IF(AND($F253&lt;&gt;"", $F253&gt;=Z$5-4, $F253&lt;=Z$5, COUNTIF($M253:Y253,"u")=0), "u", "")</f>
        <v/>
      </c>
      <c r="AA253" s="80" t="str">
        <f>IF(AND($F253&lt;&gt;"", $F253&gt;=AA$5-4, $F253&lt;=AA$5, COUNTIF($M253:Z253,"u")=0), "u", "")</f>
        <v/>
      </c>
      <c r="AB253" s="80" t="str">
        <f>IF(AND($F253&lt;&gt;"", $F253&gt;=AB$5-4, $F253&lt;=AB$5, COUNTIF($M253:AA253,"u")=0), "u", "")</f>
        <v/>
      </c>
      <c r="AC253" s="80" t="str">
        <f>IF(AND($F253&lt;&gt;"", $F253&gt;=AC$5-4, $F253&lt;=AC$5, COUNTIF($M253:AB253,"u")=0), "u", "")</f>
        <v/>
      </c>
      <c r="AD253" s="80" t="str">
        <f>IF(AND($F253&lt;&gt;"", $F253&gt;=AD$5-4, $F253&lt;=AD$5, COUNTIF($M253:AC253,"u")=0), "u", "")</f>
        <v/>
      </c>
      <c r="AE253" s="80" t="str">
        <f>IF(AND($F253&lt;&gt;"", $F253&gt;=AE$5-4, $F253&lt;=AE$5, COUNTIF($M253:AD253,"u")=0), "u", "")</f>
        <v/>
      </c>
      <c r="AF253" s="80" t="str">
        <f>IF(AND($F253&lt;&gt;"", $F253&gt;=AF$5-4, $F253&lt;=AF$5, COUNTIF($M253:AE253,"u")=0), "u", "")</f>
        <v/>
      </c>
      <c r="AG253" s="80" t="str">
        <f>IF(AND($F253&lt;&gt;"", $F253&gt;=AG$5-4, $F253&lt;=AG$5, COUNTIF($M253:AF253,"u")=0), "u", "")</f>
        <v/>
      </c>
      <c r="AH253" s="80" t="str">
        <f>IF(AND($F253&lt;&gt;"", $F253&gt;=AH$5-4, $F253&lt;=AH$5, COUNTIF($M253:AG253,"u")=0), "u", "")</f>
        <v/>
      </c>
      <c r="AI253" s="80" t="str">
        <f>IF(AND($F253&lt;&gt;"", $F253&gt;=AI$5-4, $F253&lt;=AI$5, COUNTIF($M253:AH253,"u")=0), "u", "")</f>
        <v/>
      </c>
      <c r="AJ253" s="80" t="str">
        <f>IF(AND($F253&lt;&gt;"", $F253&gt;=AJ$5-4, $F253&lt;=AJ$5, COUNTIF($M253:AI253,"u")=0), "u", "")</f>
        <v/>
      </c>
      <c r="AK253" s="80" t="str">
        <f>IF(AND($F253&lt;&gt;"", $F253&gt;=AK$5-4, $F253&lt;=AK$5, COUNTIF($M253:AJ253,"u")=0), "u", "")</f>
        <v/>
      </c>
      <c r="AL253" s="80" t="str">
        <f>IF(AND($F253&lt;&gt;"", $F253&gt;=AL$5-4, $F253&lt;=AL$5, COUNTIF($M253:AK253,"u")=0), "u", "")</f>
        <v/>
      </c>
      <c r="AM253" s="80" t="str">
        <f>IF(AND($F253&lt;&gt;"", $F253&gt;=AM$5-4, $F253&lt;=AM$5, COUNTIF($M253:AL253,"u")=0), "u", "")</f>
        <v/>
      </c>
      <c r="AN253" s="80" t="str">
        <f>IF(AND($F253&lt;&gt;"", $F253&gt;=AN$5-4, $F253&lt;=AN$5, COUNTIF($M253:AM253,"u")=0), "u", "")</f>
        <v/>
      </c>
      <c r="AO253" s="80" t="str">
        <f>IF(AND($F253&lt;&gt;"", $F253&gt;=AO$5-4, $F253&lt;=AO$5, COUNTIF($M253:AN253,"u")=0), "u", "")</f>
        <v/>
      </c>
      <c r="AP253" s="80" t="str">
        <f>IF(AND($F253&lt;&gt;"", $F253&gt;=AP$5-4, $F253&lt;=AP$5, COUNTIF($M253:AO253,"u")=0), "u", "")</f>
        <v/>
      </c>
      <c r="AQ253" s="80" t="str">
        <f>IF(AND($F253&lt;&gt;"", $F253&gt;=AQ$5-4, $F253&lt;=AQ$5, COUNTIF($M253:AP253,"u")=0), "u", "")</f>
        <v/>
      </c>
      <c r="AR253" s="80" t="str">
        <f>IF(AND($F253&lt;&gt;"", $F253&gt;=AR$5-4, $F253&lt;=AR$5, COUNTIF($M253:AQ253,"u")=0), "u", "")</f>
        <v/>
      </c>
      <c r="AS253" s="80" t="str">
        <f>IF(AND($F253&lt;&gt;"", $F253&gt;=AS$5-4, $F253&lt;=AS$5, COUNTIF($M253:AR253,"u")=0), "u", "")</f>
        <v/>
      </c>
      <c r="AT253" s="80" t="str">
        <f>IF(AND($F253&lt;&gt;"", $F253&gt;=AT$5-4, $F253&lt;=AT$5, COUNTIF($M253:AS253,"u")=0), "u", "")</f>
        <v/>
      </c>
      <c r="AU253" s="80" t="str">
        <f>IF(AND($F253&lt;&gt;"", $F253&gt;=AU$5-4, $F253&lt;=AU$5, COUNTIF($M253:AT253,"u")=0), "u", "")</f>
        <v/>
      </c>
      <c r="AV253" s="80" t="str">
        <f>IF(AND($F253&lt;&gt;"", $F253&gt;=AV$5-4, $F253&lt;=AV$5, COUNTIF($M253:AU253,"u")=0), "u", "")</f>
        <v/>
      </c>
      <c r="AW253" s="80" t="str">
        <f>IF(AND($F253&lt;&gt;"", $F253&gt;=AW$5-4, $F253&lt;=AW$5, COUNTIF($M253:AV253,"u")=0), "u", "")</f>
        <v/>
      </c>
      <c r="AX253" s="80" t="str">
        <f>IF(AND($F253&lt;&gt;"", $F253&gt;=AX$5-4, $F253&lt;=AX$5, COUNTIF($M253:AW253,"u")=0), "u", "")</f>
        <v/>
      </c>
      <c r="AY253" s="80" t="str">
        <f>IF(AND($F253&lt;&gt;"", $F253&gt;=AY$5-4, $F253&lt;=AY$5, COUNTIF($M253:AX253,"u")=0), "u", "")</f>
        <v/>
      </c>
      <c r="AZ253" s="80" t="str">
        <f>IF(AND($F253&lt;&gt;"", $F253&gt;=AZ$5-4, $F253&lt;=AZ$5, COUNTIF($M253:AY253,"u")=0), "u", "")</f>
        <v/>
      </c>
      <c r="BA253" s="80" t="str">
        <f>IF(AND($F253&lt;&gt;"", $F253&gt;=BA$5-4, $F253&lt;=BA$5, COUNTIF($M253:AZ253,"u")=0), "u", "")</f>
        <v/>
      </c>
      <c r="BB253" s="80" t="str">
        <f>IF(AND($F253&lt;&gt;"", $F253&gt;=BB$5-4, $F253&lt;=BB$5, COUNTIF($M253:BA253,"u")=0), "u", "")</f>
        <v/>
      </c>
      <c r="BC253" s="80" t="str">
        <f>IF(AND($F253&lt;&gt;"", $F253&gt;=BC$5-4, $F253&lt;=BC$5, COUNTIF($M253:BB253,"u")=0), "u", "")</f>
        <v/>
      </c>
      <c r="BD253" s="80" t="str">
        <f>IF(AND($F253&lt;&gt;"", $F253&gt;=BD$5-4, $F253&lt;=BD$5, COUNTIF($M253:BC253,"u")=0), "u", "")</f>
        <v/>
      </c>
      <c r="BE253" s="80" t="str">
        <f>IF(AND($F253&lt;&gt;"", $F253&gt;=BE$5-4, $F253&lt;=BE$5, COUNTIF($M253:BD253,"u")=0), "u", "")</f>
        <v/>
      </c>
      <c r="BF253" s="80" t="str">
        <f>IF(AND($F253&lt;&gt;"", $F253&gt;=BF$5-4, $F253&lt;=BF$5, COUNTIF($M253:BE253,"u")=0), "u", "")</f>
        <v/>
      </c>
      <c r="BG253" s="80" t="str">
        <f>IF(AND($F253&lt;&gt;"", $F253&gt;=BG$5-4, $F253&lt;=BG$5, COUNTIF($M253:BF253,"u")=0), "u", "")</f>
        <v/>
      </c>
      <c r="BH253" s="80" t="str">
        <f>IF(AND($F253&lt;&gt;"", $F253&gt;=BH$5-4, $F253&lt;=BH$5, COUNTIF($M253:BG253,"u")=0), "u", "")</f>
        <v/>
      </c>
      <c r="BI253" s="80" t="str">
        <f>IF(AND($F253&lt;&gt;"", $F253&gt;=BI$5-4, $F253&lt;=BI$5, COUNTIF($M253:BH253,"u")=0), "u", "")</f>
        <v/>
      </c>
      <c r="BJ253" s="80" t="str">
        <f>IF(AND($F253&lt;&gt;"", $F253&gt;=BJ$5-4, $F253&lt;=BJ$5, COUNTIF($M253:BI253,"u")=0), "u", "")</f>
        <v/>
      </c>
      <c r="BK253" s="80" t="str">
        <f>IF(AND($F253&lt;&gt;"", $F253&gt;=BK$5-4, $F253&lt;=BK$5, COUNTIF($M253:BJ253,"u")=0), "u", "")</f>
        <v/>
      </c>
      <c r="BL253" s="80" t="str">
        <f>IF(AND($F253&lt;&gt;"", $F253&gt;=BL$5-4, $F253&lt;=BL$5, COUNTIF($M253:BK253,"u")=0), "u", "")</f>
        <v/>
      </c>
      <c r="BM253" s="80" t="str">
        <f>IF(AND($F253&lt;&gt;"", $F253&gt;=BM$5-4, $F253&lt;=BM$5, COUNTIF($M253:BL253,"u")=0), "u", "")</f>
        <v/>
      </c>
      <c r="BN253" s="80" t="str">
        <f>IF(AND($F253&lt;&gt;"", $F253&gt;=BN$5-4, $F253&lt;=BN$5, COUNTIF($M253:BM253,"u")=0), "u", "")</f>
        <v/>
      </c>
      <c r="BO253" s="80" t="str">
        <f>IF(AND($F253&lt;&gt;"", $F253&gt;=BO$5-4, $F253&lt;=BO$5, COUNTIF($M253:BN253,"u")=0), "u", "")</f>
        <v/>
      </c>
      <c r="BP253" s="80" t="str">
        <f>IF(AND($F253&lt;&gt;"", $F253&gt;=BP$5-4, $F253&lt;=BP$5, COUNTIF($M253:BO253,"u")=0), "u", "")</f>
        <v/>
      </c>
      <c r="BQ253" s="80" t="str">
        <f>IF(AND($F253&lt;&gt;"", $F253&gt;=BQ$5-4, $F253&lt;=BQ$5, COUNTIF($M253:BP253,"u")=0), "u", "")</f>
        <v/>
      </c>
      <c r="BR253" s="80" t="str">
        <f>IF(AND($F253&lt;&gt;"", $F253&gt;=BR$5-4, $F253&lt;=BR$5, COUNTIF($M253:BQ253,"u")=0), "u", "")</f>
        <v/>
      </c>
      <c r="BS253" s="80" t="str">
        <f>IF(AND($F253&lt;&gt;"", $F253&gt;=BS$5-4, $F253&lt;=BS$5, COUNTIF($M253:BR253,"u")=0), "u", "")</f>
        <v/>
      </c>
      <c r="BT253" s="80" t="str">
        <f>IF(AND($F253&lt;&gt;"", $F253&gt;=BT$5-4, $F253&lt;=BT$5, COUNTIF($M253:BS253,"u")=0), "u", "")</f>
        <v/>
      </c>
      <c r="BU253" s="80" t="str">
        <f>IF(AND($F253&lt;&gt;"", $F253&gt;=BU$5-4, $F253&lt;=BU$5, COUNTIF($M253:BT253,"u")=0), "u", "")</f>
        <v/>
      </c>
      <c r="BV253" s="80" t="str">
        <f>IF(AND($F253&lt;&gt;"", $F253&gt;=BV$5-4, $F253&lt;=BV$5, COUNTIF($M253:BU253,"u")=0), "u", "")</f>
        <v/>
      </c>
      <c r="BW253" s="80" t="str">
        <f>IF(AND($F253&lt;&gt;"", $F253&gt;=BW$5-4, $F253&lt;=BW$5, COUNTIF($M253:BV253,"u")=0), "u", "")</f>
        <v/>
      </c>
      <c r="BX253" s="80" t="str">
        <f>IF(AND($F253&lt;&gt;"", $F253&gt;=BX$5-4, $F253&lt;=BX$5, COUNTIF($M253:BW253,"u")=0), "u", "")</f>
        <v/>
      </c>
      <c r="BY253" s="80" t="str">
        <f>IF(AND($F253&lt;&gt;"", $F253&gt;=BY$5-4, $F253&lt;=BY$5, COUNTIF($M253:BX253,"u")=0), "u", "")</f>
        <v/>
      </c>
      <c r="BZ253" s="80" t="str">
        <f>IF(AND($F253&lt;&gt;"", $F253&gt;=BZ$5-4, $F253&lt;=BZ$5, COUNTIF($M253:BY253,"u")=0), "u", "")</f>
        <v/>
      </c>
      <c r="CA253" s="80" t="str">
        <f>IF(AND($F253&lt;&gt;"", $F253&gt;=CA$5-4, $F253&lt;=CA$5, COUNTIF($M253:BZ253,"u")=0), "u", "")</f>
        <v/>
      </c>
      <c r="CB253" s="80" t="str">
        <f>IF(AND($F253&lt;&gt;"", $F253&gt;=CB$5-4, $F253&lt;=CB$5, COUNTIF($M253:CA253,"u")=0), "u", "")</f>
        <v/>
      </c>
      <c r="CC253" s="80" t="str">
        <f>IF(AND($F253&lt;&gt;"", $F253&gt;=CC$5-4, $F253&lt;=CC$5, COUNTIF($M253:CB253,"u")=0), "u", "")</f>
        <v/>
      </c>
      <c r="CD253" s="80" t="str">
        <f>IF(AND($F253&lt;&gt;"", $F253&gt;=CD$5-4, $F253&lt;=CD$5, COUNTIF($M253:CC253,"u")=0), "u", "")</f>
        <v/>
      </c>
      <c r="CE253" s="80" t="str">
        <f>IF(AND($F253&lt;&gt;"", $F253&gt;=CE$5-4, $F253&lt;=CE$5, COUNTIF($M253:CD253,"u")=0), "u", "")</f>
        <v/>
      </c>
      <c r="CF253" s="80" t="str">
        <f>IF(AND($F253&lt;&gt;"", $F253&gt;=CF$5-4, $F253&lt;=CF$5, COUNTIF($M253:CE253,"u")=0), "u", "")</f>
        <v/>
      </c>
      <c r="CG253" s="80" t="str">
        <f>IF(AND($F253&lt;&gt;"", $F253&gt;=CG$5-4, $F253&lt;=CG$5, COUNTIF($M253:CF253,"u")=0), "u", "")</f>
        <v/>
      </c>
      <c r="CH253" s="80" t="str">
        <f>IF(AND($F253&lt;&gt;"", $F253&gt;=CH$5-4, $F253&lt;=CH$5, COUNTIF($M253:CG253,"u")=0), "u", "")</f>
        <v/>
      </c>
      <c r="CI253" s="80" t="str">
        <f>IF(AND($F253&lt;&gt;"", $F253&gt;=CI$5-4, $F253&lt;=CI$5, COUNTIF($M253:CH253,"u")=0), "u", "")</f>
        <v/>
      </c>
      <c r="CJ253" s="80" t="str">
        <f>IF(AND($F253&lt;&gt;"", $F253&gt;=CJ$5-4, $F253&lt;=CJ$5, COUNTIF($M253:CI253,"u")=0), "u", "")</f>
        <v/>
      </c>
      <c r="CK253" s="80" t="str">
        <f>IF(AND($F253&lt;&gt;"", $F253&gt;=CK$5-4, $F253&lt;=CK$5, COUNTIF($M253:CJ253,"u")=0), "u", "")</f>
        <v/>
      </c>
      <c r="CL253" s="80" t="str">
        <f>IF(AND($F253&lt;&gt;"", $F253&gt;=CL$5-4, $F253&lt;=CL$5, COUNTIF($M253:CK253,"u")=0), "u", "")</f>
        <v/>
      </c>
      <c r="CM253" s="80" t="str">
        <f>IF(AND($F253&lt;&gt;"", $F253&gt;=CM$5-4, $F253&lt;=CM$5, COUNTIF($M253:CL253,"u")=0), "u", "")</f>
        <v/>
      </c>
      <c r="CN253" s="80" t="str">
        <f>IF(AND($F253&lt;&gt;"", $F253&gt;=CN$5-4, $F253&lt;=CN$5, COUNTIF($M253:CM253,"u")=0), "u", "")</f>
        <v/>
      </c>
      <c r="CO253" s="80" t="str">
        <f>IF(AND($F253&lt;&gt;"", $F253&gt;=CO$5-4, $F253&lt;=CO$5, COUNTIF($M253:CN253,"u")=0), "u", "")</f>
        <v/>
      </c>
      <c r="CP253" s="80" t="str">
        <f>IF(AND($F253&lt;&gt;"", $F253&gt;=CP$5-4, $F253&lt;=CP$5, COUNTIF($M253:CO253,"u")=0), "u", "")</f>
        <v/>
      </c>
      <c r="CQ253" s="80" t="str">
        <f>IF(AND($F253&lt;&gt;"", $F253&gt;=CQ$5-4, $F253&lt;=CQ$5, COUNTIF($M253:CP253,"u")=0), "u", "")</f>
        <v/>
      </c>
      <c r="CR253" s="80" t="str">
        <f>IF(AND($F253&lt;&gt;"", $F253&gt;=CR$5-4, $F253&lt;=CR$5, COUNTIF($M253:CQ253,"u")=0), "u", "")</f>
        <v/>
      </c>
      <c r="CS253" s="80" t="str">
        <f>IF(AND($F253&lt;&gt;"", $F253&gt;=CS$5-4, $F253&lt;=CS$5, COUNTIF($M253:CR253,"u")=0), "u", "")</f>
        <v/>
      </c>
      <c r="CT253" s="80" t="str">
        <f>IF(AND($F253&lt;&gt;"", $F253&gt;=CT$5-4, $F253&lt;=CT$5, COUNTIF($M253:CS253,"u")=0), "u", "")</f>
        <v/>
      </c>
      <c r="CU253" s="80" t="str">
        <f>IF(AND($F253&lt;&gt;"", $F253&gt;=CU$5-4, $F253&lt;=CU$5, COUNTIF($M253:CT253,"u")=0), "u", "")</f>
        <v/>
      </c>
      <c r="CV253" s="80" t="str">
        <f>IF(AND($F253&lt;&gt;"", $F253&gt;=CV$5-4, $F253&lt;=CV$5, COUNTIF($M253:CU253,"u")=0), "u", "")</f>
        <v/>
      </c>
      <c r="CW253" s="80" t="str">
        <f>IF(AND($F253&lt;&gt;"", $F253&gt;=CW$5-4, $F253&lt;=CW$5, COUNTIF($M253:CV253,"u")=0), "u", "")</f>
        <v/>
      </c>
      <c r="CX253" s="80" t="str">
        <f>IF(AND($F253&lt;&gt;"", $F253&gt;=CX$5-4, $F253&lt;=CX$5, COUNTIF($M253:CW253,"u")=0), "u", "")</f>
        <v/>
      </c>
      <c r="CY253" s="80" t="str">
        <f>IF(AND($F253&lt;&gt;"", $F253&gt;=CY$5-4, $F253&lt;=CY$5, COUNTIF($M253:CX253,"u")=0), "u", "")</f>
        <v/>
      </c>
      <c r="CZ253" s="80" t="str">
        <f>IF(AND($F253&lt;&gt;"", $F253&gt;=CZ$5-4, $F253&lt;=CZ$5, COUNTIF($M253:CY253,"u")=0), "u", "")</f>
        <v/>
      </c>
      <c r="DA253" s="80" t="str">
        <f>IF(AND($F253&lt;&gt;"", $F253&gt;=DA$5-4, $F253&lt;=DA$5, COUNTIF($M253:CZ253,"u")=0), "u", "")</f>
        <v/>
      </c>
      <c r="DB253" s="80" t="str">
        <f>IF(AND($F253&lt;&gt;"", $F253&gt;=DB$5-4, $F253&lt;=DB$5, COUNTIF($M253:DA253,"u")=0), "u", "")</f>
        <v/>
      </c>
      <c r="DC253" s="80" t="str">
        <f>IF(AND($F253&lt;&gt;"", $F253&gt;=DC$5-4, $F253&lt;=DC$5, COUNTIF($M253:DB253,"u")=0), "u", "")</f>
        <v/>
      </c>
      <c r="DD253" s="80" t="str">
        <f>IF(AND($F253&lt;&gt;"", $F253&gt;=DD$5-4, $F253&lt;=DD$5, COUNTIF($M253:DC253,"u")=0), "u", "")</f>
        <v/>
      </c>
      <c r="DE253" s="80" t="str">
        <f>IF(AND($F253&lt;&gt;"", $F253&gt;=DE$5-4, $F253&lt;=DE$5, COUNTIF($M253:DD253,"u")=0), "u", "")</f>
        <v/>
      </c>
      <c r="DF253" s="80" t="str">
        <f>IF(AND($F253&lt;&gt;"", $F253&gt;=DF$5-4, $F253&lt;=DF$5, COUNTIF($M253:DE253,"u")=0), "u", "")</f>
        <v/>
      </c>
      <c r="DG253" s="80" t="str">
        <f>IF(AND($F253&lt;&gt;"", $F253&gt;=DG$5-4, $F253&lt;=DG$5, COUNTIF($M253:DF253,"u")=0), "u", "")</f>
        <v/>
      </c>
      <c r="DH253" s="80" t="str">
        <f>IF(AND($F253&lt;&gt;"", $F253&gt;=DH$5-4, $F253&lt;=DH$5, COUNTIF($M253:DG253,"u")=0), "u", "")</f>
        <v/>
      </c>
      <c r="DI253" s="80" t="str">
        <f>IF(AND($F253&lt;&gt;"", $F253&gt;=DI$5-4, $F253&lt;=DI$5, COUNTIF($M253:DH253,"u")=0), "u", "")</f>
        <v/>
      </c>
      <c r="DJ253" s="80" t="str">
        <f>IF(AND($F253&lt;&gt;"", $F253&gt;=DJ$5-4, $F253&lt;=DJ$5, COUNTIF($M253:DI253,"u")=0), "u", "")</f>
        <v/>
      </c>
      <c r="DK253" s="80" t="str">
        <f>IF(AND($F253&lt;&gt;"", $F253&gt;=DK$5-4, $F253&lt;=DK$5, COUNTIF($M253:DJ253,"u")=0), "u", "")</f>
        <v/>
      </c>
      <c r="DL253" s="80" t="str">
        <f>IF(AND($F253&lt;&gt;"", $F253&gt;=DL$5-4, $F253&lt;=DL$5, COUNTIF($M253:DK253,"u")=0), "u", "")</f>
        <v/>
      </c>
    </row>
    <row r="254" spans="1:116" ht="25.05" customHeight="1" x14ac:dyDescent="0.3">
      <c r="A254" s="39"/>
      <c r="B254" s="75">
        <v>249</v>
      </c>
      <c r="C254" s="97"/>
      <c r="D254" s="92"/>
      <c r="E254" s="53"/>
      <c r="F254" s="53"/>
      <c r="G254" s="83" t="str">
        <f t="shared" si="56"/>
        <v/>
      </c>
      <c r="H254" s="83" t="str">
        <f t="shared" si="56"/>
        <v/>
      </c>
      <c r="I254" s="77" t="str">
        <f t="shared" si="54"/>
        <v/>
      </c>
      <c r="J254" s="78"/>
      <c r="K254" s="86"/>
      <c r="L254" s="56"/>
      <c r="M254" s="80" t="str">
        <f t="shared" si="55"/>
        <v/>
      </c>
      <c r="N254" s="80" t="str">
        <f>IF(AND($F254&lt;&gt;"", $F254&gt;=N$5-4, $F254&lt;=N$5, COUNTIF($M254:M254,"u")=0), "u", "")</f>
        <v/>
      </c>
      <c r="O254" s="80" t="str">
        <f>IF(AND($F254&lt;&gt;"", $F254&gt;=O$5-4, $F254&lt;=O$5, COUNTIF($M254:N254,"u")=0), "u", "")</f>
        <v/>
      </c>
      <c r="P254" s="80" t="str">
        <f>IF(AND($F254&lt;&gt;"", $F254&gt;=P$5-4, $F254&lt;=P$5, COUNTIF($M254:O254,"u")=0), "u", "")</f>
        <v/>
      </c>
      <c r="Q254" s="80" t="str">
        <f>IF(AND($F254&lt;&gt;"", $F254&gt;=Q$5-4, $F254&lt;=Q$5, COUNTIF($M254:P254,"u")=0), "u", "")</f>
        <v/>
      </c>
      <c r="R254" s="80" t="str">
        <f>IF(AND($F254&lt;&gt;"", $F254&gt;=R$5-4, $F254&lt;=R$5, COUNTIF($M254:Q254,"u")=0), "u", "")</f>
        <v/>
      </c>
      <c r="S254" s="80" t="str">
        <f>IF(AND($F254&lt;&gt;"", $F254&gt;=S$5-4, $F254&lt;=S$5, COUNTIF($M254:R254,"u")=0), "u", "")</f>
        <v/>
      </c>
      <c r="T254" s="80" t="str">
        <f>IF(AND($F254&lt;&gt;"", $F254&gt;=T$5-4, $F254&lt;=T$5, COUNTIF($M254:S254,"u")=0), "u", "")</f>
        <v/>
      </c>
      <c r="U254" s="80" t="str">
        <f>IF(AND($F254&lt;&gt;"", $F254&gt;=U$5-4, $F254&lt;=U$5, COUNTIF($M254:T254,"u")=0), "u", "")</f>
        <v/>
      </c>
      <c r="V254" s="80" t="str">
        <f>IF(AND($F254&lt;&gt;"", $F254&gt;=V$5-4, $F254&lt;=V$5, COUNTIF($M254:U254,"u")=0), "u", "")</f>
        <v/>
      </c>
      <c r="W254" s="80" t="str">
        <f>IF(AND($F254&lt;&gt;"", $F254&gt;=W$5-4, $F254&lt;=W$5, COUNTIF($M254:V254,"u")=0), "u", "")</f>
        <v/>
      </c>
      <c r="X254" s="80" t="str">
        <f>IF(AND($F254&lt;&gt;"", $F254&gt;=X$5-4, $F254&lt;=X$5, COUNTIF($M254:W254,"u")=0), "u", "")</f>
        <v/>
      </c>
      <c r="Y254" s="80" t="str">
        <f>IF(AND($F254&lt;&gt;"", $F254&gt;=Y$5-4, $F254&lt;=Y$5, COUNTIF($M254:X254,"u")=0), "u", "")</f>
        <v/>
      </c>
      <c r="Z254" s="80" t="str">
        <f>IF(AND($F254&lt;&gt;"", $F254&gt;=Z$5-4, $F254&lt;=Z$5, COUNTIF($M254:Y254,"u")=0), "u", "")</f>
        <v/>
      </c>
      <c r="AA254" s="80" t="str">
        <f>IF(AND($F254&lt;&gt;"", $F254&gt;=AA$5-4, $F254&lt;=AA$5, COUNTIF($M254:Z254,"u")=0), "u", "")</f>
        <v/>
      </c>
      <c r="AB254" s="80" t="str">
        <f>IF(AND($F254&lt;&gt;"", $F254&gt;=AB$5-4, $F254&lt;=AB$5, COUNTIF($M254:AA254,"u")=0), "u", "")</f>
        <v/>
      </c>
      <c r="AC254" s="80" t="str">
        <f>IF(AND($F254&lt;&gt;"", $F254&gt;=AC$5-4, $F254&lt;=AC$5, COUNTIF($M254:AB254,"u")=0), "u", "")</f>
        <v/>
      </c>
      <c r="AD254" s="80" t="str">
        <f>IF(AND($F254&lt;&gt;"", $F254&gt;=AD$5-4, $F254&lt;=AD$5, COUNTIF($M254:AC254,"u")=0), "u", "")</f>
        <v/>
      </c>
      <c r="AE254" s="80" t="str">
        <f>IF(AND($F254&lt;&gt;"", $F254&gt;=AE$5-4, $F254&lt;=AE$5, COUNTIF($M254:AD254,"u")=0), "u", "")</f>
        <v/>
      </c>
      <c r="AF254" s="80" t="str">
        <f>IF(AND($F254&lt;&gt;"", $F254&gt;=AF$5-4, $F254&lt;=AF$5, COUNTIF($M254:AE254,"u")=0), "u", "")</f>
        <v/>
      </c>
      <c r="AG254" s="80" t="str">
        <f>IF(AND($F254&lt;&gt;"", $F254&gt;=AG$5-4, $F254&lt;=AG$5, COUNTIF($M254:AF254,"u")=0), "u", "")</f>
        <v/>
      </c>
      <c r="AH254" s="80" t="str">
        <f>IF(AND($F254&lt;&gt;"", $F254&gt;=AH$5-4, $F254&lt;=AH$5, COUNTIF($M254:AG254,"u")=0), "u", "")</f>
        <v/>
      </c>
      <c r="AI254" s="80" t="str">
        <f>IF(AND($F254&lt;&gt;"", $F254&gt;=AI$5-4, $F254&lt;=AI$5, COUNTIF($M254:AH254,"u")=0), "u", "")</f>
        <v/>
      </c>
      <c r="AJ254" s="80" t="str">
        <f>IF(AND($F254&lt;&gt;"", $F254&gt;=AJ$5-4, $F254&lt;=AJ$5, COUNTIF($M254:AI254,"u")=0), "u", "")</f>
        <v/>
      </c>
      <c r="AK254" s="80" t="str">
        <f>IF(AND($F254&lt;&gt;"", $F254&gt;=AK$5-4, $F254&lt;=AK$5, COUNTIF($M254:AJ254,"u")=0), "u", "")</f>
        <v/>
      </c>
      <c r="AL254" s="80" t="str">
        <f>IF(AND($F254&lt;&gt;"", $F254&gt;=AL$5-4, $F254&lt;=AL$5, COUNTIF($M254:AK254,"u")=0), "u", "")</f>
        <v/>
      </c>
      <c r="AM254" s="80" t="str">
        <f>IF(AND($F254&lt;&gt;"", $F254&gt;=AM$5-4, $F254&lt;=AM$5, COUNTIF($M254:AL254,"u")=0), "u", "")</f>
        <v/>
      </c>
      <c r="AN254" s="80" t="str">
        <f>IF(AND($F254&lt;&gt;"", $F254&gt;=AN$5-4, $F254&lt;=AN$5, COUNTIF($M254:AM254,"u")=0), "u", "")</f>
        <v/>
      </c>
      <c r="AO254" s="80" t="str">
        <f>IF(AND($F254&lt;&gt;"", $F254&gt;=AO$5-4, $F254&lt;=AO$5, COUNTIF($M254:AN254,"u")=0), "u", "")</f>
        <v/>
      </c>
      <c r="AP254" s="80" t="str">
        <f>IF(AND($F254&lt;&gt;"", $F254&gt;=AP$5-4, $F254&lt;=AP$5, COUNTIF($M254:AO254,"u")=0), "u", "")</f>
        <v/>
      </c>
      <c r="AQ254" s="80" t="str">
        <f>IF(AND($F254&lt;&gt;"", $F254&gt;=AQ$5-4, $F254&lt;=AQ$5, COUNTIF($M254:AP254,"u")=0), "u", "")</f>
        <v/>
      </c>
      <c r="AR254" s="80" t="str">
        <f>IF(AND($F254&lt;&gt;"", $F254&gt;=AR$5-4, $F254&lt;=AR$5, COUNTIF($M254:AQ254,"u")=0), "u", "")</f>
        <v/>
      </c>
      <c r="AS254" s="80" t="str">
        <f>IF(AND($F254&lt;&gt;"", $F254&gt;=AS$5-4, $F254&lt;=AS$5, COUNTIF($M254:AR254,"u")=0), "u", "")</f>
        <v/>
      </c>
      <c r="AT254" s="80" t="str">
        <f>IF(AND($F254&lt;&gt;"", $F254&gt;=AT$5-4, $F254&lt;=AT$5, COUNTIF($M254:AS254,"u")=0), "u", "")</f>
        <v/>
      </c>
      <c r="AU254" s="80" t="str">
        <f>IF(AND($F254&lt;&gt;"", $F254&gt;=AU$5-4, $F254&lt;=AU$5, COUNTIF($M254:AT254,"u")=0), "u", "")</f>
        <v/>
      </c>
      <c r="AV254" s="80" t="str">
        <f>IF(AND($F254&lt;&gt;"", $F254&gt;=AV$5-4, $F254&lt;=AV$5, COUNTIF($M254:AU254,"u")=0), "u", "")</f>
        <v/>
      </c>
      <c r="AW254" s="80" t="str">
        <f>IF(AND($F254&lt;&gt;"", $F254&gt;=AW$5-4, $F254&lt;=AW$5, COUNTIF($M254:AV254,"u")=0), "u", "")</f>
        <v/>
      </c>
      <c r="AX254" s="80" t="str">
        <f>IF(AND($F254&lt;&gt;"", $F254&gt;=AX$5-4, $F254&lt;=AX$5, COUNTIF($M254:AW254,"u")=0), "u", "")</f>
        <v/>
      </c>
      <c r="AY254" s="80" t="str">
        <f>IF(AND($F254&lt;&gt;"", $F254&gt;=AY$5-4, $F254&lt;=AY$5, COUNTIF($M254:AX254,"u")=0), "u", "")</f>
        <v/>
      </c>
      <c r="AZ254" s="80" t="str">
        <f>IF(AND($F254&lt;&gt;"", $F254&gt;=AZ$5-4, $F254&lt;=AZ$5, COUNTIF($M254:AY254,"u")=0), "u", "")</f>
        <v/>
      </c>
      <c r="BA254" s="80" t="str">
        <f>IF(AND($F254&lt;&gt;"", $F254&gt;=BA$5-4, $F254&lt;=BA$5, COUNTIF($M254:AZ254,"u")=0), "u", "")</f>
        <v/>
      </c>
      <c r="BB254" s="80" t="str">
        <f>IF(AND($F254&lt;&gt;"", $F254&gt;=BB$5-4, $F254&lt;=BB$5, COUNTIF($M254:BA254,"u")=0), "u", "")</f>
        <v/>
      </c>
      <c r="BC254" s="80" t="str">
        <f>IF(AND($F254&lt;&gt;"", $F254&gt;=BC$5-4, $F254&lt;=BC$5, COUNTIF($M254:BB254,"u")=0), "u", "")</f>
        <v/>
      </c>
      <c r="BD254" s="80" t="str">
        <f>IF(AND($F254&lt;&gt;"", $F254&gt;=BD$5-4, $F254&lt;=BD$5, COUNTIF($M254:BC254,"u")=0), "u", "")</f>
        <v/>
      </c>
      <c r="BE254" s="80" t="str">
        <f>IF(AND($F254&lt;&gt;"", $F254&gt;=BE$5-4, $F254&lt;=BE$5, COUNTIF($M254:BD254,"u")=0), "u", "")</f>
        <v/>
      </c>
      <c r="BF254" s="80" t="str">
        <f>IF(AND($F254&lt;&gt;"", $F254&gt;=BF$5-4, $F254&lt;=BF$5, COUNTIF($M254:BE254,"u")=0), "u", "")</f>
        <v/>
      </c>
      <c r="BG254" s="80" t="str">
        <f>IF(AND($F254&lt;&gt;"", $F254&gt;=BG$5-4, $F254&lt;=BG$5, COUNTIF($M254:BF254,"u")=0), "u", "")</f>
        <v/>
      </c>
      <c r="BH254" s="80" t="str">
        <f>IF(AND($F254&lt;&gt;"", $F254&gt;=BH$5-4, $F254&lt;=BH$5, COUNTIF($M254:BG254,"u")=0), "u", "")</f>
        <v/>
      </c>
      <c r="BI254" s="80" t="str">
        <f>IF(AND($F254&lt;&gt;"", $F254&gt;=BI$5-4, $F254&lt;=BI$5, COUNTIF($M254:BH254,"u")=0), "u", "")</f>
        <v/>
      </c>
      <c r="BJ254" s="80" t="str">
        <f>IF(AND($F254&lt;&gt;"", $F254&gt;=BJ$5-4, $F254&lt;=BJ$5, COUNTIF($M254:BI254,"u")=0), "u", "")</f>
        <v/>
      </c>
      <c r="BK254" s="80" t="str">
        <f>IF(AND($F254&lt;&gt;"", $F254&gt;=BK$5-4, $F254&lt;=BK$5, COUNTIF($M254:BJ254,"u")=0), "u", "")</f>
        <v/>
      </c>
      <c r="BL254" s="80" t="str">
        <f>IF(AND($F254&lt;&gt;"", $F254&gt;=BL$5-4, $F254&lt;=BL$5, COUNTIF($M254:BK254,"u")=0), "u", "")</f>
        <v/>
      </c>
      <c r="BM254" s="80" t="str">
        <f>IF(AND($F254&lt;&gt;"", $F254&gt;=BM$5-4, $F254&lt;=BM$5, COUNTIF($M254:BL254,"u")=0), "u", "")</f>
        <v/>
      </c>
      <c r="BN254" s="80" t="str">
        <f>IF(AND($F254&lt;&gt;"", $F254&gt;=BN$5-4, $F254&lt;=BN$5, COUNTIF($M254:BM254,"u")=0), "u", "")</f>
        <v/>
      </c>
      <c r="BO254" s="80" t="str">
        <f>IF(AND($F254&lt;&gt;"", $F254&gt;=BO$5-4, $F254&lt;=BO$5, COUNTIF($M254:BN254,"u")=0), "u", "")</f>
        <v/>
      </c>
      <c r="BP254" s="80" t="str">
        <f>IF(AND($F254&lt;&gt;"", $F254&gt;=BP$5-4, $F254&lt;=BP$5, COUNTIF($M254:BO254,"u")=0), "u", "")</f>
        <v/>
      </c>
      <c r="BQ254" s="80" t="str">
        <f>IF(AND($F254&lt;&gt;"", $F254&gt;=BQ$5-4, $F254&lt;=BQ$5, COUNTIF($M254:BP254,"u")=0), "u", "")</f>
        <v/>
      </c>
      <c r="BR254" s="80" t="str">
        <f>IF(AND($F254&lt;&gt;"", $F254&gt;=BR$5-4, $F254&lt;=BR$5, COUNTIF($M254:BQ254,"u")=0), "u", "")</f>
        <v/>
      </c>
      <c r="BS254" s="80" t="str">
        <f>IF(AND($F254&lt;&gt;"", $F254&gt;=BS$5-4, $F254&lt;=BS$5, COUNTIF($M254:BR254,"u")=0), "u", "")</f>
        <v/>
      </c>
      <c r="BT254" s="80" t="str">
        <f>IF(AND($F254&lt;&gt;"", $F254&gt;=BT$5-4, $F254&lt;=BT$5, COUNTIF($M254:BS254,"u")=0), "u", "")</f>
        <v/>
      </c>
      <c r="BU254" s="80" t="str">
        <f>IF(AND($F254&lt;&gt;"", $F254&gt;=BU$5-4, $F254&lt;=BU$5, COUNTIF($M254:BT254,"u")=0), "u", "")</f>
        <v/>
      </c>
      <c r="BV254" s="80" t="str">
        <f>IF(AND($F254&lt;&gt;"", $F254&gt;=BV$5-4, $F254&lt;=BV$5, COUNTIF($M254:BU254,"u")=0), "u", "")</f>
        <v/>
      </c>
      <c r="BW254" s="80" t="str">
        <f>IF(AND($F254&lt;&gt;"", $F254&gt;=BW$5-4, $F254&lt;=BW$5, COUNTIF($M254:BV254,"u")=0), "u", "")</f>
        <v/>
      </c>
      <c r="BX254" s="80" t="str">
        <f>IF(AND($F254&lt;&gt;"", $F254&gt;=BX$5-4, $F254&lt;=BX$5, COUNTIF($M254:BW254,"u")=0), "u", "")</f>
        <v/>
      </c>
      <c r="BY254" s="80" t="str">
        <f>IF(AND($F254&lt;&gt;"", $F254&gt;=BY$5-4, $F254&lt;=BY$5, COUNTIF($M254:BX254,"u")=0), "u", "")</f>
        <v/>
      </c>
      <c r="BZ254" s="80" t="str">
        <f>IF(AND($F254&lt;&gt;"", $F254&gt;=BZ$5-4, $F254&lt;=BZ$5, COUNTIF($M254:BY254,"u")=0), "u", "")</f>
        <v/>
      </c>
      <c r="CA254" s="80" t="str">
        <f>IF(AND($F254&lt;&gt;"", $F254&gt;=CA$5-4, $F254&lt;=CA$5, COUNTIF($M254:BZ254,"u")=0), "u", "")</f>
        <v/>
      </c>
      <c r="CB254" s="80" t="str">
        <f>IF(AND($F254&lt;&gt;"", $F254&gt;=CB$5-4, $F254&lt;=CB$5, COUNTIF($M254:CA254,"u")=0), "u", "")</f>
        <v/>
      </c>
      <c r="CC254" s="80" t="str">
        <f>IF(AND($F254&lt;&gt;"", $F254&gt;=CC$5-4, $F254&lt;=CC$5, COUNTIF($M254:CB254,"u")=0), "u", "")</f>
        <v/>
      </c>
      <c r="CD254" s="80" t="str">
        <f>IF(AND($F254&lt;&gt;"", $F254&gt;=CD$5-4, $F254&lt;=CD$5, COUNTIF($M254:CC254,"u")=0), "u", "")</f>
        <v/>
      </c>
      <c r="CE254" s="80" t="str">
        <f>IF(AND($F254&lt;&gt;"", $F254&gt;=CE$5-4, $F254&lt;=CE$5, COUNTIF($M254:CD254,"u")=0), "u", "")</f>
        <v/>
      </c>
      <c r="CF254" s="80" t="str">
        <f>IF(AND($F254&lt;&gt;"", $F254&gt;=CF$5-4, $F254&lt;=CF$5, COUNTIF($M254:CE254,"u")=0), "u", "")</f>
        <v/>
      </c>
      <c r="CG254" s="80" t="str">
        <f>IF(AND($F254&lt;&gt;"", $F254&gt;=CG$5-4, $F254&lt;=CG$5, COUNTIF($M254:CF254,"u")=0), "u", "")</f>
        <v/>
      </c>
      <c r="CH254" s="80" t="str">
        <f>IF(AND($F254&lt;&gt;"", $F254&gt;=CH$5-4, $F254&lt;=CH$5, COUNTIF($M254:CG254,"u")=0), "u", "")</f>
        <v/>
      </c>
      <c r="CI254" s="80" t="str">
        <f>IF(AND($F254&lt;&gt;"", $F254&gt;=CI$5-4, $F254&lt;=CI$5, COUNTIF($M254:CH254,"u")=0), "u", "")</f>
        <v/>
      </c>
      <c r="CJ254" s="80" t="str">
        <f>IF(AND($F254&lt;&gt;"", $F254&gt;=CJ$5-4, $F254&lt;=CJ$5, COUNTIF($M254:CI254,"u")=0), "u", "")</f>
        <v/>
      </c>
      <c r="CK254" s="80" t="str">
        <f>IF(AND($F254&lt;&gt;"", $F254&gt;=CK$5-4, $F254&lt;=CK$5, COUNTIF($M254:CJ254,"u")=0), "u", "")</f>
        <v/>
      </c>
      <c r="CL254" s="80" t="str">
        <f>IF(AND($F254&lt;&gt;"", $F254&gt;=CL$5-4, $F254&lt;=CL$5, COUNTIF($M254:CK254,"u")=0), "u", "")</f>
        <v/>
      </c>
      <c r="CM254" s="80" t="str">
        <f>IF(AND($F254&lt;&gt;"", $F254&gt;=CM$5-4, $F254&lt;=CM$5, COUNTIF($M254:CL254,"u")=0), "u", "")</f>
        <v/>
      </c>
      <c r="CN254" s="80" t="str">
        <f>IF(AND($F254&lt;&gt;"", $F254&gt;=CN$5-4, $F254&lt;=CN$5, COUNTIF($M254:CM254,"u")=0), "u", "")</f>
        <v/>
      </c>
      <c r="CO254" s="80" t="str">
        <f>IF(AND($F254&lt;&gt;"", $F254&gt;=CO$5-4, $F254&lt;=CO$5, COUNTIF($M254:CN254,"u")=0), "u", "")</f>
        <v/>
      </c>
      <c r="CP254" s="80" t="str">
        <f>IF(AND($F254&lt;&gt;"", $F254&gt;=CP$5-4, $F254&lt;=CP$5, COUNTIF($M254:CO254,"u")=0), "u", "")</f>
        <v/>
      </c>
      <c r="CQ254" s="80" t="str">
        <f>IF(AND($F254&lt;&gt;"", $F254&gt;=CQ$5-4, $F254&lt;=CQ$5, COUNTIF($M254:CP254,"u")=0), "u", "")</f>
        <v/>
      </c>
      <c r="CR254" s="80" t="str">
        <f>IF(AND($F254&lt;&gt;"", $F254&gt;=CR$5-4, $F254&lt;=CR$5, COUNTIF($M254:CQ254,"u")=0), "u", "")</f>
        <v/>
      </c>
      <c r="CS254" s="80" t="str">
        <f>IF(AND($F254&lt;&gt;"", $F254&gt;=CS$5-4, $F254&lt;=CS$5, COUNTIF($M254:CR254,"u")=0), "u", "")</f>
        <v/>
      </c>
      <c r="CT254" s="80" t="str">
        <f>IF(AND($F254&lt;&gt;"", $F254&gt;=CT$5-4, $F254&lt;=CT$5, COUNTIF($M254:CS254,"u")=0), "u", "")</f>
        <v/>
      </c>
      <c r="CU254" s="80" t="str">
        <f>IF(AND($F254&lt;&gt;"", $F254&gt;=CU$5-4, $F254&lt;=CU$5, COUNTIF($M254:CT254,"u")=0), "u", "")</f>
        <v/>
      </c>
      <c r="CV254" s="80" t="str">
        <f>IF(AND($F254&lt;&gt;"", $F254&gt;=CV$5-4, $F254&lt;=CV$5, COUNTIF($M254:CU254,"u")=0), "u", "")</f>
        <v/>
      </c>
      <c r="CW254" s="80" t="str">
        <f>IF(AND($F254&lt;&gt;"", $F254&gt;=CW$5-4, $F254&lt;=CW$5, COUNTIF($M254:CV254,"u")=0), "u", "")</f>
        <v/>
      </c>
      <c r="CX254" s="80" t="str">
        <f>IF(AND($F254&lt;&gt;"", $F254&gt;=CX$5-4, $F254&lt;=CX$5, COUNTIF($M254:CW254,"u")=0), "u", "")</f>
        <v/>
      </c>
      <c r="CY254" s="80" t="str">
        <f>IF(AND($F254&lt;&gt;"", $F254&gt;=CY$5-4, $F254&lt;=CY$5, COUNTIF($M254:CX254,"u")=0), "u", "")</f>
        <v/>
      </c>
      <c r="CZ254" s="80" t="str">
        <f>IF(AND($F254&lt;&gt;"", $F254&gt;=CZ$5-4, $F254&lt;=CZ$5, COUNTIF($M254:CY254,"u")=0), "u", "")</f>
        <v/>
      </c>
      <c r="DA254" s="80" t="str">
        <f>IF(AND($F254&lt;&gt;"", $F254&gt;=DA$5-4, $F254&lt;=DA$5, COUNTIF($M254:CZ254,"u")=0), "u", "")</f>
        <v/>
      </c>
      <c r="DB254" s="80" t="str">
        <f>IF(AND($F254&lt;&gt;"", $F254&gt;=DB$5-4, $F254&lt;=DB$5, COUNTIF($M254:DA254,"u")=0), "u", "")</f>
        <v/>
      </c>
      <c r="DC254" s="80" t="str">
        <f>IF(AND($F254&lt;&gt;"", $F254&gt;=DC$5-4, $F254&lt;=DC$5, COUNTIF($M254:DB254,"u")=0), "u", "")</f>
        <v/>
      </c>
      <c r="DD254" s="80" t="str">
        <f>IF(AND($F254&lt;&gt;"", $F254&gt;=DD$5-4, $F254&lt;=DD$5, COUNTIF($M254:DC254,"u")=0), "u", "")</f>
        <v/>
      </c>
      <c r="DE254" s="80" t="str">
        <f>IF(AND($F254&lt;&gt;"", $F254&gt;=DE$5-4, $F254&lt;=DE$5, COUNTIF($M254:DD254,"u")=0), "u", "")</f>
        <v/>
      </c>
      <c r="DF254" s="80" t="str">
        <f>IF(AND($F254&lt;&gt;"", $F254&gt;=DF$5-4, $F254&lt;=DF$5, COUNTIF($M254:DE254,"u")=0), "u", "")</f>
        <v/>
      </c>
      <c r="DG254" s="80" t="str">
        <f>IF(AND($F254&lt;&gt;"", $F254&gt;=DG$5-4, $F254&lt;=DG$5, COUNTIF($M254:DF254,"u")=0), "u", "")</f>
        <v/>
      </c>
      <c r="DH254" s="80" t="str">
        <f>IF(AND($F254&lt;&gt;"", $F254&gt;=DH$5-4, $F254&lt;=DH$5, COUNTIF($M254:DG254,"u")=0), "u", "")</f>
        <v/>
      </c>
      <c r="DI254" s="80" t="str">
        <f>IF(AND($F254&lt;&gt;"", $F254&gt;=DI$5-4, $F254&lt;=DI$5, COUNTIF($M254:DH254,"u")=0), "u", "")</f>
        <v/>
      </c>
      <c r="DJ254" s="80" t="str">
        <f>IF(AND($F254&lt;&gt;"", $F254&gt;=DJ$5-4, $F254&lt;=DJ$5, COUNTIF($M254:DI254,"u")=0), "u", "")</f>
        <v/>
      </c>
      <c r="DK254" s="80" t="str">
        <f>IF(AND($F254&lt;&gt;"", $F254&gt;=DK$5-4, $F254&lt;=DK$5, COUNTIF($M254:DJ254,"u")=0), "u", "")</f>
        <v/>
      </c>
      <c r="DL254" s="80" t="str">
        <f>IF(AND($F254&lt;&gt;"", $F254&gt;=DL$5-4, $F254&lt;=DL$5, COUNTIF($M254:DK254,"u")=0), "u", "")</f>
        <v/>
      </c>
    </row>
    <row r="255" spans="1:116" ht="25.05" customHeight="1" x14ac:dyDescent="0.3">
      <c r="A255" s="39"/>
      <c r="B255" s="75">
        <v>250</v>
      </c>
      <c r="C255" s="97"/>
      <c r="D255" s="92"/>
      <c r="E255" s="53"/>
      <c r="F255" s="53"/>
      <c r="G255" s="83" t="str">
        <f t="shared" si="56"/>
        <v/>
      </c>
      <c r="H255" s="83" t="str">
        <f t="shared" si="56"/>
        <v/>
      </c>
      <c r="I255" s="77" t="str">
        <f t="shared" si="54"/>
        <v/>
      </c>
      <c r="J255" s="78"/>
      <c r="K255" s="86"/>
      <c r="L255" s="56"/>
      <c r="M255" s="80" t="str">
        <f t="shared" si="55"/>
        <v/>
      </c>
      <c r="N255" s="80" t="str">
        <f>IF(AND($F255&lt;&gt;"", $F255&gt;=N$5-4, $F255&lt;=N$5, COUNTIF($M255:M255,"u")=0), "u", "")</f>
        <v/>
      </c>
      <c r="O255" s="80" t="str">
        <f>IF(AND($F255&lt;&gt;"", $F255&gt;=O$5-4, $F255&lt;=O$5, COUNTIF($M255:N255,"u")=0), "u", "")</f>
        <v/>
      </c>
      <c r="P255" s="80" t="str">
        <f>IF(AND($F255&lt;&gt;"", $F255&gt;=P$5-4, $F255&lt;=P$5, COUNTIF($M255:O255,"u")=0), "u", "")</f>
        <v/>
      </c>
      <c r="Q255" s="80" t="str">
        <f>IF(AND($F255&lt;&gt;"", $F255&gt;=Q$5-4, $F255&lt;=Q$5, COUNTIF($M255:P255,"u")=0), "u", "")</f>
        <v/>
      </c>
      <c r="R255" s="80" t="str">
        <f>IF(AND($F255&lt;&gt;"", $F255&gt;=R$5-4, $F255&lt;=R$5, COUNTIF($M255:Q255,"u")=0), "u", "")</f>
        <v/>
      </c>
      <c r="S255" s="80" t="str">
        <f>IF(AND($F255&lt;&gt;"", $F255&gt;=S$5-4, $F255&lt;=S$5, COUNTIF($M255:R255,"u")=0), "u", "")</f>
        <v/>
      </c>
      <c r="T255" s="80" t="str">
        <f>IF(AND($F255&lt;&gt;"", $F255&gt;=T$5-4, $F255&lt;=T$5, COUNTIF($M255:S255,"u")=0), "u", "")</f>
        <v/>
      </c>
      <c r="U255" s="80" t="str">
        <f>IF(AND($F255&lt;&gt;"", $F255&gt;=U$5-4, $F255&lt;=U$5, COUNTIF($M255:T255,"u")=0), "u", "")</f>
        <v/>
      </c>
      <c r="V255" s="80" t="str">
        <f>IF(AND($F255&lt;&gt;"", $F255&gt;=V$5-4, $F255&lt;=V$5, COUNTIF($M255:U255,"u")=0), "u", "")</f>
        <v/>
      </c>
      <c r="W255" s="80" t="str">
        <f>IF(AND($F255&lt;&gt;"", $F255&gt;=W$5-4, $F255&lt;=W$5, COUNTIF($M255:V255,"u")=0), "u", "")</f>
        <v/>
      </c>
      <c r="X255" s="80" t="str">
        <f>IF(AND($F255&lt;&gt;"", $F255&gt;=X$5-4, $F255&lt;=X$5, COUNTIF($M255:W255,"u")=0), "u", "")</f>
        <v/>
      </c>
      <c r="Y255" s="80" t="str">
        <f>IF(AND($F255&lt;&gt;"", $F255&gt;=Y$5-4, $F255&lt;=Y$5, COUNTIF($M255:X255,"u")=0), "u", "")</f>
        <v/>
      </c>
      <c r="Z255" s="80" t="str">
        <f>IF(AND($F255&lt;&gt;"", $F255&gt;=Z$5-4, $F255&lt;=Z$5, COUNTIF($M255:Y255,"u")=0), "u", "")</f>
        <v/>
      </c>
      <c r="AA255" s="80" t="str">
        <f>IF(AND($F255&lt;&gt;"", $F255&gt;=AA$5-4, $F255&lt;=AA$5, COUNTIF($M255:Z255,"u")=0), "u", "")</f>
        <v/>
      </c>
      <c r="AB255" s="80" t="str">
        <f>IF(AND($F255&lt;&gt;"", $F255&gt;=AB$5-4, $F255&lt;=AB$5, COUNTIF($M255:AA255,"u")=0), "u", "")</f>
        <v/>
      </c>
      <c r="AC255" s="80" t="str">
        <f>IF(AND($F255&lt;&gt;"", $F255&gt;=AC$5-4, $F255&lt;=AC$5, COUNTIF($M255:AB255,"u")=0), "u", "")</f>
        <v/>
      </c>
      <c r="AD255" s="80" t="str">
        <f>IF(AND($F255&lt;&gt;"", $F255&gt;=AD$5-4, $F255&lt;=AD$5, COUNTIF($M255:AC255,"u")=0), "u", "")</f>
        <v/>
      </c>
      <c r="AE255" s="80" t="str">
        <f>IF(AND($F255&lt;&gt;"", $F255&gt;=AE$5-4, $F255&lt;=AE$5, COUNTIF($M255:AD255,"u")=0), "u", "")</f>
        <v/>
      </c>
      <c r="AF255" s="80" t="str">
        <f>IF(AND($F255&lt;&gt;"", $F255&gt;=AF$5-4, $F255&lt;=AF$5, COUNTIF($M255:AE255,"u")=0), "u", "")</f>
        <v/>
      </c>
      <c r="AG255" s="80" t="str">
        <f>IF(AND($F255&lt;&gt;"", $F255&gt;=AG$5-4, $F255&lt;=AG$5, COUNTIF($M255:AF255,"u")=0), "u", "")</f>
        <v/>
      </c>
      <c r="AH255" s="80" t="str">
        <f>IF(AND($F255&lt;&gt;"", $F255&gt;=AH$5-4, $F255&lt;=AH$5, COUNTIF($M255:AG255,"u")=0), "u", "")</f>
        <v/>
      </c>
      <c r="AI255" s="80" t="str">
        <f>IF(AND($F255&lt;&gt;"", $F255&gt;=AI$5-4, $F255&lt;=AI$5, COUNTIF($M255:AH255,"u")=0), "u", "")</f>
        <v/>
      </c>
      <c r="AJ255" s="80" t="str">
        <f>IF(AND($F255&lt;&gt;"", $F255&gt;=AJ$5-4, $F255&lt;=AJ$5, COUNTIF($M255:AI255,"u")=0), "u", "")</f>
        <v/>
      </c>
      <c r="AK255" s="80" t="str">
        <f>IF(AND($F255&lt;&gt;"", $F255&gt;=AK$5-4, $F255&lt;=AK$5, COUNTIF($M255:AJ255,"u")=0), "u", "")</f>
        <v/>
      </c>
      <c r="AL255" s="80" t="str">
        <f>IF(AND($F255&lt;&gt;"", $F255&gt;=AL$5-4, $F255&lt;=AL$5, COUNTIF($M255:AK255,"u")=0), "u", "")</f>
        <v/>
      </c>
      <c r="AM255" s="80" t="str">
        <f>IF(AND($F255&lt;&gt;"", $F255&gt;=AM$5-4, $F255&lt;=AM$5, COUNTIF($M255:AL255,"u")=0), "u", "")</f>
        <v/>
      </c>
      <c r="AN255" s="80" t="str">
        <f>IF(AND($F255&lt;&gt;"", $F255&gt;=AN$5-4, $F255&lt;=AN$5, COUNTIF($M255:AM255,"u")=0), "u", "")</f>
        <v/>
      </c>
      <c r="AO255" s="80" t="str">
        <f>IF(AND($F255&lt;&gt;"", $F255&gt;=AO$5-4, $F255&lt;=AO$5, COUNTIF($M255:AN255,"u")=0), "u", "")</f>
        <v/>
      </c>
      <c r="AP255" s="80" t="str">
        <f>IF(AND($F255&lt;&gt;"", $F255&gt;=AP$5-4, $F255&lt;=AP$5, COUNTIF($M255:AO255,"u")=0), "u", "")</f>
        <v/>
      </c>
      <c r="AQ255" s="80" t="str">
        <f>IF(AND($F255&lt;&gt;"", $F255&gt;=AQ$5-4, $F255&lt;=AQ$5, COUNTIF($M255:AP255,"u")=0), "u", "")</f>
        <v/>
      </c>
      <c r="AR255" s="80" t="str">
        <f>IF(AND($F255&lt;&gt;"", $F255&gt;=AR$5-4, $F255&lt;=AR$5, COUNTIF($M255:AQ255,"u")=0), "u", "")</f>
        <v/>
      </c>
      <c r="AS255" s="80" t="str">
        <f>IF(AND($F255&lt;&gt;"", $F255&gt;=AS$5-4, $F255&lt;=AS$5, COUNTIF($M255:AR255,"u")=0), "u", "")</f>
        <v/>
      </c>
      <c r="AT255" s="80" t="str">
        <f>IF(AND($F255&lt;&gt;"", $F255&gt;=AT$5-4, $F255&lt;=AT$5, COUNTIF($M255:AS255,"u")=0), "u", "")</f>
        <v/>
      </c>
      <c r="AU255" s="80" t="str">
        <f>IF(AND($F255&lt;&gt;"", $F255&gt;=AU$5-4, $F255&lt;=AU$5, COUNTIF($M255:AT255,"u")=0), "u", "")</f>
        <v/>
      </c>
      <c r="AV255" s="80" t="str">
        <f>IF(AND($F255&lt;&gt;"", $F255&gt;=AV$5-4, $F255&lt;=AV$5, COUNTIF($M255:AU255,"u")=0), "u", "")</f>
        <v/>
      </c>
      <c r="AW255" s="80" t="str">
        <f>IF(AND($F255&lt;&gt;"", $F255&gt;=AW$5-4, $F255&lt;=AW$5, COUNTIF($M255:AV255,"u")=0), "u", "")</f>
        <v/>
      </c>
      <c r="AX255" s="80" t="str">
        <f>IF(AND($F255&lt;&gt;"", $F255&gt;=AX$5-4, $F255&lt;=AX$5, COUNTIF($M255:AW255,"u")=0), "u", "")</f>
        <v/>
      </c>
      <c r="AY255" s="80" t="str">
        <f>IF(AND($F255&lt;&gt;"", $F255&gt;=AY$5-4, $F255&lt;=AY$5, COUNTIF($M255:AX255,"u")=0), "u", "")</f>
        <v/>
      </c>
      <c r="AZ255" s="80" t="str">
        <f>IF(AND($F255&lt;&gt;"", $F255&gt;=AZ$5-4, $F255&lt;=AZ$5, COUNTIF($M255:AY255,"u")=0), "u", "")</f>
        <v/>
      </c>
      <c r="BA255" s="80" t="str">
        <f>IF(AND($F255&lt;&gt;"", $F255&gt;=BA$5-4, $F255&lt;=BA$5, COUNTIF($M255:AZ255,"u")=0), "u", "")</f>
        <v/>
      </c>
      <c r="BB255" s="80" t="str">
        <f>IF(AND($F255&lt;&gt;"", $F255&gt;=BB$5-4, $F255&lt;=BB$5, COUNTIF($M255:BA255,"u")=0), "u", "")</f>
        <v/>
      </c>
      <c r="BC255" s="80" t="str">
        <f>IF(AND($F255&lt;&gt;"", $F255&gt;=BC$5-4, $F255&lt;=BC$5, COUNTIF($M255:BB255,"u")=0), "u", "")</f>
        <v/>
      </c>
      <c r="BD255" s="80" t="str">
        <f>IF(AND($F255&lt;&gt;"", $F255&gt;=BD$5-4, $F255&lt;=BD$5, COUNTIF($M255:BC255,"u")=0), "u", "")</f>
        <v/>
      </c>
      <c r="BE255" s="80" t="str">
        <f>IF(AND($F255&lt;&gt;"", $F255&gt;=BE$5-4, $F255&lt;=BE$5, COUNTIF($M255:BD255,"u")=0), "u", "")</f>
        <v/>
      </c>
      <c r="BF255" s="80" t="str">
        <f>IF(AND($F255&lt;&gt;"", $F255&gt;=BF$5-4, $F255&lt;=BF$5, COUNTIF($M255:BE255,"u")=0), "u", "")</f>
        <v/>
      </c>
      <c r="BG255" s="80" t="str">
        <f>IF(AND($F255&lt;&gt;"", $F255&gt;=BG$5-4, $F255&lt;=BG$5, COUNTIF($M255:BF255,"u")=0), "u", "")</f>
        <v/>
      </c>
      <c r="BH255" s="80" t="str">
        <f>IF(AND($F255&lt;&gt;"", $F255&gt;=BH$5-4, $F255&lt;=BH$5, COUNTIF($M255:BG255,"u")=0), "u", "")</f>
        <v/>
      </c>
      <c r="BI255" s="80" t="str">
        <f>IF(AND($F255&lt;&gt;"", $F255&gt;=BI$5-4, $F255&lt;=BI$5, COUNTIF($M255:BH255,"u")=0), "u", "")</f>
        <v/>
      </c>
      <c r="BJ255" s="80" t="str">
        <f>IF(AND($F255&lt;&gt;"", $F255&gt;=BJ$5-4, $F255&lt;=BJ$5, COUNTIF($M255:BI255,"u")=0), "u", "")</f>
        <v/>
      </c>
      <c r="BK255" s="80" t="str">
        <f>IF(AND($F255&lt;&gt;"", $F255&gt;=BK$5-4, $F255&lt;=BK$5, COUNTIF($M255:BJ255,"u")=0), "u", "")</f>
        <v/>
      </c>
      <c r="BL255" s="80" t="str">
        <f>IF(AND($F255&lt;&gt;"", $F255&gt;=BL$5-4, $F255&lt;=BL$5, COUNTIF($M255:BK255,"u")=0), "u", "")</f>
        <v/>
      </c>
      <c r="BM255" s="80" t="str">
        <f>IF(AND($F255&lt;&gt;"", $F255&gt;=BM$5-4, $F255&lt;=BM$5, COUNTIF($M255:BL255,"u")=0), "u", "")</f>
        <v/>
      </c>
      <c r="BN255" s="80" t="str">
        <f>IF(AND($F255&lt;&gt;"", $F255&gt;=BN$5-4, $F255&lt;=BN$5, COUNTIF($M255:BM255,"u")=0), "u", "")</f>
        <v/>
      </c>
      <c r="BO255" s="80" t="str">
        <f>IF(AND($F255&lt;&gt;"", $F255&gt;=BO$5-4, $F255&lt;=BO$5, COUNTIF($M255:BN255,"u")=0), "u", "")</f>
        <v/>
      </c>
      <c r="BP255" s="80" t="str">
        <f>IF(AND($F255&lt;&gt;"", $F255&gt;=BP$5-4, $F255&lt;=BP$5, COUNTIF($M255:BO255,"u")=0), "u", "")</f>
        <v/>
      </c>
      <c r="BQ255" s="80" t="str">
        <f>IF(AND($F255&lt;&gt;"", $F255&gt;=BQ$5-4, $F255&lt;=BQ$5, COUNTIF($M255:BP255,"u")=0), "u", "")</f>
        <v/>
      </c>
      <c r="BR255" s="80" t="str">
        <f>IF(AND($F255&lt;&gt;"", $F255&gt;=BR$5-4, $F255&lt;=BR$5, COUNTIF($M255:BQ255,"u")=0), "u", "")</f>
        <v/>
      </c>
      <c r="BS255" s="80" t="str">
        <f>IF(AND($F255&lt;&gt;"", $F255&gt;=BS$5-4, $F255&lt;=BS$5, COUNTIF($M255:BR255,"u")=0), "u", "")</f>
        <v/>
      </c>
      <c r="BT255" s="80" t="str">
        <f>IF(AND($F255&lt;&gt;"", $F255&gt;=BT$5-4, $F255&lt;=BT$5, COUNTIF($M255:BS255,"u")=0), "u", "")</f>
        <v/>
      </c>
      <c r="BU255" s="80" t="str">
        <f>IF(AND($F255&lt;&gt;"", $F255&gt;=BU$5-4, $F255&lt;=BU$5, COUNTIF($M255:BT255,"u")=0), "u", "")</f>
        <v/>
      </c>
      <c r="BV255" s="80" t="str">
        <f>IF(AND($F255&lt;&gt;"", $F255&gt;=BV$5-4, $F255&lt;=BV$5, COUNTIF($M255:BU255,"u")=0), "u", "")</f>
        <v/>
      </c>
      <c r="BW255" s="80" t="str">
        <f>IF(AND($F255&lt;&gt;"", $F255&gt;=BW$5-4, $F255&lt;=BW$5, COUNTIF($M255:BV255,"u")=0), "u", "")</f>
        <v/>
      </c>
      <c r="BX255" s="80" t="str">
        <f>IF(AND($F255&lt;&gt;"", $F255&gt;=BX$5-4, $F255&lt;=BX$5, COUNTIF($M255:BW255,"u")=0), "u", "")</f>
        <v/>
      </c>
      <c r="BY255" s="80" t="str">
        <f>IF(AND($F255&lt;&gt;"", $F255&gt;=BY$5-4, $F255&lt;=BY$5, COUNTIF($M255:BX255,"u")=0), "u", "")</f>
        <v/>
      </c>
      <c r="BZ255" s="80" t="str">
        <f>IF(AND($F255&lt;&gt;"", $F255&gt;=BZ$5-4, $F255&lt;=BZ$5, COUNTIF($M255:BY255,"u")=0), "u", "")</f>
        <v/>
      </c>
      <c r="CA255" s="80" t="str">
        <f>IF(AND($F255&lt;&gt;"", $F255&gt;=CA$5-4, $F255&lt;=CA$5, COUNTIF($M255:BZ255,"u")=0), "u", "")</f>
        <v/>
      </c>
      <c r="CB255" s="80" t="str">
        <f>IF(AND($F255&lt;&gt;"", $F255&gt;=CB$5-4, $F255&lt;=CB$5, COUNTIF($M255:CA255,"u")=0), "u", "")</f>
        <v/>
      </c>
      <c r="CC255" s="80" t="str">
        <f>IF(AND($F255&lt;&gt;"", $F255&gt;=CC$5-4, $F255&lt;=CC$5, COUNTIF($M255:CB255,"u")=0), "u", "")</f>
        <v/>
      </c>
      <c r="CD255" s="80" t="str">
        <f>IF(AND($F255&lt;&gt;"", $F255&gt;=CD$5-4, $F255&lt;=CD$5, COUNTIF($M255:CC255,"u")=0), "u", "")</f>
        <v/>
      </c>
      <c r="CE255" s="80" t="str">
        <f>IF(AND($F255&lt;&gt;"", $F255&gt;=CE$5-4, $F255&lt;=CE$5, COUNTIF($M255:CD255,"u")=0), "u", "")</f>
        <v/>
      </c>
      <c r="CF255" s="80" t="str">
        <f>IF(AND($F255&lt;&gt;"", $F255&gt;=CF$5-4, $F255&lt;=CF$5, COUNTIF($M255:CE255,"u")=0), "u", "")</f>
        <v/>
      </c>
      <c r="CG255" s="80" t="str">
        <f>IF(AND($F255&lt;&gt;"", $F255&gt;=CG$5-4, $F255&lt;=CG$5, COUNTIF($M255:CF255,"u")=0), "u", "")</f>
        <v/>
      </c>
      <c r="CH255" s="80" t="str">
        <f>IF(AND($F255&lt;&gt;"", $F255&gt;=CH$5-4, $F255&lt;=CH$5, COUNTIF($M255:CG255,"u")=0), "u", "")</f>
        <v/>
      </c>
      <c r="CI255" s="80" t="str">
        <f>IF(AND($F255&lt;&gt;"", $F255&gt;=CI$5-4, $F255&lt;=CI$5, COUNTIF($M255:CH255,"u")=0), "u", "")</f>
        <v/>
      </c>
      <c r="CJ255" s="80" t="str">
        <f>IF(AND($F255&lt;&gt;"", $F255&gt;=CJ$5-4, $F255&lt;=CJ$5, COUNTIF($M255:CI255,"u")=0), "u", "")</f>
        <v/>
      </c>
      <c r="CK255" s="80" t="str">
        <f>IF(AND($F255&lt;&gt;"", $F255&gt;=CK$5-4, $F255&lt;=CK$5, COUNTIF($M255:CJ255,"u")=0), "u", "")</f>
        <v/>
      </c>
      <c r="CL255" s="80" t="str">
        <f>IF(AND($F255&lt;&gt;"", $F255&gt;=CL$5-4, $F255&lt;=CL$5, COUNTIF($M255:CK255,"u")=0), "u", "")</f>
        <v/>
      </c>
      <c r="CM255" s="80" t="str">
        <f>IF(AND($F255&lt;&gt;"", $F255&gt;=CM$5-4, $F255&lt;=CM$5, COUNTIF($M255:CL255,"u")=0), "u", "")</f>
        <v/>
      </c>
      <c r="CN255" s="80" t="str">
        <f>IF(AND($F255&lt;&gt;"", $F255&gt;=CN$5-4, $F255&lt;=CN$5, COUNTIF($M255:CM255,"u")=0), "u", "")</f>
        <v/>
      </c>
      <c r="CO255" s="80" t="str">
        <f>IF(AND($F255&lt;&gt;"", $F255&gt;=CO$5-4, $F255&lt;=CO$5, COUNTIF($M255:CN255,"u")=0), "u", "")</f>
        <v/>
      </c>
      <c r="CP255" s="80" t="str">
        <f>IF(AND($F255&lt;&gt;"", $F255&gt;=CP$5-4, $F255&lt;=CP$5, COUNTIF($M255:CO255,"u")=0), "u", "")</f>
        <v/>
      </c>
      <c r="CQ255" s="80" t="str">
        <f>IF(AND($F255&lt;&gt;"", $F255&gt;=CQ$5-4, $F255&lt;=CQ$5, COUNTIF($M255:CP255,"u")=0), "u", "")</f>
        <v/>
      </c>
      <c r="CR255" s="80" t="str">
        <f>IF(AND($F255&lt;&gt;"", $F255&gt;=CR$5-4, $F255&lt;=CR$5, COUNTIF($M255:CQ255,"u")=0), "u", "")</f>
        <v/>
      </c>
      <c r="CS255" s="80" t="str">
        <f>IF(AND($F255&lt;&gt;"", $F255&gt;=CS$5-4, $F255&lt;=CS$5, COUNTIF($M255:CR255,"u")=0), "u", "")</f>
        <v/>
      </c>
      <c r="CT255" s="80" t="str">
        <f>IF(AND($F255&lt;&gt;"", $F255&gt;=CT$5-4, $F255&lt;=CT$5, COUNTIF($M255:CS255,"u")=0), "u", "")</f>
        <v/>
      </c>
      <c r="CU255" s="80" t="str">
        <f>IF(AND($F255&lt;&gt;"", $F255&gt;=CU$5-4, $F255&lt;=CU$5, COUNTIF($M255:CT255,"u")=0), "u", "")</f>
        <v/>
      </c>
      <c r="CV255" s="80" t="str">
        <f>IF(AND($F255&lt;&gt;"", $F255&gt;=CV$5-4, $F255&lt;=CV$5, COUNTIF($M255:CU255,"u")=0), "u", "")</f>
        <v/>
      </c>
      <c r="CW255" s="80" t="str">
        <f>IF(AND($F255&lt;&gt;"", $F255&gt;=CW$5-4, $F255&lt;=CW$5, COUNTIF($M255:CV255,"u")=0), "u", "")</f>
        <v/>
      </c>
      <c r="CX255" s="80" t="str">
        <f>IF(AND($F255&lt;&gt;"", $F255&gt;=CX$5-4, $F255&lt;=CX$5, COUNTIF($M255:CW255,"u")=0), "u", "")</f>
        <v/>
      </c>
      <c r="CY255" s="80" t="str">
        <f>IF(AND($F255&lt;&gt;"", $F255&gt;=CY$5-4, $F255&lt;=CY$5, COUNTIF($M255:CX255,"u")=0), "u", "")</f>
        <v/>
      </c>
      <c r="CZ255" s="80" t="str">
        <f>IF(AND($F255&lt;&gt;"", $F255&gt;=CZ$5-4, $F255&lt;=CZ$5, COUNTIF($M255:CY255,"u")=0), "u", "")</f>
        <v/>
      </c>
      <c r="DA255" s="80" t="str">
        <f>IF(AND($F255&lt;&gt;"", $F255&gt;=DA$5-4, $F255&lt;=DA$5, COUNTIF($M255:CZ255,"u")=0), "u", "")</f>
        <v/>
      </c>
      <c r="DB255" s="80" t="str">
        <f>IF(AND($F255&lt;&gt;"", $F255&gt;=DB$5-4, $F255&lt;=DB$5, COUNTIF($M255:DA255,"u")=0), "u", "")</f>
        <v/>
      </c>
      <c r="DC255" s="80" t="str">
        <f>IF(AND($F255&lt;&gt;"", $F255&gt;=DC$5-4, $F255&lt;=DC$5, COUNTIF($M255:DB255,"u")=0), "u", "")</f>
        <v/>
      </c>
      <c r="DD255" s="80" t="str">
        <f>IF(AND($F255&lt;&gt;"", $F255&gt;=DD$5-4, $F255&lt;=DD$5, COUNTIF($M255:DC255,"u")=0), "u", "")</f>
        <v/>
      </c>
      <c r="DE255" s="80" t="str">
        <f>IF(AND($F255&lt;&gt;"", $F255&gt;=DE$5-4, $F255&lt;=DE$5, COUNTIF($M255:DD255,"u")=0), "u", "")</f>
        <v/>
      </c>
      <c r="DF255" s="80" t="str">
        <f>IF(AND($F255&lt;&gt;"", $F255&gt;=DF$5-4, $F255&lt;=DF$5, COUNTIF($M255:DE255,"u")=0), "u", "")</f>
        <v/>
      </c>
      <c r="DG255" s="80" t="str">
        <f>IF(AND($F255&lt;&gt;"", $F255&gt;=DG$5-4, $F255&lt;=DG$5, COUNTIF($M255:DF255,"u")=0), "u", "")</f>
        <v/>
      </c>
      <c r="DH255" s="80" t="str">
        <f>IF(AND($F255&lt;&gt;"", $F255&gt;=DH$5-4, $F255&lt;=DH$5, COUNTIF($M255:DG255,"u")=0), "u", "")</f>
        <v/>
      </c>
      <c r="DI255" s="80" t="str">
        <f>IF(AND($F255&lt;&gt;"", $F255&gt;=DI$5-4, $F255&lt;=DI$5, COUNTIF($M255:DH255,"u")=0), "u", "")</f>
        <v/>
      </c>
      <c r="DJ255" s="80" t="str">
        <f>IF(AND($F255&lt;&gt;"", $F255&gt;=DJ$5-4, $F255&lt;=DJ$5, COUNTIF($M255:DI255,"u")=0), "u", "")</f>
        <v/>
      </c>
      <c r="DK255" s="80" t="str">
        <f>IF(AND($F255&lt;&gt;"", $F255&gt;=DK$5-4, $F255&lt;=DK$5, COUNTIF($M255:DJ255,"u")=0), "u", "")</f>
        <v/>
      </c>
      <c r="DL255" s="80" t="str">
        <f>IF(AND($F255&lt;&gt;"", $F255&gt;=DL$5-4, $F255&lt;=DL$5, COUNTIF($M255:DK255,"u")=0), "u", "")</f>
        <v/>
      </c>
    </row>
    <row r="256" spans="1:116" ht="25.05" customHeight="1" x14ac:dyDescent="0.3">
      <c r="A256" s="39"/>
      <c r="B256" s="75">
        <v>251</v>
      </c>
      <c r="C256" s="97"/>
      <c r="D256" s="92"/>
      <c r="E256" s="53"/>
      <c r="F256" s="53"/>
      <c r="G256" s="83" t="str">
        <f t="shared" si="56"/>
        <v/>
      </c>
      <c r="H256" s="83" t="str">
        <f t="shared" si="56"/>
        <v/>
      </c>
      <c r="I256" s="77" t="str">
        <f t="shared" si="54"/>
        <v/>
      </c>
      <c r="J256" s="78"/>
      <c r="K256" s="86"/>
      <c r="L256" s="56"/>
      <c r="M256" s="80" t="str">
        <f t="shared" si="55"/>
        <v/>
      </c>
      <c r="N256" s="80" t="str">
        <f>IF(AND($F256&lt;&gt;"", $F256&gt;=N$5-4, $F256&lt;=N$5, COUNTIF($M256:M256,"u")=0), "u", "")</f>
        <v/>
      </c>
      <c r="O256" s="80" t="str">
        <f>IF(AND($F256&lt;&gt;"", $F256&gt;=O$5-4, $F256&lt;=O$5, COUNTIF($M256:N256,"u")=0), "u", "")</f>
        <v/>
      </c>
      <c r="P256" s="80" t="str">
        <f>IF(AND($F256&lt;&gt;"", $F256&gt;=P$5-4, $F256&lt;=P$5, COUNTIF($M256:O256,"u")=0), "u", "")</f>
        <v/>
      </c>
      <c r="Q256" s="80" t="str">
        <f>IF(AND($F256&lt;&gt;"", $F256&gt;=Q$5-4, $F256&lt;=Q$5, COUNTIF($M256:P256,"u")=0), "u", "")</f>
        <v/>
      </c>
      <c r="R256" s="80" t="str">
        <f>IF(AND($F256&lt;&gt;"", $F256&gt;=R$5-4, $F256&lt;=R$5, COUNTIF($M256:Q256,"u")=0), "u", "")</f>
        <v/>
      </c>
      <c r="S256" s="80" t="str">
        <f>IF(AND($F256&lt;&gt;"", $F256&gt;=S$5-4, $F256&lt;=S$5, COUNTIF($M256:R256,"u")=0), "u", "")</f>
        <v/>
      </c>
      <c r="T256" s="80" t="str">
        <f>IF(AND($F256&lt;&gt;"", $F256&gt;=T$5-4, $F256&lt;=T$5, COUNTIF($M256:S256,"u")=0), "u", "")</f>
        <v/>
      </c>
      <c r="U256" s="80" t="str">
        <f>IF(AND($F256&lt;&gt;"", $F256&gt;=U$5-4, $F256&lt;=U$5, COUNTIF($M256:T256,"u")=0), "u", "")</f>
        <v/>
      </c>
      <c r="V256" s="80" t="str">
        <f>IF(AND($F256&lt;&gt;"", $F256&gt;=V$5-4, $F256&lt;=V$5, COUNTIF($M256:U256,"u")=0), "u", "")</f>
        <v/>
      </c>
      <c r="W256" s="80" t="str">
        <f>IF(AND($F256&lt;&gt;"", $F256&gt;=W$5-4, $F256&lt;=W$5, COUNTIF($M256:V256,"u")=0), "u", "")</f>
        <v/>
      </c>
      <c r="X256" s="80" t="str">
        <f>IF(AND($F256&lt;&gt;"", $F256&gt;=X$5-4, $F256&lt;=X$5, COUNTIF($M256:W256,"u")=0), "u", "")</f>
        <v/>
      </c>
      <c r="Y256" s="80" t="str">
        <f>IF(AND($F256&lt;&gt;"", $F256&gt;=Y$5-4, $F256&lt;=Y$5, COUNTIF($M256:X256,"u")=0), "u", "")</f>
        <v/>
      </c>
      <c r="Z256" s="80" t="str">
        <f>IF(AND($F256&lt;&gt;"", $F256&gt;=Z$5-4, $F256&lt;=Z$5, COUNTIF($M256:Y256,"u")=0), "u", "")</f>
        <v/>
      </c>
      <c r="AA256" s="80" t="str">
        <f>IF(AND($F256&lt;&gt;"", $F256&gt;=AA$5-4, $F256&lt;=AA$5, COUNTIF($M256:Z256,"u")=0), "u", "")</f>
        <v/>
      </c>
      <c r="AB256" s="80" t="str">
        <f>IF(AND($F256&lt;&gt;"", $F256&gt;=AB$5-4, $F256&lt;=AB$5, COUNTIF($M256:AA256,"u")=0), "u", "")</f>
        <v/>
      </c>
      <c r="AC256" s="80" t="str">
        <f>IF(AND($F256&lt;&gt;"", $F256&gt;=AC$5-4, $F256&lt;=AC$5, COUNTIF($M256:AB256,"u")=0), "u", "")</f>
        <v/>
      </c>
      <c r="AD256" s="80" t="str">
        <f>IF(AND($F256&lt;&gt;"", $F256&gt;=AD$5-4, $F256&lt;=AD$5, COUNTIF($M256:AC256,"u")=0), "u", "")</f>
        <v/>
      </c>
      <c r="AE256" s="80" t="str">
        <f>IF(AND($F256&lt;&gt;"", $F256&gt;=AE$5-4, $F256&lt;=AE$5, COUNTIF($M256:AD256,"u")=0), "u", "")</f>
        <v/>
      </c>
      <c r="AF256" s="80" t="str">
        <f>IF(AND($F256&lt;&gt;"", $F256&gt;=AF$5-4, $F256&lt;=AF$5, COUNTIF($M256:AE256,"u")=0), "u", "")</f>
        <v/>
      </c>
      <c r="AG256" s="80" t="str">
        <f>IF(AND($F256&lt;&gt;"", $F256&gt;=AG$5-4, $F256&lt;=AG$5, COUNTIF($M256:AF256,"u")=0), "u", "")</f>
        <v/>
      </c>
      <c r="AH256" s="80" t="str">
        <f>IF(AND($F256&lt;&gt;"", $F256&gt;=AH$5-4, $F256&lt;=AH$5, COUNTIF($M256:AG256,"u")=0), "u", "")</f>
        <v/>
      </c>
      <c r="AI256" s="80" t="str">
        <f>IF(AND($F256&lt;&gt;"", $F256&gt;=AI$5-4, $F256&lt;=AI$5, COUNTIF($M256:AH256,"u")=0), "u", "")</f>
        <v/>
      </c>
      <c r="AJ256" s="80" t="str">
        <f>IF(AND($F256&lt;&gt;"", $F256&gt;=AJ$5-4, $F256&lt;=AJ$5, COUNTIF($M256:AI256,"u")=0), "u", "")</f>
        <v/>
      </c>
      <c r="AK256" s="80" t="str">
        <f>IF(AND($F256&lt;&gt;"", $F256&gt;=AK$5-4, $F256&lt;=AK$5, COUNTIF($M256:AJ256,"u")=0), "u", "")</f>
        <v/>
      </c>
      <c r="AL256" s="80" t="str">
        <f>IF(AND($F256&lt;&gt;"", $F256&gt;=AL$5-4, $F256&lt;=AL$5, COUNTIF($M256:AK256,"u")=0), "u", "")</f>
        <v/>
      </c>
      <c r="AM256" s="80" t="str">
        <f>IF(AND($F256&lt;&gt;"", $F256&gt;=AM$5-4, $F256&lt;=AM$5, COUNTIF($M256:AL256,"u")=0), "u", "")</f>
        <v/>
      </c>
      <c r="AN256" s="80" t="str">
        <f>IF(AND($F256&lt;&gt;"", $F256&gt;=AN$5-4, $F256&lt;=AN$5, COUNTIF($M256:AM256,"u")=0), "u", "")</f>
        <v/>
      </c>
      <c r="AO256" s="80" t="str">
        <f>IF(AND($F256&lt;&gt;"", $F256&gt;=AO$5-4, $F256&lt;=AO$5, COUNTIF($M256:AN256,"u")=0), "u", "")</f>
        <v/>
      </c>
      <c r="AP256" s="80" t="str">
        <f>IF(AND($F256&lt;&gt;"", $F256&gt;=AP$5-4, $F256&lt;=AP$5, COUNTIF($M256:AO256,"u")=0), "u", "")</f>
        <v/>
      </c>
      <c r="AQ256" s="80" t="str">
        <f>IF(AND($F256&lt;&gt;"", $F256&gt;=AQ$5-4, $F256&lt;=AQ$5, COUNTIF($M256:AP256,"u")=0), "u", "")</f>
        <v/>
      </c>
      <c r="AR256" s="80" t="str">
        <f>IF(AND($F256&lt;&gt;"", $F256&gt;=AR$5-4, $F256&lt;=AR$5, COUNTIF($M256:AQ256,"u")=0), "u", "")</f>
        <v/>
      </c>
      <c r="AS256" s="80" t="str">
        <f>IF(AND($F256&lt;&gt;"", $F256&gt;=AS$5-4, $F256&lt;=AS$5, COUNTIF($M256:AR256,"u")=0), "u", "")</f>
        <v/>
      </c>
      <c r="AT256" s="80" t="str">
        <f>IF(AND($F256&lt;&gt;"", $F256&gt;=AT$5-4, $F256&lt;=AT$5, COUNTIF($M256:AS256,"u")=0), "u", "")</f>
        <v/>
      </c>
      <c r="AU256" s="80" t="str">
        <f>IF(AND($F256&lt;&gt;"", $F256&gt;=AU$5-4, $F256&lt;=AU$5, COUNTIF($M256:AT256,"u")=0), "u", "")</f>
        <v/>
      </c>
      <c r="AV256" s="80" t="str">
        <f>IF(AND($F256&lt;&gt;"", $F256&gt;=AV$5-4, $F256&lt;=AV$5, COUNTIF($M256:AU256,"u")=0), "u", "")</f>
        <v/>
      </c>
      <c r="AW256" s="80" t="str">
        <f>IF(AND($F256&lt;&gt;"", $F256&gt;=AW$5-4, $F256&lt;=AW$5, COUNTIF($M256:AV256,"u")=0), "u", "")</f>
        <v/>
      </c>
      <c r="AX256" s="80" t="str">
        <f>IF(AND($F256&lt;&gt;"", $F256&gt;=AX$5-4, $F256&lt;=AX$5, COUNTIF($M256:AW256,"u")=0), "u", "")</f>
        <v/>
      </c>
      <c r="AY256" s="80" t="str">
        <f>IF(AND($F256&lt;&gt;"", $F256&gt;=AY$5-4, $F256&lt;=AY$5, COUNTIF($M256:AX256,"u")=0), "u", "")</f>
        <v/>
      </c>
      <c r="AZ256" s="80" t="str">
        <f>IF(AND($F256&lt;&gt;"", $F256&gt;=AZ$5-4, $F256&lt;=AZ$5, COUNTIF($M256:AY256,"u")=0), "u", "")</f>
        <v/>
      </c>
      <c r="BA256" s="80" t="str">
        <f>IF(AND($F256&lt;&gt;"", $F256&gt;=BA$5-4, $F256&lt;=BA$5, COUNTIF($M256:AZ256,"u")=0), "u", "")</f>
        <v/>
      </c>
      <c r="BB256" s="80" t="str">
        <f>IF(AND($F256&lt;&gt;"", $F256&gt;=BB$5-4, $F256&lt;=BB$5, COUNTIF($M256:BA256,"u")=0), "u", "")</f>
        <v/>
      </c>
      <c r="BC256" s="80" t="str">
        <f>IF(AND($F256&lt;&gt;"", $F256&gt;=BC$5-4, $F256&lt;=BC$5, COUNTIF($M256:BB256,"u")=0), "u", "")</f>
        <v/>
      </c>
      <c r="BD256" s="80" t="str">
        <f>IF(AND($F256&lt;&gt;"", $F256&gt;=BD$5-4, $F256&lt;=BD$5, COUNTIF($M256:BC256,"u")=0), "u", "")</f>
        <v/>
      </c>
      <c r="BE256" s="80" t="str">
        <f>IF(AND($F256&lt;&gt;"", $F256&gt;=BE$5-4, $F256&lt;=BE$5, COUNTIF($M256:BD256,"u")=0), "u", "")</f>
        <v/>
      </c>
      <c r="BF256" s="80" t="str">
        <f>IF(AND($F256&lt;&gt;"", $F256&gt;=BF$5-4, $F256&lt;=BF$5, COUNTIF($M256:BE256,"u")=0), "u", "")</f>
        <v/>
      </c>
      <c r="BG256" s="80" t="str">
        <f>IF(AND($F256&lt;&gt;"", $F256&gt;=BG$5-4, $F256&lt;=BG$5, COUNTIF($M256:BF256,"u")=0), "u", "")</f>
        <v/>
      </c>
      <c r="BH256" s="80" t="str">
        <f>IF(AND($F256&lt;&gt;"", $F256&gt;=BH$5-4, $F256&lt;=BH$5, COUNTIF($M256:BG256,"u")=0), "u", "")</f>
        <v/>
      </c>
      <c r="BI256" s="80" t="str">
        <f>IF(AND($F256&lt;&gt;"", $F256&gt;=BI$5-4, $F256&lt;=BI$5, COUNTIF($M256:BH256,"u")=0), "u", "")</f>
        <v/>
      </c>
      <c r="BJ256" s="80" t="str">
        <f>IF(AND($F256&lt;&gt;"", $F256&gt;=BJ$5-4, $F256&lt;=BJ$5, COUNTIF($M256:BI256,"u")=0), "u", "")</f>
        <v/>
      </c>
      <c r="BK256" s="80" t="str">
        <f>IF(AND($F256&lt;&gt;"", $F256&gt;=BK$5-4, $F256&lt;=BK$5, COUNTIF($M256:BJ256,"u")=0), "u", "")</f>
        <v/>
      </c>
      <c r="BL256" s="80" t="str">
        <f>IF(AND($F256&lt;&gt;"", $F256&gt;=BL$5-4, $F256&lt;=BL$5, COUNTIF($M256:BK256,"u")=0), "u", "")</f>
        <v/>
      </c>
      <c r="BM256" s="80" t="str">
        <f>IF(AND($F256&lt;&gt;"", $F256&gt;=BM$5-4, $F256&lt;=BM$5, COUNTIF($M256:BL256,"u")=0), "u", "")</f>
        <v/>
      </c>
      <c r="BN256" s="80" t="str">
        <f>IF(AND($F256&lt;&gt;"", $F256&gt;=BN$5-4, $F256&lt;=BN$5, COUNTIF($M256:BM256,"u")=0), "u", "")</f>
        <v/>
      </c>
      <c r="BO256" s="80" t="str">
        <f>IF(AND($F256&lt;&gt;"", $F256&gt;=BO$5-4, $F256&lt;=BO$5, COUNTIF($M256:BN256,"u")=0), "u", "")</f>
        <v/>
      </c>
      <c r="BP256" s="80" t="str">
        <f>IF(AND($F256&lt;&gt;"", $F256&gt;=BP$5-4, $F256&lt;=BP$5, COUNTIF($M256:BO256,"u")=0), "u", "")</f>
        <v/>
      </c>
      <c r="BQ256" s="80" t="str">
        <f>IF(AND($F256&lt;&gt;"", $F256&gt;=BQ$5-4, $F256&lt;=BQ$5, COUNTIF($M256:BP256,"u")=0), "u", "")</f>
        <v/>
      </c>
      <c r="BR256" s="80" t="str">
        <f>IF(AND($F256&lt;&gt;"", $F256&gt;=BR$5-4, $F256&lt;=BR$5, COUNTIF($M256:BQ256,"u")=0), "u", "")</f>
        <v/>
      </c>
      <c r="BS256" s="80" t="str">
        <f>IF(AND($F256&lt;&gt;"", $F256&gt;=BS$5-4, $F256&lt;=BS$5, COUNTIF($M256:BR256,"u")=0), "u", "")</f>
        <v/>
      </c>
      <c r="BT256" s="80" t="str">
        <f>IF(AND($F256&lt;&gt;"", $F256&gt;=BT$5-4, $F256&lt;=BT$5, COUNTIF($M256:BS256,"u")=0), "u", "")</f>
        <v/>
      </c>
      <c r="BU256" s="80" t="str">
        <f>IF(AND($F256&lt;&gt;"", $F256&gt;=BU$5-4, $F256&lt;=BU$5, COUNTIF($M256:BT256,"u")=0), "u", "")</f>
        <v/>
      </c>
      <c r="BV256" s="80" t="str">
        <f>IF(AND($F256&lt;&gt;"", $F256&gt;=BV$5-4, $F256&lt;=BV$5, COUNTIF($M256:BU256,"u")=0), "u", "")</f>
        <v/>
      </c>
      <c r="BW256" s="80" t="str">
        <f>IF(AND($F256&lt;&gt;"", $F256&gt;=BW$5-4, $F256&lt;=BW$5, COUNTIF($M256:BV256,"u")=0), "u", "")</f>
        <v/>
      </c>
      <c r="BX256" s="80" t="str">
        <f>IF(AND($F256&lt;&gt;"", $F256&gt;=BX$5-4, $F256&lt;=BX$5, COUNTIF($M256:BW256,"u")=0), "u", "")</f>
        <v/>
      </c>
      <c r="BY256" s="80" t="str">
        <f>IF(AND($F256&lt;&gt;"", $F256&gt;=BY$5-4, $F256&lt;=BY$5, COUNTIF($M256:BX256,"u")=0), "u", "")</f>
        <v/>
      </c>
      <c r="BZ256" s="80" t="str">
        <f>IF(AND($F256&lt;&gt;"", $F256&gt;=BZ$5-4, $F256&lt;=BZ$5, COUNTIF($M256:BY256,"u")=0), "u", "")</f>
        <v/>
      </c>
      <c r="CA256" s="80" t="str">
        <f>IF(AND($F256&lt;&gt;"", $F256&gt;=CA$5-4, $F256&lt;=CA$5, COUNTIF($M256:BZ256,"u")=0), "u", "")</f>
        <v/>
      </c>
      <c r="CB256" s="80" t="str">
        <f>IF(AND($F256&lt;&gt;"", $F256&gt;=CB$5-4, $F256&lt;=CB$5, COUNTIF($M256:CA256,"u")=0), "u", "")</f>
        <v/>
      </c>
      <c r="CC256" s="80" t="str">
        <f>IF(AND($F256&lt;&gt;"", $F256&gt;=CC$5-4, $F256&lt;=CC$5, COUNTIF($M256:CB256,"u")=0), "u", "")</f>
        <v/>
      </c>
      <c r="CD256" s="80" t="str">
        <f>IF(AND($F256&lt;&gt;"", $F256&gt;=CD$5-4, $F256&lt;=CD$5, COUNTIF($M256:CC256,"u")=0), "u", "")</f>
        <v/>
      </c>
      <c r="CE256" s="80" t="str">
        <f>IF(AND($F256&lt;&gt;"", $F256&gt;=CE$5-4, $F256&lt;=CE$5, COUNTIF($M256:CD256,"u")=0), "u", "")</f>
        <v/>
      </c>
      <c r="CF256" s="80" t="str">
        <f>IF(AND($F256&lt;&gt;"", $F256&gt;=CF$5-4, $F256&lt;=CF$5, COUNTIF($M256:CE256,"u")=0), "u", "")</f>
        <v/>
      </c>
      <c r="CG256" s="80" t="str">
        <f>IF(AND($F256&lt;&gt;"", $F256&gt;=CG$5-4, $F256&lt;=CG$5, COUNTIF($M256:CF256,"u")=0), "u", "")</f>
        <v/>
      </c>
      <c r="CH256" s="80" t="str">
        <f>IF(AND($F256&lt;&gt;"", $F256&gt;=CH$5-4, $F256&lt;=CH$5, COUNTIF($M256:CG256,"u")=0), "u", "")</f>
        <v/>
      </c>
      <c r="CI256" s="80" t="str">
        <f>IF(AND($F256&lt;&gt;"", $F256&gt;=CI$5-4, $F256&lt;=CI$5, COUNTIF($M256:CH256,"u")=0), "u", "")</f>
        <v/>
      </c>
      <c r="CJ256" s="80" t="str">
        <f>IF(AND($F256&lt;&gt;"", $F256&gt;=CJ$5-4, $F256&lt;=CJ$5, COUNTIF($M256:CI256,"u")=0), "u", "")</f>
        <v/>
      </c>
      <c r="CK256" s="80" t="str">
        <f>IF(AND($F256&lt;&gt;"", $F256&gt;=CK$5-4, $F256&lt;=CK$5, COUNTIF($M256:CJ256,"u")=0), "u", "")</f>
        <v/>
      </c>
      <c r="CL256" s="80" t="str">
        <f>IF(AND($F256&lt;&gt;"", $F256&gt;=CL$5-4, $F256&lt;=CL$5, COUNTIF($M256:CK256,"u")=0), "u", "")</f>
        <v/>
      </c>
      <c r="CM256" s="80" t="str">
        <f>IF(AND($F256&lt;&gt;"", $F256&gt;=CM$5-4, $F256&lt;=CM$5, COUNTIF($M256:CL256,"u")=0), "u", "")</f>
        <v/>
      </c>
      <c r="CN256" s="80" t="str">
        <f>IF(AND($F256&lt;&gt;"", $F256&gt;=CN$5-4, $F256&lt;=CN$5, COUNTIF($M256:CM256,"u")=0), "u", "")</f>
        <v/>
      </c>
      <c r="CO256" s="80" t="str">
        <f>IF(AND($F256&lt;&gt;"", $F256&gt;=CO$5-4, $F256&lt;=CO$5, COUNTIF($M256:CN256,"u")=0), "u", "")</f>
        <v/>
      </c>
      <c r="CP256" s="80" t="str">
        <f>IF(AND($F256&lt;&gt;"", $F256&gt;=CP$5-4, $F256&lt;=CP$5, COUNTIF($M256:CO256,"u")=0), "u", "")</f>
        <v/>
      </c>
      <c r="CQ256" s="80" t="str">
        <f>IF(AND($F256&lt;&gt;"", $F256&gt;=CQ$5-4, $F256&lt;=CQ$5, COUNTIF($M256:CP256,"u")=0), "u", "")</f>
        <v/>
      </c>
      <c r="CR256" s="80" t="str">
        <f>IF(AND($F256&lt;&gt;"", $F256&gt;=CR$5-4, $F256&lt;=CR$5, COUNTIF($M256:CQ256,"u")=0), "u", "")</f>
        <v/>
      </c>
      <c r="CS256" s="80" t="str">
        <f>IF(AND($F256&lt;&gt;"", $F256&gt;=CS$5-4, $F256&lt;=CS$5, COUNTIF($M256:CR256,"u")=0), "u", "")</f>
        <v/>
      </c>
      <c r="CT256" s="80" t="str">
        <f>IF(AND($F256&lt;&gt;"", $F256&gt;=CT$5-4, $F256&lt;=CT$5, COUNTIF($M256:CS256,"u")=0), "u", "")</f>
        <v/>
      </c>
      <c r="CU256" s="80" t="str">
        <f>IF(AND($F256&lt;&gt;"", $F256&gt;=CU$5-4, $F256&lt;=CU$5, COUNTIF($M256:CT256,"u")=0), "u", "")</f>
        <v/>
      </c>
      <c r="CV256" s="80" t="str">
        <f>IF(AND($F256&lt;&gt;"", $F256&gt;=CV$5-4, $F256&lt;=CV$5, COUNTIF($M256:CU256,"u")=0), "u", "")</f>
        <v/>
      </c>
      <c r="CW256" s="80" t="str">
        <f>IF(AND($F256&lt;&gt;"", $F256&gt;=CW$5-4, $F256&lt;=CW$5, COUNTIF($M256:CV256,"u")=0), "u", "")</f>
        <v/>
      </c>
      <c r="CX256" s="80" t="str">
        <f>IF(AND($F256&lt;&gt;"", $F256&gt;=CX$5-4, $F256&lt;=CX$5, COUNTIF($M256:CW256,"u")=0), "u", "")</f>
        <v/>
      </c>
      <c r="CY256" s="80" t="str">
        <f>IF(AND($F256&lt;&gt;"", $F256&gt;=CY$5-4, $F256&lt;=CY$5, COUNTIF($M256:CX256,"u")=0), "u", "")</f>
        <v/>
      </c>
      <c r="CZ256" s="80" t="str">
        <f>IF(AND($F256&lt;&gt;"", $F256&gt;=CZ$5-4, $F256&lt;=CZ$5, COUNTIF($M256:CY256,"u")=0), "u", "")</f>
        <v/>
      </c>
      <c r="DA256" s="80" t="str">
        <f>IF(AND($F256&lt;&gt;"", $F256&gt;=DA$5-4, $F256&lt;=DA$5, COUNTIF($M256:CZ256,"u")=0), "u", "")</f>
        <v/>
      </c>
      <c r="DB256" s="80" t="str">
        <f>IF(AND($F256&lt;&gt;"", $F256&gt;=DB$5-4, $F256&lt;=DB$5, COUNTIF($M256:DA256,"u")=0), "u", "")</f>
        <v/>
      </c>
      <c r="DC256" s="80" t="str">
        <f>IF(AND($F256&lt;&gt;"", $F256&gt;=DC$5-4, $F256&lt;=DC$5, COUNTIF($M256:DB256,"u")=0), "u", "")</f>
        <v/>
      </c>
      <c r="DD256" s="80" t="str">
        <f>IF(AND($F256&lt;&gt;"", $F256&gt;=DD$5-4, $F256&lt;=DD$5, COUNTIF($M256:DC256,"u")=0), "u", "")</f>
        <v/>
      </c>
      <c r="DE256" s="80" t="str">
        <f>IF(AND($F256&lt;&gt;"", $F256&gt;=DE$5-4, $F256&lt;=DE$5, COUNTIF($M256:DD256,"u")=0), "u", "")</f>
        <v/>
      </c>
      <c r="DF256" s="80" t="str">
        <f>IF(AND($F256&lt;&gt;"", $F256&gt;=DF$5-4, $F256&lt;=DF$5, COUNTIF($M256:DE256,"u")=0), "u", "")</f>
        <v/>
      </c>
      <c r="DG256" s="80" t="str">
        <f>IF(AND($F256&lt;&gt;"", $F256&gt;=DG$5-4, $F256&lt;=DG$5, COUNTIF($M256:DF256,"u")=0), "u", "")</f>
        <v/>
      </c>
      <c r="DH256" s="80" t="str">
        <f>IF(AND($F256&lt;&gt;"", $F256&gt;=DH$5-4, $F256&lt;=DH$5, COUNTIF($M256:DG256,"u")=0), "u", "")</f>
        <v/>
      </c>
      <c r="DI256" s="80" t="str">
        <f>IF(AND($F256&lt;&gt;"", $F256&gt;=DI$5-4, $F256&lt;=DI$5, COUNTIF($M256:DH256,"u")=0), "u", "")</f>
        <v/>
      </c>
      <c r="DJ256" s="80" t="str">
        <f>IF(AND($F256&lt;&gt;"", $F256&gt;=DJ$5-4, $F256&lt;=DJ$5, COUNTIF($M256:DI256,"u")=0), "u", "")</f>
        <v/>
      </c>
      <c r="DK256" s="80" t="str">
        <f>IF(AND($F256&lt;&gt;"", $F256&gt;=DK$5-4, $F256&lt;=DK$5, COUNTIF($M256:DJ256,"u")=0), "u", "")</f>
        <v/>
      </c>
      <c r="DL256" s="80" t="str">
        <f>IF(AND($F256&lt;&gt;"", $F256&gt;=DL$5-4, $F256&lt;=DL$5, COUNTIF($M256:DK256,"u")=0), "u", "")</f>
        <v/>
      </c>
    </row>
    <row r="257" spans="1:116" ht="25.05" customHeight="1" x14ac:dyDescent="0.3">
      <c r="A257" s="39"/>
      <c r="B257" s="75">
        <v>252</v>
      </c>
      <c r="C257" s="97"/>
      <c r="D257" s="92"/>
      <c r="E257" s="53"/>
      <c r="F257" s="53"/>
      <c r="G257" s="83" t="str">
        <f t="shared" si="56"/>
        <v/>
      </c>
      <c r="H257" s="83" t="str">
        <f t="shared" si="56"/>
        <v/>
      </c>
      <c r="I257" s="77" t="str">
        <f t="shared" si="54"/>
        <v/>
      </c>
      <c r="J257" s="78"/>
      <c r="K257" s="86"/>
      <c r="L257" s="56"/>
      <c r="M257" s="80" t="str">
        <f t="shared" si="55"/>
        <v/>
      </c>
      <c r="N257" s="80" t="str">
        <f>IF(AND($F257&lt;&gt;"", $F257&gt;=N$5-4, $F257&lt;=N$5, COUNTIF($M257:M257,"u")=0), "u", "")</f>
        <v/>
      </c>
      <c r="O257" s="80" t="str">
        <f>IF(AND($F257&lt;&gt;"", $F257&gt;=O$5-4, $F257&lt;=O$5, COUNTIF($M257:N257,"u")=0), "u", "")</f>
        <v/>
      </c>
      <c r="P257" s="80" t="str">
        <f>IF(AND($F257&lt;&gt;"", $F257&gt;=P$5-4, $F257&lt;=P$5, COUNTIF($M257:O257,"u")=0), "u", "")</f>
        <v/>
      </c>
      <c r="Q257" s="80" t="str">
        <f>IF(AND($F257&lt;&gt;"", $F257&gt;=Q$5-4, $F257&lt;=Q$5, COUNTIF($M257:P257,"u")=0), "u", "")</f>
        <v/>
      </c>
      <c r="R257" s="80" t="str">
        <f>IF(AND($F257&lt;&gt;"", $F257&gt;=R$5-4, $F257&lt;=R$5, COUNTIF($M257:Q257,"u")=0), "u", "")</f>
        <v/>
      </c>
      <c r="S257" s="80" t="str">
        <f>IF(AND($F257&lt;&gt;"", $F257&gt;=S$5-4, $F257&lt;=S$5, COUNTIF($M257:R257,"u")=0), "u", "")</f>
        <v/>
      </c>
      <c r="T257" s="80" t="str">
        <f>IF(AND($F257&lt;&gt;"", $F257&gt;=T$5-4, $F257&lt;=T$5, COUNTIF($M257:S257,"u")=0), "u", "")</f>
        <v/>
      </c>
      <c r="U257" s="80" t="str">
        <f>IF(AND($F257&lt;&gt;"", $F257&gt;=U$5-4, $F257&lt;=U$5, COUNTIF($M257:T257,"u")=0), "u", "")</f>
        <v/>
      </c>
      <c r="V257" s="80" t="str">
        <f>IF(AND($F257&lt;&gt;"", $F257&gt;=V$5-4, $F257&lt;=V$5, COUNTIF($M257:U257,"u")=0), "u", "")</f>
        <v/>
      </c>
      <c r="W257" s="80" t="str">
        <f>IF(AND($F257&lt;&gt;"", $F257&gt;=W$5-4, $F257&lt;=W$5, COUNTIF($M257:V257,"u")=0), "u", "")</f>
        <v/>
      </c>
      <c r="X257" s="80" t="str">
        <f>IF(AND($F257&lt;&gt;"", $F257&gt;=X$5-4, $F257&lt;=X$5, COUNTIF($M257:W257,"u")=0), "u", "")</f>
        <v/>
      </c>
      <c r="Y257" s="80" t="str">
        <f>IF(AND($F257&lt;&gt;"", $F257&gt;=Y$5-4, $F257&lt;=Y$5, COUNTIF($M257:X257,"u")=0), "u", "")</f>
        <v/>
      </c>
      <c r="Z257" s="80" t="str">
        <f>IF(AND($F257&lt;&gt;"", $F257&gt;=Z$5-4, $F257&lt;=Z$5, COUNTIF($M257:Y257,"u")=0), "u", "")</f>
        <v/>
      </c>
      <c r="AA257" s="80" t="str">
        <f>IF(AND($F257&lt;&gt;"", $F257&gt;=AA$5-4, $F257&lt;=AA$5, COUNTIF($M257:Z257,"u")=0), "u", "")</f>
        <v/>
      </c>
      <c r="AB257" s="80" t="str">
        <f>IF(AND($F257&lt;&gt;"", $F257&gt;=AB$5-4, $F257&lt;=AB$5, COUNTIF($M257:AA257,"u")=0), "u", "")</f>
        <v/>
      </c>
      <c r="AC257" s="80" t="str">
        <f>IF(AND($F257&lt;&gt;"", $F257&gt;=AC$5-4, $F257&lt;=AC$5, COUNTIF($M257:AB257,"u")=0), "u", "")</f>
        <v/>
      </c>
      <c r="AD257" s="80" t="str">
        <f>IF(AND($F257&lt;&gt;"", $F257&gt;=AD$5-4, $F257&lt;=AD$5, COUNTIF($M257:AC257,"u")=0), "u", "")</f>
        <v/>
      </c>
      <c r="AE257" s="80" t="str">
        <f>IF(AND($F257&lt;&gt;"", $F257&gt;=AE$5-4, $F257&lt;=AE$5, COUNTIF($M257:AD257,"u")=0), "u", "")</f>
        <v/>
      </c>
      <c r="AF257" s="80" t="str">
        <f>IF(AND($F257&lt;&gt;"", $F257&gt;=AF$5-4, $F257&lt;=AF$5, COUNTIF($M257:AE257,"u")=0), "u", "")</f>
        <v/>
      </c>
      <c r="AG257" s="80" t="str">
        <f>IF(AND($F257&lt;&gt;"", $F257&gt;=AG$5-4, $F257&lt;=AG$5, COUNTIF($M257:AF257,"u")=0), "u", "")</f>
        <v/>
      </c>
      <c r="AH257" s="80" t="str">
        <f>IF(AND($F257&lt;&gt;"", $F257&gt;=AH$5-4, $F257&lt;=AH$5, COUNTIF($M257:AG257,"u")=0), "u", "")</f>
        <v/>
      </c>
      <c r="AI257" s="80" t="str">
        <f>IF(AND($F257&lt;&gt;"", $F257&gt;=AI$5-4, $F257&lt;=AI$5, COUNTIF($M257:AH257,"u")=0), "u", "")</f>
        <v/>
      </c>
      <c r="AJ257" s="80" t="str">
        <f>IF(AND($F257&lt;&gt;"", $F257&gt;=AJ$5-4, $F257&lt;=AJ$5, COUNTIF($M257:AI257,"u")=0), "u", "")</f>
        <v/>
      </c>
      <c r="AK257" s="80" t="str">
        <f>IF(AND($F257&lt;&gt;"", $F257&gt;=AK$5-4, $F257&lt;=AK$5, COUNTIF($M257:AJ257,"u")=0), "u", "")</f>
        <v/>
      </c>
      <c r="AL257" s="80" t="str">
        <f>IF(AND($F257&lt;&gt;"", $F257&gt;=AL$5-4, $F257&lt;=AL$5, COUNTIF($M257:AK257,"u")=0), "u", "")</f>
        <v/>
      </c>
      <c r="AM257" s="80" t="str">
        <f>IF(AND($F257&lt;&gt;"", $F257&gt;=AM$5-4, $F257&lt;=AM$5, COUNTIF($M257:AL257,"u")=0), "u", "")</f>
        <v/>
      </c>
      <c r="AN257" s="80" t="str">
        <f>IF(AND($F257&lt;&gt;"", $F257&gt;=AN$5-4, $F257&lt;=AN$5, COUNTIF($M257:AM257,"u")=0), "u", "")</f>
        <v/>
      </c>
      <c r="AO257" s="80" t="str">
        <f>IF(AND($F257&lt;&gt;"", $F257&gt;=AO$5-4, $F257&lt;=AO$5, COUNTIF($M257:AN257,"u")=0), "u", "")</f>
        <v/>
      </c>
      <c r="AP257" s="80" t="str">
        <f>IF(AND($F257&lt;&gt;"", $F257&gt;=AP$5-4, $F257&lt;=AP$5, COUNTIF($M257:AO257,"u")=0), "u", "")</f>
        <v/>
      </c>
      <c r="AQ257" s="80" t="str">
        <f>IF(AND($F257&lt;&gt;"", $F257&gt;=AQ$5-4, $F257&lt;=AQ$5, COUNTIF($M257:AP257,"u")=0), "u", "")</f>
        <v/>
      </c>
      <c r="AR257" s="80" t="str">
        <f>IF(AND($F257&lt;&gt;"", $F257&gt;=AR$5-4, $F257&lt;=AR$5, COUNTIF($M257:AQ257,"u")=0), "u", "")</f>
        <v/>
      </c>
      <c r="AS257" s="80" t="str">
        <f>IF(AND($F257&lt;&gt;"", $F257&gt;=AS$5-4, $F257&lt;=AS$5, COUNTIF($M257:AR257,"u")=0), "u", "")</f>
        <v/>
      </c>
      <c r="AT257" s="80" t="str">
        <f>IF(AND($F257&lt;&gt;"", $F257&gt;=AT$5-4, $F257&lt;=AT$5, COUNTIF($M257:AS257,"u")=0), "u", "")</f>
        <v/>
      </c>
      <c r="AU257" s="80" t="str">
        <f>IF(AND($F257&lt;&gt;"", $F257&gt;=AU$5-4, $F257&lt;=AU$5, COUNTIF($M257:AT257,"u")=0), "u", "")</f>
        <v/>
      </c>
      <c r="AV257" s="80" t="str">
        <f>IF(AND($F257&lt;&gt;"", $F257&gt;=AV$5-4, $F257&lt;=AV$5, COUNTIF($M257:AU257,"u")=0), "u", "")</f>
        <v/>
      </c>
      <c r="AW257" s="80" t="str">
        <f>IF(AND($F257&lt;&gt;"", $F257&gt;=AW$5-4, $F257&lt;=AW$5, COUNTIF($M257:AV257,"u")=0), "u", "")</f>
        <v/>
      </c>
      <c r="AX257" s="80" t="str">
        <f>IF(AND($F257&lt;&gt;"", $F257&gt;=AX$5-4, $F257&lt;=AX$5, COUNTIF($M257:AW257,"u")=0), "u", "")</f>
        <v/>
      </c>
      <c r="AY257" s="80" t="str">
        <f>IF(AND($F257&lt;&gt;"", $F257&gt;=AY$5-4, $F257&lt;=AY$5, COUNTIF($M257:AX257,"u")=0), "u", "")</f>
        <v/>
      </c>
      <c r="AZ257" s="80" t="str">
        <f>IF(AND($F257&lt;&gt;"", $F257&gt;=AZ$5-4, $F257&lt;=AZ$5, COUNTIF($M257:AY257,"u")=0), "u", "")</f>
        <v/>
      </c>
      <c r="BA257" s="80" t="str">
        <f>IF(AND($F257&lt;&gt;"", $F257&gt;=BA$5-4, $F257&lt;=BA$5, COUNTIF($M257:AZ257,"u")=0), "u", "")</f>
        <v/>
      </c>
      <c r="BB257" s="80" t="str">
        <f>IF(AND($F257&lt;&gt;"", $F257&gt;=BB$5-4, $F257&lt;=BB$5, COUNTIF($M257:BA257,"u")=0), "u", "")</f>
        <v/>
      </c>
      <c r="BC257" s="80" t="str">
        <f>IF(AND($F257&lt;&gt;"", $F257&gt;=BC$5-4, $F257&lt;=BC$5, COUNTIF($M257:BB257,"u")=0), "u", "")</f>
        <v/>
      </c>
      <c r="BD257" s="80" t="str">
        <f>IF(AND($F257&lt;&gt;"", $F257&gt;=BD$5-4, $F257&lt;=BD$5, COUNTIF($M257:BC257,"u")=0), "u", "")</f>
        <v/>
      </c>
      <c r="BE257" s="80" t="str">
        <f>IF(AND($F257&lt;&gt;"", $F257&gt;=BE$5-4, $F257&lt;=BE$5, COUNTIF($M257:BD257,"u")=0), "u", "")</f>
        <v/>
      </c>
      <c r="BF257" s="80" t="str">
        <f>IF(AND($F257&lt;&gt;"", $F257&gt;=BF$5-4, $F257&lt;=BF$5, COUNTIF($M257:BE257,"u")=0), "u", "")</f>
        <v/>
      </c>
      <c r="BG257" s="80" t="str">
        <f>IF(AND($F257&lt;&gt;"", $F257&gt;=BG$5-4, $F257&lt;=BG$5, COUNTIF($M257:BF257,"u")=0), "u", "")</f>
        <v/>
      </c>
      <c r="BH257" s="80" t="str">
        <f>IF(AND($F257&lt;&gt;"", $F257&gt;=BH$5-4, $F257&lt;=BH$5, COUNTIF($M257:BG257,"u")=0), "u", "")</f>
        <v/>
      </c>
      <c r="BI257" s="80" t="str">
        <f>IF(AND($F257&lt;&gt;"", $F257&gt;=BI$5-4, $F257&lt;=BI$5, COUNTIF($M257:BH257,"u")=0), "u", "")</f>
        <v/>
      </c>
      <c r="BJ257" s="80" t="str">
        <f>IF(AND($F257&lt;&gt;"", $F257&gt;=BJ$5-4, $F257&lt;=BJ$5, COUNTIF($M257:BI257,"u")=0), "u", "")</f>
        <v/>
      </c>
      <c r="BK257" s="80" t="str">
        <f>IF(AND($F257&lt;&gt;"", $F257&gt;=BK$5-4, $F257&lt;=BK$5, COUNTIF($M257:BJ257,"u")=0), "u", "")</f>
        <v/>
      </c>
      <c r="BL257" s="80" t="str">
        <f>IF(AND($F257&lt;&gt;"", $F257&gt;=BL$5-4, $F257&lt;=BL$5, COUNTIF($M257:BK257,"u")=0), "u", "")</f>
        <v/>
      </c>
      <c r="BM257" s="80" t="str">
        <f>IF(AND($F257&lt;&gt;"", $F257&gt;=BM$5-4, $F257&lt;=BM$5, COUNTIF($M257:BL257,"u")=0), "u", "")</f>
        <v/>
      </c>
      <c r="BN257" s="80" t="str">
        <f>IF(AND($F257&lt;&gt;"", $F257&gt;=BN$5-4, $F257&lt;=BN$5, COUNTIF($M257:BM257,"u")=0), "u", "")</f>
        <v/>
      </c>
      <c r="BO257" s="80" t="str">
        <f>IF(AND($F257&lt;&gt;"", $F257&gt;=BO$5-4, $F257&lt;=BO$5, COUNTIF($M257:BN257,"u")=0), "u", "")</f>
        <v/>
      </c>
      <c r="BP257" s="80" t="str">
        <f>IF(AND($F257&lt;&gt;"", $F257&gt;=BP$5-4, $F257&lt;=BP$5, COUNTIF($M257:BO257,"u")=0), "u", "")</f>
        <v/>
      </c>
      <c r="BQ257" s="80" t="str">
        <f>IF(AND($F257&lt;&gt;"", $F257&gt;=BQ$5-4, $F257&lt;=BQ$5, COUNTIF($M257:BP257,"u")=0), "u", "")</f>
        <v/>
      </c>
      <c r="BR257" s="80" t="str">
        <f>IF(AND($F257&lt;&gt;"", $F257&gt;=BR$5-4, $F257&lt;=BR$5, COUNTIF($M257:BQ257,"u")=0), "u", "")</f>
        <v/>
      </c>
      <c r="BS257" s="80" t="str">
        <f>IF(AND($F257&lt;&gt;"", $F257&gt;=BS$5-4, $F257&lt;=BS$5, COUNTIF($M257:BR257,"u")=0), "u", "")</f>
        <v/>
      </c>
      <c r="BT257" s="80" t="str">
        <f>IF(AND($F257&lt;&gt;"", $F257&gt;=BT$5-4, $F257&lt;=BT$5, COUNTIF($M257:BS257,"u")=0), "u", "")</f>
        <v/>
      </c>
      <c r="BU257" s="80" t="str">
        <f>IF(AND($F257&lt;&gt;"", $F257&gt;=BU$5-4, $F257&lt;=BU$5, COUNTIF($M257:BT257,"u")=0), "u", "")</f>
        <v/>
      </c>
      <c r="BV257" s="80" t="str">
        <f>IF(AND($F257&lt;&gt;"", $F257&gt;=BV$5-4, $F257&lt;=BV$5, COUNTIF($M257:BU257,"u")=0), "u", "")</f>
        <v/>
      </c>
      <c r="BW257" s="80" t="str">
        <f>IF(AND($F257&lt;&gt;"", $F257&gt;=BW$5-4, $F257&lt;=BW$5, COUNTIF($M257:BV257,"u")=0), "u", "")</f>
        <v/>
      </c>
      <c r="BX257" s="80" t="str">
        <f>IF(AND($F257&lt;&gt;"", $F257&gt;=BX$5-4, $F257&lt;=BX$5, COUNTIF($M257:BW257,"u")=0), "u", "")</f>
        <v/>
      </c>
      <c r="BY257" s="80" t="str">
        <f>IF(AND($F257&lt;&gt;"", $F257&gt;=BY$5-4, $F257&lt;=BY$5, COUNTIF($M257:BX257,"u")=0), "u", "")</f>
        <v/>
      </c>
      <c r="BZ257" s="80" t="str">
        <f>IF(AND($F257&lt;&gt;"", $F257&gt;=BZ$5-4, $F257&lt;=BZ$5, COUNTIF($M257:BY257,"u")=0), "u", "")</f>
        <v/>
      </c>
      <c r="CA257" s="80" t="str">
        <f>IF(AND($F257&lt;&gt;"", $F257&gt;=CA$5-4, $F257&lt;=CA$5, COUNTIF($M257:BZ257,"u")=0), "u", "")</f>
        <v/>
      </c>
      <c r="CB257" s="80" t="str">
        <f>IF(AND($F257&lt;&gt;"", $F257&gt;=CB$5-4, $F257&lt;=CB$5, COUNTIF($M257:CA257,"u")=0), "u", "")</f>
        <v/>
      </c>
      <c r="CC257" s="80" t="str">
        <f>IF(AND($F257&lt;&gt;"", $F257&gt;=CC$5-4, $F257&lt;=CC$5, COUNTIF($M257:CB257,"u")=0), "u", "")</f>
        <v/>
      </c>
      <c r="CD257" s="80" t="str">
        <f>IF(AND($F257&lt;&gt;"", $F257&gt;=CD$5-4, $F257&lt;=CD$5, COUNTIF($M257:CC257,"u")=0), "u", "")</f>
        <v/>
      </c>
      <c r="CE257" s="80" t="str">
        <f>IF(AND($F257&lt;&gt;"", $F257&gt;=CE$5-4, $F257&lt;=CE$5, COUNTIF($M257:CD257,"u")=0), "u", "")</f>
        <v/>
      </c>
      <c r="CF257" s="80" t="str">
        <f>IF(AND($F257&lt;&gt;"", $F257&gt;=CF$5-4, $F257&lt;=CF$5, COUNTIF($M257:CE257,"u")=0), "u", "")</f>
        <v/>
      </c>
      <c r="CG257" s="80" t="str">
        <f>IF(AND($F257&lt;&gt;"", $F257&gt;=CG$5-4, $F257&lt;=CG$5, COUNTIF($M257:CF257,"u")=0), "u", "")</f>
        <v/>
      </c>
      <c r="CH257" s="80" t="str">
        <f>IF(AND($F257&lt;&gt;"", $F257&gt;=CH$5-4, $F257&lt;=CH$5, COUNTIF($M257:CG257,"u")=0), "u", "")</f>
        <v/>
      </c>
      <c r="CI257" s="80" t="str">
        <f>IF(AND($F257&lt;&gt;"", $F257&gt;=CI$5-4, $F257&lt;=CI$5, COUNTIF($M257:CH257,"u")=0), "u", "")</f>
        <v/>
      </c>
      <c r="CJ257" s="80" t="str">
        <f>IF(AND($F257&lt;&gt;"", $F257&gt;=CJ$5-4, $F257&lt;=CJ$5, COUNTIF($M257:CI257,"u")=0), "u", "")</f>
        <v/>
      </c>
      <c r="CK257" s="80" t="str">
        <f>IF(AND($F257&lt;&gt;"", $F257&gt;=CK$5-4, $F257&lt;=CK$5, COUNTIF($M257:CJ257,"u")=0), "u", "")</f>
        <v/>
      </c>
      <c r="CL257" s="80" t="str">
        <f>IF(AND($F257&lt;&gt;"", $F257&gt;=CL$5-4, $F257&lt;=CL$5, COUNTIF($M257:CK257,"u")=0), "u", "")</f>
        <v/>
      </c>
      <c r="CM257" s="80" t="str">
        <f>IF(AND($F257&lt;&gt;"", $F257&gt;=CM$5-4, $F257&lt;=CM$5, COUNTIF($M257:CL257,"u")=0), "u", "")</f>
        <v/>
      </c>
      <c r="CN257" s="80" t="str">
        <f>IF(AND($F257&lt;&gt;"", $F257&gt;=CN$5-4, $F257&lt;=CN$5, COUNTIF($M257:CM257,"u")=0), "u", "")</f>
        <v/>
      </c>
      <c r="CO257" s="80" t="str">
        <f>IF(AND($F257&lt;&gt;"", $F257&gt;=CO$5-4, $F257&lt;=CO$5, COUNTIF($M257:CN257,"u")=0), "u", "")</f>
        <v/>
      </c>
      <c r="CP257" s="80" t="str">
        <f>IF(AND($F257&lt;&gt;"", $F257&gt;=CP$5-4, $F257&lt;=CP$5, COUNTIF($M257:CO257,"u")=0), "u", "")</f>
        <v/>
      </c>
      <c r="CQ257" s="80" t="str">
        <f>IF(AND($F257&lt;&gt;"", $F257&gt;=CQ$5-4, $F257&lt;=CQ$5, COUNTIF($M257:CP257,"u")=0), "u", "")</f>
        <v/>
      </c>
      <c r="CR257" s="80" t="str">
        <f>IF(AND($F257&lt;&gt;"", $F257&gt;=CR$5-4, $F257&lt;=CR$5, COUNTIF($M257:CQ257,"u")=0), "u", "")</f>
        <v/>
      </c>
      <c r="CS257" s="80" t="str">
        <f>IF(AND($F257&lt;&gt;"", $F257&gt;=CS$5-4, $F257&lt;=CS$5, COUNTIF($M257:CR257,"u")=0), "u", "")</f>
        <v/>
      </c>
      <c r="CT257" s="80" t="str">
        <f>IF(AND($F257&lt;&gt;"", $F257&gt;=CT$5-4, $F257&lt;=CT$5, COUNTIF($M257:CS257,"u")=0), "u", "")</f>
        <v/>
      </c>
      <c r="CU257" s="80" t="str">
        <f>IF(AND($F257&lt;&gt;"", $F257&gt;=CU$5-4, $F257&lt;=CU$5, COUNTIF($M257:CT257,"u")=0), "u", "")</f>
        <v/>
      </c>
      <c r="CV257" s="80" t="str">
        <f>IF(AND($F257&lt;&gt;"", $F257&gt;=CV$5-4, $F257&lt;=CV$5, COUNTIF($M257:CU257,"u")=0), "u", "")</f>
        <v/>
      </c>
      <c r="CW257" s="80" t="str">
        <f>IF(AND($F257&lt;&gt;"", $F257&gt;=CW$5-4, $F257&lt;=CW$5, COUNTIF($M257:CV257,"u")=0), "u", "")</f>
        <v/>
      </c>
      <c r="CX257" s="80" t="str">
        <f>IF(AND($F257&lt;&gt;"", $F257&gt;=CX$5-4, $F257&lt;=CX$5, COUNTIF($M257:CW257,"u")=0), "u", "")</f>
        <v/>
      </c>
      <c r="CY257" s="80" t="str">
        <f>IF(AND($F257&lt;&gt;"", $F257&gt;=CY$5-4, $F257&lt;=CY$5, COUNTIF($M257:CX257,"u")=0), "u", "")</f>
        <v/>
      </c>
      <c r="CZ257" s="80" t="str">
        <f>IF(AND($F257&lt;&gt;"", $F257&gt;=CZ$5-4, $F257&lt;=CZ$5, COUNTIF($M257:CY257,"u")=0), "u", "")</f>
        <v/>
      </c>
      <c r="DA257" s="80" t="str">
        <f>IF(AND($F257&lt;&gt;"", $F257&gt;=DA$5-4, $F257&lt;=DA$5, COUNTIF($M257:CZ257,"u")=0), "u", "")</f>
        <v/>
      </c>
      <c r="DB257" s="80" t="str">
        <f>IF(AND($F257&lt;&gt;"", $F257&gt;=DB$5-4, $F257&lt;=DB$5, COUNTIF($M257:DA257,"u")=0), "u", "")</f>
        <v/>
      </c>
      <c r="DC257" s="80" t="str">
        <f>IF(AND($F257&lt;&gt;"", $F257&gt;=DC$5-4, $F257&lt;=DC$5, COUNTIF($M257:DB257,"u")=0), "u", "")</f>
        <v/>
      </c>
      <c r="DD257" s="80" t="str">
        <f>IF(AND($F257&lt;&gt;"", $F257&gt;=DD$5-4, $F257&lt;=DD$5, COUNTIF($M257:DC257,"u")=0), "u", "")</f>
        <v/>
      </c>
      <c r="DE257" s="80" t="str">
        <f>IF(AND($F257&lt;&gt;"", $F257&gt;=DE$5-4, $F257&lt;=DE$5, COUNTIF($M257:DD257,"u")=0), "u", "")</f>
        <v/>
      </c>
      <c r="DF257" s="80" t="str">
        <f>IF(AND($F257&lt;&gt;"", $F257&gt;=DF$5-4, $F257&lt;=DF$5, COUNTIF($M257:DE257,"u")=0), "u", "")</f>
        <v/>
      </c>
      <c r="DG257" s="80" t="str">
        <f>IF(AND($F257&lt;&gt;"", $F257&gt;=DG$5-4, $F257&lt;=DG$5, COUNTIF($M257:DF257,"u")=0), "u", "")</f>
        <v/>
      </c>
      <c r="DH257" s="80" t="str">
        <f>IF(AND($F257&lt;&gt;"", $F257&gt;=DH$5-4, $F257&lt;=DH$5, COUNTIF($M257:DG257,"u")=0), "u", "")</f>
        <v/>
      </c>
      <c r="DI257" s="80" t="str">
        <f>IF(AND($F257&lt;&gt;"", $F257&gt;=DI$5-4, $F257&lt;=DI$5, COUNTIF($M257:DH257,"u")=0), "u", "")</f>
        <v/>
      </c>
      <c r="DJ257" s="80" t="str">
        <f>IF(AND($F257&lt;&gt;"", $F257&gt;=DJ$5-4, $F257&lt;=DJ$5, COUNTIF($M257:DI257,"u")=0), "u", "")</f>
        <v/>
      </c>
      <c r="DK257" s="80" t="str">
        <f>IF(AND($F257&lt;&gt;"", $F257&gt;=DK$5-4, $F257&lt;=DK$5, COUNTIF($M257:DJ257,"u")=0), "u", "")</f>
        <v/>
      </c>
      <c r="DL257" s="80" t="str">
        <f>IF(AND($F257&lt;&gt;"", $F257&gt;=DL$5-4, $F257&lt;=DL$5, COUNTIF($M257:DK257,"u")=0), "u", "")</f>
        <v/>
      </c>
    </row>
    <row r="258" spans="1:116" ht="25.05" customHeight="1" x14ac:dyDescent="0.3">
      <c r="A258" s="39"/>
      <c r="B258" s="75">
        <v>253</v>
      </c>
      <c r="C258" s="97"/>
      <c r="D258" s="92"/>
      <c r="E258" s="53"/>
      <c r="F258" s="53"/>
      <c r="G258" s="83" t="str">
        <f t="shared" si="56"/>
        <v/>
      </c>
      <c r="H258" s="83" t="str">
        <f t="shared" si="56"/>
        <v/>
      </c>
      <c r="I258" s="77" t="str">
        <f t="shared" si="54"/>
        <v/>
      </c>
      <c r="J258" s="78"/>
      <c r="K258" s="86"/>
      <c r="L258" s="56"/>
      <c r="M258" s="80" t="str">
        <f t="shared" si="55"/>
        <v/>
      </c>
      <c r="N258" s="80" t="str">
        <f>IF(AND($F258&lt;&gt;"", $F258&gt;=N$5-4, $F258&lt;=N$5, COUNTIF($M258:M258,"u")=0), "u", "")</f>
        <v/>
      </c>
      <c r="O258" s="80" t="str">
        <f>IF(AND($F258&lt;&gt;"", $F258&gt;=O$5-4, $F258&lt;=O$5, COUNTIF($M258:N258,"u")=0), "u", "")</f>
        <v/>
      </c>
      <c r="P258" s="80" t="str">
        <f>IF(AND($F258&lt;&gt;"", $F258&gt;=P$5-4, $F258&lt;=P$5, COUNTIF($M258:O258,"u")=0), "u", "")</f>
        <v/>
      </c>
      <c r="Q258" s="80" t="str">
        <f>IF(AND($F258&lt;&gt;"", $F258&gt;=Q$5-4, $F258&lt;=Q$5, COUNTIF($M258:P258,"u")=0), "u", "")</f>
        <v/>
      </c>
      <c r="R258" s="80" t="str">
        <f>IF(AND($F258&lt;&gt;"", $F258&gt;=R$5-4, $F258&lt;=R$5, COUNTIF($M258:Q258,"u")=0), "u", "")</f>
        <v/>
      </c>
      <c r="S258" s="80" t="str">
        <f>IF(AND($F258&lt;&gt;"", $F258&gt;=S$5-4, $F258&lt;=S$5, COUNTIF($M258:R258,"u")=0), "u", "")</f>
        <v/>
      </c>
      <c r="T258" s="80" t="str">
        <f>IF(AND($F258&lt;&gt;"", $F258&gt;=T$5-4, $F258&lt;=T$5, COUNTIF($M258:S258,"u")=0), "u", "")</f>
        <v/>
      </c>
      <c r="U258" s="80" t="str">
        <f>IF(AND($F258&lt;&gt;"", $F258&gt;=U$5-4, $F258&lt;=U$5, COUNTIF($M258:T258,"u")=0), "u", "")</f>
        <v/>
      </c>
      <c r="V258" s="80" t="str">
        <f>IF(AND($F258&lt;&gt;"", $F258&gt;=V$5-4, $F258&lt;=V$5, COUNTIF($M258:U258,"u")=0), "u", "")</f>
        <v/>
      </c>
      <c r="W258" s="80" t="str">
        <f>IF(AND($F258&lt;&gt;"", $F258&gt;=W$5-4, $F258&lt;=W$5, COUNTIF($M258:V258,"u")=0), "u", "")</f>
        <v/>
      </c>
      <c r="X258" s="80" t="str">
        <f>IF(AND($F258&lt;&gt;"", $F258&gt;=X$5-4, $F258&lt;=X$5, COUNTIF($M258:W258,"u")=0), "u", "")</f>
        <v/>
      </c>
      <c r="Y258" s="80" t="str">
        <f>IF(AND($F258&lt;&gt;"", $F258&gt;=Y$5-4, $F258&lt;=Y$5, COUNTIF($M258:X258,"u")=0), "u", "")</f>
        <v/>
      </c>
      <c r="Z258" s="80" t="str">
        <f>IF(AND($F258&lt;&gt;"", $F258&gt;=Z$5-4, $F258&lt;=Z$5, COUNTIF($M258:Y258,"u")=0), "u", "")</f>
        <v/>
      </c>
      <c r="AA258" s="80" t="str">
        <f>IF(AND($F258&lt;&gt;"", $F258&gt;=AA$5-4, $F258&lt;=AA$5, COUNTIF($M258:Z258,"u")=0), "u", "")</f>
        <v/>
      </c>
      <c r="AB258" s="80" t="str">
        <f>IF(AND($F258&lt;&gt;"", $F258&gt;=AB$5-4, $F258&lt;=AB$5, COUNTIF($M258:AA258,"u")=0), "u", "")</f>
        <v/>
      </c>
      <c r="AC258" s="80" t="str">
        <f>IF(AND($F258&lt;&gt;"", $F258&gt;=AC$5-4, $F258&lt;=AC$5, COUNTIF($M258:AB258,"u")=0), "u", "")</f>
        <v/>
      </c>
      <c r="AD258" s="80" t="str">
        <f>IF(AND($F258&lt;&gt;"", $F258&gt;=AD$5-4, $F258&lt;=AD$5, COUNTIF($M258:AC258,"u")=0), "u", "")</f>
        <v/>
      </c>
      <c r="AE258" s="80" t="str">
        <f>IF(AND($F258&lt;&gt;"", $F258&gt;=AE$5-4, $F258&lt;=AE$5, COUNTIF($M258:AD258,"u")=0), "u", "")</f>
        <v/>
      </c>
      <c r="AF258" s="80" t="str">
        <f>IF(AND($F258&lt;&gt;"", $F258&gt;=AF$5-4, $F258&lt;=AF$5, COUNTIF($M258:AE258,"u")=0), "u", "")</f>
        <v/>
      </c>
      <c r="AG258" s="80" t="str">
        <f>IF(AND($F258&lt;&gt;"", $F258&gt;=AG$5-4, $F258&lt;=AG$5, COUNTIF($M258:AF258,"u")=0), "u", "")</f>
        <v/>
      </c>
      <c r="AH258" s="80" t="str">
        <f>IF(AND($F258&lt;&gt;"", $F258&gt;=AH$5-4, $F258&lt;=AH$5, COUNTIF($M258:AG258,"u")=0), "u", "")</f>
        <v/>
      </c>
      <c r="AI258" s="80" t="str">
        <f>IF(AND($F258&lt;&gt;"", $F258&gt;=AI$5-4, $F258&lt;=AI$5, COUNTIF($M258:AH258,"u")=0), "u", "")</f>
        <v/>
      </c>
      <c r="AJ258" s="80" t="str">
        <f>IF(AND($F258&lt;&gt;"", $F258&gt;=AJ$5-4, $F258&lt;=AJ$5, COUNTIF($M258:AI258,"u")=0), "u", "")</f>
        <v/>
      </c>
      <c r="AK258" s="80" t="str">
        <f>IF(AND($F258&lt;&gt;"", $F258&gt;=AK$5-4, $F258&lt;=AK$5, COUNTIF($M258:AJ258,"u")=0), "u", "")</f>
        <v/>
      </c>
      <c r="AL258" s="80" t="str">
        <f>IF(AND($F258&lt;&gt;"", $F258&gt;=AL$5-4, $F258&lt;=AL$5, COUNTIF($M258:AK258,"u")=0), "u", "")</f>
        <v/>
      </c>
      <c r="AM258" s="80" t="str">
        <f>IF(AND($F258&lt;&gt;"", $F258&gt;=AM$5-4, $F258&lt;=AM$5, COUNTIF($M258:AL258,"u")=0), "u", "")</f>
        <v/>
      </c>
      <c r="AN258" s="80" t="str">
        <f>IF(AND($F258&lt;&gt;"", $F258&gt;=AN$5-4, $F258&lt;=AN$5, COUNTIF($M258:AM258,"u")=0), "u", "")</f>
        <v/>
      </c>
      <c r="AO258" s="80" t="str">
        <f>IF(AND($F258&lt;&gt;"", $F258&gt;=AO$5-4, $F258&lt;=AO$5, COUNTIF($M258:AN258,"u")=0), "u", "")</f>
        <v/>
      </c>
      <c r="AP258" s="80" t="str">
        <f>IF(AND($F258&lt;&gt;"", $F258&gt;=AP$5-4, $F258&lt;=AP$5, COUNTIF($M258:AO258,"u")=0), "u", "")</f>
        <v/>
      </c>
      <c r="AQ258" s="80" t="str">
        <f>IF(AND($F258&lt;&gt;"", $F258&gt;=AQ$5-4, $F258&lt;=AQ$5, COUNTIF($M258:AP258,"u")=0), "u", "")</f>
        <v/>
      </c>
      <c r="AR258" s="80" t="str">
        <f>IF(AND($F258&lt;&gt;"", $F258&gt;=AR$5-4, $F258&lt;=AR$5, COUNTIF($M258:AQ258,"u")=0), "u", "")</f>
        <v/>
      </c>
      <c r="AS258" s="80" t="str">
        <f>IF(AND($F258&lt;&gt;"", $F258&gt;=AS$5-4, $F258&lt;=AS$5, COUNTIF($M258:AR258,"u")=0), "u", "")</f>
        <v/>
      </c>
      <c r="AT258" s="80" t="str">
        <f>IF(AND($F258&lt;&gt;"", $F258&gt;=AT$5-4, $F258&lt;=AT$5, COUNTIF($M258:AS258,"u")=0), "u", "")</f>
        <v/>
      </c>
      <c r="AU258" s="80" t="str">
        <f>IF(AND($F258&lt;&gt;"", $F258&gt;=AU$5-4, $F258&lt;=AU$5, COUNTIF($M258:AT258,"u")=0), "u", "")</f>
        <v/>
      </c>
      <c r="AV258" s="80" t="str">
        <f>IF(AND($F258&lt;&gt;"", $F258&gt;=AV$5-4, $F258&lt;=AV$5, COUNTIF($M258:AU258,"u")=0), "u", "")</f>
        <v/>
      </c>
      <c r="AW258" s="80" t="str">
        <f>IF(AND($F258&lt;&gt;"", $F258&gt;=AW$5-4, $F258&lt;=AW$5, COUNTIF($M258:AV258,"u")=0), "u", "")</f>
        <v/>
      </c>
      <c r="AX258" s="80" t="str">
        <f>IF(AND($F258&lt;&gt;"", $F258&gt;=AX$5-4, $F258&lt;=AX$5, COUNTIF($M258:AW258,"u")=0), "u", "")</f>
        <v/>
      </c>
      <c r="AY258" s="80" t="str">
        <f>IF(AND($F258&lt;&gt;"", $F258&gt;=AY$5-4, $F258&lt;=AY$5, COUNTIF($M258:AX258,"u")=0), "u", "")</f>
        <v/>
      </c>
      <c r="AZ258" s="80" t="str">
        <f>IF(AND($F258&lt;&gt;"", $F258&gt;=AZ$5-4, $F258&lt;=AZ$5, COUNTIF($M258:AY258,"u")=0), "u", "")</f>
        <v/>
      </c>
      <c r="BA258" s="80" t="str">
        <f>IF(AND($F258&lt;&gt;"", $F258&gt;=BA$5-4, $F258&lt;=BA$5, COUNTIF($M258:AZ258,"u")=0), "u", "")</f>
        <v/>
      </c>
      <c r="BB258" s="80" t="str">
        <f>IF(AND($F258&lt;&gt;"", $F258&gt;=BB$5-4, $F258&lt;=BB$5, COUNTIF($M258:BA258,"u")=0), "u", "")</f>
        <v/>
      </c>
      <c r="BC258" s="80" t="str">
        <f>IF(AND($F258&lt;&gt;"", $F258&gt;=BC$5-4, $F258&lt;=BC$5, COUNTIF($M258:BB258,"u")=0), "u", "")</f>
        <v/>
      </c>
      <c r="BD258" s="80" t="str">
        <f>IF(AND($F258&lt;&gt;"", $F258&gt;=BD$5-4, $F258&lt;=BD$5, COUNTIF($M258:BC258,"u")=0), "u", "")</f>
        <v/>
      </c>
      <c r="BE258" s="80" t="str">
        <f>IF(AND($F258&lt;&gt;"", $F258&gt;=BE$5-4, $F258&lt;=BE$5, COUNTIF($M258:BD258,"u")=0), "u", "")</f>
        <v/>
      </c>
      <c r="BF258" s="80" t="str">
        <f>IF(AND($F258&lt;&gt;"", $F258&gt;=BF$5-4, $F258&lt;=BF$5, COUNTIF($M258:BE258,"u")=0), "u", "")</f>
        <v/>
      </c>
      <c r="BG258" s="80" t="str">
        <f>IF(AND($F258&lt;&gt;"", $F258&gt;=BG$5-4, $F258&lt;=BG$5, COUNTIF($M258:BF258,"u")=0), "u", "")</f>
        <v/>
      </c>
      <c r="BH258" s="80" t="str">
        <f>IF(AND($F258&lt;&gt;"", $F258&gt;=BH$5-4, $F258&lt;=BH$5, COUNTIF($M258:BG258,"u")=0), "u", "")</f>
        <v/>
      </c>
      <c r="BI258" s="80" t="str">
        <f>IF(AND($F258&lt;&gt;"", $F258&gt;=BI$5-4, $F258&lt;=BI$5, COUNTIF($M258:BH258,"u")=0), "u", "")</f>
        <v/>
      </c>
      <c r="BJ258" s="80" t="str">
        <f>IF(AND($F258&lt;&gt;"", $F258&gt;=BJ$5-4, $F258&lt;=BJ$5, COUNTIF($M258:BI258,"u")=0), "u", "")</f>
        <v/>
      </c>
      <c r="BK258" s="80" t="str">
        <f>IF(AND($F258&lt;&gt;"", $F258&gt;=BK$5-4, $F258&lt;=BK$5, COUNTIF($M258:BJ258,"u")=0), "u", "")</f>
        <v/>
      </c>
      <c r="BL258" s="80" t="str">
        <f>IF(AND($F258&lt;&gt;"", $F258&gt;=BL$5-4, $F258&lt;=BL$5, COUNTIF($M258:BK258,"u")=0), "u", "")</f>
        <v/>
      </c>
      <c r="BM258" s="80" t="str">
        <f>IF(AND($F258&lt;&gt;"", $F258&gt;=BM$5-4, $F258&lt;=BM$5, COUNTIF($M258:BL258,"u")=0), "u", "")</f>
        <v/>
      </c>
      <c r="BN258" s="80" t="str">
        <f>IF(AND($F258&lt;&gt;"", $F258&gt;=BN$5-4, $F258&lt;=BN$5, COUNTIF($M258:BM258,"u")=0), "u", "")</f>
        <v/>
      </c>
      <c r="BO258" s="80" t="str">
        <f>IF(AND($F258&lt;&gt;"", $F258&gt;=BO$5-4, $F258&lt;=BO$5, COUNTIF($M258:BN258,"u")=0), "u", "")</f>
        <v/>
      </c>
      <c r="BP258" s="80" t="str">
        <f>IF(AND($F258&lt;&gt;"", $F258&gt;=BP$5-4, $F258&lt;=BP$5, COUNTIF($M258:BO258,"u")=0), "u", "")</f>
        <v/>
      </c>
      <c r="BQ258" s="80" t="str">
        <f>IF(AND($F258&lt;&gt;"", $F258&gt;=BQ$5-4, $F258&lt;=BQ$5, COUNTIF($M258:BP258,"u")=0), "u", "")</f>
        <v/>
      </c>
      <c r="BR258" s="80" t="str">
        <f>IF(AND($F258&lt;&gt;"", $F258&gt;=BR$5-4, $F258&lt;=BR$5, COUNTIF($M258:BQ258,"u")=0), "u", "")</f>
        <v/>
      </c>
      <c r="BS258" s="80" t="str">
        <f>IF(AND($F258&lt;&gt;"", $F258&gt;=BS$5-4, $F258&lt;=BS$5, COUNTIF($M258:BR258,"u")=0), "u", "")</f>
        <v/>
      </c>
      <c r="BT258" s="80" t="str">
        <f>IF(AND($F258&lt;&gt;"", $F258&gt;=BT$5-4, $F258&lt;=BT$5, COUNTIF($M258:BS258,"u")=0), "u", "")</f>
        <v/>
      </c>
      <c r="BU258" s="80" t="str">
        <f>IF(AND($F258&lt;&gt;"", $F258&gt;=BU$5-4, $F258&lt;=BU$5, COUNTIF($M258:BT258,"u")=0), "u", "")</f>
        <v/>
      </c>
      <c r="BV258" s="80" t="str">
        <f>IF(AND($F258&lt;&gt;"", $F258&gt;=BV$5-4, $F258&lt;=BV$5, COUNTIF($M258:BU258,"u")=0), "u", "")</f>
        <v/>
      </c>
      <c r="BW258" s="80" t="str">
        <f>IF(AND($F258&lt;&gt;"", $F258&gt;=BW$5-4, $F258&lt;=BW$5, COUNTIF($M258:BV258,"u")=0), "u", "")</f>
        <v/>
      </c>
      <c r="BX258" s="80" t="str">
        <f>IF(AND($F258&lt;&gt;"", $F258&gt;=BX$5-4, $F258&lt;=BX$5, COUNTIF($M258:BW258,"u")=0), "u", "")</f>
        <v/>
      </c>
      <c r="BY258" s="80" t="str">
        <f>IF(AND($F258&lt;&gt;"", $F258&gt;=BY$5-4, $F258&lt;=BY$5, COUNTIF($M258:BX258,"u")=0), "u", "")</f>
        <v/>
      </c>
      <c r="BZ258" s="80" t="str">
        <f>IF(AND($F258&lt;&gt;"", $F258&gt;=BZ$5-4, $F258&lt;=BZ$5, COUNTIF($M258:BY258,"u")=0), "u", "")</f>
        <v/>
      </c>
      <c r="CA258" s="80" t="str">
        <f>IF(AND($F258&lt;&gt;"", $F258&gt;=CA$5-4, $F258&lt;=CA$5, COUNTIF($M258:BZ258,"u")=0), "u", "")</f>
        <v/>
      </c>
      <c r="CB258" s="80" t="str">
        <f>IF(AND($F258&lt;&gt;"", $F258&gt;=CB$5-4, $F258&lt;=CB$5, COUNTIF($M258:CA258,"u")=0), "u", "")</f>
        <v/>
      </c>
      <c r="CC258" s="80" t="str">
        <f>IF(AND($F258&lt;&gt;"", $F258&gt;=CC$5-4, $F258&lt;=CC$5, COUNTIF($M258:CB258,"u")=0), "u", "")</f>
        <v/>
      </c>
      <c r="CD258" s="80" t="str">
        <f>IF(AND($F258&lt;&gt;"", $F258&gt;=CD$5-4, $F258&lt;=CD$5, COUNTIF($M258:CC258,"u")=0), "u", "")</f>
        <v/>
      </c>
      <c r="CE258" s="80" t="str">
        <f>IF(AND($F258&lt;&gt;"", $F258&gt;=CE$5-4, $F258&lt;=CE$5, COUNTIF($M258:CD258,"u")=0), "u", "")</f>
        <v/>
      </c>
      <c r="CF258" s="80" t="str">
        <f>IF(AND($F258&lt;&gt;"", $F258&gt;=CF$5-4, $F258&lt;=CF$5, COUNTIF($M258:CE258,"u")=0), "u", "")</f>
        <v/>
      </c>
      <c r="CG258" s="80" t="str">
        <f>IF(AND($F258&lt;&gt;"", $F258&gt;=CG$5-4, $F258&lt;=CG$5, COUNTIF($M258:CF258,"u")=0), "u", "")</f>
        <v/>
      </c>
      <c r="CH258" s="80" t="str">
        <f>IF(AND($F258&lt;&gt;"", $F258&gt;=CH$5-4, $F258&lt;=CH$5, COUNTIF($M258:CG258,"u")=0), "u", "")</f>
        <v/>
      </c>
      <c r="CI258" s="80" t="str">
        <f>IF(AND($F258&lt;&gt;"", $F258&gt;=CI$5-4, $F258&lt;=CI$5, COUNTIF($M258:CH258,"u")=0), "u", "")</f>
        <v/>
      </c>
      <c r="CJ258" s="80" t="str">
        <f>IF(AND($F258&lt;&gt;"", $F258&gt;=CJ$5-4, $F258&lt;=CJ$5, COUNTIF($M258:CI258,"u")=0), "u", "")</f>
        <v/>
      </c>
      <c r="CK258" s="80" t="str">
        <f>IF(AND($F258&lt;&gt;"", $F258&gt;=CK$5-4, $F258&lt;=CK$5, COUNTIF($M258:CJ258,"u")=0), "u", "")</f>
        <v/>
      </c>
      <c r="CL258" s="80" t="str">
        <f>IF(AND($F258&lt;&gt;"", $F258&gt;=CL$5-4, $F258&lt;=CL$5, COUNTIF($M258:CK258,"u")=0), "u", "")</f>
        <v/>
      </c>
      <c r="CM258" s="80" t="str">
        <f>IF(AND($F258&lt;&gt;"", $F258&gt;=CM$5-4, $F258&lt;=CM$5, COUNTIF($M258:CL258,"u")=0), "u", "")</f>
        <v/>
      </c>
      <c r="CN258" s="80" t="str">
        <f>IF(AND($F258&lt;&gt;"", $F258&gt;=CN$5-4, $F258&lt;=CN$5, COUNTIF($M258:CM258,"u")=0), "u", "")</f>
        <v/>
      </c>
      <c r="CO258" s="80" t="str">
        <f>IF(AND($F258&lt;&gt;"", $F258&gt;=CO$5-4, $F258&lt;=CO$5, COUNTIF($M258:CN258,"u")=0), "u", "")</f>
        <v/>
      </c>
      <c r="CP258" s="80" t="str">
        <f>IF(AND($F258&lt;&gt;"", $F258&gt;=CP$5-4, $F258&lt;=CP$5, COUNTIF($M258:CO258,"u")=0), "u", "")</f>
        <v/>
      </c>
      <c r="CQ258" s="80" t="str">
        <f>IF(AND($F258&lt;&gt;"", $F258&gt;=CQ$5-4, $F258&lt;=CQ$5, COUNTIF($M258:CP258,"u")=0), "u", "")</f>
        <v/>
      </c>
      <c r="CR258" s="80" t="str">
        <f>IF(AND($F258&lt;&gt;"", $F258&gt;=CR$5-4, $F258&lt;=CR$5, COUNTIF($M258:CQ258,"u")=0), "u", "")</f>
        <v/>
      </c>
      <c r="CS258" s="80" t="str">
        <f>IF(AND($F258&lt;&gt;"", $F258&gt;=CS$5-4, $F258&lt;=CS$5, COUNTIF($M258:CR258,"u")=0), "u", "")</f>
        <v/>
      </c>
      <c r="CT258" s="80" t="str">
        <f>IF(AND($F258&lt;&gt;"", $F258&gt;=CT$5-4, $F258&lt;=CT$5, COUNTIF($M258:CS258,"u")=0), "u", "")</f>
        <v/>
      </c>
      <c r="CU258" s="80" t="str">
        <f>IF(AND($F258&lt;&gt;"", $F258&gt;=CU$5-4, $F258&lt;=CU$5, COUNTIF($M258:CT258,"u")=0), "u", "")</f>
        <v/>
      </c>
      <c r="CV258" s="80" t="str">
        <f>IF(AND($F258&lt;&gt;"", $F258&gt;=CV$5-4, $F258&lt;=CV$5, COUNTIF($M258:CU258,"u")=0), "u", "")</f>
        <v/>
      </c>
      <c r="CW258" s="80" t="str">
        <f>IF(AND($F258&lt;&gt;"", $F258&gt;=CW$5-4, $F258&lt;=CW$5, COUNTIF($M258:CV258,"u")=0), "u", "")</f>
        <v/>
      </c>
      <c r="CX258" s="80" t="str">
        <f>IF(AND($F258&lt;&gt;"", $F258&gt;=CX$5-4, $F258&lt;=CX$5, COUNTIF($M258:CW258,"u")=0), "u", "")</f>
        <v/>
      </c>
      <c r="CY258" s="80" t="str">
        <f>IF(AND($F258&lt;&gt;"", $F258&gt;=CY$5-4, $F258&lt;=CY$5, COUNTIF($M258:CX258,"u")=0), "u", "")</f>
        <v/>
      </c>
      <c r="CZ258" s="80" t="str">
        <f>IF(AND($F258&lt;&gt;"", $F258&gt;=CZ$5-4, $F258&lt;=CZ$5, COUNTIF($M258:CY258,"u")=0), "u", "")</f>
        <v/>
      </c>
      <c r="DA258" s="80" t="str">
        <f>IF(AND($F258&lt;&gt;"", $F258&gt;=DA$5-4, $F258&lt;=DA$5, COUNTIF($M258:CZ258,"u")=0), "u", "")</f>
        <v/>
      </c>
      <c r="DB258" s="80" t="str">
        <f>IF(AND($F258&lt;&gt;"", $F258&gt;=DB$5-4, $F258&lt;=DB$5, COUNTIF($M258:DA258,"u")=0), "u", "")</f>
        <v/>
      </c>
      <c r="DC258" s="80" t="str">
        <f>IF(AND($F258&lt;&gt;"", $F258&gt;=DC$5-4, $F258&lt;=DC$5, COUNTIF($M258:DB258,"u")=0), "u", "")</f>
        <v/>
      </c>
      <c r="DD258" s="80" t="str">
        <f>IF(AND($F258&lt;&gt;"", $F258&gt;=DD$5-4, $F258&lt;=DD$5, COUNTIF($M258:DC258,"u")=0), "u", "")</f>
        <v/>
      </c>
      <c r="DE258" s="80" t="str">
        <f>IF(AND($F258&lt;&gt;"", $F258&gt;=DE$5-4, $F258&lt;=DE$5, COUNTIF($M258:DD258,"u")=0), "u", "")</f>
        <v/>
      </c>
      <c r="DF258" s="80" t="str">
        <f>IF(AND($F258&lt;&gt;"", $F258&gt;=DF$5-4, $F258&lt;=DF$5, COUNTIF($M258:DE258,"u")=0), "u", "")</f>
        <v/>
      </c>
      <c r="DG258" s="80" t="str">
        <f>IF(AND($F258&lt;&gt;"", $F258&gt;=DG$5-4, $F258&lt;=DG$5, COUNTIF($M258:DF258,"u")=0), "u", "")</f>
        <v/>
      </c>
      <c r="DH258" s="80" t="str">
        <f>IF(AND($F258&lt;&gt;"", $F258&gt;=DH$5-4, $F258&lt;=DH$5, COUNTIF($M258:DG258,"u")=0), "u", "")</f>
        <v/>
      </c>
      <c r="DI258" s="80" t="str">
        <f>IF(AND($F258&lt;&gt;"", $F258&gt;=DI$5-4, $F258&lt;=DI$5, COUNTIF($M258:DH258,"u")=0), "u", "")</f>
        <v/>
      </c>
      <c r="DJ258" s="80" t="str">
        <f>IF(AND($F258&lt;&gt;"", $F258&gt;=DJ$5-4, $F258&lt;=DJ$5, COUNTIF($M258:DI258,"u")=0), "u", "")</f>
        <v/>
      </c>
      <c r="DK258" s="80" t="str">
        <f>IF(AND($F258&lt;&gt;"", $F258&gt;=DK$5-4, $F258&lt;=DK$5, COUNTIF($M258:DJ258,"u")=0), "u", "")</f>
        <v/>
      </c>
      <c r="DL258" s="80" t="str">
        <f>IF(AND($F258&lt;&gt;"", $F258&gt;=DL$5-4, $F258&lt;=DL$5, COUNTIF($M258:DK258,"u")=0), "u", "")</f>
        <v/>
      </c>
    </row>
    <row r="259" spans="1:116" ht="25.05" customHeight="1" x14ac:dyDescent="0.3">
      <c r="A259" s="39"/>
      <c r="B259" s="75">
        <v>254</v>
      </c>
      <c r="C259" s="97"/>
      <c r="D259" s="92"/>
      <c r="E259" s="53"/>
      <c r="F259" s="53"/>
      <c r="G259" s="83" t="str">
        <f t="shared" si="56"/>
        <v/>
      </c>
      <c r="H259" s="83" t="str">
        <f t="shared" si="56"/>
        <v/>
      </c>
      <c r="I259" s="77" t="str">
        <f t="shared" si="54"/>
        <v/>
      </c>
      <c r="J259" s="78"/>
      <c r="K259" s="86"/>
      <c r="L259" s="56"/>
      <c r="M259" s="80" t="str">
        <f t="shared" si="55"/>
        <v/>
      </c>
      <c r="N259" s="80" t="str">
        <f>IF(AND($F259&lt;&gt;"", $F259&gt;=N$5-4, $F259&lt;=N$5, COUNTIF($M259:M259,"u")=0), "u", "")</f>
        <v/>
      </c>
      <c r="O259" s="80" t="str">
        <f>IF(AND($F259&lt;&gt;"", $F259&gt;=O$5-4, $F259&lt;=O$5, COUNTIF($M259:N259,"u")=0), "u", "")</f>
        <v/>
      </c>
      <c r="P259" s="80" t="str">
        <f>IF(AND($F259&lt;&gt;"", $F259&gt;=P$5-4, $F259&lt;=P$5, COUNTIF($M259:O259,"u")=0), "u", "")</f>
        <v/>
      </c>
      <c r="Q259" s="80" t="str">
        <f>IF(AND($F259&lt;&gt;"", $F259&gt;=Q$5-4, $F259&lt;=Q$5, COUNTIF($M259:P259,"u")=0), "u", "")</f>
        <v/>
      </c>
      <c r="R259" s="80" t="str">
        <f>IF(AND($F259&lt;&gt;"", $F259&gt;=R$5-4, $F259&lt;=R$5, COUNTIF($M259:Q259,"u")=0), "u", "")</f>
        <v/>
      </c>
      <c r="S259" s="80" t="str">
        <f>IF(AND($F259&lt;&gt;"", $F259&gt;=S$5-4, $F259&lt;=S$5, COUNTIF($M259:R259,"u")=0), "u", "")</f>
        <v/>
      </c>
      <c r="T259" s="80" t="str">
        <f>IF(AND($F259&lt;&gt;"", $F259&gt;=T$5-4, $F259&lt;=T$5, COUNTIF($M259:S259,"u")=0), "u", "")</f>
        <v/>
      </c>
      <c r="U259" s="80" t="str">
        <f>IF(AND($F259&lt;&gt;"", $F259&gt;=U$5-4, $F259&lt;=U$5, COUNTIF($M259:T259,"u")=0), "u", "")</f>
        <v/>
      </c>
      <c r="V259" s="80" t="str">
        <f>IF(AND($F259&lt;&gt;"", $F259&gt;=V$5-4, $F259&lt;=V$5, COUNTIF($M259:U259,"u")=0), "u", "")</f>
        <v/>
      </c>
      <c r="W259" s="80" t="str">
        <f>IF(AND($F259&lt;&gt;"", $F259&gt;=W$5-4, $F259&lt;=W$5, COUNTIF($M259:V259,"u")=0), "u", "")</f>
        <v/>
      </c>
      <c r="X259" s="80" t="str">
        <f>IF(AND($F259&lt;&gt;"", $F259&gt;=X$5-4, $F259&lt;=X$5, COUNTIF($M259:W259,"u")=0), "u", "")</f>
        <v/>
      </c>
      <c r="Y259" s="80" t="str">
        <f>IF(AND($F259&lt;&gt;"", $F259&gt;=Y$5-4, $F259&lt;=Y$5, COUNTIF($M259:X259,"u")=0), "u", "")</f>
        <v/>
      </c>
      <c r="Z259" s="80" t="str">
        <f>IF(AND($F259&lt;&gt;"", $F259&gt;=Z$5-4, $F259&lt;=Z$5, COUNTIF($M259:Y259,"u")=0), "u", "")</f>
        <v/>
      </c>
      <c r="AA259" s="80" t="str">
        <f>IF(AND($F259&lt;&gt;"", $F259&gt;=AA$5-4, $F259&lt;=AA$5, COUNTIF($M259:Z259,"u")=0), "u", "")</f>
        <v/>
      </c>
      <c r="AB259" s="80" t="str">
        <f>IF(AND($F259&lt;&gt;"", $F259&gt;=AB$5-4, $F259&lt;=AB$5, COUNTIF($M259:AA259,"u")=0), "u", "")</f>
        <v/>
      </c>
      <c r="AC259" s="80" t="str">
        <f>IF(AND($F259&lt;&gt;"", $F259&gt;=AC$5-4, $F259&lt;=AC$5, COUNTIF($M259:AB259,"u")=0), "u", "")</f>
        <v/>
      </c>
      <c r="AD259" s="80" t="str">
        <f>IF(AND($F259&lt;&gt;"", $F259&gt;=AD$5-4, $F259&lt;=AD$5, COUNTIF($M259:AC259,"u")=0), "u", "")</f>
        <v/>
      </c>
      <c r="AE259" s="80" t="str">
        <f>IF(AND($F259&lt;&gt;"", $F259&gt;=AE$5-4, $F259&lt;=AE$5, COUNTIF($M259:AD259,"u")=0), "u", "")</f>
        <v/>
      </c>
      <c r="AF259" s="80" t="str">
        <f>IF(AND($F259&lt;&gt;"", $F259&gt;=AF$5-4, $F259&lt;=AF$5, COUNTIF($M259:AE259,"u")=0), "u", "")</f>
        <v/>
      </c>
      <c r="AG259" s="80" t="str">
        <f>IF(AND($F259&lt;&gt;"", $F259&gt;=AG$5-4, $F259&lt;=AG$5, COUNTIF($M259:AF259,"u")=0), "u", "")</f>
        <v/>
      </c>
      <c r="AH259" s="80" t="str">
        <f>IF(AND($F259&lt;&gt;"", $F259&gt;=AH$5-4, $F259&lt;=AH$5, COUNTIF($M259:AG259,"u")=0), "u", "")</f>
        <v/>
      </c>
      <c r="AI259" s="80" t="str">
        <f>IF(AND($F259&lt;&gt;"", $F259&gt;=AI$5-4, $F259&lt;=AI$5, COUNTIF($M259:AH259,"u")=0), "u", "")</f>
        <v/>
      </c>
      <c r="AJ259" s="80" t="str">
        <f>IF(AND($F259&lt;&gt;"", $F259&gt;=AJ$5-4, $F259&lt;=AJ$5, COUNTIF($M259:AI259,"u")=0), "u", "")</f>
        <v/>
      </c>
      <c r="AK259" s="80" t="str">
        <f>IF(AND($F259&lt;&gt;"", $F259&gt;=AK$5-4, $F259&lt;=AK$5, COUNTIF($M259:AJ259,"u")=0), "u", "")</f>
        <v/>
      </c>
      <c r="AL259" s="80" t="str">
        <f>IF(AND($F259&lt;&gt;"", $F259&gt;=AL$5-4, $F259&lt;=AL$5, COUNTIF($M259:AK259,"u")=0), "u", "")</f>
        <v/>
      </c>
      <c r="AM259" s="80" t="str">
        <f>IF(AND($F259&lt;&gt;"", $F259&gt;=AM$5-4, $F259&lt;=AM$5, COUNTIF($M259:AL259,"u")=0), "u", "")</f>
        <v/>
      </c>
      <c r="AN259" s="80" t="str">
        <f>IF(AND($F259&lt;&gt;"", $F259&gt;=AN$5-4, $F259&lt;=AN$5, COUNTIF($M259:AM259,"u")=0), "u", "")</f>
        <v/>
      </c>
      <c r="AO259" s="80" t="str">
        <f>IF(AND($F259&lt;&gt;"", $F259&gt;=AO$5-4, $F259&lt;=AO$5, COUNTIF($M259:AN259,"u")=0), "u", "")</f>
        <v/>
      </c>
      <c r="AP259" s="80" t="str">
        <f>IF(AND($F259&lt;&gt;"", $F259&gt;=AP$5-4, $F259&lt;=AP$5, COUNTIF($M259:AO259,"u")=0), "u", "")</f>
        <v/>
      </c>
      <c r="AQ259" s="80" t="str">
        <f>IF(AND($F259&lt;&gt;"", $F259&gt;=AQ$5-4, $F259&lt;=AQ$5, COUNTIF($M259:AP259,"u")=0), "u", "")</f>
        <v/>
      </c>
      <c r="AR259" s="80" t="str">
        <f>IF(AND($F259&lt;&gt;"", $F259&gt;=AR$5-4, $F259&lt;=AR$5, COUNTIF($M259:AQ259,"u")=0), "u", "")</f>
        <v/>
      </c>
      <c r="AS259" s="80" t="str">
        <f>IF(AND($F259&lt;&gt;"", $F259&gt;=AS$5-4, $F259&lt;=AS$5, COUNTIF($M259:AR259,"u")=0), "u", "")</f>
        <v/>
      </c>
      <c r="AT259" s="80" t="str">
        <f>IF(AND($F259&lt;&gt;"", $F259&gt;=AT$5-4, $F259&lt;=AT$5, COUNTIF($M259:AS259,"u")=0), "u", "")</f>
        <v/>
      </c>
      <c r="AU259" s="80" t="str">
        <f>IF(AND($F259&lt;&gt;"", $F259&gt;=AU$5-4, $F259&lt;=AU$5, COUNTIF($M259:AT259,"u")=0), "u", "")</f>
        <v/>
      </c>
      <c r="AV259" s="80" t="str">
        <f>IF(AND($F259&lt;&gt;"", $F259&gt;=AV$5-4, $F259&lt;=AV$5, COUNTIF($M259:AU259,"u")=0), "u", "")</f>
        <v/>
      </c>
      <c r="AW259" s="80" t="str">
        <f>IF(AND($F259&lt;&gt;"", $F259&gt;=AW$5-4, $F259&lt;=AW$5, COUNTIF($M259:AV259,"u")=0), "u", "")</f>
        <v/>
      </c>
      <c r="AX259" s="80" t="str">
        <f>IF(AND($F259&lt;&gt;"", $F259&gt;=AX$5-4, $F259&lt;=AX$5, COUNTIF($M259:AW259,"u")=0), "u", "")</f>
        <v/>
      </c>
      <c r="AY259" s="80" t="str">
        <f>IF(AND($F259&lt;&gt;"", $F259&gt;=AY$5-4, $F259&lt;=AY$5, COUNTIF($M259:AX259,"u")=0), "u", "")</f>
        <v/>
      </c>
      <c r="AZ259" s="80" t="str">
        <f>IF(AND($F259&lt;&gt;"", $F259&gt;=AZ$5-4, $F259&lt;=AZ$5, COUNTIF($M259:AY259,"u")=0), "u", "")</f>
        <v/>
      </c>
      <c r="BA259" s="80" t="str">
        <f>IF(AND($F259&lt;&gt;"", $F259&gt;=BA$5-4, $F259&lt;=BA$5, COUNTIF($M259:AZ259,"u")=0), "u", "")</f>
        <v/>
      </c>
      <c r="BB259" s="80" t="str">
        <f>IF(AND($F259&lt;&gt;"", $F259&gt;=BB$5-4, $F259&lt;=BB$5, COUNTIF($M259:BA259,"u")=0), "u", "")</f>
        <v/>
      </c>
      <c r="BC259" s="80" t="str">
        <f>IF(AND($F259&lt;&gt;"", $F259&gt;=BC$5-4, $F259&lt;=BC$5, COUNTIF($M259:BB259,"u")=0), "u", "")</f>
        <v/>
      </c>
      <c r="BD259" s="80" t="str">
        <f>IF(AND($F259&lt;&gt;"", $F259&gt;=BD$5-4, $F259&lt;=BD$5, COUNTIF($M259:BC259,"u")=0), "u", "")</f>
        <v/>
      </c>
      <c r="BE259" s="80" t="str">
        <f>IF(AND($F259&lt;&gt;"", $F259&gt;=BE$5-4, $F259&lt;=BE$5, COUNTIF($M259:BD259,"u")=0), "u", "")</f>
        <v/>
      </c>
      <c r="BF259" s="80" t="str">
        <f>IF(AND($F259&lt;&gt;"", $F259&gt;=BF$5-4, $F259&lt;=BF$5, COUNTIF($M259:BE259,"u")=0), "u", "")</f>
        <v/>
      </c>
      <c r="BG259" s="80" t="str">
        <f>IF(AND($F259&lt;&gt;"", $F259&gt;=BG$5-4, $F259&lt;=BG$5, COUNTIF($M259:BF259,"u")=0), "u", "")</f>
        <v/>
      </c>
      <c r="BH259" s="80" t="str">
        <f>IF(AND($F259&lt;&gt;"", $F259&gt;=BH$5-4, $F259&lt;=BH$5, COUNTIF($M259:BG259,"u")=0), "u", "")</f>
        <v/>
      </c>
      <c r="BI259" s="80" t="str">
        <f>IF(AND($F259&lt;&gt;"", $F259&gt;=BI$5-4, $F259&lt;=BI$5, COUNTIF($M259:BH259,"u")=0), "u", "")</f>
        <v/>
      </c>
      <c r="BJ259" s="80" t="str">
        <f>IF(AND($F259&lt;&gt;"", $F259&gt;=BJ$5-4, $F259&lt;=BJ$5, COUNTIF($M259:BI259,"u")=0), "u", "")</f>
        <v/>
      </c>
      <c r="BK259" s="80" t="str">
        <f>IF(AND($F259&lt;&gt;"", $F259&gt;=BK$5-4, $F259&lt;=BK$5, COUNTIF($M259:BJ259,"u")=0), "u", "")</f>
        <v/>
      </c>
      <c r="BL259" s="80" t="str">
        <f>IF(AND($F259&lt;&gt;"", $F259&gt;=BL$5-4, $F259&lt;=BL$5, COUNTIF($M259:BK259,"u")=0), "u", "")</f>
        <v/>
      </c>
      <c r="BM259" s="80" t="str">
        <f>IF(AND($F259&lt;&gt;"", $F259&gt;=BM$5-4, $F259&lt;=BM$5, COUNTIF($M259:BL259,"u")=0), "u", "")</f>
        <v/>
      </c>
      <c r="BN259" s="80" t="str">
        <f>IF(AND($F259&lt;&gt;"", $F259&gt;=BN$5-4, $F259&lt;=BN$5, COUNTIF($M259:BM259,"u")=0), "u", "")</f>
        <v/>
      </c>
      <c r="BO259" s="80" t="str">
        <f>IF(AND($F259&lt;&gt;"", $F259&gt;=BO$5-4, $F259&lt;=BO$5, COUNTIF($M259:BN259,"u")=0), "u", "")</f>
        <v/>
      </c>
      <c r="BP259" s="80" t="str">
        <f>IF(AND($F259&lt;&gt;"", $F259&gt;=BP$5-4, $F259&lt;=BP$5, COUNTIF($M259:BO259,"u")=0), "u", "")</f>
        <v/>
      </c>
      <c r="BQ259" s="80" t="str">
        <f>IF(AND($F259&lt;&gt;"", $F259&gt;=BQ$5-4, $F259&lt;=BQ$5, COUNTIF($M259:BP259,"u")=0), "u", "")</f>
        <v/>
      </c>
      <c r="BR259" s="80" t="str">
        <f>IF(AND($F259&lt;&gt;"", $F259&gt;=BR$5-4, $F259&lt;=BR$5, COUNTIF($M259:BQ259,"u")=0), "u", "")</f>
        <v/>
      </c>
      <c r="BS259" s="80" t="str">
        <f>IF(AND($F259&lt;&gt;"", $F259&gt;=BS$5-4, $F259&lt;=BS$5, COUNTIF($M259:BR259,"u")=0), "u", "")</f>
        <v/>
      </c>
      <c r="BT259" s="80" t="str">
        <f>IF(AND($F259&lt;&gt;"", $F259&gt;=BT$5-4, $F259&lt;=BT$5, COUNTIF($M259:BS259,"u")=0), "u", "")</f>
        <v/>
      </c>
      <c r="BU259" s="80" t="str">
        <f>IF(AND($F259&lt;&gt;"", $F259&gt;=BU$5-4, $F259&lt;=BU$5, COUNTIF($M259:BT259,"u")=0), "u", "")</f>
        <v/>
      </c>
      <c r="BV259" s="80" t="str">
        <f>IF(AND($F259&lt;&gt;"", $F259&gt;=BV$5-4, $F259&lt;=BV$5, COUNTIF($M259:BU259,"u")=0), "u", "")</f>
        <v/>
      </c>
      <c r="BW259" s="80" t="str">
        <f>IF(AND($F259&lt;&gt;"", $F259&gt;=BW$5-4, $F259&lt;=BW$5, COUNTIF($M259:BV259,"u")=0), "u", "")</f>
        <v/>
      </c>
      <c r="BX259" s="80" t="str">
        <f>IF(AND($F259&lt;&gt;"", $F259&gt;=BX$5-4, $F259&lt;=BX$5, COUNTIF($M259:BW259,"u")=0), "u", "")</f>
        <v/>
      </c>
      <c r="BY259" s="80" t="str">
        <f>IF(AND($F259&lt;&gt;"", $F259&gt;=BY$5-4, $F259&lt;=BY$5, COUNTIF($M259:BX259,"u")=0), "u", "")</f>
        <v/>
      </c>
      <c r="BZ259" s="80" t="str">
        <f>IF(AND($F259&lt;&gt;"", $F259&gt;=BZ$5-4, $F259&lt;=BZ$5, COUNTIF($M259:BY259,"u")=0), "u", "")</f>
        <v/>
      </c>
      <c r="CA259" s="80" t="str">
        <f>IF(AND($F259&lt;&gt;"", $F259&gt;=CA$5-4, $F259&lt;=CA$5, COUNTIF($M259:BZ259,"u")=0), "u", "")</f>
        <v/>
      </c>
      <c r="CB259" s="80" t="str">
        <f>IF(AND($F259&lt;&gt;"", $F259&gt;=CB$5-4, $F259&lt;=CB$5, COUNTIF($M259:CA259,"u")=0), "u", "")</f>
        <v/>
      </c>
      <c r="CC259" s="80" t="str">
        <f>IF(AND($F259&lt;&gt;"", $F259&gt;=CC$5-4, $F259&lt;=CC$5, COUNTIF($M259:CB259,"u")=0), "u", "")</f>
        <v/>
      </c>
      <c r="CD259" s="80" t="str">
        <f>IF(AND($F259&lt;&gt;"", $F259&gt;=CD$5-4, $F259&lt;=CD$5, COUNTIF($M259:CC259,"u")=0), "u", "")</f>
        <v/>
      </c>
      <c r="CE259" s="80" t="str">
        <f>IF(AND($F259&lt;&gt;"", $F259&gt;=CE$5-4, $F259&lt;=CE$5, COUNTIF($M259:CD259,"u")=0), "u", "")</f>
        <v/>
      </c>
      <c r="CF259" s="80" t="str">
        <f>IF(AND($F259&lt;&gt;"", $F259&gt;=CF$5-4, $F259&lt;=CF$5, COUNTIF($M259:CE259,"u")=0), "u", "")</f>
        <v/>
      </c>
      <c r="CG259" s="80" t="str">
        <f>IF(AND($F259&lt;&gt;"", $F259&gt;=CG$5-4, $F259&lt;=CG$5, COUNTIF($M259:CF259,"u")=0), "u", "")</f>
        <v/>
      </c>
      <c r="CH259" s="80" t="str">
        <f>IF(AND($F259&lt;&gt;"", $F259&gt;=CH$5-4, $F259&lt;=CH$5, COUNTIF($M259:CG259,"u")=0), "u", "")</f>
        <v/>
      </c>
      <c r="CI259" s="80" t="str">
        <f>IF(AND($F259&lt;&gt;"", $F259&gt;=CI$5-4, $F259&lt;=CI$5, COUNTIF($M259:CH259,"u")=0), "u", "")</f>
        <v/>
      </c>
      <c r="CJ259" s="80" t="str">
        <f>IF(AND($F259&lt;&gt;"", $F259&gt;=CJ$5-4, $F259&lt;=CJ$5, COUNTIF($M259:CI259,"u")=0), "u", "")</f>
        <v/>
      </c>
      <c r="CK259" s="80" t="str">
        <f>IF(AND($F259&lt;&gt;"", $F259&gt;=CK$5-4, $F259&lt;=CK$5, COUNTIF($M259:CJ259,"u")=0), "u", "")</f>
        <v/>
      </c>
      <c r="CL259" s="80" t="str">
        <f>IF(AND($F259&lt;&gt;"", $F259&gt;=CL$5-4, $F259&lt;=CL$5, COUNTIF($M259:CK259,"u")=0), "u", "")</f>
        <v/>
      </c>
      <c r="CM259" s="80" t="str">
        <f>IF(AND($F259&lt;&gt;"", $F259&gt;=CM$5-4, $F259&lt;=CM$5, COUNTIF($M259:CL259,"u")=0), "u", "")</f>
        <v/>
      </c>
      <c r="CN259" s="80" t="str">
        <f>IF(AND($F259&lt;&gt;"", $F259&gt;=CN$5-4, $F259&lt;=CN$5, COUNTIF($M259:CM259,"u")=0), "u", "")</f>
        <v/>
      </c>
      <c r="CO259" s="80" t="str">
        <f>IF(AND($F259&lt;&gt;"", $F259&gt;=CO$5-4, $F259&lt;=CO$5, COUNTIF($M259:CN259,"u")=0), "u", "")</f>
        <v/>
      </c>
      <c r="CP259" s="80" t="str">
        <f>IF(AND($F259&lt;&gt;"", $F259&gt;=CP$5-4, $F259&lt;=CP$5, COUNTIF($M259:CO259,"u")=0), "u", "")</f>
        <v/>
      </c>
      <c r="CQ259" s="80" t="str">
        <f>IF(AND($F259&lt;&gt;"", $F259&gt;=CQ$5-4, $F259&lt;=CQ$5, COUNTIF($M259:CP259,"u")=0), "u", "")</f>
        <v/>
      </c>
      <c r="CR259" s="80" t="str">
        <f>IF(AND($F259&lt;&gt;"", $F259&gt;=CR$5-4, $F259&lt;=CR$5, COUNTIF($M259:CQ259,"u")=0), "u", "")</f>
        <v/>
      </c>
      <c r="CS259" s="80" t="str">
        <f>IF(AND($F259&lt;&gt;"", $F259&gt;=CS$5-4, $F259&lt;=CS$5, COUNTIF($M259:CR259,"u")=0), "u", "")</f>
        <v/>
      </c>
      <c r="CT259" s="80" t="str">
        <f>IF(AND($F259&lt;&gt;"", $F259&gt;=CT$5-4, $F259&lt;=CT$5, COUNTIF($M259:CS259,"u")=0), "u", "")</f>
        <v/>
      </c>
      <c r="CU259" s="80" t="str">
        <f>IF(AND($F259&lt;&gt;"", $F259&gt;=CU$5-4, $F259&lt;=CU$5, COUNTIF($M259:CT259,"u")=0), "u", "")</f>
        <v/>
      </c>
      <c r="CV259" s="80" t="str">
        <f>IF(AND($F259&lt;&gt;"", $F259&gt;=CV$5-4, $F259&lt;=CV$5, COUNTIF($M259:CU259,"u")=0), "u", "")</f>
        <v/>
      </c>
      <c r="CW259" s="80" t="str">
        <f>IF(AND($F259&lt;&gt;"", $F259&gt;=CW$5-4, $F259&lt;=CW$5, COUNTIF($M259:CV259,"u")=0), "u", "")</f>
        <v/>
      </c>
      <c r="CX259" s="80" t="str">
        <f>IF(AND($F259&lt;&gt;"", $F259&gt;=CX$5-4, $F259&lt;=CX$5, COUNTIF($M259:CW259,"u")=0), "u", "")</f>
        <v/>
      </c>
      <c r="CY259" s="80" t="str">
        <f>IF(AND($F259&lt;&gt;"", $F259&gt;=CY$5-4, $F259&lt;=CY$5, COUNTIF($M259:CX259,"u")=0), "u", "")</f>
        <v/>
      </c>
      <c r="CZ259" s="80" t="str">
        <f>IF(AND($F259&lt;&gt;"", $F259&gt;=CZ$5-4, $F259&lt;=CZ$5, COUNTIF($M259:CY259,"u")=0), "u", "")</f>
        <v/>
      </c>
      <c r="DA259" s="80" t="str">
        <f>IF(AND($F259&lt;&gt;"", $F259&gt;=DA$5-4, $F259&lt;=DA$5, COUNTIF($M259:CZ259,"u")=0), "u", "")</f>
        <v/>
      </c>
      <c r="DB259" s="80" t="str">
        <f>IF(AND($F259&lt;&gt;"", $F259&gt;=DB$5-4, $F259&lt;=DB$5, COUNTIF($M259:DA259,"u")=0), "u", "")</f>
        <v/>
      </c>
      <c r="DC259" s="80" t="str">
        <f>IF(AND($F259&lt;&gt;"", $F259&gt;=DC$5-4, $F259&lt;=DC$5, COUNTIF($M259:DB259,"u")=0), "u", "")</f>
        <v/>
      </c>
      <c r="DD259" s="80" t="str">
        <f>IF(AND($F259&lt;&gt;"", $F259&gt;=DD$5-4, $F259&lt;=DD$5, COUNTIF($M259:DC259,"u")=0), "u", "")</f>
        <v/>
      </c>
      <c r="DE259" s="80" t="str">
        <f>IF(AND($F259&lt;&gt;"", $F259&gt;=DE$5-4, $F259&lt;=DE$5, COUNTIF($M259:DD259,"u")=0), "u", "")</f>
        <v/>
      </c>
      <c r="DF259" s="80" t="str">
        <f>IF(AND($F259&lt;&gt;"", $F259&gt;=DF$5-4, $F259&lt;=DF$5, COUNTIF($M259:DE259,"u")=0), "u", "")</f>
        <v/>
      </c>
      <c r="DG259" s="80" t="str">
        <f>IF(AND($F259&lt;&gt;"", $F259&gt;=DG$5-4, $F259&lt;=DG$5, COUNTIF($M259:DF259,"u")=0), "u", "")</f>
        <v/>
      </c>
      <c r="DH259" s="80" t="str">
        <f>IF(AND($F259&lt;&gt;"", $F259&gt;=DH$5-4, $F259&lt;=DH$5, COUNTIF($M259:DG259,"u")=0), "u", "")</f>
        <v/>
      </c>
      <c r="DI259" s="80" t="str">
        <f>IF(AND($F259&lt;&gt;"", $F259&gt;=DI$5-4, $F259&lt;=DI$5, COUNTIF($M259:DH259,"u")=0), "u", "")</f>
        <v/>
      </c>
      <c r="DJ259" s="80" t="str">
        <f>IF(AND($F259&lt;&gt;"", $F259&gt;=DJ$5-4, $F259&lt;=DJ$5, COUNTIF($M259:DI259,"u")=0), "u", "")</f>
        <v/>
      </c>
      <c r="DK259" s="80" t="str">
        <f>IF(AND($F259&lt;&gt;"", $F259&gt;=DK$5-4, $F259&lt;=DK$5, COUNTIF($M259:DJ259,"u")=0), "u", "")</f>
        <v/>
      </c>
      <c r="DL259" s="80" t="str">
        <f>IF(AND($F259&lt;&gt;"", $F259&gt;=DL$5-4, $F259&lt;=DL$5, COUNTIF($M259:DK259,"u")=0), "u", "")</f>
        <v/>
      </c>
    </row>
    <row r="260" spans="1:116" ht="25.05" customHeight="1" x14ac:dyDescent="0.3">
      <c r="A260" s="39"/>
      <c r="B260" s="75">
        <v>255</v>
      </c>
      <c r="C260" s="97"/>
      <c r="D260" s="92"/>
      <c r="E260" s="53"/>
      <c r="F260" s="53"/>
      <c r="G260" s="83" t="str">
        <f t="shared" si="56"/>
        <v/>
      </c>
      <c r="H260" s="83" t="str">
        <f t="shared" si="56"/>
        <v/>
      </c>
      <c r="I260" s="77" t="str">
        <f t="shared" si="54"/>
        <v/>
      </c>
      <c r="J260" s="78"/>
      <c r="K260" s="86"/>
      <c r="L260" s="56"/>
      <c r="M260" s="80" t="str">
        <f t="shared" si="55"/>
        <v/>
      </c>
      <c r="N260" s="80" t="str">
        <f>IF(AND($F260&lt;&gt;"", $F260&gt;=N$5-4, $F260&lt;=N$5, COUNTIF($M260:M260,"u")=0), "u", "")</f>
        <v/>
      </c>
      <c r="O260" s="80" t="str">
        <f>IF(AND($F260&lt;&gt;"", $F260&gt;=O$5-4, $F260&lt;=O$5, COUNTIF($M260:N260,"u")=0), "u", "")</f>
        <v/>
      </c>
      <c r="P260" s="80" t="str">
        <f>IF(AND($F260&lt;&gt;"", $F260&gt;=P$5-4, $F260&lt;=P$5, COUNTIF($M260:O260,"u")=0), "u", "")</f>
        <v/>
      </c>
      <c r="Q260" s="80" t="str">
        <f>IF(AND($F260&lt;&gt;"", $F260&gt;=Q$5-4, $F260&lt;=Q$5, COUNTIF($M260:P260,"u")=0), "u", "")</f>
        <v/>
      </c>
      <c r="R260" s="80" t="str">
        <f>IF(AND($F260&lt;&gt;"", $F260&gt;=R$5-4, $F260&lt;=R$5, COUNTIF($M260:Q260,"u")=0), "u", "")</f>
        <v/>
      </c>
      <c r="S260" s="80" t="str">
        <f>IF(AND($F260&lt;&gt;"", $F260&gt;=S$5-4, $F260&lt;=S$5, COUNTIF($M260:R260,"u")=0), "u", "")</f>
        <v/>
      </c>
      <c r="T260" s="80" t="str">
        <f>IF(AND($F260&lt;&gt;"", $F260&gt;=T$5-4, $F260&lt;=T$5, COUNTIF($M260:S260,"u")=0), "u", "")</f>
        <v/>
      </c>
      <c r="U260" s="80" t="str">
        <f>IF(AND($F260&lt;&gt;"", $F260&gt;=U$5-4, $F260&lt;=U$5, COUNTIF($M260:T260,"u")=0), "u", "")</f>
        <v/>
      </c>
      <c r="V260" s="80" t="str">
        <f>IF(AND($F260&lt;&gt;"", $F260&gt;=V$5-4, $F260&lt;=V$5, COUNTIF($M260:U260,"u")=0), "u", "")</f>
        <v/>
      </c>
      <c r="W260" s="80" t="str">
        <f>IF(AND($F260&lt;&gt;"", $F260&gt;=W$5-4, $F260&lt;=W$5, COUNTIF($M260:V260,"u")=0), "u", "")</f>
        <v/>
      </c>
      <c r="X260" s="80" t="str">
        <f>IF(AND($F260&lt;&gt;"", $F260&gt;=X$5-4, $F260&lt;=X$5, COUNTIF($M260:W260,"u")=0), "u", "")</f>
        <v/>
      </c>
      <c r="Y260" s="80" t="str">
        <f>IF(AND($F260&lt;&gt;"", $F260&gt;=Y$5-4, $F260&lt;=Y$5, COUNTIF($M260:X260,"u")=0), "u", "")</f>
        <v/>
      </c>
      <c r="Z260" s="80" t="str">
        <f>IF(AND($F260&lt;&gt;"", $F260&gt;=Z$5-4, $F260&lt;=Z$5, COUNTIF($M260:Y260,"u")=0), "u", "")</f>
        <v/>
      </c>
      <c r="AA260" s="80" t="str">
        <f>IF(AND($F260&lt;&gt;"", $F260&gt;=AA$5-4, $F260&lt;=AA$5, COUNTIF($M260:Z260,"u")=0), "u", "")</f>
        <v/>
      </c>
      <c r="AB260" s="80" t="str">
        <f>IF(AND($F260&lt;&gt;"", $F260&gt;=AB$5-4, $F260&lt;=AB$5, COUNTIF($M260:AA260,"u")=0), "u", "")</f>
        <v/>
      </c>
      <c r="AC260" s="80" t="str">
        <f>IF(AND($F260&lt;&gt;"", $F260&gt;=AC$5-4, $F260&lt;=AC$5, COUNTIF($M260:AB260,"u")=0), "u", "")</f>
        <v/>
      </c>
      <c r="AD260" s="80" t="str">
        <f>IF(AND($F260&lt;&gt;"", $F260&gt;=AD$5-4, $F260&lt;=AD$5, COUNTIF($M260:AC260,"u")=0), "u", "")</f>
        <v/>
      </c>
      <c r="AE260" s="80" t="str">
        <f>IF(AND($F260&lt;&gt;"", $F260&gt;=AE$5-4, $F260&lt;=AE$5, COUNTIF($M260:AD260,"u")=0), "u", "")</f>
        <v/>
      </c>
      <c r="AF260" s="80" t="str">
        <f>IF(AND($F260&lt;&gt;"", $F260&gt;=AF$5-4, $F260&lt;=AF$5, COUNTIF($M260:AE260,"u")=0), "u", "")</f>
        <v/>
      </c>
      <c r="AG260" s="80" t="str">
        <f>IF(AND($F260&lt;&gt;"", $F260&gt;=AG$5-4, $F260&lt;=AG$5, COUNTIF($M260:AF260,"u")=0), "u", "")</f>
        <v/>
      </c>
      <c r="AH260" s="80" t="str">
        <f>IF(AND($F260&lt;&gt;"", $F260&gt;=AH$5-4, $F260&lt;=AH$5, COUNTIF($M260:AG260,"u")=0), "u", "")</f>
        <v/>
      </c>
      <c r="AI260" s="80" t="str">
        <f>IF(AND($F260&lt;&gt;"", $F260&gt;=AI$5-4, $F260&lt;=AI$5, COUNTIF($M260:AH260,"u")=0), "u", "")</f>
        <v/>
      </c>
      <c r="AJ260" s="80" t="str">
        <f>IF(AND($F260&lt;&gt;"", $F260&gt;=AJ$5-4, $F260&lt;=AJ$5, COUNTIF($M260:AI260,"u")=0), "u", "")</f>
        <v/>
      </c>
      <c r="AK260" s="80" t="str">
        <f>IF(AND($F260&lt;&gt;"", $F260&gt;=AK$5-4, $F260&lt;=AK$5, COUNTIF($M260:AJ260,"u")=0), "u", "")</f>
        <v/>
      </c>
      <c r="AL260" s="80" t="str">
        <f>IF(AND($F260&lt;&gt;"", $F260&gt;=AL$5-4, $F260&lt;=AL$5, COUNTIF($M260:AK260,"u")=0), "u", "")</f>
        <v/>
      </c>
      <c r="AM260" s="80" t="str">
        <f>IF(AND($F260&lt;&gt;"", $F260&gt;=AM$5-4, $F260&lt;=AM$5, COUNTIF($M260:AL260,"u")=0), "u", "")</f>
        <v/>
      </c>
      <c r="AN260" s="80" t="str">
        <f>IF(AND($F260&lt;&gt;"", $F260&gt;=AN$5-4, $F260&lt;=AN$5, COUNTIF($M260:AM260,"u")=0), "u", "")</f>
        <v/>
      </c>
      <c r="AO260" s="80" t="str">
        <f>IF(AND($F260&lt;&gt;"", $F260&gt;=AO$5-4, $F260&lt;=AO$5, COUNTIF($M260:AN260,"u")=0), "u", "")</f>
        <v/>
      </c>
      <c r="AP260" s="80" t="str">
        <f>IF(AND($F260&lt;&gt;"", $F260&gt;=AP$5-4, $F260&lt;=AP$5, COUNTIF($M260:AO260,"u")=0), "u", "")</f>
        <v/>
      </c>
      <c r="AQ260" s="80" t="str">
        <f>IF(AND($F260&lt;&gt;"", $F260&gt;=AQ$5-4, $F260&lt;=AQ$5, COUNTIF($M260:AP260,"u")=0), "u", "")</f>
        <v/>
      </c>
      <c r="AR260" s="80" t="str">
        <f>IF(AND($F260&lt;&gt;"", $F260&gt;=AR$5-4, $F260&lt;=AR$5, COUNTIF($M260:AQ260,"u")=0), "u", "")</f>
        <v/>
      </c>
      <c r="AS260" s="80" t="str">
        <f>IF(AND($F260&lt;&gt;"", $F260&gt;=AS$5-4, $F260&lt;=AS$5, COUNTIF($M260:AR260,"u")=0), "u", "")</f>
        <v/>
      </c>
      <c r="AT260" s="80" t="str">
        <f>IF(AND($F260&lt;&gt;"", $F260&gt;=AT$5-4, $F260&lt;=AT$5, COUNTIF($M260:AS260,"u")=0), "u", "")</f>
        <v/>
      </c>
      <c r="AU260" s="80" t="str">
        <f>IF(AND($F260&lt;&gt;"", $F260&gt;=AU$5-4, $F260&lt;=AU$5, COUNTIF($M260:AT260,"u")=0), "u", "")</f>
        <v/>
      </c>
      <c r="AV260" s="80" t="str">
        <f>IF(AND($F260&lt;&gt;"", $F260&gt;=AV$5-4, $F260&lt;=AV$5, COUNTIF($M260:AU260,"u")=0), "u", "")</f>
        <v/>
      </c>
      <c r="AW260" s="80" t="str">
        <f>IF(AND($F260&lt;&gt;"", $F260&gt;=AW$5-4, $F260&lt;=AW$5, COUNTIF($M260:AV260,"u")=0), "u", "")</f>
        <v/>
      </c>
      <c r="AX260" s="80" t="str">
        <f>IF(AND($F260&lt;&gt;"", $F260&gt;=AX$5-4, $F260&lt;=AX$5, COUNTIF($M260:AW260,"u")=0), "u", "")</f>
        <v/>
      </c>
      <c r="AY260" s="80" t="str">
        <f>IF(AND($F260&lt;&gt;"", $F260&gt;=AY$5-4, $F260&lt;=AY$5, COUNTIF($M260:AX260,"u")=0), "u", "")</f>
        <v/>
      </c>
      <c r="AZ260" s="80" t="str">
        <f>IF(AND($F260&lt;&gt;"", $F260&gt;=AZ$5-4, $F260&lt;=AZ$5, COUNTIF($M260:AY260,"u")=0), "u", "")</f>
        <v/>
      </c>
      <c r="BA260" s="80" t="str">
        <f>IF(AND($F260&lt;&gt;"", $F260&gt;=BA$5-4, $F260&lt;=BA$5, COUNTIF($M260:AZ260,"u")=0), "u", "")</f>
        <v/>
      </c>
      <c r="BB260" s="80" t="str">
        <f>IF(AND($F260&lt;&gt;"", $F260&gt;=BB$5-4, $F260&lt;=BB$5, COUNTIF($M260:BA260,"u")=0), "u", "")</f>
        <v/>
      </c>
      <c r="BC260" s="80" t="str">
        <f>IF(AND($F260&lt;&gt;"", $F260&gt;=BC$5-4, $F260&lt;=BC$5, COUNTIF($M260:BB260,"u")=0), "u", "")</f>
        <v/>
      </c>
      <c r="BD260" s="80" t="str">
        <f>IF(AND($F260&lt;&gt;"", $F260&gt;=BD$5-4, $F260&lt;=BD$5, COUNTIF($M260:BC260,"u")=0), "u", "")</f>
        <v/>
      </c>
      <c r="BE260" s="80" t="str">
        <f>IF(AND($F260&lt;&gt;"", $F260&gt;=BE$5-4, $F260&lt;=BE$5, COUNTIF($M260:BD260,"u")=0), "u", "")</f>
        <v/>
      </c>
      <c r="BF260" s="80" t="str">
        <f>IF(AND($F260&lt;&gt;"", $F260&gt;=BF$5-4, $F260&lt;=BF$5, COUNTIF($M260:BE260,"u")=0), "u", "")</f>
        <v/>
      </c>
      <c r="BG260" s="80" t="str">
        <f>IF(AND($F260&lt;&gt;"", $F260&gt;=BG$5-4, $F260&lt;=BG$5, COUNTIF($M260:BF260,"u")=0), "u", "")</f>
        <v/>
      </c>
      <c r="BH260" s="80" t="str">
        <f>IF(AND($F260&lt;&gt;"", $F260&gt;=BH$5-4, $F260&lt;=BH$5, COUNTIF($M260:BG260,"u")=0), "u", "")</f>
        <v/>
      </c>
      <c r="BI260" s="80" t="str">
        <f>IF(AND($F260&lt;&gt;"", $F260&gt;=BI$5-4, $F260&lt;=BI$5, COUNTIF($M260:BH260,"u")=0), "u", "")</f>
        <v/>
      </c>
      <c r="BJ260" s="80" t="str">
        <f>IF(AND($F260&lt;&gt;"", $F260&gt;=BJ$5-4, $F260&lt;=BJ$5, COUNTIF($M260:BI260,"u")=0), "u", "")</f>
        <v/>
      </c>
      <c r="BK260" s="80" t="str">
        <f>IF(AND($F260&lt;&gt;"", $F260&gt;=BK$5-4, $F260&lt;=BK$5, COUNTIF($M260:BJ260,"u")=0), "u", "")</f>
        <v/>
      </c>
      <c r="BL260" s="80" t="str">
        <f>IF(AND($F260&lt;&gt;"", $F260&gt;=BL$5-4, $F260&lt;=BL$5, COUNTIF($M260:BK260,"u")=0), "u", "")</f>
        <v/>
      </c>
      <c r="BM260" s="80" t="str">
        <f>IF(AND($F260&lt;&gt;"", $F260&gt;=BM$5-4, $F260&lt;=BM$5, COUNTIF($M260:BL260,"u")=0), "u", "")</f>
        <v/>
      </c>
      <c r="BN260" s="80" t="str">
        <f>IF(AND($F260&lt;&gt;"", $F260&gt;=BN$5-4, $F260&lt;=BN$5, COUNTIF($M260:BM260,"u")=0), "u", "")</f>
        <v/>
      </c>
      <c r="BO260" s="80" t="str">
        <f>IF(AND($F260&lt;&gt;"", $F260&gt;=BO$5-4, $F260&lt;=BO$5, COUNTIF($M260:BN260,"u")=0), "u", "")</f>
        <v/>
      </c>
      <c r="BP260" s="80" t="str">
        <f>IF(AND($F260&lt;&gt;"", $F260&gt;=BP$5-4, $F260&lt;=BP$5, COUNTIF($M260:BO260,"u")=0), "u", "")</f>
        <v/>
      </c>
      <c r="BQ260" s="80" t="str">
        <f>IF(AND($F260&lt;&gt;"", $F260&gt;=BQ$5-4, $F260&lt;=BQ$5, COUNTIF($M260:BP260,"u")=0), "u", "")</f>
        <v/>
      </c>
      <c r="BR260" s="80" t="str">
        <f>IF(AND($F260&lt;&gt;"", $F260&gt;=BR$5-4, $F260&lt;=BR$5, COUNTIF($M260:BQ260,"u")=0), "u", "")</f>
        <v/>
      </c>
      <c r="BS260" s="80" t="str">
        <f>IF(AND($F260&lt;&gt;"", $F260&gt;=BS$5-4, $F260&lt;=BS$5, COUNTIF($M260:BR260,"u")=0), "u", "")</f>
        <v/>
      </c>
      <c r="BT260" s="80" t="str">
        <f>IF(AND($F260&lt;&gt;"", $F260&gt;=BT$5-4, $F260&lt;=BT$5, COUNTIF($M260:BS260,"u")=0), "u", "")</f>
        <v/>
      </c>
      <c r="BU260" s="80" t="str">
        <f>IF(AND($F260&lt;&gt;"", $F260&gt;=BU$5-4, $F260&lt;=BU$5, COUNTIF($M260:BT260,"u")=0), "u", "")</f>
        <v/>
      </c>
      <c r="BV260" s="80" t="str">
        <f>IF(AND($F260&lt;&gt;"", $F260&gt;=BV$5-4, $F260&lt;=BV$5, COUNTIF($M260:BU260,"u")=0), "u", "")</f>
        <v/>
      </c>
      <c r="BW260" s="80" t="str">
        <f>IF(AND($F260&lt;&gt;"", $F260&gt;=BW$5-4, $F260&lt;=BW$5, COUNTIF($M260:BV260,"u")=0), "u", "")</f>
        <v/>
      </c>
      <c r="BX260" s="80" t="str">
        <f>IF(AND($F260&lt;&gt;"", $F260&gt;=BX$5-4, $F260&lt;=BX$5, COUNTIF($M260:BW260,"u")=0), "u", "")</f>
        <v/>
      </c>
      <c r="BY260" s="80" t="str">
        <f>IF(AND($F260&lt;&gt;"", $F260&gt;=BY$5-4, $F260&lt;=BY$5, COUNTIF($M260:BX260,"u")=0), "u", "")</f>
        <v/>
      </c>
      <c r="BZ260" s="80" t="str">
        <f>IF(AND($F260&lt;&gt;"", $F260&gt;=BZ$5-4, $F260&lt;=BZ$5, COUNTIF($M260:BY260,"u")=0), "u", "")</f>
        <v/>
      </c>
      <c r="CA260" s="80" t="str">
        <f>IF(AND($F260&lt;&gt;"", $F260&gt;=CA$5-4, $F260&lt;=CA$5, COUNTIF($M260:BZ260,"u")=0), "u", "")</f>
        <v/>
      </c>
      <c r="CB260" s="80" t="str">
        <f>IF(AND($F260&lt;&gt;"", $F260&gt;=CB$5-4, $F260&lt;=CB$5, COUNTIF($M260:CA260,"u")=0), "u", "")</f>
        <v/>
      </c>
      <c r="CC260" s="80" t="str">
        <f>IF(AND($F260&lt;&gt;"", $F260&gt;=CC$5-4, $F260&lt;=CC$5, COUNTIF($M260:CB260,"u")=0), "u", "")</f>
        <v/>
      </c>
      <c r="CD260" s="80" t="str">
        <f>IF(AND($F260&lt;&gt;"", $F260&gt;=CD$5-4, $F260&lt;=CD$5, COUNTIF($M260:CC260,"u")=0), "u", "")</f>
        <v/>
      </c>
      <c r="CE260" s="80" t="str">
        <f>IF(AND($F260&lt;&gt;"", $F260&gt;=CE$5-4, $F260&lt;=CE$5, COUNTIF($M260:CD260,"u")=0), "u", "")</f>
        <v/>
      </c>
      <c r="CF260" s="80" t="str">
        <f>IF(AND($F260&lt;&gt;"", $F260&gt;=CF$5-4, $F260&lt;=CF$5, COUNTIF($M260:CE260,"u")=0), "u", "")</f>
        <v/>
      </c>
      <c r="CG260" s="80" t="str">
        <f>IF(AND($F260&lt;&gt;"", $F260&gt;=CG$5-4, $F260&lt;=CG$5, COUNTIF($M260:CF260,"u")=0), "u", "")</f>
        <v/>
      </c>
      <c r="CH260" s="80" t="str">
        <f>IF(AND($F260&lt;&gt;"", $F260&gt;=CH$5-4, $F260&lt;=CH$5, COUNTIF($M260:CG260,"u")=0), "u", "")</f>
        <v/>
      </c>
      <c r="CI260" s="80" t="str">
        <f>IF(AND($F260&lt;&gt;"", $F260&gt;=CI$5-4, $F260&lt;=CI$5, COUNTIF($M260:CH260,"u")=0), "u", "")</f>
        <v/>
      </c>
      <c r="CJ260" s="80" t="str">
        <f>IF(AND($F260&lt;&gt;"", $F260&gt;=CJ$5-4, $F260&lt;=CJ$5, COUNTIF($M260:CI260,"u")=0), "u", "")</f>
        <v/>
      </c>
      <c r="CK260" s="80" t="str">
        <f>IF(AND($F260&lt;&gt;"", $F260&gt;=CK$5-4, $F260&lt;=CK$5, COUNTIF($M260:CJ260,"u")=0), "u", "")</f>
        <v/>
      </c>
      <c r="CL260" s="80" t="str">
        <f>IF(AND($F260&lt;&gt;"", $F260&gt;=CL$5-4, $F260&lt;=CL$5, COUNTIF($M260:CK260,"u")=0), "u", "")</f>
        <v/>
      </c>
      <c r="CM260" s="80" t="str">
        <f>IF(AND($F260&lt;&gt;"", $F260&gt;=CM$5-4, $F260&lt;=CM$5, COUNTIF($M260:CL260,"u")=0), "u", "")</f>
        <v/>
      </c>
      <c r="CN260" s="80" t="str">
        <f>IF(AND($F260&lt;&gt;"", $F260&gt;=CN$5-4, $F260&lt;=CN$5, COUNTIF($M260:CM260,"u")=0), "u", "")</f>
        <v/>
      </c>
      <c r="CO260" s="80" t="str">
        <f>IF(AND($F260&lt;&gt;"", $F260&gt;=CO$5-4, $F260&lt;=CO$5, COUNTIF($M260:CN260,"u")=0), "u", "")</f>
        <v/>
      </c>
      <c r="CP260" s="80" t="str">
        <f>IF(AND($F260&lt;&gt;"", $F260&gt;=CP$5-4, $F260&lt;=CP$5, COUNTIF($M260:CO260,"u")=0), "u", "")</f>
        <v/>
      </c>
      <c r="CQ260" s="80" t="str">
        <f>IF(AND($F260&lt;&gt;"", $F260&gt;=CQ$5-4, $F260&lt;=CQ$5, COUNTIF($M260:CP260,"u")=0), "u", "")</f>
        <v/>
      </c>
      <c r="CR260" s="80" t="str">
        <f>IF(AND($F260&lt;&gt;"", $F260&gt;=CR$5-4, $F260&lt;=CR$5, COUNTIF($M260:CQ260,"u")=0), "u", "")</f>
        <v/>
      </c>
      <c r="CS260" s="80" t="str">
        <f>IF(AND($F260&lt;&gt;"", $F260&gt;=CS$5-4, $F260&lt;=CS$5, COUNTIF($M260:CR260,"u")=0), "u", "")</f>
        <v/>
      </c>
      <c r="CT260" s="80" t="str">
        <f>IF(AND($F260&lt;&gt;"", $F260&gt;=CT$5-4, $F260&lt;=CT$5, COUNTIF($M260:CS260,"u")=0), "u", "")</f>
        <v/>
      </c>
      <c r="CU260" s="80" t="str">
        <f>IF(AND($F260&lt;&gt;"", $F260&gt;=CU$5-4, $F260&lt;=CU$5, COUNTIF($M260:CT260,"u")=0), "u", "")</f>
        <v/>
      </c>
      <c r="CV260" s="80" t="str">
        <f>IF(AND($F260&lt;&gt;"", $F260&gt;=CV$5-4, $F260&lt;=CV$5, COUNTIF($M260:CU260,"u")=0), "u", "")</f>
        <v/>
      </c>
      <c r="CW260" s="80" t="str">
        <f>IF(AND($F260&lt;&gt;"", $F260&gt;=CW$5-4, $F260&lt;=CW$5, COUNTIF($M260:CV260,"u")=0), "u", "")</f>
        <v/>
      </c>
      <c r="CX260" s="80" t="str">
        <f>IF(AND($F260&lt;&gt;"", $F260&gt;=CX$5-4, $F260&lt;=CX$5, COUNTIF($M260:CW260,"u")=0), "u", "")</f>
        <v/>
      </c>
      <c r="CY260" s="80" t="str">
        <f>IF(AND($F260&lt;&gt;"", $F260&gt;=CY$5-4, $F260&lt;=CY$5, COUNTIF($M260:CX260,"u")=0), "u", "")</f>
        <v/>
      </c>
      <c r="CZ260" s="80" t="str">
        <f>IF(AND($F260&lt;&gt;"", $F260&gt;=CZ$5-4, $F260&lt;=CZ$5, COUNTIF($M260:CY260,"u")=0), "u", "")</f>
        <v/>
      </c>
      <c r="DA260" s="80" t="str">
        <f>IF(AND($F260&lt;&gt;"", $F260&gt;=DA$5-4, $F260&lt;=DA$5, COUNTIF($M260:CZ260,"u")=0), "u", "")</f>
        <v/>
      </c>
      <c r="DB260" s="80" t="str">
        <f>IF(AND($F260&lt;&gt;"", $F260&gt;=DB$5-4, $F260&lt;=DB$5, COUNTIF($M260:DA260,"u")=0), "u", "")</f>
        <v/>
      </c>
      <c r="DC260" s="80" t="str">
        <f>IF(AND($F260&lt;&gt;"", $F260&gt;=DC$5-4, $F260&lt;=DC$5, COUNTIF($M260:DB260,"u")=0), "u", "")</f>
        <v/>
      </c>
      <c r="DD260" s="80" t="str">
        <f>IF(AND($F260&lt;&gt;"", $F260&gt;=DD$5-4, $F260&lt;=DD$5, COUNTIF($M260:DC260,"u")=0), "u", "")</f>
        <v/>
      </c>
      <c r="DE260" s="80" t="str">
        <f>IF(AND($F260&lt;&gt;"", $F260&gt;=DE$5-4, $F260&lt;=DE$5, COUNTIF($M260:DD260,"u")=0), "u", "")</f>
        <v/>
      </c>
      <c r="DF260" s="80" t="str">
        <f>IF(AND($F260&lt;&gt;"", $F260&gt;=DF$5-4, $F260&lt;=DF$5, COUNTIF($M260:DE260,"u")=0), "u", "")</f>
        <v/>
      </c>
      <c r="DG260" s="80" t="str">
        <f>IF(AND($F260&lt;&gt;"", $F260&gt;=DG$5-4, $F260&lt;=DG$5, COUNTIF($M260:DF260,"u")=0), "u", "")</f>
        <v/>
      </c>
      <c r="DH260" s="80" t="str">
        <f>IF(AND($F260&lt;&gt;"", $F260&gt;=DH$5-4, $F260&lt;=DH$5, COUNTIF($M260:DG260,"u")=0), "u", "")</f>
        <v/>
      </c>
      <c r="DI260" s="80" t="str">
        <f>IF(AND($F260&lt;&gt;"", $F260&gt;=DI$5-4, $F260&lt;=DI$5, COUNTIF($M260:DH260,"u")=0), "u", "")</f>
        <v/>
      </c>
      <c r="DJ260" s="80" t="str">
        <f>IF(AND($F260&lt;&gt;"", $F260&gt;=DJ$5-4, $F260&lt;=DJ$5, COUNTIF($M260:DI260,"u")=0), "u", "")</f>
        <v/>
      </c>
      <c r="DK260" s="80" t="str">
        <f>IF(AND($F260&lt;&gt;"", $F260&gt;=DK$5-4, $F260&lt;=DK$5, COUNTIF($M260:DJ260,"u")=0), "u", "")</f>
        <v/>
      </c>
      <c r="DL260" s="80" t="str">
        <f>IF(AND($F260&lt;&gt;"", $F260&gt;=DL$5-4, $F260&lt;=DL$5, COUNTIF($M260:DK260,"u")=0), "u", "")</f>
        <v/>
      </c>
    </row>
    <row r="261" spans="1:116" ht="25.05" customHeight="1" x14ac:dyDescent="0.3">
      <c r="A261" s="39"/>
      <c r="B261" s="75">
        <v>256</v>
      </c>
      <c r="C261" s="97"/>
      <c r="D261" s="92"/>
      <c r="E261" s="53"/>
      <c r="F261" s="53"/>
      <c r="G261" s="83" t="str">
        <f t="shared" si="56"/>
        <v/>
      </c>
      <c r="H261" s="83" t="str">
        <f t="shared" si="56"/>
        <v/>
      </c>
      <c r="I261" s="77" t="str">
        <f t="shared" si="54"/>
        <v/>
      </c>
      <c r="J261" s="78"/>
      <c r="K261" s="86"/>
      <c r="L261" s="56"/>
      <c r="M261" s="80" t="str">
        <f t="shared" si="55"/>
        <v/>
      </c>
      <c r="N261" s="80" t="str">
        <f>IF(AND($F261&lt;&gt;"", $F261&gt;=N$5-4, $F261&lt;=N$5, COUNTIF($M261:M261,"u")=0), "u", "")</f>
        <v/>
      </c>
      <c r="O261" s="80" t="str">
        <f>IF(AND($F261&lt;&gt;"", $F261&gt;=O$5-4, $F261&lt;=O$5, COUNTIF($M261:N261,"u")=0), "u", "")</f>
        <v/>
      </c>
      <c r="P261" s="80" t="str">
        <f>IF(AND($F261&lt;&gt;"", $F261&gt;=P$5-4, $F261&lt;=P$5, COUNTIF($M261:O261,"u")=0), "u", "")</f>
        <v/>
      </c>
      <c r="Q261" s="80" t="str">
        <f>IF(AND($F261&lt;&gt;"", $F261&gt;=Q$5-4, $F261&lt;=Q$5, COUNTIF($M261:P261,"u")=0), "u", "")</f>
        <v/>
      </c>
      <c r="R261" s="80" t="str">
        <f>IF(AND($F261&lt;&gt;"", $F261&gt;=R$5-4, $F261&lt;=R$5, COUNTIF($M261:Q261,"u")=0), "u", "")</f>
        <v/>
      </c>
      <c r="S261" s="80" t="str">
        <f>IF(AND($F261&lt;&gt;"", $F261&gt;=S$5-4, $F261&lt;=S$5, COUNTIF($M261:R261,"u")=0), "u", "")</f>
        <v/>
      </c>
      <c r="T261" s="80" t="str">
        <f>IF(AND($F261&lt;&gt;"", $F261&gt;=T$5-4, $F261&lt;=T$5, COUNTIF($M261:S261,"u")=0), "u", "")</f>
        <v/>
      </c>
      <c r="U261" s="80" t="str">
        <f>IF(AND($F261&lt;&gt;"", $F261&gt;=U$5-4, $F261&lt;=U$5, COUNTIF($M261:T261,"u")=0), "u", "")</f>
        <v/>
      </c>
      <c r="V261" s="80" t="str">
        <f>IF(AND($F261&lt;&gt;"", $F261&gt;=V$5-4, $F261&lt;=V$5, COUNTIF($M261:U261,"u")=0), "u", "")</f>
        <v/>
      </c>
      <c r="W261" s="80" t="str">
        <f>IF(AND($F261&lt;&gt;"", $F261&gt;=W$5-4, $F261&lt;=W$5, COUNTIF($M261:V261,"u")=0), "u", "")</f>
        <v/>
      </c>
      <c r="X261" s="80" t="str">
        <f>IF(AND($F261&lt;&gt;"", $F261&gt;=X$5-4, $F261&lt;=X$5, COUNTIF($M261:W261,"u")=0), "u", "")</f>
        <v/>
      </c>
      <c r="Y261" s="80" t="str">
        <f>IF(AND($F261&lt;&gt;"", $F261&gt;=Y$5-4, $F261&lt;=Y$5, COUNTIF($M261:X261,"u")=0), "u", "")</f>
        <v/>
      </c>
      <c r="Z261" s="80" t="str">
        <f>IF(AND($F261&lt;&gt;"", $F261&gt;=Z$5-4, $F261&lt;=Z$5, COUNTIF($M261:Y261,"u")=0), "u", "")</f>
        <v/>
      </c>
      <c r="AA261" s="80" t="str">
        <f>IF(AND($F261&lt;&gt;"", $F261&gt;=AA$5-4, $F261&lt;=AA$5, COUNTIF($M261:Z261,"u")=0), "u", "")</f>
        <v/>
      </c>
      <c r="AB261" s="80" t="str">
        <f>IF(AND($F261&lt;&gt;"", $F261&gt;=AB$5-4, $F261&lt;=AB$5, COUNTIF($M261:AA261,"u")=0), "u", "")</f>
        <v/>
      </c>
      <c r="AC261" s="80" t="str">
        <f>IF(AND($F261&lt;&gt;"", $F261&gt;=AC$5-4, $F261&lt;=AC$5, COUNTIF($M261:AB261,"u")=0), "u", "")</f>
        <v/>
      </c>
      <c r="AD261" s="80" t="str">
        <f>IF(AND($F261&lt;&gt;"", $F261&gt;=AD$5-4, $F261&lt;=AD$5, COUNTIF($M261:AC261,"u")=0), "u", "")</f>
        <v/>
      </c>
      <c r="AE261" s="80" t="str">
        <f>IF(AND($F261&lt;&gt;"", $F261&gt;=AE$5-4, $F261&lt;=AE$5, COUNTIF($M261:AD261,"u")=0), "u", "")</f>
        <v/>
      </c>
      <c r="AF261" s="80" t="str">
        <f>IF(AND($F261&lt;&gt;"", $F261&gt;=AF$5-4, $F261&lt;=AF$5, COUNTIF($M261:AE261,"u")=0), "u", "")</f>
        <v/>
      </c>
      <c r="AG261" s="80" t="str">
        <f>IF(AND($F261&lt;&gt;"", $F261&gt;=AG$5-4, $F261&lt;=AG$5, COUNTIF($M261:AF261,"u")=0), "u", "")</f>
        <v/>
      </c>
      <c r="AH261" s="80" t="str">
        <f>IF(AND($F261&lt;&gt;"", $F261&gt;=AH$5-4, $F261&lt;=AH$5, COUNTIF($M261:AG261,"u")=0), "u", "")</f>
        <v/>
      </c>
      <c r="AI261" s="80" t="str">
        <f>IF(AND($F261&lt;&gt;"", $F261&gt;=AI$5-4, $F261&lt;=AI$5, COUNTIF($M261:AH261,"u")=0), "u", "")</f>
        <v/>
      </c>
      <c r="AJ261" s="80" t="str">
        <f>IF(AND($F261&lt;&gt;"", $F261&gt;=AJ$5-4, $F261&lt;=AJ$5, COUNTIF($M261:AI261,"u")=0), "u", "")</f>
        <v/>
      </c>
      <c r="AK261" s="80" t="str">
        <f>IF(AND($F261&lt;&gt;"", $F261&gt;=AK$5-4, $F261&lt;=AK$5, COUNTIF($M261:AJ261,"u")=0), "u", "")</f>
        <v/>
      </c>
      <c r="AL261" s="80" t="str">
        <f>IF(AND($F261&lt;&gt;"", $F261&gt;=AL$5-4, $F261&lt;=AL$5, COUNTIF($M261:AK261,"u")=0), "u", "")</f>
        <v/>
      </c>
      <c r="AM261" s="80" t="str">
        <f>IF(AND($F261&lt;&gt;"", $F261&gt;=AM$5-4, $F261&lt;=AM$5, COUNTIF($M261:AL261,"u")=0), "u", "")</f>
        <v/>
      </c>
      <c r="AN261" s="80" t="str">
        <f>IF(AND($F261&lt;&gt;"", $F261&gt;=AN$5-4, $F261&lt;=AN$5, COUNTIF($M261:AM261,"u")=0), "u", "")</f>
        <v/>
      </c>
      <c r="AO261" s="80" t="str">
        <f>IF(AND($F261&lt;&gt;"", $F261&gt;=AO$5-4, $F261&lt;=AO$5, COUNTIF($M261:AN261,"u")=0), "u", "")</f>
        <v/>
      </c>
      <c r="AP261" s="80" t="str">
        <f>IF(AND($F261&lt;&gt;"", $F261&gt;=AP$5-4, $F261&lt;=AP$5, COUNTIF($M261:AO261,"u")=0), "u", "")</f>
        <v/>
      </c>
      <c r="AQ261" s="80" t="str">
        <f>IF(AND($F261&lt;&gt;"", $F261&gt;=AQ$5-4, $F261&lt;=AQ$5, COUNTIF($M261:AP261,"u")=0), "u", "")</f>
        <v/>
      </c>
      <c r="AR261" s="80" t="str">
        <f>IF(AND($F261&lt;&gt;"", $F261&gt;=AR$5-4, $F261&lt;=AR$5, COUNTIF($M261:AQ261,"u")=0), "u", "")</f>
        <v/>
      </c>
      <c r="AS261" s="80" t="str">
        <f>IF(AND($F261&lt;&gt;"", $F261&gt;=AS$5-4, $F261&lt;=AS$5, COUNTIF($M261:AR261,"u")=0), "u", "")</f>
        <v/>
      </c>
      <c r="AT261" s="80" t="str">
        <f>IF(AND($F261&lt;&gt;"", $F261&gt;=AT$5-4, $F261&lt;=AT$5, COUNTIF($M261:AS261,"u")=0), "u", "")</f>
        <v/>
      </c>
      <c r="AU261" s="80" t="str">
        <f>IF(AND($F261&lt;&gt;"", $F261&gt;=AU$5-4, $F261&lt;=AU$5, COUNTIF($M261:AT261,"u")=0), "u", "")</f>
        <v/>
      </c>
      <c r="AV261" s="80" t="str">
        <f>IF(AND($F261&lt;&gt;"", $F261&gt;=AV$5-4, $F261&lt;=AV$5, COUNTIF($M261:AU261,"u")=0), "u", "")</f>
        <v/>
      </c>
      <c r="AW261" s="80" t="str">
        <f>IF(AND($F261&lt;&gt;"", $F261&gt;=AW$5-4, $F261&lt;=AW$5, COUNTIF($M261:AV261,"u")=0), "u", "")</f>
        <v/>
      </c>
      <c r="AX261" s="80" t="str">
        <f>IF(AND($F261&lt;&gt;"", $F261&gt;=AX$5-4, $F261&lt;=AX$5, COUNTIF($M261:AW261,"u")=0), "u", "")</f>
        <v/>
      </c>
      <c r="AY261" s="80" t="str">
        <f>IF(AND($F261&lt;&gt;"", $F261&gt;=AY$5-4, $F261&lt;=AY$5, COUNTIF($M261:AX261,"u")=0), "u", "")</f>
        <v/>
      </c>
      <c r="AZ261" s="80" t="str">
        <f>IF(AND($F261&lt;&gt;"", $F261&gt;=AZ$5-4, $F261&lt;=AZ$5, COUNTIF($M261:AY261,"u")=0), "u", "")</f>
        <v/>
      </c>
      <c r="BA261" s="80" t="str">
        <f>IF(AND($F261&lt;&gt;"", $F261&gt;=BA$5-4, $F261&lt;=BA$5, COUNTIF($M261:AZ261,"u")=0), "u", "")</f>
        <v/>
      </c>
      <c r="BB261" s="80" t="str">
        <f>IF(AND($F261&lt;&gt;"", $F261&gt;=BB$5-4, $F261&lt;=BB$5, COUNTIF($M261:BA261,"u")=0), "u", "")</f>
        <v/>
      </c>
      <c r="BC261" s="80" t="str">
        <f>IF(AND($F261&lt;&gt;"", $F261&gt;=BC$5-4, $F261&lt;=BC$5, COUNTIF($M261:BB261,"u")=0), "u", "")</f>
        <v/>
      </c>
      <c r="BD261" s="80" t="str">
        <f>IF(AND($F261&lt;&gt;"", $F261&gt;=BD$5-4, $F261&lt;=BD$5, COUNTIF($M261:BC261,"u")=0), "u", "")</f>
        <v/>
      </c>
      <c r="BE261" s="80" t="str">
        <f>IF(AND($F261&lt;&gt;"", $F261&gt;=BE$5-4, $F261&lt;=BE$5, COUNTIF($M261:BD261,"u")=0), "u", "")</f>
        <v/>
      </c>
      <c r="BF261" s="80" t="str">
        <f>IF(AND($F261&lt;&gt;"", $F261&gt;=BF$5-4, $F261&lt;=BF$5, COUNTIF($M261:BE261,"u")=0), "u", "")</f>
        <v/>
      </c>
      <c r="BG261" s="80" t="str">
        <f>IF(AND($F261&lt;&gt;"", $F261&gt;=BG$5-4, $F261&lt;=BG$5, COUNTIF($M261:BF261,"u")=0), "u", "")</f>
        <v/>
      </c>
      <c r="BH261" s="80" t="str">
        <f>IF(AND($F261&lt;&gt;"", $F261&gt;=BH$5-4, $F261&lt;=BH$5, COUNTIF($M261:BG261,"u")=0), "u", "")</f>
        <v/>
      </c>
      <c r="BI261" s="80" t="str">
        <f>IF(AND($F261&lt;&gt;"", $F261&gt;=BI$5-4, $F261&lt;=BI$5, COUNTIF($M261:BH261,"u")=0), "u", "")</f>
        <v/>
      </c>
      <c r="BJ261" s="80" t="str">
        <f>IF(AND($F261&lt;&gt;"", $F261&gt;=BJ$5-4, $F261&lt;=BJ$5, COUNTIF($M261:BI261,"u")=0), "u", "")</f>
        <v/>
      </c>
      <c r="BK261" s="80" t="str">
        <f>IF(AND($F261&lt;&gt;"", $F261&gt;=BK$5-4, $F261&lt;=BK$5, COUNTIF($M261:BJ261,"u")=0), "u", "")</f>
        <v/>
      </c>
      <c r="BL261" s="80" t="str">
        <f>IF(AND($F261&lt;&gt;"", $F261&gt;=BL$5-4, $F261&lt;=BL$5, COUNTIF($M261:BK261,"u")=0), "u", "")</f>
        <v/>
      </c>
      <c r="BM261" s="80" t="str">
        <f>IF(AND($F261&lt;&gt;"", $F261&gt;=BM$5-4, $F261&lt;=BM$5, COUNTIF($M261:BL261,"u")=0), "u", "")</f>
        <v/>
      </c>
      <c r="BN261" s="80" t="str">
        <f>IF(AND($F261&lt;&gt;"", $F261&gt;=BN$5-4, $F261&lt;=BN$5, COUNTIF($M261:BM261,"u")=0), "u", "")</f>
        <v/>
      </c>
      <c r="BO261" s="80" t="str">
        <f>IF(AND($F261&lt;&gt;"", $F261&gt;=BO$5-4, $F261&lt;=BO$5, COUNTIF($M261:BN261,"u")=0), "u", "")</f>
        <v/>
      </c>
      <c r="BP261" s="80" t="str">
        <f>IF(AND($F261&lt;&gt;"", $F261&gt;=BP$5-4, $F261&lt;=BP$5, COUNTIF($M261:BO261,"u")=0), "u", "")</f>
        <v/>
      </c>
      <c r="BQ261" s="80" t="str">
        <f>IF(AND($F261&lt;&gt;"", $F261&gt;=BQ$5-4, $F261&lt;=BQ$5, COUNTIF($M261:BP261,"u")=0), "u", "")</f>
        <v/>
      </c>
      <c r="BR261" s="80" t="str">
        <f>IF(AND($F261&lt;&gt;"", $F261&gt;=BR$5-4, $F261&lt;=BR$5, COUNTIF($M261:BQ261,"u")=0), "u", "")</f>
        <v/>
      </c>
      <c r="BS261" s="80" t="str">
        <f>IF(AND($F261&lt;&gt;"", $F261&gt;=BS$5-4, $F261&lt;=BS$5, COUNTIF($M261:BR261,"u")=0), "u", "")</f>
        <v/>
      </c>
      <c r="BT261" s="80" t="str">
        <f>IF(AND($F261&lt;&gt;"", $F261&gt;=BT$5-4, $F261&lt;=BT$5, COUNTIF($M261:BS261,"u")=0), "u", "")</f>
        <v/>
      </c>
      <c r="BU261" s="80" t="str">
        <f>IF(AND($F261&lt;&gt;"", $F261&gt;=BU$5-4, $F261&lt;=BU$5, COUNTIF($M261:BT261,"u")=0), "u", "")</f>
        <v/>
      </c>
      <c r="BV261" s="80" t="str">
        <f>IF(AND($F261&lt;&gt;"", $F261&gt;=BV$5-4, $F261&lt;=BV$5, COUNTIF($M261:BU261,"u")=0), "u", "")</f>
        <v/>
      </c>
      <c r="BW261" s="80" t="str">
        <f>IF(AND($F261&lt;&gt;"", $F261&gt;=BW$5-4, $F261&lt;=BW$5, COUNTIF($M261:BV261,"u")=0), "u", "")</f>
        <v/>
      </c>
      <c r="BX261" s="80" t="str">
        <f>IF(AND($F261&lt;&gt;"", $F261&gt;=BX$5-4, $F261&lt;=BX$5, COUNTIF($M261:BW261,"u")=0), "u", "")</f>
        <v/>
      </c>
      <c r="BY261" s="80" t="str">
        <f>IF(AND($F261&lt;&gt;"", $F261&gt;=BY$5-4, $F261&lt;=BY$5, COUNTIF($M261:BX261,"u")=0), "u", "")</f>
        <v/>
      </c>
      <c r="BZ261" s="80" t="str">
        <f>IF(AND($F261&lt;&gt;"", $F261&gt;=BZ$5-4, $F261&lt;=BZ$5, COUNTIF($M261:BY261,"u")=0), "u", "")</f>
        <v/>
      </c>
      <c r="CA261" s="80" t="str">
        <f>IF(AND($F261&lt;&gt;"", $F261&gt;=CA$5-4, $F261&lt;=CA$5, COUNTIF($M261:BZ261,"u")=0), "u", "")</f>
        <v/>
      </c>
      <c r="CB261" s="80" t="str">
        <f>IF(AND($F261&lt;&gt;"", $F261&gt;=CB$5-4, $F261&lt;=CB$5, COUNTIF($M261:CA261,"u")=0), "u", "")</f>
        <v/>
      </c>
      <c r="CC261" s="80" t="str">
        <f>IF(AND($F261&lt;&gt;"", $F261&gt;=CC$5-4, $F261&lt;=CC$5, COUNTIF($M261:CB261,"u")=0), "u", "")</f>
        <v/>
      </c>
      <c r="CD261" s="80" t="str">
        <f>IF(AND($F261&lt;&gt;"", $F261&gt;=CD$5-4, $F261&lt;=CD$5, COUNTIF($M261:CC261,"u")=0), "u", "")</f>
        <v/>
      </c>
      <c r="CE261" s="80" t="str">
        <f>IF(AND($F261&lt;&gt;"", $F261&gt;=CE$5-4, $F261&lt;=CE$5, COUNTIF($M261:CD261,"u")=0), "u", "")</f>
        <v/>
      </c>
      <c r="CF261" s="80" t="str">
        <f>IF(AND($F261&lt;&gt;"", $F261&gt;=CF$5-4, $F261&lt;=CF$5, COUNTIF($M261:CE261,"u")=0), "u", "")</f>
        <v/>
      </c>
      <c r="CG261" s="80" t="str">
        <f>IF(AND($F261&lt;&gt;"", $F261&gt;=CG$5-4, $F261&lt;=CG$5, COUNTIF($M261:CF261,"u")=0), "u", "")</f>
        <v/>
      </c>
      <c r="CH261" s="80" t="str">
        <f>IF(AND($F261&lt;&gt;"", $F261&gt;=CH$5-4, $F261&lt;=CH$5, COUNTIF($M261:CG261,"u")=0), "u", "")</f>
        <v/>
      </c>
      <c r="CI261" s="80" t="str">
        <f>IF(AND($F261&lt;&gt;"", $F261&gt;=CI$5-4, $F261&lt;=CI$5, COUNTIF($M261:CH261,"u")=0), "u", "")</f>
        <v/>
      </c>
      <c r="CJ261" s="80" t="str">
        <f>IF(AND($F261&lt;&gt;"", $F261&gt;=CJ$5-4, $F261&lt;=CJ$5, COUNTIF($M261:CI261,"u")=0), "u", "")</f>
        <v/>
      </c>
      <c r="CK261" s="80" t="str">
        <f>IF(AND($F261&lt;&gt;"", $F261&gt;=CK$5-4, $F261&lt;=CK$5, COUNTIF($M261:CJ261,"u")=0), "u", "")</f>
        <v/>
      </c>
      <c r="CL261" s="80" t="str">
        <f>IF(AND($F261&lt;&gt;"", $F261&gt;=CL$5-4, $F261&lt;=CL$5, COUNTIF($M261:CK261,"u")=0), "u", "")</f>
        <v/>
      </c>
      <c r="CM261" s="80" t="str">
        <f>IF(AND($F261&lt;&gt;"", $F261&gt;=CM$5-4, $F261&lt;=CM$5, COUNTIF($M261:CL261,"u")=0), "u", "")</f>
        <v/>
      </c>
      <c r="CN261" s="80" t="str">
        <f>IF(AND($F261&lt;&gt;"", $F261&gt;=CN$5-4, $F261&lt;=CN$5, COUNTIF($M261:CM261,"u")=0), "u", "")</f>
        <v/>
      </c>
      <c r="CO261" s="80" t="str">
        <f>IF(AND($F261&lt;&gt;"", $F261&gt;=CO$5-4, $F261&lt;=CO$5, COUNTIF($M261:CN261,"u")=0), "u", "")</f>
        <v/>
      </c>
      <c r="CP261" s="80" t="str">
        <f>IF(AND($F261&lt;&gt;"", $F261&gt;=CP$5-4, $F261&lt;=CP$5, COUNTIF($M261:CO261,"u")=0), "u", "")</f>
        <v/>
      </c>
      <c r="CQ261" s="80" t="str">
        <f>IF(AND($F261&lt;&gt;"", $F261&gt;=CQ$5-4, $F261&lt;=CQ$5, COUNTIF($M261:CP261,"u")=0), "u", "")</f>
        <v/>
      </c>
      <c r="CR261" s="80" t="str">
        <f>IF(AND($F261&lt;&gt;"", $F261&gt;=CR$5-4, $F261&lt;=CR$5, COUNTIF($M261:CQ261,"u")=0), "u", "")</f>
        <v/>
      </c>
      <c r="CS261" s="80" t="str">
        <f>IF(AND($F261&lt;&gt;"", $F261&gt;=CS$5-4, $F261&lt;=CS$5, COUNTIF($M261:CR261,"u")=0), "u", "")</f>
        <v/>
      </c>
      <c r="CT261" s="80" t="str">
        <f>IF(AND($F261&lt;&gt;"", $F261&gt;=CT$5-4, $F261&lt;=CT$5, COUNTIF($M261:CS261,"u")=0), "u", "")</f>
        <v/>
      </c>
      <c r="CU261" s="80" t="str">
        <f>IF(AND($F261&lt;&gt;"", $F261&gt;=CU$5-4, $F261&lt;=CU$5, COUNTIF($M261:CT261,"u")=0), "u", "")</f>
        <v/>
      </c>
      <c r="CV261" s="80" t="str">
        <f>IF(AND($F261&lt;&gt;"", $F261&gt;=CV$5-4, $F261&lt;=CV$5, COUNTIF($M261:CU261,"u")=0), "u", "")</f>
        <v/>
      </c>
      <c r="CW261" s="80" t="str">
        <f>IF(AND($F261&lt;&gt;"", $F261&gt;=CW$5-4, $F261&lt;=CW$5, COUNTIF($M261:CV261,"u")=0), "u", "")</f>
        <v/>
      </c>
      <c r="CX261" s="80" t="str">
        <f>IF(AND($F261&lt;&gt;"", $F261&gt;=CX$5-4, $F261&lt;=CX$5, COUNTIF($M261:CW261,"u")=0), "u", "")</f>
        <v/>
      </c>
      <c r="CY261" s="80" t="str">
        <f>IF(AND($F261&lt;&gt;"", $F261&gt;=CY$5-4, $F261&lt;=CY$5, COUNTIF($M261:CX261,"u")=0), "u", "")</f>
        <v/>
      </c>
      <c r="CZ261" s="80" t="str">
        <f>IF(AND($F261&lt;&gt;"", $F261&gt;=CZ$5-4, $F261&lt;=CZ$5, COUNTIF($M261:CY261,"u")=0), "u", "")</f>
        <v/>
      </c>
      <c r="DA261" s="80" t="str">
        <f>IF(AND($F261&lt;&gt;"", $F261&gt;=DA$5-4, $F261&lt;=DA$5, COUNTIF($M261:CZ261,"u")=0), "u", "")</f>
        <v/>
      </c>
      <c r="DB261" s="80" t="str">
        <f>IF(AND($F261&lt;&gt;"", $F261&gt;=DB$5-4, $F261&lt;=DB$5, COUNTIF($M261:DA261,"u")=0), "u", "")</f>
        <v/>
      </c>
      <c r="DC261" s="80" t="str">
        <f>IF(AND($F261&lt;&gt;"", $F261&gt;=DC$5-4, $F261&lt;=DC$5, COUNTIF($M261:DB261,"u")=0), "u", "")</f>
        <v/>
      </c>
      <c r="DD261" s="80" t="str">
        <f>IF(AND($F261&lt;&gt;"", $F261&gt;=DD$5-4, $F261&lt;=DD$5, COUNTIF($M261:DC261,"u")=0), "u", "")</f>
        <v/>
      </c>
      <c r="DE261" s="80" t="str">
        <f>IF(AND($F261&lt;&gt;"", $F261&gt;=DE$5-4, $F261&lt;=DE$5, COUNTIF($M261:DD261,"u")=0), "u", "")</f>
        <v/>
      </c>
      <c r="DF261" s="80" t="str">
        <f>IF(AND($F261&lt;&gt;"", $F261&gt;=DF$5-4, $F261&lt;=DF$5, COUNTIF($M261:DE261,"u")=0), "u", "")</f>
        <v/>
      </c>
      <c r="DG261" s="80" t="str">
        <f>IF(AND($F261&lt;&gt;"", $F261&gt;=DG$5-4, $F261&lt;=DG$5, COUNTIF($M261:DF261,"u")=0), "u", "")</f>
        <v/>
      </c>
      <c r="DH261" s="80" t="str">
        <f>IF(AND($F261&lt;&gt;"", $F261&gt;=DH$5-4, $F261&lt;=DH$5, COUNTIF($M261:DG261,"u")=0), "u", "")</f>
        <v/>
      </c>
      <c r="DI261" s="80" t="str">
        <f>IF(AND($F261&lt;&gt;"", $F261&gt;=DI$5-4, $F261&lt;=DI$5, COUNTIF($M261:DH261,"u")=0), "u", "")</f>
        <v/>
      </c>
      <c r="DJ261" s="80" t="str">
        <f>IF(AND($F261&lt;&gt;"", $F261&gt;=DJ$5-4, $F261&lt;=DJ$5, COUNTIF($M261:DI261,"u")=0), "u", "")</f>
        <v/>
      </c>
      <c r="DK261" s="80" t="str">
        <f>IF(AND($F261&lt;&gt;"", $F261&gt;=DK$5-4, $F261&lt;=DK$5, COUNTIF($M261:DJ261,"u")=0), "u", "")</f>
        <v/>
      </c>
      <c r="DL261" s="80" t="str">
        <f>IF(AND($F261&lt;&gt;"", $F261&gt;=DL$5-4, $F261&lt;=DL$5, COUNTIF($M261:DK261,"u")=0), "u", "")</f>
        <v/>
      </c>
    </row>
    <row r="262" spans="1:116" ht="25.05" customHeight="1" x14ac:dyDescent="0.3">
      <c r="A262" s="39"/>
      <c r="B262" s="75">
        <v>257</v>
      </c>
      <c r="C262" s="97"/>
      <c r="D262" s="92"/>
      <c r="E262" s="53"/>
      <c r="F262" s="53"/>
      <c r="G262" s="83" t="str">
        <f t="shared" si="56"/>
        <v/>
      </c>
      <c r="H262" s="83" t="str">
        <f t="shared" si="56"/>
        <v/>
      </c>
      <c r="I262" s="77" t="str">
        <f t="shared" ref="I262:I305" si="57">IF(F262="","",NETWORKDAYS(E262,F262))</f>
        <v/>
      </c>
      <c r="J262" s="78"/>
      <c r="K262" s="86"/>
      <c r="L262" s="56"/>
      <c r="M262" s="80" t="str">
        <f t="shared" si="55"/>
        <v/>
      </c>
      <c r="N262" s="80" t="str">
        <f>IF(AND($F262&lt;&gt;"", $F262&gt;=N$5-4, $F262&lt;=N$5, COUNTIF($M262:M262,"u")=0), "u", "")</f>
        <v/>
      </c>
      <c r="O262" s="80" t="str">
        <f>IF(AND($F262&lt;&gt;"", $F262&gt;=O$5-4, $F262&lt;=O$5, COUNTIF($M262:N262,"u")=0), "u", "")</f>
        <v/>
      </c>
      <c r="P262" s="80" t="str">
        <f>IF(AND($F262&lt;&gt;"", $F262&gt;=P$5-4, $F262&lt;=P$5, COUNTIF($M262:O262,"u")=0), "u", "")</f>
        <v/>
      </c>
      <c r="Q262" s="80" t="str">
        <f>IF(AND($F262&lt;&gt;"", $F262&gt;=Q$5-4, $F262&lt;=Q$5, COUNTIF($M262:P262,"u")=0), "u", "")</f>
        <v/>
      </c>
      <c r="R262" s="80" t="str">
        <f>IF(AND($F262&lt;&gt;"", $F262&gt;=R$5-4, $F262&lt;=R$5, COUNTIF($M262:Q262,"u")=0), "u", "")</f>
        <v/>
      </c>
      <c r="S262" s="80" t="str">
        <f>IF(AND($F262&lt;&gt;"", $F262&gt;=S$5-4, $F262&lt;=S$5, COUNTIF($M262:R262,"u")=0), "u", "")</f>
        <v/>
      </c>
      <c r="T262" s="80" t="str">
        <f>IF(AND($F262&lt;&gt;"", $F262&gt;=T$5-4, $F262&lt;=T$5, COUNTIF($M262:S262,"u")=0), "u", "")</f>
        <v/>
      </c>
      <c r="U262" s="80" t="str">
        <f>IF(AND($F262&lt;&gt;"", $F262&gt;=U$5-4, $F262&lt;=U$5, COUNTIF($M262:T262,"u")=0), "u", "")</f>
        <v/>
      </c>
      <c r="V262" s="80" t="str">
        <f>IF(AND($F262&lt;&gt;"", $F262&gt;=V$5-4, $F262&lt;=V$5, COUNTIF($M262:U262,"u")=0), "u", "")</f>
        <v/>
      </c>
      <c r="W262" s="80" t="str">
        <f>IF(AND($F262&lt;&gt;"", $F262&gt;=W$5-4, $F262&lt;=W$5, COUNTIF($M262:V262,"u")=0), "u", "")</f>
        <v/>
      </c>
      <c r="X262" s="80" t="str">
        <f>IF(AND($F262&lt;&gt;"", $F262&gt;=X$5-4, $F262&lt;=X$5, COUNTIF($M262:W262,"u")=0), "u", "")</f>
        <v/>
      </c>
      <c r="Y262" s="80" t="str">
        <f>IF(AND($F262&lt;&gt;"", $F262&gt;=Y$5-4, $F262&lt;=Y$5, COUNTIF($M262:X262,"u")=0), "u", "")</f>
        <v/>
      </c>
      <c r="Z262" s="80" t="str">
        <f>IF(AND($F262&lt;&gt;"", $F262&gt;=Z$5-4, $F262&lt;=Z$5, COUNTIF($M262:Y262,"u")=0), "u", "")</f>
        <v/>
      </c>
      <c r="AA262" s="80" t="str">
        <f>IF(AND($F262&lt;&gt;"", $F262&gt;=AA$5-4, $F262&lt;=AA$5, COUNTIF($M262:Z262,"u")=0), "u", "")</f>
        <v/>
      </c>
      <c r="AB262" s="80" t="str">
        <f>IF(AND($F262&lt;&gt;"", $F262&gt;=AB$5-4, $F262&lt;=AB$5, COUNTIF($M262:AA262,"u")=0), "u", "")</f>
        <v/>
      </c>
      <c r="AC262" s="80" t="str">
        <f>IF(AND($F262&lt;&gt;"", $F262&gt;=AC$5-4, $F262&lt;=AC$5, COUNTIF($M262:AB262,"u")=0), "u", "")</f>
        <v/>
      </c>
      <c r="AD262" s="80" t="str">
        <f>IF(AND($F262&lt;&gt;"", $F262&gt;=AD$5-4, $F262&lt;=AD$5, COUNTIF($M262:AC262,"u")=0), "u", "")</f>
        <v/>
      </c>
      <c r="AE262" s="80" t="str">
        <f>IF(AND($F262&lt;&gt;"", $F262&gt;=AE$5-4, $F262&lt;=AE$5, COUNTIF($M262:AD262,"u")=0), "u", "")</f>
        <v/>
      </c>
      <c r="AF262" s="80" t="str">
        <f>IF(AND($F262&lt;&gt;"", $F262&gt;=AF$5-4, $F262&lt;=AF$5, COUNTIF($M262:AE262,"u")=0), "u", "")</f>
        <v/>
      </c>
      <c r="AG262" s="80" t="str">
        <f>IF(AND($F262&lt;&gt;"", $F262&gt;=AG$5-4, $F262&lt;=AG$5, COUNTIF($M262:AF262,"u")=0), "u", "")</f>
        <v/>
      </c>
      <c r="AH262" s="80" t="str">
        <f>IF(AND($F262&lt;&gt;"", $F262&gt;=AH$5-4, $F262&lt;=AH$5, COUNTIF($M262:AG262,"u")=0), "u", "")</f>
        <v/>
      </c>
      <c r="AI262" s="80" t="str">
        <f>IF(AND($F262&lt;&gt;"", $F262&gt;=AI$5-4, $F262&lt;=AI$5, COUNTIF($M262:AH262,"u")=0), "u", "")</f>
        <v/>
      </c>
      <c r="AJ262" s="80" t="str">
        <f>IF(AND($F262&lt;&gt;"", $F262&gt;=AJ$5-4, $F262&lt;=AJ$5, COUNTIF($M262:AI262,"u")=0), "u", "")</f>
        <v/>
      </c>
      <c r="AK262" s="80" t="str">
        <f>IF(AND($F262&lt;&gt;"", $F262&gt;=AK$5-4, $F262&lt;=AK$5, COUNTIF($M262:AJ262,"u")=0), "u", "")</f>
        <v/>
      </c>
      <c r="AL262" s="80" t="str">
        <f>IF(AND($F262&lt;&gt;"", $F262&gt;=AL$5-4, $F262&lt;=AL$5, COUNTIF($M262:AK262,"u")=0), "u", "")</f>
        <v/>
      </c>
      <c r="AM262" s="80" t="str">
        <f>IF(AND($F262&lt;&gt;"", $F262&gt;=AM$5-4, $F262&lt;=AM$5, COUNTIF($M262:AL262,"u")=0), "u", "")</f>
        <v/>
      </c>
      <c r="AN262" s="80" t="str">
        <f>IF(AND($F262&lt;&gt;"", $F262&gt;=AN$5-4, $F262&lt;=AN$5, COUNTIF($M262:AM262,"u")=0), "u", "")</f>
        <v/>
      </c>
      <c r="AO262" s="80" t="str">
        <f>IF(AND($F262&lt;&gt;"", $F262&gt;=AO$5-4, $F262&lt;=AO$5, COUNTIF($M262:AN262,"u")=0), "u", "")</f>
        <v/>
      </c>
      <c r="AP262" s="80" t="str">
        <f>IF(AND($F262&lt;&gt;"", $F262&gt;=AP$5-4, $F262&lt;=AP$5, COUNTIF($M262:AO262,"u")=0), "u", "")</f>
        <v/>
      </c>
      <c r="AQ262" s="80" t="str">
        <f>IF(AND($F262&lt;&gt;"", $F262&gt;=AQ$5-4, $F262&lt;=AQ$5, COUNTIF($M262:AP262,"u")=0), "u", "")</f>
        <v/>
      </c>
      <c r="AR262" s="80" t="str">
        <f>IF(AND($F262&lt;&gt;"", $F262&gt;=AR$5-4, $F262&lt;=AR$5, COUNTIF($M262:AQ262,"u")=0), "u", "")</f>
        <v/>
      </c>
      <c r="AS262" s="80" t="str">
        <f>IF(AND($F262&lt;&gt;"", $F262&gt;=AS$5-4, $F262&lt;=AS$5, COUNTIF($M262:AR262,"u")=0), "u", "")</f>
        <v/>
      </c>
      <c r="AT262" s="80" t="str">
        <f>IF(AND($F262&lt;&gt;"", $F262&gt;=AT$5-4, $F262&lt;=AT$5, COUNTIF($M262:AS262,"u")=0), "u", "")</f>
        <v/>
      </c>
      <c r="AU262" s="80" t="str">
        <f>IF(AND($F262&lt;&gt;"", $F262&gt;=AU$5-4, $F262&lt;=AU$5, COUNTIF($M262:AT262,"u")=0), "u", "")</f>
        <v/>
      </c>
      <c r="AV262" s="80" t="str">
        <f>IF(AND($F262&lt;&gt;"", $F262&gt;=AV$5-4, $F262&lt;=AV$5, COUNTIF($M262:AU262,"u")=0), "u", "")</f>
        <v/>
      </c>
      <c r="AW262" s="80" t="str">
        <f>IF(AND($F262&lt;&gt;"", $F262&gt;=AW$5-4, $F262&lt;=AW$5, COUNTIF($M262:AV262,"u")=0), "u", "")</f>
        <v/>
      </c>
      <c r="AX262" s="80" t="str">
        <f>IF(AND($F262&lt;&gt;"", $F262&gt;=AX$5-4, $F262&lt;=AX$5, COUNTIF($M262:AW262,"u")=0), "u", "")</f>
        <v/>
      </c>
      <c r="AY262" s="80" t="str">
        <f>IF(AND($F262&lt;&gt;"", $F262&gt;=AY$5-4, $F262&lt;=AY$5, COUNTIF($M262:AX262,"u")=0), "u", "")</f>
        <v/>
      </c>
      <c r="AZ262" s="80" t="str">
        <f>IF(AND($F262&lt;&gt;"", $F262&gt;=AZ$5-4, $F262&lt;=AZ$5, COUNTIF($M262:AY262,"u")=0), "u", "")</f>
        <v/>
      </c>
      <c r="BA262" s="80" t="str">
        <f>IF(AND($F262&lt;&gt;"", $F262&gt;=BA$5-4, $F262&lt;=BA$5, COUNTIF($M262:AZ262,"u")=0), "u", "")</f>
        <v/>
      </c>
      <c r="BB262" s="80" t="str">
        <f>IF(AND($F262&lt;&gt;"", $F262&gt;=BB$5-4, $F262&lt;=BB$5, COUNTIF($M262:BA262,"u")=0), "u", "")</f>
        <v/>
      </c>
      <c r="BC262" s="80" t="str">
        <f>IF(AND($F262&lt;&gt;"", $F262&gt;=BC$5-4, $F262&lt;=BC$5, COUNTIF($M262:BB262,"u")=0), "u", "")</f>
        <v/>
      </c>
      <c r="BD262" s="80" t="str">
        <f>IF(AND($F262&lt;&gt;"", $F262&gt;=BD$5-4, $F262&lt;=BD$5, COUNTIF($M262:BC262,"u")=0), "u", "")</f>
        <v/>
      </c>
      <c r="BE262" s="80" t="str">
        <f>IF(AND($F262&lt;&gt;"", $F262&gt;=BE$5-4, $F262&lt;=BE$5, COUNTIF($M262:BD262,"u")=0), "u", "")</f>
        <v/>
      </c>
      <c r="BF262" s="80" t="str">
        <f>IF(AND($F262&lt;&gt;"", $F262&gt;=BF$5-4, $F262&lt;=BF$5, COUNTIF($M262:BE262,"u")=0), "u", "")</f>
        <v/>
      </c>
      <c r="BG262" s="80" t="str">
        <f>IF(AND($F262&lt;&gt;"", $F262&gt;=BG$5-4, $F262&lt;=BG$5, COUNTIF($M262:BF262,"u")=0), "u", "")</f>
        <v/>
      </c>
      <c r="BH262" s="80" t="str">
        <f>IF(AND($F262&lt;&gt;"", $F262&gt;=BH$5-4, $F262&lt;=BH$5, COUNTIF($M262:BG262,"u")=0), "u", "")</f>
        <v/>
      </c>
      <c r="BI262" s="80" t="str">
        <f>IF(AND($F262&lt;&gt;"", $F262&gt;=BI$5-4, $F262&lt;=BI$5, COUNTIF($M262:BH262,"u")=0), "u", "")</f>
        <v/>
      </c>
      <c r="BJ262" s="80" t="str">
        <f>IF(AND($F262&lt;&gt;"", $F262&gt;=BJ$5-4, $F262&lt;=BJ$5, COUNTIF($M262:BI262,"u")=0), "u", "")</f>
        <v/>
      </c>
      <c r="BK262" s="80" t="str">
        <f>IF(AND($F262&lt;&gt;"", $F262&gt;=BK$5-4, $F262&lt;=BK$5, COUNTIF($M262:BJ262,"u")=0), "u", "")</f>
        <v/>
      </c>
      <c r="BL262" s="80" t="str">
        <f>IF(AND($F262&lt;&gt;"", $F262&gt;=BL$5-4, $F262&lt;=BL$5, COUNTIF($M262:BK262,"u")=0), "u", "")</f>
        <v/>
      </c>
      <c r="BM262" s="80" t="str">
        <f>IF(AND($F262&lt;&gt;"", $F262&gt;=BM$5-4, $F262&lt;=BM$5, COUNTIF($M262:BL262,"u")=0), "u", "")</f>
        <v/>
      </c>
      <c r="BN262" s="80" t="str">
        <f>IF(AND($F262&lt;&gt;"", $F262&gt;=BN$5-4, $F262&lt;=BN$5, COUNTIF($M262:BM262,"u")=0), "u", "")</f>
        <v/>
      </c>
      <c r="BO262" s="80" t="str">
        <f>IF(AND($F262&lt;&gt;"", $F262&gt;=BO$5-4, $F262&lt;=BO$5, COUNTIF($M262:BN262,"u")=0), "u", "")</f>
        <v/>
      </c>
      <c r="BP262" s="80" t="str">
        <f>IF(AND($F262&lt;&gt;"", $F262&gt;=BP$5-4, $F262&lt;=BP$5, COUNTIF($M262:BO262,"u")=0), "u", "")</f>
        <v/>
      </c>
      <c r="BQ262" s="80" t="str">
        <f>IF(AND($F262&lt;&gt;"", $F262&gt;=BQ$5-4, $F262&lt;=BQ$5, COUNTIF($M262:BP262,"u")=0), "u", "")</f>
        <v/>
      </c>
      <c r="BR262" s="80" t="str">
        <f>IF(AND($F262&lt;&gt;"", $F262&gt;=BR$5-4, $F262&lt;=BR$5, COUNTIF($M262:BQ262,"u")=0), "u", "")</f>
        <v/>
      </c>
      <c r="BS262" s="80" t="str">
        <f>IF(AND($F262&lt;&gt;"", $F262&gt;=BS$5-4, $F262&lt;=BS$5, COUNTIF($M262:BR262,"u")=0), "u", "")</f>
        <v/>
      </c>
      <c r="BT262" s="80" t="str">
        <f>IF(AND($F262&lt;&gt;"", $F262&gt;=BT$5-4, $F262&lt;=BT$5, COUNTIF($M262:BS262,"u")=0), "u", "")</f>
        <v/>
      </c>
      <c r="BU262" s="80" t="str">
        <f>IF(AND($F262&lt;&gt;"", $F262&gt;=BU$5-4, $F262&lt;=BU$5, COUNTIF($M262:BT262,"u")=0), "u", "")</f>
        <v/>
      </c>
      <c r="BV262" s="80" t="str">
        <f>IF(AND($F262&lt;&gt;"", $F262&gt;=BV$5-4, $F262&lt;=BV$5, COUNTIF($M262:BU262,"u")=0), "u", "")</f>
        <v/>
      </c>
      <c r="BW262" s="80" t="str">
        <f>IF(AND($F262&lt;&gt;"", $F262&gt;=BW$5-4, $F262&lt;=BW$5, COUNTIF($M262:BV262,"u")=0), "u", "")</f>
        <v/>
      </c>
      <c r="BX262" s="80" t="str">
        <f>IF(AND($F262&lt;&gt;"", $F262&gt;=BX$5-4, $F262&lt;=BX$5, COUNTIF($M262:BW262,"u")=0), "u", "")</f>
        <v/>
      </c>
      <c r="BY262" s="80" t="str">
        <f>IF(AND($F262&lt;&gt;"", $F262&gt;=BY$5-4, $F262&lt;=BY$5, COUNTIF($M262:BX262,"u")=0), "u", "")</f>
        <v/>
      </c>
      <c r="BZ262" s="80" t="str">
        <f>IF(AND($F262&lt;&gt;"", $F262&gt;=BZ$5-4, $F262&lt;=BZ$5, COUNTIF($M262:BY262,"u")=0), "u", "")</f>
        <v/>
      </c>
      <c r="CA262" s="80" t="str">
        <f>IF(AND($F262&lt;&gt;"", $F262&gt;=CA$5-4, $F262&lt;=CA$5, COUNTIF($M262:BZ262,"u")=0), "u", "")</f>
        <v/>
      </c>
      <c r="CB262" s="80" t="str">
        <f>IF(AND($F262&lt;&gt;"", $F262&gt;=CB$5-4, $F262&lt;=CB$5, COUNTIF($M262:CA262,"u")=0), "u", "")</f>
        <v/>
      </c>
      <c r="CC262" s="80" t="str">
        <f>IF(AND($F262&lt;&gt;"", $F262&gt;=CC$5-4, $F262&lt;=CC$5, COUNTIF($M262:CB262,"u")=0), "u", "")</f>
        <v/>
      </c>
      <c r="CD262" s="80" t="str">
        <f>IF(AND($F262&lt;&gt;"", $F262&gt;=CD$5-4, $F262&lt;=CD$5, COUNTIF($M262:CC262,"u")=0), "u", "")</f>
        <v/>
      </c>
      <c r="CE262" s="80" t="str">
        <f>IF(AND($F262&lt;&gt;"", $F262&gt;=CE$5-4, $F262&lt;=CE$5, COUNTIF($M262:CD262,"u")=0), "u", "")</f>
        <v/>
      </c>
      <c r="CF262" s="80" t="str">
        <f>IF(AND($F262&lt;&gt;"", $F262&gt;=CF$5-4, $F262&lt;=CF$5, COUNTIF($M262:CE262,"u")=0), "u", "")</f>
        <v/>
      </c>
      <c r="CG262" s="80" t="str">
        <f>IF(AND($F262&lt;&gt;"", $F262&gt;=CG$5-4, $F262&lt;=CG$5, COUNTIF($M262:CF262,"u")=0), "u", "")</f>
        <v/>
      </c>
      <c r="CH262" s="80" t="str">
        <f>IF(AND($F262&lt;&gt;"", $F262&gt;=CH$5-4, $F262&lt;=CH$5, COUNTIF($M262:CG262,"u")=0), "u", "")</f>
        <v/>
      </c>
      <c r="CI262" s="80" t="str">
        <f>IF(AND($F262&lt;&gt;"", $F262&gt;=CI$5-4, $F262&lt;=CI$5, COUNTIF($M262:CH262,"u")=0), "u", "")</f>
        <v/>
      </c>
      <c r="CJ262" s="80" t="str">
        <f>IF(AND($F262&lt;&gt;"", $F262&gt;=CJ$5-4, $F262&lt;=CJ$5, COUNTIF($M262:CI262,"u")=0), "u", "")</f>
        <v/>
      </c>
      <c r="CK262" s="80" t="str">
        <f>IF(AND($F262&lt;&gt;"", $F262&gt;=CK$5-4, $F262&lt;=CK$5, COUNTIF($M262:CJ262,"u")=0), "u", "")</f>
        <v/>
      </c>
      <c r="CL262" s="80" t="str">
        <f>IF(AND($F262&lt;&gt;"", $F262&gt;=CL$5-4, $F262&lt;=CL$5, COUNTIF($M262:CK262,"u")=0), "u", "")</f>
        <v/>
      </c>
      <c r="CM262" s="80" t="str">
        <f>IF(AND($F262&lt;&gt;"", $F262&gt;=CM$5-4, $F262&lt;=CM$5, COUNTIF($M262:CL262,"u")=0), "u", "")</f>
        <v/>
      </c>
      <c r="CN262" s="80" t="str">
        <f>IF(AND($F262&lt;&gt;"", $F262&gt;=CN$5-4, $F262&lt;=CN$5, COUNTIF($M262:CM262,"u")=0), "u", "")</f>
        <v/>
      </c>
      <c r="CO262" s="80" t="str">
        <f>IF(AND($F262&lt;&gt;"", $F262&gt;=CO$5-4, $F262&lt;=CO$5, COUNTIF($M262:CN262,"u")=0), "u", "")</f>
        <v/>
      </c>
      <c r="CP262" s="80" t="str">
        <f>IF(AND($F262&lt;&gt;"", $F262&gt;=CP$5-4, $F262&lt;=CP$5, COUNTIF($M262:CO262,"u")=0), "u", "")</f>
        <v/>
      </c>
      <c r="CQ262" s="80" t="str">
        <f>IF(AND($F262&lt;&gt;"", $F262&gt;=CQ$5-4, $F262&lt;=CQ$5, COUNTIF($M262:CP262,"u")=0), "u", "")</f>
        <v/>
      </c>
      <c r="CR262" s="80" t="str">
        <f>IF(AND($F262&lt;&gt;"", $F262&gt;=CR$5-4, $F262&lt;=CR$5, COUNTIF($M262:CQ262,"u")=0), "u", "")</f>
        <v/>
      </c>
      <c r="CS262" s="80" t="str">
        <f>IF(AND($F262&lt;&gt;"", $F262&gt;=CS$5-4, $F262&lt;=CS$5, COUNTIF($M262:CR262,"u")=0), "u", "")</f>
        <v/>
      </c>
      <c r="CT262" s="80" t="str">
        <f>IF(AND($F262&lt;&gt;"", $F262&gt;=CT$5-4, $F262&lt;=CT$5, COUNTIF($M262:CS262,"u")=0), "u", "")</f>
        <v/>
      </c>
      <c r="CU262" s="80" t="str">
        <f>IF(AND($F262&lt;&gt;"", $F262&gt;=CU$5-4, $F262&lt;=CU$5, COUNTIF($M262:CT262,"u")=0), "u", "")</f>
        <v/>
      </c>
      <c r="CV262" s="80" t="str">
        <f>IF(AND($F262&lt;&gt;"", $F262&gt;=CV$5-4, $F262&lt;=CV$5, COUNTIF($M262:CU262,"u")=0), "u", "")</f>
        <v/>
      </c>
      <c r="CW262" s="80" t="str">
        <f>IF(AND($F262&lt;&gt;"", $F262&gt;=CW$5-4, $F262&lt;=CW$5, COUNTIF($M262:CV262,"u")=0), "u", "")</f>
        <v/>
      </c>
      <c r="CX262" s="80" t="str">
        <f>IF(AND($F262&lt;&gt;"", $F262&gt;=CX$5-4, $F262&lt;=CX$5, COUNTIF($M262:CW262,"u")=0), "u", "")</f>
        <v/>
      </c>
      <c r="CY262" s="80" t="str">
        <f>IF(AND($F262&lt;&gt;"", $F262&gt;=CY$5-4, $F262&lt;=CY$5, COUNTIF($M262:CX262,"u")=0), "u", "")</f>
        <v/>
      </c>
      <c r="CZ262" s="80" t="str">
        <f>IF(AND($F262&lt;&gt;"", $F262&gt;=CZ$5-4, $F262&lt;=CZ$5, COUNTIF($M262:CY262,"u")=0), "u", "")</f>
        <v/>
      </c>
      <c r="DA262" s="80" t="str">
        <f>IF(AND($F262&lt;&gt;"", $F262&gt;=DA$5-4, $F262&lt;=DA$5, COUNTIF($M262:CZ262,"u")=0), "u", "")</f>
        <v/>
      </c>
      <c r="DB262" s="80" t="str">
        <f>IF(AND($F262&lt;&gt;"", $F262&gt;=DB$5-4, $F262&lt;=DB$5, COUNTIF($M262:DA262,"u")=0), "u", "")</f>
        <v/>
      </c>
      <c r="DC262" s="80" t="str">
        <f>IF(AND($F262&lt;&gt;"", $F262&gt;=DC$5-4, $F262&lt;=DC$5, COUNTIF($M262:DB262,"u")=0), "u", "")</f>
        <v/>
      </c>
      <c r="DD262" s="80" t="str">
        <f>IF(AND($F262&lt;&gt;"", $F262&gt;=DD$5-4, $F262&lt;=DD$5, COUNTIF($M262:DC262,"u")=0), "u", "")</f>
        <v/>
      </c>
      <c r="DE262" s="80" t="str">
        <f>IF(AND($F262&lt;&gt;"", $F262&gt;=DE$5-4, $F262&lt;=DE$5, COUNTIF($M262:DD262,"u")=0), "u", "")</f>
        <v/>
      </c>
      <c r="DF262" s="80" t="str">
        <f>IF(AND($F262&lt;&gt;"", $F262&gt;=DF$5-4, $F262&lt;=DF$5, COUNTIF($M262:DE262,"u")=0), "u", "")</f>
        <v/>
      </c>
      <c r="DG262" s="80" t="str">
        <f>IF(AND($F262&lt;&gt;"", $F262&gt;=DG$5-4, $F262&lt;=DG$5, COUNTIF($M262:DF262,"u")=0), "u", "")</f>
        <v/>
      </c>
      <c r="DH262" s="80" t="str">
        <f>IF(AND($F262&lt;&gt;"", $F262&gt;=DH$5-4, $F262&lt;=DH$5, COUNTIF($M262:DG262,"u")=0), "u", "")</f>
        <v/>
      </c>
      <c r="DI262" s="80" t="str">
        <f>IF(AND($F262&lt;&gt;"", $F262&gt;=DI$5-4, $F262&lt;=DI$5, COUNTIF($M262:DH262,"u")=0), "u", "")</f>
        <v/>
      </c>
      <c r="DJ262" s="80" t="str">
        <f>IF(AND($F262&lt;&gt;"", $F262&gt;=DJ$5-4, $F262&lt;=DJ$5, COUNTIF($M262:DI262,"u")=0), "u", "")</f>
        <v/>
      </c>
      <c r="DK262" s="80" t="str">
        <f>IF(AND($F262&lt;&gt;"", $F262&gt;=DK$5-4, $F262&lt;=DK$5, COUNTIF($M262:DJ262,"u")=0), "u", "")</f>
        <v/>
      </c>
      <c r="DL262" s="80" t="str">
        <f>IF(AND($F262&lt;&gt;"", $F262&gt;=DL$5-4, $F262&lt;=DL$5, COUNTIF($M262:DK262,"u")=0), "u", "")</f>
        <v/>
      </c>
    </row>
    <row r="263" spans="1:116" ht="25.05" customHeight="1" x14ac:dyDescent="0.3">
      <c r="A263" s="39"/>
      <c r="B263" s="75">
        <v>258</v>
      </c>
      <c r="C263" s="97"/>
      <c r="D263" s="92"/>
      <c r="E263" s="53"/>
      <c r="F263" s="53"/>
      <c r="G263" s="83" t="str">
        <f t="shared" si="56"/>
        <v/>
      </c>
      <c r="H263" s="83" t="str">
        <f t="shared" si="56"/>
        <v/>
      </c>
      <c r="I263" s="77" t="str">
        <f t="shared" si="57"/>
        <v/>
      </c>
      <c r="J263" s="78"/>
      <c r="K263" s="86"/>
      <c r="L263" s="56"/>
      <c r="M263" s="80" t="str">
        <f t="shared" ref="M263:M305" si="58">IF(AND($F263&lt;&gt;"", $F263&gt;=M$5-4, $F263&lt;=M$5), "u", "")</f>
        <v/>
      </c>
      <c r="N263" s="80" t="str">
        <f>IF(AND($F263&lt;&gt;"", $F263&gt;=N$5-4, $F263&lt;=N$5, COUNTIF($M263:M263,"u")=0), "u", "")</f>
        <v/>
      </c>
      <c r="O263" s="80" t="str">
        <f>IF(AND($F263&lt;&gt;"", $F263&gt;=O$5-4, $F263&lt;=O$5, COUNTIF($M263:N263,"u")=0), "u", "")</f>
        <v/>
      </c>
      <c r="P263" s="80" t="str">
        <f>IF(AND($F263&lt;&gt;"", $F263&gt;=P$5-4, $F263&lt;=P$5, COUNTIF($M263:O263,"u")=0), "u", "")</f>
        <v/>
      </c>
      <c r="Q263" s="80" t="str">
        <f>IF(AND($F263&lt;&gt;"", $F263&gt;=Q$5-4, $F263&lt;=Q$5, COUNTIF($M263:P263,"u")=0), "u", "")</f>
        <v/>
      </c>
      <c r="R263" s="80" t="str">
        <f>IF(AND($F263&lt;&gt;"", $F263&gt;=R$5-4, $F263&lt;=R$5, COUNTIF($M263:Q263,"u")=0), "u", "")</f>
        <v/>
      </c>
      <c r="S263" s="80" t="str">
        <f>IF(AND($F263&lt;&gt;"", $F263&gt;=S$5-4, $F263&lt;=S$5, COUNTIF($M263:R263,"u")=0), "u", "")</f>
        <v/>
      </c>
      <c r="T263" s="80" t="str">
        <f>IF(AND($F263&lt;&gt;"", $F263&gt;=T$5-4, $F263&lt;=T$5, COUNTIF($M263:S263,"u")=0), "u", "")</f>
        <v/>
      </c>
      <c r="U263" s="80" t="str">
        <f>IF(AND($F263&lt;&gt;"", $F263&gt;=U$5-4, $F263&lt;=U$5, COUNTIF($M263:T263,"u")=0), "u", "")</f>
        <v/>
      </c>
      <c r="V263" s="80" t="str">
        <f>IF(AND($F263&lt;&gt;"", $F263&gt;=V$5-4, $F263&lt;=V$5, COUNTIF($M263:U263,"u")=0), "u", "")</f>
        <v/>
      </c>
      <c r="W263" s="80" t="str">
        <f>IF(AND($F263&lt;&gt;"", $F263&gt;=W$5-4, $F263&lt;=W$5, COUNTIF($M263:V263,"u")=0), "u", "")</f>
        <v/>
      </c>
      <c r="X263" s="80" t="str">
        <f>IF(AND($F263&lt;&gt;"", $F263&gt;=X$5-4, $F263&lt;=X$5, COUNTIF($M263:W263,"u")=0), "u", "")</f>
        <v/>
      </c>
      <c r="Y263" s="80" t="str">
        <f>IF(AND($F263&lt;&gt;"", $F263&gt;=Y$5-4, $F263&lt;=Y$5, COUNTIF($M263:X263,"u")=0), "u", "")</f>
        <v/>
      </c>
      <c r="Z263" s="80" t="str">
        <f>IF(AND($F263&lt;&gt;"", $F263&gt;=Z$5-4, $F263&lt;=Z$5, COUNTIF($M263:Y263,"u")=0), "u", "")</f>
        <v/>
      </c>
      <c r="AA263" s="80" t="str">
        <f>IF(AND($F263&lt;&gt;"", $F263&gt;=AA$5-4, $F263&lt;=AA$5, COUNTIF($M263:Z263,"u")=0), "u", "")</f>
        <v/>
      </c>
      <c r="AB263" s="80" t="str">
        <f>IF(AND($F263&lt;&gt;"", $F263&gt;=AB$5-4, $F263&lt;=AB$5, COUNTIF($M263:AA263,"u")=0), "u", "")</f>
        <v/>
      </c>
      <c r="AC263" s="80" t="str">
        <f>IF(AND($F263&lt;&gt;"", $F263&gt;=AC$5-4, $F263&lt;=AC$5, COUNTIF($M263:AB263,"u")=0), "u", "")</f>
        <v/>
      </c>
      <c r="AD263" s="80" t="str">
        <f>IF(AND($F263&lt;&gt;"", $F263&gt;=AD$5-4, $F263&lt;=AD$5, COUNTIF($M263:AC263,"u")=0), "u", "")</f>
        <v/>
      </c>
      <c r="AE263" s="80" t="str">
        <f>IF(AND($F263&lt;&gt;"", $F263&gt;=AE$5-4, $F263&lt;=AE$5, COUNTIF($M263:AD263,"u")=0), "u", "")</f>
        <v/>
      </c>
      <c r="AF263" s="80" t="str">
        <f>IF(AND($F263&lt;&gt;"", $F263&gt;=AF$5-4, $F263&lt;=AF$5, COUNTIF($M263:AE263,"u")=0), "u", "")</f>
        <v/>
      </c>
      <c r="AG263" s="80" t="str">
        <f>IF(AND($F263&lt;&gt;"", $F263&gt;=AG$5-4, $F263&lt;=AG$5, COUNTIF($M263:AF263,"u")=0), "u", "")</f>
        <v/>
      </c>
      <c r="AH263" s="80" t="str">
        <f>IF(AND($F263&lt;&gt;"", $F263&gt;=AH$5-4, $F263&lt;=AH$5, COUNTIF($M263:AG263,"u")=0), "u", "")</f>
        <v/>
      </c>
      <c r="AI263" s="80" t="str">
        <f>IF(AND($F263&lt;&gt;"", $F263&gt;=AI$5-4, $F263&lt;=AI$5, COUNTIF($M263:AH263,"u")=0), "u", "")</f>
        <v/>
      </c>
      <c r="AJ263" s="80" t="str">
        <f>IF(AND($F263&lt;&gt;"", $F263&gt;=AJ$5-4, $F263&lt;=AJ$5, COUNTIF($M263:AI263,"u")=0), "u", "")</f>
        <v/>
      </c>
      <c r="AK263" s="80" t="str">
        <f>IF(AND($F263&lt;&gt;"", $F263&gt;=AK$5-4, $F263&lt;=AK$5, COUNTIF($M263:AJ263,"u")=0), "u", "")</f>
        <v/>
      </c>
      <c r="AL263" s="80" t="str">
        <f>IF(AND($F263&lt;&gt;"", $F263&gt;=AL$5-4, $F263&lt;=AL$5, COUNTIF($M263:AK263,"u")=0), "u", "")</f>
        <v/>
      </c>
      <c r="AM263" s="80" t="str">
        <f>IF(AND($F263&lt;&gt;"", $F263&gt;=AM$5-4, $F263&lt;=AM$5, COUNTIF($M263:AL263,"u")=0), "u", "")</f>
        <v/>
      </c>
      <c r="AN263" s="80" t="str">
        <f>IF(AND($F263&lt;&gt;"", $F263&gt;=AN$5-4, $F263&lt;=AN$5, COUNTIF($M263:AM263,"u")=0), "u", "")</f>
        <v/>
      </c>
      <c r="AO263" s="80" t="str">
        <f>IF(AND($F263&lt;&gt;"", $F263&gt;=AO$5-4, $F263&lt;=AO$5, COUNTIF($M263:AN263,"u")=0), "u", "")</f>
        <v/>
      </c>
      <c r="AP263" s="80" t="str">
        <f>IF(AND($F263&lt;&gt;"", $F263&gt;=AP$5-4, $F263&lt;=AP$5, COUNTIF($M263:AO263,"u")=0), "u", "")</f>
        <v/>
      </c>
      <c r="AQ263" s="80" t="str">
        <f>IF(AND($F263&lt;&gt;"", $F263&gt;=AQ$5-4, $F263&lt;=AQ$5, COUNTIF($M263:AP263,"u")=0), "u", "")</f>
        <v/>
      </c>
      <c r="AR263" s="80" t="str">
        <f>IF(AND($F263&lt;&gt;"", $F263&gt;=AR$5-4, $F263&lt;=AR$5, COUNTIF($M263:AQ263,"u")=0), "u", "")</f>
        <v/>
      </c>
      <c r="AS263" s="80" t="str">
        <f>IF(AND($F263&lt;&gt;"", $F263&gt;=AS$5-4, $F263&lt;=AS$5, COUNTIF($M263:AR263,"u")=0), "u", "")</f>
        <v/>
      </c>
      <c r="AT263" s="80" t="str">
        <f>IF(AND($F263&lt;&gt;"", $F263&gt;=AT$5-4, $F263&lt;=AT$5, COUNTIF($M263:AS263,"u")=0), "u", "")</f>
        <v/>
      </c>
      <c r="AU263" s="80" t="str">
        <f>IF(AND($F263&lt;&gt;"", $F263&gt;=AU$5-4, $F263&lt;=AU$5, COUNTIF($M263:AT263,"u")=0), "u", "")</f>
        <v/>
      </c>
      <c r="AV263" s="80" t="str">
        <f>IF(AND($F263&lt;&gt;"", $F263&gt;=AV$5-4, $F263&lt;=AV$5, COUNTIF($M263:AU263,"u")=0), "u", "")</f>
        <v/>
      </c>
      <c r="AW263" s="80" t="str">
        <f>IF(AND($F263&lt;&gt;"", $F263&gt;=AW$5-4, $F263&lt;=AW$5, COUNTIF($M263:AV263,"u")=0), "u", "")</f>
        <v/>
      </c>
      <c r="AX263" s="80" t="str">
        <f>IF(AND($F263&lt;&gt;"", $F263&gt;=AX$5-4, $F263&lt;=AX$5, COUNTIF($M263:AW263,"u")=0), "u", "")</f>
        <v/>
      </c>
      <c r="AY263" s="80" t="str">
        <f>IF(AND($F263&lt;&gt;"", $F263&gt;=AY$5-4, $F263&lt;=AY$5, COUNTIF($M263:AX263,"u")=0), "u", "")</f>
        <v/>
      </c>
      <c r="AZ263" s="80" t="str">
        <f>IF(AND($F263&lt;&gt;"", $F263&gt;=AZ$5-4, $F263&lt;=AZ$5, COUNTIF($M263:AY263,"u")=0), "u", "")</f>
        <v/>
      </c>
      <c r="BA263" s="80" t="str">
        <f>IF(AND($F263&lt;&gt;"", $F263&gt;=BA$5-4, $F263&lt;=BA$5, COUNTIF($M263:AZ263,"u")=0), "u", "")</f>
        <v/>
      </c>
      <c r="BB263" s="80" t="str">
        <f>IF(AND($F263&lt;&gt;"", $F263&gt;=BB$5-4, $F263&lt;=BB$5, COUNTIF($M263:BA263,"u")=0), "u", "")</f>
        <v/>
      </c>
      <c r="BC263" s="80" t="str">
        <f>IF(AND($F263&lt;&gt;"", $F263&gt;=BC$5-4, $F263&lt;=BC$5, COUNTIF($M263:BB263,"u")=0), "u", "")</f>
        <v/>
      </c>
      <c r="BD263" s="80" t="str">
        <f>IF(AND($F263&lt;&gt;"", $F263&gt;=BD$5-4, $F263&lt;=BD$5, COUNTIF($M263:BC263,"u")=0), "u", "")</f>
        <v/>
      </c>
      <c r="BE263" s="80" t="str">
        <f>IF(AND($F263&lt;&gt;"", $F263&gt;=BE$5-4, $F263&lt;=BE$5, COUNTIF($M263:BD263,"u")=0), "u", "")</f>
        <v/>
      </c>
      <c r="BF263" s="80" t="str">
        <f>IF(AND($F263&lt;&gt;"", $F263&gt;=BF$5-4, $F263&lt;=BF$5, COUNTIF($M263:BE263,"u")=0), "u", "")</f>
        <v/>
      </c>
      <c r="BG263" s="80" t="str">
        <f>IF(AND($F263&lt;&gt;"", $F263&gt;=BG$5-4, $F263&lt;=BG$5, COUNTIF($M263:BF263,"u")=0), "u", "")</f>
        <v/>
      </c>
      <c r="BH263" s="80" t="str">
        <f>IF(AND($F263&lt;&gt;"", $F263&gt;=BH$5-4, $F263&lt;=BH$5, COUNTIF($M263:BG263,"u")=0), "u", "")</f>
        <v/>
      </c>
      <c r="BI263" s="80" t="str">
        <f>IF(AND($F263&lt;&gt;"", $F263&gt;=BI$5-4, $F263&lt;=BI$5, COUNTIF($M263:BH263,"u")=0), "u", "")</f>
        <v/>
      </c>
      <c r="BJ263" s="80" t="str">
        <f>IF(AND($F263&lt;&gt;"", $F263&gt;=BJ$5-4, $F263&lt;=BJ$5, COUNTIF($M263:BI263,"u")=0), "u", "")</f>
        <v/>
      </c>
      <c r="BK263" s="80" t="str">
        <f>IF(AND($F263&lt;&gt;"", $F263&gt;=BK$5-4, $F263&lt;=BK$5, COUNTIF($M263:BJ263,"u")=0), "u", "")</f>
        <v/>
      </c>
      <c r="BL263" s="80" t="str">
        <f>IF(AND($F263&lt;&gt;"", $F263&gt;=BL$5-4, $F263&lt;=BL$5, COUNTIF($M263:BK263,"u")=0), "u", "")</f>
        <v/>
      </c>
      <c r="BM263" s="80" t="str">
        <f>IF(AND($F263&lt;&gt;"", $F263&gt;=BM$5-4, $F263&lt;=BM$5, COUNTIF($M263:BL263,"u")=0), "u", "")</f>
        <v/>
      </c>
      <c r="BN263" s="80" t="str">
        <f>IF(AND($F263&lt;&gt;"", $F263&gt;=BN$5-4, $F263&lt;=BN$5, COUNTIF($M263:BM263,"u")=0), "u", "")</f>
        <v/>
      </c>
      <c r="BO263" s="80" t="str">
        <f>IF(AND($F263&lt;&gt;"", $F263&gt;=BO$5-4, $F263&lt;=BO$5, COUNTIF($M263:BN263,"u")=0), "u", "")</f>
        <v/>
      </c>
      <c r="BP263" s="80" t="str">
        <f>IF(AND($F263&lt;&gt;"", $F263&gt;=BP$5-4, $F263&lt;=BP$5, COUNTIF($M263:BO263,"u")=0), "u", "")</f>
        <v/>
      </c>
      <c r="BQ263" s="80" t="str">
        <f>IF(AND($F263&lt;&gt;"", $F263&gt;=BQ$5-4, $F263&lt;=BQ$5, COUNTIF($M263:BP263,"u")=0), "u", "")</f>
        <v/>
      </c>
      <c r="BR263" s="80" t="str">
        <f>IF(AND($F263&lt;&gt;"", $F263&gt;=BR$5-4, $F263&lt;=BR$5, COUNTIF($M263:BQ263,"u")=0), "u", "")</f>
        <v/>
      </c>
      <c r="BS263" s="80" t="str">
        <f>IF(AND($F263&lt;&gt;"", $F263&gt;=BS$5-4, $F263&lt;=BS$5, COUNTIF($M263:BR263,"u")=0), "u", "")</f>
        <v/>
      </c>
      <c r="BT263" s="80" t="str">
        <f>IF(AND($F263&lt;&gt;"", $F263&gt;=BT$5-4, $F263&lt;=BT$5, COUNTIF($M263:BS263,"u")=0), "u", "")</f>
        <v/>
      </c>
      <c r="BU263" s="80" t="str">
        <f>IF(AND($F263&lt;&gt;"", $F263&gt;=BU$5-4, $F263&lt;=BU$5, COUNTIF($M263:BT263,"u")=0), "u", "")</f>
        <v/>
      </c>
      <c r="BV263" s="80" t="str">
        <f>IF(AND($F263&lt;&gt;"", $F263&gt;=BV$5-4, $F263&lt;=BV$5, COUNTIF($M263:BU263,"u")=0), "u", "")</f>
        <v/>
      </c>
      <c r="BW263" s="80" t="str">
        <f>IF(AND($F263&lt;&gt;"", $F263&gt;=BW$5-4, $F263&lt;=BW$5, COUNTIF($M263:BV263,"u")=0), "u", "")</f>
        <v/>
      </c>
      <c r="BX263" s="80" t="str">
        <f>IF(AND($F263&lt;&gt;"", $F263&gt;=BX$5-4, $F263&lt;=BX$5, COUNTIF($M263:BW263,"u")=0), "u", "")</f>
        <v/>
      </c>
      <c r="BY263" s="80" t="str">
        <f>IF(AND($F263&lt;&gt;"", $F263&gt;=BY$5-4, $F263&lt;=BY$5, COUNTIF($M263:BX263,"u")=0), "u", "")</f>
        <v/>
      </c>
      <c r="BZ263" s="80" t="str">
        <f>IF(AND($F263&lt;&gt;"", $F263&gt;=BZ$5-4, $F263&lt;=BZ$5, COUNTIF($M263:BY263,"u")=0), "u", "")</f>
        <v/>
      </c>
      <c r="CA263" s="80" t="str">
        <f>IF(AND($F263&lt;&gt;"", $F263&gt;=CA$5-4, $F263&lt;=CA$5, COUNTIF($M263:BZ263,"u")=0), "u", "")</f>
        <v/>
      </c>
      <c r="CB263" s="80" t="str">
        <f>IF(AND($F263&lt;&gt;"", $F263&gt;=CB$5-4, $F263&lt;=CB$5, COUNTIF($M263:CA263,"u")=0), "u", "")</f>
        <v/>
      </c>
      <c r="CC263" s="80" t="str">
        <f>IF(AND($F263&lt;&gt;"", $F263&gt;=CC$5-4, $F263&lt;=CC$5, COUNTIF($M263:CB263,"u")=0), "u", "")</f>
        <v/>
      </c>
      <c r="CD263" s="80" t="str">
        <f>IF(AND($F263&lt;&gt;"", $F263&gt;=CD$5-4, $F263&lt;=CD$5, COUNTIF($M263:CC263,"u")=0), "u", "")</f>
        <v/>
      </c>
      <c r="CE263" s="80" t="str">
        <f>IF(AND($F263&lt;&gt;"", $F263&gt;=CE$5-4, $F263&lt;=CE$5, COUNTIF($M263:CD263,"u")=0), "u", "")</f>
        <v/>
      </c>
      <c r="CF263" s="80" t="str">
        <f>IF(AND($F263&lt;&gt;"", $F263&gt;=CF$5-4, $F263&lt;=CF$5, COUNTIF($M263:CE263,"u")=0), "u", "")</f>
        <v/>
      </c>
      <c r="CG263" s="80" t="str">
        <f>IF(AND($F263&lt;&gt;"", $F263&gt;=CG$5-4, $F263&lt;=CG$5, COUNTIF($M263:CF263,"u")=0), "u", "")</f>
        <v/>
      </c>
      <c r="CH263" s="80" t="str">
        <f>IF(AND($F263&lt;&gt;"", $F263&gt;=CH$5-4, $F263&lt;=CH$5, COUNTIF($M263:CG263,"u")=0), "u", "")</f>
        <v/>
      </c>
      <c r="CI263" s="80" t="str">
        <f>IF(AND($F263&lt;&gt;"", $F263&gt;=CI$5-4, $F263&lt;=CI$5, COUNTIF($M263:CH263,"u")=0), "u", "")</f>
        <v/>
      </c>
      <c r="CJ263" s="80" t="str">
        <f>IF(AND($F263&lt;&gt;"", $F263&gt;=CJ$5-4, $F263&lt;=CJ$5, COUNTIF($M263:CI263,"u")=0), "u", "")</f>
        <v/>
      </c>
      <c r="CK263" s="80" t="str">
        <f>IF(AND($F263&lt;&gt;"", $F263&gt;=CK$5-4, $F263&lt;=CK$5, COUNTIF($M263:CJ263,"u")=0), "u", "")</f>
        <v/>
      </c>
      <c r="CL263" s="80" t="str">
        <f>IF(AND($F263&lt;&gt;"", $F263&gt;=CL$5-4, $F263&lt;=CL$5, COUNTIF($M263:CK263,"u")=0), "u", "")</f>
        <v/>
      </c>
      <c r="CM263" s="80" t="str">
        <f>IF(AND($F263&lt;&gt;"", $F263&gt;=CM$5-4, $F263&lt;=CM$5, COUNTIF($M263:CL263,"u")=0), "u", "")</f>
        <v/>
      </c>
      <c r="CN263" s="80" t="str">
        <f>IF(AND($F263&lt;&gt;"", $F263&gt;=CN$5-4, $F263&lt;=CN$5, COUNTIF($M263:CM263,"u")=0), "u", "")</f>
        <v/>
      </c>
      <c r="CO263" s="80" t="str">
        <f>IF(AND($F263&lt;&gt;"", $F263&gt;=CO$5-4, $F263&lt;=CO$5, COUNTIF($M263:CN263,"u")=0), "u", "")</f>
        <v/>
      </c>
      <c r="CP263" s="80" t="str">
        <f>IF(AND($F263&lt;&gt;"", $F263&gt;=CP$5-4, $F263&lt;=CP$5, COUNTIF($M263:CO263,"u")=0), "u", "")</f>
        <v/>
      </c>
      <c r="CQ263" s="80" t="str">
        <f>IF(AND($F263&lt;&gt;"", $F263&gt;=CQ$5-4, $F263&lt;=CQ$5, COUNTIF($M263:CP263,"u")=0), "u", "")</f>
        <v/>
      </c>
      <c r="CR263" s="80" t="str">
        <f>IF(AND($F263&lt;&gt;"", $F263&gt;=CR$5-4, $F263&lt;=CR$5, COUNTIF($M263:CQ263,"u")=0), "u", "")</f>
        <v/>
      </c>
      <c r="CS263" s="80" t="str">
        <f>IF(AND($F263&lt;&gt;"", $F263&gt;=CS$5-4, $F263&lt;=CS$5, COUNTIF($M263:CR263,"u")=0), "u", "")</f>
        <v/>
      </c>
      <c r="CT263" s="80" t="str">
        <f>IF(AND($F263&lt;&gt;"", $F263&gt;=CT$5-4, $F263&lt;=CT$5, COUNTIF($M263:CS263,"u")=0), "u", "")</f>
        <v/>
      </c>
      <c r="CU263" s="80" t="str">
        <f>IF(AND($F263&lt;&gt;"", $F263&gt;=CU$5-4, $F263&lt;=CU$5, COUNTIF($M263:CT263,"u")=0), "u", "")</f>
        <v/>
      </c>
      <c r="CV263" s="80" t="str">
        <f>IF(AND($F263&lt;&gt;"", $F263&gt;=CV$5-4, $F263&lt;=CV$5, COUNTIF($M263:CU263,"u")=0), "u", "")</f>
        <v/>
      </c>
      <c r="CW263" s="80" t="str">
        <f>IF(AND($F263&lt;&gt;"", $F263&gt;=CW$5-4, $F263&lt;=CW$5, COUNTIF($M263:CV263,"u")=0), "u", "")</f>
        <v/>
      </c>
      <c r="CX263" s="80" t="str">
        <f>IF(AND($F263&lt;&gt;"", $F263&gt;=CX$5-4, $F263&lt;=CX$5, COUNTIF($M263:CW263,"u")=0), "u", "")</f>
        <v/>
      </c>
      <c r="CY263" s="80" t="str">
        <f>IF(AND($F263&lt;&gt;"", $F263&gt;=CY$5-4, $F263&lt;=CY$5, COUNTIF($M263:CX263,"u")=0), "u", "")</f>
        <v/>
      </c>
      <c r="CZ263" s="80" t="str">
        <f>IF(AND($F263&lt;&gt;"", $F263&gt;=CZ$5-4, $F263&lt;=CZ$5, COUNTIF($M263:CY263,"u")=0), "u", "")</f>
        <v/>
      </c>
      <c r="DA263" s="80" t="str">
        <f>IF(AND($F263&lt;&gt;"", $F263&gt;=DA$5-4, $F263&lt;=DA$5, COUNTIF($M263:CZ263,"u")=0), "u", "")</f>
        <v/>
      </c>
      <c r="DB263" s="80" t="str">
        <f>IF(AND($F263&lt;&gt;"", $F263&gt;=DB$5-4, $F263&lt;=DB$5, COUNTIF($M263:DA263,"u")=0), "u", "")</f>
        <v/>
      </c>
      <c r="DC263" s="80" t="str">
        <f>IF(AND($F263&lt;&gt;"", $F263&gt;=DC$5-4, $F263&lt;=DC$5, COUNTIF($M263:DB263,"u")=0), "u", "")</f>
        <v/>
      </c>
      <c r="DD263" s="80" t="str">
        <f>IF(AND($F263&lt;&gt;"", $F263&gt;=DD$5-4, $F263&lt;=DD$5, COUNTIF($M263:DC263,"u")=0), "u", "")</f>
        <v/>
      </c>
      <c r="DE263" s="80" t="str">
        <f>IF(AND($F263&lt;&gt;"", $F263&gt;=DE$5-4, $F263&lt;=DE$5, COUNTIF($M263:DD263,"u")=0), "u", "")</f>
        <v/>
      </c>
      <c r="DF263" s="80" t="str">
        <f>IF(AND($F263&lt;&gt;"", $F263&gt;=DF$5-4, $F263&lt;=DF$5, COUNTIF($M263:DE263,"u")=0), "u", "")</f>
        <v/>
      </c>
      <c r="DG263" s="80" t="str">
        <f>IF(AND($F263&lt;&gt;"", $F263&gt;=DG$5-4, $F263&lt;=DG$5, COUNTIF($M263:DF263,"u")=0), "u", "")</f>
        <v/>
      </c>
      <c r="DH263" s="80" t="str">
        <f>IF(AND($F263&lt;&gt;"", $F263&gt;=DH$5-4, $F263&lt;=DH$5, COUNTIF($M263:DG263,"u")=0), "u", "")</f>
        <v/>
      </c>
      <c r="DI263" s="80" t="str">
        <f>IF(AND($F263&lt;&gt;"", $F263&gt;=DI$5-4, $F263&lt;=DI$5, COUNTIF($M263:DH263,"u")=0), "u", "")</f>
        <v/>
      </c>
      <c r="DJ263" s="80" t="str">
        <f>IF(AND($F263&lt;&gt;"", $F263&gt;=DJ$5-4, $F263&lt;=DJ$5, COUNTIF($M263:DI263,"u")=0), "u", "")</f>
        <v/>
      </c>
      <c r="DK263" s="80" t="str">
        <f>IF(AND($F263&lt;&gt;"", $F263&gt;=DK$5-4, $F263&lt;=DK$5, COUNTIF($M263:DJ263,"u")=0), "u", "")</f>
        <v/>
      </c>
      <c r="DL263" s="80" t="str">
        <f>IF(AND($F263&lt;&gt;"", $F263&gt;=DL$5-4, $F263&lt;=DL$5, COUNTIF($M263:DK263,"u")=0), "u", "")</f>
        <v/>
      </c>
    </row>
    <row r="264" spans="1:116" ht="25.05" customHeight="1" x14ac:dyDescent="0.3">
      <c r="A264" s="39"/>
      <c r="B264" s="75">
        <v>259</v>
      </c>
      <c r="C264" s="97"/>
      <c r="D264" s="92"/>
      <c r="E264" s="53"/>
      <c r="F264" s="53"/>
      <c r="G264" s="83" t="str">
        <f t="shared" si="56"/>
        <v/>
      </c>
      <c r="H264" s="83" t="str">
        <f t="shared" si="56"/>
        <v/>
      </c>
      <c r="I264" s="77" t="str">
        <f t="shared" si="57"/>
        <v/>
      </c>
      <c r="J264" s="78"/>
      <c r="K264" s="86"/>
      <c r="L264" s="56"/>
      <c r="M264" s="80" t="str">
        <f t="shared" si="58"/>
        <v/>
      </c>
      <c r="N264" s="80" t="str">
        <f>IF(AND($F264&lt;&gt;"", $F264&gt;=N$5-4, $F264&lt;=N$5, COUNTIF($M264:M264,"u")=0), "u", "")</f>
        <v/>
      </c>
      <c r="O264" s="80" t="str">
        <f>IF(AND($F264&lt;&gt;"", $F264&gt;=O$5-4, $F264&lt;=O$5, COUNTIF($M264:N264,"u")=0), "u", "")</f>
        <v/>
      </c>
      <c r="P264" s="80" t="str">
        <f>IF(AND($F264&lt;&gt;"", $F264&gt;=P$5-4, $F264&lt;=P$5, COUNTIF($M264:O264,"u")=0), "u", "")</f>
        <v/>
      </c>
      <c r="Q264" s="80" t="str">
        <f>IF(AND($F264&lt;&gt;"", $F264&gt;=Q$5-4, $F264&lt;=Q$5, COUNTIF($M264:P264,"u")=0), "u", "")</f>
        <v/>
      </c>
      <c r="R264" s="80" t="str">
        <f>IF(AND($F264&lt;&gt;"", $F264&gt;=R$5-4, $F264&lt;=R$5, COUNTIF($M264:Q264,"u")=0), "u", "")</f>
        <v/>
      </c>
      <c r="S264" s="80" t="str">
        <f>IF(AND($F264&lt;&gt;"", $F264&gt;=S$5-4, $F264&lt;=S$5, COUNTIF($M264:R264,"u")=0), "u", "")</f>
        <v/>
      </c>
      <c r="T264" s="80" t="str">
        <f>IF(AND($F264&lt;&gt;"", $F264&gt;=T$5-4, $F264&lt;=T$5, COUNTIF($M264:S264,"u")=0), "u", "")</f>
        <v/>
      </c>
      <c r="U264" s="80" t="str">
        <f>IF(AND($F264&lt;&gt;"", $F264&gt;=U$5-4, $F264&lt;=U$5, COUNTIF($M264:T264,"u")=0), "u", "")</f>
        <v/>
      </c>
      <c r="V264" s="80" t="str">
        <f>IF(AND($F264&lt;&gt;"", $F264&gt;=V$5-4, $F264&lt;=V$5, COUNTIF($M264:U264,"u")=0), "u", "")</f>
        <v/>
      </c>
      <c r="W264" s="80" t="str">
        <f>IF(AND($F264&lt;&gt;"", $F264&gt;=W$5-4, $F264&lt;=W$5, COUNTIF($M264:V264,"u")=0), "u", "")</f>
        <v/>
      </c>
      <c r="X264" s="80" t="str">
        <f>IF(AND($F264&lt;&gt;"", $F264&gt;=X$5-4, $F264&lt;=X$5, COUNTIF($M264:W264,"u")=0), "u", "")</f>
        <v/>
      </c>
      <c r="Y264" s="80" t="str">
        <f>IF(AND($F264&lt;&gt;"", $F264&gt;=Y$5-4, $F264&lt;=Y$5, COUNTIF($M264:X264,"u")=0), "u", "")</f>
        <v/>
      </c>
      <c r="Z264" s="80" t="str">
        <f>IF(AND($F264&lt;&gt;"", $F264&gt;=Z$5-4, $F264&lt;=Z$5, COUNTIF($M264:Y264,"u")=0), "u", "")</f>
        <v/>
      </c>
      <c r="AA264" s="80" t="str">
        <f>IF(AND($F264&lt;&gt;"", $F264&gt;=AA$5-4, $F264&lt;=AA$5, COUNTIF($M264:Z264,"u")=0), "u", "")</f>
        <v/>
      </c>
      <c r="AB264" s="80" t="str">
        <f>IF(AND($F264&lt;&gt;"", $F264&gt;=AB$5-4, $F264&lt;=AB$5, COUNTIF($M264:AA264,"u")=0), "u", "")</f>
        <v/>
      </c>
      <c r="AC264" s="80" t="str">
        <f>IF(AND($F264&lt;&gt;"", $F264&gt;=AC$5-4, $F264&lt;=AC$5, COUNTIF($M264:AB264,"u")=0), "u", "")</f>
        <v/>
      </c>
      <c r="AD264" s="80" t="str">
        <f>IF(AND($F264&lt;&gt;"", $F264&gt;=AD$5-4, $F264&lt;=AD$5, COUNTIF($M264:AC264,"u")=0), "u", "")</f>
        <v/>
      </c>
      <c r="AE264" s="80" t="str">
        <f>IF(AND($F264&lt;&gt;"", $F264&gt;=AE$5-4, $F264&lt;=AE$5, COUNTIF($M264:AD264,"u")=0), "u", "")</f>
        <v/>
      </c>
      <c r="AF264" s="80" t="str">
        <f>IF(AND($F264&lt;&gt;"", $F264&gt;=AF$5-4, $F264&lt;=AF$5, COUNTIF($M264:AE264,"u")=0), "u", "")</f>
        <v/>
      </c>
      <c r="AG264" s="80" t="str">
        <f>IF(AND($F264&lt;&gt;"", $F264&gt;=AG$5-4, $F264&lt;=AG$5, COUNTIF($M264:AF264,"u")=0), "u", "")</f>
        <v/>
      </c>
      <c r="AH264" s="80" t="str">
        <f>IF(AND($F264&lt;&gt;"", $F264&gt;=AH$5-4, $F264&lt;=AH$5, COUNTIF($M264:AG264,"u")=0), "u", "")</f>
        <v/>
      </c>
      <c r="AI264" s="80" t="str">
        <f>IF(AND($F264&lt;&gt;"", $F264&gt;=AI$5-4, $F264&lt;=AI$5, COUNTIF($M264:AH264,"u")=0), "u", "")</f>
        <v/>
      </c>
      <c r="AJ264" s="80" t="str">
        <f>IF(AND($F264&lt;&gt;"", $F264&gt;=AJ$5-4, $F264&lt;=AJ$5, COUNTIF($M264:AI264,"u")=0), "u", "")</f>
        <v/>
      </c>
      <c r="AK264" s="80" t="str">
        <f>IF(AND($F264&lt;&gt;"", $F264&gt;=AK$5-4, $F264&lt;=AK$5, COUNTIF($M264:AJ264,"u")=0), "u", "")</f>
        <v/>
      </c>
      <c r="AL264" s="80" t="str">
        <f>IF(AND($F264&lt;&gt;"", $F264&gt;=AL$5-4, $F264&lt;=AL$5, COUNTIF($M264:AK264,"u")=0), "u", "")</f>
        <v/>
      </c>
      <c r="AM264" s="80" t="str">
        <f>IF(AND($F264&lt;&gt;"", $F264&gt;=AM$5-4, $F264&lt;=AM$5, COUNTIF($M264:AL264,"u")=0), "u", "")</f>
        <v/>
      </c>
      <c r="AN264" s="80" t="str">
        <f>IF(AND($F264&lt;&gt;"", $F264&gt;=AN$5-4, $F264&lt;=AN$5, COUNTIF($M264:AM264,"u")=0), "u", "")</f>
        <v/>
      </c>
      <c r="AO264" s="80" t="str">
        <f>IF(AND($F264&lt;&gt;"", $F264&gt;=AO$5-4, $F264&lt;=AO$5, COUNTIF($M264:AN264,"u")=0), "u", "")</f>
        <v/>
      </c>
      <c r="AP264" s="80" t="str">
        <f>IF(AND($F264&lt;&gt;"", $F264&gt;=AP$5-4, $F264&lt;=AP$5, COUNTIF($M264:AO264,"u")=0), "u", "")</f>
        <v/>
      </c>
      <c r="AQ264" s="80" t="str">
        <f>IF(AND($F264&lt;&gt;"", $F264&gt;=AQ$5-4, $F264&lt;=AQ$5, COUNTIF($M264:AP264,"u")=0), "u", "")</f>
        <v/>
      </c>
      <c r="AR264" s="80" t="str">
        <f>IF(AND($F264&lt;&gt;"", $F264&gt;=AR$5-4, $F264&lt;=AR$5, COUNTIF($M264:AQ264,"u")=0), "u", "")</f>
        <v/>
      </c>
      <c r="AS264" s="80" t="str">
        <f>IF(AND($F264&lt;&gt;"", $F264&gt;=AS$5-4, $F264&lt;=AS$5, COUNTIF($M264:AR264,"u")=0), "u", "")</f>
        <v/>
      </c>
      <c r="AT264" s="80" t="str">
        <f>IF(AND($F264&lt;&gt;"", $F264&gt;=AT$5-4, $F264&lt;=AT$5, COUNTIF($M264:AS264,"u")=0), "u", "")</f>
        <v/>
      </c>
      <c r="AU264" s="80" t="str">
        <f>IF(AND($F264&lt;&gt;"", $F264&gt;=AU$5-4, $F264&lt;=AU$5, COUNTIF($M264:AT264,"u")=0), "u", "")</f>
        <v/>
      </c>
      <c r="AV264" s="80" t="str">
        <f>IF(AND($F264&lt;&gt;"", $F264&gt;=AV$5-4, $F264&lt;=AV$5, COUNTIF($M264:AU264,"u")=0), "u", "")</f>
        <v/>
      </c>
      <c r="AW264" s="80" t="str">
        <f>IF(AND($F264&lt;&gt;"", $F264&gt;=AW$5-4, $F264&lt;=AW$5, COUNTIF($M264:AV264,"u")=0), "u", "")</f>
        <v/>
      </c>
      <c r="AX264" s="80" t="str">
        <f>IF(AND($F264&lt;&gt;"", $F264&gt;=AX$5-4, $F264&lt;=AX$5, COUNTIF($M264:AW264,"u")=0), "u", "")</f>
        <v/>
      </c>
      <c r="AY264" s="80" t="str">
        <f>IF(AND($F264&lt;&gt;"", $F264&gt;=AY$5-4, $F264&lt;=AY$5, COUNTIF($M264:AX264,"u")=0), "u", "")</f>
        <v/>
      </c>
      <c r="AZ264" s="80" t="str">
        <f>IF(AND($F264&lt;&gt;"", $F264&gt;=AZ$5-4, $F264&lt;=AZ$5, COUNTIF($M264:AY264,"u")=0), "u", "")</f>
        <v/>
      </c>
      <c r="BA264" s="80" t="str">
        <f>IF(AND($F264&lt;&gt;"", $F264&gt;=BA$5-4, $F264&lt;=BA$5, COUNTIF($M264:AZ264,"u")=0), "u", "")</f>
        <v/>
      </c>
      <c r="BB264" s="80" t="str">
        <f>IF(AND($F264&lt;&gt;"", $F264&gt;=BB$5-4, $F264&lt;=BB$5, COUNTIF($M264:BA264,"u")=0), "u", "")</f>
        <v/>
      </c>
      <c r="BC264" s="80" t="str">
        <f>IF(AND($F264&lt;&gt;"", $F264&gt;=BC$5-4, $F264&lt;=BC$5, COUNTIF($M264:BB264,"u")=0), "u", "")</f>
        <v/>
      </c>
      <c r="BD264" s="80" t="str">
        <f>IF(AND($F264&lt;&gt;"", $F264&gt;=BD$5-4, $F264&lt;=BD$5, COUNTIF($M264:BC264,"u")=0), "u", "")</f>
        <v/>
      </c>
      <c r="BE264" s="80" t="str">
        <f>IF(AND($F264&lt;&gt;"", $F264&gt;=BE$5-4, $F264&lt;=BE$5, COUNTIF($M264:BD264,"u")=0), "u", "")</f>
        <v/>
      </c>
      <c r="BF264" s="80" t="str">
        <f>IF(AND($F264&lt;&gt;"", $F264&gt;=BF$5-4, $F264&lt;=BF$5, COUNTIF($M264:BE264,"u")=0), "u", "")</f>
        <v/>
      </c>
      <c r="BG264" s="80" t="str">
        <f>IF(AND($F264&lt;&gt;"", $F264&gt;=BG$5-4, $F264&lt;=BG$5, COUNTIF($M264:BF264,"u")=0), "u", "")</f>
        <v/>
      </c>
      <c r="BH264" s="80" t="str">
        <f>IF(AND($F264&lt;&gt;"", $F264&gt;=BH$5-4, $F264&lt;=BH$5, COUNTIF($M264:BG264,"u")=0), "u", "")</f>
        <v/>
      </c>
      <c r="BI264" s="80" t="str">
        <f>IF(AND($F264&lt;&gt;"", $F264&gt;=BI$5-4, $F264&lt;=BI$5, COUNTIF($M264:BH264,"u")=0), "u", "")</f>
        <v/>
      </c>
      <c r="BJ264" s="80" t="str">
        <f>IF(AND($F264&lt;&gt;"", $F264&gt;=BJ$5-4, $F264&lt;=BJ$5, COUNTIF($M264:BI264,"u")=0), "u", "")</f>
        <v/>
      </c>
      <c r="BK264" s="80" t="str">
        <f>IF(AND($F264&lt;&gt;"", $F264&gt;=BK$5-4, $F264&lt;=BK$5, COUNTIF($M264:BJ264,"u")=0), "u", "")</f>
        <v/>
      </c>
      <c r="BL264" s="80" t="str">
        <f>IF(AND($F264&lt;&gt;"", $F264&gt;=BL$5-4, $F264&lt;=BL$5, COUNTIF($M264:BK264,"u")=0), "u", "")</f>
        <v/>
      </c>
      <c r="BM264" s="80" t="str">
        <f>IF(AND($F264&lt;&gt;"", $F264&gt;=BM$5-4, $F264&lt;=BM$5, COUNTIF($M264:BL264,"u")=0), "u", "")</f>
        <v/>
      </c>
      <c r="BN264" s="80" t="str">
        <f>IF(AND($F264&lt;&gt;"", $F264&gt;=BN$5-4, $F264&lt;=BN$5, COUNTIF($M264:BM264,"u")=0), "u", "")</f>
        <v/>
      </c>
      <c r="BO264" s="80" t="str">
        <f>IF(AND($F264&lt;&gt;"", $F264&gt;=BO$5-4, $F264&lt;=BO$5, COUNTIF($M264:BN264,"u")=0), "u", "")</f>
        <v/>
      </c>
      <c r="BP264" s="80" t="str">
        <f>IF(AND($F264&lt;&gt;"", $F264&gt;=BP$5-4, $F264&lt;=BP$5, COUNTIF($M264:BO264,"u")=0), "u", "")</f>
        <v/>
      </c>
      <c r="BQ264" s="80" t="str">
        <f>IF(AND($F264&lt;&gt;"", $F264&gt;=BQ$5-4, $F264&lt;=BQ$5, COUNTIF($M264:BP264,"u")=0), "u", "")</f>
        <v/>
      </c>
      <c r="BR264" s="80" t="str">
        <f>IF(AND($F264&lt;&gt;"", $F264&gt;=BR$5-4, $F264&lt;=BR$5, COUNTIF($M264:BQ264,"u")=0), "u", "")</f>
        <v/>
      </c>
      <c r="BS264" s="80" t="str">
        <f>IF(AND($F264&lt;&gt;"", $F264&gt;=BS$5-4, $F264&lt;=BS$5, COUNTIF($M264:BR264,"u")=0), "u", "")</f>
        <v/>
      </c>
      <c r="BT264" s="80" t="str">
        <f>IF(AND($F264&lt;&gt;"", $F264&gt;=BT$5-4, $F264&lt;=BT$5, COUNTIF($M264:BS264,"u")=0), "u", "")</f>
        <v/>
      </c>
      <c r="BU264" s="80" t="str">
        <f>IF(AND($F264&lt;&gt;"", $F264&gt;=BU$5-4, $F264&lt;=BU$5, COUNTIF($M264:BT264,"u")=0), "u", "")</f>
        <v/>
      </c>
      <c r="BV264" s="80" t="str">
        <f>IF(AND($F264&lt;&gt;"", $F264&gt;=BV$5-4, $F264&lt;=BV$5, COUNTIF($M264:BU264,"u")=0), "u", "")</f>
        <v/>
      </c>
      <c r="BW264" s="80" t="str">
        <f>IF(AND($F264&lt;&gt;"", $F264&gt;=BW$5-4, $F264&lt;=BW$5, COUNTIF($M264:BV264,"u")=0), "u", "")</f>
        <v/>
      </c>
      <c r="BX264" s="80" t="str">
        <f>IF(AND($F264&lt;&gt;"", $F264&gt;=BX$5-4, $F264&lt;=BX$5, COUNTIF($M264:BW264,"u")=0), "u", "")</f>
        <v/>
      </c>
      <c r="BY264" s="80" t="str">
        <f>IF(AND($F264&lt;&gt;"", $F264&gt;=BY$5-4, $F264&lt;=BY$5, COUNTIF($M264:BX264,"u")=0), "u", "")</f>
        <v/>
      </c>
      <c r="BZ264" s="80" t="str">
        <f>IF(AND($F264&lt;&gt;"", $F264&gt;=BZ$5-4, $F264&lt;=BZ$5, COUNTIF($M264:BY264,"u")=0), "u", "")</f>
        <v/>
      </c>
      <c r="CA264" s="80" t="str">
        <f>IF(AND($F264&lt;&gt;"", $F264&gt;=CA$5-4, $F264&lt;=CA$5, COUNTIF($M264:BZ264,"u")=0), "u", "")</f>
        <v/>
      </c>
      <c r="CB264" s="80" t="str">
        <f>IF(AND($F264&lt;&gt;"", $F264&gt;=CB$5-4, $F264&lt;=CB$5, COUNTIF($M264:CA264,"u")=0), "u", "")</f>
        <v/>
      </c>
      <c r="CC264" s="80" t="str">
        <f>IF(AND($F264&lt;&gt;"", $F264&gt;=CC$5-4, $F264&lt;=CC$5, COUNTIF($M264:CB264,"u")=0), "u", "")</f>
        <v/>
      </c>
      <c r="CD264" s="80" t="str">
        <f>IF(AND($F264&lt;&gt;"", $F264&gt;=CD$5-4, $F264&lt;=CD$5, COUNTIF($M264:CC264,"u")=0), "u", "")</f>
        <v/>
      </c>
      <c r="CE264" s="80" t="str">
        <f>IF(AND($F264&lt;&gt;"", $F264&gt;=CE$5-4, $F264&lt;=CE$5, COUNTIF($M264:CD264,"u")=0), "u", "")</f>
        <v/>
      </c>
      <c r="CF264" s="80" t="str">
        <f>IF(AND($F264&lt;&gt;"", $F264&gt;=CF$5-4, $F264&lt;=CF$5, COUNTIF($M264:CE264,"u")=0), "u", "")</f>
        <v/>
      </c>
      <c r="CG264" s="80" t="str">
        <f>IF(AND($F264&lt;&gt;"", $F264&gt;=CG$5-4, $F264&lt;=CG$5, COUNTIF($M264:CF264,"u")=0), "u", "")</f>
        <v/>
      </c>
      <c r="CH264" s="80" t="str">
        <f>IF(AND($F264&lt;&gt;"", $F264&gt;=CH$5-4, $F264&lt;=CH$5, COUNTIF($M264:CG264,"u")=0), "u", "")</f>
        <v/>
      </c>
      <c r="CI264" s="80" t="str">
        <f>IF(AND($F264&lt;&gt;"", $F264&gt;=CI$5-4, $F264&lt;=CI$5, COUNTIF($M264:CH264,"u")=0), "u", "")</f>
        <v/>
      </c>
      <c r="CJ264" s="80" t="str">
        <f>IF(AND($F264&lt;&gt;"", $F264&gt;=CJ$5-4, $F264&lt;=CJ$5, COUNTIF($M264:CI264,"u")=0), "u", "")</f>
        <v/>
      </c>
      <c r="CK264" s="80" t="str">
        <f>IF(AND($F264&lt;&gt;"", $F264&gt;=CK$5-4, $F264&lt;=CK$5, COUNTIF($M264:CJ264,"u")=0), "u", "")</f>
        <v/>
      </c>
      <c r="CL264" s="80" t="str">
        <f>IF(AND($F264&lt;&gt;"", $F264&gt;=CL$5-4, $F264&lt;=CL$5, COUNTIF($M264:CK264,"u")=0), "u", "")</f>
        <v/>
      </c>
      <c r="CM264" s="80" t="str">
        <f>IF(AND($F264&lt;&gt;"", $F264&gt;=CM$5-4, $F264&lt;=CM$5, COUNTIF($M264:CL264,"u")=0), "u", "")</f>
        <v/>
      </c>
      <c r="CN264" s="80" t="str">
        <f>IF(AND($F264&lt;&gt;"", $F264&gt;=CN$5-4, $F264&lt;=CN$5, COUNTIF($M264:CM264,"u")=0), "u", "")</f>
        <v/>
      </c>
      <c r="CO264" s="80" t="str">
        <f>IF(AND($F264&lt;&gt;"", $F264&gt;=CO$5-4, $F264&lt;=CO$5, COUNTIF($M264:CN264,"u")=0), "u", "")</f>
        <v/>
      </c>
      <c r="CP264" s="80" t="str">
        <f>IF(AND($F264&lt;&gt;"", $F264&gt;=CP$5-4, $F264&lt;=CP$5, COUNTIF($M264:CO264,"u")=0), "u", "")</f>
        <v/>
      </c>
      <c r="CQ264" s="80" t="str">
        <f>IF(AND($F264&lt;&gt;"", $F264&gt;=CQ$5-4, $F264&lt;=CQ$5, COUNTIF($M264:CP264,"u")=0), "u", "")</f>
        <v/>
      </c>
      <c r="CR264" s="80" t="str">
        <f>IF(AND($F264&lt;&gt;"", $F264&gt;=CR$5-4, $F264&lt;=CR$5, COUNTIF($M264:CQ264,"u")=0), "u", "")</f>
        <v/>
      </c>
      <c r="CS264" s="80" t="str">
        <f>IF(AND($F264&lt;&gt;"", $F264&gt;=CS$5-4, $F264&lt;=CS$5, COUNTIF($M264:CR264,"u")=0), "u", "")</f>
        <v/>
      </c>
      <c r="CT264" s="80" t="str">
        <f>IF(AND($F264&lt;&gt;"", $F264&gt;=CT$5-4, $F264&lt;=CT$5, COUNTIF($M264:CS264,"u")=0), "u", "")</f>
        <v/>
      </c>
      <c r="CU264" s="80" t="str">
        <f>IF(AND($F264&lt;&gt;"", $F264&gt;=CU$5-4, $F264&lt;=CU$5, COUNTIF($M264:CT264,"u")=0), "u", "")</f>
        <v/>
      </c>
      <c r="CV264" s="80" t="str">
        <f>IF(AND($F264&lt;&gt;"", $F264&gt;=CV$5-4, $F264&lt;=CV$5, COUNTIF($M264:CU264,"u")=0), "u", "")</f>
        <v/>
      </c>
      <c r="CW264" s="80" t="str">
        <f>IF(AND($F264&lt;&gt;"", $F264&gt;=CW$5-4, $F264&lt;=CW$5, COUNTIF($M264:CV264,"u")=0), "u", "")</f>
        <v/>
      </c>
      <c r="CX264" s="80" t="str">
        <f>IF(AND($F264&lt;&gt;"", $F264&gt;=CX$5-4, $F264&lt;=CX$5, COUNTIF($M264:CW264,"u")=0), "u", "")</f>
        <v/>
      </c>
      <c r="CY264" s="80" t="str">
        <f>IF(AND($F264&lt;&gt;"", $F264&gt;=CY$5-4, $F264&lt;=CY$5, COUNTIF($M264:CX264,"u")=0), "u", "")</f>
        <v/>
      </c>
      <c r="CZ264" s="80" t="str">
        <f>IF(AND($F264&lt;&gt;"", $F264&gt;=CZ$5-4, $F264&lt;=CZ$5, COUNTIF($M264:CY264,"u")=0), "u", "")</f>
        <v/>
      </c>
      <c r="DA264" s="80" t="str">
        <f>IF(AND($F264&lt;&gt;"", $F264&gt;=DA$5-4, $F264&lt;=DA$5, COUNTIF($M264:CZ264,"u")=0), "u", "")</f>
        <v/>
      </c>
      <c r="DB264" s="80" t="str">
        <f>IF(AND($F264&lt;&gt;"", $F264&gt;=DB$5-4, $F264&lt;=DB$5, COUNTIF($M264:DA264,"u")=0), "u", "")</f>
        <v/>
      </c>
      <c r="DC264" s="80" t="str">
        <f>IF(AND($F264&lt;&gt;"", $F264&gt;=DC$5-4, $F264&lt;=DC$5, COUNTIF($M264:DB264,"u")=0), "u", "")</f>
        <v/>
      </c>
      <c r="DD264" s="80" t="str">
        <f>IF(AND($F264&lt;&gt;"", $F264&gt;=DD$5-4, $F264&lt;=DD$5, COUNTIF($M264:DC264,"u")=0), "u", "")</f>
        <v/>
      </c>
      <c r="DE264" s="80" t="str">
        <f>IF(AND($F264&lt;&gt;"", $F264&gt;=DE$5-4, $F264&lt;=DE$5, COUNTIF($M264:DD264,"u")=0), "u", "")</f>
        <v/>
      </c>
      <c r="DF264" s="80" t="str">
        <f>IF(AND($F264&lt;&gt;"", $F264&gt;=DF$5-4, $F264&lt;=DF$5, COUNTIF($M264:DE264,"u")=0), "u", "")</f>
        <v/>
      </c>
      <c r="DG264" s="80" t="str">
        <f>IF(AND($F264&lt;&gt;"", $F264&gt;=DG$5-4, $F264&lt;=DG$5, COUNTIF($M264:DF264,"u")=0), "u", "")</f>
        <v/>
      </c>
      <c r="DH264" s="80" t="str">
        <f>IF(AND($F264&lt;&gt;"", $F264&gt;=DH$5-4, $F264&lt;=DH$5, COUNTIF($M264:DG264,"u")=0), "u", "")</f>
        <v/>
      </c>
      <c r="DI264" s="80" t="str">
        <f>IF(AND($F264&lt;&gt;"", $F264&gt;=DI$5-4, $F264&lt;=DI$5, COUNTIF($M264:DH264,"u")=0), "u", "")</f>
        <v/>
      </c>
      <c r="DJ264" s="80" t="str">
        <f>IF(AND($F264&lt;&gt;"", $F264&gt;=DJ$5-4, $F264&lt;=DJ$5, COUNTIF($M264:DI264,"u")=0), "u", "")</f>
        <v/>
      </c>
      <c r="DK264" s="80" t="str">
        <f>IF(AND($F264&lt;&gt;"", $F264&gt;=DK$5-4, $F264&lt;=DK$5, COUNTIF($M264:DJ264,"u")=0), "u", "")</f>
        <v/>
      </c>
      <c r="DL264" s="80" t="str">
        <f>IF(AND($F264&lt;&gt;"", $F264&gt;=DL$5-4, $F264&lt;=DL$5, COUNTIF($M264:DK264,"u")=0), "u", "")</f>
        <v/>
      </c>
    </row>
    <row r="265" spans="1:116" ht="25.05" customHeight="1" x14ac:dyDescent="0.3">
      <c r="A265" s="39"/>
      <c r="B265" s="75">
        <v>260</v>
      </c>
      <c r="C265" s="97"/>
      <c r="D265" s="92"/>
      <c r="E265" s="53"/>
      <c r="F265" s="53"/>
      <c r="G265" s="83" t="str">
        <f t="shared" si="56"/>
        <v/>
      </c>
      <c r="H265" s="83" t="str">
        <f t="shared" si="56"/>
        <v/>
      </c>
      <c r="I265" s="77" t="str">
        <f t="shared" si="57"/>
        <v/>
      </c>
      <c r="J265" s="78"/>
      <c r="K265" s="86"/>
      <c r="L265" s="56"/>
      <c r="M265" s="80" t="str">
        <f t="shared" si="58"/>
        <v/>
      </c>
      <c r="N265" s="80" t="str">
        <f>IF(AND($F265&lt;&gt;"", $F265&gt;=N$5-4, $F265&lt;=N$5, COUNTIF($M265:M265,"u")=0), "u", "")</f>
        <v/>
      </c>
      <c r="O265" s="80" t="str">
        <f>IF(AND($F265&lt;&gt;"", $F265&gt;=O$5-4, $F265&lt;=O$5, COUNTIF($M265:N265,"u")=0), "u", "")</f>
        <v/>
      </c>
      <c r="P265" s="80" t="str">
        <f>IF(AND($F265&lt;&gt;"", $F265&gt;=P$5-4, $F265&lt;=P$5, COUNTIF($M265:O265,"u")=0), "u", "")</f>
        <v/>
      </c>
      <c r="Q265" s="80" t="str">
        <f>IF(AND($F265&lt;&gt;"", $F265&gt;=Q$5-4, $F265&lt;=Q$5, COUNTIF($M265:P265,"u")=0), "u", "")</f>
        <v/>
      </c>
      <c r="R265" s="80" t="str">
        <f>IF(AND($F265&lt;&gt;"", $F265&gt;=R$5-4, $F265&lt;=R$5, COUNTIF($M265:Q265,"u")=0), "u", "")</f>
        <v/>
      </c>
      <c r="S265" s="80" t="str">
        <f>IF(AND($F265&lt;&gt;"", $F265&gt;=S$5-4, $F265&lt;=S$5, COUNTIF($M265:R265,"u")=0), "u", "")</f>
        <v/>
      </c>
      <c r="T265" s="80" t="str">
        <f>IF(AND($F265&lt;&gt;"", $F265&gt;=T$5-4, $F265&lt;=T$5, COUNTIF($M265:S265,"u")=0), "u", "")</f>
        <v/>
      </c>
      <c r="U265" s="80" t="str">
        <f>IF(AND($F265&lt;&gt;"", $F265&gt;=U$5-4, $F265&lt;=U$5, COUNTIF($M265:T265,"u")=0), "u", "")</f>
        <v/>
      </c>
      <c r="V265" s="80" t="str">
        <f>IF(AND($F265&lt;&gt;"", $F265&gt;=V$5-4, $F265&lt;=V$5, COUNTIF($M265:U265,"u")=0), "u", "")</f>
        <v/>
      </c>
      <c r="W265" s="80" t="str">
        <f>IF(AND($F265&lt;&gt;"", $F265&gt;=W$5-4, $F265&lt;=W$5, COUNTIF($M265:V265,"u")=0), "u", "")</f>
        <v/>
      </c>
      <c r="X265" s="80" t="str">
        <f>IF(AND($F265&lt;&gt;"", $F265&gt;=X$5-4, $F265&lt;=X$5, COUNTIF($M265:W265,"u")=0), "u", "")</f>
        <v/>
      </c>
      <c r="Y265" s="80" t="str">
        <f>IF(AND($F265&lt;&gt;"", $F265&gt;=Y$5-4, $F265&lt;=Y$5, COUNTIF($M265:X265,"u")=0), "u", "")</f>
        <v/>
      </c>
      <c r="Z265" s="80" t="str">
        <f>IF(AND($F265&lt;&gt;"", $F265&gt;=Z$5-4, $F265&lt;=Z$5, COUNTIF($M265:Y265,"u")=0), "u", "")</f>
        <v/>
      </c>
      <c r="AA265" s="80" t="str">
        <f>IF(AND($F265&lt;&gt;"", $F265&gt;=AA$5-4, $F265&lt;=AA$5, COUNTIF($M265:Z265,"u")=0), "u", "")</f>
        <v/>
      </c>
      <c r="AB265" s="80" t="str">
        <f>IF(AND($F265&lt;&gt;"", $F265&gt;=AB$5-4, $F265&lt;=AB$5, COUNTIF($M265:AA265,"u")=0), "u", "")</f>
        <v/>
      </c>
      <c r="AC265" s="80" t="str">
        <f>IF(AND($F265&lt;&gt;"", $F265&gt;=AC$5-4, $F265&lt;=AC$5, COUNTIF($M265:AB265,"u")=0), "u", "")</f>
        <v/>
      </c>
      <c r="AD265" s="80" t="str">
        <f>IF(AND($F265&lt;&gt;"", $F265&gt;=AD$5-4, $F265&lt;=AD$5, COUNTIF($M265:AC265,"u")=0), "u", "")</f>
        <v/>
      </c>
      <c r="AE265" s="80" t="str">
        <f>IF(AND($F265&lt;&gt;"", $F265&gt;=AE$5-4, $F265&lt;=AE$5, COUNTIF($M265:AD265,"u")=0), "u", "")</f>
        <v/>
      </c>
      <c r="AF265" s="80" t="str">
        <f>IF(AND($F265&lt;&gt;"", $F265&gt;=AF$5-4, $F265&lt;=AF$5, COUNTIF($M265:AE265,"u")=0), "u", "")</f>
        <v/>
      </c>
      <c r="AG265" s="80" t="str">
        <f>IF(AND($F265&lt;&gt;"", $F265&gt;=AG$5-4, $F265&lt;=AG$5, COUNTIF($M265:AF265,"u")=0), "u", "")</f>
        <v/>
      </c>
      <c r="AH265" s="80" t="str">
        <f>IF(AND($F265&lt;&gt;"", $F265&gt;=AH$5-4, $F265&lt;=AH$5, COUNTIF($M265:AG265,"u")=0), "u", "")</f>
        <v/>
      </c>
      <c r="AI265" s="80" t="str">
        <f>IF(AND($F265&lt;&gt;"", $F265&gt;=AI$5-4, $F265&lt;=AI$5, COUNTIF($M265:AH265,"u")=0), "u", "")</f>
        <v/>
      </c>
      <c r="AJ265" s="80" t="str">
        <f>IF(AND($F265&lt;&gt;"", $F265&gt;=AJ$5-4, $F265&lt;=AJ$5, COUNTIF($M265:AI265,"u")=0), "u", "")</f>
        <v/>
      </c>
      <c r="AK265" s="80" t="str">
        <f>IF(AND($F265&lt;&gt;"", $F265&gt;=AK$5-4, $F265&lt;=AK$5, COUNTIF($M265:AJ265,"u")=0), "u", "")</f>
        <v/>
      </c>
      <c r="AL265" s="80" t="str">
        <f>IF(AND($F265&lt;&gt;"", $F265&gt;=AL$5-4, $F265&lt;=AL$5, COUNTIF($M265:AK265,"u")=0), "u", "")</f>
        <v/>
      </c>
      <c r="AM265" s="80" t="str">
        <f>IF(AND($F265&lt;&gt;"", $F265&gt;=AM$5-4, $F265&lt;=AM$5, COUNTIF($M265:AL265,"u")=0), "u", "")</f>
        <v/>
      </c>
      <c r="AN265" s="80" t="str">
        <f>IF(AND($F265&lt;&gt;"", $F265&gt;=AN$5-4, $F265&lt;=AN$5, COUNTIF($M265:AM265,"u")=0), "u", "")</f>
        <v/>
      </c>
      <c r="AO265" s="80" t="str">
        <f>IF(AND($F265&lt;&gt;"", $F265&gt;=AO$5-4, $F265&lt;=AO$5, COUNTIF($M265:AN265,"u")=0), "u", "")</f>
        <v/>
      </c>
      <c r="AP265" s="80" t="str">
        <f>IF(AND($F265&lt;&gt;"", $F265&gt;=AP$5-4, $F265&lt;=AP$5, COUNTIF($M265:AO265,"u")=0), "u", "")</f>
        <v/>
      </c>
      <c r="AQ265" s="80" t="str">
        <f>IF(AND($F265&lt;&gt;"", $F265&gt;=AQ$5-4, $F265&lt;=AQ$5, COUNTIF($M265:AP265,"u")=0), "u", "")</f>
        <v/>
      </c>
      <c r="AR265" s="80" t="str">
        <f>IF(AND($F265&lt;&gt;"", $F265&gt;=AR$5-4, $F265&lt;=AR$5, COUNTIF($M265:AQ265,"u")=0), "u", "")</f>
        <v/>
      </c>
      <c r="AS265" s="80" t="str">
        <f>IF(AND($F265&lt;&gt;"", $F265&gt;=AS$5-4, $F265&lt;=AS$5, COUNTIF($M265:AR265,"u")=0), "u", "")</f>
        <v/>
      </c>
      <c r="AT265" s="80" t="str">
        <f>IF(AND($F265&lt;&gt;"", $F265&gt;=AT$5-4, $F265&lt;=AT$5, COUNTIF($M265:AS265,"u")=0), "u", "")</f>
        <v/>
      </c>
      <c r="AU265" s="80" t="str">
        <f>IF(AND($F265&lt;&gt;"", $F265&gt;=AU$5-4, $F265&lt;=AU$5, COUNTIF($M265:AT265,"u")=0), "u", "")</f>
        <v/>
      </c>
      <c r="AV265" s="80" t="str">
        <f>IF(AND($F265&lt;&gt;"", $F265&gt;=AV$5-4, $F265&lt;=AV$5, COUNTIF($M265:AU265,"u")=0), "u", "")</f>
        <v/>
      </c>
      <c r="AW265" s="80" t="str">
        <f>IF(AND($F265&lt;&gt;"", $F265&gt;=AW$5-4, $F265&lt;=AW$5, COUNTIF($M265:AV265,"u")=0), "u", "")</f>
        <v/>
      </c>
      <c r="AX265" s="80" t="str">
        <f>IF(AND($F265&lt;&gt;"", $F265&gt;=AX$5-4, $F265&lt;=AX$5, COUNTIF($M265:AW265,"u")=0), "u", "")</f>
        <v/>
      </c>
      <c r="AY265" s="80" t="str">
        <f>IF(AND($F265&lt;&gt;"", $F265&gt;=AY$5-4, $F265&lt;=AY$5, COUNTIF($M265:AX265,"u")=0), "u", "")</f>
        <v/>
      </c>
      <c r="AZ265" s="80" t="str">
        <f>IF(AND($F265&lt;&gt;"", $F265&gt;=AZ$5-4, $F265&lt;=AZ$5, COUNTIF($M265:AY265,"u")=0), "u", "")</f>
        <v/>
      </c>
      <c r="BA265" s="80" t="str">
        <f>IF(AND($F265&lt;&gt;"", $F265&gt;=BA$5-4, $F265&lt;=BA$5, COUNTIF($M265:AZ265,"u")=0), "u", "")</f>
        <v/>
      </c>
      <c r="BB265" s="80" t="str">
        <f>IF(AND($F265&lt;&gt;"", $F265&gt;=BB$5-4, $F265&lt;=BB$5, COUNTIF($M265:BA265,"u")=0), "u", "")</f>
        <v/>
      </c>
      <c r="BC265" s="80" t="str">
        <f>IF(AND($F265&lt;&gt;"", $F265&gt;=BC$5-4, $F265&lt;=BC$5, COUNTIF($M265:BB265,"u")=0), "u", "")</f>
        <v/>
      </c>
      <c r="BD265" s="80" t="str">
        <f>IF(AND($F265&lt;&gt;"", $F265&gt;=BD$5-4, $F265&lt;=BD$5, COUNTIF($M265:BC265,"u")=0), "u", "")</f>
        <v/>
      </c>
      <c r="BE265" s="80" t="str">
        <f>IF(AND($F265&lt;&gt;"", $F265&gt;=BE$5-4, $F265&lt;=BE$5, COUNTIF($M265:BD265,"u")=0), "u", "")</f>
        <v/>
      </c>
      <c r="BF265" s="80" t="str">
        <f>IF(AND($F265&lt;&gt;"", $F265&gt;=BF$5-4, $F265&lt;=BF$5, COUNTIF($M265:BE265,"u")=0), "u", "")</f>
        <v/>
      </c>
      <c r="BG265" s="80" t="str">
        <f>IF(AND($F265&lt;&gt;"", $F265&gt;=BG$5-4, $F265&lt;=BG$5, COUNTIF($M265:BF265,"u")=0), "u", "")</f>
        <v/>
      </c>
      <c r="BH265" s="80" t="str">
        <f>IF(AND($F265&lt;&gt;"", $F265&gt;=BH$5-4, $F265&lt;=BH$5, COUNTIF($M265:BG265,"u")=0), "u", "")</f>
        <v/>
      </c>
      <c r="BI265" s="80" t="str">
        <f>IF(AND($F265&lt;&gt;"", $F265&gt;=BI$5-4, $F265&lt;=BI$5, COUNTIF($M265:BH265,"u")=0), "u", "")</f>
        <v/>
      </c>
      <c r="BJ265" s="80" t="str">
        <f>IF(AND($F265&lt;&gt;"", $F265&gt;=BJ$5-4, $F265&lt;=BJ$5, COUNTIF($M265:BI265,"u")=0), "u", "")</f>
        <v/>
      </c>
      <c r="BK265" s="80" t="str">
        <f>IF(AND($F265&lt;&gt;"", $F265&gt;=BK$5-4, $F265&lt;=BK$5, COUNTIF($M265:BJ265,"u")=0), "u", "")</f>
        <v/>
      </c>
      <c r="BL265" s="80" t="str">
        <f>IF(AND($F265&lt;&gt;"", $F265&gt;=BL$5-4, $F265&lt;=BL$5, COUNTIF($M265:BK265,"u")=0), "u", "")</f>
        <v/>
      </c>
      <c r="BM265" s="80" t="str">
        <f>IF(AND($F265&lt;&gt;"", $F265&gt;=BM$5-4, $F265&lt;=BM$5, COUNTIF($M265:BL265,"u")=0), "u", "")</f>
        <v/>
      </c>
      <c r="BN265" s="80" t="str">
        <f>IF(AND($F265&lt;&gt;"", $F265&gt;=BN$5-4, $F265&lt;=BN$5, COUNTIF($M265:BM265,"u")=0), "u", "")</f>
        <v/>
      </c>
      <c r="BO265" s="80" t="str">
        <f>IF(AND($F265&lt;&gt;"", $F265&gt;=BO$5-4, $F265&lt;=BO$5, COUNTIF($M265:BN265,"u")=0), "u", "")</f>
        <v/>
      </c>
      <c r="BP265" s="80" t="str">
        <f>IF(AND($F265&lt;&gt;"", $F265&gt;=BP$5-4, $F265&lt;=BP$5, COUNTIF($M265:BO265,"u")=0), "u", "")</f>
        <v/>
      </c>
      <c r="BQ265" s="80" t="str">
        <f>IF(AND($F265&lt;&gt;"", $F265&gt;=BQ$5-4, $F265&lt;=BQ$5, COUNTIF($M265:BP265,"u")=0), "u", "")</f>
        <v/>
      </c>
      <c r="BR265" s="80" t="str">
        <f>IF(AND($F265&lt;&gt;"", $F265&gt;=BR$5-4, $F265&lt;=BR$5, COUNTIF($M265:BQ265,"u")=0), "u", "")</f>
        <v/>
      </c>
      <c r="BS265" s="80" t="str">
        <f>IF(AND($F265&lt;&gt;"", $F265&gt;=BS$5-4, $F265&lt;=BS$5, COUNTIF($M265:BR265,"u")=0), "u", "")</f>
        <v/>
      </c>
      <c r="BT265" s="80" t="str">
        <f>IF(AND($F265&lt;&gt;"", $F265&gt;=BT$5-4, $F265&lt;=BT$5, COUNTIF($M265:BS265,"u")=0), "u", "")</f>
        <v/>
      </c>
      <c r="BU265" s="80" t="str">
        <f>IF(AND($F265&lt;&gt;"", $F265&gt;=BU$5-4, $F265&lt;=BU$5, COUNTIF($M265:BT265,"u")=0), "u", "")</f>
        <v/>
      </c>
      <c r="BV265" s="80" t="str">
        <f>IF(AND($F265&lt;&gt;"", $F265&gt;=BV$5-4, $F265&lt;=BV$5, COUNTIF($M265:BU265,"u")=0), "u", "")</f>
        <v/>
      </c>
      <c r="BW265" s="80" t="str">
        <f>IF(AND($F265&lt;&gt;"", $F265&gt;=BW$5-4, $F265&lt;=BW$5, COUNTIF($M265:BV265,"u")=0), "u", "")</f>
        <v/>
      </c>
      <c r="BX265" s="80" t="str">
        <f>IF(AND($F265&lt;&gt;"", $F265&gt;=BX$5-4, $F265&lt;=BX$5, COUNTIF($M265:BW265,"u")=0), "u", "")</f>
        <v/>
      </c>
      <c r="BY265" s="80" t="str">
        <f>IF(AND($F265&lt;&gt;"", $F265&gt;=BY$5-4, $F265&lt;=BY$5, COUNTIF($M265:BX265,"u")=0), "u", "")</f>
        <v/>
      </c>
      <c r="BZ265" s="80" t="str">
        <f>IF(AND($F265&lt;&gt;"", $F265&gt;=BZ$5-4, $F265&lt;=BZ$5, COUNTIF($M265:BY265,"u")=0), "u", "")</f>
        <v/>
      </c>
      <c r="CA265" s="80" t="str">
        <f>IF(AND($F265&lt;&gt;"", $F265&gt;=CA$5-4, $F265&lt;=CA$5, COUNTIF($M265:BZ265,"u")=0), "u", "")</f>
        <v/>
      </c>
      <c r="CB265" s="80" t="str">
        <f>IF(AND($F265&lt;&gt;"", $F265&gt;=CB$5-4, $F265&lt;=CB$5, COUNTIF($M265:CA265,"u")=0), "u", "")</f>
        <v/>
      </c>
      <c r="CC265" s="80" t="str">
        <f>IF(AND($F265&lt;&gt;"", $F265&gt;=CC$5-4, $F265&lt;=CC$5, COUNTIF($M265:CB265,"u")=0), "u", "")</f>
        <v/>
      </c>
      <c r="CD265" s="80" t="str">
        <f>IF(AND($F265&lt;&gt;"", $F265&gt;=CD$5-4, $F265&lt;=CD$5, COUNTIF($M265:CC265,"u")=0), "u", "")</f>
        <v/>
      </c>
      <c r="CE265" s="80" t="str">
        <f>IF(AND($F265&lt;&gt;"", $F265&gt;=CE$5-4, $F265&lt;=CE$5, COUNTIF($M265:CD265,"u")=0), "u", "")</f>
        <v/>
      </c>
      <c r="CF265" s="80" t="str">
        <f>IF(AND($F265&lt;&gt;"", $F265&gt;=CF$5-4, $F265&lt;=CF$5, COUNTIF($M265:CE265,"u")=0), "u", "")</f>
        <v/>
      </c>
      <c r="CG265" s="80" t="str">
        <f>IF(AND($F265&lt;&gt;"", $F265&gt;=CG$5-4, $F265&lt;=CG$5, COUNTIF($M265:CF265,"u")=0), "u", "")</f>
        <v/>
      </c>
      <c r="CH265" s="80" t="str">
        <f>IF(AND($F265&lt;&gt;"", $F265&gt;=CH$5-4, $F265&lt;=CH$5, COUNTIF($M265:CG265,"u")=0), "u", "")</f>
        <v/>
      </c>
      <c r="CI265" s="80" t="str">
        <f>IF(AND($F265&lt;&gt;"", $F265&gt;=CI$5-4, $F265&lt;=CI$5, COUNTIF($M265:CH265,"u")=0), "u", "")</f>
        <v/>
      </c>
      <c r="CJ265" s="80" t="str">
        <f>IF(AND($F265&lt;&gt;"", $F265&gt;=CJ$5-4, $F265&lt;=CJ$5, COUNTIF($M265:CI265,"u")=0), "u", "")</f>
        <v/>
      </c>
      <c r="CK265" s="80" t="str">
        <f>IF(AND($F265&lt;&gt;"", $F265&gt;=CK$5-4, $F265&lt;=CK$5, COUNTIF($M265:CJ265,"u")=0), "u", "")</f>
        <v/>
      </c>
      <c r="CL265" s="80" t="str">
        <f>IF(AND($F265&lt;&gt;"", $F265&gt;=CL$5-4, $F265&lt;=CL$5, COUNTIF($M265:CK265,"u")=0), "u", "")</f>
        <v/>
      </c>
      <c r="CM265" s="80" t="str">
        <f>IF(AND($F265&lt;&gt;"", $F265&gt;=CM$5-4, $F265&lt;=CM$5, COUNTIF($M265:CL265,"u")=0), "u", "")</f>
        <v/>
      </c>
      <c r="CN265" s="80" t="str">
        <f>IF(AND($F265&lt;&gt;"", $F265&gt;=CN$5-4, $F265&lt;=CN$5, COUNTIF($M265:CM265,"u")=0), "u", "")</f>
        <v/>
      </c>
      <c r="CO265" s="80" t="str">
        <f>IF(AND($F265&lt;&gt;"", $F265&gt;=CO$5-4, $F265&lt;=CO$5, COUNTIF($M265:CN265,"u")=0), "u", "")</f>
        <v/>
      </c>
      <c r="CP265" s="80" t="str">
        <f>IF(AND($F265&lt;&gt;"", $F265&gt;=CP$5-4, $F265&lt;=CP$5, COUNTIF($M265:CO265,"u")=0), "u", "")</f>
        <v/>
      </c>
      <c r="CQ265" s="80" t="str">
        <f>IF(AND($F265&lt;&gt;"", $F265&gt;=CQ$5-4, $F265&lt;=CQ$5, COUNTIF($M265:CP265,"u")=0), "u", "")</f>
        <v/>
      </c>
      <c r="CR265" s="80" t="str">
        <f>IF(AND($F265&lt;&gt;"", $F265&gt;=CR$5-4, $F265&lt;=CR$5, COUNTIF($M265:CQ265,"u")=0), "u", "")</f>
        <v/>
      </c>
      <c r="CS265" s="80" t="str">
        <f>IF(AND($F265&lt;&gt;"", $F265&gt;=CS$5-4, $F265&lt;=CS$5, COUNTIF($M265:CR265,"u")=0), "u", "")</f>
        <v/>
      </c>
      <c r="CT265" s="80" t="str">
        <f>IF(AND($F265&lt;&gt;"", $F265&gt;=CT$5-4, $F265&lt;=CT$5, COUNTIF($M265:CS265,"u")=0), "u", "")</f>
        <v/>
      </c>
      <c r="CU265" s="80" t="str">
        <f>IF(AND($F265&lt;&gt;"", $F265&gt;=CU$5-4, $F265&lt;=CU$5, COUNTIF($M265:CT265,"u")=0), "u", "")</f>
        <v/>
      </c>
      <c r="CV265" s="80" t="str">
        <f>IF(AND($F265&lt;&gt;"", $F265&gt;=CV$5-4, $F265&lt;=CV$5, COUNTIF($M265:CU265,"u")=0), "u", "")</f>
        <v/>
      </c>
      <c r="CW265" s="80" t="str">
        <f>IF(AND($F265&lt;&gt;"", $F265&gt;=CW$5-4, $F265&lt;=CW$5, COUNTIF($M265:CV265,"u")=0), "u", "")</f>
        <v/>
      </c>
      <c r="CX265" s="80" t="str">
        <f>IF(AND($F265&lt;&gt;"", $F265&gt;=CX$5-4, $F265&lt;=CX$5, COUNTIF($M265:CW265,"u")=0), "u", "")</f>
        <v/>
      </c>
      <c r="CY265" s="80" t="str">
        <f>IF(AND($F265&lt;&gt;"", $F265&gt;=CY$5-4, $F265&lt;=CY$5, COUNTIF($M265:CX265,"u")=0), "u", "")</f>
        <v/>
      </c>
      <c r="CZ265" s="80" t="str">
        <f>IF(AND($F265&lt;&gt;"", $F265&gt;=CZ$5-4, $F265&lt;=CZ$5, COUNTIF($M265:CY265,"u")=0), "u", "")</f>
        <v/>
      </c>
      <c r="DA265" s="80" t="str">
        <f>IF(AND($F265&lt;&gt;"", $F265&gt;=DA$5-4, $F265&lt;=DA$5, COUNTIF($M265:CZ265,"u")=0), "u", "")</f>
        <v/>
      </c>
      <c r="DB265" s="80" t="str">
        <f>IF(AND($F265&lt;&gt;"", $F265&gt;=DB$5-4, $F265&lt;=DB$5, COUNTIF($M265:DA265,"u")=0), "u", "")</f>
        <v/>
      </c>
      <c r="DC265" s="80" t="str">
        <f>IF(AND($F265&lt;&gt;"", $F265&gt;=DC$5-4, $F265&lt;=DC$5, COUNTIF($M265:DB265,"u")=0), "u", "")</f>
        <v/>
      </c>
      <c r="DD265" s="80" t="str">
        <f>IF(AND($F265&lt;&gt;"", $F265&gt;=DD$5-4, $F265&lt;=DD$5, COUNTIF($M265:DC265,"u")=0), "u", "")</f>
        <v/>
      </c>
      <c r="DE265" s="80" t="str">
        <f>IF(AND($F265&lt;&gt;"", $F265&gt;=DE$5-4, $F265&lt;=DE$5, COUNTIF($M265:DD265,"u")=0), "u", "")</f>
        <v/>
      </c>
      <c r="DF265" s="80" t="str">
        <f>IF(AND($F265&lt;&gt;"", $F265&gt;=DF$5-4, $F265&lt;=DF$5, COUNTIF($M265:DE265,"u")=0), "u", "")</f>
        <v/>
      </c>
      <c r="DG265" s="80" t="str">
        <f>IF(AND($F265&lt;&gt;"", $F265&gt;=DG$5-4, $F265&lt;=DG$5, COUNTIF($M265:DF265,"u")=0), "u", "")</f>
        <v/>
      </c>
      <c r="DH265" s="80" t="str">
        <f>IF(AND($F265&lt;&gt;"", $F265&gt;=DH$5-4, $F265&lt;=DH$5, COUNTIF($M265:DG265,"u")=0), "u", "")</f>
        <v/>
      </c>
      <c r="DI265" s="80" t="str">
        <f>IF(AND($F265&lt;&gt;"", $F265&gt;=DI$5-4, $F265&lt;=DI$5, COUNTIF($M265:DH265,"u")=0), "u", "")</f>
        <v/>
      </c>
      <c r="DJ265" s="80" t="str">
        <f>IF(AND($F265&lt;&gt;"", $F265&gt;=DJ$5-4, $F265&lt;=DJ$5, COUNTIF($M265:DI265,"u")=0), "u", "")</f>
        <v/>
      </c>
      <c r="DK265" s="80" t="str">
        <f>IF(AND($F265&lt;&gt;"", $F265&gt;=DK$5-4, $F265&lt;=DK$5, COUNTIF($M265:DJ265,"u")=0), "u", "")</f>
        <v/>
      </c>
      <c r="DL265" s="80" t="str">
        <f>IF(AND($F265&lt;&gt;"", $F265&gt;=DL$5-4, $F265&lt;=DL$5, COUNTIF($M265:DK265,"u")=0), "u", "")</f>
        <v/>
      </c>
    </row>
    <row r="266" spans="1:116" ht="25.05" customHeight="1" x14ac:dyDescent="0.3">
      <c r="A266" s="39"/>
      <c r="B266" s="75">
        <v>261</v>
      </c>
      <c r="C266" s="97"/>
      <c r="D266" s="92"/>
      <c r="E266" s="53"/>
      <c r="F266" s="53"/>
      <c r="G266" s="83" t="str">
        <f t="shared" si="56"/>
        <v/>
      </c>
      <c r="H266" s="83" t="str">
        <f t="shared" si="56"/>
        <v/>
      </c>
      <c r="I266" s="77" t="str">
        <f t="shared" si="57"/>
        <v/>
      </c>
      <c r="J266" s="78"/>
      <c r="K266" s="86"/>
      <c r="L266" s="56"/>
      <c r="M266" s="80" t="str">
        <f t="shared" si="58"/>
        <v/>
      </c>
      <c r="N266" s="80" t="str">
        <f>IF(AND($F266&lt;&gt;"", $F266&gt;=N$5-4, $F266&lt;=N$5, COUNTIF($M266:M266,"u")=0), "u", "")</f>
        <v/>
      </c>
      <c r="O266" s="80" t="str">
        <f>IF(AND($F266&lt;&gt;"", $F266&gt;=O$5-4, $F266&lt;=O$5, COUNTIF($M266:N266,"u")=0), "u", "")</f>
        <v/>
      </c>
      <c r="P266" s="80" t="str">
        <f>IF(AND($F266&lt;&gt;"", $F266&gt;=P$5-4, $F266&lt;=P$5, COUNTIF($M266:O266,"u")=0), "u", "")</f>
        <v/>
      </c>
      <c r="Q266" s="80" t="str">
        <f>IF(AND($F266&lt;&gt;"", $F266&gt;=Q$5-4, $F266&lt;=Q$5, COUNTIF($M266:P266,"u")=0), "u", "")</f>
        <v/>
      </c>
      <c r="R266" s="80" t="str">
        <f>IF(AND($F266&lt;&gt;"", $F266&gt;=R$5-4, $F266&lt;=R$5, COUNTIF($M266:Q266,"u")=0), "u", "")</f>
        <v/>
      </c>
      <c r="S266" s="80" t="str">
        <f>IF(AND($F266&lt;&gt;"", $F266&gt;=S$5-4, $F266&lt;=S$5, COUNTIF($M266:R266,"u")=0), "u", "")</f>
        <v/>
      </c>
      <c r="T266" s="80" t="str">
        <f>IF(AND($F266&lt;&gt;"", $F266&gt;=T$5-4, $F266&lt;=T$5, COUNTIF($M266:S266,"u")=0), "u", "")</f>
        <v/>
      </c>
      <c r="U266" s="80" t="str">
        <f>IF(AND($F266&lt;&gt;"", $F266&gt;=U$5-4, $F266&lt;=U$5, COUNTIF($M266:T266,"u")=0), "u", "")</f>
        <v/>
      </c>
      <c r="V266" s="80" t="str">
        <f>IF(AND($F266&lt;&gt;"", $F266&gt;=V$5-4, $F266&lt;=V$5, COUNTIF($M266:U266,"u")=0), "u", "")</f>
        <v/>
      </c>
      <c r="W266" s="80" t="str">
        <f>IF(AND($F266&lt;&gt;"", $F266&gt;=W$5-4, $F266&lt;=W$5, COUNTIF($M266:V266,"u")=0), "u", "")</f>
        <v/>
      </c>
      <c r="X266" s="80" t="str">
        <f>IF(AND($F266&lt;&gt;"", $F266&gt;=X$5-4, $F266&lt;=X$5, COUNTIF($M266:W266,"u")=0), "u", "")</f>
        <v/>
      </c>
      <c r="Y266" s="80" t="str">
        <f>IF(AND($F266&lt;&gt;"", $F266&gt;=Y$5-4, $F266&lt;=Y$5, COUNTIF($M266:X266,"u")=0), "u", "")</f>
        <v/>
      </c>
      <c r="Z266" s="80" t="str">
        <f>IF(AND($F266&lt;&gt;"", $F266&gt;=Z$5-4, $F266&lt;=Z$5, COUNTIF($M266:Y266,"u")=0), "u", "")</f>
        <v/>
      </c>
      <c r="AA266" s="80" t="str">
        <f>IF(AND($F266&lt;&gt;"", $F266&gt;=AA$5-4, $F266&lt;=AA$5, COUNTIF($M266:Z266,"u")=0), "u", "")</f>
        <v/>
      </c>
      <c r="AB266" s="80" t="str">
        <f>IF(AND($F266&lt;&gt;"", $F266&gt;=AB$5-4, $F266&lt;=AB$5, COUNTIF($M266:AA266,"u")=0), "u", "")</f>
        <v/>
      </c>
      <c r="AC266" s="80" t="str">
        <f>IF(AND($F266&lt;&gt;"", $F266&gt;=AC$5-4, $F266&lt;=AC$5, COUNTIF($M266:AB266,"u")=0), "u", "")</f>
        <v/>
      </c>
      <c r="AD266" s="80" t="str">
        <f>IF(AND($F266&lt;&gt;"", $F266&gt;=AD$5-4, $F266&lt;=AD$5, COUNTIF($M266:AC266,"u")=0), "u", "")</f>
        <v/>
      </c>
      <c r="AE266" s="80" t="str">
        <f>IF(AND($F266&lt;&gt;"", $F266&gt;=AE$5-4, $F266&lt;=AE$5, COUNTIF($M266:AD266,"u")=0), "u", "")</f>
        <v/>
      </c>
      <c r="AF266" s="80" t="str">
        <f>IF(AND($F266&lt;&gt;"", $F266&gt;=AF$5-4, $F266&lt;=AF$5, COUNTIF($M266:AE266,"u")=0), "u", "")</f>
        <v/>
      </c>
      <c r="AG266" s="80" t="str">
        <f>IF(AND($F266&lt;&gt;"", $F266&gt;=AG$5-4, $F266&lt;=AG$5, COUNTIF($M266:AF266,"u")=0), "u", "")</f>
        <v/>
      </c>
      <c r="AH266" s="80" t="str">
        <f>IF(AND($F266&lt;&gt;"", $F266&gt;=AH$5-4, $F266&lt;=AH$5, COUNTIF($M266:AG266,"u")=0), "u", "")</f>
        <v/>
      </c>
      <c r="AI266" s="80" t="str">
        <f>IF(AND($F266&lt;&gt;"", $F266&gt;=AI$5-4, $F266&lt;=AI$5, COUNTIF($M266:AH266,"u")=0), "u", "")</f>
        <v/>
      </c>
      <c r="AJ266" s="80" t="str">
        <f>IF(AND($F266&lt;&gt;"", $F266&gt;=AJ$5-4, $F266&lt;=AJ$5, COUNTIF($M266:AI266,"u")=0), "u", "")</f>
        <v/>
      </c>
      <c r="AK266" s="80" t="str">
        <f>IF(AND($F266&lt;&gt;"", $F266&gt;=AK$5-4, $F266&lt;=AK$5, COUNTIF($M266:AJ266,"u")=0), "u", "")</f>
        <v/>
      </c>
      <c r="AL266" s="80" t="str">
        <f>IF(AND($F266&lt;&gt;"", $F266&gt;=AL$5-4, $F266&lt;=AL$5, COUNTIF($M266:AK266,"u")=0), "u", "")</f>
        <v/>
      </c>
      <c r="AM266" s="80" t="str">
        <f>IF(AND($F266&lt;&gt;"", $F266&gt;=AM$5-4, $F266&lt;=AM$5, COUNTIF($M266:AL266,"u")=0), "u", "")</f>
        <v/>
      </c>
      <c r="AN266" s="80" t="str">
        <f>IF(AND($F266&lt;&gt;"", $F266&gt;=AN$5-4, $F266&lt;=AN$5, COUNTIF($M266:AM266,"u")=0), "u", "")</f>
        <v/>
      </c>
      <c r="AO266" s="80" t="str">
        <f>IF(AND($F266&lt;&gt;"", $F266&gt;=AO$5-4, $F266&lt;=AO$5, COUNTIF($M266:AN266,"u")=0), "u", "")</f>
        <v/>
      </c>
      <c r="AP266" s="80" t="str">
        <f>IF(AND($F266&lt;&gt;"", $F266&gt;=AP$5-4, $F266&lt;=AP$5, COUNTIF($M266:AO266,"u")=0), "u", "")</f>
        <v/>
      </c>
      <c r="AQ266" s="80" t="str">
        <f>IF(AND($F266&lt;&gt;"", $F266&gt;=AQ$5-4, $F266&lt;=AQ$5, COUNTIF($M266:AP266,"u")=0), "u", "")</f>
        <v/>
      </c>
      <c r="AR266" s="80" t="str">
        <f>IF(AND($F266&lt;&gt;"", $F266&gt;=AR$5-4, $F266&lt;=AR$5, COUNTIF($M266:AQ266,"u")=0), "u", "")</f>
        <v/>
      </c>
      <c r="AS266" s="80" t="str">
        <f>IF(AND($F266&lt;&gt;"", $F266&gt;=AS$5-4, $F266&lt;=AS$5, COUNTIF($M266:AR266,"u")=0), "u", "")</f>
        <v/>
      </c>
      <c r="AT266" s="80" t="str">
        <f>IF(AND($F266&lt;&gt;"", $F266&gt;=AT$5-4, $F266&lt;=AT$5, COUNTIF($M266:AS266,"u")=0), "u", "")</f>
        <v/>
      </c>
      <c r="AU266" s="80" t="str">
        <f>IF(AND($F266&lt;&gt;"", $F266&gt;=AU$5-4, $F266&lt;=AU$5, COUNTIF($M266:AT266,"u")=0), "u", "")</f>
        <v/>
      </c>
      <c r="AV266" s="80" t="str">
        <f>IF(AND($F266&lt;&gt;"", $F266&gt;=AV$5-4, $F266&lt;=AV$5, COUNTIF($M266:AU266,"u")=0), "u", "")</f>
        <v/>
      </c>
      <c r="AW266" s="80" t="str">
        <f>IF(AND($F266&lt;&gt;"", $F266&gt;=AW$5-4, $F266&lt;=AW$5, COUNTIF($M266:AV266,"u")=0), "u", "")</f>
        <v/>
      </c>
      <c r="AX266" s="80" t="str">
        <f>IF(AND($F266&lt;&gt;"", $F266&gt;=AX$5-4, $F266&lt;=AX$5, COUNTIF($M266:AW266,"u")=0), "u", "")</f>
        <v/>
      </c>
      <c r="AY266" s="80" t="str">
        <f>IF(AND($F266&lt;&gt;"", $F266&gt;=AY$5-4, $F266&lt;=AY$5, COUNTIF($M266:AX266,"u")=0), "u", "")</f>
        <v/>
      </c>
      <c r="AZ266" s="80" t="str">
        <f>IF(AND($F266&lt;&gt;"", $F266&gt;=AZ$5-4, $F266&lt;=AZ$5, COUNTIF($M266:AY266,"u")=0), "u", "")</f>
        <v/>
      </c>
      <c r="BA266" s="80" t="str">
        <f>IF(AND($F266&lt;&gt;"", $F266&gt;=BA$5-4, $F266&lt;=BA$5, COUNTIF($M266:AZ266,"u")=0), "u", "")</f>
        <v/>
      </c>
      <c r="BB266" s="80" t="str">
        <f>IF(AND($F266&lt;&gt;"", $F266&gt;=BB$5-4, $F266&lt;=BB$5, COUNTIF($M266:BA266,"u")=0), "u", "")</f>
        <v/>
      </c>
      <c r="BC266" s="80" t="str">
        <f>IF(AND($F266&lt;&gt;"", $F266&gt;=BC$5-4, $F266&lt;=BC$5, COUNTIF($M266:BB266,"u")=0), "u", "")</f>
        <v/>
      </c>
      <c r="BD266" s="80" t="str">
        <f>IF(AND($F266&lt;&gt;"", $F266&gt;=BD$5-4, $F266&lt;=BD$5, COUNTIF($M266:BC266,"u")=0), "u", "")</f>
        <v/>
      </c>
      <c r="BE266" s="80" t="str">
        <f>IF(AND($F266&lt;&gt;"", $F266&gt;=BE$5-4, $F266&lt;=BE$5, COUNTIF($M266:BD266,"u")=0), "u", "")</f>
        <v/>
      </c>
      <c r="BF266" s="80" t="str">
        <f>IF(AND($F266&lt;&gt;"", $F266&gt;=BF$5-4, $F266&lt;=BF$5, COUNTIF($M266:BE266,"u")=0), "u", "")</f>
        <v/>
      </c>
      <c r="BG266" s="80" t="str">
        <f>IF(AND($F266&lt;&gt;"", $F266&gt;=BG$5-4, $F266&lt;=BG$5, COUNTIF($M266:BF266,"u")=0), "u", "")</f>
        <v/>
      </c>
      <c r="BH266" s="80" t="str">
        <f>IF(AND($F266&lt;&gt;"", $F266&gt;=BH$5-4, $F266&lt;=BH$5, COUNTIF($M266:BG266,"u")=0), "u", "")</f>
        <v/>
      </c>
      <c r="BI266" s="80" t="str">
        <f>IF(AND($F266&lt;&gt;"", $F266&gt;=BI$5-4, $F266&lt;=BI$5, COUNTIF($M266:BH266,"u")=0), "u", "")</f>
        <v/>
      </c>
      <c r="BJ266" s="80" t="str">
        <f>IF(AND($F266&lt;&gt;"", $F266&gt;=BJ$5-4, $F266&lt;=BJ$5, COUNTIF($M266:BI266,"u")=0), "u", "")</f>
        <v/>
      </c>
      <c r="BK266" s="80" t="str">
        <f>IF(AND($F266&lt;&gt;"", $F266&gt;=BK$5-4, $F266&lt;=BK$5, COUNTIF($M266:BJ266,"u")=0), "u", "")</f>
        <v/>
      </c>
      <c r="BL266" s="80" t="str">
        <f>IF(AND($F266&lt;&gt;"", $F266&gt;=BL$5-4, $F266&lt;=BL$5, COUNTIF($M266:BK266,"u")=0), "u", "")</f>
        <v/>
      </c>
      <c r="BM266" s="80" t="str">
        <f>IF(AND($F266&lt;&gt;"", $F266&gt;=BM$5-4, $F266&lt;=BM$5, COUNTIF($M266:BL266,"u")=0), "u", "")</f>
        <v/>
      </c>
      <c r="BN266" s="80" t="str">
        <f>IF(AND($F266&lt;&gt;"", $F266&gt;=BN$5-4, $F266&lt;=BN$5, COUNTIF($M266:BM266,"u")=0), "u", "")</f>
        <v/>
      </c>
      <c r="BO266" s="80" t="str">
        <f>IF(AND($F266&lt;&gt;"", $F266&gt;=BO$5-4, $F266&lt;=BO$5, COUNTIF($M266:BN266,"u")=0), "u", "")</f>
        <v/>
      </c>
      <c r="BP266" s="80" t="str">
        <f>IF(AND($F266&lt;&gt;"", $F266&gt;=BP$5-4, $F266&lt;=BP$5, COUNTIF($M266:BO266,"u")=0), "u", "")</f>
        <v/>
      </c>
      <c r="BQ266" s="80" t="str">
        <f>IF(AND($F266&lt;&gt;"", $F266&gt;=BQ$5-4, $F266&lt;=BQ$5, COUNTIF($M266:BP266,"u")=0), "u", "")</f>
        <v/>
      </c>
      <c r="BR266" s="80" t="str">
        <f>IF(AND($F266&lt;&gt;"", $F266&gt;=BR$5-4, $F266&lt;=BR$5, COUNTIF($M266:BQ266,"u")=0), "u", "")</f>
        <v/>
      </c>
      <c r="BS266" s="80" t="str">
        <f>IF(AND($F266&lt;&gt;"", $F266&gt;=BS$5-4, $F266&lt;=BS$5, COUNTIF($M266:BR266,"u")=0), "u", "")</f>
        <v/>
      </c>
      <c r="BT266" s="80" t="str">
        <f>IF(AND($F266&lt;&gt;"", $F266&gt;=BT$5-4, $F266&lt;=BT$5, COUNTIF($M266:BS266,"u")=0), "u", "")</f>
        <v/>
      </c>
      <c r="BU266" s="80" t="str">
        <f>IF(AND($F266&lt;&gt;"", $F266&gt;=BU$5-4, $F266&lt;=BU$5, COUNTIF($M266:BT266,"u")=0), "u", "")</f>
        <v/>
      </c>
      <c r="BV266" s="80" t="str">
        <f>IF(AND($F266&lt;&gt;"", $F266&gt;=BV$5-4, $F266&lt;=BV$5, COUNTIF($M266:BU266,"u")=0), "u", "")</f>
        <v/>
      </c>
      <c r="BW266" s="80" t="str">
        <f>IF(AND($F266&lt;&gt;"", $F266&gt;=BW$5-4, $F266&lt;=BW$5, COUNTIF($M266:BV266,"u")=0), "u", "")</f>
        <v/>
      </c>
      <c r="BX266" s="80" t="str">
        <f>IF(AND($F266&lt;&gt;"", $F266&gt;=BX$5-4, $F266&lt;=BX$5, COUNTIF($M266:BW266,"u")=0), "u", "")</f>
        <v/>
      </c>
      <c r="BY266" s="80" t="str">
        <f>IF(AND($F266&lt;&gt;"", $F266&gt;=BY$5-4, $F266&lt;=BY$5, COUNTIF($M266:BX266,"u")=0), "u", "")</f>
        <v/>
      </c>
      <c r="BZ266" s="80" t="str">
        <f>IF(AND($F266&lt;&gt;"", $F266&gt;=BZ$5-4, $F266&lt;=BZ$5, COUNTIF($M266:BY266,"u")=0), "u", "")</f>
        <v/>
      </c>
      <c r="CA266" s="80" t="str">
        <f>IF(AND($F266&lt;&gt;"", $F266&gt;=CA$5-4, $F266&lt;=CA$5, COUNTIF($M266:BZ266,"u")=0), "u", "")</f>
        <v/>
      </c>
      <c r="CB266" s="80" t="str">
        <f>IF(AND($F266&lt;&gt;"", $F266&gt;=CB$5-4, $F266&lt;=CB$5, COUNTIF($M266:CA266,"u")=0), "u", "")</f>
        <v/>
      </c>
      <c r="CC266" s="80" t="str">
        <f>IF(AND($F266&lt;&gt;"", $F266&gt;=CC$5-4, $F266&lt;=CC$5, COUNTIF($M266:CB266,"u")=0), "u", "")</f>
        <v/>
      </c>
      <c r="CD266" s="80" t="str">
        <f>IF(AND($F266&lt;&gt;"", $F266&gt;=CD$5-4, $F266&lt;=CD$5, COUNTIF($M266:CC266,"u")=0), "u", "")</f>
        <v/>
      </c>
      <c r="CE266" s="80" t="str">
        <f>IF(AND($F266&lt;&gt;"", $F266&gt;=CE$5-4, $F266&lt;=CE$5, COUNTIF($M266:CD266,"u")=0), "u", "")</f>
        <v/>
      </c>
      <c r="CF266" s="80" t="str">
        <f>IF(AND($F266&lt;&gt;"", $F266&gt;=CF$5-4, $F266&lt;=CF$5, COUNTIF($M266:CE266,"u")=0), "u", "")</f>
        <v/>
      </c>
      <c r="CG266" s="80" t="str">
        <f>IF(AND($F266&lt;&gt;"", $F266&gt;=CG$5-4, $F266&lt;=CG$5, COUNTIF($M266:CF266,"u")=0), "u", "")</f>
        <v/>
      </c>
      <c r="CH266" s="80" t="str">
        <f>IF(AND($F266&lt;&gt;"", $F266&gt;=CH$5-4, $F266&lt;=CH$5, COUNTIF($M266:CG266,"u")=0), "u", "")</f>
        <v/>
      </c>
      <c r="CI266" s="80" t="str">
        <f>IF(AND($F266&lt;&gt;"", $F266&gt;=CI$5-4, $F266&lt;=CI$5, COUNTIF($M266:CH266,"u")=0), "u", "")</f>
        <v/>
      </c>
      <c r="CJ266" s="80" t="str">
        <f>IF(AND($F266&lt;&gt;"", $F266&gt;=CJ$5-4, $F266&lt;=CJ$5, COUNTIF($M266:CI266,"u")=0), "u", "")</f>
        <v/>
      </c>
      <c r="CK266" s="80" t="str">
        <f>IF(AND($F266&lt;&gt;"", $F266&gt;=CK$5-4, $F266&lt;=CK$5, COUNTIF($M266:CJ266,"u")=0), "u", "")</f>
        <v/>
      </c>
      <c r="CL266" s="80" t="str">
        <f>IF(AND($F266&lt;&gt;"", $F266&gt;=CL$5-4, $F266&lt;=CL$5, COUNTIF($M266:CK266,"u")=0), "u", "")</f>
        <v/>
      </c>
      <c r="CM266" s="80" t="str">
        <f>IF(AND($F266&lt;&gt;"", $F266&gt;=CM$5-4, $F266&lt;=CM$5, COUNTIF($M266:CL266,"u")=0), "u", "")</f>
        <v/>
      </c>
      <c r="CN266" s="80" t="str">
        <f>IF(AND($F266&lt;&gt;"", $F266&gt;=CN$5-4, $F266&lt;=CN$5, COUNTIF($M266:CM266,"u")=0), "u", "")</f>
        <v/>
      </c>
      <c r="CO266" s="80" t="str">
        <f>IF(AND($F266&lt;&gt;"", $F266&gt;=CO$5-4, $F266&lt;=CO$5, COUNTIF($M266:CN266,"u")=0), "u", "")</f>
        <v/>
      </c>
      <c r="CP266" s="80" t="str">
        <f>IF(AND($F266&lt;&gt;"", $F266&gt;=CP$5-4, $F266&lt;=CP$5, COUNTIF($M266:CO266,"u")=0), "u", "")</f>
        <v/>
      </c>
      <c r="CQ266" s="80" t="str">
        <f>IF(AND($F266&lt;&gt;"", $F266&gt;=CQ$5-4, $F266&lt;=CQ$5, COUNTIF($M266:CP266,"u")=0), "u", "")</f>
        <v/>
      </c>
      <c r="CR266" s="80" t="str">
        <f>IF(AND($F266&lt;&gt;"", $F266&gt;=CR$5-4, $F266&lt;=CR$5, COUNTIF($M266:CQ266,"u")=0), "u", "")</f>
        <v/>
      </c>
      <c r="CS266" s="80" t="str">
        <f>IF(AND($F266&lt;&gt;"", $F266&gt;=CS$5-4, $F266&lt;=CS$5, COUNTIF($M266:CR266,"u")=0), "u", "")</f>
        <v/>
      </c>
      <c r="CT266" s="80" t="str">
        <f>IF(AND($F266&lt;&gt;"", $F266&gt;=CT$5-4, $F266&lt;=CT$5, COUNTIF($M266:CS266,"u")=0), "u", "")</f>
        <v/>
      </c>
      <c r="CU266" s="80" t="str">
        <f>IF(AND($F266&lt;&gt;"", $F266&gt;=CU$5-4, $F266&lt;=CU$5, COUNTIF($M266:CT266,"u")=0), "u", "")</f>
        <v/>
      </c>
      <c r="CV266" s="80" t="str">
        <f>IF(AND($F266&lt;&gt;"", $F266&gt;=CV$5-4, $F266&lt;=CV$5, COUNTIF($M266:CU266,"u")=0), "u", "")</f>
        <v/>
      </c>
      <c r="CW266" s="80" t="str">
        <f>IF(AND($F266&lt;&gt;"", $F266&gt;=CW$5-4, $F266&lt;=CW$5, COUNTIF($M266:CV266,"u")=0), "u", "")</f>
        <v/>
      </c>
      <c r="CX266" s="80" t="str">
        <f>IF(AND($F266&lt;&gt;"", $F266&gt;=CX$5-4, $F266&lt;=CX$5, COUNTIF($M266:CW266,"u")=0), "u", "")</f>
        <v/>
      </c>
      <c r="CY266" s="80" t="str">
        <f>IF(AND($F266&lt;&gt;"", $F266&gt;=CY$5-4, $F266&lt;=CY$5, COUNTIF($M266:CX266,"u")=0), "u", "")</f>
        <v/>
      </c>
      <c r="CZ266" s="80" t="str">
        <f>IF(AND($F266&lt;&gt;"", $F266&gt;=CZ$5-4, $F266&lt;=CZ$5, COUNTIF($M266:CY266,"u")=0), "u", "")</f>
        <v/>
      </c>
      <c r="DA266" s="80" t="str">
        <f>IF(AND($F266&lt;&gt;"", $F266&gt;=DA$5-4, $F266&lt;=DA$5, COUNTIF($M266:CZ266,"u")=0), "u", "")</f>
        <v/>
      </c>
      <c r="DB266" s="80" t="str">
        <f>IF(AND($F266&lt;&gt;"", $F266&gt;=DB$5-4, $F266&lt;=DB$5, COUNTIF($M266:DA266,"u")=0), "u", "")</f>
        <v/>
      </c>
      <c r="DC266" s="80" t="str">
        <f>IF(AND($F266&lt;&gt;"", $F266&gt;=DC$5-4, $F266&lt;=DC$5, COUNTIF($M266:DB266,"u")=0), "u", "")</f>
        <v/>
      </c>
      <c r="DD266" s="80" t="str">
        <f>IF(AND($F266&lt;&gt;"", $F266&gt;=DD$5-4, $F266&lt;=DD$5, COUNTIF($M266:DC266,"u")=0), "u", "")</f>
        <v/>
      </c>
      <c r="DE266" s="80" t="str">
        <f>IF(AND($F266&lt;&gt;"", $F266&gt;=DE$5-4, $F266&lt;=DE$5, COUNTIF($M266:DD266,"u")=0), "u", "")</f>
        <v/>
      </c>
      <c r="DF266" s="80" t="str">
        <f>IF(AND($F266&lt;&gt;"", $F266&gt;=DF$5-4, $F266&lt;=DF$5, COUNTIF($M266:DE266,"u")=0), "u", "")</f>
        <v/>
      </c>
      <c r="DG266" s="80" t="str">
        <f>IF(AND($F266&lt;&gt;"", $F266&gt;=DG$5-4, $F266&lt;=DG$5, COUNTIF($M266:DF266,"u")=0), "u", "")</f>
        <v/>
      </c>
      <c r="DH266" s="80" t="str">
        <f>IF(AND($F266&lt;&gt;"", $F266&gt;=DH$5-4, $F266&lt;=DH$5, COUNTIF($M266:DG266,"u")=0), "u", "")</f>
        <v/>
      </c>
      <c r="DI266" s="80" t="str">
        <f>IF(AND($F266&lt;&gt;"", $F266&gt;=DI$5-4, $F266&lt;=DI$5, COUNTIF($M266:DH266,"u")=0), "u", "")</f>
        <v/>
      </c>
      <c r="DJ266" s="80" t="str">
        <f>IF(AND($F266&lt;&gt;"", $F266&gt;=DJ$5-4, $F266&lt;=DJ$5, COUNTIF($M266:DI266,"u")=0), "u", "")</f>
        <v/>
      </c>
      <c r="DK266" s="80" t="str">
        <f>IF(AND($F266&lt;&gt;"", $F266&gt;=DK$5-4, $F266&lt;=DK$5, COUNTIF($M266:DJ266,"u")=0), "u", "")</f>
        <v/>
      </c>
      <c r="DL266" s="80" t="str">
        <f>IF(AND($F266&lt;&gt;"", $F266&gt;=DL$5-4, $F266&lt;=DL$5, COUNTIF($M266:DK266,"u")=0), "u", "")</f>
        <v/>
      </c>
    </row>
    <row r="267" spans="1:116" ht="25.05" customHeight="1" x14ac:dyDescent="0.3">
      <c r="A267" s="39"/>
      <c r="B267" s="75">
        <v>262</v>
      </c>
      <c r="C267" s="97"/>
      <c r="D267" s="92"/>
      <c r="E267" s="53"/>
      <c r="F267" s="53"/>
      <c r="G267" s="83" t="str">
        <f t="shared" si="56"/>
        <v/>
      </c>
      <c r="H267" s="83" t="str">
        <f t="shared" si="56"/>
        <v/>
      </c>
      <c r="I267" s="77" t="str">
        <f t="shared" si="57"/>
        <v/>
      </c>
      <c r="J267" s="78"/>
      <c r="K267" s="86"/>
      <c r="L267" s="56"/>
      <c r="M267" s="80" t="str">
        <f t="shared" si="58"/>
        <v/>
      </c>
      <c r="N267" s="80" t="str">
        <f>IF(AND($F267&lt;&gt;"", $F267&gt;=N$5-4, $F267&lt;=N$5, COUNTIF($M267:M267,"u")=0), "u", "")</f>
        <v/>
      </c>
      <c r="O267" s="80" t="str">
        <f>IF(AND($F267&lt;&gt;"", $F267&gt;=O$5-4, $F267&lt;=O$5, COUNTIF($M267:N267,"u")=0), "u", "")</f>
        <v/>
      </c>
      <c r="P267" s="80" t="str">
        <f>IF(AND($F267&lt;&gt;"", $F267&gt;=P$5-4, $F267&lt;=P$5, COUNTIF($M267:O267,"u")=0), "u", "")</f>
        <v/>
      </c>
      <c r="Q267" s="80" t="str">
        <f>IF(AND($F267&lt;&gt;"", $F267&gt;=Q$5-4, $F267&lt;=Q$5, COUNTIF($M267:P267,"u")=0), "u", "")</f>
        <v/>
      </c>
      <c r="R267" s="80" t="str">
        <f>IF(AND($F267&lt;&gt;"", $F267&gt;=R$5-4, $F267&lt;=R$5, COUNTIF($M267:Q267,"u")=0), "u", "")</f>
        <v/>
      </c>
      <c r="S267" s="80" t="str">
        <f>IF(AND($F267&lt;&gt;"", $F267&gt;=S$5-4, $F267&lt;=S$5, COUNTIF($M267:R267,"u")=0), "u", "")</f>
        <v/>
      </c>
      <c r="T267" s="80" t="str">
        <f>IF(AND($F267&lt;&gt;"", $F267&gt;=T$5-4, $F267&lt;=T$5, COUNTIF($M267:S267,"u")=0), "u", "")</f>
        <v/>
      </c>
      <c r="U267" s="80" t="str">
        <f>IF(AND($F267&lt;&gt;"", $F267&gt;=U$5-4, $F267&lt;=U$5, COUNTIF($M267:T267,"u")=0), "u", "")</f>
        <v/>
      </c>
      <c r="V267" s="80" t="str">
        <f>IF(AND($F267&lt;&gt;"", $F267&gt;=V$5-4, $F267&lt;=V$5, COUNTIF($M267:U267,"u")=0), "u", "")</f>
        <v/>
      </c>
      <c r="W267" s="80" t="str">
        <f>IF(AND($F267&lt;&gt;"", $F267&gt;=W$5-4, $F267&lt;=W$5, COUNTIF($M267:V267,"u")=0), "u", "")</f>
        <v/>
      </c>
      <c r="X267" s="80" t="str">
        <f>IF(AND($F267&lt;&gt;"", $F267&gt;=X$5-4, $F267&lt;=X$5, COUNTIF($M267:W267,"u")=0), "u", "")</f>
        <v/>
      </c>
      <c r="Y267" s="80" t="str">
        <f>IF(AND($F267&lt;&gt;"", $F267&gt;=Y$5-4, $F267&lt;=Y$5, COUNTIF($M267:X267,"u")=0), "u", "")</f>
        <v/>
      </c>
      <c r="Z267" s="80" t="str">
        <f>IF(AND($F267&lt;&gt;"", $F267&gt;=Z$5-4, $F267&lt;=Z$5, COUNTIF($M267:Y267,"u")=0), "u", "")</f>
        <v/>
      </c>
      <c r="AA267" s="80" t="str">
        <f>IF(AND($F267&lt;&gt;"", $F267&gt;=AA$5-4, $F267&lt;=AA$5, COUNTIF($M267:Z267,"u")=0), "u", "")</f>
        <v/>
      </c>
      <c r="AB267" s="80" t="str">
        <f>IF(AND($F267&lt;&gt;"", $F267&gt;=AB$5-4, $F267&lt;=AB$5, COUNTIF($M267:AA267,"u")=0), "u", "")</f>
        <v/>
      </c>
      <c r="AC267" s="80" t="str">
        <f>IF(AND($F267&lt;&gt;"", $F267&gt;=AC$5-4, $F267&lt;=AC$5, COUNTIF($M267:AB267,"u")=0), "u", "")</f>
        <v/>
      </c>
      <c r="AD267" s="80" t="str">
        <f>IF(AND($F267&lt;&gt;"", $F267&gt;=AD$5-4, $F267&lt;=AD$5, COUNTIF($M267:AC267,"u")=0), "u", "")</f>
        <v/>
      </c>
      <c r="AE267" s="80" t="str">
        <f>IF(AND($F267&lt;&gt;"", $F267&gt;=AE$5-4, $F267&lt;=AE$5, COUNTIF($M267:AD267,"u")=0), "u", "")</f>
        <v/>
      </c>
      <c r="AF267" s="80" t="str">
        <f>IF(AND($F267&lt;&gt;"", $F267&gt;=AF$5-4, $F267&lt;=AF$5, COUNTIF($M267:AE267,"u")=0), "u", "")</f>
        <v/>
      </c>
      <c r="AG267" s="80" t="str">
        <f>IF(AND($F267&lt;&gt;"", $F267&gt;=AG$5-4, $F267&lt;=AG$5, COUNTIF($M267:AF267,"u")=0), "u", "")</f>
        <v/>
      </c>
      <c r="AH267" s="80" t="str">
        <f>IF(AND($F267&lt;&gt;"", $F267&gt;=AH$5-4, $F267&lt;=AH$5, COUNTIF($M267:AG267,"u")=0), "u", "")</f>
        <v/>
      </c>
      <c r="AI267" s="80" t="str">
        <f>IF(AND($F267&lt;&gt;"", $F267&gt;=AI$5-4, $F267&lt;=AI$5, COUNTIF($M267:AH267,"u")=0), "u", "")</f>
        <v/>
      </c>
      <c r="AJ267" s="80" t="str">
        <f>IF(AND($F267&lt;&gt;"", $F267&gt;=AJ$5-4, $F267&lt;=AJ$5, COUNTIF($M267:AI267,"u")=0), "u", "")</f>
        <v/>
      </c>
      <c r="AK267" s="80" t="str">
        <f>IF(AND($F267&lt;&gt;"", $F267&gt;=AK$5-4, $F267&lt;=AK$5, COUNTIF($M267:AJ267,"u")=0), "u", "")</f>
        <v/>
      </c>
      <c r="AL267" s="80" t="str">
        <f>IF(AND($F267&lt;&gt;"", $F267&gt;=AL$5-4, $F267&lt;=AL$5, COUNTIF($M267:AK267,"u")=0), "u", "")</f>
        <v/>
      </c>
      <c r="AM267" s="80" t="str">
        <f>IF(AND($F267&lt;&gt;"", $F267&gt;=AM$5-4, $F267&lt;=AM$5, COUNTIF($M267:AL267,"u")=0), "u", "")</f>
        <v/>
      </c>
      <c r="AN267" s="80" t="str">
        <f>IF(AND($F267&lt;&gt;"", $F267&gt;=AN$5-4, $F267&lt;=AN$5, COUNTIF($M267:AM267,"u")=0), "u", "")</f>
        <v/>
      </c>
      <c r="AO267" s="80" t="str">
        <f>IF(AND($F267&lt;&gt;"", $F267&gt;=AO$5-4, $F267&lt;=AO$5, COUNTIF($M267:AN267,"u")=0), "u", "")</f>
        <v/>
      </c>
      <c r="AP267" s="80" t="str">
        <f>IF(AND($F267&lt;&gt;"", $F267&gt;=AP$5-4, $F267&lt;=AP$5, COUNTIF($M267:AO267,"u")=0), "u", "")</f>
        <v/>
      </c>
      <c r="AQ267" s="80" t="str">
        <f>IF(AND($F267&lt;&gt;"", $F267&gt;=AQ$5-4, $F267&lt;=AQ$5, COUNTIF($M267:AP267,"u")=0), "u", "")</f>
        <v/>
      </c>
      <c r="AR267" s="80" t="str">
        <f>IF(AND($F267&lt;&gt;"", $F267&gt;=AR$5-4, $F267&lt;=AR$5, COUNTIF($M267:AQ267,"u")=0), "u", "")</f>
        <v/>
      </c>
      <c r="AS267" s="80" t="str">
        <f>IF(AND($F267&lt;&gt;"", $F267&gt;=AS$5-4, $F267&lt;=AS$5, COUNTIF($M267:AR267,"u")=0), "u", "")</f>
        <v/>
      </c>
      <c r="AT267" s="80" t="str">
        <f>IF(AND($F267&lt;&gt;"", $F267&gt;=AT$5-4, $F267&lt;=AT$5, COUNTIF($M267:AS267,"u")=0), "u", "")</f>
        <v/>
      </c>
      <c r="AU267" s="80" t="str">
        <f>IF(AND($F267&lt;&gt;"", $F267&gt;=AU$5-4, $F267&lt;=AU$5, COUNTIF($M267:AT267,"u")=0), "u", "")</f>
        <v/>
      </c>
      <c r="AV267" s="80" t="str">
        <f>IF(AND($F267&lt;&gt;"", $F267&gt;=AV$5-4, $F267&lt;=AV$5, COUNTIF($M267:AU267,"u")=0), "u", "")</f>
        <v/>
      </c>
      <c r="AW267" s="80" t="str">
        <f>IF(AND($F267&lt;&gt;"", $F267&gt;=AW$5-4, $F267&lt;=AW$5, COUNTIF($M267:AV267,"u")=0), "u", "")</f>
        <v/>
      </c>
      <c r="AX267" s="80" t="str">
        <f>IF(AND($F267&lt;&gt;"", $F267&gt;=AX$5-4, $F267&lt;=AX$5, COUNTIF($M267:AW267,"u")=0), "u", "")</f>
        <v/>
      </c>
      <c r="AY267" s="80" t="str">
        <f>IF(AND($F267&lt;&gt;"", $F267&gt;=AY$5-4, $F267&lt;=AY$5, COUNTIF($M267:AX267,"u")=0), "u", "")</f>
        <v/>
      </c>
      <c r="AZ267" s="80" t="str">
        <f>IF(AND($F267&lt;&gt;"", $F267&gt;=AZ$5-4, $F267&lt;=AZ$5, COUNTIF($M267:AY267,"u")=0), "u", "")</f>
        <v/>
      </c>
      <c r="BA267" s="80" t="str">
        <f>IF(AND($F267&lt;&gt;"", $F267&gt;=BA$5-4, $F267&lt;=BA$5, COUNTIF($M267:AZ267,"u")=0), "u", "")</f>
        <v/>
      </c>
      <c r="BB267" s="80" t="str">
        <f>IF(AND($F267&lt;&gt;"", $F267&gt;=BB$5-4, $F267&lt;=BB$5, COUNTIF($M267:BA267,"u")=0), "u", "")</f>
        <v/>
      </c>
      <c r="BC267" s="80" t="str">
        <f>IF(AND($F267&lt;&gt;"", $F267&gt;=BC$5-4, $F267&lt;=BC$5, COUNTIF($M267:BB267,"u")=0), "u", "")</f>
        <v/>
      </c>
      <c r="BD267" s="80" t="str">
        <f>IF(AND($F267&lt;&gt;"", $F267&gt;=BD$5-4, $F267&lt;=BD$5, COUNTIF($M267:BC267,"u")=0), "u", "")</f>
        <v/>
      </c>
      <c r="BE267" s="80" t="str">
        <f>IF(AND($F267&lt;&gt;"", $F267&gt;=BE$5-4, $F267&lt;=BE$5, COUNTIF($M267:BD267,"u")=0), "u", "")</f>
        <v/>
      </c>
      <c r="BF267" s="80" t="str">
        <f>IF(AND($F267&lt;&gt;"", $F267&gt;=BF$5-4, $F267&lt;=BF$5, COUNTIF($M267:BE267,"u")=0), "u", "")</f>
        <v/>
      </c>
      <c r="BG267" s="80" t="str">
        <f>IF(AND($F267&lt;&gt;"", $F267&gt;=BG$5-4, $F267&lt;=BG$5, COUNTIF($M267:BF267,"u")=0), "u", "")</f>
        <v/>
      </c>
      <c r="BH267" s="80" t="str">
        <f>IF(AND($F267&lt;&gt;"", $F267&gt;=BH$5-4, $F267&lt;=BH$5, COUNTIF($M267:BG267,"u")=0), "u", "")</f>
        <v/>
      </c>
      <c r="BI267" s="80" t="str">
        <f>IF(AND($F267&lt;&gt;"", $F267&gt;=BI$5-4, $F267&lt;=BI$5, COUNTIF($M267:BH267,"u")=0), "u", "")</f>
        <v/>
      </c>
      <c r="BJ267" s="80" t="str">
        <f>IF(AND($F267&lt;&gt;"", $F267&gt;=BJ$5-4, $F267&lt;=BJ$5, COUNTIF($M267:BI267,"u")=0), "u", "")</f>
        <v/>
      </c>
      <c r="BK267" s="80" t="str">
        <f>IF(AND($F267&lt;&gt;"", $F267&gt;=BK$5-4, $F267&lt;=BK$5, COUNTIF($M267:BJ267,"u")=0), "u", "")</f>
        <v/>
      </c>
      <c r="BL267" s="80" t="str">
        <f>IF(AND($F267&lt;&gt;"", $F267&gt;=BL$5-4, $F267&lt;=BL$5, COUNTIF($M267:BK267,"u")=0), "u", "")</f>
        <v/>
      </c>
      <c r="BM267" s="80" t="str">
        <f>IF(AND($F267&lt;&gt;"", $F267&gt;=BM$5-4, $F267&lt;=BM$5, COUNTIF($M267:BL267,"u")=0), "u", "")</f>
        <v/>
      </c>
      <c r="BN267" s="80" t="str">
        <f>IF(AND($F267&lt;&gt;"", $F267&gt;=BN$5-4, $F267&lt;=BN$5, COUNTIF($M267:BM267,"u")=0), "u", "")</f>
        <v/>
      </c>
      <c r="BO267" s="80" t="str">
        <f>IF(AND($F267&lt;&gt;"", $F267&gt;=BO$5-4, $F267&lt;=BO$5, COUNTIF($M267:BN267,"u")=0), "u", "")</f>
        <v/>
      </c>
      <c r="BP267" s="80" t="str">
        <f>IF(AND($F267&lt;&gt;"", $F267&gt;=BP$5-4, $F267&lt;=BP$5, COUNTIF($M267:BO267,"u")=0), "u", "")</f>
        <v/>
      </c>
      <c r="BQ267" s="80" t="str">
        <f>IF(AND($F267&lt;&gt;"", $F267&gt;=BQ$5-4, $F267&lt;=BQ$5, COUNTIF($M267:BP267,"u")=0), "u", "")</f>
        <v/>
      </c>
      <c r="BR267" s="80" t="str">
        <f>IF(AND($F267&lt;&gt;"", $F267&gt;=BR$5-4, $F267&lt;=BR$5, COUNTIF($M267:BQ267,"u")=0), "u", "")</f>
        <v/>
      </c>
      <c r="BS267" s="80" t="str">
        <f>IF(AND($F267&lt;&gt;"", $F267&gt;=BS$5-4, $F267&lt;=BS$5, COUNTIF($M267:BR267,"u")=0), "u", "")</f>
        <v/>
      </c>
      <c r="BT267" s="80" t="str">
        <f>IF(AND($F267&lt;&gt;"", $F267&gt;=BT$5-4, $F267&lt;=BT$5, COUNTIF($M267:BS267,"u")=0), "u", "")</f>
        <v/>
      </c>
      <c r="BU267" s="80" t="str">
        <f>IF(AND($F267&lt;&gt;"", $F267&gt;=BU$5-4, $F267&lt;=BU$5, COUNTIF($M267:BT267,"u")=0), "u", "")</f>
        <v/>
      </c>
      <c r="BV267" s="80" t="str">
        <f>IF(AND($F267&lt;&gt;"", $F267&gt;=BV$5-4, $F267&lt;=BV$5, COUNTIF($M267:BU267,"u")=0), "u", "")</f>
        <v/>
      </c>
      <c r="BW267" s="80" t="str">
        <f>IF(AND($F267&lt;&gt;"", $F267&gt;=BW$5-4, $F267&lt;=BW$5, COUNTIF($M267:BV267,"u")=0), "u", "")</f>
        <v/>
      </c>
      <c r="BX267" s="80" t="str">
        <f>IF(AND($F267&lt;&gt;"", $F267&gt;=BX$5-4, $F267&lt;=BX$5, COUNTIF($M267:BW267,"u")=0), "u", "")</f>
        <v/>
      </c>
      <c r="BY267" s="80" t="str">
        <f>IF(AND($F267&lt;&gt;"", $F267&gt;=BY$5-4, $F267&lt;=BY$5, COUNTIF($M267:BX267,"u")=0), "u", "")</f>
        <v/>
      </c>
      <c r="BZ267" s="80" t="str">
        <f>IF(AND($F267&lt;&gt;"", $F267&gt;=BZ$5-4, $F267&lt;=BZ$5, COUNTIF($M267:BY267,"u")=0), "u", "")</f>
        <v/>
      </c>
      <c r="CA267" s="80" t="str">
        <f>IF(AND($F267&lt;&gt;"", $F267&gt;=CA$5-4, $F267&lt;=CA$5, COUNTIF($M267:BZ267,"u")=0), "u", "")</f>
        <v/>
      </c>
      <c r="CB267" s="80" t="str">
        <f>IF(AND($F267&lt;&gt;"", $F267&gt;=CB$5-4, $F267&lt;=CB$5, COUNTIF($M267:CA267,"u")=0), "u", "")</f>
        <v/>
      </c>
      <c r="CC267" s="80" t="str">
        <f>IF(AND($F267&lt;&gt;"", $F267&gt;=CC$5-4, $F267&lt;=CC$5, COUNTIF($M267:CB267,"u")=0), "u", "")</f>
        <v/>
      </c>
      <c r="CD267" s="80" t="str">
        <f>IF(AND($F267&lt;&gt;"", $F267&gt;=CD$5-4, $F267&lt;=CD$5, COUNTIF($M267:CC267,"u")=0), "u", "")</f>
        <v/>
      </c>
      <c r="CE267" s="80" t="str">
        <f>IF(AND($F267&lt;&gt;"", $F267&gt;=CE$5-4, $F267&lt;=CE$5, COUNTIF($M267:CD267,"u")=0), "u", "")</f>
        <v/>
      </c>
      <c r="CF267" s="80" t="str">
        <f>IF(AND($F267&lt;&gt;"", $F267&gt;=CF$5-4, $F267&lt;=CF$5, COUNTIF($M267:CE267,"u")=0), "u", "")</f>
        <v/>
      </c>
      <c r="CG267" s="80" t="str">
        <f>IF(AND($F267&lt;&gt;"", $F267&gt;=CG$5-4, $F267&lt;=CG$5, COUNTIF($M267:CF267,"u")=0), "u", "")</f>
        <v/>
      </c>
      <c r="CH267" s="80" t="str">
        <f>IF(AND($F267&lt;&gt;"", $F267&gt;=CH$5-4, $F267&lt;=CH$5, COUNTIF($M267:CG267,"u")=0), "u", "")</f>
        <v/>
      </c>
      <c r="CI267" s="80" t="str">
        <f>IF(AND($F267&lt;&gt;"", $F267&gt;=CI$5-4, $F267&lt;=CI$5, COUNTIF($M267:CH267,"u")=0), "u", "")</f>
        <v/>
      </c>
      <c r="CJ267" s="80" t="str">
        <f>IF(AND($F267&lt;&gt;"", $F267&gt;=CJ$5-4, $F267&lt;=CJ$5, COUNTIF($M267:CI267,"u")=0), "u", "")</f>
        <v/>
      </c>
      <c r="CK267" s="80" t="str">
        <f>IF(AND($F267&lt;&gt;"", $F267&gt;=CK$5-4, $F267&lt;=CK$5, COUNTIF($M267:CJ267,"u")=0), "u", "")</f>
        <v/>
      </c>
      <c r="CL267" s="80" t="str">
        <f>IF(AND($F267&lt;&gt;"", $F267&gt;=CL$5-4, $F267&lt;=CL$5, COUNTIF($M267:CK267,"u")=0), "u", "")</f>
        <v/>
      </c>
      <c r="CM267" s="80" t="str">
        <f>IF(AND($F267&lt;&gt;"", $F267&gt;=CM$5-4, $F267&lt;=CM$5, COUNTIF($M267:CL267,"u")=0), "u", "")</f>
        <v/>
      </c>
      <c r="CN267" s="80" t="str">
        <f>IF(AND($F267&lt;&gt;"", $F267&gt;=CN$5-4, $F267&lt;=CN$5, COUNTIF($M267:CM267,"u")=0), "u", "")</f>
        <v/>
      </c>
      <c r="CO267" s="80" t="str">
        <f>IF(AND($F267&lt;&gt;"", $F267&gt;=CO$5-4, $F267&lt;=CO$5, COUNTIF($M267:CN267,"u")=0), "u", "")</f>
        <v/>
      </c>
      <c r="CP267" s="80" t="str">
        <f>IF(AND($F267&lt;&gt;"", $F267&gt;=CP$5-4, $F267&lt;=CP$5, COUNTIF($M267:CO267,"u")=0), "u", "")</f>
        <v/>
      </c>
      <c r="CQ267" s="80" t="str">
        <f>IF(AND($F267&lt;&gt;"", $F267&gt;=CQ$5-4, $F267&lt;=CQ$5, COUNTIF($M267:CP267,"u")=0), "u", "")</f>
        <v/>
      </c>
      <c r="CR267" s="80" t="str">
        <f>IF(AND($F267&lt;&gt;"", $F267&gt;=CR$5-4, $F267&lt;=CR$5, COUNTIF($M267:CQ267,"u")=0), "u", "")</f>
        <v/>
      </c>
      <c r="CS267" s="80" t="str">
        <f>IF(AND($F267&lt;&gt;"", $F267&gt;=CS$5-4, $F267&lt;=CS$5, COUNTIF($M267:CR267,"u")=0), "u", "")</f>
        <v/>
      </c>
      <c r="CT267" s="80" t="str">
        <f>IF(AND($F267&lt;&gt;"", $F267&gt;=CT$5-4, $F267&lt;=CT$5, COUNTIF($M267:CS267,"u")=0), "u", "")</f>
        <v/>
      </c>
      <c r="CU267" s="80" t="str">
        <f>IF(AND($F267&lt;&gt;"", $F267&gt;=CU$5-4, $F267&lt;=CU$5, COUNTIF($M267:CT267,"u")=0), "u", "")</f>
        <v/>
      </c>
      <c r="CV267" s="80" t="str">
        <f>IF(AND($F267&lt;&gt;"", $F267&gt;=CV$5-4, $F267&lt;=CV$5, COUNTIF($M267:CU267,"u")=0), "u", "")</f>
        <v/>
      </c>
      <c r="CW267" s="80" t="str">
        <f>IF(AND($F267&lt;&gt;"", $F267&gt;=CW$5-4, $F267&lt;=CW$5, COUNTIF($M267:CV267,"u")=0), "u", "")</f>
        <v/>
      </c>
      <c r="CX267" s="80" t="str">
        <f>IF(AND($F267&lt;&gt;"", $F267&gt;=CX$5-4, $F267&lt;=CX$5, COUNTIF($M267:CW267,"u")=0), "u", "")</f>
        <v/>
      </c>
      <c r="CY267" s="80" t="str">
        <f>IF(AND($F267&lt;&gt;"", $F267&gt;=CY$5-4, $F267&lt;=CY$5, COUNTIF($M267:CX267,"u")=0), "u", "")</f>
        <v/>
      </c>
      <c r="CZ267" s="80" t="str">
        <f>IF(AND($F267&lt;&gt;"", $F267&gt;=CZ$5-4, $F267&lt;=CZ$5, COUNTIF($M267:CY267,"u")=0), "u", "")</f>
        <v/>
      </c>
      <c r="DA267" s="80" t="str">
        <f>IF(AND($F267&lt;&gt;"", $F267&gt;=DA$5-4, $F267&lt;=DA$5, COUNTIF($M267:CZ267,"u")=0), "u", "")</f>
        <v/>
      </c>
      <c r="DB267" s="80" t="str">
        <f>IF(AND($F267&lt;&gt;"", $F267&gt;=DB$5-4, $F267&lt;=DB$5, COUNTIF($M267:DA267,"u")=0), "u", "")</f>
        <v/>
      </c>
      <c r="DC267" s="80" t="str">
        <f>IF(AND($F267&lt;&gt;"", $F267&gt;=DC$5-4, $F267&lt;=DC$5, COUNTIF($M267:DB267,"u")=0), "u", "")</f>
        <v/>
      </c>
      <c r="DD267" s="80" t="str">
        <f>IF(AND($F267&lt;&gt;"", $F267&gt;=DD$5-4, $F267&lt;=DD$5, COUNTIF($M267:DC267,"u")=0), "u", "")</f>
        <v/>
      </c>
      <c r="DE267" s="80" t="str">
        <f>IF(AND($F267&lt;&gt;"", $F267&gt;=DE$5-4, $F267&lt;=DE$5, COUNTIF($M267:DD267,"u")=0), "u", "")</f>
        <v/>
      </c>
      <c r="DF267" s="80" t="str">
        <f>IF(AND($F267&lt;&gt;"", $F267&gt;=DF$5-4, $F267&lt;=DF$5, COUNTIF($M267:DE267,"u")=0), "u", "")</f>
        <v/>
      </c>
      <c r="DG267" s="80" t="str">
        <f>IF(AND($F267&lt;&gt;"", $F267&gt;=DG$5-4, $F267&lt;=DG$5, COUNTIF($M267:DF267,"u")=0), "u", "")</f>
        <v/>
      </c>
      <c r="DH267" s="80" t="str">
        <f>IF(AND($F267&lt;&gt;"", $F267&gt;=DH$5-4, $F267&lt;=DH$5, COUNTIF($M267:DG267,"u")=0), "u", "")</f>
        <v/>
      </c>
      <c r="DI267" s="80" t="str">
        <f>IF(AND($F267&lt;&gt;"", $F267&gt;=DI$5-4, $F267&lt;=DI$5, COUNTIF($M267:DH267,"u")=0), "u", "")</f>
        <v/>
      </c>
      <c r="DJ267" s="80" t="str">
        <f>IF(AND($F267&lt;&gt;"", $F267&gt;=DJ$5-4, $F267&lt;=DJ$5, COUNTIF($M267:DI267,"u")=0), "u", "")</f>
        <v/>
      </c>
      <c r="DK267" s="80" t="str">
        <f>IF(AND($F267&lt;&gt;"", $F267&gt;=DK$5-4, $F267&lt;=DK$5, COUNTIF($M267:DJ267,"u")=0), "u", "")</f>
        <v/>
      </c>
      <c r="DL267" s="80" t="str">
        <f>IF(AND($F267&lt;&gt;"", $F267&gt;=DL$5-4, $F267&lt;=DL$5, COUNTIF($M267:DK267,"u")=0), "u", "")</f>
        <v/>
      </c>
    </row>
    <row r="268" spans="1:116" ht="25.05" customHeight="1" x14ac:dyDescent="0.3">
      <c r="A268" s="39"/>
      <c r="B268" s="75">
        <v>263</v>
      </c>
      <c r="C268" s="97"/>
      <c r="D268" s="92"/>
      <c r="E268" s="53"/>
      <c r="F268" s="53"/>
      <c r="G268" s="83" t="str">
        <f t="shared" si="56"/>
        <v/>
      </c>
      <c r="H268" s="83" t="str">
        <f t="shared" si="56"/>
        <v/>
      </c>
      <c r="I268" s="77" t="str">
        <f t="shared" si="57"/>
        <v/>
      </c>
      <c r="J268" s="78"/>
      <c r="K268" s="86"/>
      <c r="L268" s="56"/>
      <c r="M268" s="80" t="str">
        <f t="shared" si="58"/>
        <v/>
      </c>
      <c r="N268" s="80" t="str">
        <f>IF(AND($F268&lt;&gt;"", $F268&gt;=N$5-4, $F268&lt;=N$5, COUNTIF($M268:M268,"u")=0), "u", "")</f>
        <v/>
      </c>
      <c r="O268" s="80" t="str">
        <f>IF(AND($F268&lt;&gt;"", $F268&gt;=O$5-4, $F268&lt;=O$5, COUNTIF($M268:N268,"u")=0), "u", "")</f>
        <v/>
      </c>
      <c r="P268" s="80" t="str">
        <f>IF(AND($F268&lt;&gt;"", $F268&gt;=P$5-4, $F268&lt;=P$5, COUNTIF($M268:O268,"u")=0), "u", "")</f>
        <v/>
      </c>
      <c r="Q268" s="80" t="str">
        <f>IF(AND($F268&lt;&gt;"", $F268&gt;=Q$5-4, $F268&lt;=Q$5, COUNTIF($M268:P268,"u")=0), "u", "")</f>
        <v/>
      </c>
      <c r="R268" s="80" t="str">
        <f>IF(AND($F268&lt;&gt;"", $F268&gt;=R$5-4, $F268&lt;=R$5, COUNTIF($M268:Q268,"u")=0), "u", "")</f>
        <v/>
      </c>
      <c r="S268" s="80" t="str">
        <f>IF(AND($F268&lt;&gt;"", $F268&gt;=S$5-4, $F268&lt;=S$5, COUNTIF($M268:R268,"u")=0), "u", "")</f>
        <v/>
      </c>
      <c r="T268" s="80" t="str">
        <f>IF(AND($F268&lt;&gt;"", $F268&gt;=T$5-4, $F268&lt;=T$5, COUNTIF($M268:S268,"u")=0), "u", "")</f>
        <v/>
      </c>
      <c r="U268" s="80" t="str">
        <f>IF(AND($F268&lt;&gt;"", $F268&gt;=U$5-4, $F268&lt;=U$5, COUNTIF($M268:T268,"u")=0), "u", "")</f>
        <v/>
      </c>
      <c r="V268" s="80" t="str">
        <f>IF(AND($F268&lt;&gt;"", $F268&gt;=V$5-4, $F268&lt;=V$5, COUNTIF($M268:U268,"u")=0), "u", "")</f>
        <v/>
      </c>
      <c r="W268" s="80" t="str">
        <f>IF(AND($F268&lt;&gt;"", $F268&gt;=W$5-4, $F268&lt;=W$5, COUNTIF($M268:V268,"u")=0), "u", "")</f>
        <v/>
      </c>
      <c r="X268" s="80" t="str">
        <f>IF(AND($F268&lt;&gt;"", $F268&gt;=X$5-4, $F268&lt;=X$5, COUNTIF($M268:W268,"u")=0), "u", "")</f>
        <v/>
      </c>
      <c r="Y268" s="80" t="str">
        <f>IF(AND($F268&lt;&gt;"", $F268&gt;=Y$5-4, $F268&lt;=Y$5, COUNTIF($M268:X268,"u")=0), "u", "")</f>
        <v/>
      </c>
      <c r="Z268" s="80" t="str">
        <f>IF(AND($F268&lt;&gt;"", $F268&gt;=Z$5-4, $F268&lt;=Z$5, COUNTIF($M268:Y268,"u")=0), "u", "")</f>
        <v/>
      </c>
      <c r="AA268" s="80" t="str">
        <f>IF(AND($F268&lt;&gt;"", $F268&gt;=AA$5-4, $F268&lt;=AA$5, COUNTIF($M268:Z268,"u")=0), "u", "")</f>
        <v/>
      </c>
      <c r="AB268" s="80" t="str">
        <f>IF(AND($F268&lt;&gt;"", $F268&gt;=AB$5-4, $F268&lt;=AB$5, COUNTIF($M268:AA268,"u")=0), "u", "")</f>
        <v/>
      </c>
      <c r="AC268" s="80" t="str">
        <f>IF(AND($F268&lt;&gt;"", $F268&gt;=AC$5-4, $F268&lt;=AC$5, COUNTIF($M268:AB268,"u")=0), "u", "")</f>
        <v/>
      </c>
      <c r="AD268" s="80" t="str">
        <f>IF(AND($F268&lt;&gt;"", $F268&gt;=AD$5-4, $F268&lt;=AD$5, COUNTIF($M268:AC268,"u")=0), "u", "")</f>
        <v/>
      </c>
      <c r="AE268" s="80" t="str">
        <f>IF(AND($F268&lt;&gt;"", $F268&gt;=AE$5-4, $F268&lt;=AE$5, COUNTIF($M268:AD268,"u")=0), "u", "")</f>
        <v/>
      </c>
      <c r="AF268" s="80" t="str">
        <f>IF(AND($F268&lt;&gt;"", $F268&gt;=AF$5-4, $F268&lt;=AF$5, COUNTIF($M268:AE268,"u")=0), "u", "")</f>
        <v/>
      </c>
      <c r="AG268" s="80" t="str">
        <f>IF(AND($F268&lt;&gt;"", $F268&gt;=AG$5-4, $F268&lt;=AG$5, COUNTIF($M268:AF268,"u")=0), "u", "")</f>
        <v/>
      </c>
      <c r="AH268" s="80" t="str">
        <f>IF(AND($F268&lt;&gt;"", $F268&gt;=AH$5-4, $F268&lt;=AH$5, COUNTIF($M268:AG268,"u")=0), "u", "")</f>
        <v/>
      </c>
      <c r="AI268" s="80" t="str">
        <f>IF(AND($F268&lt;&gt;"", $F268&gt;=AI$5-4, $F268&lt;=AI$5, COUNTIF($M268:AH268,"u")=0), "u", "")</f>
        <v/>
      </c>
      <c r="AJ268" s="80" t="str">
        <f>IF(AND($F268&lt;&gt;"", $F268&gt;=AJ$5-4, $F268&lt;=AJ$5, COUNTIF($M268:AI268,"u")=0), "u", "")</f>
        <v/>
      </c>
      <c r="AK268" s="80" t="str">
        <f>IF(AND($F268&lt;&gt;"", $F268&gt;=AK$5-4, $F268&lt;=AK$5, COUNTIF($M268:AJ268,"u")=0), "u", "")</f>
        <v/>
      </c>
      <c r="AL268" s="80" t="str">
        <f>IF(AND($F268&lt;&gt;"", $F268&gt;=AL$5-4, $F268&lt;=AL$5, COUNTIF($M268:AK268,"u")=0), "u", "")</f>
        <v/>
      </c>
      <c r="AM268" s="80" t="str">
        <f>IF(AND($F268&lt;&gt;"", $F268&gt;=AM$5-4, $F268&lt;=AM$5, COUNTIF($M268:AL268,"u")=0), "u", "")</f>
        <v/>
      </c>
      <c r="AN268" s="80" t="str">
        <f>IF(AND($F268&lt;&gt;"", $F268&gt;=AN$5-4, $F268&lt;=AN$5, COUNTIF($M268:AM268,"u")=0), "u", "")</f>
        <v/>
      </c>
      <c r="AO268" s="80" t="str">
        <f>IF(AND($F268&lt;&gt;"", $F268&gt;=AO$5-4, $F268&lt;=AO$5, COUNTIF($M268:AN268,"u")=0), "u", "")</f>
        <v/>
      </c>
      <c r="AP268" s="80" t="str">
        <f>IF(AND($F268&lt;&gt;"", $F268&gt;=AP$5-4, $F268&lt;=AP$5, COUNTIF($M268:AO268,"u")=0), "u", "")</f>
        <v/>
      </c>
      <c r="AQ268" s="80" t="str">
        <f>IF(AND($F268&lt;&gt;"", $F268&gt;=AQ$5-4, $F268&lt;=AQ$5, COUNTIF($M268:AP268,"u")=0), "u", "")</f>
        <v/>
      </c>
      <c r="AR268" s="80" t="str">
        <f>IF(AND($F268&lt;&gt;"", $F268&gt;=AR$5-4, $F268&lt;=AR$5, COUNTIF($M268:AQ268,"u")=0), "u", "")</f>
        <v/>
      </c>
      <c r="AS268" s="80" t="str">
        <f>IF(AND($F268&lt;&gt;"", $F268&gt;=AS$5-4, $F268&lt;=AS$5, COUNTIF($M268:AR268,"u")=0), "u", "")</f>
        <v/>
      </c>
      <c r="AT268" s="80" t="str">
        <f>IF(AND($F268&lt;&gt;"", $F268&gt;=AT$5-4, $F268&lt;=AT$5, COUNTIF($M268:AS268,"u")=0), "u", "")</f>
        <v/>
      </c>
      <c r="AU268" s="80" t="str">
        <f>IF(AND($F268&lt;&gt;"", $F268&gt;=AU$5-4, $F268&lt;=AU$5, COUNTIF($M268:AT268,"u")=0), "u", "")</f>
        <v/>
      </c>
      <c r="AV268" s="80" t="str">
        <f>IF(AND($F268&lt;&gt;"", $F268&gt;=AV$5-4, $F268&lt;=AV$5, COUNTIF($M268:AU268,"u")=0), "u", "")</f>
        <v/>
      </c>
      <c r="AW268" s="80" t="str">
        <f>IF(AND($F268&lt;&gt;"", $F268&gt;=AW$5-4, $F268&lt;=AW$5, COUNTIF($M268:AV268,"u")=0), "u", "")</f>
        <v/>
      </c>
      <c r="AX268" s="80" t="str">
        <f>IF(AND($F268&lt;&gt;"", $F268&gt;=AX$5-4, $F268&lt;=AX$5, COUNTIF($M268:AW268,"u")=0), "u", "")</f>
        <v/>
      </c>
      <c r="AY268" s="80" t="str">
        <f>IF(AND($F268&lt;&gt;"", $F268&gt;=AY$5-4, $F268&lt;=AY$5, COUNTIF($M268:AX268,"u")=0), "u", "")</f>
        <v/>
      </c>
      <c r="AZ268" s="80" t="str">
        <f>IF(AND($F268&lt;&gt;"", $F268&gt;=AZ$5-4, $F268&lt;=AZ$5, COUNTIF($M268:AY268,"u")=0), "u", "")</f>
        <v/>
      </c>
      <c r="BA268" s="80" t="str">
        <f>IF(AND($F268&lt;&gt;"", $F268&gt;=BA$5-4, $F268&lt;=BA$5, COUNTIF($M268:AZ268,"u")=0), "u", "")</f>
        <v/>
      </c>
      <c r="BB268" s="80" t="str">
        <f>IF(AND($F268&lt;&gt;"", $F268&gt;=BB$5-4, $F268&lt;=BB$5, COUNTIF($M268:BA268,"u")=0), "u", "")</f>
        <v/>
      </c>
      <c r="BC268" s="80" t="str">
        <f>IF(AND($F268&lt;&gt;"", $F268&gt;=BC$5-4, $F268&lt;=BC$5, COUNTIF($M268:BB268,"u")=0), "u", "")</f>
        <v/>
      </c>
      <c r="BD268" s="80" t="str">
        <f>IF(AND($F268&lt;&gt;"", $F268&gt;=BD$5-4, $F268&lt;=BD$5, COUNTIF($M268:BC268,"u")=0), "u", "")</f>
        <v/>
      </c>
      <c r="BE268" s="80" t="str">
        <f>IF(AND($F268&lt;&gt;"", $F268&gt;=BE$5-4, $F268&lt;=BE$5, COUNTIF($M268:BD268,"u")=0), "u", "")</f>
        <v/>
      </c>
      <c r="BF268" s="80" t="str">
        <f>IF(AND($F268&lt;&gt;"", $F268&gt;=BF$5-4, $F268&lt;=BF$5, COUNTIF($M268:BE268,"u")=0), "u", "")</f>
        <v/>
      </c>
      <c r="BG268" s="80" t="str">
        <f>IF(AND($F268&lt;&gt;"", $F268&gt;=BG$5-4, $F268&lt;=BG$5, COUNTIF($M268:BF268,"u")=0), "u", "")</f>
        <v/>
      </c>
      <c r="BH268" s="80" t="str">
        <f>IF(AND($F268&lt;&gt;"", $F268&gt;=BH$5-4, $F268&lt;=BH$5, COUNTIF($M268:BG268,"u")=0), "u", "")</f>
        <v/>
      </c>
      <c r="BI268" s="80" t="str">
        <f>IF(AND($F268&lt;&gt;"", $F268&gt;=BI$5-4, $F268&lt;=BI$5, COUNTIF($M268:BH268,"u")=0), "u", "")</f>
        <v/>
      </c>
      <c r="BJ268" s="80" t="str">
        <f>IF(AND($F268&lt;&gt;"", $F268&gt;=BJ$5-4, $F268&lt;=BJ$5, COUNTIF($M268:BI268,"u")=0), "u", "")</f>
        <v/>
      </c>
      <c r="BK268" s="80" t="str">
        <f>IF(AND($F268&lt;&gt;"", $F268&gt;=BK$5-4, $F268&lt;=BK$5, COUNTIF($M268:BJ268,"u")=0), "u", "")</f>
        <v/>
      </c>
      <c r="BL268" s="80" t="str">
        <f>IF(AND($F268&lt;&gt;"", $F268&gt;=BL$5-4, $F268&lt;=BL$5, COUNTIF($M268:BK268,"u")=0), "u", "")</f>
        <v/>
      </c>
      <c r="BM268" s="80" t="str">
        <f>IF(AND($F268&lt;&gt;"", $F268&gt;=BM$5-4, $F268&lt;=BM$5, COUNTIF($M268:BL268,"u")=0), "u", "")</f>
        <v/>
      </c>
      <c r="BN268" s="80" t="str">
        <f>IF(AND($F268&lt;&gt;"", $F268&gt;=BN$5-4, $F268&lt;=BN$5, COUNTIF($M268:BM268,"u")=0), "u", "")</f>
        <v/>
      </c>
      <c r="BO268" s="80" t="str">
        <f>IF(AND($F268&lt;&gt;"", $F268&gt;=BO$5-4, $F268&lt;=BO$5, COUNTIF($M268:BN268,"u")=0), "u", "")</f>
        <v/>
      </c>
      <c r="BP268" s="80" t="str">
        <f>IF(AND($F268&lt;&gt;"", $F268&gt;=BP$5-4, $F268&lt;=BP$5, COUNTIF($M268:BO268,"u")=0), "u", "")</f>
        <v/>
      </c>
      <c r="BQ268" s="80" t="str">
        <f>IF(AND($F268&lt;&gt;"", $F268&gt;=BQ$5-4, $F268&lt;=BQ$5, COUNTIF($M268:BP268,"u")=0), "u", "")</f>
        <v/>
      </c>
      <c r="BR268" s="80" t="str">
        <f>IF(AND($F268&lt;&gt;"", $F268&gt;=BR$5-4, $F268&lt;=BR$5, COUNTIF($M268:BQ268,"u")=0), "u", "")</f>
        <v/>
      </c>
      <c r="BS268" s="80" t="str">
        <f>IF(AND($F268&lt;&gt;"", $F268&gt;=BS$5-4, $F268&lt;=BS$5, COUNTIF($M268:BR268,"u")=0), "u", "")</f>
        <v/>
      </c>
      <c r="BT268" s="80" t="str">
        <f>IF(AND($F268&lt;&gt;"", $F268&gt;=BT$5-4, $F268&lt;=BT$5, COUNTIF($M268:BS268,"u")=0), "u", "")</f>
        <v/>
      </c>
      <c r="BU268" s="80" t="str">
        <f>IF(AND($F268&lt;&gt;"", $F268&gt;=BU$5-4, $F268&lt;=BU$5, COUNTIF($M268:BT268,"u")=0), "u", "")</f>
        <v/>
      </c>
      <c r="BV268" s="80" t="str">
        <f>IF(AND($F268&lt;&gt;"", $F268&gt;=BV$5-4, $F268&lt;=BV$5, COUNTIF($M268:BU268,"u")=0), "u", "")</f>
        <v/>
      </c>
      <c r="BW268" s="80" t="str">
        <f>IF(AND($F268&lt;&gt;"", $F268&gt;=BW$5-4, $F268&lt;=BW$5, COUNTIF($M268:BV268,"u")=0), "u", "")</f>
        <v/>
      </c>
      <c r="BX268" s="80" t="str">
        <f>IF(AND($F268&lt;&gt;"", $F268&gt;=BX$5-4, $F268&lt;=BX$5, COUNTIF($M268:BW268,"u")=0), "u", "")</f>
        <v/>
      </c>
      <c r="BY268" s="80" t="str">
        <f>IF(AND($F268&lt;&gt;"", $F268&gt;=BY$5-4, $F268&lt;=BY$5, COUNTIF($M268:BX268,"u")=0), "u", "")</f>
        <v/>
      </c>
      <c r="BZ268" s="80" t="str">
        <f>IF(AND($F268&lt;&gt;"", $F268&gt;=BZ$5-4, $F268&lt;=BZ$5, COUNTIF($M268:BY268,"u")=0), "u", "")</f>
        <v/>
      </c>
      <c r="CA268" s="80" t="str">
        <f>IF(AND($F268&lt;&gt;"", $F268&gt;=CA$5-4, $F268&lt;=CA$5, COUNTIF($M268:BZ268,"u")=0), "u", "")</f>
        <v/>
      </c>
      <c r="CB268" s="80" t="str">
        <f>IF(AND($F268&lt;&gt;"", $F268&gt;=CB$5-4, $F268&lt;=CB$5, COUNTIF($M268:CA268,"u")=0), "u", "")</f>
        <v/>
      </c>
      <c r="CC268" s="80" t="str">
        <f>IF(AND($F268&lt;&gt;"", $F268&gt;=CC$5-4, $F268&lt;=CC$5, COUNTIF($M268:CB268,"u")=0), "u", "")</f>
        <v/>
      </c>
      <c r="CD268" s="80" t="str">
        <f>IF(AND($F268&lt;&gt;"", $F268&gt;=CD$5-4, $F268&lt;=CD$5, COUNTIF($M268:CC268,"u")=0), "u", "")</f>
        <v/>
      </c>
      <c r="CE268" s="80" t="str">
        <f>IF(AND($F268&lt;&gt;"", $F268&gt;=CE$5-4, $F268&lt;=CE$5, COUNTIF($M268:CD268,"u")=0), "u", "")</f>
        <v/>
      </c>
      <c r="CF268" s="80" t="str">
        <f>IF(AND($F268&lt;&gt;"", $F268&gt;=CF$5-4, $F268&lt;=CF$5, COUNTIF($M268:CE268,"u")=0), "u", "")</f>
        <v/>
      </c>
      <c r="CG268" s="80" t="str">
        <f>IF(AND($F268&lt;&gt;"", $F268&gt;=CG$5-4, $F268&lt;=CG$5, COUNTIF($M268:CF268,"u")=0), "u", "")</f>
        <v/>
      </c>
      <c r="CH268" s="80" t="str">
        <f>IF(AND($F268&lt;&gt;"", $F268&gt;=CH$5-4, $F268&lt;=CH$5, COUNTIF($M268:CG268,"u")=0), "u", "")</f>
        <v/>
      </c>
      <c r="CI268" s="80" t="str">
        <f>IF(AND($F268&lt;&gt;"", $F268&gt;=CI$5-4, $F268&lt;=CI$5, COUNTIF($M268:CH268,"u")=0), "u", "")</f>
        <v/>
      </c>
      <c r="CJ268" s="80" t="str">
        <f>IF(AND($F268&lt;&gt;"", $F268&gt;=CJ$5-4, $F268&lt;=CJ$5, COUNTIF($M268:CI268,"u")=0), "u", "")</f>
        <v/>
      </c>
      <c r="CK268" s="80" t="str">
        <f>IF(AND($F268&lt;&gt;"", $F268&gt;=CK$5-4, $F268&lt;=CK$5, COUNTIF($M268:CJ268,"u")=0), "u", "")</f>
        <v/>
      </c>
      <c r="CL268" s="80" t="str">
        <f>IF(AND($F268&lt;&gt;"", $F268&gt;=CL$5-4, $F268&lt;=CL$5, COUNTIF($M268:CK268,"u")=0), "u", "")</f>
        <v/>
      </c>
      <c r="CM268" s="80" t="str">
        <f>IF(AND($F268&lt;&gt;"", $F268&gt;=CM$5-4, $F268&lt;=CM$5, COUNTIF($M268:CL268,"u")=0), "u", "")</f>
        <v/>
      </c>
      <c r="CN268" s="80" t="str">
        <f>IF(AND($F268&lt;&gt;"", $F268&gt;=CN$5-4, $F268&lt;=CN$5, COUNTIF($M268:CM268,"u")=0), "u", "")</f>
        <v/>
      </c>
      <c r="CO268" s="80" t="str">
        <f>IF(AND($F268&lt;&gt;"", $F268&gt;=CO$5-4, $F268&lt;=CO$5, COUNTIF($M268:CN268,"u")=0), "u", "")</f>
        <v/>
      </c>
      <c r="CP268" s="80" t="str">
        <f>IF(AND($F268&lt;&gt;"", $F268&gt;=CP$5-4, $F268&lt;=CP$5, COUNTIF($M268:CO268,"u")=0), "u", "")</f>
        <v/>
      </c>
      <c r="CQ268" s="80" t="str">
        <f>IF(AND($F268&lt;&gt;"", $F268&gt;=CQ$5-4, $F268&lt;=CQ$5, COUNTIF($M268:CP268,"u")=0), "u", "")</f>
        <v/>
      </c>
      <c r="CR268" s="80" t="str">
        <f>IF(AND($F268&lt;&gt;"", $F268&gt;=CR$5-4, $F268&lt;=CR$5, COUNTIF($M268:CQ268,"u")=0), "u", "")</f>
        <v/>
      </c>
      <c r="CS268" s="80" t="str">
        <f>IF(AND($F268&lt;&gt;"", $F268&gt;=CS$5-4, $F268&lt;=CS$5, COUNTIF($M268:CR268,"u")=0), "u", "")</f>
        <v/>
      </c>
      <c r="CT268" s="80" t="str">
        <f>IF(AND($F268&lt;&gt;"", $F268&gt;=CT$5-4, $F268&lt;=CT$5, COUNTIF($M268:CS268,"u")=0), "u", "")</f>
        <v/>
      </c>
      <c r="CU268" s="80" t="str">
        <f>IF(AND($F268&lt;&gt;"", $F268&gt;=CU$5-4, $F268&lt;=CU$5, COUNTIF($M268:CT268,"u")=0), "u", "")</f>
        <v/>
      </c>
      <c r="CV268" s="80" t="str">
        <f>IF(AND($F268&lt;&gt;"", $F268&gt;=CV$5-4, $F268&lt;=CV$5, COUNTIF($M268:CU268,"u")=0), "u", "")</f>
        <v/>
      </c>
      <c r="CW268" s="80" t="str">
        <f>IF(AND($F268&lt;&gt;"", $F268&gt;=CW$5-4, $F268&lt;=CW$5, COUNTIF($M268:CV268,"u")=0), "u", "")</f>
        <v/>
      </c>
      <c r="CX268" s="80" t="str">
        <f>IF(AND($F268&lt;&gt;"", $F268&gt;=CX$5-4, $F268&lt;=CX$5, COUNTIF($M268:CW268,"u")=0), "u", "")</f>
        <v/>
      </c>
      <c r="CY268" s="80" t="str">
        <f>IF(AND($F268&lt;&gt;"", $F268&gt;=CY$5-4, $F268&lt;=CY$5, COUNTIF($M268:CX268,"u")=0), "u", "")</f>
        <v/>
      </c>
      <c r="CZ268" s="80" t="str">
        <f>IF(AND($F268&lt;&gt;"", $F268&gt;=CZ$5-4, $F268&lt;=CZ$5, COUNTIF($M268:CY268,"u")=0), "u", "")</f>
        <v/>
      </c>
      <c r="DA268" s="80" t="str">
        <f>IF(AND($F268&lt;&gt;"", $F268&gt;=DA$5-4, $F268&lt;=DA$5, COUNTIF($M268:CZ268,"u")=0), "u", "")</f>
        <v/>
      </c>
      <c r="DB268" s="80" t="str">
        <f>IF(AND($F268&lt;&gt;"", $F268&gt;=DB$5-4, $F268&lt;=DB$5, COUNTIF($M268:DA268,"u")=0), "u", "")</f>
        <v/>
      </c>
      <c r="DC268" s="80" t="str">
        <f>IF(AND($F268&lt;&gt;"", $F268&gt;=DC$5-4, $F268&lt;=DC$5, COUNTIF($M268:DB268,"u")=0), "u", "")</f>
        <v/>
      </c>
      <c r="DD268" s="80" t="str">
        <f>IF(AND($F268&lt;&gt;"", $F268&gt;=DD$5-4, $F268&lt;=DD$5, COUNTIF($M268:DC268,"u")=0), "u", "")</f>
        <v/>
      </c>
      <c r="DE268" s="80" t="str">
        <f>IF(AND($F268&lt;&gt;"", $F268&gt;=DE$5-4, $F268&lt;=DE$5, COUNTIF($M268:DD268,"u")=0), "u", "")</f>
        <v/>
      </c>
      <c r="DF268" s="80" t="str">
        <f>IF(AND($F268&lt;&gt;"", $F268&gt;=DF$5-4, $F268&lt;=DF$5, COUNTIF($M268:DE268,"u")=0), "u", "")</f>
        <v/>
      </c>
      <c r="DG268" s="80" t="str">
        <f>IF(AND($F268&lt;&gt;"", $F268&gt;=DG$5-4, $F268&lt;=DG$5, COUNTIF($M268:DF268,"u")=0), "u", "")</f>
        <v/>
      </c>
      <c r="DH268" s="80" t="str">
        <f>IF(AND($F268&lt;&gt;"", $F268&gt;=DH$5-4, $F268&lt;=DH$5, COUNTIF($M268:DG268,"u")=0), "u", "")</f>
        <v/>
      </c>
      <c r="DI268" s="80" t="str">
        <f>IF(AND($F268&lt;&gt;"", $F268&gt;=DI$5-4, $F268&lt;=DI$5, COUNTIF($M268:DH268,"u")=0), "u", "")</f>
        <v/>
      </c>
      <c r="DJ268" s="80" t="str">
        <f>IF(AND($F268&lt;&gt;"", $F268&gt;=DJ$5-4, $F268&lt;=DJ$5, COUNTIF($M268:DI268,"u")=0), "u", "")</f>
        <v/>
      </c>
      <c r="DK268" s="80" t="str">
        <f>IF(AND($F268&lt;&gt;"", $F268&gt;=DK$5-4, $F268&lt;=DK$5, COUNTIF($M268:DJ268,"u")=0), "u", "")</f>
        <v/>
      </c>
      <c r="DL268" s="80" t="str">
        <f>IF(AND($F268&lt;&gt;"", $F268&gt;=DL$5-4, $F268&lt;=DL$5, COUNTIF($M268:DK268,"u")=0), "u", "")</f>
        <v/>
      </c>
    </row>
    <row r="269" spans="1:116" ht="25.05" customHeight="1" x14ac:dyDescent="0.3">
      <c r="A269" s="39"/>
      <c r="B269" s="75">
        <v>264</v>
      </c>
      <c r="C269" s="97"/>
      <c r="D269" s="92"/>
      <c r="E269" s="53"/>
      <c r="F269" s="53"/>
      <c r="G269" s="83" t="str">
        <f t="shared" si="56"/>
        <v/>
      </c>
      <c r="H269" s="83" t="str">
        <f t="shared" si="56"/>
        <v/>
      </c>
      <c r="I269" s="77" t="str">
        <f t="shared" si="57"/>
        <v/>
      </c>
      <c r="J269" s="78"/>
      <c r="K269" s="86"/>
      <c r="L269" s="56"/>
      <c r="M269" s="80" t="str">
        <f t="shared" si="58"/>
        <v/>
      </c>
      <c r="N269" s="80" t="str">
        <f>IF(AND($F269&lt;&gt;"", $F269&gt;=N$5-4, $F269&lt;=N$5, COUNTIF($M269:M269,"u")=0), "u", "")</f>
        <v/>
      </c>
      <c r="O269" s="80" t="str">
        <f>IF(AND($F269&lt;&gt;"", $F269&gt;=O$5-4, $F269&lt;=O$5, COUNTIF($M269:N269,"u")=0), "u", "")</f>
        <v/>
      </c>
      <c r="P269" s="80" t="str">
        <f>IF(AND($F269&lt;&gt;"", $F269&gt;=P$5-4, $F269&lt;=P$5, COUNTIF($M269:O269,"u")=0), "u", "")</f>
        <v/>
      </c>
      <c r="Q269" s="80" t="str">
        <f>IF(AND($F269&lt;&gt;"", $F269&gt;=Q$5-4, $F269&lt;=Q$5, COUNTIF($M269:P269,"u")=0), "u", "")</f>
        <v/>
      </c>
      <c r="R269" s="80" t="str">
        <f>IF(AND($F269&lt;&gt;"", $F269&gt;=R$5-4, $F269&lt;=R$5, COUNTIF($M269:Q269,"u")=0), "u", "")</f>
        <v/>
      </c>
      <c r="S269" s="80" t="str">
        <f>IF(AND($F269&lt;&gt;"", $F269&gt;=S$5-4, $F269&lt;=S$5, COUNTIF($M269:R269,"u")=0), "u", "")</f>
        <v/>
      </c>
      <c r="T269" s="80" t="str">
        <f>IF(AND($F269&lt;&gt;"", $F269&gt;=T$5-4, $F269&lt;=T$5, COUNTIF($M269:S269,"u")=0), "u", "")</f>
        <v/>
      </c>
      <c r="U269" s="80" t="str">
        <f>IF(AND($F269&lt;&gt;"", $F269&gt;=U$5-4, $F269&lt;=U$5, COUNTIF($M269:T269,"u")=0), "u", "")</f>
        <v/>
      </c>
      <c r="V269" s="80" t="str">
        <f>IF(AND($F269&lt;&gt;"", $F269&gt;=V$5-4, $F269&lt;=V$5, COUNTIF($M269:U269,"u")=0), "u", "")</f>
        <v/>
      </c>
      <c r="W269" s="80" t="str">
        <f>IF(AND($F269&lt;&gt;"", $F269&gt;=W$5-4, $F269&lt;=W$5, COUNTIF($M269:V269,"u")=0), "u", "")</f>
        <v/>
      </c>
      <c r="X269" s="80" t="str">
        <f>IF(AND($F269&lt;&gt;"", $F269&gt;=X$5-4, $F269&lt;=X$5, COUNTIF($M269:W269,"u")=0), "u", "")</f>
        <v/>
      </c>
      <c r="Y269" s="80" t="str">
        <f>IF(AND($F269&lt;&gt;"", $F269&gt;=Y$5-4, $F269&lt;=Y$5, COUNTIF($M269:X269,"u")=0), "u", "")</f>
        <v/>
      </c>
      <c r="Z269" s="80" t="str">
        <f>IF(AND($F269&lt;&gt;"", $F269&gt;=Z$5-4, $F269&lt;=Z$5, COUNTIF($M269:Y269,"u")=0), "u", "")</f>
        <v/>
      </c>
      <c r="AA269" s="80" t="str">
        <f>IF(AND($F269&lt;&gt;"", $F269&gt;=AA$5-4, $F269&lt;=AA$5, COUNTIF($M269:Z269,"u")=0), "u", "")</f>
        <v/>
      </c>
      <c r="AB269" s="80" t="str">
        <f>IF(AND($F269&lt;&gt;"", $F269&gt;=AB$5-4, $F269&lt;=AB$5, COUNTIF($M269:AA269,"u")=0), "u", "")</f>
        <v/>
      </c>
      <c r="AC269" s="80" t="str">
        <f>IF(AND($F269&lt;&gt;"", $F269&gt;=AC$5-4, $F269&lt;=AC$5, COUNTIF($M269:AB269,"u")=0), "u", "")</f>
        <v/>
      </c>
      <c r="AD269" s="80" t="str">
        <f>IF(AND($F269&lt;&gt;"", $F269&gt;=AD$5-4, $F269&lt;=AD$5, COUNTIF($M269:AC269,"u")=0), "u", "")</f>
        <v/>
      </c>
      <c r="AE269" s="80" t="str">
        <f>IF(AND($F269&lt;&gt;"", $F269&gt;=AE$5-4, $F269&lt;=AE$5, COUNTIF($M269:AD269,"u")=0), "u", "")</f>
        <v/>
      </c>
      <c r="AF269" s="80" t="str">
        <f>IF(AND($F269&lt;&gt;"", $F269&gt;=AF$5-4, $F269&lt;=AF$5, COUNTIF($M269:AE269,"u")=0), "u", "")</f>
        <v/>
      </c>
      <c r="AG269" s="80" t="str">
        <f>IF(AND($F269&lt;&gt;"", $F269&gt;=AG$5-4, $F269&lt;=AG$5, COUNTIF($M269:AF269,"u")=0), "u", "")</f>
        <v/>
      </c>
      <c r="AH269" s="80" t="str">
        <f>IF(AND($F269&lt;&gt;"", $F269&gt;=AH$5-4, $F269&lt;=AH$5, COUNTIF($M269:AG269,"u")=0), "u", "")</f>
        <v/>
      </c>
      <c r="AI269" s="80" t="str">
        <f>IF(AND($F269&lt;&gt;"", $F269&gt;=AI$5-4, $F269&lt;=AI$5, COUNTIF($M269:AH269,"u")=0), "u", "")</f>
        <v/>
      </c>
      <c r="AJ269" s="80" t="str">
        <f>IF(AND($F269&lt;&gt;"", $F269&gt;=AJ$5-4, $F269&lt;=AJ$5, COUNTIF($M269:AI269,"u")=0), "u", "")</f>
        <v/>
      </c>
      <c r="AK269" s="80" t="str">
        <f>IF(AND($F269&lt;&gt;"", $F269&gt;=AK$5-4, $F269&lt;=AK$5, COUNTIF($M269:AJ269,"u")=0), "u", "")</f>
        <v/>
      </c>
      <c r="AL269" s="80" t="str">
        <f>IF(AND($F269&lt;&gt;"", $F269&gt;=AL$5-4, $F269&lt;=AL$5, COUNTIF($M269:AK269,"u")=0), "u", "")</f>
        <v/>
      </c>
      <c r="AM269" s="80" t="str">
        <f>IF(AND($F269&lt;&gt;"", $F269&gt;=AM$5-4, $F269&lt;=AM$5, COUNTIF($M269:AL269,"u")=0), "u", "")</f>
        <v/>
      </c>
      <c r="AN269" s="80" t="str">
        <f>IF(AND($F269&lt;&gt;"", $F269&gt;=AN$5-4, $F269&lt;=AN$5, COUNTIF($M269:AM269,"u")=0), "u", "")</f>
        <v/>
      </c>
      <c r="AO269" s="80" t="str">
        <f>IF(AND($F269&lt;&gt;"", $F269&gt;=AO$5-4, $F269&lt;=AO$5, COUNTIF($M269:AN269,"u")=0), "u", "")</f>
        <v/>
      </c>
      <c r="AP269" s="80" t="str">
        <f>IF(AND($F269&lt;&gt;"", $F269&gt;=AP$5-4, $F269&lt;=AP$5, COUNTIF($M269:AO269,"u")=0), "u", "")</f>
        <v/>
      </c>
      <c r="AQ269" s="80" t="str">
        <f>IF(AND($F269&lt;&gt;"", $F269&gt;=AQ$5-4, $F269&lt;=AQ$5, COUNTIF($M269:AP269,"u")=0), "u", "")</f>
        <v/>
      </c>
      <c r="AR269" s="80" t="str">
        <f>IF(AND($F269&lt;&gt;"", $F269&gt;=AR$5-4, $F269&lt;=AR$5, COUNTIF($M269:AQ269,"u")=0), "u", "")</f>
        <v/>
      </c>
      <c r="AS269" s="80" t="str">
        <f>IF(AND($F269&lt;&gt;"", $F269&gt;=AS$5-4, $F269&lt;=AS$5, COUNTIF($M269:AR269,"u")=0), "u", "")</f>
        <v/>
      </c>
      <c r="AT269" s="80" t="str">
        <f>IF(AND($F269&lt;&gt;"", $F269&gt;=AT$5-4, $F269&lt;=AT$5, COUNTIF($M269:AS269,"u")=0), "u", "")</f>
        <v/>
      </c>
      <c r="AU269" s="80" t="str">
        <f>IF(AND($F269&lt;&gt;"", $F269&gt;=AU$5-4, $F269&lt;=AU$5, COUNTIF($M269:AT269,"u")=0), "u", "")</f>
        <v/>
      </c>
      <c r="AV269" s="80" t="str">
        <f>IF(AND($F269&lt;&gt;"", $F269&gt;=AV$5-4, $F269&lt;=AV$5, COUNTIF($M269:AU269,"u")=0), "u", "")</f>
        <v/>
      </c>
      <c r="AW269" s="80" t="str">
        <f>IF(AND($F269&lt;&gt;"", $F269&gt;=AW$5-4, $F269&lt;=AW$5, COUNTIF($M269:AV269,"u")=0), "u", "")</f>
        <v/>
      </c>
      <c r="AX269" s="80" t="str">
        <f>IF(AND($F269&lt;&gt;"", $F269&gt;=AX$5-4, $F269&lt;=AX$5, COUNTIF($M269:AW269,"u")=0), "u", "")</f>
        <v/>
      </c>
      <c r="AY269" s="80" t="str">
        <f>IF(AND($F269&lt;&gt;"", $F269&gt;=AY$5-4, $F269&lt;=AY$5, COUNTIF($M269:AX269,"u")=0), "u", "")</f>
        <v/>
      </c>
      <c r="AZ269" s="80" t="str">
        <f>IF(AND($F269&lt;&gt;"", $F269&gt;=AZ$5-4, $F269&lt;=AZ$5, COUNTIF($M269:AY269,"u")=0), "u", "")</f>
        <v/>
      </c>
      <c r="BA269" s="80" t="str">
        <f>IF(AND($F269&lt;&gt;"", $F269&gt;=BA$5-4, $F269&lt;=BA$5, COUNTIF($M269:AZ269,"u")=0), "u", "")</f>
        <v/>
      </c>
      <c r="BB269" s="80" t="str">
        <f>IF(AND($F269&lt;&gt;"", $F269&gt;=BB$5-4, $F269&lt;=BB$5, COUNTIF($M269:BA269,"u")=0), "u", "")</f>
        <v/>
      </c>
      <c r="BC269" s="80" t="str">
        <f>IF(AND($F269&lt;&gt;"", $F269&gt;=BC$5-4, $F269&lt;=BC$5, COUNTIF($M269:BB269,"u")=0), "u", "")</f>
        <v/>
      </c>
      <c r="BD269" s="80" t="str">
        <f>IF(AND($F269&lt;&gt;"", $F269&gt;=BD$5-4, $F269&lt;=BD$5, COUNTIF($M269:BC269,"u")=0), "u", "")</f>
        <v/>
      </c>
      <c r="BE269" s="80" t="str">
        <f>IF(AND($F269&lt;&gt;"", $F269&gt;=BE$5-4, $F269&lt;=BE$5, COUNTIF($M269:BD269,"u")=0), "u", "")</f>
        <v/>
      </c>
      <c r="BF269" s="80" t="str">
        <f>IF(AND($F269&lt;&gt;"", $F269&gt;=BF$5-4, $F269&lt;=BF$5, COUNTIF($M269:BE269,"u")=0), "u", "")</f>
        <v/>
      </c>
      <c r="BG269" s="80" t="str">
        <f>IF(AND($F269&lt;&gt;"", $F269&gt;=BG$5-4, $F269&lt;=BG$5, COUNTIF($M269:BF269,"u")=0), "u", "")</f>
        <v/>
      </c>
      <c r="BH269" s="80" t="str">
        <f>IF(AND($F269&lt;&gt;"", $F269&gt;=BH$5-4, $F269&lt;=BH$5, COUNTIF($M269:BG269,"u")=0), "u", "")</f>
        <v/>
      </c>
      <c r="BI269" s="80" t="str">
        <f>IF(AND($F269&lt;&gt;"", $F269&gt;=BI$5-4, $F269&lt;=BI$5, COUNTIF($M269:BH269,"u")=0), "u", "")</f>
        <v/>
      </c>
      <c r="BJ269" s="80" t="str">
        <f>IF(AND($F269&lt;&gt;"", $F269&gt;=BJ$5-4, $F269&lt;=BJ$5, COUNTIF($M269:BI269,"u")=0), "u", "")</f>
        <v/>
      </c>
      <c r="BK269" s="80" t="str">
        <f>IF(AND($F269&lt;&gt;"", $F269&gt;=BK$5-4, $F269&lt;=BK$5, COUNTIF($M269:BJ269,"u")=0), "u", "")</f>
        <v/>
      </c>
      <c r="BL269" s="80" t="str">
        <f>IF(AND($F269&lt;&gt;"", $F269&gt;=BL$5-4, $F269&lt;=BL$5, COUNTIF($M269:BK269,"u")=0), "u", "")</f>
        <v/>
      </c>
      <c r="BM269" s="80" t="str">
        <f>IF(AND($F269&lt;&gt;"", $F269&gt;=BM$5-4, $F269&lt;=BM$5, COUNTIF($M269:BL269,"u")=0), "u", "")</f>
        <v/>
      </c>
      <c r="BN269" s="80" t="str">
        <f>IF(AND($F269&lt;&gt;"", $F269&gt;=BN$5-4, $F269&lt;=BN$5, COUNTIF($M269:BM269,"u")=0), "u", "")</f>
        <v/>
      </c>
      <c r="BO269" s="80" t="str">
        <f>IF(AND($F269&lt;&gt;"", $F269&gt;=BO$5-4, $F269&lt;=BO$5, COUNTIF($M269:BN269,"u")=0), "u", "")</f>
        <v/>
      </c>
      <c r="BP269" s="80" t="str">
        <f>IF(AND($F269&lt;&gt;"", $F269&gt;=BP$5-4, $F269&lt;=BP$5, COUNTIF($M269:BO269,"u")=0), "u", "")</f>
        <v/>
      </c>
      <c r="BQ269" s="80" t="str">
        <f>IF(AND($F269&lt;&gt;"", $F269&gt;=BQ$5-4, $F269&lt;=BQ$5, COUNTIF($M269:BP269,"u")=0), "u", "")</f>
        <v/>
      </c>
      <c r="BR269" s="80" t="str">
        <f>IF(AND($F269&lt;&gt;"", $F269&gt;=BR$5-4, $F269&lt;=BR$5, COUNTIF($M269:BQ269,"u")=0), "u", "")</f>
        <v/>
      </c>
      <c r="BS269" s="80" t="str">
        <f>IF(AND($F269&lt;&gt;"", $F269&gt;=BS$5-4, $F269&lt;=BS$5, COUNTIF($M269:BR269,"u")=0), "u", "")</f>
        <v/>
      </c>
      <c r="BT269" s="80" t="str">
        <f>IF(AND($F269&lt;&gt;"", $F269&gt;=BT$5-4, $F269&lt;=BT$5, COUNTIF($M269:BS269,"u")=0), "u", "")</f>
        <v/>
      </c>
      <c r="BU269" s="80" t="str">
        <f>IF(AND($F269&lt;&gt;"", $F269&gt;=BU$5-4, $F269&lt;=BU$5, COUNTIF($M269:BT269,"u")=0), "u", "")</f>
        <v/>
      </c>
      <c r="BV269" s="80" t="str">
        <f>IF(AND($F269&lt;&gt;"", $F269&gt;=BV$5-4, $F269&lt;=BV$5, COUNTIF($M269:BU269,"u")=0), "u", "")</f>
        <v/>
      </c>
      <c r="BW269" s="80" t="str">
        <f>IF(AND($F269&lt;&gt;"", $F269&gt;=BW$5-4, $F269&lt;=BW$5, COUNTIF($M269:BV269,"u")=0), "u", "")</f>
        <v/>
      </c>
      <c r="BX269" s="80" t="str">
        <f>IF(AND($F269&lt;&gt;"", $F269&gt;=BX$5-4, $F269&lt;=BX$5, COUNTIF($M269:BW269,"u")=0), "u", "")</f>
        <v/>
      </c>
      <c r="BY269" s="80" t="str">
        <f>IF(AND($F269&lt;&gt;"", $F269&gt;=BY$5-4, $F269&lt;=BY$5, COUNTIF($M269:BX269,"u")=0), "u", "")</f>
        <v/>
      </c>
      <c r="BZ269" s="80" t="str">
        <f>IF(AND($F269&lt;&gt;"", $F269&gt;=BZ$5-4, $F269&lt;=BZ$5, COUNTIF($M269:BY269,"u")=0), "u", "")</f>
        <v/>
      </c>
      <c r="CA269" s="80" t="str">
        <f>IF(AND($F269&lt;&gt;"", $F269&gt;=CA$5-4, $F269&lt;=CA$5, COUNTIF($M269:BZ269,"u")=0), "u", "")</f>
        <v/>
      </c>
      <c r="CB269" s="80" t="str">
        <f>IF(AND($F269&lt;&gt;"", $F269&gt;=CB$5-4, $F269&lt;=CB$5, COUNTIF($M269:CA269,"u")=0), "u", "")</f>
        <v/>
      </c>
      <c r="CC269" s="80" t="str">
        <f>IF(AND($F269&lt;&gt;"", $F269&gt;=CC$5-4, $F269&lt;=CC$5, COUNTIF($M269:CB269,"u")=0), "u", "")</f>
        <v/>
      </c>
      <c r="CD269" s="80" t="str">
        <f>IF(AND($F269&lt;&gt;"", $F269&gt;=CD$5-4, $F269&lt;=CD$5, COUNTIF($M269:CC269,"u")=0), "u", "")</f>
        <v/>
      </c>
      <c r="CE269" s="80" t="str">
        <f>IF(AND($F269&lt;&gt;"", $F269&gt;=CE$5-4, $F269&lt;=CE$5, COUNTIF($M269:CD269,"u")=0), "u", "")</f>
        <v/>
      </c>
      <c r="CF269" s="80" t="str">
        <f>IF(AND($F269&lt;&gt;"", $F269&gt;=CF$5-4, $F269&lt;=CF$5, COUNTIF($M269:CE269,"u")=0), "u", "")</f>
        <v/>
      </c>
      <c r="CG269" s="80" t="str">
        <f>IF(AND($F269&lt;&gt;"", $F269&gt;=CG$5-4, $F269&lt;=CG$5, COUNTIF($M269:CF269,"u")=0), "u", "")</f>
        <v/>
      </c>
      <c r="CH269" s="80" t="str">
        <f>IF(AND($F269&lt;&gt;"", $F269&gt;=CH$5-4, $F269&lt;=CH$5, COUNTIF($M269:CG269,"u")=0), "u", "")</f>
        <v/>
      </c>
      <c r="CI269" s="80" t="str">
        <f>IF(AND($F269&lt;&gt;"", $F269&gt;=CI$5-4, $F269&lt;=CI$5, COUNTIF($M269:CH269,"u")=0), "u", "")</f>
        <v/>
      </c>
      <c r="CJ269" s="80" t="str">
        <f>IF(AND($F269&lt;&gt;"", $F269&gt;=CJ$5-4, $F269&lt;=CJ$5, COUNTIF($M269:CI269,"u")=0), "u", "")</f>
        <v/>
      </c>
      <c r="CK269" s="80" t="str">
        <f>IF(AND($F269&lt;&gt;"", $F269&gt;=CK$5-4, $F269&lt;=CK$5, COUNTIF($M269:CJ269,"u")=0), "u", "")</f>
        <v/>
      </c>
      <c r="CL269" s="80" t="str">
        <f>IF(AND($F269&lt;&gt;"", $F269&gt;=CL$5-4, $F269&lt;=CL$5, COUNTIF($M269:CK269,"u")=0), "u", "")</f>
        <v/>
      </c>
      <c r="CM269" s="80" t="str">
        <f>IF(AND($F269&lt;&gt;"", $F269&gt;=CM$5-4, $F269&lt;=CM$5, COUNTIF($M269:CL269,"u")=0), "u", "")</f>
        <v/>
      </c>
      <c r="CN269" s="80" t="str">
        <f>IF(AND($F269&lt;&gt;"", $F269&gt;=CN$5-4, $F269&lt;=CN$5, COUNTIF($M269:CM269,"u")=0), "u", "")</f>
        <v/>
      </c>
      <c r="CO269" s="80" t="str">
        <f>IF(AND($F269&lt;&gt;"", $F269&gt;=CO$5-4, $F269&lt;=CO$5, COUNTIF($M269:CN269,"u")=0), "u", "")</f>
        <v/>
      </c>
      <c r="CP269" s="80" t="str">
        <f>IF(AND($F269&lt;&gt;"", $F269&gt;=CP$5-4, $F269&lt;=CP$5, COUNTIF($M269:CO269,"u")=0), "u", "")</f>
        <v/>
      </c>
      <c r="CQ269" s="80" t="str">
        <f>IF(AND($F269&lt;&gt;"", $F269&gt;=CQ$5-4, $F269&lt;=CQ$5, COUNTIF($M269:CP269,"u")=0), "u", "")</f>
        <v/>
      </c>
      <c r="CR269" s="80" t="str">
        <f>IF(AND($F269&lt;&gt;"", $F269&gt;=CR$5-4, $F269&lt;=CR$5, COUNTIF($M269:CQ269,"u")=0), "u", "")</f>
        <v/>
      </c>
      <c r="CS269" s="80" t="str">
        <f>IF(AND($F269&lt;&gt;"", $F269&gt;=CS$5-4, $F269&lt;=CS$5, COUNTIF($M269:CR269,"u")=0), "u", "")</f>
        <v/>
      </c>
      <c r="CT269" s="80" t="str">
        <f>IF(AND($F269&lt;&gt;"", $F269&gt;=CT$5-4, $F269&lt;=CT$5, COUNTIF($M269:CS269,"u")=0), "u", "")</f>
        <v/>
      </c>
      <c r="CU269" s="80" t="str">
        <f>IF(AND($F269&lt;&gt;"", $F269&gt;=CU$5-4, $F269&lt;=CU$5, COUNTIF($M269:CT269,"u")=0), "u", "")</f>
        <v/>
      </c>
      <c r="CV269" s="80" t="str">
        <f>IF(AND($F269&lt;&gt;"", $F269&gt;=CV$5-4, $F269&lt;=CV$5, COUNTIF($M269:CU269,"u")=0), "u", "")</f>
        <v/>
      </c>
      <c r="CW269" s="80" t="str">
        <f>IF(AND($F269&lt;&gt;"", $F269&gt;=CW$5-4, $F269&lt;=CW$5, COUNTIF($M269:CV269,"u")=0), "u", "")</f>
        <v/>
      </c>
      <c r="CX269" s="80" t="str">
        <f>IF(AND($F269&lt;&gt;"", $F269&gt;=CX$5-4, $F269&lt;=CX$5, COUNTIF($M269:CW269,"u")=0), "u", "")</f>
        <v/>
      </c>
      <c r="CY269" s="80" t="str">
        <f>IF(AND($F269&lt;&gt;"", $F269&gt;=CY$5-4, $F269&lt;=CY$5, COUNTIF($M269:CX269,"u")=0), "u", "")</f>
        <v/>
      </c>
      <c r="CZ269" s="80" t="str">
        <f>IF(AND($F269&lt;&gt;"", $F269&gt;=CZ$5-4, $F269&lt;=CZ$5, COUNTIF($M269:CY269,"u")=0), "u", "")</f>
        <v/>
      </c>
      <c r="DA269" s="80" t="str">
        <f>IF(AND($F269&lt;&gt;"", $F269&gt;=DA$5-4, $F269&lt;=DA$5, COUNTIF($M269:CZ269,"u")=0), "u", "")</f>
        <v/>
      </c>
      <c r="DB269" s="80" t="str">
        <f>IF(AND($F269&lt;&gt;"", $F269&gt;=DB$5-4, $F269&lt;=DB$5, COUNTIF($M269:DA269,"u")=0), "u", "")</f>
        <v/>
      </c>
      <c r="DC269" s="80" t="str">
        <f>IF(AND($F269&lt;&gt;"", $F269&gt;=DC$5-4, $F269&lt;=DC$5, COUNTIF($M269:DB269,"u")=0), "u", "")</f>
        <v/>
      </c>
      <c r="DD269" s="80" t="str">
        <f>IF(AND($F269&lt;&gt;"", $F269&gt;=DD$5-4, $F269&lt;=DD$5, COUNTIF($M269:DC269,"u")=0), "u", "")</f>
        <v/>
      </c>
      <c r="DE269" s="80" t="str">
        <f>IF(AND($F269&lt;&gt;"", $F269&gt;=DE$5-4, $F269&lt;=DE$5, COUNTIF($M269:DD269,"u")=0), "u", "")</f>
        <v/>
      </c>
      <c r="DF269" s="80" t="str">
        <f>IF(AND($F269&lt;&gt;"", $F269&gt;=DF$5-4, $F269&lt;=DF$5, COUNTIF($M269:DE269,"u")=0), "u", "")</f>
        <v/>
      </c>
      <c r="DG269" s="80" t="str">
        <f>IF(AND($F269&lt;&gt;"", $F269&gt;=DG$5-4, $F269&lt;=DG$5, COUNTIF($M269:DF269,"u")=0), "u", "")</f>
        <v/>
      </c>
      <c r="DH269" s="80" t="str">
        <f>IF(AND($F269&lt;&gt;"", $F269&gt;=DH$5-4, $F269&lt;=DH$5, COUNTIF($M269:DG269,"u")=0), "u", "")</f>
        <v/>
      </c>
      <c r="DI269" s="80" t="str">
        <f>IF(AND($F269&lt;&gt;"", $F269&gt;=DI$5-4, $F269&lt;=DI$5, COUNTIF($M269:DH269,"u")=0), "u", "")</f>
        <v/>
      </c>
      <c r="DJ269" s="80" t="str">
        <f>IF(AND($F269&lt;&gt;"", $F269&gt;=DJ$5-4, $F269&lt;=DJ$5, COUNTIF($M269:DI269,"u")=0), "u", "")</f>
        <v/>
      </c>
      <c r="DK269" s="80" t="str">
        <f>IF(AND($F269&lt;&gt;"", $F269&gt;=DK$5-4, $F269&lt;=DK$5, COUNTIF($M269:DJ269,"u")=0), "u", "")</f>
        <v/>
      </c>
      <c r="DL269" s="80" t="str">
        <f>IF(AND($F269&lt;&gt;"", $F269&gt;=DL$5-4, $F269&lt;=DL$5, COUNTIF($M269:DK269,"u")=0), "u", "")</f>
        <v/>
      </c>
    </row>
    <row r="270" spans="1:116" ht="25.05" customHeight="1" x14ac:dyDescent="0.3">
      <c r="A270" s="39"/>
      <c r="B270" s="75">
        <v>265</v>
      </c>
      <c r="C270" s="97"/>
      <c r="D270" s="92"/>
      <c r="E270" s="53"/>
      <c r="F270" s="53"/>
      <c r="G270" s="83" t="str">
        <f t="shared" si="56"/>
        <v/>
      </c>
      <c r="H270" s="83" t="str">
        <f t="shared" si="56"/>
        <v/>
      </c>
      <c r="I270" s="77" t="str">
        <f t="shared" si="57"/>
        <v/>
      </c>
      <c r="J270" s="78"/>
      <c r="K270" s="86"/>
      <c r="L270" s="56"/>
      <c r="M270" s="80" t="str">
        <f t="shared" si="58"/>
        <v/>
      </c>
      <c r="N270" s="80" t="str">
        <f>IF(AND($F270&lt;&gt;"", $F270&gt;=N$5-4, $F270&lt;=N$5, COUNTIF($M270:M270,"u")=0), "u", "")</f>
        <v/>
      </c>
      <c r="O270" s="80" t="str">
        <f>IF(AND($F270&lt;&gt;"", $F270&gt;=O$5-4, $F270&lt;=O$5, COUNTIF($M270:N270,"u")=0), "u", "")</f>
        <v/>
      </c>
      <c r="P270" s="80" t="str">
        <f>IF(AND($F270&lt;&gt;"", $F270&gt;=P$5-4, $F270&lt;=P$5, COUNTIF($M270:O270,"u")=0), "u", "")</f>
        <v/>
      </c>
      <c r="Q270" s="80" t="str">
        <f>IF(AND($F270&lt;&gt;"", $F270&gt;=Q$5-4, $F270&lt;=Q$5, COUNTIF($M270:P270,"u")=0), "u", "")</f>
        <v/>
      </c>
      <c r="R270" s="80" t="str">
        <f>IF(AND($F270&lt;&gt;"", $F270&gt;=R$5-4, $F270&lt;=R$5, COUNTIF($M270:Q270,"u")=0), "u", "")</f>
        <v/>
      </c>
      <c r="S270" s="80" t="str">
        <f>IF(AND($F270&lt;&gt;"", $F270&gt;=S$5-4, $F270&lt;=S$5, COUNTIF($M270:R270,"u")=0), "u", "")</f>
        <v/>
      </c>
      <c r="T270" s="80" t="str">
        <f>IF(AND($F270&lt;&gt;"", $F270&gt;=T$5-4, $F270&lt;=T$5, COUNTIF($M270:S270,"u")=0), "u", "")</f>
        <v/>
      </c>
      <c r="U270" s="80" t="str">
        <f>IF(AND($F270&lt;&gt;"", $F270&gt;=U$5-4, $F270&lt;=U$5, COUNTIF($M270:T270,"u")=0), "u", "")</f>
        <v/>
      </c>
      <c r="V270" s="80" t="str">
        <f>IF(AND($F270&lt;&gt;"", $F270&gt;=V$5-4, $F270&lt;=V$5, COUNTIF($M270:U270,"u")=0), "u", "")</f>
        <v/>
      </c>
      <c r="W270" s="80" t="str">
        <f>IF(AND($F270&lt;&gt;"", $F270&gt;=W$5-4, $F270&lt;=W$5, COUNTIF($M270:V270,"u")=0), "u", "")</f>
        <v/>
      </c>
      <c r="X270" s="80" t="str">
        <f>IF(AND($F270&lt;&gt;"", $F270&gt;=X$5-4, $F270&lt;=X$5, COUNTIF($M270:W270,"u")=0), "u", "")</f>
        <v/>
      </c>
      <c r="Y270" s="80" t="str">
        <f>IF(AND($F270&lt;&gt;"", $F270&gt;=Y$5-4, $F270&lt;=Y$5, COUNTIF($M270:X270,"u")=0), "u", "")</f>
        <v/>
      </c>
      <c r="Z270" s="80" t="str">
        <f>IF(AND($F270&lt;&gt;"", $F270&gt;=Z$5-4, $F270&lt;=Z$5, COUNTIF($M270:Y270,"u")=0), "u", "")</f>
        <v/>
      </c>
      <c r="AA270" s="80" t="str">
        <f>IF(AND($F270&lt;&gt;"", $F270&gt;=AA$5-4, $F270&lt;=AA$5, COUNTIF($M270:Z270,"u")=0), "u", "")</f>
        <v/>
      </c>
      <c r="AB270" s="80" t="str">
        <f>IF(AND($F270&lt;&gt;"", $F270&gt;=AB$5-4, $F270&lt;=AB$5, COUNTIF($M270:AA270,"u")=0), "u", "")</f>
        <v/>
      </c>
      <c r="AC270" s="80" t="str">
        <f>IF(AND($F270&lt;&gt;"", $F270&gt;=AC$5-4, $F270&lt;=AC$5, COUNTIF($M270:AB270,"u")=0), "u", "")</f>
        <v/>
      </c>
      <c r="AD270" s="80" t="str">
        <f>IF(AND($F270&lt;&gt;"", $F270&gt;=AD$5-4, $F270&lt;=AD$5, COUNTIF($M270:AC270,"u")=0), "u", "")</f>
        <v/>
      </c>
      <c r="AE270" s="80" t="str">
        <f>IF(AND($F270&lt;&gt;"", $F270&gt;=AE$5-4, $F270&lt;=AE$5, COUNTIF($M270:AD270,"u")=0), "u", "")</f>
        <v/>
      </c>
      <c r="AF270" s="80" t="str">
        <f>IF(AND($F270&lt;&gt;"", $F270&gt;=AF$5-4, $F270&lt;=AF$5, COUNTIF($M270:AE270,"u")=0), "u", "")</f>
        <v/>
      </c>
      <c r="AG270" s="80" t="str">
        <f>IF(AND($F270&lt;&gt;"", $F270&gt;=AG$5-4, $F270&lt;=AG$5, COUNTIF($M270:AF270,"u")=0), "u", "")</f>
        <v/>
      </c>
      <c r="AH270" s="80" t="str">
        <f>IF(AND($F270&lt;&gt;"", $F270&gt;=AH$5-4, $F270&lt;=AH$5, COUNTIF($M270:AG270,"u")=0), "u", "")</f>
        <v/>
      </c>
      <c r="AI270" s="80" t="str">
        <f>IF(AND($F270&lt;&gt;"", $F270&gt;=AI$5-4, $F270&lt;=AI$5, COUNTIF($M270:AH270,"u")=0), "u", "")</f>
        <v/>
      </c>
      <c r="AJ270" s="80" t="str">
        <f>IF(AND($F270&lt;&gt;"", $F270&gt;=AJ$5-4, $F270&lt;=AJ$5, COUNTIF($M270:AI270,"u")=0), "u", "")</f>
        <v/>
      </c>
      <c r="AK270" s="80" t="str">
        <f>IF(AND($F270&lt;&gt;"", $F270&gt;=AK$5-4, $F270&lt;=AK$5, COUNTIF($M270:AJ270,"u")=0), "u", "")</f>
        <v/>
      </c>
      <c r="AL270" s="80" t="str">
        <f>IF(AND($F270&lt;&gt;"", $F270&gt;=AL$5-4, $F270&lt;=AL$5, COUNTIF($M270:AK270,"u")=0), "u", "")</f>
        <v/>
      </c>
      <c r="AM270" s="80" t="str">
        <f>IF(AND($F270&lt;&gt;"", $F270&gt;=AM$5-4, $F270&lt;=AM$5, COUNTIF($M270:AL270,"u")=0), "u", "")</f>
        <v/>
      </c>
      <c r="AN270" s="80" t="str">
        <f>IF(AND($F270&lt;&gt;"", $F270&gt;=AN$5-4, $F270&lt;=AN$5, COUNTIF($M270:AM270,"u")=0), "u", "")</f>
        <v/>
      </c>
      <c r="AO270" s="80" t="str">
        <f>IF(AND($F270&lt;&gt;"", $F270&gt;=AO$5-4, $F270&lt;=AO$5, COUNTIF($M270:AN270,"u")=0), "u", "")</f>
        <v/>
      </c>
      <c r="AP270" s="80" t="str">
        <f>IF(AND($F270&lt;&gt;"", $F270&gt;=AP$5-4, $F270&lt;=AP$5, COUNTIF($M270:AO270,"u")=0), "u", "")</f>
        <v/>
      </c>
      <c r="AQ270" s="80" t="str">
        <f>IF(AND($F270&lt;&gt;"", $F270&gt;=AQ$5-4, $F270&lt;=AQ$5, COUNTIF($M270:AP270,"u")=0), "u", "")</f>
        <v/>
      </c>
      <c r="AR270" s="80" t="str">
        <f>IF(AND($F270&lt;&gt;"", $F270&gt;=AR$5-4, $F270&lt;=AR$5, COUNTIF($M270:AQ270,"u")=0), "u", "")</f>
        <v/>
      </c>
      <c r="AS270" s="80" t="str">
        <f>IF(AND($F270&lt;&gt;"", $F270&gt;=AS$5-4, $F270&lt;=AS$5, COUNTIF($M270:AR270,"u")=0), "u", "")</f>
        <v/>
      </c>
      <c r="AT270" s="80" t="str">
        <f>IF(AND($F270&lt;&gt;"", $F270&gt;=AT$5-4, $F270&lt;=AT$5, COUNTIF($M270:AS270,"u")=0), "u", "")</f>
        <v/>
      </c>
      <c r="AU270" s="80" t="str">
        <f>IF(AND($F270&lt;&gt;"", $F270&gt;=AU$5-4, $F270&lt;=AU$5, COUNTIF($M270:AT270,"u")=0), "u", "")</f>
        <v/>
      </c>
      <c r="AV270" s="80" t="str">
        <f>IF(AND($F270&lt;&gt;"", $F270&gt;=AV$5-4, $F270&lt;=AV$5, COUNTIF($M270:AU270,"u")=0), "u", "")</f>
        <v/>
      </c>
      <c r="AW270" s="80" t="str">
        <f>IF(AND($F270&lt;&gt;"", $F270&gt;=AW$5-4, $F270&lt;=AW$5, COUNTIF($M270:AV270,"u")=0), "u", "")</f>
        <v/>
      </c>
      <c r="AX270" s="80" t="str">
        <f>IF(AND($F270&lt;&gt;"", $F270&gt;=AX$5-4, $F270&lt;=AX$5, COUNTIF($M270:AW270,"u")=0), "u", "")</f>
        <v/>
      </c>
      <c r="AY270" s="80" t="str">
        <f>IF(AND($F270&lt;&gt;"", $F270&gt;=AY$5-4, $F270&lt;=AY$5, COUNTIF($M270:AX270,"u")=0), "u", "")</f>
        <v/>
      </c>
      <c r="AZ270" s="80" t="str">
        <f>IF(AND($F270&lt;&gt;"", $F270&gt;=AZ$5-4, $F270&lt;=AZ$5, COUNTIF($M270:AY270,"u")=0), "u", "")</f>
        <v/>
      </c>
      <c r="BA270" s="80" t="str">
        <f>IF(AND($F270&lt;&gt;"", $F270&gt;=BA$5-4, $F270&lt;=BA$5, COUNTIF($M270:AZ270,"u")=0), "u", "")</f>
        <v/>
      </c>
      <c r="BB270" s="80" t="str">
        <f>IF(AND($F270&lt;&gt;"", $F270&gt;=BB$5-4, $F270&lt;=BB$5, COUNTIF($M270:BA270,"u")=0), "u", "")</f>
        <v/>
      </c>
      <c r="BC270" s="80" t="str">
        <f>IF(AND($F270&lt;&gt;"", $F270&gt;=BC$5-4, $F270&lt;=BC$5, COUNTIF($M270:BB270,"u")=0), "u", "")</f>
        <v/>
      </c>
      <c r="BD270" s="80" t="str">
        <f>IF(AND($F270&lt;&gt;"", $F270&gt;=BD$5-4, $F270&lt;=BD$5, COUNTIF($M270:BC270,"u")=0), "u", "")</f>
        <v/>
      </c>
      <c r="BE270" s="80" t="str">
        <f>IF(AND($F270&lt;&gt;"", $F270&gt;=BE$5-4, $F270&lt;=BE$5, COUNTIF($M270:BD270,"u")=0), "u", "")</f>
        <v/>
      </c>
      <c r="BF270" s="80" t="str">
        <f>IF(AND($F270&lt;&gt;"", $F270&gt;=BF$5-4, $F270&lt;=BF$5, COUNTIF($M270:BE270,"u")=0), "u", "")</f>
        <v/>
      </c>
      <c r="BG270" s="80" t="str">
        <f>IF(AND($F270&lt;&gt;"", $F270&gt;=BG$5-4, $F270&lt;=BG$5, COUNTIF($M270:BF270,"u")=0), "u", "")</f>
        <v/>
      </c>
      <c r="BH270" s="80" t="str">
        <f>IF(AND($F270&lt;&gt;"", $F270&gt;=BH$5-4, $F270&lt;=BH$5, COUNTIF($M270:BG270,"u")=0), "u", "")</f>
        <v/>
      </c>
      <c r="BI270" s="80" t="str">
        <f>IF(AND($F270&lt;&gt;"", $F270&gt;=BI$5-4, $F270&lt;=BI$5, COUNTIF($M270:BH270,"u")=0), "u", "")</f>
        <v/>
      </c>
      <c r="BJ270" s="80" t="str">
        <f>IF(AND($F270&lt;&gt;"", $F270&gt;=BJ$5-4, $F270&lt;=BJ$5, COUNTIF($M270:BI270,"u")=0), "u", "")</f>
        <v/>
      </c>
      <c r="BK270" s="80" t="str">
        <f>IF(AND($F270&lt;&gt;"", $F270&gt;=BK$5-4, $F270&lt;=BK$5, COUNTIF($M270:BJ270,"u")=0), "u", "")</f>
        <v/>
      </c>
      <c r="BL270" s="80" t="str">
        <f>IF(AND($F270&lt;&gt;"", $F270&gt;=BL$5-4, $F270&lt;=BL$5, COUNTIF($M270:BK270,"u")=0), "u", "")</f>
        <v/>
      </c>
      <c r="BM270" s="80" t="str">
        <f>IF(AND($F270&lt;&gt;"", $F270&gt;=BM$5-4, $F270&lt;=BM$5, COUNTIF($M270:BL270,"u")=0), "u", "")</f>
        <v/>
      </c>
      <c r="BN270" s="80" t="str">
        <f>IF(AND($F270&lt;&gt;"", $F270&gt;=BN$5-4, $F270&lt;=BN$5, COUNTIF($M270:BM270,"u")=0), "u", "")</f>
        <v/>
      </c>
      <c r="BO270" s="80" t="str">
        <f>IF(AND($F270&lt;&gt;"", $F270&gt;=BO$5-4, $F270&lt;=BO$5, COUNTIF($M270:BN270,"u")=0), "u", "")</f>
        <v/>
      </c>
      <c r="BP270" s="80" t="str">
        <f>IF(AND($F270&lt;&gt;"", $F270&gt;=BP$5-4, $F270&lt;=BP$5, COUNTIF($M270:BO270,"u")=0), "u", "")</f>
        <v/>
      </c>
      <c r="BQ270" s="80" t="str">
        <f>IF(AND($F270&lt;&gt;"", $F270&gt;=BQ$5-4, $F270&lt;=BQ$5, COUNTIF($M270:BP270,"u")=0), "u", "")</f>
        <v/>
      </c>
      <c r="BR270" s="80" t="str">
        <f>IF(AND($F270&lt;&gt;"", $F270&gt;=BR$5-4, $F270&lt;=BR$5, COUNTIF($M270:BQ270,"u")=0), "u", "")</f>
        <v/>
      </c>
      <c r="BS270" s="80" t="str">
        <f>IF(AND($F270&lt;&gt;"", $F270&gt;=BS$5-4, $F270&lt;=BS$5, COUNTIF($M270:BR270,"u")=0), "u", "")</f>
        <v/>
      </c>
      <c r="BT270" s="80" t="str">
        <f>IF(AND($F270&lt;&gt;"", $F270&gt;=BT$5-4, $F270&lt;=BT$5, COUNTIF($M270:BS270,"u")=0), "u", "")</f>
        <v/>
      </c>
      <c r="BU270" s="80" t="str">
        <f>IF(AND($F270&lt;&gt;"", $F270&gt;=BU$5-4, $F270&lt;=BU$5, COUNTIF($M270:BT270,"u")=0), "u", "")</f>
        <v/>
      </c>
      <c r="BV270" s="80" t="str">
        <f>IF(AND($F270&lt;&gt;"", $F270&gt;=BV$5-4, $F270&lt;=BV$5, COUNTIF($M270:BU270,"u")=0), "u", "")</f>
        <v/>
      </c>
      <c r="BW270" s="80" t="str">
        <f>IF(AND($F270&lt;&gt;"", $F270&gt;=BW$5-4, $F270&lt;=BW$5, COUNTIF($M270:BV270,"u")=0), "u", "")</f>
        <v/>
      </c>
      <c r="BX270" s="80" t="str">
        <f>IF(AND($F270&lt;&gt;"", $F270&gt;=BX$5-4, $F270&lt;=BX$5, COUNTIF($M270:BW270,"u")=0), "u", "")</f>
        <v/>
      </c>
      <c r="BY270" s="80" t="str">
        <f>IF(AND($F270&lt;&gt;"", $F270&gt;=BY$5-4, $F270&lt;=BY$5, COUNTIF($M270:BX270,"u")=0), "u", "")</f>
        <v/>
      </c>
      <c r="BZ270" s="80" t="str">
        <f>IF(AND($F270&lt;&gt;"", $F270&gt;=BZ$5-4, $F270&lt;=BZ$5, COUNTIF($M270:BY270,"u")=0), "u", "")</f>
        <v/>
      </c>
      <c r="CA270" s="80" t="str">
        <f>IF(AND($F270&lt;&gt;"", $F270&gt;=CA$5-4, $F270&lt;=CA$5, COUNTIF($M270:BZ270,"u")=0), "u", "")</f>
        <v/>
      </c>
      <c r="CB270" s="80" t="str">
        <f>IF(AND($F270&lt;&gt;"", $F270&gt;=CB$5-4, $F270&lt;=CB$5, COUNTIF($M270:CA270,"u")=0), "u", "")</f>
        <v/>
      </c>
      <c r="CC270" s="80" t="str">
        <f>IF(AND($F270&lt;&gt;"", $F270&gt;=CC$5-4, $F270&lt;=CC$5, COUNTIF($M270:CB270,"u")=0), "u", "")</f>
        <v/>
      </c>
      <c r="CD270" s="80" t="str">
        <f>IF(AND($F270&lt;&gt;"", $F270&gt;=CD$5-4, $F270&lt;=CD$5, COUNTIF($M270:CC270,"u")=0), "u", "")</f>
        <v/>
      </c>
      <c r="CE270" s="80" t="str">
        <f>IF(AND($F270&lt;&gt;"", $F270&gt;=CE$5-4, $F270&lt;=CE$5, COUNTIF($M270:CD270,"u")=0), "u", "")</f>
        <v/>
      </c>
      <c r="CF270" s="80" t="str">
        <f>IF(AND($F270&lt;&gt;"", $F270&gt;=CF$5-4, $F270&lt;=CF$5, COUNTIF($M270:CE270,"u")=0), "u", "")</f>
        <v/>
      </c>
      <c r="CG270" s="80" t="str">
        <f>IF(AND($F270&lt;&gt;"", $F270&gt;=CG$5-4, $F270&lt;=CG$5, COUNTIF($M270:CF270,"u")=0), "u", "")</f>
        <v/>
      </c>
      <c r="CH270" s="80" t="str">
        <f>IF(AND($F270&lt;&gt;"", $F270&gt;=CH$5-4, $F270&lt;=CH$5, COUNTIF($M270:CG270,"u")=0), "u", "")</f>
        <v/>
      </c>
      <c r="CI270" s="80" t="str">
        <f>IF(AND($F270&lt;&gt;"", $F270&gt;=CI$5-4, $F270&lt;=CI$5, COUNTIF($M270:CH270,"u")=0), "u", "")</f>
        <v/>
      </c>
      <c r="CJ270" s="80" t="str">
        <f>IF(AND($F270&lt;&gt;"", $F270&gt;=CJ$5-4, $F270&lt;=CJ$5, COUNTIF($M270:CI270,"u")=0), "u", "")</f>
        <v/>
      </c>
      <c r="CK270" s="80" t="str">
        <f>IF(AND($F270&lt;&gt;"", $F270&gt;=CK$5-4, $F270&lt;=CK$5, COUNTIF($M270:CJ270,"u")=0), "u", "")</f>
        <v/>
      </c>
      <c r="CL270" s="80" t="str">
        <f>IF(AND($F270&lt;&gt;"", $F270&gt;=CL$5-4, $F270&lt;=CL$5, COUNTIF($M270:CK270,"u")=0), "u", "")</f>
        <v/>
      </c>
      <c r="CM270" s="80" t="str">
        <f>IF(AND($F270&lt;&gt;"", $F270&gt;=CM$5-4, $F270&lt;=CM$5, COUNTIF($M270:CL270,"u")=0), "u", "")</f>
        <v/>
      </c>
      <c r="CN270" s="80" t="str">
        <f>IF(AND($F270&lt;&gt;"", $F270&gt;=CN$5-4, $F270&lt;=CN$5, COUNTIF($M270:CM270,"u")=0), "u", "")</f>
        <v/>
      </c>
      <c r="CO270" s="80" t="str">
        <f>IF(AND($F270&lt;&gt;"", $F270&gt;=CO$5-4, $F270&lt;=CO$5, COUNTIF($M270:CN270,"u")=0), "u", "")</f>
        <v/>
      </c>
      <c r="CP270" s="80" t="str">
        <f>IF(AND($F270&lt;&gt;"", $F270&gt;=CP$5-4, $F270&lt;=CP$5, COUNTIF($M270:CO270,"u")=0), "u", "")</f>
        <v/>
      </c>
      <c r="CQ270" s="80" t="str">
        <f>IF(AND($F270&lt;&gt;"", $F270&gt;=CQ$5-4, $F270&lt;=CQ$5, COUNTIF($M270:CP270,"u")=0), "u", "")</f>
        <v/>
      </c>
      <c r="CR270" s="80" t="str">
        <f>IF(AND($F270&lt;&gt;"", $F270&gt;=CR$5-4, $F270&lt;=CR$5, COUNTIF($M270:CQ270,"u")=0), "u", "")</f>
        <v/>
      </c>
      <c r="CS270" s="80" t="str">
        <f>IF(AND($F270&lt;&gt;"", $F270&gt;=CS$5-4, $F270&lt;=CS$5, COUNTIF($M270:CR270,"u")=0), "u", "")</f>
        <v/>
      </c>
      <c r="CT270" s="80" t="str">
        <f>IF(AND($F270&lt;&gt;"", $F270&gt;=CT$5-4, $F270&lt;=CT$5, COUNTIF($M270:CS270,"u")=0), "u", "")</f>
        <v/>
      </c>
      <c r="CU270" s="80" t="str">
        <f>IF(AND($F270&lt;&gt;"", $F270&gt;=CU$5-4, $F270&lt;=CU$5, COUNTIF($M270:CT270,"u")=0), "u", "")</f>
        <v/>
      </c>
      <c r="CV270" s="80" t="str">
        <f>IF(AND($F270&lt;&gt;"", $F270&gt;=CV$5-4, $F270&lt;=CV$5, COUNTIF($M270:CU270,"u")=0), "u", "")</f>
        <v/>
      </c>
      <c r="CW270" s="80" t="str">
        <f>IF(AND($F270&lt;&gt;"", $F270&gt;=CW$5-4, $F270&lt;=CW$5, COUNTIF($M270:CV270,"u")=0), "u", "")</f>
        <v/>
      </c>
      <c r="CX270" s="80" t="str">
        <f>IF(AND($F270&lt;&gt;"", $F270&gt;=CX$5-4, $F270&lt;=CX$5, COUNTIF($M270:CW270,"u")=0), "u", "")</f>
        <v/>
      </c>
      <c r="CY270" s="80" t="str">
        <f>IF(AND($F270&lt;&gt;"", $F270&gt;=CY$5-4, $F270&lt;=CY$5, COUNTIF($M270:CX270,"u")=0), "u", "")</f>
        <v/>
      </c>
      <c r="CZ270" s="80" t="str">
        <f>IF(AND($F270&lt;&gt;"", $F270&gt;=CZ$5-4, $F270&lt;=CZ$5, COUNTIF($M270:CY270,"u")=0), "u", "")</f>
        <v/>
      </c>
      <c r="DA270" s="80" t="str">
        <f>IF(AND($F270&lt;&gt;"", $F270&gt;=DA$5-4, $F270&lt;=DA$5, COUNTIF($M270:CZ270,"u")=0), "u", "")</f>
        <v/>
      </c>
      <c r="DB270" s="80" t="str">
        <f>IF(AND($F270&lt;&gt;"", $F270&gt;=DB$5-4, $F270&lt;=DB$5, COUNTIF($M270:DA270,"u")=0), "u", "")</f>
        <v/>
      </c>
      <c r="DC270" s="80" t="str">
        <f>IF(AND($F270&lt;&gt;"", $F270&gt;=DC$5-4, $F270&lt;=DC$5, COUNTIF($M270:DB270,"u")=0), "u", "")</f>
        <v/>
      </c>
      <c r="DD270" s="80" t="str">
        <f>IF(AND($F270&lt;&gt;"", $F270&gt;=DD$5-4, $F270&lt;=DD$5, COUNTIF($M270:DC270,"u")=0), "u", "")</f>
        <v/>
      </c>
      <c r="DE270" s="80" t="str">
        <f>IF(AND($F270&lt;&gt;"", $F270&gt;=DE$5-4, $F270&lt;=DE$5, COUNTIF($M270:DD270,"u")=0), "u", "")</f>
        <v/>
      </c>
      <c r="DF270" s="80" t="str">
        <f>IF(AND($F270&lt;&gt;"", $F270&gt;=DF$5-4, $F270&lt;=DF$5, COUNTIF($M270:DE270,"u")=0), "u", "")</f>
        <v/>
      </c>
      <c r="DG270" s="80" t="str">
        <f>IF(AND($F270&lt;&gt;"", $F270&gt;=DG$5-4, $F270&lt;=DG$5, COUNTIF($M270:DF270,"u")=0), "u", "")</f>
        <v/>
      </c>
      <c r="DH270" s="80" t="str">
        <f>IF(AND($F270&lt;&gt;"", $F270&gt;=DH$5-4, $F270&lt;=DH$5, COUNTIF($M270:DG270,"u")=0), "u", "")</f>
        <v/>
      </c>
      <c r="DI270" s="80" t="str">
        <f>IF(AND($F270&lt;&gt;"", $F270&gt;=DI$5-4, $F270&lt;=DI$5, COUNTIF($M270:DH270,"u")=0), "u", "")</f>
        <v/>
      </c>
      <c r="DJ270" s="80" t="str">
        <f>IF(AND($F270&lt;&gt;"", $F270&gt;=DJ$5-4, $F270&lt;=DJ$5, COUNTIF($M270:DI270,"u")=0), "u", "")</f>
        <v/>
      </c>
      <c r="DK270" s="80" t="str">
        <f>IF(AND($F270&lt;&gt;"", $F270&gt;=DK$5-4, $F270&lt;=DK$5, COUNTIF($M270:DJ270,"u")=0), "u", "")</f>
        <v/>
      </c>
      <c r="DL270" s="80" t="str">
        <f>IF(AND($F270&lt;&gt;"", $F270&gt;=DL$5-4, $F270&lt;=DL$5, COUNTIF($M270:DK270,"u")=0), "u", "")</f>
        <v/>
      </c>
    </row>
    <row r="271" spans="1:116" ht="25.05" customHeight="1" x14ac:dyDescent="0.3">
      <c r="A271" s="39"/>
      <c r="B271" s="75">
        <v>266</v>
      </c>
      <c r="C271" s="97"/>
      <c r="D271" s="92"/>
      <c r="E271" s="53"/>
      <c r="F271" s="53"/>
      <c r="G271" s="83" t="str">
        <f t="shared" si="56"/>
        <v/>
      </c>
      <c r="H271" s="83" t="str">
        <f t="shared" si="56"/>
        <v/>
      </c>
      <c r="I271" s="77" t="str">
        <f t="shared" si="57"/>
        <v/>
      </c>
      <c r="J271" s="78"/>
      <c r="K271" s="86"/>
      <c r="L271" s="56"/>
      <c r="M271" s="80" t="str">
        <f t="shared" si="58"/>
        <v/>
      </c>
      <c r="N271" s="80" t="str">
        <f>IF(AND($F271&lt;&gt;"", $F271&gt;=N$5-4, $F271&lt;=N$5, COUNTIF($M271:M271,"u")=0), "u", "")</f>
        <v/>
      </c>
      <c r="O271" s="80" t="str">
        <f>IF(AND($F271&lt;&gt;"", $F271&gt;=O$5-4, $F271&lt;=O$5, COUNTIF($M271:N271,"u")=0), "u", "")</f>
        <v/>
      </c>
      <c r="P271" s="80" t="str">
        <f>IF(AND($F271&lt;&gt;"", $F271&gt;=P$5-4, $F271&lt;=P$5, COUNTIF($M271:O271,"u")=0), "u", "")</f>
        <v/>
      </c>
      <c r="Q271" s="80" t="str">
        <f>IF(AND($F271&lt;&gt;"", $F271&gt;=Q$5-4, $F271&lt;=Q$5, COUNTIF($M271:P271,"u")=0), "u", "")</f>
        <v/>
      </c>
      <c r="R271" s="80" t="str">
        <f>IF(AND($F271&lt;&gt;"", $F271&gt;=R$5-4, $F271&lt;=R$5, COUNTIF($M271:Q271,"u")=0), "u", "")</f>
        <v/>
      </c>
      <c r="S271" s="80" t="str">
        <f>IF(AND($F271&lt;&gt;"", $F271&gt;=S$5-4, $F271&lt;=S$5, COUNTIF($M271:R271,"u")=0), "u", "")</f>
        <v/>
      </c>
      <c r="T271" s="80" t="str">
        <f>IF(AND($F271&lt;&gt;"", $F271&gt;=T$5-4, $F271&lt;=T$5, COUNTIF($M271:S271,"u")=0), "u", "")</f>
        <v/>
      </c>
      <c r="U271" s="80" t="str">
        <f>IF(AND($F271&lt;&gt;"", $F271&gt;=U$5-4, $F271&lt;=U$5, COUNTIF($M271:T271,"u")=0), "u", "")</f>
        <v/>
      </c>
      <c r="V271" s="80" t="str">
        <f>IF(AND($F271&lt;&gt;"", $F271&gt;=V$5-4, $F271&lt;=V$5, COUNTIF($M271:U271,"u")=0), "u", "")</f>
        <v/>
      </c>
      <c r="W271" s="80" t="str">
        <f>IF(AND($F271&lt;&gt;"", $F271&gt;=W$5-4, $F271&lt;=W$5, COUNTIF($M271:V271,"u")=0), "u", "")</f>
        <v/>
      </c>
      <c r="X271" s="80" t="str">
        <f>IF(AND($F271&lt;&gt;"", $F271&gt;=X$5-4, $F271&lt;=X$5, COUNTIF($M271:W271,"u")=0), "u", "")</f>
        <v/>
      </c>
      <c r="Y271" s="80" t="str">
        <f>IF(AND($F271&lt;&gt;"", $F271&gt;=Y$5-4, $F271&lt;=Y$5, COUNTIF($M271:X271,"u")=0), "u", "")</f>
        <v/>
      </c>
      <c r="Z271" s="80" t="str">
        <f>IF(AND($F271&lt;&gt;"", $F271&gt;=Z$5-4, $F271&lt;=Z$5, COUNTIF($M271:Y271,"u")=0), "u", "")</f>
        <v/>
      </c>
      <c r="AA271" s="80" t="str">
        <f>IF(AND($F271&lt;&gt;"", $F271&gt;=AA$5-4, $F271&lt;=AA$5, COUNTIF($M271:Z271,"u")=0), "u", "")</f>
        <v/>
      </c>
      <c r="AB271" s="80" t="str">
        <f>IF(AND($F271&lt;&gt;"", $F271&gt;=AB$5-4, $F271&lt;=AB$5, COUNTIF($M271:AA271,"u")=0), "u", "")</f>
        <v/>
      </c>
      <c r="AC271" s="80" t="str">
        <f>IF(AND($F271&lt;&gt;"", $F271&gt;=AC$5-4, $F271&lt;=AC$5, COUNTIF($M271:AB271,"u")=0), "u", "")</f>
        <v/>
      </c>
      <c r="AD271" s="80" t="str">
        <f>IF(AND($F271&lt;&gt;"", $F271&gt;=AD$5-4, $F271&lt;=AD$5, COUNTIF($M271:AC271,"u")=0), "u", "")</f>
        <v/>
      </c>
      <c r="AE271" s="80" t="str">
        <f>IF(AND($F271&lt;&gt;"", $F271&gt;=AE$5-4, $F271&lt;=AE$5, COUNTIF($M271:AD271,"u")=0), "u", "")</f>
        <v/>
      </c>
      <c r="AF271" s="80" t="str">
        <f>IF(AND($F271&lt;&gt;"", $F271&gt;=AF$5-4, $F271&lt;=AF$5, COUNTIF($M271:AE271,"u")=0), "u", "")</f>
        <v/>
      </c>
      <c r="AG271" s="80" t="str">
        <f>IF(AND($F271&lt;&gt;"", $F271&gt;=AG$5-4, $F271&lt;=AG$5, COUNTIF($M271:AF271,"u")=0), "u", "")</f>
        <v/>
      </c>
      <c r="AH271" s="80" t="str">
        <f>IF(AND($F271&lt;&gt;"", $F271&gt;=AH$5-4, $F271&lt;=AH$5, COUNTIF($M271:AG271,"u")=0), "u", "")</f>
        <v/>
      </c>
      <c r="AI271" s="80" t="str">
        <f>IF(AND($F271&lt;&gt;"", $F271&gt;=AI$5-4, $F271&lt;=AI$5, COUNTIF($M271:AH271,"u")=0), "u", "")</f>
        <v/>
      </c>
      <c r="AJ271" s="80" t="str">
        <f>IF(AND($F271&lt;&gt;"", $F271&gt;=AJ$5-4, $F271&lt;=AJ$5, COUNTIF($M271:AI271,"u")=0), "u", "")</f>
        <v/>
      </c>
      <c r="AK271" s="80" t="str">
        <f>IF(AND($F271&lt;&gt;"", $F271&gt;=AK$5-4, $F271&lt;=AK$5, COUNTIF($M271:AJ271,"u")=0), "u", "")</f>
        <v/>
      </c>
      <c r="AL271" s="80" t="str">
        <f>IF(AND($F271&lt;&gt;"", $F271&gt;=AL$5-4, $F271&lt;=AL$5, COUNTIF($M271:AK271,"u")=0), "u", "")</f>
        <v/>
      </c>
      <c r="AM271" s="80" t="str">
        <f>IF(AND($F271&lt;&gt;"", $F271&gt;=AM$5-4, $F271&lt;=AM$5, COUNTIF($M271:AL271,"u")=0), "u", "")</f>
        <v/>
      </c>
      <c r="AN271" s="80" t="str">
        <f>IF(AND($F271&lt;&gt;"", $F271&gt;=AN$5-4, $F271&lt;=AN$5, COUNTIF($M271:AM271,"u")=0), "u", "")</f>
        <v/>
      </c>
      <c r="AO271" s="80" t="str">
        <f>IF(AND($F271&lt;&gt;"", $F271&gt;=AO$5-4, $F271&lt;=AO$5, COUNTIF($M271:AN271,"u")=0), "u", "")</f>
        <v/>
      </c>
      <c r="AP271" s="80" t="str">
        <f>IF(AND($F271&lt;&gt;"", $F271&gt;=AP$5-4, $F271&lt;=AP$5, COUNTIF($M271:AO271,"u")=0), "u", "")</f>
        <v/>
      </c>
      <c r="AQ271" s="80" t="str">
        <f>IF(AND($F271&lt;&gt;"", $F271&gt;=AQ$5-4, $F271&lt;=AQ$5, COUNTIF($M271:AP271,"u")=0), "u", "")</f>
        <v/>
      </c>
      <c r="AR271" s="80" t="str">
        <f>IF(AND($F271&lt;&gt;"", $F271&gt;=AR$5-4, $F271&lt;=AR$5, COUNTIF($M271:AQ271,"u")=0), "u", "")</f>
        <v/>
      </c>
      <c r="AS271" s="80" t="str">
        <f>IF(AND($F271&lt;&gt;"", $F271&gt;=AS$5-4, $F271&lt;=AS$5, COUNTIF($M271:AR271,"u")=0), "u", "")</f>
        <v/>
      </c>
      <c r="AT271" s="80" t="str">
        <f>IF(AND($F271&lt;&gt;"", $F271&gt;=AT$5-4, $F271&lt;=AT$5, COUNTIF($M271:AS271,"u")=0), "u", "")</f>
        <v/>
      </c>
      <c r="AU271" s="80" t="str">
        <f>IF(AND($F271&lt;&gt;"", $F271&gt;=AU$5-4, $F271&lt;=AU$5, COUNTIF($M271:AT271,"u")=0), "u", "")</f>
        <v/>
      </c>
      <c r="AV271" s="80" t="str">
        <f>IF(AND($F271&lt;&gt;"", $F271&gt;=AV$5-4, $F271&lt;=AV$5, COUNTIF($M271:AU271,"u")=0), "u", "")</f>
        <v/>
      </c>
      <c r="AW271" s="80" t="str">
        <f>IF(AND($F271&lt;&gt;"", $F271&gt;=AW$5-4, $F271&lt;=AW$5, COUNTIF($M271:AV271,"u")=0), "u", "")</f>
        <v/>
      </c>
      <c r="AX271" s="80" t="str">
        <f>IF(AND($F271&lt;&gt;"", $F271&gt;=AX$5-4, $F271&lt;=AX$5, COUNTIF($M271:AW271,"u")=0), "u", "")</f>
        <v/>
      </c>
      <c r="AY271" s="80" t="str">
        <f>IF(AND($F271&lt;&gt;"", $F271&gt;=AY$5-4, $F271&lt;=AY$5, COUNTIF($M271:AX271,"u")=0), "u", "")</f>
        <v/>
      </c>
      <c r="AZ271" s="80" t="str">
        <f>IF(AND($F271&lt;&gt;"", $F271&gt;=AZ$5-4, $F271&lt;=AZ$5, COUNTIF($M271:AY271,"u")=0), "u", "")</f>
        <v/>
      </c>
      <c r="BA271" s="80" t="str">
        <f>IF(AND($F271&lt;&gt;"", $F271&gt;=BA$5-4, $F271&lt;=BA$5, COUNTIF($M271:AZ271,"u")=0), "u", "")</f>
        <v/>
      </c>
      <c r="BB271" s="80" t="str">
        <f>IF(AND($F271&lt;&gt;"", $F271&gt;=BB$5-4, $F271&lt;=BB$5, COUNTIF($M271:BA271,"u")=0), "u", "")</f>
        <v/>
      </c>
      <c r="BC271" s="80" t="str">
        <f>IF(AND($F271&lt;&gt;"", $F271&gt;=BC$5-4, $F271&lt;=BC$5, COUNTIF($M271:BB271,"u")=0), "u", "")</f>
        <v/>
      </c>
      <c r="BD271" s="80" t="str">
        <f>IF(AND($F271&lt;&gt;"", $F271&gt;=BD$5-4, $F271&lt;=BD$5, COUNTIF($M271:BC271,"u")=0), "u", "")</f>
        <v/>
      </c>
      <c r="BE271" s="80" t="str">
        <f>IF(AND($F271&lt;&gt;"", $F271&gt;=BE$5-4, $F271&lt;=BE$5, COUNTIF($M271:BD271,"u")=0), "u", "")</f>
        <v/>
      </c>
      <c r="BF271" s="80" t="str">
        <f>IF(AND($F271&lt;&gt;"", $F271&gt;=BF$5-4, $F271&lt;=BF$5, COUNTIF($M271:BE271,"u")=0), "u", "")</f>
        <v/>
      </c>
      <c r="BG271" s="80" t="str">
        <f>IF(AND($F271&lt;&gt;"", $F271&gt;=BG$5-4, $F271&lt;=BG$5, COUNTIF($M271:BF271,"u")=0), "u", "")</f>
        <v/>
      </c>
      <c r="BH271" s="80" t="str">
        <f>IF(AND($F271&lt;&gt;"", $F271&gt;=BH$5-4, $F271&lt;=BH$5, COUNTIF($M271:BG271,"u")=0), "u", "")</f>
        <v/>
      </c>
      <c r="BI271" s="80" t="str">
        <f>IF(AND($F271&lt;&gt;"", $F271&gt;=BI$5-4, $F271&lt;=BI$5, COUNTIF($M271:BH271,"u")=0), "u", "")</f>
        <v/>
      </c>
      <c r="BJ271" s="80" t="str">
        <f>IF(AND($F271&lt;&gt;"", $F271&gt;=BJ$5-4, $F271&lt;=BJ$5, COUNTIF($M271:BI271,"u")=0), "u", "")</f>
        <v/>
      </c>
      <c r="BK271" s="80" t="str">
        <f>IF(AND($F271&lt;&gt;"", $F271&gt;=BK$5-4, $F271&lt;=BK$5, COUNTIF($M271:BJ271,"u")=0), "u", "")</f>
        <v/>
      </c>
      <c r="BL271" s="80" t="str">
        <f>IF(AND($F271&lt;&gt;"", $F271&gt;=BL$5-4, $F271&lt;=BL$5, COUNTIF($M271:BK271,"u")=0), "u", "")</f>
        <v/>
      </c>
      <c r="BM271" s="80" t="str">
        <f>IF(AND($F271&lt;&gt;"", $F271&gt;=BM$5-4, $F271&lt;=BM$5, COUNTIF($M271:BL271,"u")=0), "u", "")</f>
        <v/>
      </c>
      <c r="BN271" s="80" t="str">
        <f>IF(AND($F271&lt;&gt;"", $F271&gt;=BN$5-4, $F271&lt;=BN$5, COUNTIF($M271:BM271,"u")=0), "u", "")</f>
        <v/>
      </c>
      <c r="BO271" s="80" t="str">
        <f>IF(AND($F271&lt;&gt;"", $F271&gt;=BO$5-4, $F271&lt;=BO$5, COUNTIF($M271:BN271,"u")=0), "u", "")</f>
        <v/>
      </c>
      <c r="BP271" s="80" t="str">
        <f>IF(AND($F271&lt;&gt;"", $F271&gt;=BP$5-4, $F271&lt;=BP$5, COUNTIF($M271:BO271,"u")=0), "u", "")</f>
        <v/>
      </c>
      <c r="BQ271" s="80" t="str">
        <f>IF(AND($F271&lt;&gt;"", $F271&gt;=BQ$5-4, $F271&lt;=BQ$5, COUNTIF($M271:BP271,"u")=0), "u", "")</f>
        <v/>
      </c>
      <c r="BR271" s="80" t="str">
        <f>IF(AND($F271&lt;&gt;"", $F271&gt;=BR$5-4, $F271&lt;=BR$5, COUNTIF($M271:BQ271,"u")=0), "u", "")</f>
        <v/>
      </c>
      <c r="BS271" s="80" t="str">
        <f>IF(AND($F271&lt;&gt;"", $F271&gt;=BS$5-4, $F271&lt;=BS$5, COUNTIF($M271:BR271,"u")=0), "u", "")</f>
        <v/>
      </c>
      <c r="BT271" s="80" t="str">
        <f>IF(AND($F271&lt;&gt;"", $F271&gt;=BT$5-4, $F271&lt;=BT$5, COUNTIF($M271:BS271,"u")=0), "u", "")</f>
        <v/>
      </c>
      <c r="BU271" s="80" t="str">
        <f>IF(AND($F271&lt;&gt;"", $F271&gt;=BU$5-4, $F271&lt;=BU$5, COUNTIF($M271:BT271,"u")=0), "u", "")</f>
        <v/>
      </c>
      <c r="BV271" s="80" t="str">
        <f>IF(AND($F271&lt;&gt;"", $F271&gt;=BV$5-4, $F271&lt;=BV$5, COUNTIF($M271:BU271,"u")=0), "u", "")</f>
        <v/>
      </c>
      <c r="BW271" s="80" t="str">
        <f>IF(AND($F271&lt;&gt;"", $F271&gt;=BW$5-4, $F271&lt;=BW$5, COUNTIF($M271:BV271,"u")=0), "u", "")</f>
        <v/>
      </c>
      <c r="BX271" s="80" t="str">
        <f>IF(AND($F271&lt;&gt;"", $F271&gt;=BX$5-4, $F271&lt;=BX$5, COUNTIF($M271:BW271,"u")=0), "u", "")</f>
        <v/>
      </c>
      <c r="BY271" s="80" t="str">
        <f>IF(AND($F271&lt;&gt;"", $F271&gt;=BY$5-4, $F271&lt;=BY$5, COUNTIF($M271:BX271,"u")=0), "u", "")</f>
        <v/>
      </c>
      <c r="BZ271" s="80" t="str">
        <f>IF(AND($F271&lt;&gt;"", $F271&gt;=BZ$5-4, $F271&lt;=BZ$5, COUNTIF($M271:BY271,"u")=0), "u", "")</f>
        <v/>
      </c>
      <c r="CA271" s="80" t="str">
        <f>IF(AND($F271&lt;&gt;"", $F271&gt;=CA$5-4, $F271&lt;=CA$5, COUNTIF($M271:BZ271,"u")=0), "u", "")</f>
        <v/>
      </c>
      <c r="CB271" s="80" t="str">
        <f>IF(AND($F271&lt;&gt;"", $F271&gt;=CB$5-4, $F271&lt;=CB$5, COUNTIF($M271:CA271,"u")=0), "u", "")</f>
        <v/>
      </c>
      <c r="CC271" s="80" t="str">
        <f>IF(AND($F271&lt;&gt;"", $F271&gt;=CC$5-4, $F271&lt;=CC$5, COUNTIF($M271:CB271,"u")=0), "u", "")</f>
        <v/>
      </c>
      <c r="CD271" s="80" t="str">
        <f>IF(AND($F271&lt;&gt;"", $F271&gt;=CD$5-4, $F271&lt;=CD$5, COUNTIF($M271:CC271,"u")=0), "u", "")</f>
        <v/>
      </c>
      <c r="CE271" s="80" t="str">
        <f>IF(AND($F271&lt;&gt;"", $F271&gt;=CE$5-4, $F271&lt;=CE$5, COUNTIF($M271:CD271,"u")=0), "u", "")</f>
        <v/>
      </c>
      <c r="CF271" s="80" t="str">
        <f>IF(AND($F271&lt;&gt;"", $F271&gt;=CF$5-4, $F271&lt;=CF$5, COUNTIF($M271:CE271,"u")=0), "u", "")</f>
        <v/>
      </c>
      <c r="CG271" s="80" t="str">
        <f>IF(AND($F271&lt;&gt;"", $F271&gt;=CG$5-4, $F271&lt;=CG$5, COUNTIF($M271:CF271,"u")=0), "u", "")</f>
        <v/>
      </c>
      <c r="CH271" s="80" t="str">
        <f>IF(AND($F271&lt;&gt;"", $F271&gt;=CH$5-4, $F271&lt;=CH$5, COUNTIF($M271:CG271,"u")=0), "u", "")</f>
        <v/>
      </c>
      <c r="CI271" s="80" t="str">
        <f>IF(AND($F271&lt;&gt;"", $F271&gt;=CI$5-4, $F271&lt;=CI$5, COUNTIF($M271:CH271,"u")=0), "u", "")</f>
        <v/>
      </c>
      <c r="CJ271" s="80" t="str">
        <f>IF(AND($F271&lt;&gt;"", $F271&gt;=CJ$5-4, $F271&lt;=CJ$5, COUNTIF($M271:CI271,"u")=0), "u", "")</f>
        <v/>
      </c>
      <c r="CK271" s="80" t="str">
        <f>IF(AND($F271&lt;&gt;"", $F271&gt;=CK$5-4, $F271&lt;=CK$5, COUNTIF($M271:CJ271,"u")=0), "u", "")</f>
        <v/>
      </c>
      <c r="CL271" s="80" t="str">
        <f>IF(AND($F271&lt;&gt;"", $F271&gt;=CL$5-4, $F271&lt;=CL$5, COUNTIF($M271:CK271,"u")=0), "u", "")</f>
        <v/>
      </c>
      <c r="CM271" s="80" t="str">
        <f>IF(AND($F271&lt;&gt;"", $F271&gt;=CM$5-4, $F271&lt;=CM$5, COUNTIF($M271:CL271,"u")=0), "u", "")</f>
        <v/>
      </c>
      <c r="CN271" s="80" t="str">
        <f>IF(AND($F271&lt;&gt;"", $F271&gt;=CN$5-4, $F271&lt;=CN$5, COUNTIF($M271:CM271,"u")=0), "u", "")</f>
        <v/>
      </c>
      <c r="CO271" s="80" t="str">
        <f>IF(AND($F271&lt;&gt;"", $F271&gt;=CO$5-4, $F271&lt;=CO$5, COUNTIF($M271:CN271,"u")=0), "u", "")</f>
        <v/>
      </c>
      <c r="CP271" s="80" t="str">
        <f>IF(AND($F271&lt;&gt;"", $F271&gt;=CP$5-4, $F271&lt;=CP$5, COUNTIF($M271:CO271,"u")=0), "u", "")</f>
        <v/>
      </c>
      <c r="CQ271" s="80" t="str">
        <f>IF(AND($F271&lt;&gt;"", $F271&gt;=CQ$5-4, $F271&lt;=CQ$5, COUNTIF($M271:CP271,"u")=0), "u", "")</f>
        <v/>
      </c>
      <c r="CR271" s="80" t="str">
        <f>IF(AND($F271&lt;&gt;"", $F271&gt;=CR$5-4, $F271&lt;=CR$5, COUNTIF($M271:CQ271,"u")=0), "u", "")</f>
        <v/>
      </c>
      <c r="CS271" s="80" t="str">
        <f>IF(AND($F271&lt;&gt;"", $F271&gt;=CS$5-4, $F271&lt;=CS$5, COUNTIF($M271:CR271,"u")=0), "u", "")</f>
        <v/>
      </c>
      <c r="CT271" s="80" t="str">
        <f>IF(AND($F271&lt;&gt;"", $F271&gt;=CT$5-4, $F271&lt;=CT$5, COUNTIF($M271:CS271,"u")=0), "u", "")</f>
        <v/>
      </c>
      <c r="CU271" s="80" t="str">
        <f>IF(AND($F271&lt;&gt;"", $F271&gt;=CU$5-4, $F271&lt;=CU$5, COUNTIF($M271:CT271,"u")=0), "u", "")</f>
        <v/>
      </c>
      <c r="CV271" s="80" t="str">
        <f>IF(AND($F271&lt;&gt;"", $F271&gt;=CV$5-4, $F271&lt;=CV$5, COUNTIF($M271:CU271,"u")=0), "u", "")</f>
        <v/>
      </c>
      <c r="CW271" s="80" t="str">
        <f>IF(AND($F271&lt;&gt;"", $F271&gt;=CW$5-4, $F271&lt;=CW$5, COUNTIF($M271:CV271,"u")=0), "u", "")</f>
        <v/>
      </c>
      <c r="CX271" s="80" t="str">
        <f>IF(AND($F271&lt;&gt;"", $F271&gt;=CX$5-4, $F271&lt;=CX$5, COUNTIF($M271:CW271,"u")=0), "u", "")</f>
        <v/>
      </c>
      <c r="CY271" s="80" t="str">
        <f>IF(AND($F271&lt;&gt;"", $F271&gt;=CY$5-4, $F271&lt;=CY$5, COUNTIF($M271:CX271,"u")=0), "u", "")</f>
        <v/>
      </c>
      <c r="CZ271" s="80" t="str">
        <f>IF(AND($F271&lt;&gt;"", $F271&gt;=CZ$5-4, $F271&lt;=CZ$5, COUNTIF($M271:CY271,"u")=0), "u", "")</f>
        <v/>
      </c>
      <c r="DA271" s="80" t="str">
        <f>IF(AND($F271&lt;&gt;"", $F271&gt;=DA$5-4, $F271&lt;=DA$5, COUNTIF($M271:CZ271,"u")=0), "u", "")</f>
        <v/>
      </c>
      <c r="DB271" s="80" t="str">
        <f>IF(AND($F271&lt;&gt;"", $F271&gt;=DB$5-4, $F271&lt;=DB$5, COUNTIF($M271:DA271,"u")=0), "u", "")</f>
        <v/>
      </c>
      <c r="DC271" s="80" t="str">
        <f>IF(AND($F271&lt;&gt;"", $F271&gt;=DC$5-4, $F271&lt;=DC$5, COUNTIF($M271:DB271,"u")=0), "u", "")</f>
        <v/>
      </c>
      <c r="DD271" s="80" t="str">
        <f>IF(AND($F271&lt;&gt;"", $F271&gt;=DD$5-4, $F271&lt;=DD$5, COUNTIF($M271:DC271,"u")=0), "u", "")</f>
        <v/>
      </c>
      <c r="DE271" s="80" t="str">
        <f>IF(AND($F271&lt;&gt;"", $F271&gt;=DE$5-4, $F271&lt;=DE$5, COUNTIF($M271:DD271,"u")=0), "u", "")</f>
        <v/>
      </c>
      <c r="DF271" s="80" t="str">
        <f>IF(AND($F271&lt;&gt;"", $F271&gt;=DF$5-4, $F271&lt;=DF$5, COUNTIF($M271:DE271,"u")=0), "u", "")</f>
        <v/>
      </c>
      <c r="DG271" s="80" t="str">
        <f>IF(AND($F271&lt;&gt;"", $F271&gt;=DG$5-4, $F271&lt;=DG$5, COUNTIF($M271:DF271,"u")=0), "u", "")</f>
        <v/>
      </c>
      <c r="DH271" s="80" t="str">
        <f>IF(AND($F271&lt;&gt;"", $F271&gt;=DH$5-4, $F271&lt;=DH$5, COUNTIF($M271:DG271,"u")=0), "u", "")</f>
        <v/>
      </c>
      <c r="DI271" s="80" t="str">
        <f>IF(AND($F271&lt;&gt;"", $F271&gt;=DI$5-4, $F271&lt;=DI$5, COUNTIF($M271:DH271,"u")=0), "u", "")</f>
        <v/>
      </c>
      <c r="DJ271" s="80" t="str">
        <f>IF(AND($F271&lt;&gt;"", $F271&gt;=DJ$5-4, $F271&lt;=DJ$5, COUNTIF($M271:DI271,"u")=0), "u", "")</f>
        <v/>
      </c>
      <c r="DK271" s="80" t="str">
        <f>IF(AND($F271&lt;&gt;"", $F271&gt;=DK$5-4, $F271&lt;=DK$5, COUNTIF($M271:DJ271,"u")=0), "u", "")</f>
        <v/>
      </c>
      <c r="DL271" s="80" t="str">
        <f>IF(AND($F271&lt;&gt;"", $F271&gt;=DL$5-4, $F271&lt;=DL$5, COUNTIF($M271:DK271,"u")=0), "u", "")</f>
        <v/>
      </c>
    </row>
    <row r="272" spans="1:116" ht="25.05" customHeight="1" x14ac:dyDescent="0.3">
      <c r="A272" s="39"/>
      <c r="B272" s="75">
        <v>267</v>
      </c>
      <c r="C272" s="97"/>
      <c r="D272" s="92"/>
      <c r="E272" s="53"/>
      <c r="F272" s="53"/>
      <c r="G272" s="83" t="str">
        <f t="shared" si="56"/>
        <v/>
      </c>
      <c r="H272" s="83" t="str">
        <f t="shared" si="56"/>
        <v/>
      </c>
      <c r="I272" s="77" t="str">
        <f t="shared" si="57"/>
        <v/>
      </c>
      <c r="J272" s="78"/>
      <c r="K272" s="86"/>
      <c r="L272" s="56"/>
      <c r="M272" s="80" t="str">
        <f t="shared" si="58"/>
        <v/>
      </c>
      <c r="N272" s="80" t="str">
        <f>IF(AND($F272&lt;&gt;"", $F272&gt;=N$5-4, $F272&lt;=N$5, COUNTIF($M272:M272,"u")=0), "u", "")</f>
        <v/>
      </c>
      <c r="O272" s="80" t="str">
        <f>IF(AND($F272&lt;&gt;"", $F272&gt;=O$5-4, $F272&lt;=O$5, COUNTIF($M272:N272,"u")=0), "u", "")</f>
        <v/>
      </c>
      <c r="P272" s="80" t="str">
        <f>IF(AND($F272&lt;&gt;"", $F272&gt;=P$5-4, $F272&lt;=P$5, COUNTIF($M272:O272,"u")=0), "u", "")</f>
        <v/>
      </c>
      <c r="Q272" s="80" t="str">
        <f>IF(AND($F272&lt;&gt;"", $F272&gt;=Q$5-4, $F272&lt;=Q$5, COUNTIF($M272:P272,"u")=0), "u", "")</f>
        <v/>
      </c>
      <c r="R272" s="80" t="str">
        <f>IF(AND($F272&lt;&gt;"", $F272&gt;=R$5-4, $F272&lt;=R$5, COUNTIF($M272:Q272,"u")=0), "u", "")</f>
        <v/>
      </c>
      <c r="S272" s="80" t="str">
        <f>IF(AND($F272&lt;&gt;"", $F272&gt;=S$5-4, $F272&lt;=S$5, COUNTIF($M272:R272,"u")=0), "u", "")</f>
        <v/>
      </c>
      <c r="T272" s="80" t="str">
        <f>IF(AND($F272&lt;&gt;"", $F272&gt;=T$5-4, $F272&lt;=T$5, COUNTIF($M272:S272,"u")=0), "u", "")</f>
        <v/>
      </c>
      <c r="U272" s="80" t="str">
        <f>IF(AND($F272&lt;&gt;"", $F272&gt;=U$5-4, $F272&lt;=U$5, COUNTIF($M272:T272,"u")=0), "u", "")</f>
        <v/>
      </c>
      <c r="V272" s="80" t="str">
        <f>IF(AND($F272&lt;&gt;"", $F272&gt;=V$5-4, $F272&lt;=V$5, COUNTIF($M272:U272,"u")=0), "u", "")</f>
        <v/>
      </c>
      <c r="W272" s="80" t="str">
        <f>IF(AND($F272&lt;&gt;"", $F272&gt;=W$5-4, $F272&lt;=W$5, COUNTIF($M272:V272,"u")=0), "u", "")</f>
        <v/>
      </c>
      <c r="X272" s="80" t="str">
        <f>IF(AND($F272&lt;&gt;"", $F272&gt;=X$5-4, $F272&lt;=X$5, COUNTIF($M272:W272,"u")=0), "u", "")</f>
        <v/>
      </c>
      <c r="Y272" s="80" t="str">
        <f>IF(AND($F272&lt;&gt;"", $F272&gt;=Y$5-4, $F272&lt;=Y$5, COUNTIF($M272:X272,"u")=0), "u", "")</f>
        <v/>
      </c>
      <c r="Z272" s="80" t="str">
        <f>IF(AND($F272&lt;&gt;"", $F272&gt;=Z$5-4, $F272&lt;=Z$5, COUNTIF($M272:Y272,"u")=0), "u", "")</f>
        <v/>
      </c>
      <c r="AA272" s="80" t="str">
        <f>IF(AND($F272&lt;&gt;"", $F272&gt;=AA$5-4, $F272&lt;=AA$5, COUNTIF($M272:Z272,"u")=0), "u", "")</f>
        <v/>
      </c>
      <c r="AB272" s="80" t="str">
        <f>IF(AND($F272&lt;&gt;"", $F272&gt;=AB$5-4, $F272&lt;=AB$5, COUNTIF($M272:AA272,"u")=0), "u", "")</f>
        <v/>
      </c>
      <c r="AC272" s="80" t="str">
        <f>IF(AND($F272&lt;&gt;"", $F272&gt;=AC$5-4, $F272&lt;=AC$5, COUNTIF($M272:AB272,"u")=0), "u", "")</f>
        <v/>
      </c>
      <c r="AD272" s="80" t="str">
        <f>IF(AND($F272&lt;&gt;"", $F272&gt;=AD$5-4, $F272&lt;=AD$5, COUNTIF($M272:AC272,"u")=0), "u", "")</f>
        <v/>
      </c>
      <c r="AE272" s="80" t="str">
        <f>IF(AND($F272&lt;&gt;"", $F272&gt;=AE$5-4, $F272&lt;=AE$5, COUNTIF($M272:AD272,"u")=0), "u", "")</f>
        <v/>
      </c>
      <c r="AF272" s="80" t="str">
        <f>IF(AND($F272&lt;&gt;"", $F272&gt;=AF$5-4, $F272&lt;=AF$5, COUNTIF($M272:AE272,"u")=0), "u", "")</f>
        <v/>
      </c>
      <c r="AG272" s="80" t="str">
        <f>IF(AND($F272&lt;&gt;"", $F272&gt;=AG$5-4, $F272&lt;=AG$5, COUNTIF($M272:AF272,"u")=0), "u", "")</f>
        <v/>
      </c>
      <c r="AH272" s="80" t="str">
        <f>IF(AND($F272&lt;&gt;"", $F272&gt;=AH$5-4, $F272&lt;=AH$5, COUNTIF($M272:AG272,"u")=0), "u", "")</f>
        <v/>
      </c>
      <c r="AI272" s="80" t="str">
        <f>IF(AND($F272&lt;&gt;"", $F272&gt;=AI$5-4, $F272&lt;=AI$5, COUNTIF($M272:AH272,"u")=0), "u", "")</f>
        <v/>
      </c>
      <c r="AJ272" s="80" t="str">
        <f>IF(AND($F272&lt;&gt;"", $F272&gt;=AJ$5-4, $F272&lt;=AJ$5, COUNTIF($M272:AI272,"u")=0), "u", "")</f>
        <v/>
      </c>
      <c r="AK272" s="80" t="str">
        <f>IF(AND($F272&lt;&gt;"", $F272&gt;=AK$5-4, $F272&lt;=AK$5, COUNTIF($M272:AJ272,"u")=0), "u", "")</f>
        <v/>
      </c>
      <c r="AL272" s="80" t="str">
        <f>IF(AND($F272&lt;&gt;"", $F272&gt;=AL$5-4, $F272&lt;=AL$5, COUNTIF($M272:AK272,"u")=0), "u", "")</f>
        <v/>
      </c>
      <c r="AM272" s="80" t="str">
        <f>IF(AND($F272&lt;&gt;"", $F272&gt;=AM$5-4, $F272&lt;=AM$5, COUNTIF($M272:AL272,"u")=0), "u", "")</f>
        <v/>
      </c>
      <c r="AN272" s="80" t="str">
        <f>IF(AND($F272&lt;&gt;"", $F272&gt;=AN$5-4, $F272&lt;=AN$5, COUNTIF($M272:AM272,"u")=0), "u", "")</f>
        <v/>
      </c>
      <c r="AO272" s="80" t="str">
        <f>IF(AND($F272&lt;&gt;"", $F272&gt;=AO$5-4, $F272&lt;=AO$5, COUNTIF($M272:AN272,"u")=0), "u", "")</f>
        <v/>
      </c>
      <c r="AP272" s="80" t="str">
        <f>IF(AND($F272&lt;&gt;"", $F272&gt;=AP$5-4, $F272&lt;=AP$5, COUNTIF($M272:AO272,"u")=0), "u", "")</f>
        <v/>
      </c>
      <c r="AQ272" s="80" t="str">
        <f>IF(AND($F272&lt;&gt;"", $F272&gt;=AQ$5-4, $F272&lt;=AQ$5, COUNTIF($M272:AP272,"u")=0), "u", "")</f>
        <v/>
      </c>
      <c r="AR272" s="80" t="str">
        <f>IF(AND($F272&lt;&gt;"", $F272&gt;=AR$5-4, $F272&lt;=AR$5, COUNTIF($M272:AQ272,"u")=0), "u", "")</f>
        <v/>
      </c>
      <c r="AS272" s="80" t="str">
        <f>IF(AND($F272&lt;&gt;"", $F272&gt;=AS$5-4, $F272&lt;=AS$5, COUNTIF($M272:AR272,"u")=0), "u", "")</f>
        <v/>
      </c>
      <c r="AT272" s="80" t="str">
        <f>IF(AND($F272&lt;&gt;"", $F272&gt;=AT$5-4, $F272&lt;=AT$5, COUNTIF($M272:AS272,"u")=0), "u", "")</f>
        <v/>
      </c>
      <c r="AU272" s="80" t="str">
        <f>IF(AND($F272&lt;&gt;"", $F272&gt;=AU$5-4, $F272&lt;=AU$5, COUNTIF($M272:AT272,"u")=0), "u", "")</f>
        <v/>
      </c>
      <c r="AV272" s="80" t="str">
        <f>IF(AND($F272&lt;&gt;"", $F272&gt;=AV$5-4, $F272&lt;=AV$5, COUNTIF($M272:AU272,"u")=0), "u", "")</f>
        <v/>
      </c>
      <c r="AW272" s="80" t="str">
        <f>IF(AND($F272&lt;&gt;"", $F272&gt;=AW$5-4, $F272&lt;=AW$5, COUNTIF($M272:AV272,"u")=0), "u", "")</f>
        <v/>
      </c>
      <c r="AX272" s="80" t="str">
        <f>IF(AND($F272&lt;&gt;"", $F272&gt;=AX$5-4, $F272&lt;=AX$5, COUNTIF($M272:AW272,"u")=0), "u", "")</f>
        <v/>
      </c>
      <c r="AY272" s="80" t="str">
        <f>IF(AND($F272&lt;&gt;"", $F272&gt;=AY$5-4, $F272&lt;=AY$5, COUNTIF($M272:AX272,"u")=0), "u", "")</f>
        <v/>
      </c>
      <c r="AZ272" s="80" t="str">
        <f>IF(AND($F272&lt;&gt;"", $F272&gt;=AZ$5-4, $F272&lt;=AZ$5, COUNTIF($M272:AY272,"u")=0), "u", "")</f>
        <v/>
      </c>
      <c r="BA272" s="80" t="str">
        <f>IF(AND($F272&lt;&gt;"", $F272&gt;=BA$5-4, $F272&lt;=BA$5, COUNTIF($M272:AZ272,"u")=0), "u", "")</f>
        <v/>
      </c>
      <c r="BB272" s="80" t="str">
        <f>IF(AND($F272&lt;&gt;"", $F272&gt;=BB$5-4, $F272&lt;=BB$5, COUNTIF($M272:BA272,"u")=0), "u", "")</f>
        <v/>
      </c>
      <c r="BC272" s="80" t="str">
        <f>IF(AND($F272&lt;&gt;"", $F272&gt;=BC$5-4, $F272&lt;=BC$5, COUNTIF($M272:BB272,"u")=0), "u", "")</f>
        <v/>
      </c>
      <c r="BD272" s="80" t="str">
        <f>IF(AND($F272&lt;&gt;"", $F272&gt;=BD$5-4, $F272&lt;=BD$5, COUNTIF($M272:BC272,"u")=0), "u", "")</f>
        <v/>
      </c>
      <c r="BE272" s="80" t="str">
        <f>IF(AND($F272&lt;&gt;"", $F272&gt;=BE$5-4, $F272&lt;=BE$5, COUNTIF($M272:BD272,"u")=0), "u", "")</f>
        <v/>
      </c>
      <c r="BF272" s="80" t="str">
        <f>IF(AND($F272&lt;&gt;"", $F272&gt;=BF$5-4, $F272&lt;=BF$5, COUNTIF($M272:BE272,"u")=0), "u", "")</f>
        <v/>
      </c>
      <c r="BG272" s="80" t="str">
        <f>IF(AND($F272&lt;&gt;"", $F272&gt;=BG$5-4, $F272&lt;=BG$5, COUNTIF($M272:BF272,"u")=0), "u", "")</f>
        <v/>
      </c>
      <c r="BH272" s="80" t="str">
        <f>IF(AND($F272&lt;&gt;"", $F272&gt;=BH$5-4, $F272&lt;=BH$5, COUNTIF($M272:BG272,"u")=0), "u", "")</f>
        <v/>
      </c>
      <c r="BI272" s="80" t="str">
        <f>IF(AND($F272&lt;&gt;"", $F272&gt;=BI$5-4, $F272&lt;=BI$5, COUNTIF($M272:BH272,"u")=0), "u", "")</f>
        <v/>
      </c>
      <c r="BJ272" s="80" t="str">
        <f>IF(AND($F272&lt;&gt;"", $F272&gt;=BJ$5-4, $F272&lt;=BJ$5, COUNTIF($M272:BI272,"u")=0), "u", "")</f>
        <v/>
      </c>
      <c r="BK272" s="80" t="str">
        <f>IF(AND($F272&lt;&gt;"", $F272&gt;=BK$5-4, $F272&lt;=BK$5, COUNTIF($M272:BJ272,"u")=0), "u", "")</f>
        <v/>
      </c>
      <c r="BL272" s="80" t="str">
        <f>IF(AND($F272&lt;&gt;"", $F272&gt;=BL$5-4, $F272&lt;=BL$5, COUNTIF($M272:BK272,"u")=0), "u", "")</f>
        <v/>
      </c>
      <c r="BM272" s="80" t="str">
        <f>IF(AND($F272&lt;&gt;"", $F272&gt;=BM$5-4, $F272&lt;=BM$5, COUNTIF($M272:BL272,"u")=0), "u", "")</f>
        <v/>
      </c>
      <c r="BN272" s="80" t="str">
        <f>IF(AND($F272&lt;&gt;"", $F272&gt;=BN$5-4, $F272&lt;=BN$5, COUNTIF($M272:BM272,"u")=0), "u", "")</f>
        <v/>
      </c>
      <c r="BO272" s="80" t="str">
        <f>IF(AND($F272&lt;&gt;"", $F272&gt;=BO$5-4, $F272&lt;=BO$5, COUNTIF($M272:BN272,"u")=0), "u", "")</f>
        <v/>
      </c>
      <c r="BP272" s="80" t="str">
        <f>IF(AND($F272&lt;&gt;"", $F272&gt;=BP$5-4, $F272&lt;=BP$5, COUNTIF($M272:BO272,"u")=0), "u", "")</f>
        <v/>
      </c>
      <c r="BQ272" s="80" t="str">
        <f>IF(AND($F272&lt;&gt;"", $F272&gt;=BQ$5-4, $F272&lt;=BQ$5, COUNTIF($M272:BP272,"u")=0), "u", "")</f>
        <v/>
      </c>
      <c r="BR272" s="80" t="str">
        <f>IF(AND($F272&lt;&gt;"", $F272&gt;=BR$5-4, $F272&lt;=BR$5, COUNTIF($M272:BQ272,"u")=0), "u", "")</f>
        <v/>
      </c>
      <c r="BS272" s="80" t="str">
        <f>IF(AND($F272&lt;&gt;"", $F272&gt;=BS$5-4, $F272&lt;=BS$5, COUNTIF($M272:BR272,"u")=0), "u", "")</f>
        <v/>
      </c>
      <c r="BT272" s="80" t="str">
        <f>IF(AND($F272&lt;&gt;"", $F272&gt;=BT$5-4, $F272&lt;=BT$5, COUNTIF($M272:BS272,"u")=0), "u", "")</f>
        <v/>
      </c>
      <c r="BU272" s="80" t="str">
        <f>IF(AND($F272&lt;&gt;"", $F272&gt;=BU$5-4, $F272&lt;=BU$5, COUNTIF($M272:BT272,"u")=0), "u", "")</f>
        <v/>
      </c>
      <c r="BV272" s="80" t="str">
        <f>IF(AND($F272&lt;&gt;"", $F272&gt;=BV$5-4, $F272&lt;=BV$5, COUNTIF($M272:BU272,"u")=0), "u", "")</f>
        <v/>
      </c>
      <c r="BW272" s="80" t="str">
        <f>IF(AND($F272&lt;&gt;"", $F272&gt;=BW$5-4, $F272&lt;=BW$5, COUNTIF($M272:BV272,"u")=0), "u", "")</f>
        <v/>
      </c>
      <c r="BX272" s="80" t="str">
        <f>IF(AND($F272&lt;&gt;"", $F272&gt;=BX$5-4, $F272&lt;=BX$5, COUNTIF($M272:BW272,"u")=0), "u", "")</f>
        <v/>
      </c>
      <c r="BY272" s="80" t="str">
        <f>IF(AND($F272&lt;&gt;"", $F272&gt;=BY$5-4, $F272&lt;=BY$5, COUNTIF($M272:BX272,"u")=0), "u", "")</f>
        <v/>
      </c>
      <c r="BZ272" s="80" t="str">
        <f>IF(AND($F272&lt;&gt;"", $F272&gt;=BZ$5-4, $F272&lt;=BZ$5, COUNTIF($M272:BY272,"u")=0), "u", "")</f>
        <v/>
      </c>
      <c r="CA272" s="80" t="str">
        <f>IF(AND($F272&lt;&gt;"", $F272&gt;=CA$5-4, $F272&lt;=CA$5, COUNTIF($M272:BZ272,"u")=0), "u", "")</f>
        <v/>
      </c>
      <c r="CB272" s="80" t="str">
        <f>IF(AND($F272&lt;&gt;"", $F272&gt;=CB$5-4, $F272&lt;=CB$5, COUNTIF($M272:CA272,"u")=0), "u", "")</f>
        <v/>
      </c>
      <c r="CC272" s="80" t="str">
        <f>IF(AND($F272&lt;&gt;"", $F272&gt;=CC$5-4, $F272&lt;=CC$5, COUNTIF($M272:CB272,"u")=0), "u", "")</f>
        <v/>
      </c>
      <c r="CD272" s="80" t="str">
        <f>IF(AND($F272&lt;&gt;"", $F272&gt;=CD$5-4, $F272&lt;=CD$5, COUNTIF($M272:CC272,"u")=0), "u", "")</f>
        <v/>
      </c>
      <c r="CE272" s="80" t="str">
        <f>IF(AND($F272&lt;&gt;"", $F272&gt;=CE$5-4, $F272&lt;=CE$5, COUNTIF($M272:CD272,"u")=0), "u", "")</f>
        <v/>
      </c>
      <c r="CF272" s="80" t="str">
        <f>IF(AND($F272&lt;&gt;"", $F272&gt;=CF$5-4, $F272&lt;=CF$5, COUNTIF($M272:CE272,"u")=0), "u", "")</f>
        <v/>
      </c>
      <c r="CG272" s="80" t="str">
        <f>IF(AND($F272&lt;&gt;"", $F272&gt;=CG$5-4, $F272&lt;=CG$5, COUNTIF($M272:CF272,"u")=0), "u", "")</f>
        <v/>
      </c>
      <c r="CH272" s="80" t="str">
        <f>IF(AND($F272&lt;&gt;"", $F272&gt;=CH$5-4, $F272&lt;=CH$5, COUNTIF($M272:CG272,"u")=0), "u", "")</f>
        <v/>
      </c>
      <c r="CI272" s="80" t="str">
        <f>IF(AND($F272&lt;&gt;"", $F272&gt;=CI$5-4, $F272&lt;=CI$5, COUNTIF($M272:CH272,"u")=0), "u", "")</f>
        <v/>
      </c>
      <c r="CJ272" s="80" t="str">
        <f>IF(AND($F272&lt;&gt;"", $F272&gt;=CJ$5-4, $F272&lt;=CJ$5, COUNTIF($M272:CI272,"u")=0), "u", "")</f>
        <v/>
      </c>
      <c r="CK272" s="80" t="str">
        <f>IF(AND($F272&lt;&gt;"", $F272&gt;=CK$5-4, $F272&lt;=CK$5, COUNTIF($M272:CJ272,"u")=0), "u", "")</f>
        <v/>
      </c>
      <c r="CL272" s="80" t="str">
        <f>IF(AND($F272&lt;&gt;"", $F272&gt;=CL$5-4, $F272&lt;=CL$5, COUNTIF($M272:CK272,"u")=0), "u", "")</f>
        <v/>
      </c>
      <c r="CM272" s="80" t="str">
        <f>IF(AND($F272&lt;&gt;"", $F272&gt;=CM$5-4, $F272&lt;=CM$5, COUNTIF($M272:CL272,"u")=0), "u", "")</f>
        <v/>
      </c>
      <c r="CN272" s="80" t="str">
        <f>IF(AND($F272&lt;&gt;"", $F272&gt;=CN$5-4, $F272&lt;=CN$5, COUNTIF($M272:CM272,"u")=0), "u", "")</f>
        <v/>
      </c>
      <c r="CO272" s="80" t="str">
        <f>IF(AND($F272&lt;&gt;"", $F272&gt;=CO$5-4, $F272&lt;=CO$5, COUNTIF($M272:CN272,"u")=0), "u", "")</f>
        <v/>
      </c>
      <c r="CP272" s="80" t="str">
        <f>IF(AND($F272&lt;&gt;"", $F272&gt;=CP$5-4, $F272&lt;=CP$5, COUNTIF($M272:CO272,"u")=0), "u", "")</f>
        <v/>
      </c>
      <c r="CQ272" s="80" t="str">
        <f>IF(AND($F272&lt;&gt;"", $F272&gt;=CQ$5-4, $F272&lt;=CQ$5, COUNTIF($M272:CP272,"u")=0), "u", "")</f>
        <v/>
      </c>
      <c r="CR272" s="80" t="str">
        <f>IF(AND($F272&lt;&gt;"", $F272&gt;=CR$5-4, $F272&lt;=CR$5, COUNTIF($M272:CQ272,"u")=0), "u", "")</f>
        <v/>
      </c>
      <c r="CS272" s="80" t="str">
        <f>IF(AND($F272&lt;&gt;"", $F272&gt;=CS$5-4, $F272&lt;=CS$5, COUNTIF($M272:CR272,"u")=0), "u", "")</f>
        <v/>
      </c>
      <c r="CT272" s="80" t="str">
        <f>IF(AND($F272&lt;&gt;"", $F272&gt;=CT$5-4, $F272&lt;=CT$5, COUNTIF($M272:CS272,"u")=0), "u", "")</f>
        <v/>
      </c>
      <c r="CU272" s="80" t="str">
        <f>IF(AND($F272&lt;&gt;"", $F272&gt;=CU$5-4, $F272&lt;=CU$5, COUNTIF($M272:CT272,"u")=0), "u", "")</f>
        <v/>
      </c>
      <c r="CV272" s="80" t="str">
        <f>IF(AND($F272&lt;&gt;"", $F272&gt;=CV$5-4, $F272&lt;=CV$5, COUNTIF($M272:CU272,"u")=0), "u", "")</f>
        <v/>
      </c>
      <c r="CW272" s="80" t="str">
        <f>IF(AND($F272&lt;&gt;"", $F272&gt;=CW$5-4, $F272&lt;=CW$5, COUNTIF($M272:CV272,"u")=0), "u", "")</f>
        <v/>
      </c>
      <c r="CX272" s="80" t="str">
        <f>IF(AND($F272&lt;&gt;"", $F272&gt;=CX$5-4, $F272&lt;=CX$5, COUNTIF($M272:CW272,"u")=0), "u", "")</f>
        <v/>
      </c>
      <c r="CY272" s="80" t="str">
        <f>IF(AND($F272&lt;&gt;"", $F272&gt;=CY$5-4, $F272&lt;=CY$5, COUNTIF($M272:CX272,"u")=0), "u", "")</f>
        <v/>
      </c>
      <c r="CZ272" s="80" t="str">
        <f>IF(AND($F272&lt;&gt;"", $F272&gt;=CZ$5-4, $F272&lt;=CZ$5, COUNTIF($M272:CY272,"u")=0), "u", "")</f>
        <v/>
      </c>
      <c r="DA272" s="80" t="str">
        <f>IF(AND($F272&lt;&gt;"", $F272&gt;=DA$5-4, $F272&lt;=DA$5, COUNTIF($M272:CZ272,"u")=0), "u", "")</f>
        <v/>
      </c>
      <c r="DB272" s="80" t="str">
        <f>IF(AND($F272&lt;&gt;"", $F272&gt;=DB$5-4, $F272&lt;=DB$5, COUNTIF($M272:DA272,"u")=0), "u", "")</f>
        <v/>
      </c>
      <c r="DC272" s="80" t="str">
        <f>IF(AND($F272&lt;&gt;"", $F272&gt;=DC$5-4, $F272&lt;=DC$5, COUNTIF($M272:DB272,"u")=0), "u", "")</f>
        <v/>
      </c>
      <c r="DD272" s="80" t="str">
        <f>IF(AND($F272&lt;&gt;"", $F272&gt;=DD$5-4, $F272&lt;=DD$5, COUNTIF($M272:DC272,"u")=0), "u", "")</f>
        <v/>
      </c>
      <c r="DE272" s="80" t="str">
        <f>IF(AND($F272&lt;&gt;"", $F272&gt;=DE$5-4, $F272&lt;=DE$5, COUNTIF($M272:DD272,"u")=0), "u", "")</f>
        <v/>
      </c>
      <c r="DF272" s="80" t="str">
        <f>IF(AND($F272&lt;&gt;"", $F272&gt;=DF$5-4, $F272&lt;=DF$5, COUNTIF($M272:DE272,"u")=0), "u", "")</f>
        <v/>
      </c>
      <c r="DG272" s="80" t="str">
        <f>IF(AND($F272&lt;&gt;"", $F272&gt;=DG$5-4, $F272&lt;=DG$5, COUNTIF($M272:DF272,"u")=0), "u", "")</f>
        <v/>
      </c>
      <c r="DH272" s="80" t="str">
        <f>IF(AND($F272&lt;&gt;"", $F272&gt;=DH$5-4, $F272&lt;=DH$5, COUNTIF($M272:DG272,"u")=0), "u", "")</f>
        <v/>
      </c>
      <c r="DI272" s="80" t="str">
        <f>IF(AND($F272&lt;&gt;"", $F272&gt;=DI$5-4, $F272&lt;=DI$5, COUNTIF($M272:DH272,"u")=0), "u", "")</f>
        <v/>
      </c>
      <c r="DJ272" s="80" t="str">
        <f>IF(AND($F272&lt;&gt;"", $F272&gt;=DJ$5-4, $F272&lt;=DJ$5, COUNTIF($M272:DI272,"u")=0), "u", "")</f>
        <v/>
      </c>
      <c r="DK272" s="80" t="str">
        <f>IF(AND($F272&lt;&gt;"", $F272&gt;=DK$5-4, $F272&lt;=DK$5, COUNTIF($M272:DJ272,"u")=0), "u", "")</f>
        <v/>
      </c>
      <c r="DL272" s="80" t="str">
        <f>IF(AND($F272&lt;&gt;"", $F272&gt;=DL$5-4, $F272&lt;=DL$5, COUNTIF($M272:DK272,"u")=0), "u", "")</f>
        <v/>
      </c>
    </row>
    <row r="273" spans="1:116" ht="25.05" customHeight="1" x14ac:dyDescent="0.3">
      <c r="A273" s="39"/>
      <c r="B273" s="75">
        <v>268</v>
      </c>
      <c r="C273" s="97"/>
      <c r="D273" s="92"/>
      <c r="E273" s="53"/>
      <c r="F273" s="53"/>
      <c r="G273" s="83" t="str">
        <f t="shared" si="56"/>
        <v/>
      </c>
      <c r="H273" s="83" t="str">
        <f t="shared" si="56"/>
        <v/>
      </c>
      <c r="I273" s="77" t="str">
        <f t="shared" si="57"/>
        <v/>
      </c>
      <c r="J273" s="78"/>
      <c r="K273" s="86"/>
      <c r="L273" s="56"/>
      <c r="M273" s="80" t="str">
        <f t="shared" si="58"/>
        <v/>
      </c>
      <c r="N273" s="80" t="str">
        <f>IF(AND($F273&lt;&gt;"", $F273&gt;=N$5-4, $F273&lt;=N$5, COUNTIF($M273:M273,"u")=0), "u", "")</f>
        <v/>
      </c>
      <c r="O273" s="80" t="str">
        <f>IF(AND($F273&lt;&gt;"", $F273&gt;=O$5-4, $F273&lt;=O$5, COUNTIF($M273:N273,"u")=0), "u", "")</f>
        <v/>
      </c>
      <c r="P273" s="80" t="str">
        <f>IF(AND($F273&lt;&gt;"", $F273&gt;=P$5-4, $F273&lt;=P$5, COUNTIF($M273:O273,"u")=0), "u", "")</f>
        <v/>
      </c>
      <c r="Q273" s="80" t="str">
        <f>IF(AND($F273&lt;&gt;"", $F273&gt;=Q$5-4, $F273&lt;=Q$5, COUNTIF($M273:P273,"u")=0), "u", "")</f>
        <v/>
      </c>
      <c r="R273" s="80" t="str">
        <f>IF(AND($F273&lt;&gt;"", $F273&gt;=R$5-4, $F273&lt;=R$5, COUNTIF($M273:Q273,"u")=0), "u", "")</f>
        <v/>
      </c>
      <c r="S273" s="80" t="str">
        <f>IF(AND($F273&lt;&gt;"", $F273&gt;=S$5-4, $F273&lt;=S$5, COUNTIF($M273:R273,"u")=0), "u", "")</f>
        <v/>
      </c>
      <c r="T273" s="80" t="str">
        <f>IF(AND($F273&lt;&gt;"", $F273&gt;=T$5-4, $F273&lt;=T$5, COUNTIF($M273:S273,"u")=0), "u", "")</f>
        <v/>
      </c>
      <c r="U273" s="80" t="str">
        <f>IF(AND($F273&lt;&gt;"", $F273&gt;=U$5-4, $F273&lt;=U$5, COUNTIF($M273:T273,"u")=0), "u", "")</f>
        <v/>
      </c>
      <c r="V273" s="80" t="str">
        <f>IF(AND($F273&lt;&gt;"", $F273&gt;=V$5-4, $F273&lt;=V$5, COUNTIF($M273:U273,"u")=0), "u", "")</f>
        <v/>
      </c>
      <c r="W273" s="80" t="str">
        <f>IF(AND($F273&lt;&gt;"", $F273&gt;=W$5-4, $F273&lt;=W$5, COUNTIF($M273:V273,"u")=0), "u", "")</f>
        <v/>
      </c>
      <c r="X273" s="80" t="str">
        <f>IF(AND($F273&lt;&gt;"", $F273&gt;=X$5-4, $F273&lt;=X$5, COUNTIF($M273:W273,"u")=0), "u", "")</f>
        <v/>
      </c>
      <c r="Y273" s="80" t="str">
        <f>IF(AND($F273&lt;&gt;"", $F273&gt;=Y$5-4, $F273&lt;=Y$5, COUNTIF($M273:X273,"u")=0), "u", "")</f>
        <v/>
      </c>
      <c r="Z273" s="80" t="str">
        <f>IF(AND($F273&lt;&gt;"", $F273&gt;=Z$5-4, $F273&lt;=Z$5, COUNTIF($M273:Y273,"u")=0), "u", "")</f>
        <v/>
      </c>
      <c r="AA273" s="80" t="str">
        <f>IF(AND($F273&lt;&gt;"", $F273&gt;=AA$5-4, $F273&lt;=AA$5, COUNTIF($M273:Z273,"u")=0), "u", "")</f>
        <v/>
      </c>
      <c r="AB273" s="80" t="str">
        <f>IF(AND($F273&lt;&gt;"", $F273&gt;=AB$5-4, $F273&lt;=AB$5, COUNTIF($M273:AA273,"u")=0), "u", "")</f>
        <v/>
      </c>
      <c r="AC273" s="80" t="str">
        <f>IF(AND($F273&lt;&gt;"", $F273&gt;=AC$5-4, $F273&lt;=AC$5, COUNTIF($M273:AB273,"u")=0), "u", "")</f>
        <v/>
      </c>
      <c r="AD273" s="80" t="str">
        <f>IF(AND($F273&lt;&gt;"", $F273&gt;=AD$5-4, $F273&lt;=AD$5, COUNTIF($M273:AC273,"u")=0), "u", "")</f>
        <v/>
      </c>
      <c r="AE273" s="80" t="str">
        <f>IF(AND($F273&lt;&gt;"", $F273&gt;=AE$5-4, $F273&lt;=AE$5, COUNTIF($M273:AD273,"u")=0), "u", "")</f>
        <v/>
      </c>
      <c r="AF273" s="80" t="str">
        <f>IF(AND($F273&lt;&gt;"", $F273&gt;=AF$5-4, $F273&lt;=AF$5, COUNTIF($M273:AE273,"u")=0), "u", "")</f>
        <v/>
      </c>
      <c r="AG273" s="80" t="str">
        <f>IF(AND($F273&lt;&gt;"", $F273&gt;=AG$5-4, $F273&lt;=AG$5, COUNTIF($M273:AF273,"u")=0), "u", "")</f>
        <v/>
      </c>
      <c r="AH273" s="80" t="str">
        <f>IF(AND($F273&lt;&gt;"", $F273&gt;=AH$5-4, $F273&lt;=AH$5, COUNTIF($M273:AG273,"u")=0), "u", "")</f>
        <v/>
      </c>
      <c r="AI273" s="80" t="str">
        <f>IF(AND($F273&lt;&gt;"", $F273&gt;=AI$5-4, $F273&lt;=AI$5, COUNTIF($M273:AH273,"u")=0), "u", "")</f>
        <v/>
      </c>
      <c r="AJ273" s="80" t="str">
        <f>IF(AND($F273&lt;&gt;"", $F273&gt;=AJ$5-4, $F273&lt;=AJ$5, COUNTIF($M273:AI273,"u")=0), "u", "")</f>
        <v/>
      </c>
      <c r="AK273" s="80" t="str">
        <f>IF(AND($F273&lt;&gt;"", $F273&gt;=AK$5-4, $F273&lt;=AK$5, COUNTIF($M273:AJ273,"u")=0), "u", "")</f>
        <v/>
      </c>
      <c r="AL273" s="80" t="str">
        <f>IF(AND($F273&lt;&gt;"", $F273&gt;=AL$5-4, $F273&lt;=AL$5, COUNTIF($M273:AK273,"u")=0), "u", "")</f>
        <v/>
      </c>
      <c r="AM273" s="80" t="str">
        <f>IF(AND($F273&lt;&gt;"", $F273&gt;=AM$5-4, $F273&lt;=AM$5, COUNTIF($M273:AL273,"u")=0), "u", "")</f>
        <v/>
      </c>
      <c r="AN273" s="80" t="str">
        <f>IF(AND($F273&lt;&gt;"", $F273&gt;=AN$5-4, $F273&lt;=AN$5, COUNTIF($M273:AM273,"u")=0), "u", "")</f>
        <v/>
      </c>
      <c r="AO273" s="80" t="str">
        <f>IF(AND($F273&lt;&gt;"", $F273&gt;=AO$5-4, $F273&lt;=AO$5, COUNTIF($M273:AN273,"u")=0), "u", "")</f>
        <v/>
      </c>
      <c r="AP273" s="80" t="str">
        <f>IF(AND($F273&lt;&gt;"", $F273&gt;=AP$5-4, $F273&lt;=AP$5, COUNTIF($M273:AO273,"u")=0), "u", "")</f>
        <v/>
      </c>
      <c r="AQ273" s="80" t="str">
        <f>IF(AND($F273&lt;&gt;"", $F273&gt;=AQ$5-4, $F273&lt;=AQ$5, COUNTIF($M273:AP273,"u")=0), "u", "")</f>
        <v/>
      </c>
      <c r="AR273" s="80" t="str">
        <f>IF(AND($F273&lt;&gt;"", $F273&gt;=AR$5-4, $F273&lt;=AR$5, COUNTIF($M273:AQ273,"u")=0), "u", "")</f>
        <v/>
      </c>
      <c r="AS273" s="80" t="str">
        <f>IF(AND($F273&lt;&gt;"", $F273&gt;=AS$5-4, $F273&lt;=AS$5, COUNTIF($M273:AR273,"u")=0), "u", "")</f>
        <v/>
      </c>
      <c r="AT273" s="80" t="str">
        <f>IF(AND($F273&lt;&gt;"", $F273&gt;=AT$5-4, $F273&lt;=AT$5, COUNTIF($M273:AS273,"u")=0), "u", "")</f>
        <v/>
      </c>
      <c r="AU273" s="80" t="str">
        <f>IF(AND($F273&lt;&gt;"", $F273&gt;=AU$5-4, $F273&lt;=AU$5, COUNTIF($M273:AT273,"u")=0), "u", "")</f>
        <v/>
      </c>
      <c r="AV273" s="80" t="str">
        <f>IF(AND($F273&lt;&gt;"", $F273&gt;=AV$5-4, $F273&lt;=AV$5, COUNTIF($M273:AU273,"u")=0), "u", "")</f>
        <v/>
      </c>
      <c r="AW273" s="80" t="str">
        <f>IF(AND($F273&lt;&gt;"", $F273&gt;=AW$5-4, $F273&lt;=AW$5, COUNTIF($M273:AV273,"u")=0), "u", "")</f>
        <v/>
      </c>
      <c r="AX273" s="80" t="str">
        <f>IF(AND($F273&lt;&gt;"", $F273&gt;=AX$5-4, $F273&lt;=AX$5, COUNTIF($M273:AW273,"u")=0), "u", "")</f>
        <v/>
      </c>
      <c r="AY273" s="80" t="str">
        <f>IF(AND($F273&lt;&gt;"", $F273&gt;=AY$5-4, $F273&lt;=AY$5, COUNTIF($M273:AX273,"u")=0), "u", "")</f>
        <v/>
      </c>
      <c r="AZ273" s="80" t="str">
        <f>IF(AND($F273&lt;&gt;"", $F273&gt;=AZ$5-4, $F273&lt;=AZ$5, COUNTIF($M273:AY273,"u")=0), "u", "")</f>
        <v/>
      </c>
      <c r="BA273" s="80" t="str">
        <f>IF(AND($F273&lt;&gt;"", $F273&gt;=BA$5-4, $F273&lt;=BA$5, COUNTIF($M273:AZ273,"u")=0), "u", "")</f>
        <v/>
      </c>
      <c r="BB273" s="80" t="str">
        <f>IF(AND($F273&lt;&gt;"", $F273&gt;=BB$5-4, $F273&lt;=BB$5, COUNTIF($M273:BA273,"u")=0), "u", "")</f>
        <v/>
      </c>
      <c r="BC273" s="80" t="str">
        <f>IF(AND($F273&lt;&gt;"", $F273&gt;=BC$5-4, $F273&lt;=BC$5, COUNTIF($M273:BB273,"u")=0), "u", "")</f>
        <v/>
      </c>
      <c r="BD273" s="80" t="str">
        <f>IF(AND($F273&lt;&gt;"", $F273&gt;=BD$5-4, $F273&lt;=BD$5, COUNTIF($M273:BC273,"u")=0), "u", "")</f>
        <v/>
      </c>
      <c r="BE273" s="80" t="str">
        <f>IF(AND($F273&lt;&gt;"", $F273&gt;=BE$5-4, $F273&lt;=BE$5, COUNTIF($M273:BD273,"u")=0), "u", "")</f>
        <v/>
      </c>
      <c r="BF273" s="80" t="str">
        <f>IF(AND($F273&lt;&gt;"", $F273&gt;=BF$5-4, $F273&lt;=BF$5, COUNTIF($M273:BE273,"u")=0), "u", "")</f>
        <v/>
      </c>
      <c r="BG273" s="80" t="str">
        <f>IF(AND($F273&lt;&gt;"", $F273&gt;=BG$5-4, $F273&lt;=BG$5, COUNTIF($M273:BF273,"u")=0), "u", "")</f>
        <v/>
      </c>
      <c r="BH273" s="80" t="str">
        <f>IF(AND($F273&lt;&gt;"", $F273&gt;=BH$5-4, $F273&lt;=BH$5, COUNTIF($M273:BG273,"u")=0), "u", "")</f>
        <v/>
      </c>
      <c r="BI273" s="80" t="str">
        <f>IF(AND($F273&lt;&gt;"", $F273&gt;=BI$5-4, $F273&lt;=BI$5, COUNTIF($M273:BH273,"u")=0), "u", "")</f>
        <v/>
      </c>
      <c r="BJ273" s="80" t="str">
        <f>IF(AND($F273&lt;&gt;"", $F273&gt;=BJ$5-4, $F273&lt;=BJ$5, COUNTIF($M273:BI273,"u")=0), "u", "")</f>
        <v/>
      </c>
      <c r="BK273" s="80" t="str">
        <f>IF(AND($F273&lt;&gt;"", $F273&gt;=BK$5-4, $F273&lt;=BK$5, COUNTIF($M273:BJ273,"u")=0), "u", "")</f>
        <v/>
      </c>
      <c r="BL273" s="80" t="str">
        <f>IF(AND($F273&lt;&gt;"", $F273&gt;=BL$5-4, $F273&lt;=BL$5, COUNTIF($M273:BK273,"u")=0), "u", "")</f>
        <v/>
      </c>
      <c r="BM273" s="80" t="str">
        <f>IF(AND($F273&lt;&gt;"", $F273&gt;=BM$5-4, $F273&lt;=BM$5, COUNTIF($M273:BL273,"u")=0), "u", "")</f>
        <v/>
      </c>
      <c r="BN273" s="80" t="str">
        <f>IF(AND($F273&lt;&gt;"", $F273&gt;=BN$5-4, $F273&lt;=BN$5, COUNTIF($M273:BM273,"u")=0), "u", "")</f>
        <v/>
      </c>
      <c r="BO273" s="80" t="str">
        <f>IF(AND($F273&lt;&gt;"", $F273&gt;=BO$5-4, $F273&lt;=BO$5, COUNTIF($M273:BN273,"u")=0), "u", "")</f>
        <v/>
      </c>
      <c r="BP273" s="80" t="str">
        <f>IF(AND($F273&lt;&gt;"", $F273&gt;=BP$5-4, $F273&lt;=BP$5, COUNTIF($M273:BO273,"u")=0), "u", "")</f>
        <v/>
      </c>
      <c r="BQ273" s="80" t="str">
        <f>IF(AND($F273&lt;&gt;"", $F273&gt;=BQ$5-4, $F273&lt;=BQ$5, COUNTIF($M273:BP273,"u")=0), "u", "")</f>
        <v/>
      </c>
      <c r="BR273" s="80" t="str">
        <f>IF(AND($F273&lt;&gt;"", $F273&gt;=BR$5-4, $F273&lt;=BR$5, COUNTIF($M273:BQ273,"u")=0), "u", "")</f>
        <v/>
      </c>
      <c r="BS273" s="80" t="str">
        <f>IF(AND($F273&lt;&gt;"", $F273&gt;=BS$5-4, $F273&lt;=BS$5, COUNTIF($M273:BR273,"u")=0), "u", "")</f>
        <v/>
      </c>
      <c r="BT273" s="80" t="str">
        <f>IF(AND($F273&lt;&gt;"", $F273&gt;=BT$5-4, $F273&lt;=BT$5, COUNTIF($M273:BS273,"u")=0), "u", "")</f>
        <v/>
      </c>
      <c r="BU273" s="80" t="str">
        <f>IF(AND($F273&lt;&gt;"", $F273&gt;=BU$5-4, $F273&lt;=BU$5, COUNTIF($M273:BT273,"u")=0), "u", "")</f>
        <v/>
      </c>
      <c r="BV273" s="80" t="str">
        <f>IF(AND($F273&lt;&gt;"", $F273&gt;=BV$5-4, $F273&lt;=BV$5, COUNTIF($M273:BU273,"u")=0), "u", "")</f>
        <v/>
      </c>
      <c r="BW273" s="80" t="str">
        <f>IF(AND($F273&lt;&gt;"", $F273&gt;=BW$5-4, $F273&lt;=BW$5, COUNTIF($M273:BV273,"u")=0), "u", "")</f>
        <v/>
      </c>
      <c r="BX273" s="80" t="str">
        <f>IF(AND($F273&lt;&gt;"", $F273&gt;=BX$5-4, $F273&lt;=BX$5, COUNTIF($M273:BW273,"u")=0), "u", "")</f>
        <v/>
      </c>
      <c r="BY273" s="80" t="str">
        <f>IF(AND($F273&lt;&gt;"", $F273&gt;=BY$5-4, $F273&lt;=BY$5, COUNTIF($M273:BX273,"u")=0), "u", "")</f>
        <v/>
      </c>
      <c r="BZ273" s="80" t="str">
        <f>IF(AND($F273&lt;&gt;"", $F273&gt;=BZ$5-4, $F273&lt;=BZ$5, COUNTIF($M273:BY273,"u")=0), "u", "")</f>
        <v/>
      </c>
      <c r="CA273" s="80" t="str">
        <f>IF(AND($F273&lt;&gt;"", $F273&gt;=CA$5-4, $F273&lt;=CA$5, COUNTIF($M273:BZ273,"u")=0), "u", "")</f>
        <v/>
      </c>
      <c r="CB273" s="80" t="str">
        <f>IF(AND($F273&lt;&gt;"", $F273&gt;=CB$5-4, $F273&lt;=CB$5, COUNTIF($M273:CA273,"u")=0), "u", "")</f>
        <v/>
      </c>
      <c r="CC273" s="80" t="str">
        <f>IF(AND($F273&lt;&gt;"", $F273&gt;=CC$5-4, $F273&lt;=CC$5, COUNTIF($M273:CB273,"u")=0), "u", "")</f>
        <v/>
      </c>
      <c r="CD273" s="80" t="str">
        <f>IF(AND($F273&lt;&gt;"", $F273&gt;=CD$5-4, $F273&lt;=CD$5, COUNTIF($M273:CC273,"u")=0), "u", "")</f>
        <v/>
      </c>
      <c r="CE273" s="80" t="str">
        <f>IF(AND($F273&lt;&gt;"", $F273&gt;=CE$5-4, $F273&lt;=CE$5, COUNTIF($M273:CD273,"u")=0), "u", "")</f>
        <v/>
      </c>
      <c r="CF273" s="80" t="str">
        <f>IF(AND($F273&lt;&gt;"", $F273&gt;=CF$5-4, $F273&lt;=CF$5, COUNTIF($M273:CE273,"u")=0), "u", "")</f>
        <v/>
      </c>
      <c r="CG273" s="80" t="str">
        <f>IF(AND($F273&lt;&gt;"", $F273&gt;=CG$5-4, $F273&lt;=CG$5, COUNTIF($M273:CF273,"u")=0), "u", "")</f>
        <v/>
      </c>
      <c r="CH273" s="80" t="str">
        <f>IF(AND($F273&lt;&gt;"", $F273&gt;=CH$5-4, $F273&lt;=CH$5, COUNTIF($M273:CG273,"u")=0), "u", "")</f>
        <v/>
      </c>
      <c r="CI273" s="80" t="str">
        <f>IF(AND($F273&lt;&gt;"", $F273&gt;=CI$5-4, $F273&lt;=CI$5, COUNTIF($M273:CH273,"u")=0), "u", "")</f>
        <v/>
      </c>
      <c r="CJ273" s="80" t="str">
        <f>IF(AND($F273&lt;&gt;"", $F273&gt;=CJ$5-4, $F273&lt;=CJ$5, COUNTIF($M273:CI273,"u")=0), "u", "")</f>
        <v/>
      </c>
      <c r="CK273" s="80" t="str">
        <f>IF(AND($F273&lt;&gt;"", $F273&gt;=CK$5-4, $F273&lt;=CK$5, COUNTIF($M273:CJ273,"u")=0), "u", "")</f>
        <v/>
      </c>
      <c r="CL273" s="80" t="str">
        <f>IF(AND($F273&lt;&gt;"", $F273&gt;=CL$5-4, $F273&lt;=CL$5, COUNTIF($M273:CK273,"u")=0), "u", "")</f>
        <v/>
      </c>
      <c r="CM273" s="80" t="str">
        <f>IF(AND($F273&lt;&gt;"", $F273&gt;=CM$5-4, $F273&lt;=CM$5, COUNTIF($M273:CL273,"u")=0), "u", "")</f>
        <v/>
      </c>
      <c r="CN273" s="80" t="str">
        <f>IF(AND($F273&lt;&gt;"", $F273&gt;=CN$5-4, $F273&lt;=CN$5, COUNTIF($M273:CM273,"u")=0), "u", "")</f>
        <v/>
      </c>
      <c r="CO273" s="80" t="str">
        <f>IF(AND($F273&lt;&gt;"", $F273&gt;=CO$5-4, $F273&lt;=CO$5, COUNTIF($M273:CN273,"u")=0), "u", "")</f>
        <v/>
      </c>
      <c r="CP273" s="80" t="str">
        <f>IF(AND($F273&lt;&gt;"", $F273&gt;=CP$5-4, $F273&lt;=CP$5, COUNTIF($M273:CO273,"u")=0), "u", "")</f>
        <v/>
      </c>
      <c r="CQ273" s="80" t="str">
        <f>IF(AND($F273&lt;&gt;"", $F273&gt;=CQ$5-4, $F273&lt;=CQ$5, COUNTIF($M273:CP273,"u")=0), "u", "")</f>
        <v/>
      </c>
      <c r="CR273" s="80" t="str">
        <f>IF(AND($F273&lt;&gt;"", $F273&gt;=CR$5-4, $F273&lt;=CR$5, COUNTIF($M273:CQ273,"u")=0), "u", "")</f>
        <v/>
      </c>
      <c r="CS273" s="80" t="str">
        <f>IF(AND($F273&lt;&gt;"", $F273&gt;=CS$5-4, $F273&lt;=CS$5, COUNTIF($M273:CR273,"u")=0), "u", "")</f>
        <v/>
      </c>
      <c r="CT273" s="80" t="str">
        <f>IF(AND($F273&lt;&gt;"", $F273&gt;=CT$5-4, $F273&lt;=CT$5, COUNTIF($M273:CS273,"u")=0), "u", "")</f>
        <v/>
      </c>
      <c r="CU273" s="80" t="str">
        <f>IF(AND($F273&lt;&gt;"", $F273&gt;=CU$5-4, $F273&lt;=CU$5, COUNTIF($M273:CT273,"u")=0), "u", "")</f>
        <v/>
      </c>
      <c r="CV273" s="80" t="str">
        <f>IF(AND($F273&lt;&gt;"", $F273&gt;=CV$5-4, $F273&lt;=CV$5, COUNTIF($M273:CU273,"u")=0), "u", "")</f>
        <v/>
      </c>
      <c r="CW273" s="80" t="str">
        <f>IF(AND($F273&lt;&gt;"", $F273&gt;=CW$5-4, $F273&lt;=CW$5, COUNTIF($M273:CV273,"u")=0), "u", "")</f>
        <v/>
      </c>
      <c r="CX273" s="80" t="str">
        <f>IF(AND($F273&lt;&gt;"", $F273&gt;=CX$5-4, $F273&lt;=CX$5, COUNTIF($M273:CW273,"u")=0), "u", "")</f>
        <v/>
      </c>
      <c r="CY273" s="80" t="str">
        <f>IF(AND($F273&lt;&gt;"", $F273&gt;=CY$5-4, $F273&lt;=CY$5, COUNTIF($M273:CX273,"u")=0), "u", "")</f>
        <v/>
      </c>
      <c r="CZ273" s="80" t="str">
        <f>IF(AND($F273&lt;&gt;"", $F273&gt;=CZ$5-4, $F273&lt;=CZ$5, COUNTIF($M273:CY273,"u")=0), "u", "")</f>
        <v/>
      </c>
      <c r="DA273" s="80" t="str">
        <f>IF(AND($F273&lt;&gt;"", $F273&gt;=DA$5-4, $F273&lt;=DA$5, COUNTIF($M273:CZ273,"u")=0), "u", "")</f>
        <v/>
      </c>
      <c r="DB273" s="80" t="str">
        <f>IF(AND($F273&lt;&gt;"", $F273&gt;=DB$5-4, $F273&lt;=DB$5, COUNTIF($M273:DA273,"u")=0), "u", "")</f>
        <v/>
      </c>
      <c r="DC273" s="80" t="str">
        <f>IF(AND($F273&lt;&gt;"", $F273&gt;=DC$5-4, $F273&lt;=DC$5, COUNTIF($M273:DB273,"u")=0), "u", "")</f>
        <v/>
      </c>
      <c r="DD273" s="80" t="str">
        <f>IF(AND($F273&lt;&gt;"", $F273&gt;=DD$5-4, $F273&lt;=DD$5, COUNTIF($M273:DC273,"u")=0), "u", "")</f>
        <v/>
      </c>
      <c r="DE273" s="80" t="str">
        <f>IF(AND($F273&lt;&gt;"", $F273&gt;=DE$5-4, $F273&lt;=DE$5, COUNTIF($M273:DD273,"u")=0), "u", "")</f>
        <v/>
      </c>
      <c r="DF273" s="80" t="str">
        <f>IF(AND($F273&lt;&gt;"", $F273&gt;=DF$5-4, $F273&lt;=DF$5, COUNTIF($M273:DE273,"u")=0), "u", "")</f>
        <v/>
      </c>
      <c r="DG273" s="80" t="str">
        <f>IF(AND($F273&lt;&gt;"", $F273&gt;=DG$5-4, $F273&lt;=DG$5, COUNTIF($M273:DF273,"u")=0), "u", "")</f>
        <v/>
      </c>
      <c r="DH273" s="80" t="str">
        <f>IF(AND($F273&lt;&gt;"", $F273&gt;=DH$5-4, $F273&lt;=DH$5, COUNTIF($M273:DG273,"u")=0), "u", "")</f>
        <v/>
      </c>
      <c r="DI273" s="80" t="str">
        <f>IF(AND($F273&lt;&gt;"", $F273&gt;=DI$5-4, $F273&lt;=DI$5, COUNTIF($M273:DH273,"u")=0), "u", "")</f>
        <v/>
      </c>
      <c r="DJ273" s="80" t="str">
        <f>IF(AND($F273&lt;&gt;"", $F273&gt;=DJ$5-4, $F273&lt;=DJ$5, COUNTIF($M273:DI273,"u")=0), "u", "")</f>
        <v/>
      </c>
      <c r="DK273" s="80" t="str">
        <f>IF(AND($F273&lt;&gt;"", $F273&gt;=DK$5-4, $F273&lt;=DK$5, COUNTIF($M273:DJ273,"u")=0), "u", "")</f>
        <v/>
      </c>
      <c r="DL273" s="80" t="str">
        <f>IF(AND($F273&lt;&gt;"", $F273&gt;=DL$5-4, $F273&lt;=DL$5, COUNTIF($M273:DK273,"u")=0), "u", "")</f>
        <v/>
      </c>
    </row>
    <row r="274" spans="1:116" ht="25.05" customHeight="1" x14ac:dyDescent="0.3">
      <c r="A274" s="39"/>
      <c r="B274" s="75">
        <v>269</v>
      </c>
      <c r="C274" s="97"/>
      <c r="D274" s="92"/>
      <c r="E274" s="53"/>
      <c r="F274" s="53"/>
      <c r="G274" s="83" t="str">
        <f t="shared" si="56"/>
        <v/>
      </c>
      <c r="H274" s="83" t="str">
        <f t="shared" si="56"/>
        <v/>
      </c>
      <c r="I274" s="77" t="str">
        <f t="shared" si="57"/>
        <v/>
      </c>
      <c r="J274" s="78"/>
      <c r="K274" s="86"/>
      <c r="L274" s="56"/>
      <c r="M274" s="80" t="str">
        <f t="shared" si="58"/>
        <v/>
      </c>
      <c r="N274" s="80" t="str">
        <f>IF(AND($F274&lt;&gt;"", $F274&gt;=N$5-4, $F274&lt;=N$5, COUNTIF($M274:M274,"u")=0), "u", "")</f>
        <v/>
      </c>
      <c r="O274" s="80" t="str">
        <f>IF(AND($F274&lt;&gt;"", $F274&gt;=O$5-4, $F274&lt;=O$5, COUNTIF($M274:N274,"u")=0), "u", "")</f>
        <v/>
      </c>
      <c r="P274" s="80" t="str">
        <f>IF(AND($F274&lt;&gt;"", $F274&gt;=P$5-4, $F274&lt;=P$5, COUNTIF($M274:O274,"u")=0), "u", "")</f>
        <v/>
      </c>
      <c r="Q274" s="80" t="str">
        <f>IF(AND($F274&lt;&gt;"", $F274&gt;=Q$5-4, $F274&lt;=Q$5, COUNTIF($M274:P274,"u")=0), "u", "")</f>
        <v/>
      </c>
      <c r="R274" s="80" t="str">
        <f>IF(AND($F274&lt;&gt;"", $F274&gt;=R$5-4, $F274&lt;=R$5, COUNTIF($M274:Q274,"u")=0), "u", "")</f>
        <v/>
      </c>
      <c r="S274" s="80" t="str">
        <f>IF(AND($F274&lt;&gt;"", $F274&gt;=S$5-4, $F274&lt;=S$5, COUNTIF($M274:R274,"u")=0), "u", "")</f>
        <v/>
      </c>
      <c r="T274" s="80" t="str">
        <f>IF(AND($F274&lt;&gt;"", $F274&gt;=T$5-4, $F274&lt;=T$5, COUNTIF($M274:S274,"u")=0), "u", "")</f>
        <v/>
      </c>
      <c r="U274" s="80" t="str">
        <f>IF(AND($F274&lt;&gt;"", $F274&gt;=U$5-4, $F274&lt;=U$5, COUNTIF($M274:T274,"u")=0), "u", "")</f>
        <v/>
      </c>
      <c r="V274" s="80" t="str">
        <f>IF(AND($F274&lt;&gt;"", $F274&gt;=V$5-4, $F274&lt;=V$5, COUNTIF($M274:U274,"u")=0), "u", "")</f>
        <v/>
      </c>
      <c r="W274" s="80" t="str">
        <f>IF(AND($F274&lt;&gt;"", $F274&gt;=W$5-4, $F274&lt;=W$5, COUNTIF($M274:V274,"u")=0), "u", "")</f>
        <v/>
      </c>
      <c r="X274" s="80" t="str">
        <f>IF(AND($F274&lt;&gt;"", $F274&gt;=X$5-4, $F274&lt;=X$5, COUNTIF($M274:W274,"u")=0), "u", "")</f>
        <v/>
      </c>
      <c r="Y274" s="80" t="str">
        <f>IF(AND($F274&lt;&gt;"", $F274&gt;=Y$5-4, $F274&lt;=Y$5, COUNTIF($M274:X274,"u")=0), "u", "")</f>
        <v/>
      </c>
      <c r="Z274" s="80" t="str">
        <f>IF(AND($F274&lt;&gt;"", $F274&gt;=Z$5-4, $F274&lt;=Z$5, COUNTIF($M274:Y274,"u")=0), "u", "")</f>
        <v/>
      </c>
      <c r="AA274" s="80" t="str">
        <f>IF(AND($F274&lt;&gt;"", $F274&gt;=AA$5-4, $F274&lt;=AA$5, COUNTIF($M274:Z274,"u")=0), "u", "")</f>
        <v/>
      </c>
      <c r="AB274" s="80" t="str">
        <f>IF(AND($F274&lt;&gt;"", $F274&gt;=AB$5-4, $F274&lt;=AB$5, COUNTIF($M274:AA274,"u")=0), "u", "")</f>
        <v/>
      </c>
      <c r="AC274" s="80" t="str">
        <f>IF(AND($F274&lt;&gt;"", $F274&gt;=AC$5-4, $F274&lt;=AC$5, COUNTIF($M274:AB274,"u")=0), "u", "")</f>
        <v/>
      </c>
      <c r="AD274" s="80" t="str">
        <f>IF(AND($F274&lt;&gt;"", $F274&gt;=AD$5-4, $F274&lt;=AD$5, COUNTIF($M274:AC274,"u")=0), "u", "")</f>
        <v/>
      </c>
      <c r="AE274" s="80" t="str">
        <f>IF(AND($F274&lt;&gt;"", $F274&gt;=AE$5-4, $F274&lt;=AE$5, COUNTIF($M274:AD274,"u")=0), "u", "")</f>
        <v/>
      </c>
      <c r="AF274" s="80" t="str">
        <f>IF(AND($F274&lt;&gt;"", $F274&gt;=AF$5-4, $F274&lt;=AF$5, COUNTIF($M274:AE274,"u")=0), "u", "")</f>
        <v/>
      </c>
      <c r="AG274" s="80" t="str">
        <f>IF(AND($F274&lt;&gt;"", $F274&gt;=AG$5-4, $F274&lt;=AG$5, COUNTIF($M274:AF274,"u")=0), "u", "")</f>
        <v/>
      </c>
      <c r="AH274" s="80" t="str">
        <f>IF(AND($F274&lt;&gt;"", $F274&gt;=AH$5-4, $F274&lt;=AH$5, COUNTIF($M274:AG274,"u")=0), "u", "")</f>
        <v/>
      </c>
      <c r="AI274" s="80" t="str">
        <f>IF(AND($F274&lt;&gt;"", $F274&gt;=AI$5-4, $F274&lt;=AI$5, COUNTIF($M274:AH274,"u")=0), "u", "")</f>
        <v/>
      </c>
      <c r="AJ274" s="80" t="str">
        <f>IF(AND($F274&lt;&gt;"", $F274&gt;=AJ$5-4, $F274&lt;=AJ$5, COUNTIF($M274:AI274,"u")=0), "u", "")</f>
        <v/>
      </c>
      <c r="AK274" s="80" t="str">
        <f>IF(AND($F274&lt;&gt;"", $F274&gt;=AK$5-4, $F274&lt;=AK$5, COUNTIF($M274:AJ274,"u")=0), "u", "")</f>
        <v/>
      </c>
      <c r="AL274" s="80" t="str">
        <f>IF(AND($F274&lt;&gt;"", $F274&gt;=AL$5-4, $F274&lt;=AL$5, COUNTIF($M274:AK274,"u")=0), "u", "")</f>
        <v/>
      </c>
      <c r="AM274" s="80" t="str">
        <f>IF(AND($F274&lt;&gt;"", $F274&gt;=AM$5-4, $F274&lt;=AM$5, COUNTIF($M274:AL274,"u")=0), "u", "")</f>
        <v/>
      </c>
      <c r="AN274" s="80" t="str">
        <f>IF(AND($F274&lt;&gt;"", $F274&gt;=AN$5-4, $F274&lt;=AN$5, COUNTIF($M274:AM274,"u")=0), "u", "")</f>
        <v/>
      </c>
      <c r="AO274" s="80" t="str">
        <f>IF(AND($F274&lt;&gt;"", $F274&gt;=AO$5-4, $F274&lt;=AO$5, COUNTIF($M274:AN274,"u")=0), "u", "")</f>
        <v/>
      </c>
      <c r="AP274" s="80" t="str">
        <f>IF(AND($F274&lt;&gt;"", $F274&gt;=AP$5-4, $F274&lt;=AP$5, COUNTIF($M274:AO274,"u")=0), "u", "")</f>
        <v/>
      </c>
      <c r="AQ274" s="80" t="str">
        <f>IF(AND($F274&lt;&gt;"", $F274&gt;=AQ$5-4, $F274&lt;=AQ$5, COUNTIF($M274:AP274,"u")=0), "u", "")</f>
        <v/>
      </c>
      <c r="AR274" s="80" t="str">
        <f>IF(AND($F274&lt;&gt;"", $F274&gt;=AR$5-4, $F274&lt;=AR$5, COUNTIF($M274:AQ274,"u")=0), "u", "")</f>
        <v/>
      </c>
      <c r="AS274" s="80" t="str">
        <f>IF(AND($F274&lt;&gt;"", $F274&gt;=AS$5-4, $F274&lt;=AS$5, COUNTIF($M274:AR274,"u")=0), "u", "")</f>
        <v/>
      </c>
      <c r="AT274" s="80" t="str">
        <f>IF(AND($F274&lt;&gt;"", $F274&gt;=AT$5-4, $F274&lt;=AT$5, COUNTIF($M274:AS274,"u")=0), "u", "")</f>
        <v/>
      </c>
      <c r="AU274" s="80" t="str">
        <f>IF(AND($F274&lt;&gt;"", $F274&gt;=AU$5-4, $F274&lt;=AU$5, COUNTIF($M274:AT274,"u")=0), "u", "")</f>
        <v/>
      </c>
      <c r="AV274" s="80" t="str">
        <f>IF(AND($F274&lt;&gt;"", $F274&gt;=AV$5-4, $F274&lt;=AV$5, COUNTIF($M274:AU274,"u")=0), "u", "")</f>
        <v/>
      </c>
      <c r="AW274" s="80" t="str">
        <f>IF(AND($F274&lt;&gt;"", $F274&gt;=AW$5-4, $F274&lt;=AW$5, COUNTIF($M274:AV274,"u")=0), "u", "")</f>
        <v/>
      </c>
      <c r="AX274" s="80" t="str">
        <f>IF(AND($F274&lt;&gt;"", $F274&gt;=AX$5-4, $F274&lt;=AX$5, COUNTIF($M274:AW274,"u")=0), "u", "")</f>
        <v/>
      </c>
      <c r="AY274" s="80" t="str">
        <f>IF(AND($F274&lt;&gt;"", $F274&gt;=AY$5-4, $F274&lt;=AY$5, COUNTIF($M274:AX274,"u")=0), "u", "")</f>
        <v/>
      </c>
      <c r="AZ274" s="80" t="str">
        <f>IF(AND($F274&lt;&gt;"", $F274&gt;=AZ$5-4, $F274&lt;=AZ$5, COUNTIF($M274:AY274,"u")=0), "u", "")</f>
        <v/>
      </c>
      <c r="BA274" s="80" t="str">
        <f>IF(AND($F274&lt;&gt;"", $F274&gt;=BA$5-4, $F274&lt;=BA$5, COUNTIF($M274:AZ274,"u")=0), "u", "")</f>
        <v/>
      </c>
      <c r="BB274" s="80" t="str">
        <f>IF(AND($F274&lt;&gt;"", $F274&gt;=BB$5-4, $F274&lt;=BB$5, COUNTIF($M274:BA274,"u")=0), "u", "")</f>
        <v/>
      </c>
      <c r="BC274" s="80" t="str">
        <f>IF(AND($F274&lt;&gt;"", $F274&gt;=BC$5-4, $F274&lt;=BC$5, COUNTIF($M274:BB274,"u")=0), "u", "")</f>
        <v/>
      </c>
      <c r="BD274" s="80" t="str">
        <f>IF(AND($F274&lt;&gt;"", $F274&gt;=BD$5-4, $F274&lt;=BD$5, COUNTIF($M274:BC274,"u")=0), "u", "")</f>
        <v/>
      </c>
      <c r="BE274" s="80" t="str">
        <f>IF(AND($F274&lt;&gt;"", $F274&gt;=BE$5-4, $F274&lt;=BE$5, COUNTIF($M274:BD274,"u")=0), "u", "")</f>
        <v/>
      </c>
      <c r="BF274" s="80" t="str">
        <f>IF(AND($F274&lt;&gt;"", $F274&gt;=BF$5-4, $F274&lt;=BF$5, COUNTIF($M274:BE274,"u")=0), "u", "")</f>
        <v/>
      </c>
      <c r="BG274" s="80" t="str">
        <f>IF(AND($F274&lt;&gt;"", $F274&gt;=BG$5-4, $F274&lt;=BG$5, COUNTIF($M274:BF274,"u")=0), "u", "")</f>
        <v/>
      </c>
      <c r="BH274" s="80" t="str">
        <f>IF(AND($F274&lt;&gt;"", $F274&gt;=BH$5-4, $F274&lt;=BH$5, COUNTIF($M274:BG274,"u")=0), "u", "")</f>
        <v/>
      </c>
      <c r="BI274" s="80" t="str">
        <f>IF(AND($F274&lt;&gt;"", $F274&gt;=BI$5-4, $F274&lt;=BI$5, COUNTIF($M274:BH274,"u")=0), "u", "")</f>
        <v/>
      </c>
      <c r="BJ274" s="80" t="str">
        <f>IF(AND($F274&lt;&gt;"", $F274&gt;=BJ$5-4, $F274&lt;=BJ$5, COUNTIF($M274:BI274,"u")=0), "u", "")</f>
        <v/>
      </c>
      <c r="BK274" s="80" t="str">
        <f>IF(AND($F274&lt;&gt;"", $F274&gt;=BK$5-4, $F274&lt;=BK$5, COUNTIF($M274:BJ274,"u")=0), "u", "")</f>
        <v/>
      </c>
      <c r="BL274" s="80" t="str">
        <f>IF(AND($F274&lt;&gt;"", $F274&gt;=BL$5-4, $F274&lt;=BL$5, COUNTIF($M274:BK274,"u")=0), "u", "")</f>
        <v/>
      </c>
      <c r="BM274" s="80" t="str">
        <f>IF(AND($F274&lt;&gt;"", $F274&gt;=BM$5-4, $F274&lt;=BM$5, COUNTIF($M274:BL274,"u")=0), "u", "")</f>
        <v/>
      </c>
      <c r="BN274" s="80" t="str">
        <f>IF(AND($F274&lt;&gt;"", $F274&gt;=BN$5-4, $F274&lt;=BN$5, COUNTIF($M274:BM274,"u")=0), "u", "")</f>
        <v/>
      </c>
      <c r="BO274" s="80" t="str">
        <f>IF(AND($F274&lt;&gt;"", $F274&gt;=BO$5-4, $F274&lt;=BO$5, COUNTIF($M274:BN274,"u")=0), "u", "")</f>
        <v/>
      </c>
      <c r="BP274" s="80" t="str">
        <f>IF(AND($F274&lt;&gt;"", $F274&gt;=BP$5-4, $F274&lt;=BP$5, COUNTIF($M274:BO274,"u")=0), "u", "")</f>
        <v/>
      </c>
      <c r="BQ274" s="80" t="str">
        <f>IF(AND($F274&lt;&gt;"", $F274&gt;=BQ$5-4, $F274&lt;=BQ$5, COUNTIF($M274:BP274,"u")=0), "u", "")</f>
        <v/>
      </c>
      <c r="BR274" s="80" t="str">
        <f>IF(AND($F274&lt;&gt;"", $F274&gt;=BR$5-4, $F274&lt;=BR$5, COUNTIF($M274:BQ274,"u")=0), "u", "")</f>
        <v/>
      </c>
      <c r="BS274" s="80" t="str">
        <f>IF(AND($F274&lt;&gt;"", $F274&gt;=BS$5-4, $F274&lt;=BS$5, COUNTIF($M274:BR274,"u")=0), "u", "")</f>
        <v/>
      </c>
      <c r="BT274" s="80" t="str">
        <f>IF(AND($F274&lt;&gt;"", $F274&gt;=BT$5-4, $F274&lt;=BT$5, COUNTIF($M274:BS274,"u")=0), "u", "")</f>
        <v/>
      </c>
      <c r="BU274" s="80" t="str">
        <f>IF(AND($F274&lt;&gt;"", $F274&gt;=BU$5-4, $F274&lt;=BU$5, COUNTIF($M274:BT274,"u")=0), "u", "")</f>
        <v/>
      </c>
      <c r="BV274" s="80" t="str">
        <f>IF(AND($F274&lt;&gt;"", $F274&gt;=BV$5-4, $F274&lt;=BV$5, COUNTIF($M274:BU274,"u")=0), "u", "")</f>
        <v/>
      </c>
      <c r="BW274" s="80" t="str">
        <f>IF(AND($F274&lt;&gt;"", $F274&gt;=BW$5-4, $F274&lt;=BW$5, COUNTIF($M274:BV274,"u")=0), "u", "")</f>
        <v/>
      </c>
      <c r="BX274" s="80" t="str">
        <f>IF(AND($F274&lt;&gt;"", $F274&gt;=BX$5-4, $F274&lt;=BX$5, COUNTIF($M274:BW274,"u")=0), "u", "")</f>
        <v/>
      </c>
      <c r="BY274" s="80" t="str">
        <f>IF(AND($F274&lt;&gt;"", $F274&gt;=BY$5-4, $F274&lt;=BY$5, COUNTIF($M274:BX274,"u")=0), "u", "")</f>
        <v/>
      </c>
      <c r="BZ274" s="80" t="str">
        <f>IF(AND($F274&lt;&gt;"", $F274&gt;=BZ$5-4, $F274&lt;=BZ$5, COUNTIF($M274:BY274,"u")=0), "u", "")</f>
        <v/>
      </c>
      <c r="CA274" s="80" t="str">
        <f>IF(AND($F274&lt;&gt;"", $F274&gt;=CA$5-4, $F274&lt;=CA$5, COUNTIF($M274:BZ274,"u")=0), "u", "")</f>
        <v/>
      </c>
      <c r="CB274" s="80" t="str">
        <f>IF(AND($F274&lt;&gt;"", $F274&gt;=CB$5-4, $F274&lt;=CB$5, COUNTIF($M274:CA274,"u")=0), "u", "")</f>
        <v/>
      </c>
      <c r="CC274" s="80" t="str">
        <f>IF(AND($F274&lt;&gt;"", $F274&gt;=CC$5-4, $F274&lt;=CC$5, COUNTIF($M274:CB274,"u")=0), "u", "")</f>
        <v/>
      </c>
      <c r="CD274" s="80" t="str">
        <f>IF(AND($F274&lt;&gt;"", $F274&gt;=CD$5-4, $F274&lt;=CD$5, COUNTIF($M274:CC274,"u")=0), "u", "")</f>
        <v/>
      </c>
      <c r="CE274" s="80" t="str">
        <f>IF(AND($F274&lt;&gt;"", $F274&gt;=CE$5-4, $F274&lt;=CE$5, COUNTIF($M274:CD274,"u")=0), "u", "")</f>
        <v/>
      </c>
      <c r="CF274" s="80" t="str">
        <f>IF(AND($F274&lt;&gt;"", $F274&gt;=CF$5-4, $F274&lt;=CF$5, COUNTIF($M274:CE274,"u")=0), "u", "")</f>
        <v/>
      </c>
      <c r="CG274" s="80" t="str">
        <f>IF(AND($F274&lt;&gt;"", $F274&gt;=CG$5-4, $F274&lt;=CG$5, COUNTIF($M274:CF274,"u")=0), "u", "")</f>
        <v/>
      </c>
      <c r="CH274" s="80" t="str">
        <f>IF(AND($F274&lt;&gt;"", $F274&gt;=CH$5-4, $F274&lt;=CH$5, COUNTIF($M274:CG274,"u")=0), "u", "")</f>
        <v/>
      </c>
      <c r="CI274" s="80" t="str">
        <f>IF(AND($F274&lt;&gt;"", $F274&gt;=CI$5-4, $F274&lt;=CI$5, COUNTIF($M274:CH274,"u")=0), "u", "")</f>
        <v/>
      </c>
      <c r="CJ274" s="80" t="str">
        <f>IF(AND($F274&lt;&gt;"", $F274&gt;=CJ$5-4, $F274&lt;=CJ$5, COUNTIF($M274:CI274,"u")=0), "u", "")</f>
        <v/>
      </c>
      <c r="CK274" s="80" t="str">
        <f>IF(AND($F274&lt;&gt;"", $F274&gt;=CK$5-4, $F274&lt;=CK$5, COUNTIF($M274:CJ274,"u")=0), "u", "")</f>
        <v/>
      </c>
      <c r="CL274" s="80" t="str">
        <f>IF(AND($F274&lt;&gt;"", $F274&gt;=CL$5-4, $F274&lt;=CL$5, COUNTIF($M274:CK274,"u")=0), "u", "")</f>
        <v/>
      </c>
      <c r="CM274" s="80" t="str">
        <f>IF(AND($F274&lt;&gt;"", $F274&gt;=CM$5-4, $F274&lt;=CM$5, COUNTIF($M274:CL274,"u")=0), "u", "")</f>
        <v/>
      </c>
      <c r="CN274" s="80" t="str">
        <f>IF(AND($F274&lt;&gt;"", $F274&gt;=CN$5-4, $F274&lt;=CN$5, COUNTIF($M274:CM274,"u")=0), "u", "")</f>
        <v/>
      </c>
      <c r="CO274" s="80" t="str">
        <f>IF(AND($F274&lt;&gt;"", $F274&gt;=CO$5-4, $F274&lt;=CO$5, COUNTIF($M274:CN274,"u")=0), "u", "")</f>
        <v/>
      </c>
      <c r="CP274" s="80" t="str">
        <f>IF(AND($F274&lt;&gt;"", $F274&gt;=CP$5-4, $F274&lt;=CP$5, COUNTIF($M274:CO274,"u")=0), "u", "")</f>
        <v/>
      </c>
      <c r="CQ274" s="80" t="str">
        <f>IF(AND($F274&lt;&gt;"", $F274&gt;=CQ$5-4, $F274&lt;=CQ$5, COUNTIF($M274:CP274,"u")=0), "u", "")</f>
        <v/>
      </c>
      <c r="CR274" s="80" t="str">
        <f>IF(AND($F274&lt;&gt;"", $F274&gt;=CR$5-4, $F274&lt;=CR$5, COUNTIF($M274:CQ274,"u")=0), "u", "")</f>
        <v/>
      </c>
      <c r="CS274" s="80" t="str">
        <f>IF(AND($F274&lt;&gt;"", $F274&gt;=CS$5-4, $F274&lt;=CS$5, COUNTIF($M274:CR274,"u")=0), "u", "")</f>
        <v/>
      </c>
      <c r="CT274" s="80" t="str">
        <f>IF(AND($F274&lt;&gt;"", $F274&gt;=CT$5-4, $F274&lt;=CT$5, COUNTIF($M274:CS274,"u")=0), "u", "")</f>
        <v/>
      </c>
      <c r="CU274" s="80" t="str">
        <f>IF(AND($F274&lt;&gt;"", $F274&gt;=CU$5-4, $F274&lt;=CU$5, COUNTIF($M274:CT274,"u")=0), "u", "")</f>
        <v/>
      </c>
      <c r="CV274" s="80" t="str">
        <f>IF(AND($F274&lt;&gt;"", $F274&gt;=CV$5-4, $F274&lt;=CV$5, COUNTIF($M274:CU274,"u")=0), "u", "")</f>
        <v/>
      </c>
      <c r="CW274" s="80" t="str">
        <f>IF(AND($F274&lt;&gt;"", $F274&gt;=CW$5-4, $F274&lt;=CW$5, COUNTIF($M274:CV274,"u")=0), "u", "")</f>
        <v/>
      </c>
      <c r="CX274" s="80" t="str">
        <f>IF(AND($F274&lt;&gt;"", $F274&gt;=CX$5-4, $F274&lt;=CX$5, COUNTIF($M274:CW274,"u")=0), "u", "")</f>
        <v/>
      </c>
      <c r="CY274" s="80" t="str">
        <f>IF(AND($F274&lt;&gt;"", $F274&gt;=CY$5-4, $F274&lt;=CY$5, COUNTIF($M274:CX274,"u")=0), "u", "")</f>
        <v/>
      </c>
      <c r="CZ274" s="80" t="str">
        <f>IF(AND($F274&lt;&gt;"", $F274&gt;=CZ$5-4, $F274&lt;=CZ$5, COUNTIF($M274:CY274,"u")=0), "u", "")</f>
        <v/>
      </c>
      <c r="DA274" s="80" t="str">
        <f>IF(AND($F274&lt;&gt;"", $F274&gt;=DA$5-4, $F274&lt;=DA$5, COUNTIF($M274:CZ274,"u")=0), "u", "")</f>
        <v/>
      </c>
      <c r="DB274" s="80" t="str">
        <f>IF(AND($F274&lt;&gt;"", $F274&gt;=DB$5-4, $F274&lt;=DB$5, COUNTIF($M274:DA274,"u")=0), "u", "")</f>
        <v/>
      </c>
      <c r="DC274" s="80" t="str">
        <f>IF(AND($F274&lt;&gt;"", $F274&gt;=DC$5-4, $F274&lt;=DC$5, COUNTIF($M274:DB274,"u")=0), "u", "")</f>
        <v/>
      </c>
      <c r="DD274" s="80" t="str">
        <f>IF(AND($F274&lt;&gt;"", $F274&gt;=DD$5-4, $F274&lt;=DD$5, COUNTIF($M274:DC274,"u")=0), "u", "")</f>
        <v/>
      </c>
      <c r="DE274" s="80" t="str">
        <f>IF(AND($F274&lt;&gt;"", $F274&gt;=DE$5-4, $F274&lt;=DE$5, COUNTIF($M274:DD274,"u")=0), "u", "")</f>
        <v/>
      </c>
      <c r="DF274" s="80" t="str">
        <f>IF(AND($F274&lt;&gt;"", $F274&gt;=DF$5-4, $F274&lt;=DF$5, COUNTIF($M274:DE274,"u")=0), "u", "")</f>
        <v/>
      </c>
      <c r="DG274" s="80" t="str">
        <f>IF(AND($F274&lt;&gt;"", $F274&gt;=DG$5-4, $F274&lt;=DG$5, COUNTIF($M274:DF274,"u")=0), "u", "")</f>
        <v/>
      </c>
      <c r="DH274" s="80" t="str">
        <f>IF(AND($F274&lt;&gt;"", $F274&gt;=DH$5-4, $F274&lt;=DH$5, COUNTIF($M274:DG274,"u")=0), "u", "")</f>
        <v/>
      </c>
      <c r="DI274" s="80" t="str">
        <f>IF(AND($F274&lt;&gt;"", $F274&gt;=DI$5-4, $F274&lt;=DI$5, COUNTIF($M274:DH274,"u")=0), "u", "")</f>
        <v/>
      </c>
      <c r="DJ274" s="80" t="str">
        <f>IF(AND($F274&lt;&gt;"", $F274&gt;=DJ$5-4, $F274&lt;=DJ$5, COUNTIF($M274:DI274,"u")=0), "u", "")</f>
        <v/>
      </c>
      <c r="DK274" s="80" t="str">
        <f>IF(AND($F274&lt;&gt;"", $F274&gt;=DK$5-4, $F274&lt;=DK$5, COUNTIF($M274:DJ274,"u")=0), "u", "")</f>
        <v/>
      </c>
      <c r="DL274" s="80" t="str">
        <f>IF(AND($F274&lt;&gt;"", $F274&gt;=DL$5-4, $F274&lt;=DL$5, COUNTIF($M274:DK274,"u")=0), "u", "")</f>
        <v/>
      </c>
    </row>
    <row r="275" spans="1:116" ht="25.05" customHeight="1" x14ac:dyDescent="0.3">
      <c r="A275" s="39"/>
      <c r="B275" s="75">
        <v>270</v>
      </c>
      <c r="C275" s="97"/>
      <c r="D275" s="92"/>
      <c r="E275" s="53"/>
      <c r="F275" s="53"/>
      <c r="G275" s="83" t="str">
        <f t="shared" si="56"/>
        <v/>
      </c>
      <c r="H275" s="83" t="str">
        <f t="shared" si="56"/>
        <v/>
      </c>
      <c r="I275" s="77" t="str">
        <f t="shared" si="57"/>
        <v/>
      </c>
      <c r="J275" s="78"/>
      <c r="K275" s="86"/>
      <c r="L275" s="56"/>
      <c r="M275" s="80" t="str">
        <f t="shared" si="58"/>
        <v/>
      </c>
      <c r="N275" s="80" t="str">
        <f>IF(AND($F275&lt;&gt;"", $F275&gt;=N$5-4, $F275&lt;=N$5, COUNTIF($M275:M275,"u")=0), "u", "")</f>
        <v/>
      </c>
      <c r="O275" s="80" t="str">
        <f>IF(AND($F275&lt;&gt;"", $F275&gt;=O$5-4, $F275&lt;=O$5, COUNTIF($M275:N275,"u")=0), "u", "")</f>
        <v/>
      </c>
      <c r="P275" s="80" t="str">
        <f>IF(AND($F275&lt;&gt;"", $F275&gt;=P$5-4, $F275&lt;=P$5, COUNTIF($M275:O275,"u")=0), "u", "")</f>
        <v/>
      </c>
      <c r="Q275" s="80" t="str">
        <f>IF(AND($F275&lt;&gt;"", $F275&gt;=Q$5-4, $F275&lt;=Q$5, COUNTIF($M275:P275,"u")=0), "u", "")</f>
        <v/>
      </c>
      <c r="R275" s="80" t="str">
        <f>IF(AND($F275&lt;&gt;"", $F275&gt;=R$5-4, $F275&lt;=R$5, COUNTIF($M275:Q275,"u")=0), "u", "")</f>
        <v/>
      </c>
      <c r="S275" s="80" t="str">
        <f>IF(AND($F275&lt;&gt;"", $F275&gt;=S$5-4, $F275&lt;=S$5, COUNTIF($M275:R275,"u")=0), "u", "")</f>
        <v/>
      </c>
      <c r="T275" s="80" t="str">
        <f>IF(AND($F275&lt;&gt;"", $F275&gt;=T$5-4, $F275&lt;=T$5, COUNTIF($M275:S275,"u")=0), "u", "")</f>
        <v/>
      </c>
      <c r="U275" s="80" t="str">
        <f>IF(AND($F275&lt;&gt;"", $F275&gt;=U$5-4, $F275&lt;=U$5, COUNTIF($M275:T275,"u")=0), "u", "")</f>
        <v/>
      </c>
      <c r="V275" s="80" t="str">
        <f>IF(AND($F275&lt;&gt;"", $F275&gt;=V$5-4, $F275&lt;=V$5, COUNTIF($M275:U275,"u")=0), "u", "")</f>
        <v/>
      </c>
      <c r="W275" s="80" t="str">
        <f>IF(AND($F275&lt;&gt;"", $F275&gt;=W$5-4, $F275&lt;=W$5, COUNTIF($M275:V275,"u")=0), "u", "")</f>
        <v/>
      </c>
      <c r="X275" s="80" t="str">
        <f>IF(AND($F275&lt;&gt;"", $F275&gt;=X$5-4, $F275&lt;=X$5, COUNTIF($M275:W275,"u")=0), "u", "")</f>
        <v/>
      </c>
      <c r="Y275" s="80" t="str">
        <f>IF(AND($F275&lt;&gt;"", $F275&gt;=Y$5-4, $F275&lt;=Y$5, COUNTIF($M275:X275,"u")=0), "u", "")</f>
        <v/>
      </c>
      <c r="Z275" s="80" t="str">
        <f>IF(AND($F275&lt;&gt;"", $F275&gt;=Z$5-4, $F275&lt;=Z$5, COUNTIF($M275:Y275,"u")=0), "u", "")</f>
        <v/>
      </c>
      <c r="AA275" s="80" t="str">
        <f>IF(AND($F275&lt;&gt;"", $F275&gt;=AA$5-4, $F275&lt;=AA$5, COUNTIF($M275:Z275,"u")=0), "u", "")</f>
        <v/>
      </c>
      <c r="AB275" s="80" t="str">
        <f>IF(AND($F275&lt;&gt;"", $F275&gt;=AB$5-4, $F275&lt;=AB$5, COUNTIF($M275:AA275,"u")=0), "u", "")</f>
        <v/>
      </c>
      <c r="AC275" s="80" t="str">
        <f>IF(AND($F275&lt;&gt;"", $F275&gt;=AC$5-4, $F275&lt;=AC$5, COUNTIF($M275:AB275,"u")=0), "u", "")</f>
        <v/>
      </c>
      <c r="AD275" s="80" t="str">
        <f>IF(AND($F275&lt;&gt;"", $F275&gt;=AD$5-4, $F275&lt;=AD$5, COUNTIF($M275:AC275,"u")=0), "u", "")</f>
        <v/>
      </c>
      <c r="AE275" s="80" t="str">
        <f>IF(AND($F275&lt;&gt;"", $F275&gt;=AE$5-4, $F275&lt;=AE$5, COUNTIF($M275:AD275,"u")=0), "u", "")</f>
        <v/>
      </c>
      <c r="AF275" s="80" t="str">
        <f>IF(AND($F275&lt;&gt;"", $F275&gt;=AF$5-4, $F275&lt;=AF$5, COUNTIF($M275:AE275,"u")=0), "u", "")</f>
        <v/>
      </c>
      <c r="AG275" s="80" t="str">
        <f>IF(AND($F275&lt;&gt;"", $F275&gt;=AG$5-4, $F275&lt;=AG$5, COUNTIF($M275:AF275,"u")=0), "u", "")</f>
        <v/>
      </c>
      <c r="AH275" s="80" t="str">
        <f>IF(AND($F275&lt;&gt;"", $F275&gt;=AH$5-4, $F275&lt;=AH$5, COUNTIF($M275:AG275,"u")=0), "u", "")</f>
        <v/>
      </c>
      <c r="AI275" s="80" t="str">
        <f>IF(AND($F275&lt;&gt;"", $F275&gt;=AI$5-4, $F275&lt;=AI$5, COUNTIF($M275:AH275,"u")=0), "u", "")</f>
        <v/>
      </c>
      <c r="AJ275" s="80" t="str">
        <f>IF(AND($F275&lt;&gt;"", $F275&gt;=AJ$5-4, $F275&lt;=AJ$5, COUNTIF($M275:AI275,"u")=0), "u", "")</f>
        <v/>
      </c>
      <c r="AK275" s="80" t="str">
        <f>IF(AND($F275&lt;&gt;"", $F275&gt;=AK$5-4, $F275&lt;=AK$5, COUNTIF($M275:AJ275,"u")=0), "u", "")</f>
        <v/>
      </c>
      <c r="AL275" s="80" t="str">
        <f>IF(AND($F275&lt;&gt;"", $F275&gt;=AL$5-4, $F275&lt;=AL$5, COUNTIF($M275:AK275,"u")=0), "u", "")</f>
        <v/>
      </c>
      <c r="AM275" s="80" t="str">
        <f>IF(AND($F275&lt;&gt;"", $F275&gt;=AM$5-4, $F275&lt;=AM$5, COUNTIF($M275:AL275,"u")=0), "u", "")</f>
        <v/>
      </c>
      <c r="AN275" s="80" t="str">
        <f>IF(AND($F275&lt;&gt;"", $F275&gt;=AN$5-4, $F275&lt;=AN$5, COUNTIF($M275:AM275,"u")=0), "u", "")</f>
        <v/>
      </c>
      <c r="AO275" s="80" t="str">
        <f>IF(AND($F275&lt;&gt;"", $F275&gt;=AO$5-4, $F275&lt;=AO$5, COUNTIF($M275:AN275,"u")=0), "u", "")</f>
        <v/>
      </c>
      <c r="AP275" s="80" t="str">
        <f>IF(AND($F275&lt;&gt;"", $F275&gt;=AP$5-4, $F275&lt;=AP$5, COUNTIF($M275:AO275,"u")=0), "u", "")</f>
        <v/>
      </c>
      <c r="AQ275" s="80" t="str">
        <f>IF(AND($F275&lt;&gt;"", $F275&gt;=AQ$5-4, $F275&lt;=AQ$5, COUNTIF($M275:AP275,"u")=0), "u", "")</f>
        <v/>
      </c>
      <c r="AR275" s="80" t="str">
        <f>IF(AND($F275&lt;&gt;"", $F275&gt;=AR$5-4, $F275&lt;=AR$5, COUNTIF($M275:AQ275,"u")=0), "u", "")</f>
        <v/>
      </c>
      <c r="AS275" s="80" t="str">
        <f>IF(AND($F275&lt;&gt;"", $F275&gt;=AS$5-4, $F275&lt;=AS$5, COUNTIF($M275:AR275,"u")=0), "u", "")</f>
        <v/>
      </c>
      <c r="AT275" s="80" t="str">
        <f>IF(AND($F275&lt;&gt;"", $F275&gt;=AT$5-4, $F275&lt;=AT$5, COUNTIF($M275:AS275,"u")=0), "u", "")</f>
        <v/>
      </c>
      <c r="AU275" s="80" t="str">
        <f>IF(AND($F275&lt;&gt;"", $F275&gt;=AU$5-4, $F275&lt;=AU$5, COUNTIF($M275:AT275,"u")=0), "u", "")</f>
        <v/>
      </c>
      <c r="AV275" s="80" t="str">
        <f>IF(AND($F275&lt;&gt;"", $F275&gt;=AV$5-4, $F275&lt;=AV$5, COUNTIF($M275:AU275,"u")=0), "u", "")</f>
        <v/>
      </c>
      <c r="AW275" s="80" t="str">
        <f>IF(AND($F275&lt;&gt;"", $F275&gt;=AW$5-4, $F275&lt;=AW$5, COUNTIF($M275:AV275,"u")=0), "u", "")</f>
        <v/>
      </c>
      <c r="AX275" s="80" t="str">
        <f>IF(AND($F275&lt;&gt;"", $F275&gt;=AX$5-4, $F275&lt;=AX$5, COUNTIF($M275:AW275,"u")=0), "u", "")</f>
        <v/>
      </c>
      <c r="AY275" s="80" t="str">
        <f>IF(AND($F275&lt;&gt;"", $F275&gt;=AY$5-4, $F275&lt;=AY$5, COUNTIF($M275:AX275,"u")=0), "u", "")</f>
        <v/>
      </c>
      <c r="AZ275" s="80" t="str">
        <f>IF(AND($F275&lt;&gt;"", $F275&gt;=AZ$5-4, $F275&lt;=AZ$5, COUNTIF($M275:AY275,"u")=0), "u", "")</f>
        <v/>
      </c>
      <c r="BA275" s="80" t="str">
        <f>IF(AND($F275&lt;&gt;"", $F275&gt;=BA$5-4, $F275&lt;=BA$5, COUNTIF($M275:AZ275,"u")=0), "u", "")</f>
        <v/>
      </c>
      <c r="BB275" s="80" t="str">
        <f>IF(AND($F275&lt;&gt;"", $F275&gt;=BB$5-4, $F275&lt;=BB$5, COUNTIF($M275:BA275,"u")=0), "u", "")</f>
        <v/>
      </c>
      <c r="BC275" s="80" t="str">
        <f>IF(AND($F275&lt;&gt;"", $F275&gt;=BC$5-4, $F275&lt;=BC$5, COUNTIF($M275:BB275,"u")=0), "u", "")</f>
        <v/>
      </c>
      <c r="BD275" s="80" t="str">
        <f>IF(AND($F275&lt;&gt;"", $F275&gt;=BD$5-4, $F275&lt;=BD$5, COUNTIF($M275:BC275,"u")=0), "u", "")</f>
        <v/>
      </c>
      <c r="BE275" s="80" t="str">
        <f>IF(AND($F275&lt;&gt;"", $F275&gt;=BE$5-4, $F275&lt;=BE$5, COUNTIF($M275:BD275,"u")=0), "u", "")</f>
        <v/>
      </c>
      <c r="BF275" s="80" t="str">
        <f>IF(AND($F275&lt;&gt;"", $F275&gt;=BF$5-4, $F275&lt;=BF$5, COUNTIF($M275:BE275,"u")=0), "u", "")</f>
        <v/>
      </c>
      <c r="BG275" s="80" t="str">
        <f>IF(AND($F275&lt;&gt;"", $F275&gt;=BG$5-4, $F275&lt;=BG$5, COUNTIF($M275:BF275,"u")=0), "u", "")</f>
        <v/>
      </c>
      <c r="BH275" s="80" t="str">
        <f>IF(AND($F275&lt;&gt;"", $F275&gt;=BH$5-4, $F275&lt;=BH$5, COUNTIF($M275:BG275,"u")=0), "u", "")</f>
        <v/>
      </c>
      <c r="BI275" s="80" t="str">
        <f>IF(AND($F275&lt;&gt;"", $F275&gt;=BI$5-4, $F275&lt;=BI$5, COUNTIF($M275:BH275,"u")=0), "u", "")</f>
        <v/>
      </c>
      <c r="BJ275" s="80" t="str">
        <f>IF(AND($F275&lt;&gt;"", $F275&gt;=BJ$5-4, $F275&lt;=BJ$5, COUNTIF($M275:BI275,"u")=0), "u", "")</f>
        <v/>
      </c>
      <c r="BK275" s="80" t="str">
        <f>IF(AND($F275&lt;&gt;"", $F275&gt;=BK$5-4, $F275&lt;=BK$5, COUNTIF($M275:BJ275,"u")=0), "u", "")</f>
        <v/>
      </c>
      <c r="BL275" s="80" t="str">
        <f>IF(AND($F275&lt;&gt;"", $F275&gt;=BL$5-4, $F275&lt;=BL$5, COUNTIF($M275:BK275,"u")=0), "u", "")</f>
        <v/>
      </c>
      <c r="BM275" s="80" t="str">
        <f>IF(AND($F275&lt;&gt;"", $F275&gt;=BM$5-4, $F275&lt;=BM$5, COUNTIF($M275:BL275,"u")=0), "u", "")</f>
        <v/>
      </c>
      <c r="BN275" s="80" t="str">
        <f>IF(AND($F275&lt;&gt;"", $F275&gt;=BN$5-4, $F275&lt;=BN$5, COUNTIF($M275:BM275,"u")=0), "u", "")</f>
        <v/>
      </c>
      <c r="BO275" s="80" t="str">
        <f>IF(AND($F275&lt;&gt;"", $F275&gt;=BO$5-4, $F275&lt;=BO$5, COUNTIF($M275:BN275,"u")=0), "u", "")</f>
        <v/>
      </c>
      <c r="BP275" s="80" t="str">
        <f>IF(AND($F275&lt;&gt;"", $F275&gt;=BP$5-4, $F275&lt;=BP$5, COUNTIF($M275:BO275,"u")=0), "u", "")</f>
        <v/>
      </c>
      <c r="BQ275" s="80" t="str">
        <f>IF(AND($F275&lt;&gt;"", $F275&gt;=BQ$5-4, $F275&lt;=BQ$5, COUNTIF($M275:BP275,"u")=0), "u", "")</f>
        <v/>
      </c>
      <c r="BR275" s="80" t="str">
        <f>IF(AND($F275&lt;&gt;"", $F275&gt;=BR$5-4, $F275&lt;=BR$5, COUNTIF($M275:BQ275,"u")=0), "u", "")</f>
        <v/>
      </c>
      <c r="BS275" s="80" t="str">
        <f>IF(AND($F275&lt;&gt;"", $F275&gt;=BS$5-4, $F275&lt;=BS$5, COUNTIF($M275:BR275,"u")=0), "u", "")</f>
        <v/>
      </c>
      <c r="BT275" s="80" t="str">
        <f>IF(AND($F275&lt;&gt;"", $F275&gt;=BT$5-4, $F275&lt;=BT$5, COUNTIF($M275:BS275,"u")=0), "u", "")</f>
        <v/>
      </c>
      <c r="BU275" s="80" t="str">
        <f>IF(AND($F275&lt;&gt;"", $F275&gt;=BU$5-4, $F275&lt;=BU$5, COUNTIF($M275:BT275,"u")=0), "u", "")</f>
        <v/>
      </c>
      <c r="BV275" s="80" t="str">
        <f>IF(AND($F275&lt;&gt;"", $F275&gt;=BV$5-4, $F275&lt;=BV$5, COUNTIF($M275:BU275,"u")=0), "u", "")</f>
        <v/>
      </c>
      <c r="BW275" s="80" t="str">
        <f>IF(AND($F275&lt;&gt;"", $F275&gt;=BW$5-4, $F275&lt;=BW$5, COUNTIF($M275:BV275,"u")=0), "u", "")</f>
        <v/>
      </c>
      <c r="BX275" s="80" t="str">
        <f>IF(AND($F275&lt;&gt;"", $F275&gt;=BX$5-4, $F275&lt;=BX$5, COUNTIF($M275:BW275,"u")=0), "u", "")</f>
        <v/>
      </c>
      <c r="BY275" s="80" t="str">
        <f>IF(AND($F275&lt;&gt;"", $F275&gt;=BY$5-4, $F275&lt;=BY$5, COUNTIF($M275:BX275,"u")=0), "u", "")</f>
        <v/>
      </c>
      <c r="BZ275" s="80" t="str">
        <f>IF(AND($F275&lt;&gt;"", $F275&gt;=BZ$5-4, $F275&lt;=BZ$5, COUNTIF($M275:BY275,"u")=0), "u", "")</f>
        <v/>
      </c>
      <c r="CA275" s="80" t="str">
        <f>IF(AND($F275&lt;&gt;"", $F275&gt;=CA$5-4, $F275&lt;=CA$5, COUNTIF($M275:BZ275,"u")=0), "u", "")</f>
        <v/>
      </c>
      <c r="CB275" s="80" t="str">
        <f>IF(AND($F275&lt;&gt;"", $F275&gt;=CB$5-4, $F275&lt;=CB$5, COUNTIF($M275:CA275,"u")=0), "u", "")</f>
        <v/>
      </c>
      <c r="CC275" s="80" t="str">
        <f>IF(AND($F275&lt;&gt;"", $F275&gt;=CC$5-4, $F275&lt;=CC$5, COUNTIF($M275:CB275,"u")=0), "u", "")</f>
        <v/>
      </c>
      <c r="CD275" s="80" t="str">
        <f>IF(AND($F275&lt;&gt;"", $F275&gt;=CD$5-4, $F275&lt;=CD$5, COUNTIF($M275:CC275,"u")=0), "u", "")</f>
        <v/>
      </c>
      <c r="CE275" s="80" t="str">
        <f>IF(AND($F275&lt;&gt;"", $F275&gt;=CE$5-4, $F275&lt;=CE$5, COUNTIF($M275:CD275,"u")=0), "u", "")</f>
        <v/>
      </c>
      <c r="CF275" s="80" t="str">
        <f>IF(AND($F275&lt;&gt;"", $F275&gt;=CF$5-4, $F275&lt;=CF$5, COUNTIF($M275:CE275,"u")=0), "u", "")</f>
        <v/>
      </c>
      <c r="CG275" s="80" t="str">
        <f>IF(AND($F275&lt;&gt;"", $F275&gt;=CG$5-4, $F275&lt;=CG$5, COUNTIF($M275:CF275,"u")=0), "u", "")</f>
        <v/>
      </c>
      <c r="CH275" s="80" t="str">
        <f>IF(AND($F275&lt;&gt;"", $F275&gt;=CH$5-4, $F275&lt;=CH$5, COUNTIF($M275:CG275,"u")=0), "u", "")</f>
        <v/>
      </c>
      <c r="CI275" s="80" t="str">
        <f>IF(AND($F275&lt;&gt;"", $F275&gt;=CI$5-4, $F275&lt;=CI$5, COUNTIF($M275:CH275,"u")=0), "u", "")</f>
        <v/>
      </c>
      <c r="CJ275" s="80" t="str">
        <f>IF(AND($F275&lt;&gt;"", $F275&gt;=CJ$5-4, $F275&lt;=CJ$5, COUNTIF($M275:CI275,"u")=0), "u", "")</f>
        <v/>
      </c>
      <c r="CK275" s="80" t="str">
        <f>IF(AND($F275&lt;&gt;"", $F275&gt;=CK$5-4, $F275&lt;=CK$5, COUNTIF($M275:CJ275,"u")=0), "u", "")</f>
        <v/>
      </c>
      <c r="CL275" s="80" t="str">
        <f>IF(AND($F275&lt;&gt;"", $F275&gt;=CL$5-4, $F275&lt;=CL$5, COUNTIF($M275:CK275,"u")=0), "u", "")</f>
        <v/>
      </c>
      <c r="CM275" s="80" t="str">
        <f>IF(AND($F275&lt;&gt;"", $F275&gt;=CM$5-4, $F275&lt;=CM$5, COUNTIF($M275:CL275,"u")=0), "u", "")</f>
        <v/>
      </c>
      <c r="CN275" s="80" t="str">
        <f>IF(AND($F275&lt;&gt;"", $F275&gt;=CN$5-4, $F275&lt;=CN$5, COUNTIF($M275:CM275,"u")=0), "u", "")</f>
        <v/>
      </c>
      <c r="CO275" s="80" t="str">
        <f>IF(AND($F275&lt;&gt;"", $F275&gt;=CO$5-4, $F275&lt;=CO$5, COUNTIF($M275:CN275,"u")=0), "u", "")</f>
        <v/>
      </c>
      <c r="CP275" s="80" t="str">
        <f>IF(AND($F275&lt;&gt;"", $F275&gt;=CP$5-4, $F275&lt;=CP$5, COUNTIF($M275:CO275,"u")=0), "u", "")</f>
        <v/>
      </c>
      <c r="CQ275" s="80" t="str">
        <f>IF(AND($F275&lt;&gt;"", $F275&gt;=CQ$5-4, $F275&lt;=CQ$5, COUNTIF($M275:CP275,"u")=0), "u", "")</f>
        <v/>
      </c>
      <c r="CR275" s="80" t="str">
        <f>IF(AND($F275&lt;&gt;"", $F275&gt;=CR$5-4, $F275&lt;=CR$5, COUNTIF($M275:CQ275,"u")=0), "u", "")</f>
        <v/>
      </c>
      <c r="CS275" s="80" t="str">
        <f>IF(AND($F275&lt;&gt;"", $F275&gt;=CS$5-4, $F275&lt;=CS$5, COUNTIF($M275:CR275,"u")=0), "u", "")</f>
        <v/>
      </c>
      <c r="CT275" s="80" t="str">
        <f>IF(AND($F275&lt;&gt;"", $F275&gt;=CT$5-4, $F275&lt;=CT$5, COUNTIF($M275:CS275,"u")=0), "u", "")</f>
        <v/>
      </c>
      <c r="CU275" s="80" t="str">
        <f>IF(AND($F275&lt;&gt;"", $F275&gt;=CU$5-4, $F275&lt;=CU$5, COUNTIF($M275:CT275,"u")=0), "u", "")</f>
        <v/>
      </c>
      <c r="CV275" s="80" t="str">
        <f>IF(AND($F275&lt;&gt;"", $F275&gt;=CV$5-4, $F275&lt;=CV$5, COUNTIF($M275:CU275,"u")=0), "u", "")</f>
        <v/>
      </c>
      <c r="CW275" s="80" t="str">
        <f>IF(AND($F275&lt;&gt;"", $F275&gt;=CW$5-4, $F275&lt;=CW$5, COUNTIF($M275:CV275,"u")=0), "u", "")</f>
        <v/>
      </c>
      <c r="CX275" s="80" t="str">
        <f>IF(AND($F275&lt;&gt;"", $F275&gt;=CX$5-4, $F275&lt;=CX$5, COUNTIF($M275:CW275,"u")=0), "u", "")</f>
        <v/>
      </c>
      <c r="CY275" s="80" t="str">
        <f>IF(AND($F275&lt;&gt;"", $F275&gt;=CY$5-4, $F275&lt;=CY$5, COUNTIF($M275:CX275,"u")=0), "u", "")</f>
        <v/>
      </c>
      <c r="CZ275" s="80" t="str">
        <f>IF(AND($F275&lt;&gt;"", $F275&gt;=CZ$5-4, $F275&lt;=CZ$5, COUNTIF($M275:CY275,"u")=0), "u", "")</f>
        <v/>
      </c>
      <c r="DA275" s="80" t="str">
        <f>IF(AND($F275&lt;&gt;"", $F275&gt;=DA$5-4, $F275&lt;=DA$5, COUNTIF($M275:CZ275,"u")=0), "u", "")</f>
        <v/>
      </c>
      <c r="DB275" s="80" t="str">
        <f>IF(AND($F275&lt;&gt;"", $F275&gt;=DB$5-4, $F275&lt;=DB$5, COUNTIF($M275:DA275,"u")=0), "u", "")</f>
        <v/>
      </c>
      <c r="DC275" s="80" t="str">
        <f>IF(AND($F275&lt;&gt;"", $F275&gt;=DC$5-4, $F275&lt;=DC$5, COUNTIF($M275:DB275,"u")=0), "u", "")</f>
        <v/>
      </c>
      <c r="DD275" s="80" t="str">
        <f>IF(AND($F275&lt;&gt;"", $F275&gt;=DD$5-4, $F275&lt;=DD$5, COUNTIF($M275:DC275,"u")=0), "u", "")</f>
        <v/>
      </c>
      <c r="DE275" s="80" t="str">
        <f>IF(AND($F275&lt;&gt;"", $F275&gt;=DE$5-4, $F275&lt;=DE$5, COUNTIF($M275:DD275,"u")=0), "u", "")</f>
        <v/>
      </c>
      <c r="DF275" s="80" t="str">
        <f>IF(AND($F275&lt;&gt;"", $F275&gt;=DF$5-4, $F275&lt;=DF$5, COUNTIF($M275:DE275,"u")=0), "u", "")</f>
        <v/>
      </c>
      <c r="DG275" s="80" t="str">
        <f>IF(AND($F275&lt;&gt;"", $F275&gt;=DG$5-4, $F275&lt;=DG$5, COUNTIF($M275:DF275,"u")=0), "u", "")</f>
        <v/>
      </c>
      <c r="DH275" s="80" t="str">
        <f>IF(AND($F275&lt;&gt;"", $F275&gt;=DH$5-4, $F275&lt;=DH$5, COUNTIF($M275:DG275,"u")=0), "u", "")</f>
        <v/>
      </c>
      <c r="DI275" s="80" t="str">
        <f>IF(AND($F275&lt;&gt;"", $F275&gt;=DI$5-4, $F275&lt;=DI$5, COUNTIF($M275:DH275,"u")=0), "u", "")</f>
        <v/>
      </c>
      <c r="DJ275" s="80" t="str">
        <f>IF(AND($F275&lt;&gt;"", $F275&gt;=DJ$5-4, $F275&lt;=DJ$5, COUNTIF($M275:DI275,"u")=0), "u", "")</f>
        <v/>
      </c>
      <c r="DK275" s="80" t="str">
        <f>IF(AND($F275&lt;&gt;"", $F275&gt;=DK$5-4, $F275&lt;=DK$5, COUNTIF($M275:DJ275,"u")=0), "u", "")</f>
        <v/>
      </c>
      <c r="DL275" s="80" t="str">
        <f>IF(AND($F275&lt;&gt;"", $F275&gt;=DL$5-4, $F275&lt;=DL$5, COUNTIF($M275:DK275,"u")=0), "u", "")</f>
        <v/>
      </c>
    </row>
    <row r="276" spans="1:116" ht="25.05" customHeight="1" x14ac:dyDescent="0.3">
      <c r="A276" s="39"/>
      <c r="B276" s="75">
        <v>271</v>
      </c>
      <c r="C276" s="97"/>
      <c r="D276" s="92"/>
      <c r="E276" s="53"/>
      <c r="F276" s="53"/>
      <c r="G276" s="83" t="str">
        <f t="shared" si="56"/>
        <v/>
      </c>
      <c r="H276" s="83" t="str">
        <f t="shared" si="56"/>
        <v/>
      </c>
      <c r="I276" s="77" t="str">
        <f t="shared" si="57"/>
        <v/>
      </c>
      <c r="J276" s="78"/>
      <c r="K276" s="86"/>
      <c r="L276" s="56"/>
      <c r="M276" s="80" t="str">
        <f t="shared" si="58"/>
        <v/>
      </c>
      <c r="N276" s="80" t="str">
        <f>IF(AND($F276&lt;&gt;"", $F276&gt;=N$5-4, $F276&lt;=N$5, COUNTIF($M276:M276,"u")=0), "u", "")</f>
        <v/>
      </c>
      <c r="O276" s="80" t="str">
        <f>IF(AND($F276&lt;&gt;"", $F276&gt;=O$5-4, $F276&lt;=O$5, COUNTIF($M276:N276,"u")=0), "u", "")</f>
        <v/>
      </c>
      <c r="P276" s="80" t="str">
        <f>IF(AND($F276&lt;&gt;"", $F276&gt;=P$5-4, $F276&lt;=P$5, COUNTIF($M276:O276,"u")=0), "u", "")</f>
        <v/>
      </c>
      <c r="Q276" s="80" t="str">
        <f>IF(AND($F276&lt;&gt;"", $F276&gt;=Q$5-4, $F276&lt;=Q$5, COUNTIF($M276:P276,"u")=0), "u", "")</f>
        <v/>
      </c>
      <c r="R276" s="80" t="str">
        <f>IF(AND($F276&lt;&gt;"", $F276&gt;=R$5-4, $F276&lt;=R$5, COUNTIF($M276:Q276,"u")=0), "u", "")</f>
        <v/>
      </c>
      <c r="S276" s="80" t="str">
        <f>IF(AND($F276&lt;&gt;"", $F276&gt;=S$5-4, $F276&lt;=S$5, COUNTIF($M276:R276,"u")=0), "u", "")</f>
        <v/>
      </c>
      <c r="T276" s="80" t="str">
        <f>IF(AND($F276&lt;&gt;"", $F276&gt;=T$5-4, $F276&lt;=T$5, COUNTIF($M276:S276,"u")=0), "u", "")</f>
        <v/>
      </c>
      <c r="U276" s="80" t="str">
        <f>IF(AND($F276&lt;&gt;"", $F276&gt;=U$5-4, $F276&lt;=U$5, COUNTIF($M276:T276,"u")=0), "u", "")</f>
        <v/>
      </c>
      <c r="V276" s="80" t="str">
        <f>IF(AND($F276&lt;&gt;"", $F276&gt;=V$5-4, $F276&lt;=V$5, COUNTIF($M276:U276,"u")=0), "u", "")</f>
        <v/>
      </c>
      <c r="W276" s="80" t="str">
        <f>IF(AND($F276&lt;&gt;"", $F276&gt;=W$5-4, $F276&lt;=W$5, COUNTIF($M276:V276,"u")=0), "u", "")</f>
        <v/>
      </c>
      <c r="X276" s="80" t="str">
        <f>IF(AND($F276&lt;&gt;"", $F276&gt;=X$5-4, $F276&lt;=X$5, COUNTIF($M276:W276,"u")=0), "u", "")</f>
        <v/>
      </c>
      <c r="Y276" s="80" t="str">
        <f>IF(AND($F276&lt;&gt;"", $F276&gt;=Y$5-4, $F276&lt;=Y$5, COUNTIF($M276:X276,"u")=0), "u", "")</f>
        <v/>
      </c>
      <c r="Z276" s="80" t="str">
        <f>IF(AND($F276&lt;&gt;"", $F276&gt;=Z$5-4, $F276&lt;=Z$5, COUNTIF($M276:Y276,"u")=0), "u", "")</f>
        <v/>
      </c>
      <c r="AA276" s="80" t="str">
        <f>IF(AND($F276&lt;&gt;"", $F276&gt;=AA$5-4, $F276&lt;=AA$5, COUNTIF($M276:Z276,"u")=0), "u", "")</f>
        <v/>
      </c>
      <c r="AB276" s="80" t="str">
        <f>IF(AND($F276&lt;&gt;"", $F276&gt;=AB$5-4, $F276&lt;=AB$5, COUNTIF($M276:AA276,"u")=0), "u", "")</f>
        <v/>
      </c>
      <c r="AC276" s="80" t="str">
        <f>IF(AND($F276&lt;&gt;"", $F276&gt;=AC$5-4, $F276&lt;=AC$5, COUNTIF($M276:AB276,"u")=0), "u", "")</f>
        <v/>
      </c>
      <c r="AD276" s="80" t="str">
        <f>IF(AND($F276&lt;&gt;"", $F276&gt;=AD$5-4, $F276&lt;=AD$5, COUNTIF($M276:AC276,"u")=0), "u", "")</f>
        <v/>
      </c>
      <c r="AE276" s="80" t="str">
        <f>IF(AND($F276&lt;&gt;"", $F276&gt;=AE$5-4, $F276&lt;=AE$5, COUNTIF($M276:AD276,"u")=0), "u", "")</f>
        <v/>
      </c>
      <c r="AF276" s="80" t="str">
        <f>IF(AND($F276&lt;&gt;"", $F276&gt;=AF$5-4, $F276&lt;=AF$5, COUNTIF($M276:AE276,"u")=0), "u", "")</f>
        <v/>
      </c>
      <c r="AG276" s="80" t="str">
        <f>IF(AND($F276&lt;&gt;"", $F276&gt;=AG$5-4, $F276&lt;=AG$5, COUNTIF($M276:AF276,"u")=0), "u", "")</f>
        <v/>
      </c>
      <c r="AH276" s="80" t="str">
        <f>IF(AND($F276&lt;&gt;"", $F276&gt;=AH$5-4, $F276&lt;=AH$5, COUNTIF($M276:AG276,"u")=0), "u", "")</f>
        <v/>
      </c>
      <c r="AI276" s="80" t="str">
        <f>IF(AND($F276&lt;&gt;"", $F276&gt;=AI$5-4, $F276&lt;=AI$5, COUNTIF($M276:AH276,"u")=0), "u", "")</f>
        <v/>
      </c>
      <c r="AJ276" s="80" t="str">
        <f>IF(AND($F276&lt;&gt;"", $F276&gt;=AJ$5-4, $F276&lt;=AJ$5, COUNTIF($M276:AI276,"u")=0), "u", "")</f>
        <v/>
      </c>
      <c r="AK276" s="80" t="str">
        <f>IF(AND($F276&lt;&gt;"", $F276&gt;=AK$5-4, $F276&lt;=AK$5, COUNTIF($M276:AJ276,"u")=0), "u", "")</f>
        <v/>
      </c>
      <c r="AL276" s="80" t="str">
        <f>IF(AND($F276&lt;&gt;"", $F276&gt;=AL$5-4, $F276&lt;=AL$5, COUNTIF($M276:AK276,"u")=0), "u", "")</f>
        <v/>
      </c>
      <c r="AM276" s="80" t="str">
        <f>IF(AND($F276&lt;&gt;"", $F276&gt;=AM$5-4, $F276&lt;=AM$5, COUNTIF($M276:AL276,"u")=0), "u", "")</f>
        <v/>
      </c>
      <c r="AN276" s="80" t="str">
        <f>IF(AND($F276&lt;&gt;"", $F276&gt;=AN$5-4, $F276&lt;=AN$5, COUNTIF($M276:AM276,"u")=0), "u", "")</f>
        <v/>
      </c>
      <c r="AO276" s="80" t="str">
        <f>IF(AND($F276&lt;&gt;"", $F276&gt;=AO$5-4, $F276&lt;=AO$5, COUNTIF($M276:AN276,"u")=0), "u", "")</f>
        <v/>
      </c>
      <c r="AP276" s="80" t="str">
        <f>IF(AND($F276&lt;&gt;"", $F276&gt;=AP$5-4, $F276&lt;=AP$5, COUNTIF($M276:AO276,"u")=0), "u", "")</f>
        <v/>
      </c>
      <c r="AQ276" s="80" t="str">
        <f>IF(AND($F276&lt;&gt;"", $F276&gt;=AQ$5-4, $F276&lt;=AQ$5, COUNTIF($M276:AP276,"u")=0), "u", "")</f>
        <v/>
      </c>
      <c r="AR276" s="80" t="str">
        <f>IF(AND($F276&lt;&gt;"", $F276&gt;=AR$5-4, $F276&lt;=AR$5, COUNTIF($M276:AQ276,"u")=0), "u", "")</f>
        <v/>
      </c>
      <c r="AS276" s="80" t="str">
        <f>IF(AND($F276&lt;&gt;"", $F276&gt;=AS$5-4, $F276&lt;=AS$5, COUNTIF($M276:AR276,"u")=0), "u", "")</f>
        <v/>
      </c>
      <c r="AT276" s="80" t="str">
        <f>IF(AND($F276&lt;&gt;"", $F276&gt;=AT$5-4, $F276&lt;=AT$5, COUNTIF($M276:AS276,"u")=0), "u", "")</f>
        <v/>
      </c>
      <c r="AU276" s="80" t="str">
        <f>IF(AND($F276&lt;&gt;"", $F276&gt;=AU$5-4, $F276&lt;=AU$5, COUNTIF($M276:AT276,"u")=0), "u", "")</f>
        <v/>
      </c>
      <c r="AV276" s="80" t="str">
        <f>IF(AND($F276&lt;&gt;"", $F276&gt;=AV$5-4, $F276&lt;=AV$5, COUNTIF($M276:AU276,"u")=0), "u", "")</f>
        <v/>
      </c>
      <c r="AW276" s="80" t="str">
        <f>IF(AND($F276&lt;&gt;"", $F276&gt;=AW$5-4, $F276&lt;=AW$5, COUNTIF($M276:AV276,"u")=0), "u", "")</f>
        <v/>
      </c>
      <c r="AX276" s="80" t="str">
        <f>IF(AND($F276&lt;&gt;"", $F276&gt;=AX$5-4, $F276&lt;=AX$5, COUNTIF($M276:AW276,"u")=0), "u", "")</f>
        <v/>
      </c>
      <c r="AY276" s="80" t="str">
        <f>IF(AND($F276&lt;&gt;"", $F276&gt;=AY$5-4, $F276&lt;=AY$5, COUNTIF($M276:AX276,"u")=0), "u", "")</f>
        <v/>
      </c>
      <c r="AZ276" s="80" t="str">
        <f>IF(AND($F276&lt;&gt;"", $F276&gt;=AZ$5-4, $F276&lt;=AZ$5, COUNTIF($M276:AY276,"u")=0), "u", "")</f>
        <v/>
      </c>
      <c r="BA276" s="80" t="str">
        <f>IF(AND($F276&lt;&gt;"", $F276&gt;=BA$5-4, $F276&lt;=BA$5, COUNTIF($M276:AZ276,"u")=0), "u", "")</f>
        <v/>
      </c>
      <c r="BB276" s="80" t="str">
        <f>IF(AND($F276&lt;&gt;"", $F276&gt;=BB$5-4, $F276&lt;=BB$5, COUNTIF($M276:BA276,"u")=0), "u", "")</f>
        <v/>
      </c>
      <c r="BC276" s="80" t="str">
        <f>IF(AND($F276&lt;&gt;"", $F276&gt;=BC$5-4, $F276&lt;=BC$5, COUNTIF($M276:BB276,"u")=0), "u", "")</f>
        <v/>
      </c>
      <c r="BD276" s="80" t="str">
        <f>IF(AND($F276&lt;&gt;"", $F276&gt;=BD$5-4, $F276&lt;=BD$5, COUNTIF($M276:BC276,"u")=0), "u", "")</f>
        <v/>
      </c>
      <c r="BE276" s="80" t="str">
        <f>IF(AND($F276&lt;&gt;"", $F276&gt;=BE$5-4, $F276&lt;=BE$5, COUNTIF($M276:BD276,"u")=0), "u", "")</f>
        <v/>
      </c>
      <c r="BF276" s="80" t="str">
        <f>IF(AND($F276&lt;&gt;"", $F276&gt;=BF$5-4, $F276&lt;=BF$5, COUNTIF($M276:BE276,"u")=0), "u", "")</f>
        <v/>
      </c>
      <c r="BG276" s="80" t="str">
        <f>IF(AND($F276&lt;&gt;"", $F276&gt;=BG$5-4, $F276&lt;=BG$5, COUNTIF($M276:BF276,"u")=0), "u", "")</f>
        <v/>
      </c>
      <c r="BH276" s="80" t="str">
        <f>IF(AND($F276&lt;&gt;"", $F276&gt;=BH$5-4, $F276&lt;=BH$5, COUNTIF($M276:BG276,"u")=0), "u", "")</f>
        <v/>
      </c>
      <c r="BI276" s="80" t="str">
        <f>IF(AND($F276&lt;&gt;"", $F276&gt;=BI$5-4, $F276&lt;=BI$5, COUNTIF($M276:BH276,"u")=0), "u", "")</f>
        <v/>
      </c>
      <c r="BJ276" s="80" t="str">
        <f>IF(AND($F276&lt;&gt;"", $F276&gt;=BJ$5-4, $F276&lt;=BJ$5, COUNTIF($M276:BI276,"u")=0), "u", "")</f>
        <v/>
      </c>
      <c r="BK276" s="80" t="str">
        <f>IF(AND($F276&lt;&gt;"", $F276&gt;=BK$5-4, $F276&lt;=BK$5, COUNTIF($M276:BJ276,"u")=0), "u", "")</f>
        <v/>
      </c>
      <c r="BL276" s="80" t="str">
        <f>IF(AND($F276&lt;&gt;"", $F276&gt;=BL$5-4, $F276&lt;=BL$5, COUNTIF($M276:BK276,"u")=0), "u", "")</f>
        <v/>
      </c>
      <c r="BM276" s="80" t="str">
        <f>IF(AND($F276&lt;&gt;"", $F276&gt;=BM$5-4, $F276&lt;=BM$5, COUNTIF($M276:BL276,"u")=0), "u", "")</f>
        <v/>
      </c>
      <c r="BN276" s="80" t="str">
        <f>IF(AND($F276&lt;&gt;"", $F276&gt;=BN$5-4, $F276&lt;=BN$5, COUNTIF($M276:BM276,"u")=0), "u", "")</f>
        <v/>
      </c>
      <c r="BO276" s="80" t="str">
        <f>IF(AND($F276&lt;&gt;"", $F276&gt;=BO$5-4, $F276&lt;=BO$5, COUNTIF($M276:BN276,"u")=0), "u", "")</f>
        <v/>
      </c>
      <c r="BP276" s="80" t="str">
        <f>IF(AND($F276&lt;&gt;"", $F276&gt;=BP$5-4, $F276&lt;=BP$5, COUNTIF($M276:BO276,"u")=0), "u", "")</f>
        <v/>
      </c>
      <c r="BQ276" s="80" t="str">
        <f>IF(AND($F276&lt;&gt;"", $F276&gt;=BQ$5-4, $F276&lt;=BQ$5, COUNTIF($M276:BP276,"u")=0), "u", "")</f>
        <v/>
      </c>
      <c r="BR276" s="80" t="str">
        <f>IF(AND($F276&lt;&gt;"", $F276&gt;=BR$5-4, $F276&lt;=BR$5, COUNTIF($M276:BQ276,"u")=0), "u", "")</f>
        <v/>
      </c>
      <c r="BS276" s="80" t="str">
        <f>IF(AND($F276&lt;&gt;"", $F276&gt;=BS$5-4, $F276&lt;=BS$5, COUNTIF($M276:BR276,"u")=0), "u", "")</f>
        <v/>
      </c>
      <c r="BT276" s="80" t="str">
        <f>IF(AND($F276&lt;&gt;"", $F276&gt;=BT$5-4, $F276&lt;=BT$5, COUNTIF($M276:BS276,"u")=0), "u", "")</f>
        <v/>
      </c>
      <c r="BU276" s="80" t="str">
        <f>IF(AND($F276&lt;&gt;"", $F276&gt;=BU$5-4, $F276&lt;=BU$5, COUNTIF($M276:BT276,"u")=0), "u", "")</f>
        <v/>
      </c>
      <c r="BV276" s="80" t="str">
        <f>IF(AND($F276&lt;&gt;"", $F276&gt;=BV$5-4, $F276&lt;=BV$5, COUNTIF($M276:BU276,"u")=0), "u", "")</f>
        <v/>
      </c>
      <c r="BW276" s="80" t="str">
        <f>IF(AND($F276&lt;&gt;"", $F276&gt;=BW$5-4, $F276&lt;=BW$5, COUNTIF($M276:BV276,"u")=0), "u", "")</f>
        <v/>
      </c>
      <c r="BX276" s="80" t="str">
        <f>IF(AND($F276&lt;&gt;"", $F276&gt;=BX$5-4, $F276&lt;=BX$5, COUNTIF($M276:BW276,"u")=0), "u", "")</f>
        <v/>
      </c>
      <c r="BY276" s="80" t="str">
        <f>IF(AND($F276&lt;&gt;"", $F276&gt;=BY$5-4, $F276&lt;=BY$5, COUNTIF($M276:BX276,"u")=0), "u", "")</f>
        <v/>
      </c>
      <c r="BZ276" s="80" t="str">
        <f>IF(AND($F276&lt;&gt;"", $F276&gt;=BZ$5-4, $F276&lt;=BZ$5, COUNTIF($M276:BY276,"u")=0), "u", "")</f>
        <v/>
      </c>
      <c r="CA276" s="80" t="str">
        <f>IF(AND($F276&lt;&gt;"", $F276&gt;=CA$5-4, $F276&lt;=CA$5, COUNTIF($M276:BZ276,"u")=0), "u", "")</f>
        <v/>
      </c>
      <c r="CB276" s="80" t="str">
        <f>IF(AND($F276&lt;&gt;"", $F276&gt;=CB$5-4, $F276&lt;=CB$5, COUNTIF($M276:CA276,"u")=0), "u", "")</f>
        <v/>
      </c>
      <c r="CC276" s="80" t="str">
        <f>IF(AND($F276&lt;&gt;"", $F276&gt;=CC$5-4, $F276&lt;=CC$5, COUNTIF($M276:CB276,"u")=0), "u", "")</f>
        <v/>
      </c>
      <c r="CD276" s="80" t="str">
        <f>IF(AND($F276&lt;&gt;"", $F276&gt;=CD$5-4, $F276&lt;=CD$5, COUNTIF($M276:CC276,"u")=0), "u", "")</f>
        <v/>
      </c>
      <c r="CE276" s="80" t="str">
        <f>IF(AND($F276&lt;&gt;"", $F276&gt;=CE$5-4, $F276&lt;=CE$5, COUNTIF($M276:CD276,"u")=0), "u", "")</f>
        <v/>
      </c>
      <c r="CF276" s="80" t="str">
        <f>IF(AND($F276&lt;&gt;"", $F276&gt;=CF$5-4, $F276&lt;=CF$5, COUNTIF($M276:CE276,"u")=0), "u", "")</f>
        <v/>
      </c>
      <c r="CG276" s="80" t="str">
        <f>IF(AND($F276&lt;&gt;"", $F276&gt;=CG$5-4, $F276&lt;=CG$5, COUNTIF($M276:CF276,"u")=0), "u", "")</f>
        <v/>
      </c>
      <c r="CH276" s="80" t="str">
        <f>IF(AND($F276&lt;&gt;"", $F276&gt;=CH$5-4, $F276&lt;=CH$5, COUNTIF($M276:CG276,"u")=0), "u", "")</f>
        <v/>
      </c>
      <c r="CI276" s="80" t="str">
        <f>IF(AND($F276&lt;&gt;"", $F276&gt;=CI$5-4, $F276&lt;=CI$5, COUNTIF($M276:CH276,"u")=0), "u", "")</f>
        <v/>
      </c>
      <c r="CJ276" s="80" t="str">
        <f>IF(AND($F276&lt;&gt;"", $F276&gt;=CJ$5-4, $F276&lt;=CJ$5, COUNTIF($M276:CI276,"u")=0), "u", "")</f>
        <v/>
      </c>
      <c r="CK276" s="80" t="str">
        <f>IF(AND($F276&lt;&gt;"", $F276&gt;=CK$5-4, $F276&lt;=CK$5, COUNTIF($M276:CJ276,"u")=0), "u", "")</f>
        <v/>
      </c>
      <c r="CL276" s="80" t="str">
        <f>IF(AND($F276&lt;&gt;"", $F276&gt;=CL$5-4, $F276&lt;=CL$5, COUNTIF($M276:CK276,"u")=0), "u", "")</f>
        <v/>
      </c>
      <c r="CM276" s="80" t="str">
        <f>IF(AND($F276&lt;&gt;"", $F276&gt;=CM$5-4, $F276&lt;=CM$5, COUNTIF($M276:CL276,"u")=0), "u", "")</f>
        <v/>
      </c>
      <c r="CN276" s="80" t="str">
        <f>IF(AND($F276&lt;&gt;"", $F276&gt;=CN$5-4, $F276&lt;=CN$5, COUNTIF($M276:CM276,"u")=0), "u", "")</f>
        <v/>
      </c>
      <c r="CO276" s="80" t="str">
        <f>IF(AND($F276&lt;&gt;"", $F276&gt;=CO$5-4, $F276&lt;=CO$5, COUNTIF($M276:CN276,"u")=0), "u", "")</f>
        <v/>
      </c>
      <c r="CP276" s="80" t="str">
        <f>IF(AND($F276&lt;&gt;"", $F276&gt;=CP$5-4, $F276&lt;=CP$5, COUNTIF($M276:CO276,"u")=0), "u", "")</f>
        <v/>
      </c>
      <c r="CQ276" s="80" t="str">
        <f>IF(AND($F276&lt;&gt;"", $F276&gt;=CQ$5-4, $F276&lt;=CQ$5, COUNTIF($M276:CP276,"u")=0), "u", "")</f>
        <v/>
      </c>
      <c r="CR276" s="80" t="str">
        <f>IF(AND($F276&lt;&gt;"", $F276&gt;=CR$5-4, $F276&lt;=CR$5, COUNTIF($M276:CQ276,"u")=0), "u", "")</f>
        <v/>
      </c>
      <c r="CS276" s="80" t="str">
        <f>IF(AND($F276&lt;&gt;"", $F276&gt;=CS$5-4, $F276&lt;=CS$5, COUNTIF($M276:CR276,"u")=0), "u", "")</f>
        <v/>
      </c>
      <c r="CT276" s="80" t="str">
        <f>IF(AND($F276&lt;&gt;"", $F276&gt;=CT$5-4, $F276&lt;=CT$5, COUNTIF($M276:CS276,"u")=0), "u", "")</f>
        <v/>
      </c>
      <c r="CU276" s="80" t="str">
        <f>IF(AND($F276&lt;&gt;"", $F276&gt;=CU$5-4, $F276&lt;=CU$5, COUNTIF($M276:CT276,"u")=0), "u", "")</f>
        <v/>
      </c>
      <c r="CV276" s="80" t="str">
        <f>IF(AND($F276&lt;&gt;"", $F276&gt;=CV$5-4, $F276&lt;=CV$5, COUNTIF($M276:CU276,"u")=0), "u", "")</f>
        <v/>
      </c>
      <c r="CW276" s="80" t="str">
        <f>IF(AND($F276&lt;&gt;"", $F276&gt;=CW$5-4, $F276&lt;=CW$5, COUNTIF($M276:CV276,"u")=0), "u", "")</f>
        <v/>
      </c>
      <c r="CX276" s="80" t="str">
        <f>IF(AND($F276&lt;&gt;"", $F276&gt;=CX$5-4, $F276&lt;=CX$5, COUNTIF($M276:CW276,"u")=0), "u", "")</f>
        <v/>
      </c>
      <c r="CY276" s="80" t="str">
        <f>IF(AND($F276&lt;&gt;"", $F276&gt;=CY$5-4, $F276&lt;=CY$5, COUNTIF($M276:CX276,"u")=0), "u", "")</f>
        <v/>
      </c>
      <c r="CZ276" s="80" t="str">
        <f>IF(AND($F276&lt;&gt;"", $F276&gt;=CZ$5-4, $F276&lt;=CZ$5, COUNTIF($M276:CY276,"u")=0), "u", "")</f>
        <v/>
      </c>
      <c r="DA276" s="80" t="str">
        <f>IF(AND($F276&lt;&gt;"", $F276&gt;=DA$5-4, $F276&lt;=DA$5, COUNTIF($M276:CZ276,"u")=0), "u", "")</f>
        <v/>
      </c>
      <c r="DB276" s="80" t="str">
        <f>IF(AND($F276&lt;&gt;"", $F276&gt;=DB$5-4, $F276&lt;=DB$5, COUNTIF($M276:DA276,"u")=0), "u", "")</f>
        <v/>
      </c>
      <c r="DC276" s="80" t="str">
        <f>IF(AND($F276&lt;&gt;"", $F276&gt;=DC$5-4, $F276&lt;=DC$5, COUNTIF($M276:DB276,"u")=0), "u", "")</f>
        <v/>
      </c>
      <c r="DD276" s="80" t="str">
        <f>IF(AND($F276&lt;&gt;"", $F276&gt;=DD$5-4, $F276&lt;=DD$5, COUNTIF($M276:DC276,"u")=0), "u", "")</f>
        <v/>
      </c>
      <c r="DE276" s="80" t="str">
        <f>IF(AND($F276&lt;&gt;"", $F276&gt;=DE$5-4, $F276&lt;=DE$5, COUNTIF($M276:DD276,"u")=0), "u", "")</f>
        <v/>
      </c>
      <c r="DF276" s="80" t="str">
        <f>IF(AND($F276&lt;&gt;"", $F276&gt;=DF$5-4, $F276&lt;=DF$5, COUNTIF($M276:DE276,"u")=0), "u", "")</f>
        <v/>
      </c>
      <c r="DG276" s="80" t="str">
        <f>IF(AND($F276&lt;&gt;"", $F276&gt;=DG$5-4, $F276&lt;=DG$5, COUNTIF($M276:DF276,"u")=0), "u", "")</f>
        <v/>
      </c>
      <c r="DH276" s="80" t="str">
        <f>IF(AND($F276&lt;&gt;"", $F276&gt;=DH$5-4, $F276&lt;=DH$5, COUNTIF($M276:DG276,"u")=0), "u", "")</f>
        <v/>
      </c>
      <c r="DI276" s="80" t="str">
        <f>IF(AND($F276&lt;&gt;"", $F276&gt;=DI$5-4, $F276&lt;=DI$5, COUNTIF($M276:DH276,"u")=0), "u", "")</f>
        <v/>
      </c>
      <c r="DJ276" s="80" t="str">
        <f>IF(AND($F276&lt;&gt;"", $F276&gt;=DJ$5-4, $F276&lt;=DJ$5, COUNTIF($M276:DI276,"u")=0), "u", "")</f>
        <v/>
      </c>
      <c r="DK276" s="80" t="str">
        <f>IF(AND($F276&lt;&gt;"", $F276&gt;=DK$5-4, $F276&lt;=DK$5, COUNTIF($M276:DJ276,"u")=0), "u", "")</f>
        <v/>
      </c>
      <c r="DL276" s="80" t="str">
        <f>IF(AND($F276&lt;&gt;"", $F276&gt;=DL$5-4, $F276&lt;=DL$5, COUNTIF($M276:DK276,"u")=0), "u", "")</f>
        <v/>
      </c>
    </row>
    <row r="277" spans="1:116" ht="25.05" customHeight="1" x14ac:dyDescent="0.3">
      <c r="A277" s="39"/>
      <c r="B277" s="75">
        <v>272</v>
      </c>
      <c r="C277" s="97"/>
      <c r="D277" s="92"/>
      <c r="E277" s="53"/>
      <c r="F277" s="53"/>
      <c r="G277" s="83" t="str">
        <f t="shared" si="56"/>
        <v/>
      </c>
      <c r="H277" s="83" t="str">
        <f t="shared" si="56"/>
        <v/>
      </c>
      <c r="I277" s="77" t="str">
        <f t="shared" si="57"/>
        <v/>
      </c>
      <c r="J277" s="78"/>
      <c r="K277" s="86"/>
      <c r="L277" s="56"/>
      <c r="M277" s="80" t="str">
        <f t="shared" si="58"/>
        <v/>
      </c>
      <c r="N277" s="80" t="str">
        <f>IF(AND($F277&lt;&gt;"", $F277&gt;=N$5-4, $F277&lt;=N$5, COUNTIF($M277:M277,"u")=0), "u", "")</f>
        <v/>
      </c>
      <c r="O277" s="80" t="str">
        <f>IF(AND($F277&lt;&gt;"", $F277&gt;=O$5-4, $F277&lt;=O$5, COUNTIF($M277:N277,"u")=0), "u", "")</f>
        <v/>
      </c>
      <c r="P277" s="80" t="str">
        <f>IF(AND($F277&lt;&gt;"", $F277&gt;=P$5-4, $F277&lt;=P$5, COUNTIF($M277:O277,"u")=0), "u", "")</f>
        <v/>
      </c>
      <c r="Q277" s="80" t="str">
        <f>IF(AND($F277&lt;&gt;"", $F277&gt;=Q$5-4, $F277&lt;=Q$5, COUNTIF($M277:P277,"u")=0), "u", "")</f>
        <v/>
      </c>
      <c r="R277" s="80" t="str">
        <f>IF(AND($F277&lt;&gt;"", $F277&gt;=R$5-4, $F277&lt;=R$5, COUNTIF($M277:Q277,"u")=0), "u", "")</f>
        <v/>
      </c>
      <c r="S277" s="80" t="str">
        <f>IF(AND($F277&lt;&gt;"", $F277&gt;=S$5-4, $F277&lt;=S$5, COUNTIF($M277:R277,"u")=0), "u", "")</f>
        <v/>
      </c>
      <c r="T277" s="80" t="str">
        <f>IF(AND($F277&lt;&gt;"", $F277&gt;=T$5-4, $F277&lt;=T$5, COUNTIF($M277:S277,"u")=0), "u", "")</f>
        <v/>
      </c>
      <c r="U277" s="80" t="str">
        <f>IF(AND($F277&lt;&gt;"", $F277&gt;=U$5-4, $F277&lt;=U$5, COUNTIF($M277:T277,"u")=0), "u", "")</f>
        <v/>
      </c>
      <c r="V277" s="80" t="str">
        <f>IF(AND($F277&lt;&gt;"", $F277&gt;=V$5-4, $F277&lt;=V$5, COUNTIF($M277:U277,"u")=0), "u", "")</f>
        <v/>
      </c>
      <c r="W277" s="80" t="str">
        <f>IF(AND($F277&lt;&gt;"", $F277&gt;=W$5-4, $F277&lt;=W$5, COUNTIF($M277:V277,"u")=0), "u", "")</f>
        <v/>
      </c>
      <c r="X277" s="80" t="str">
        <f>IF(AND($F277&lt;&gt;"", $F277&gt;=X$5-4, $F277&lt;=X$5, COUNTIF($M277:W277,"u")=0), "u", "")</f>
        <v/>
      </c>
      <c r="Y277" s="80" t="str">
        <f>IF(AND($F277&lt;&gt;"", $F277&gt;=Y$5-4, $F277&lt;=Y$5, COUNTIF($M277:X277,"u")=0), "u", "")</f>
        <v/>
      </c>
      <c r="Z277" s="80" t="str">
        <f>IF(AND($F277&lt;&gt;"", $F277&gt;=Z$5-4, $F277&lt;=Z$5, COUNTIF($M277:Y277,"u")=0), "u", "")</f>
        <v/>
      </c>
      <c r="AA277" s="80" t="str">
        <f>IF(AND($F277&lt;&gt;"", $F277&gt;=AA$5-4, $F277&lt;=AA$5, COUNTIF($M277:Z277,"u")=0), "u", "")</f>
        <v/>
      </c>
      <c r="AB277" s="80" t="str">
        <f>IF(AND($F277&lt;&gt;"", $F277&gt;=AB$5-4, $F277&lt;=AB$5, COUNTIF($M277:AA277,"u")=0), "u", "")</f>
        <v/>
      </c>
      <c r="AC277" s="80" t="str">
        <f>IF(AND($F277&lt;&gt;"", $F277&gt;=AC$5-4, $F277&lt;=AC$5, COUNTIF($M277:AB277,"u")=0), "u", "")</f>
        <v/>
      </c>
      <c r="AD277" s="80" t="str">
        <f>IF(AND($F277&lt;&gt;"", $F277&gt;=AD$5-4, $F277&lt;=AD$5, COUNTIF($M277:AC277,"u")=0), "u", "")</f>
        <v/>
      </c>
      <c r="AE277" s="80" t="str">
        <f>IF(AND($F277&lt;&gt;"", $F277&gt;=AE$5-4, $F277&lt;=AE$5, COUNTIF($M277:AD277,"u")=0), "u", "")</f>
        <v/>
      </c>
      <c r="AF277" s="80" t="str">
        <f>IF(AND($F277&lt;&gt;"", $F277&gt;=AF$5-4, $F277&lt;=AF$5, COUNTIF($M277:AE277,"u")=0), "u", "")</f>
        <v/>
      </c>
      <c r="AG277" s="80" t="str">
        <f>IF(AND($F277&lt;&gt;"", $F277&gt;=AG$5-4, $F277&lt;=AG$5, COUNTIF($M277:AF277,"u")=0), "u", "")</f>
        <v/>
      </c>
      <c r="AH277" s="80" t="str">
        <f>IF(AND($F277&lt;&gt;"", $F277&gt;=AH$5-4, $F277&lt;=AH$5, COUNTIF($M277:AG277,"u")=0), "u", "")</f>
        <v/>
      </c>
      <c r="AI277" s="80" t="str">
        <f>IF(AND($F277&lt;&gt;"", $F277&gt;=AI$5-4, $F277&lt;=AI$5, COUNTIF($M277:AH277,"u")=0), "u", "")</f>
        <v/>
      </c>
      <c r="AJ277" s="80" t="str">
        <f>IF(AND($F277&lt;&gt;"", $F277&gt;=AJ$5-4, $F277&lt;=AJ$5, COUNTIF($M277:AI277,"u")=0), "u", "")</f>
        <v/>
      </c>
      <c r="AK277" s="80" t="str">
        <f>IF(AND($F277&lt;&gt;"", $F277&gt;=AK$5-4, $F277&lt;=AK$5, COUNTIF($M277:AJ277,"u")=0), "u", "")</f>
        <v/>
      </c>
      <c r="AL277" s="80" t="str">
        <f>IF(AND($F277&lt;&gt;"", $F277&gt;=AL$5-4, $F277&lt;=AL$5, COUNTIF($M277:AK277,"u")=0), "u", "")</f>
        <v/>
      </c>
      <c r="AM277" s="80" t="str">
        <f>IF(AND($F277&lt;&gt;"", $F277&gt;=AM$5-4, $F277&lt;=AM$5, COUNTIF($M277:AL277,"u")=0), "u", "")</f>
        <v/>
      </c>
      <c r="AN277" s="80" t="str">
        <f>IF(AND($F277&lt;&gt;"", $F277&gt;=AN$5-4, $F277&lt;=AN$5, COUNTIF($M277:AM277,"u")=0), "u", "")</f>
        <v/>
      </c>
      <c r="AO277" s="80" t="str">
        <f>IF(AND($F277&lt;&gt;"", $F277&gt;=AO$5-4, $F277&lt;=AO$5, COUNTIF($M277:AN277,"u")=0), "u", "")</f>
        <v/>
      </c>
      <c r="AP277" s="80" t="str">
        <f>IF(AND($F277&lt;&gt;"", $F277&gt;=AP$5-4, $F277&lt;=AP$5, COUNTIF($M277:AO277,"u")=0), "u", "")</f>
        <v/>
      </c>
      <c r="AQ277" s="80" t="str">
        <f>IF(AND($F277&lt;&gt;"", $F277&gt;=AQ$5-4, $F277&lt;=AQ$5, COUNTIF($M277:AP277,"u")=0), "u", "")</f>
        <v/>
      </c>
      <c r="AR277" s="80" t="str">
        <f>IF(AND($F277&lt;&gt;"", $F277&gt;=AR$5-4, $F277&lt;=AR$5, COUNTIF($M277:AQ277,"u")=0), "u", "")</f>
        <v/>
      </c>
      <c r="AS277" s="80" t="str">
        <f>IF(AND($F277&lt;&gt;"", $F277&gt;=AS$5-4, $F277&lt;=AS$5, COUNTIF($M277:AR277,"u")=0), "u", "")</f>
        <v/>
      </c>
      <c r="AT277" s="80" t="str">
        <f>IF(AND($F277&lt;&gt;"", $F277&gt;=AT$5-4, $F277&lt;=AT$5, COUNTIF($M277:AS277,"u")=0), "u", "")</f>
        <v/>
      </c>
      <c r="AU277" s="80" t="str">
        <f>IF(AND($F277&lt;&gt;"", $F277&gt;=AU$5-4, $F277&lt;=AU$5, COUNTIF($M277:AT277,"u")=0), "u", "")</f>
        <v/>
      </c>
      <c r="AV277" s="80" t="str">
        <f>IF(AND($F277&lt;&gt;"", $F277&gt;=AV$5-4, $F277&lt;=AV$5, COUNTIF($M277:AU277,"u")=0), "u", "")</f>
        <v/>
      </c>
      <c r="AW277" s="80" t="str">
        <f>IF(AND($F277&lt;&gt;"", $F277&gt;=AW$5-4, $F277&lt;=AW$5, COUNTIF($M277:AV277,"u")=0), "u", "")</f>
        <v/>
      </c>
      <c r="AX277" s="80" t="str">
        <f>IF(AND($F277&lt;&gt;"", $F277&gt;=AX$5-4, $F277&lt;=AX$5, COUNTIF($M277:AW277,"u")=0), "u", "")</f>
        <v/>
      </c>
      <c r="AY277" s="80" t="str">
        <f>IF(AND($F277&lt;&gt;"", $F277&gt;=AY$5-4, $F277&lt;=AY$5, COUNTIF($M277:AX277,"u")=0), "u", "")</f>
        <v/>
      </c>
      <c r="AZ277" s="80" t="str">
        <f>IF(AND($F277&lt;&gt;"", $F277&gt;=AZ$5-4, $F277&lt;=AZ$5, COUNTIF($M277:AY277,"u")=0), "u", "")</f>
        <v/>
      </c>
      <c r="BA277" s="80" t="str">
        <f>IF(AND($F277&lt;&gt;"", $F277&gt;=BA$5-4, $F277&lt;=BA$5, COUNTIF($M277:AZ277,"u")=0), "u", "")</f>
        <v/>
      </c>
      <c r="BB277" s="80" t="str">
        <f>IF(AND($F277&lt;&gt;"", $F277&gt;=BB$5-4, $F277&lt;=BB$5, COUNTIF($M277:BA277,"u")=0), "u", "")</f>
        <v/>
      </c>
      <c r="BC277" s="80" t="str">
        <f>IF(AND($F277&lt;&gt;"", $F277&gt;=BC$5-4, $F277&lt;=BC$5, COUNTIF($M277:BB277,"u")=0), "u", "")</f>
        <v/>
      </c>
      <c r="BD277" s="80" t="str">
        <f>IF(AND($F277&lt;&gt;"", $F277&gt;=BD$5-4, $F277&lt;=BD$5, COUNTIF($M277:BC277,"u")=0), "u", "")</f>
        <v/>
      </c>
      <c r="BE277" s="80" t="str">
        <f>IF(AND($F277&lt;&gt;"", $F277&gt;=BE$5-4, $F277&lt;=BE$5, COUNTIF($M277:BD277,"u")=0), "u", "")</f>
        <v/>
      </c>
      <c r="BF277" s="80" t="str">
        <f>IF(AND($F277&lt;&gt;"", $F277&gt;=BF$5-4, $F277&lt;=BF$5, COUNTIF($M277:BE277,"u")=0), "u", "")</f>
        <v/>
      </c>
      <c r="BG277" s="80" t="str">
        <f>IF(AND($F277&lt;&gt;"", $F277&gt;=BG$5-4, $F277&lt;=BG$5, COUNTIF($M277:BF277,"u")=0), "u", "")</f>
        <v/>
      </c>
      <c r="BH277" s="80" t="str">
        <f>IF(AND($F277&lt;&gt;"", $F277&gt;=BH$5-4, $F277&lt;=BH$5, COUNTIF($M277:BG277,"u")=0), "u", "")</f>
        <v/>
      </c>
      <c r="BI277" s="80" t="str">
        <f>IF(AND($F277&lt;&gt;"", $F277&gt;=BI$5-4, $F277&lt;=BI$5, COUNTIF($M277:BH277,"u")=0), "u", "")</f>
        <v/>
      </c>
      <c r="BJ277" s="80" t="str">
        <f>IF(AND($F277&lt;&gt;"", $F277&gt;=BJ$5-4, $F277&lt;=BJ$5, COUNTIF($M277:BI277,"u")=0), "u", "")</f>
        <v/>
      </c>
      <c r="BK277" s="80" t="str">
        <f>IF(AND($F277&lt;&gt;"", $F277&gt;=BK$5-4, $F277&lt;=BK$5, COUNTIF($M277:BJ277,"u")=0), "u", "")</f>
        <v/>
      </c>
      <c r="BL277" s="80" t="str">
        <f>IF(AND($F277&lt;&gt;"", $F277&gt;=BL$5-4, $F277&lt;=BL$5, COUNTIF($M277:BK277,"u")=0), "u", "")</f>
        <v/>
      </c>
      <c r="BM277" s="80" t="str">
        <f>IF(AND($F277&lt;&gt;"", $F277&gt;=BM$5-4, $F277&lt;=BM$5, COUNTIF($M277:BL277,"u")=0), "u", "")</f>
        <v/>
      </c>
      <c r="BN277" s="80" t="str">
        <f>IF(AND($F277&lt;&gt;"", $F277&gt;=BN$5-4, $F277&lt;=BN$5, COUNTIF($M277:BM277,"u")=0), "u", "")</f>
        <v/>
      </c>
      <c r="BO277" s="80" t="str">
        <f>IF(AND($F277&lt;&gt;"", $F277&gt;=BO$5-4, $F277&lt;=BO$5, COUNTIF($M277:BN277,"u")=0), "u", "")</f>
        <v/>
      </c>
      <c r="BP277" s="80" t="str">
        <f>IF(AND($F277&lt;&gt;"", $F277&gt;=BP$5-4, $F277&lt;=BP$5, COUNTIF($M277:BO277,"u")=0), "u", "")</f>
        <v/>
      </c>
      <c r="BQ277" s="80" t="str">
        <f>IF(AND($F277&lt;&gt;"", $F277&gt;=BQ$5-4, $F277&lt;=BQ$5, COUNTIF($M277:BP277,"u")=0), "u", "")</f>
        <v/>
      </c>
      <c r="BR277" s="80" t="str">
        <f>IF(AND($F277&lt;&gt;"", $F277&gt;=BR$5-4, $F277&lt;=BR$5, COUNTIF($M277:BQ277,"u")=0), "u", "")</f>
        <v/>
      </c>
      <c r="BS277" s="80" t="str">
        <f>IF(AND($F277&lt;&gt;"", $F277&gt;=BS$5-4, $F277&lt;=BS$5, COUNTIF($M277:BR277,"u")=0), "u", "")</f>
        <v/>
      </c>
      <c r="BT277" s="80" t="str">
        <f>IF(AND($F277&lt;&gt;"", $F277&gt;=BT$5-4, $F277&lt;=BT$5, COUNTIF($M277:BS277,"u")=0), "u", "")</f>
        <v/>
      </c>
      <c r="BU277" s="80" t="str">
        <f>IF(AND($F277&lt;&gt;"", $F277&gt;=BU$5-4, $F277&lt;=BU$5, COUNTIF($M277:BT277,"u")=0), "u", "")</f>
        <v/>
      </c>
      <c r="BV277" s="80" t="str">
        <f>IF(AND($F277&lt;&gt;"", $F277&gt;=BV$5-4, $F277&lt;=BV$5, COUNTIF($M277:BU277,"u")=0), "u", "")</f>
        <v/>
      </c>
      <c r="BW277" s="80" t="str">
        <f>IF(AND($F277&lt;&gt;"", $F277&gt;=BW$5-4, $F277&lt;=BW$5, COUNTIF($M277:BV277,"u")=0), "u", "")</f>
        <v/>
      </c>
      <c r="BX277" s="80" t="str">
        <f>IF(AND($F277&lt;&gt;"", $F277&gt;=BX$5-4, $F277&lt;=BX$5, COUNTIF($M277:BW277,"u")=0), "u", "")</f>
        <v/>
      </c>
      <c r="BY277" s="80" t="str">
        <f>IF(AND($F277&lt;&gt;"", $F277&gt;=BY$5-4, $F277&lt;=BY$5, COUNTIF($M277:BX277,"u")=0), "u", "")</f>
        <v/>
      </c>
      <c r="BZ277" s="80" t="str">
        <f>IF(AND($F277&lt;&gt;"", $F277&gt;=BZ$5-4, $F277&lt;=BZ$5, COUNTIF($M277:BY277,"u")=0), "u", "")</f>
        <v/>
      </c>
      <c r="CA277" s="80" t="str">
        <f>IF(AND($F277&lt;&gt;"", $F277&gt;=CA$5-4, $F277&lt;=CA$5, COUNTIF($M277:BZ277,"u")=0), "u", "")</f>
        <v/>
      </c>
      <c r="CB277" s="80" t="str">
        <f>IF(AND($F277&lt;&gt;"", $F277&gt;=CB$5-4, $F277&lt;=CB$5, COUNTIF($M277:CA277,"u")=0), "u", "")</f>
        <v/>
      </c>
      <c r="CC277" s="80" t="str">
        <f>IF(AND($F277&lt;&gt;"", $F277&gt;=CC$5-4, $F277&lt;=CC$5, COUNTIF($M277:CB277,"u")=0), "u", "")</f>
        <v/>
      </c>
      <c r="CD277" s="80" t="str">
        <f>IF(AND($F277&lt;&gt;"", $F277&gt;=CD$5-4, $F277&lt;=CD$5, COUNTIF($M277:CC277,"u")=0), "u", "")</f>
        <v/>
      </c>
      <c r="CE277" s="80" t="str">
        <f>IF(AND($F277&lt;&gt;"", $F277&gt;=CE$5-4, $F277&lt;=CE$5, COUNTIF($M277:CD277,"u")=0), "u", "")</f>
        <v/>
      </c>
      <c r="CF277" s="80" t="str">
        <f>IF(AND($F277&lt;&gt;"", $F277&gt;=CF$5-4, $F277&lt;=CF$5, COUNTIF($M277:CE277,"u")=0), "u", "")</f>
        <v/>
      </c>
      <c r="CG277" s="80" t="str">
        <f>IF(AND($F277&lt;&gt;"", $F277&gt;=CG$5-4, $F277&lt;=CG$5, COUNTIF($M277:CF277,"u")=0), "u", "")</f>
        <v/>
      </c>
      <c r="CH277" s="80" t="str">
        <f>IF(AND($F277&lt;&gt;"", $F277&gt;=CH$5-4, $F277&lt;=CH$5, COUNTIF($M277:CG277,"u")=0), "u", "")</f>
        <v/>
      </c>
      <c r="CI277" s="80" t="str">
        <f>IF(AND($F277&lt;&gt;"", $F277&gt;=CI$5-4, $F277&lt;=CI$5, COUNTIF($M277:CH277,"u")=0), "u", "")</f>
        <v/>
      </c>
      <c r="CJ277" s="80" t="str">
        <f>IF(AND($F277&lt;&gt;"", $F277&gt;=CJ$5-4, $F277&lt;=CJ$5, COUNTIF($M277:CI277,"u")=0), "u", "")</f>
        <v/>
      </c>
      <c r="CK277" s="80" t="str">
        <f>IF(AND($F277&lt;&gt;"", $F277&gt;=CK$5-4, $F277&lt;=CK$5, COUNTIF($M277:CJ277,"u")=0), "u", "")</f>
        <v/>
      </c>
      <c r="CL277" s="80" t="str">
        <f>IF(AND($F277&lt;&gt;"", $F277&gt;=CL$5-4, $F277&lt;=CL$5, COUNTIF($M277:CK277,"u")=0), "u", "")</f>
        <v/>
      </c>
      <c r="CM277" s="80" t="str">
        <f>IF(AND($F277&lt;&gt;"", $F277&gt;=CM$5-4, $F277&lt;=CM$5, COUNTIF($M277:CL277,"u")=0), "u", "")</f>
        <v/>
      </c>
      <c r="CN277" s="80" t="str">
        <f>IF(AND($F277&lt;&gt;"", $F277&gt;=CN$5-4, $F277&lt;=CN$5, COUNTIF($M277:CM277,"u")=0), "u", "")</f>
        <v/>
      </c>
      <c r="CO277" s="80" t="str">
        <f>IF(AND($F277&lt;&gt;"", $F277&gt;=CO$5-4, $F277&lt;=CO$5, COUNTIF($M277:CN277,"u")=0), "u", "")</f>
        <v/>
      </c>
      <c r="CP277" s="80" t="str">
        <f>IF(AND($F277&lt;&gt;"", $F277&gt;=CP$5-4, $F277&lt;=CP$5, COUNTIF($M277:CO277,"u")=0), "u", "")</f>
        <v/>
      </c>
      <c r="CQ277" s="80" t="str">
        <f>IF(AND($F277&lt;&gt;"", $F277&gt;=CQ$5-4, $F277&lt;=CQ$5, COUNTIF($M277:CP277,"u")=0), "u", "")</f>
        <v/>
      </c>
      <c r="CR277" s="80" t="str">
        <f>IF(AND($F277&lt;&gt;"", $F277&gt;=CR$5-4, $F277&lt;=CR$5, COUNTIF($M277:CQ277,"u")=0), "u", "")</f>
        <v/>
      </c>
      <c r="CS277" s="80" t="str">
        <f>IF(AND($F277&lt;&gt;"", $F277&gt;=CS$5-4, $F277&lt;=CS$5, COUNTIF($M277:CR277,"u")=0), "u", "")</f>
        <v/>
      </c>
      <c r="CT277" s="80" t="str">
        <f>IF(AND($F277&lt;&gt;"", $F277&gt;=CT$5-4, $F277&lt;=CT$5, COUNTIF($M277:CS277,"u")=0), "u", "")</f>
        <v/>
      </c>
      <c r="CU277" s="80" t="str">
        <f>IF(AND($F277&lt;&gt;"", $F277&gt;=CU$5-4, $F277&lt;=CU$5, COUNTIF($M277:CT277,"u")=0), "u", "")</f>
        <v/>
      </c>
      <c r="CV277" s="80" t="str">
        <f>IF(AND($F277&lt;&gt;"", $F277&gt;=CV$5-4, $F277&lt;=CV$5, COUNTIF($M277:CU277,"u")=0), "u", "")</f>
        <v/>
      </c>
      <c r="CW277" s="80" t="str">
        <f>IF(AND($F277&lt;&gt;"", $F277&gt;=CW$5-4, $F277&lt;=CW$5, COUNTIF($M277:CV277,"u")=0), "u", "")</f>
        <v/>
      </c>
      <c r="CX277" s="80" t="str">
        <f>IF(AND($F277&lt;&gt;"", $F277&gt;=CX$5-4, $F277&lt;=CX$5, COUNTIF($M277:CW277,"u")=0), "u", "")</f>
        <v/>
      </c>
      <c r="CY277" s="80" t="str">
        <f>IF(AND($F277&lt;&gt;"", $F277&gt;=CY$5-4, $F277&lt;=CY$5, COUNTIF($M277:CX277,"u")=0), "u", "")</f>
        <v/>
      </c>
      <c r="CZ277" s="80" t="str">
        <f>IF(AND($F277&lt;&gt;"", $F277&gt;=CZ$5-4, $F277&lt;=CZ$5, COUNTIF($M277:CY277,"u")=0), "u", "")</f>
        <v/>
      </c>
      <c r="DA277" s="80" t="str">
        <f>IF(AND($F277&lt;&gt;"", $F277&gt;=DA$5-4, $F277&lt;=DA$5, COUNTIF($M277:CZ277,"u")=0), "u", "")</f>
        <v/>
      </c>
      <c r="DB277" s="80" t="str">
        <f>IF(AND($F277&lt;&gt;"", $F277&gt;=DB$5-4, $F277&lt;=DB$5, COUNTIF($M277:DA277,"u")=0), "u", "")</f>
        <v/>
      </c>
      <c r="DC277" s="80" t="str">
        <f>IF(AND($F277&lt;&gt;"", $F277&gt;=DC$5-4, $F277&lt;=DC$5, COUNTIF($M277:DB277,"u")=0), "u", "")</f>
        <v/>
      </c>
      <c r="DD277" s="80" t="str">
        <f>IF(AND($F277&lt;&gt;"", $F277&gt;=DD$5-4, $F277&lt;=DD$5, COUNTIF($M277:DC277,"u")=0), "u", "")</f>
        <v/>
      </c>
      <c r="DE277" s="80" t="str">
        <f>IF(AND($F277&lt;&gt;"", $F277&gt;=DE$5-4, $F277&lt;=DE$5, COUNTIF($M277:DD277,"u")=0), "u", "")</f>
        <v/>
      </c>
      <c r="DF277" s="80" t="str">
        <f>IF(AND($F277&lt;&gt;"", $F277&gt;=DF$5-4, $F277&lt;=DF$5, COUNTIF($M277:DE277,"u")=0), "u", "")</f>
        <v/>
      </c>
      <c r="DG277" s="80" t="str">
        <f>IF(AND($F277&lt;&gt;"", $F277&gt;=DG$5-4, $F277&lt;=DG$5, COUNTIF($M277:DF277,"u")=0), "u", "")</f>
        <v/>
      </c>
      <c r="DH277" s="80" t="str">
        <f>IF(AND($F277&lt;&gt;"", $F277&gt;=DH$5-4, $F277&lt;=DH$5, COUNTIF($M277:DG277,"u")=0), "u", "")</f>
        <v/>
      </c>
      <c r="DI277" s="80" t="str">
        <f>IF(AND($F277&lt;&gt;"", $F277&gt;=DI$5-4, $F277&lt;=DI$5, COUNTIF($M277:DH277,"u")=0), "u", "")</f>
        <v/>
      </c>
      <c r="DJ277" s="80" t="str">
        <f>IF(AND($F277&lt;&gt;"", $F277&gt;=DJ$5-4, $F277&lt;=DJ$5, COUNTIF($M277:DI277,"u")=0), "u", "")</f>
        <v/>
      </c>
      <c r="DK277" s="80" t="str">
        <f>IF(AND($F277&lt;&gt;"", $F277&gt;=DK$5-4, $F277&lt;=DK$5, COUNTIF($M277:DJ277,"u")=0), "u", "")</f>
        <v/>
      </c>
      <c r="DL277" s="80" t="str">
        <f>IF(AND($F277&lt;&gt;"", $F277&gt;=DL$5-4, $F277&lt;=DL$5, COUNTIF($M277:DK277,"u")=0), "u", "")</f>
        <v/>
      </c>
    </row>
    <row r="278" spans="1:116" ht="25.05" customHeight="1" x14ac:dyDescent="0.3">
      <c r="A278" s="39"/>
      <c r="B278" s="75">
        <v>273</v>
      </c>
      <c r="C278" s="97"/>
      <c r="D278" s="92"/>
      <c r="E278" s="53"/>
      <c r="F278" s="53"/>
      <c r="G278" s="83" t="str">
        <f t="shared" ref="G278:H305" si="59">IF(E278="","",IF(WEEKDAY($D$3, 2) - WEEKDAY(E278, 2) &lt;= 0, E278 + (WEEKDAY($D$3,2) - WEEKDAY(E278,2)), E278 - (7 - (WEEKDAY($D$3,2) - WEEKDAY(E278,2)))))</f>
        <v/>
      </c>
      <c r="H278" s="83" t="str">
        <f t="shared" si="59"/>
        <v/>
      </c>
      <c r="I278" s="77" t="str">
        <f t="shared" si="57"/>
        <v/>
      </c>
      <c r="J278" s="78"/>
      <c r="K278" s="86"/>
      <c r="L278" s="56"/>
      <c r="M278" s="80" t="str">
        <f t="shared" si="58"/>
        <v/>
      </c>
      <c r="N278" s="80" t="str">
        <f>IF(AND($F278&lt;&gt;"", $F278&gt;=N$5-4, $F278&lt;=N$5, COUNTIF($M278:M278,"u")=0), "u", "")</f>
        <v/>
      </c>
      <c r="O278" s="80" t="str">
        <f>IF(AND($F278&lt;&gt;"", $F278&gt;=O$5-4, $F278&lt;=O$5, COUNTIF($M278:N278,"u")=0), "u", "")</f>
        <v/>
      </c>
      <c r="P278" s="80" t="str">
        <f>IF(AND($F278&lt;&gt;"", $F278&gt;=P$5-4, $F278&lt;=P$5, COUNTIF($M278:O278,"u")=0), "u", "")</f>
        <v/>
      </c>
      <c r="Q278" s="80" t="str">
        <f>IF(AND($F278&lt;&gt;"", $F278&gt;=Q$5-4, $F278&lt;=Q$5, COUNTIF($M278:P278,"u")=0), "u", "")</f>
        <v/>
      </c>
      <c r="R278" s="80" t="str">
        <f>IF(AND($F278&lt;&gt;"", $F278&gt;=R$5-4, $F278&lt;=R$5, COUNTIF($M278:Q278,"u")=0), "u", "")</f>
        <v/>
      </c>
      <c r="S278" s="80" t="str">
        <f>IF(AND($F278&lt;&gt;"", $F278&gt;=S$5-4, $F278&lt;=S$5, COUNTIF($M278:R278,"u")=0), "u", "")</f>
        <v/>
      </c>
      <c r="T278" s="80" t="str">
        <f>IF(AND($F278&lt;&gt;"", $F278&gt;=T$5-4, $F278&lt;=T$5, COUNTIF($M278:S278,"u")=0), "u", "")</f>
        <v/>
      </c>
      <c r="U278" s="80" t="str">
        <f>IF(AND($F278&lt;&gt;"", $F278&gt;=U$5-4, $F278&lt;=U$5, COUNTIF($M278:T278,"u")=0), "u", "")</f>
        <v/>
      </c>
      <c r="V278" s="80" t="str">
        <f>IF(AND($F278&lt;&gt;"", $F278&gt;=V$5-4, $F278&lt;=V$5, COUNTIF($M278:U278,"u")=0), "u", "")</f>
        <v/>
      </c>
      <c r="W278" s="80" t="str">
        <f>IF(AND($F278&lt;&gt;"", $F278&gt;=W$5-4, $F278&lt;=W$5, COUNTIF($M278:V278,"u")=0), "u", "")</f>
        <v/>
      </c>
      <c r="X278" s="80" t="str">
        <f>IF(AND($F278&lt;&gt;"", $F278&gt;=X$5-4, $F278&lt;=X$5, COUNTIF($M278:W278,"u")=0), "u", "")</f>
        <v/>
      </c>
      <c r="Y278" s="80" t="str">
        <f>IF(AND($F278&lt;&gt;"", $F278&gt;=Y$5-4, $F278&lt;=Y$5, COUNTIF($M278:X278,"u")=0), "u", "")</f>
        <v/>
      </c>
      <c r="Z278" s="80" t="str">
        <f>IF(AND($F278&lt;&gt;"", $F278&gt;=Z$5-4, $F278&lt;=Z$5, COUNTIF($M278:Y278,"u")=0), "u", "")</f>
        <v/>
      </c>
      <c r="AA278" s="80" t="str">
        <f>IF(AND($F278&lt;&gt;"", $F278&gt;=AA$5-4, $F278&lt;=AA$5, COUNTIF($M278:Z278,"u")=0), "u", "")</f>
        <v/>
      </c>
      <c r="AB278" s="80" t="str">
        <f>IF(AND($F278&lt;&gt;"", $F278&gt;=AB$5-4, $F278&lt;=AB$5, COUNTIF($M278:AA278,"u")=0), "u", "")</f>
        <v/>
      </c>
      <c r="AC278" s="80" t="str">
        <f>IF(AND($F278&lt;&gt;"", $F278&gt;=AC$5-4, $F278&lt;=AC$5, COUNTIF($M278:AB278,"u")=0), "u", "")</f>
        <v/>
      </c>
      <c r="AD278" s="80" t="str">
        <f>IF(AND($F278&lt;&gt;"", $F278&gt;=AD$5-4, $F278&lt;=AD$5, COUNTIF($M278:AC278,"u")=0), "u", "")</f>
        <v/>
      </c>
      <c r="AE278" s="80" t="str">
        <f>IF(AND($F278&lt;&gt;"", $F278&gt;=AE$5-4, $F278&lt;=AE$5, COUNTIF($M278:AD278,"u")=0), "u", "")</f>
        <v/>
      </c>
      <c r="AF278" s="80" t="str">
        <f>IF(AND($F278&lt;&gt;"", $F278&gt;=AF$5-4, $F278&lt;=AF$5, COUNTIF($M278:AE278,"u")=0), "u", "")</f>
        <v/>
      </c>
      <c r="AG278" s="80" t="str">
        <f>IF(AND($F278&lt;&gt;"", $F278&gt;=AG$5-4, $F278&lt;=AG$5, COUNTIF($M278:AF278,"u")=0), "u", "")</f>
        <v/>
      </c>
      <c r="AH278" s="80" t="str">
        <f>IF(AND($F278&lt;&gt;"", $F278&gt;=AH$5-4, $F278&lt;=AH$5, COUNTIF($M278:AG278,"u")=0), "u", "")</f>
        <v/>
      </c>
      <c r="AI278" s="80" t="str">
        <f>IF(AND($F278&lt;&gt;"", $F278&gt;=AI$5-4, $F278&lt;=AI$5, COUNTIF($M278:AH278,"u")=0), "u", "")</f>
        <v/>
      </c>
      <c r="AJ278" s="80" t="str">
        <f>IF(AND($F278&lt;&gt;"", $F278&gt;=AJ$5-4, $F278&lt;=AJ$5, COUNTIF($M278:AI278,"u")=0), "u", "")</f>
        <v/>
      </c>
      <c r="AK278" s="80" t="str">
        <f>IF(AND($F278&lt;&gt;"", $F278&gt;=AK$5-4, $F278&lt;=AK$5, COUNTIF($M278:AJ278,"u")=0), "u", "")</f>
        <v/>
      </c>
      <c r="AL278" s="80" t="str">
        <f>IF(AND($F278&lt;&gt;"", $F278&gt;=AL$5-4, $F278&lt;=AL$5, COUNTIF($M278:AK278,"u")=0), "u", "")</f>
        <v/>
      </c>
      <c r="AM278" s="80" t="str">
        <f>IF(AND($F278&lt;&gt;"", $F278&gt;=AM$5-4, $F278&lt;=AM$5, COUNTIF($M278:AL278,"u")=0), "u", "")</f>
        <v/>
      </c>
      <c r="AN278" s="80" t="str">
        <f>IF(AND($F278&lt;&gt;"", $F278&gt;=AN$5-4, $F278&lt;=AN$5, COUNTIF($M278:AM278,"u")=0), "u", "")</f>
        <v/>
      </c>
      <c r="AO278" s="80" t="str">
        <f>IF(AND($F278&lt;&gt;"", $F278&gt;=AO$5-4, $F278&lt;=AO$5, COUNTIF($M278:AN278,"u")=0), "u", "")</f>
        <v/>
      </c>
      <c r="AP278" s="80" t="str">
        <f>IF(AND($F278&lt;&gt;"", $F278&gt;=AP$5-4, $F278&lt;=AP$5, COUNTIF($M278:AO278,"u")=0), "u", "")</f>
        <v/>
      </c>
      <c r="AQ278" s="80" t="str">
        <f>IF(AND($F278&lt;&gt;"", $F278&gt;=AQ$5-4, $F278&lt;=AQ$5, COUNTIF($M278:AP278,"u")=0), "u", "")</f>
        <v/>
      </c>
      <c r="AR278" s="80" t="str">
        <f>IF(AND($F278&lt;&gt;"", $F278&gt;=AR$5-4, $F278&lt;=AR$5, COUNTIF($M278:AQ278,"u")=0), "u", "")</f>
        <v/>
      </c>
      <c r="AS278" s="80" t="str">
        <f>IF(AND($F278&lt;&gt;"", $F278&gt;=AS$5-4, $F278&lt;=AS$5, COUNTIF($M278:AR278,"u")=0), "u", "")</f>
        <v/>
      </c>
      <c r="AT278" s="80" t="str">
        <f>IF(AND($F278&lt;&gt;"", $F278&gt;=AT$5-4, $F278&lt;=AT$5, COUNTIF($M278:AS278,"u")=0), "u", "")</f>
        <v/>
      </c>
      <c r="AU278" s="80" t="str">
        <f>IF(AND($F278&lt;&gt;"", $F278&gt;=AU$5-4, $F278&lt;=AU$5, COUNTIF($M278:AT278,"u")=0), "u", "")</f>
        <v/>
      </c>
      <c r="AV278" s="80" t="str">
        <f>IF(AND($F278&lt;&gt;"", $F278&gt;=AV$5-4, $F278&lt;=AV$5, COUNTIF($M278:AU278,"u")=0), "u", "")</f>
        <v/>
      </c>
      <c r="AW278" s="80" t="str">
        <f>IF(AND($F278&lt;&gt;"", $F278&gt;=AW$5-4, $F278&lt;=AW$5, COUNTIF($M278:AV278,"u")=0), "u", "")</f>
        <v/>
      </c>
      <c r="AX278" s="80" t="str">
        <f>IF(AND($F278&lt;&gt;"", $F278&gt;=AX$5-4, $F278&lt;=AX$5, COUNTIF($M278:AW278,"u")=0), "u", "")</f>
        <v/>
      </c>
      <c r="AY278" s="80" t="str">
        <f>IF(AND($F278&lt;&gt;"", $F278&gt;=AY$5-4, $F278&lt;=AY$5, COUNTIF($M278:AX278,"u")=0), "u", "")</f>
        <v/>
      </c>
      <c r="AZ278" s="80" t="str">
        <f>IF(AND($F278&lt;&gt;"", $F278&gt;=AZ$5-4, $F278&lt;=AZ$5, COUNTIF($M278:AY278,"u")=0), "u", "")</f>
        <v/>
      </c>
      <c r="BA278" s="80" t="str">
        <f>IF(AND($F278&lt;&gt;"", $F278&gt;=BA$5-4, $F278&lt;=BA$5, COUNTIF($M278:AZ278,"u")=0), "u", "")</f>
        <v/>
      </c>
      <c r="BB278" s="80" t="str">
        <f>IF(AND($F278&lt;&gt;"", $F278&gt;=BB$5-4, $F278&lt;=BB$5, COUNTIF($M278:BA278,"u")=0), "u", "")</f>
        <v/>
      </c>
      <c r="BC278" s="80" t="str">
        <f>IF(AND($F278&lt;&gt;"", $F278&gt;=BC$5-4, $F278&lt;=BC$5, COUNTIF($M278:BB278,"u")=0), "u", "")</f>
        <v/>
      </c>
      <c r="BD278" s="80" t="str">
        <f>IF(AND($F278&lt;&gt;"", $F278&gt;=BD$5-4, $F278&lt;=BD$5, COUNTIF($M278:BC278,"u")=0), "u", "")</f>
        <v/>
      </c>
      <c r="BE278" s="80" t="str">
        <f>IF(AND($F278&lt;&gt;"", $F278&gt;=BE$5-4, $F278&lt;=BE$5, COUNTIF($M278:BD278,"u")=0), "u", "")</f>
        <v/>
      </c>
      <c r="BF278" s="80" t="str">
        <f>IF(AND($F278&lt;&gt;"", $F278&gt;=BF$5-4, $F278&lt;=BF$5, COUNTIF($M278:BE278,"u")=0), "u", "")</f>
        <v/>
      </c>
      <c r="BG278" s="80" t="str">
        <f>IF(AND($F278&lt;&gt;"", $F278&gt;=BG$5-4, $F278&lt;=BG$5, COUNTIF($M278:BF278,"u")=0), "u", "")</f>
        <v/>
      </c>
      <c r="BH278" s="80" t="str">
        <f>IF(AND($F278&lt;&gt;"", $F278&gt;=BH$5-4, $F278&lt;=BH$5, COUNTIF($M278:BG278,"u")=0), "u", "")</f>
        <v/>
      </c>
      <c r="BI278" s="80" t="str">
        <f>IF(AND($F278&lt;&gt;"", $F278&gt;=BI$5-4, $F278&lt;=BI$5, COUNTIF($M278:BH278,"u")=0), "u", "")</f>
        <v/>
      </c>
      <c r="BJ278" s="80" t="str">
        <f>IF(AND($F278&lt;&gt;"", $F278&gt;=BJ$5-4, $F278&lt;=BJ$5, COUNTIF($M278:BI278,"u")=0), "u", "")</f>
        <v/>
      </c>
      <c r="BK278" s="80" t="str">
        <f>IF(AND($F278&lt;&gt;"", $F278&gt;=BK$5-4, $F278&lt;=BK$5, COUNTIF($M278:BJ278,"u")=0), "u", "")</f>
        <v/>
      </c>
      <c r="BL278" s="80" t="str">
        <f>IF(AND($F278&lt;&gt;"", $F278&gt;=BL$5-4, $F278&lt;=BL$5, COUNTIF($M278:BK278,"u")=0), "u", "")</f>
        <v/>
      </c>
      <c r="BM278" s="80" t="str">
        <f>IF(AND($F278&lt;&gt;"", $F278&gt;=BM$5-4, $F278&lt;=BM$5, COUNTIF($M278:BL278,"u")=0), "u", "")</f>
        <v/>
      </c>
      <c r="BN278" s="80" t="str">
        <f>IF(AND($F278&lt;&gt;"", $F278&gt;=BN$5-4, $F278&lt;=BN$5, COUNTIF($M278:BM278,"u")=0), "u", "")</f>
        <v/>
      </c>
      <c r="BO278" s="80" t="str">
        <f>IF(AND($F278&lt;&gt;"", $F278&gt;=BO$5-4, $F278&lt;=BO$5, COUNTIF($M278:BN278,"u")=0), "u", "")</f>
        <v/>
      </c>
      <c r="BP278" s="80" t="str">
        <f>IF(AND($F278&lt;&gt;"", $F278&gt;=BP$5-4, $F278&lt;=BP$5, COUNTIF($M278:BO278,"u")=0), "u", "")</f>
        <v/>
      </c>
      <c r="BQ278" s="80" t="str">
        <f>IF(AND($F278&lt;&gt;"", $F278&gt;=BQ$5-4, $F278&lt;=BQ$5, COUNTIF($M278:BP278,"u")=0), "u", "")</f>
        <v/>
      </c>
      <c r="BR278" s="80" t="str">
        <f>IF(AND($F278&lt;&gt;"", $F278&gt;=BR$5-4, $F278&lt;=BR$5, COUNTIF($M278:BQ278,"u")=0), "u", "")</f>
        <v/>
      </c>
      <c r="BS278" s="80" t="str">
        <f>IF(AND($F278&lt;&gt;"", $F278&gt;=BS$5-4, $F278&lt;=BS$5, COUNTIF($M278:BR278,"u")=0), "u", "")</f>
        <v/>
      </c>
      <c r="BT278" s="80" t="str">
        <f>IF(AND($F278&lt;&gt;"", $F278&gt;=BT$5-4, $F278&lt;=BT$5, COUNTIF($M278:BS278,"u")=0), "u", "")</f>
        <v/>
      </c>
      <c r="BU278" s="80" t="str">
        <f>IF(AND($F278&lt;&gt;"", $F278&gt;=BU$5-4, $F278&lt;=BU$5, COUNTIF($M278:BT278,"u")=0), "u", "")</f>
        <v/>
      </c>
      <c r="BV278" s="80" t="str">
        <f>IF(AND($F278&lt;&gt;"", $F278&gt;=BV$5-4, $F278&lt;=BV$5, COUNTIF($M278:BU278,"u")=0), "u", "")</f>
        <v/>
      </c>
      <c r="BW278" s="80" t="str">
        <f>IF(AND($F278&lt;&gt;"", $F278&gt;=BW$5-4, $F278&lt;=BW$5, COUNTIF($M278:BV278,"u")=0), "u", "")</f>
        <v/>
      </c>
      <c r="BX278" s="80" t="str">
        <f>IF(AND($F278&lt;&gt;"", $F278&gt;=BX$5-4, $F278&lt;=BX$5, COUNTIF($M278:BW278,"u")=0), "u", "")</f>
        <v/>
      </c>
      <c r="BY278" s="80" t="str">
        <f>IF(AND($F278&lt;&gt;"", $F278&gt;=BY$5-4, $F278&lt;=BY$5, COUNTIF($M278:BX278,"u")=0), "u", "")</f>
        <v/>
      </c>
      <c r="BZ278" s="80" t="str">
        <f>IF(AND($F278&lt;&gt;"", $F278&gt;=BZ$5-4, $F278&lt;=BZ$5, COUNTIF($M278:BY278,"u")=0), "u", "")</f>
        <v/>
      </c>
      <c r="CA278" s="80" t="str">
        <f>IF(AND($F278&lt;&gt;"", $F278&gt;=CA$5-4, $F278&lt;=CA$5, COUNTIF($M278:BZ278,"u")=0), "u", "")</f>
        <v/>
      </c>
      <c r="CB278" s="80" t="str">
        <f>IF(AND($F278&lt;&gt;"", $F278&gt;=CB$5-4, $F278&lt;=CB$5, COUNTIF($M278:CA278,"u")=0), "u", "")</f>
        <v/>
      </c>
      <c r="CC278" s="80" t="str">
        <f>IF(AND($F278&lt;&gt;"", $F278&gt;=CC$5-4, $F278&lt;=CC$5, COUNTIF($M278:CB278,"u")=0), "u", "")</f>
        <v/>
      </c>
      <c r="CD278" s="80" t="str">
        <f>IF(AND($F278&lt;&gt;"", $F278&gt;=CD$5-4, $F278&lt;=CD$5, COUNTIF($M278:CC278,"u")=0), "u", "")</f>
        <v/>
      </c>
      <c r="CE278" s="80" t="str">
        <f>IF(AND($F278&lt;&gt;"", $F278&gt;=CE$5-4, $F278&lt;=CE$5, COUNTIF($M278:CD278,"u")=0), "u", "")</f>
        <v/>
      </c>
      <c r="CF278" s="80" t="str">
        <f>IF(AND($F278&lt;&gt;"", $F278&gt;=CF$5-4, $F278&lt;=CF$5, COUNTIF($M278:CE278,"u")=0), "u", "")</f>
        <v/>
      </c>
      <c r="CG278" s="80" t="str">
        <f>IF(AND($F278&lt;&gt;"", $F278&gt;=CG$5-4, $F278&lt;=CG$5, COUNTIF($M278:CF278,"u")=0), "u", "")</f>
        <v/>
      </c>
      <c r="CH278" s="80" t="str">
        <f>IF(AND($F278&lt;&gt;"", $F278&gt;=CH$5-4, $F278&lt;=CH$5, COUNTIF($M278:CG278,"u")=0), "u", "")</f>
        <v/>
      </c>
      <c r="CI278" s="80" t="str">
        <f>IF(AND($F278&lt;&gt;"", $F278&gt;=CI$5-4, $F278&lt;=CI$5, COUNTIF($M278:CH278,"u")=0), "u", "")</f>
        <v/>
      </c>
      <c r="CJ278" s="80" t="str">
        <f>IF(AND($F278&lt;&gt;"", $F278&gt;=CJ$5-4, $F278&lt;=CJ$5, COUNTIF($M278:CI278,"u")=0), "u", "")</f>
        <v/>
      </c>
      <c r="CK278" s="80" t="str">
        <f>IF(AND($F278&lt;&gt;"", $F278&gt;=CK$5-4, $F278&lt;=CK$5, COUNTIF($M278:CJ278,"u")=0), "u", "")</f>
        <v/>
      </c>
      <c r="CL278" s="80" t="str">
        <f>IF(AND($F278&lt;&gt;"", $F278&gt;=CL$5-4, $F278&lt;=CL$5, COUNTIF($M278:CK278,"u")=0), "u", "")</f>
        <v/>
      </c>
      <c r="CM278" s="80" t="str">
        <f>IF(AND($F278&lt;&gt;"", $F278&gt;=CM$5-4, $F278&lt;=CM$5, COUNTIF($M278:CL278,"u")=0), "u", "")</f>
        <v/>
      </c>
      <c r="CN278" s="80" t="str">
        <f>IF(AND($F278&lt;&gt;"", $F278&gt;=CN$5-4, $F278&lt;=CN$5, COUNTIF($M278:CM278,"u")=0), "u", "")</f>
        <v/>
      </c>
      <c r="CO278" s="80" t="str">
        <f>IF(AND($F278&lt;&gt;"", $F278&gt;=CO$5-4, $F278&lt;=CO$5, COUNTIF($M278:CN278,"u")=0), "u", "")</f>
        <v/>
      </c>
      <c r="CP278" s="80" t="str">
        <f>IF(AND($F278&lt;&gt;"", $F278&gt;=CP$5-4, $F278&lt;=CP$5, COUNTIF($M278:CO278,"u")=0), "u", "")</f>
        <v/>
      </c>
      <c r="CQ278" s="80" t="str">
        <f>IF(AND($F278&lt;&gt;"", $F278&gt;=CQ$5-4, $F278&lt;=CQ$5, COUNTIF($M278:CP278,"u")=0), "u", "")</f>
        <v/>
      </c>
      <c r="CR278" s="80" t="str">
        <f>IF(AND($F278&lt;&gt;"", $F278&gt;=CR$5-4, $F278&lt;=CR$5, COUNTIF($M278:CQ278,"u")=0), "u", "")</f>
        <v/>
      </c>
      <c r="CS278" s="80" t="str">
        <f>IF(AND($F278&lt;&gt;"", $F278&gt;=CS$5-4, $F278&lt;=CS$5, COUNTIF($M278:CR278,"u")=0), "u", "")</f>
        <v/>
      </c>
      <c r="CT278" s="80" t="str">
        <f>IF(AND($F278&lt;&gt;"", $F278&gt;=CT$5-4, $F278&lt;=CT$5, COUNTIF($M278:CS278,"u")=0), "u", "")</f>
        <v/>
      </c>
      <c r="CU278" s="80" t="str">
        <f>IF(AND($F278&lt;&gt;"", $F278&gt;=CU$5-4, $F278&lt;=CU$5, COUNTIF($M278:CT278,"u")=0), "u", "")</f>
        <v/>
      </c>
      <c r="CV278" s="80" t="str">
        <f>IF(AND($F278&lt;&gt;"", $F278&gt;=CV$5-4, $F278&lt;=CV$5, COUNTIF($M278:CU278,"u")=0), "u", "")</f>
        <v/>
      </c>
      <c r="CW278" s="80" t="str">
        <f>IF(AND($F278&lt;&gt;"", $F278&gt;=CW$5-4, $F278&lt;=CW$5, COUNTIF($M278:CV278,"u")=0), "u", "")</f>
        <v/>
      </c>
      <c r="CX278" s="80" t="str">
        <f>IF(AND($F278&lt;&gt;"", $F278&gt;=CX$5-4, $F278&lt;=CX$5, COUNTIF($M278:CW278,"u")=0), "u", "")</f>
        <v/>
      </c>
      <c r="CY278" s="80" t="str">
        <f>IF(AND($F278&lt;&gt;"", $F278&gt;=CY$5-4, $F278&lt;=CY$5, COUNTIF($M278:CX278,"u")=0), "u", "")</f>
        <v/>
      </c>
      <c r="CZ278" s="80" t="str">
        <f>IF(AND($F278&lt;&gt;"", $F278&gt;=CZ$5-4, $F278&lt;=CZ$5, COUNTIF($M278:CY278,"u")=0), "u", "")</f>
        <v/>
      </c>
      <c r="DA278" s="80" t="str">
        <f>IF(AND($F278&lt;&gt;"", $F278&gt;=DA$5-4, $F278&lt;=DA$5, COUNTIF($M278:CZ278,"u")=0), "u", "")</f>
        <v/>
      </c>
      <c r="DB278" s="80" t="str">
        <f>IF(AND($F278&lt;&gt;"", $F278&gt;=DB$5-4, $F278&lt;=DB$5, COUNTIF($M278:DA278,"u")=0), "u", "")</f>
        <v/>
      </c>
      <c r="DC278" s="80" t="str">
        <f>IF(AND($F278&lt;&gt;"", $F278&gt;=DC$5-4, $F278&lt;=DC$5, COUNTIF($M278:DB278,"u")=0), "u", "")</f>
        <v/>
      </c>
      <c r="DD278" s="80" t="str">
        <f>IF(AND($F278&lt;&gt;"", $F278&gt;=DD$5-4, $F278&lt;=DD$5, COUNTIF($M278:DC278,"u")=0), "u", "")</f>
        <v/>
      </c>
      <c r="DE278" s="80" t="str">
        <f>IF(AND($F278&lt;&gt;"", $F278&gt;=DE$5-4, $F278&lt;=DE$5, COUNTIF($M278:DD278,"u")=0), "u", "")</f>
        <v/>
      </c>
      <c r="DF278" s="80" t="str">
        <f>IF(AND($F278&lt;&gt;"", $F278&gt;=DF$5-4, $F278&lt;=DF$5, COUNTIF($M278:DE278,"u")=0), "u", "")</f>
        <v/>
      </c>
      <c r="DG278" s="80" t="str">
        <f>IF(AND($F278&lt;&gt;"", $F278&gt;=DG$5-4, $F278&lt;=DG$5, COUNTIF($M278:DF278,"u")=0), "u", "")</f>
        <v/>
      </c>
      <c r="DH278" s="80" t="str">
        <f>IF(AND($F278&lt;&gt;"", $F278&gt;=DH$5-4, $F278&lt;=DH$5, COUNTIF($M278:DG278,"u")=0), "u", "")</f>
        <v/>
      </c>
      <c r="DI278" s="80" t="str">
        <f>IF(AND($F278&lt;&gt;"", $F278&gt;=DI$5-4, $F278&lt;=DI$5, COUNTIF($M278:DH278,"u")=0), "u", "")</f>
        <v/>
      </c>
      <c r="DJ278" s="80" t="str">
        <f>IF(AND($F278&lt;&gt;"", $F278&gt;=DJ$5-4, $F278&lt;=DJ$5, COUNTIF($M278:DI278,"u")=0), "u", "")</f>
        <v/>
      </c>
      <c r="DK278" s="80" t="str">
        <f>IF(AND($F278&lt;&gt;"", $F278&gt;=DK$5-4, $F278&lt;=DK$5, COUNTIF($M278:DJ278,"u")=0), "u", "")</f>
        <v/>
      </c>
      <c r="DL278" s="80" t="str">
        <f>IF(AND($F278&lt;&gt;"", $F278&gt;=DL$5-4, $F278&lt;=DL$5, COUNTIF($M278:DK278,"u")=0), "u", "")</f>
        <v/>
      </c>
    </row>
    <row r="279" spans="1:116" ht="25.05" customHeight="1" x14ac:dyDescent="0.3">
      <c r="A279" s="39"/>
      <c r="B279" s="75">
        <v>274</v>
      </c>
      <c r="C279" s="97"/>
      <c r="D279" s="92"/>
      <c r="E279" s="53"/>
      <c r="F279" s="53"/>
      <c r="G279" s="83" t="str">
        <f t="shared" si="59"/>
        <v/>
      </c>
      <c r="H279" s="83" t="str">
        <f t="shared" si="59"/>
        <v/>
      </c>
      <c r="I279" s="77" t="str">
        <f t="shared" si="57"/>
        <v/>
      </c>
      <c r="J279" s="78"/>
      <c r="K279" s="86"/>
      <c r="L279" s="56"/>
      <c r="M279" s="80" t="str">
        <f t="shared" si="58"/>
        <v/>
      </c>
      <c r="N279" s="80" t="str">
        <f>IF(AND($F279&lt;&gt;"", $F279&gt;=N$5-4, $F279&lt;=N$5, COUNTIF($M279:M279,"u")=0), "u", "")</f>
        <v/>
      </c>
      <c r="O279" s="80" t="str">
        <f>IF(AND($F279&lt;&gt;"", $F279&gt;=O$5-4, $F279&lt;=O$5, COUNTIF($M279:N279,"u")=0), "u", "")</f>
        <v/>
      </c>
      <c r="P279" s="80" t="str">
        <f>IF(AND($F279&lt;&gt;"", $F279&gt;=P$5-4, $F279&lt;=P$5, COUNTIF($M279:O279,"u")=0), "u", "")</f>
        <v/>
      </c>
      <c r="Q279" s="80" t="str">
        <f>IF(AND($F279&lt;&gt;"", $F279&gt;=Q$5-4, $F279&lt;=Q$5, COUNTIF($M279:P279,"u")=0), "u", "")</f>
        <v/>
      </c>
      <c r="R279" s="80" t="str">
        <f>IF(AND($F279&lt;&gt;"", $F279&gt;=R$5-4, $F279&lt;=R$5, COUNTIF($M279:Q279,"u")=0), "u", "")</f>
        <v/>
      </c>
      <c r="S279" s="80" t="str">
        <f>IF(AND($F279&lt;&gt;"", $F279&gt;=S$5-4, $F279&lt;=S$5, COUNTIF($M279:R279,"u")=0), "u", "")</f>
        <v/>
      </c>
      <c r="T279" s="80" t="str">
        <f>IF(AND($F279&lt;&gt;"", $F279&gt;=T$5-4, $F279&lt;=T$5, COUNTIF($M279:S279,"u")=0), "u", "")</f>
        <v/>
      </c>
      <c r="U279" s="80" t="str">
        <f>IF(AND($F279&lt;&gt;"", $F279&gt;=U$5-4, $F279&lt;=U$5, COUNTIF($M279:T279,"u")=0), "u", "")</f>
        <v/>
      </c>
      <c r="V279" s="80" t="str">
        <f>IF(AND($F279&lt;&gt;"", $F279&gt;=V$5-4, $F279&lt;=V$5, COUNTIF($M279:U279,"u")=0), "u", "")</f>
        <v/>
      </c>
      <c r="W279" s="80" t="str">
        <f>IF(AND($F279&lt;&gt;"", $F279&gt;=W$5-4, $F279&lt;=W$5, COUNTIF($M279:V279,"u")=0), "u", "")</f>
        <v/>
      </c>
      <c r="X279" s="80" t="str">
        <f>IF(AND($F279&lt;&gt;"", $F279&gt;=X$5-4, $F279&lt;=X$5, COUNTIF($M279:W279,"u")=0), "u", "")</f>
        <v/>
      </c>
      <c r="Y279" s="80" t="str">
        <f>IF(AND($F279&lt;&gt;"", $F279&gt;=Y$5-4, $F279&lt;=Y$5, COUNTIF($M279:X279,"u")=0), "u", "")</f>
        <v/>
      </c>
      <c r="Z279" s="80" t="str">
        <f>IF(AND($F279&lt;&gt;"", $F279&gt;=Z$5-4, $F279&lt;=Z$5, COUNTIF($M279:Y279,"u")=0), "u", "")</f>
        <v/>
      </c>
      <c r="AA279" s="80" t="str">
        <f>IF(AND($F279&lt;&gt;"", $F279&gt;=AA$5-4, $F279&lt;=AA$5, COUNTIF($M279:Z279,"u")=0), "u", "")</f>
        <v/>
      </c>
      <c r="AB279" s="80" t="str">
        <f>IF(AND($F279&lt;&gt;"", $F279&gt;=AB$5-4, $F279&lt;=AB$5, COUNTIF($M279:AA279,"u")=0), "u", "")</f>
        <v/>
      </c>
      <c r="AC279" s="80" t="str">
        <f>IF(AND($F279&lt;&gt;"", $F279&gt;=AC$5-4, $F279&lt;=AC$5, COUNTIF($M279:AB279,"u")=0), "u", "")</f>
        <v/>
      </c>
      <c r="AD279" s="80" t="str">
        <f>IF(AND($F279&lt;&gt;"", $F279&gt;=AD$5-4, $F279&lt;=AD$5, COUNTIF($M279:AC279,"u")=0), "u", "")</f>
        <v/>
      </c>
      <c r="AE279" s="80" t="str">
        <f>IF(AND($F279&lt;&gt;"", $F279&gt;=AE$5-4, $F279&lt;=AE$5, COUNTIF($M279:AD279,"u")=0), "u", "")</f>
        <v/>
      </c>
      <c r="AF279" s="80" t="str">
        <f>IF(AND($F279&lt;&gt;"", $F279&gt;=AF$5-4, $F279&lt;=AF$5, COUNTIF($M279:AE279,"u")=0), "u", "")</f>
        <v/>
      </c>
      <c r="AG279" s="80" t="str">
        <f>IF(AND($F279&lt;&gt;"", $F279&gt;=AG$5-4, $F279&lt;=AG$5, COUNTIF($M279:AF279,"u")=0), "u", "")</f>
        <v/>
      </c>
      <c r="AH279" s="80" t="str">
        <f>IF(AND($F279&lt;&gt;"", $F279&gt;=AH$5-4, $F279&lt;=AH$5, COUNTIF($M279:AG279,"u")=0), "u", "")</f>
        <v/>
      </c>
      <c r="AI279" s="80" t="str">
        <f>IF(AND($F279&lt;&gt;"", $F279&gt;=AI$5-4, $F279&lt;=AI$5, COUNTIF($M279:AH279,"u")=0), "u", "")</f>
        <v/>
      </c>
      <c r="AJ279" s="80" t="str">
        <f>IF(AND($F279&lt;&gt;"", $F279&gt;=AJ$5-4, $F279&lt;=AJ$5, COUNTIF($M279:AI279,"u")=0), "u", "")</f>
        <v/>
      </c>
      <c r="AK279" s="80" t="str">
        <f>IF(AND($F279&lt;&gt;"", $F279&gt;=AK$5-4, $F279&lt;=AK$5, COUNTIF($M279:AJ279,"u")=0), "u", "")</f>
        <v/>
      </c>
      <c r="AL279" s="80" t="str">
        <f>IF(AND($F279&lt;&gt;"", $F279&gt;=AL$5-4, $F279&lt;=AL$5, COUNTIF($M279:AK279,"u")=0), "u", "")</f>
        <v/>
      </c>
      <c r="AM279" s="80" t="str">
        <f>IF(AND($F279&lt;&gt;"", $F279&gt;=AM$5-4, $F279&lt;=AM$5, COUNTIF($M279:AL279,"u")=0), "u", "")</f>
        <v/>
      </c>
      <c r="AN279" s="80" t="str">
        <f>IF(AND($F279&lt;&gt;"", $F279&gt;=AN$5-4, $F279&lt;=AN$5, COUNTIF($M279:AM279,"u")=0), "u", "")</f>
        <v/>
      </c>
      <c r="AO279" s="80" t="str">
        <f>IF(AND($F279&lt;&gt;"", $F279&gt;=AO$5-4, $F279&lt;=AO$5, COUNTIF($M279:AN279,"u")=0), "u", "")</f>
        <v/>
      </c>
      <c r="AP279" s="80" t="str">
        <f>IF(AND($F279&lt;&gt;"", $F279&gt;=AP$5-4, $F279&lt;=AP$5, COUNTIF($M279:AO279,"u")=0), "u", "")</f>
        <v/>
      </c>
      <c r="AQ279" s="80" t="str">
        <f>IF(AND($F279&lt;&gt;"", $F279&gt;=AQ$5-4, $F279&lt;=AQ$5, COUNTIF($M279:AP279,"u")=0), "u", "")</f>
        <v/>
      </c>
      <c r="AR279" s="80" t="str">
        <f>IF(AND($F279&lt;&gt;"", $F279&gt;=AR$5-4, $F279&lt;=AR$5, COUNTIF($M279:AQ279,"u")=0), "u", "")</f>
        <v/>
      </c>
      <c r="AS279" s="80" t="str">
        <f>IF(AND($F279&lt;&gt;"", $F279&gt;=AS$5-4, $F279&lt;=AS$5, COUNTIF($M279:AR279,"u")=0), "u", "")</f>
        <v/>
      </c>
      <c r="AT279" s="80" t="str">
        <f>IF(AND($F279&lt;&gt;"", $F279&gt;=AT$5-4, $F279&lt;=AT$5, COUNTIF($M279:AS279,"u")=0), "u", "")</f>
        <v/>
      </c>
      <c r="AU279" s="80" t="str">
        <f>IF(AND($F279&lt;&gt;"", $F279&gt;=AU$5-4, $F279&lt;=AU$5, COUNTIF($M279:AT279,"u")=0), "u", "")</f>
        <v/>
      </c>
      <c r="AV279" s="80" t="str">
        <f>IF(AND($F279&lt;&gt;"", $F279&gt;=AV$5-4, $F279&lt;=AV$5, COUNTIF($M279:AU279,"u")=0), "u", "")</f>
        <v/>
      </c>
      <c r="AW279" s="80" t="str">
        <f>IF(AND($F279&lt;&gt;"", $F279&gt;=AW$5-4, $F279&lt;=AW$5, COUNTIF($M279:AV279,"u")=0), "u", "")</f>
        <v/>
      </c>
      <c r="AX279" s="80" t="str">
        <f>IF(AND($F279&lt;&gt;"", $F279&gt;=AX$5-4, $F279&lt;=AX$5, COUNTIF($M279:AW279,"u")=0), "u", "")</f>
        <v/>
      </c>
      <c r="AY279" s="80" t="str">
        <f>IF(AND($F279&lt;&gt;"", $F279&gt;=AY$5-4, $F279&lt;=AY$5, COUNTIF($M279:AX279,"u")=0), "u", "")</f>
        <v/>
      </c>
      <c r="AZ279" s="80" t="str">
        <f>IF(AND($F279&lt;&gt;"", $F279&gt;=AZ$5-4, $F279&lt;=AZ$5, COUNTIF($M279:AY279,"u")=0), "u", "")</f>
        <v/>
      </c>
      <c r="BA279" s="80" t="str">
        <f>IF(AND($F279&lt;&gt;"", $F279&gt;=BA$5-4, $F279&lt;=BA$5, COUNTIF($M279:AZ279,"u")=0), "u", "")</f>
        <v/>
      </c>
      <c r="BB279" s="80" t="str">
        <f>IF(AND($F279&lt;&gt;"", $F279&gt;=BB$5-4, $F279&lt;=BB$5, COUNTIF($M279:BA279,"u")=0), "u", "")</f>
        <v/>
      </c>
      <c r="BC279" s="80" t="str">
        <f>IF(AND($F279&lt;&gt;"", $F279&gt;=BC$5-4, $F279&lt;=BC$5, COUNTIF($M279:BB279,"u")=0), "u", "")</f>
        <v/>
      </c>
      <c r="BD279" s="80" t="str">
        <f>IF(AND($F279&lt;&gt;"", $F279&gt;=BD$5-4, $F279&lt;=BD$5, COUNTIF($M279:BC279,"u")=0), "u", "")</f>
        <v/>
      </c>
      <c r="BE279" s="80" t="str">
        <f>IF(AND($F279&lt;&gt;"", $F279&gt;=BE$5-4, $F279&lt;=BE$5, COUNTIF($M279:BD279,"u")=0), "u", "")</f>
        <v/>
      </c>
      <c r="BF279" s="80" t="str">
        <f>IF(AND($F279&lt;&gt;"", $F279&gt;=BF$5-4, $F279&lt;=BF$5, COUNTIF($M279:BE279,"u")=0), "u", "")</f>
        <v/>
      </c>
      <c r="BG279" s="80" t="str">
        <f>IF(AND($F279&lt;&gt;"", $F279&gt;=BG$5-4, $F279&lt;=BG$5, COUNTIF($M279:BF279,"u")=0), "u", "")</f>
        <v/>
      </c>
      <c r="BH279" s="80" t="str">
        <f>IF(AND($F279&lt;&gt;"", $F279&gt;=BH$5-4, $F279&lt;=BH$5, COUNTIF($M279:BG279,"u")=0), "u", "")</f>
        <v/>
      </c>
      <c r="BI279" s="80" t="str">
        <f>IF(AND($F279&lt;&gt;"", $F279&gt;=BI$5-4, $F279&lt;=BI$5, COUNTIF($M279:BH279,"u")=0), "u", "")</f>
        <v/>
      </c>
      <c r="BJ279" s="80" t="str">
        <f>IF(AND($F279&lt;&gt;"", $F279&gt;=BJ$5-4, $F279&lt;=BJ$5, COUNTIF($M279:BI279,"u")=0), "u", "")</f>
        <v/>
      </c>
      <c r="BK279" s="80" t="str">
        <f>IF(AND($F279&lt;&gt;"", $F279&gt;=BK$5-4, $F279&lt;=BK$5, COUNTIF($M279:BJ279,"u")=0), "u", "")</f>
        <v/>
      </c>
      <c r="BL279" s="80" t="str">
        <f>IF(AND($F279&lt;&gt;"", $F279&gt;=BL$5-4, $F279&lt;=BL$5, COUNTIF($M279:BK279,"u")=0), "u", "")</f>
        <v/>
      </c>
      <c r="BM279" s="80" t="str">
        <f>IF(AND($F279&lt;&gt;"", $F279&gt;=BM$5-4, $F279&lt;=BM$5, COUNTIF($M279:BL279,"u")=0), "u", "")</f>
        <v/>
      </c>
      <c r="BN279" s="80" t="str">
        <f>IF(AND($F279&lt;&gt;"", $F279&gt;=BN$5-4, $F279&lt;=BN$5, COUNTIF($M279:BM279,"u")=0), "u", "")</f>
        <v/>
      </c>
      <c r="BO279" s="80" t="str">
        <f>IF(AND($F279&lt;&gt;"", $F279&gt;=BO$5-4, $F279&lt;=BO$5, COUNTIF($M279:BN279,"u")=0), "u", "")</f>
        <v/>
      </c>
      <c r="BP279" s="80" t="str">
        <f>IF(AND($F279&lt;&gt;"", $F279&gt;=BP$5-4, $F279&lt;=BP$5, COUNTIF($M279:BO279,"u")=0), "u", "")</f>
        <v/>
      </c>
      <c r="BQ279" s="80" t="str">
        <f>IF(AND($F279&lt;&gt;"", $F279&gt;=BQ$5-4, $F279&lt;=BQ$5, COUNTIF($M279:BP279,"u")=0), "u", "")</f>
        <v/>
      </c>
      <c r="BR279" s="80" t="str">
        <f>IF(AND($F279&lt;&gt;"", $F279&gt;=BR$5-4, $F279&lt;=BR$5, COUNTIF($M279:BQ279,"u")=0), "u", "")</f>
        <v/>
      </c>
      <c r="BS279" s="80" t="str">
        <f>IF(AND($F279&lt;&gt;"", $F279&gt;=BS$5-4, $F279&lt;=BS$5, COUNTIF($M279:BR279,"u")=0), "u", "")</f>
        <v/>
      </c>
      <c r="BT279" s="80" t="str">
        <f>IF(AND($F279&lt;&gt;"", $F279&gt;=BT$5-4, $F279&lt;=BT$5, COUNTIF($M279:BS279,"u")=0), "u", "")</f>
        <v/>
      </c>
      <c r="BU279" s="80" t="str">
        <f>IF(AND($F279&lt;&gt;"", $F279&gt;=BU$5-4, $F279&lt;=BU$5, COUNTIF($M279:BT279,"u")=0), "u", "")</f>
        <v/>
      </c>
      <c r="BV279" s="80" t="str">
        <f>IF(AND($F279&lt;&gt;"", $F279&gt;=BV$5-4, $F279&lt;=BV$5, COUNTIF($M279:BU279,"u")=0), "u", "")</f>
        <v/>
      </c>
      <c r="BW279" s="80" t="str">
        <f>IF(AND($F279&lt;&gt;"", $F279&gt;=BW$5-4, $F279&lt;=BW$5, COUNTIF($M279:BV279,"u")=0), "u", "")</f>
        <v/>
      </c>
      <c r="BX279" s="80" t="str">
        <f>IF(AND($F279&lt;&gt;"", $F279&gt;=BX$5-4, $F279&lt;=BX$5, COUNTIF($M279:BW279,"u")=0), "u", "")</f>
        <v/>
      </c>
      <c r="BY279" s="80" t="str">
        <f>IF(AND($F279&lt;&gt;"", $F279&gt;=BY$5-4, $F279&lt;=BY$5, COUNTIF($M279:BX279,"u")=0), "u", "")</f>
        <v/>
      </c>
      <c r="BZ279" s="80" t="str">
        <f>IF(AND($F279&lt;&gt;"", $F279&gt;=BZ$5-4, $F279&lt;=BZ$5, COUNTIF($M279:BY279,"u")=0), "u", "")</f>
        <v/>
      </c>
      <c r="CA279" s="80" t="str">
        <f>IF(AND($F279&lt;&gt;"", $F279&gt;=CA$5-4, $F279&lt;=CA$5, COUNTIF($M279:BZ279,"u")=0), "u", "")</f>
        <v/>
      </c>
      <c r="CB279" s="80" t="str">
        <f>IF(AND($F279&lt;&gt;"", $F279&gt;=CB$5-4, $F279&lt;=CB$5, COUNTIF($M279:CA279,"u")=0), "u", "")</f>
        <v/>
      </c>
      <c r="CC279" s="80" t="str">
        <f>IF(AND($F279&lt;&gt;"", $F279&gt;=CC$5-4, $F279&lt;=CC$5, COUNTIF($M279:CB279,"u")=0), "u", "")</f>
        <v/>
      </c>
      <c r="CD279" s="80" t="str">
        <f>IF(AND($F279&lt;&gt;"", $F279&gt;=CD$5-4, $F279&lt;=CD$5, COUNTIF($M279:CC279,"u")=0), "u", "")</f>
        <v/>
      </c>
      <c r="CE279" s="80" t="str">
        <f>IF(AND($F279&lt;&gt;"", $F279&gt;=CE$5-4, $F279&lt;=CE$5, COUNTIF($M279:CD279,"u")=0), "u", "")</f>
        <v/>
      </c>
      <c r="CF279" s="80" t="str">
        <f>IF(AND($F279&lt;&gt;"", $F279&gt;=CF$5-4, $F279&lt;=CF$5, COUNTIF($M279:CE279,"u")=0), "u", "")</f>
        <v/>
      </c>
      <c r="CG279" s="80" t="str">
        <f>IF(AND($F279&lt;&gt;"", $F279&gt;=CG$5-4, $F279&lt;=CG$5, COUNTIF($M279:CF279,"u")=0), "u", "")</f>
        <v/>
      </c>
      <c r="CH279" s="80" t="str">
        <f>IF(AND($F279&lt;&gt;"", $F279&gt;=CH$5-4, $F279&lt;=CH$5, COUNTIF($M279:CG279,"u")=0), "u", "")</f>
        <v/>
      </c>
      <c r="CI279" s="80" t="str">
        <f>IF(AND($F279&lt;&gt;"", $F279&gt;=CI$5-4, $F279&lt;=CI$5, COUNTIF($M279:CH279,"u")=0), "u", "")</f>
        <v/>
      </c>
      <c r="CJ279" s="80" t="str">
        <f>IF(AND($F279&lt;&gt;"", $F279&gt;=CJ$5-4, $F279&lt;=CJ$5, COUNTIF($M279:CI279,"u")=0), "u", "")</f>
        <v/>
      </c>
      <c r="CK279" s="80" t="str">
        <f>IF(AND($F279&lt;&gt;"", $F279&gt;=CK$5-4, $F279&lt;=CK$5, COUNTIF($M279:CJ279,"u")=0), "u", "")</f>
        <v/>
      </c>
      <c r="CL279" s="80" t="str">
        <f>IF(AND($F279&lt;&gt;"", $F279&gt;=CL$5-4, $F279&lt;=CL$5, COUNTIF($M279:CK279,"u")=0), "u", "")</f>
        <v/>
      </c>
      <c r="CM279" s="80" t="str">
        <f>IF(AND($F279&lt;&gt;"", $F279&gt;=CM$5-4, $F279&lt;=CM$5, COUNTIF($M279:CL279,"u")=0), "u", "")</f>
        <v/>
      </c>
      <c r="CN279" s="80" t="str">
        <f>IF(AND($F279&lt;&gt;"", $F279&gt;=CN$5-4, $F279&lt;=CN$5, COUNTIF($M279:CM279,"u")=0), "u", "")</f>
        <v/>
      </c>
      <c r="CO279" s="80" t="str">
        <f>IF(AND($F279&lt;&gt;"", $F279&gt;=CO$5-4, $F279&lt;=CO$5, COUNTIF($M279:CN279,"u")=0), "u", "")</f>
        <v/>
      </c>
      <c r="CP279" s="80" t="str">
        <f>IF(AND($F279&lt;&gt;"", $F279&gt;=CP$5-4, $F279&lt;=CP$5, COUNTIF($M279:CO279,"u")=0), "u", "")</f>
        <v/>
      </c>
      <c r="CQ279" s="80" t="str">
        <f>IF(AND($F279&lt;&gt;"", $F279&gt;=CQ$5-4, $F279&lt;=CQ$5, COUNTIF($M279:CP279,"u")=0), "u", "")</f>
        <v/>
      </c>
      <c r="CR279" s="80" t="str">
        <f>IF(AND($F279&lt;&gt;"", $F279&gt;=CR$5-4, $F279&lt;=CR$5, COUNTIF($M279:CQ279,"u")=0), "u", "")</f>
        <v/>
      </c>
      <c r="CS279" s="80" t="str">
        <f>IF(AND($F279&lt;&gt;"", $F279&gt;=CS$5-4, $F279&lt;=CS$5, COUNTIF($M279:CR279,"u")=0), "u", "")</f>
        <v/>
      </c>
      <c r="CT279" s="80" t="str">
        <f>IF(AND($F279&lt;&gt;"", $F279&gt;=CT$5-4, $F279&lt;=CT$5, COUNTIF($M279:CS279,"u")=0), "u", "")</f>
        <v/>
      </c>
      <c r="CU279" s="80" t="str">
        <f>IF(AND($F279&lt;&gt;"", $F279&gt;=CU$5-4, $F279&lt;=CU$5, COUNTIF($M279:CT279,"u")=0), "u", "")</f>
        <v/>
      </c>
      <c r="CV279" s="80" t="str">
        <f>IF(AND($F279&lt;&gt;"", $F279&gt;=CV$5-4, $F279&lt;=CV$5, COUNTIF($M279:CU279,"u")=0), "u", "")</f>
        <v/>
      </c>
      <c r="CW279" s="80" t="str">
        <f>IF(AND($F279&lt;&gt;"", $F279&gt;=CW$5-4, $F279&lt;=CW$5, COUNTIF($M279:CV279,"u")=0), "u", "")</f>
        <v/>
      </c>
      <c r="CX279" s="80" t="str">
        <f>IF(AND($F279&lt;&gt;"", $F279&gt;=CX$5-4, $F279&lt;=CX$5, COUNTIF($M279:CW279,"u")=0), "u", "")</f>
        <v/>
      </c>
      <c r="CY279" s="80" t="str">
        <f>IF(AND($F279&lt;&gt;"", $F279&gt;=CY$5-4, $F279&lt;=CY$5, COUNTIF($M279:CX279,"u")=0), "u", "")</f>
        <v/>
      </c>
      <c r="CZ279" s="80" t="str">
        <f>IF(AND($F279&lt;&gt;"", $F279&gt;=CZ$5-4, $F279&lt;=CZ$5, COUNTIF($M279:CY279,"u")=0), "u", "")</f>
        <v/>
      </c>
      <c r="DA279" s="80" t="str">
        <f>IF(AND($F279&lt;&gt;"", $F279&gt;=DA$5-4, $F279&lt;=DA$5, COUNTIF($M279:CZ279,"u")=0), "u", "")</f>
        <v/>
      </c>
      <c r="DB279" s="80" t="str">
        <f>IF(AND($F279&lt;&gt;"", $F279&gt;=DB$5-4, $F279&lt;=DB$5, COUNTIF($M279:DA279,"u")=0), "u", "")</f>
        <v/>
      </c>
      <c r="DC279" s="80" t="str">
        <f>IF(AND($F279&lt;&gt;"", $F279&gt;=DC$5-4, $F279&lt;=DC$5, COUNTIF($M279:DB279,"u")=0), "u", "")</f>
        <v/>
      </c>
      <c r="DD279" s="80" t="str">
        <f>IF(AND($F279&lt;&gt;"", $F279&gt;=DD$5-4, $F279&lt;=DD$5, COUNTIF($M279:DC279,"u")=0), "u", "")</f>
        <v/>
      </c>
      <c r="DE279" s="80" t="str">
        <f>IF(AND($F279&lt;&gt;"", $F279&gt;=DE$5-4, $F279&lt;=DE$5, COUNTIF($M279:DD279,"u")=0), "u", "")</f>
        <v/>
      </c>
      <c r="DF279" s="80" t="str">
        <f>IF(AND($F279&lt;&gt;"", $F279&gt;=DF$5-4, $F279&lt;=DF$5, COUNTIF($M279:DE279,"u")=0), "u", "")</f>
        <v/>
      </c>
      <c r="DG279" s="80" t="str">
        <f>IF(AND($F279&lt;&gt;"", $F279&gt;=DG$5-4, $F279&lt;=DG$5, COUNTIF($M279:DF279,"u")=0), "u", "")</f>
        <v/>
      </c>
      <c r="DH279" s="80" t="str">
        <f>IF(AND($F279&lt;&gt;"", $F279&gt;=DH$5-4, $F279&lt;=DH$5, COUNTIF($M279:DG279,"u")=0), "u", "")</f>
        <v/>
      </c>
      <c r="DI279" s="80" t="str">
        <f>IF(AND($F279&lt;&gt;"", $F279&gt;=DI$5-4, $F279&lt;=DI$5, COUNTIF($M279:DH279,"u")=0), "u", "")</f>
        <v/>
      </c>
      <c r="DJ279" s="80" t="str">
        <f>IF(AND($F279&lt;&gt;"", $F279&gt;=DJ$5-4, $F279&lt;=DJ$5, COUNTIF($M279:DI279,"u")=0), "u", "")</f>
        <v/>
      </c>
      <c r="DK279" s="80" t="str">
        <f>IF(AND($F279&lt;&gt;"", $F279&gt;=DK$5-4, $F279&lt;=DK$5, COUNTIF($M279:DJ279,"u")=0), "u", "")</f>
        <v/>
      </c>
      <c r="DL279" s="80" t="str">
        <f>IF(AND($F279&lt;&gt;"", $F279&gt;=DL$5-4, $F279&lt;=DL$5, COUNTIF($M279:DK279,"u")=0), "u", "")</f>
        <v/>
      </c>
    </row>
    <row r="280" spans="1:116" ht="25.05" customHeight="1" x14ac:dyDescent="0.3">
      <c r="A280" s="39"/>
      <c r="B280" s="75">
        <v>275</v>
      </c>
      <c r="C280" s="97"/>
      <c r="D280" s="92"/>
      <c r="E280" s="53"/>
      <c r="F280" s="53"/>
      <c r="G280" s="83" t="str">
        <f t="shared" si="59"/>
        <v/>
      </c>
      <c r="H280" s="83" t="str">
        <f t="shared" si="59"/>
        <v/>
      </c>
      <c r="I280" s="77" t="str">
        <f t="shared" si="57"/>
        <v/>
      </c>
      <c r="J280" s="78"/>
      <c r="K280" s="86"/>
      <c r="L280" s="56"/>
      <c r="M280" s="80" t="str">
        <f t="shared" si="58"/>
        <v/>
      </c>
      <c r="N280" s="80" t="str">
        <f>IF(AND($F280&lt;&gt;"", $F280&gt;=N$5-4, $F280&lt;=N$5, COUNTIF($M280:M280,"u")=0), "u", "")</f>
        <v/>
      </c>
      <c r="O280" s="80" t="str">
        <f>IF(AND($F280&lt;&gt;"", $F280&gt;=O$5-4, $F280&lt;=O$5, COUNTIF($M280:N280,"u")=0), "u", "")</f>
        <v/>
      </c>
      <c r="P280" s="80" t="str">
        <f>IF(AND($F280&lt;&gt;"", $F280&gt;=P$5-4, $F280&lt;=P$5, COUNTIF($M280:O280,"u")=0), "u", "")</f>
        <v/>
      </c>
      <c r="Q280" s="80" t="str">
        <f>IF(AND($F280&lt;&gt;"", $F280&gt;=Q$5-4, $F280&lt;=Q$5, COUNTIF($M280:P280,"u")=0), "u", "")</f>
        <v/>
      </c>
      <c r="R280" s="80" t="str">
        <f>IF(AND($F280&lt;&gt;"", $F280&gt;=R$5-4, $F280&lt;=R$5, COUNTIF($M280:Q280,"u")=0), "u", "")</f>
        <v/>
      </c>
      <c r="S280" s="80" t="str">
        <f>IF(AND($F280&lt;&gt;"", $F280&gt;=S$5-4, $F280&lt;=S$5, COUNTIF($M280:R280,"u")=0), "u", "")</f>
        <v/>
      </c>
      <c r="T280" s="80" t="str">
        <f>IF(AND($F280&lt;&gt;"", $F280&gt;=T$5-4, $F280&lt;=T$5, COUNTIF($M280:S280,"u")=0), "u", "")</f>
        <v/>
      </c>
      <c r="U280" s="80" t="str">
        <f>IF(AND($F280&lt;&gt;"", $F280&gt;=U$5-4, $F280&lt;=U$5, COUNTIF($M280:T280,"u")=0), "u", "")</f>
        <v/>
      </c>
      <c r="V280" s="80" t="str">
        <f>IF(AND($F280&lt;&gt;"", $F280&gt;=V$5-4, $F280&lt;=V$5, COUNTIF($M280:U280,"u")=0), "u", "")</f>
        <v/>
      </c>
      <c r="W280" s="80" t="str">
        <f>IF(AND($F280&lt;&gt;"", $F280&gt;=W$5-4, $F280&lt;=W$5, COUNTIF($M280:V280,"u")=0), "u", "")</f>
        <v/>
      </c>
      <c r="X280" s="80" t="str">
        <f>IF(AND($F280&lt;&gt;"", $F280&gt;=X$5-4, $F280&lt;=X$5, COUNTIF($M280:W280,"u")=0), "u", "")</f>
        <v/>
      </c>
      <c r="Y280" s="80" t="str">
        <f>IF(AND($F280&lt;&gt;"", $F280&gt;=Y$5-4, $F280&lt;=Y$5, COUNTIF($M280:X280,"u")=0), "u", "")</f>
        <v/>
      </c>
      <c r="Z280" s="80" t="str">
        <f>IF(AND($F280&lt;&gt;"", $F280&gt;=Z$5-4, $F280&lt;=Z$5, COUNTIF($M280:Y280,"u")=0), "u", "")</f>
        <v/>
      </c>
      <c r="AA280" s="80" t="str">
        <f>IF(AND($F280&lt;&gt;"", $F280&gt;=AA$5-4, $F280&lt;=AA$5, COUNTIF($M280:Z280,"u")=0), "u", "")</f>
        <v/>
      </c>
      <c r="AB280" s="80" t="str">
        <f>IF(AND($F280&lt;&gt;"", $F280&gt;=AB$5-4, $F280&lt;=AB$5, COUNTIF($M280:AA280,"u")=0), "u", "")</f>
        <v/>
      </c>
      <c r="AC280" s="80" t="str">
        <f>IF(AND($F280&lt;&gt;"", $F280&gt;=AC$5-4, $F280&lt;=AC$5, COUNTIF($M280:AB280,"u")=0), "u", "")</f>
        <v/>
      </c>
      <c r="AD280" s="80" t="str">
        <f>IF(AND($F280&lt;&gt;"", $F280&gt;=AD$5-4, $F280&lt;=AD$5, COUNTIF($M280:AC280,"u")=0), "u", "")</f>
        <v/>
      </c>
      <c r="AE280" s="80" t="str">
        <f>IF(AND($F280&lt;&gt;"", $F280&gt;=AE$5-4, $F280&lt;=AE$5, COUNTIF($M280:AD280,"u")=0), "u", "")</f>
        <v/>
      </c>
      <c r="AF280" s="80" t="str">
        <f>IF(AND($F280&lt;&gt;"", $F280&gt;=AF$5-4, $F280&lt;=AF$5, COUNTIF($M280:AE280,"u")=0), "u", "")</f>
        <v/>
      </c>
      <c r="AG280" s="80" t="str">
        <f>IF(AND($F280&lt;&gt;"", $F280&gt;=AG$5-4, $F280&lt;=AG$5, COUNTIF($M280:AF280,"u")=0), "u", "")</f>
        <v/>
      </c>
      <c r="AH280" s="80" t="str">
        <f>IF(AND($F280&lt;&gt;"", $F280&gt;=AH$5-4, $F280&lt;=AH$5, COUNTIF($M280:AG280,"u")=0), "u", "")</f>
        <v/>
      </c>
      <c r="AI280" s="80" t="str">
        <f>IF(AND($F280&lt;&gt;"", $F280&gt;=AI$5-4, $F280&lt;=AI$5, COUNTIF($M280:AH280,"u")=0), "u", "")</f>
        <v/>
      </c>
      <c r="AJ280" s="80" t="str">
        <f>IF(AND($F280&lt;&gt;"", $F280&gt;=AJ$5-4, $F280&lt;=AJ$5, COUNTIF($M280:AI280,"u")=0), "u", "")</f>
        <v/>
      </c>
      <c r="AK280" s="80" t="str">
        <f>IF(AND($F280&lt;&gt;"", $F280&gt;=AK$5-4, $F280&lt;=AK$5, COUNTIF($M280:AJ280,"u")=0), "u", "")</f>
        <v/>
      </c>
      <c r="AL280" s="80" t="str">
        <f>IF(AND($F280&lt;&gt;"", $F280&gt;=AL$5-4, $F280&lt;=AL$5, COUNTIF($M280:AK280,"u")=0), "u", "")</f>
        <v/>
      </c>
      <c r="AM280" s="80" t="str">
        <f>IF(AND($F280&lt;&gt;"", $F280&gt;=AM$5-4, $F280&lt;=AM$5, COUNTIF($M280:AL280,"u")=0), "u", "")</f>
        <v/>
      </c>
      <c r="AN280" s="80" t="str">
        <f>IF(AND($F280&lt;&gt;"", $F280&gt;=AN$5-4, $F280&lt;=AN$5, COUNTIF($M280:AM280,"u")=0), "u", "")</f>
        <v/>
      </c>
      <c r="AO280" s="80" t="str">
        <f>IF(AND($F280&lt;&gt;"", $F280&gt;=AO$5-4, $F280&lt;=AO$5, COUNTIF($M280:AN280,"u")=0), "u", "")</f>
        <v/>
      </c>
      <c r="AP280" s="80" t="str">
        <f>IF(AND($F280&lt;&gt;"", $F280&gt;=AP$5-4, $F280&lt;=AP$5, COUNTIF($M280:AO280,"u")=0), "u", "")</f>
        <v/>
      </c>
      <c r="AQ280" s="80" t="str">
        <f>IF(AND($F280&lt;&gt;"", $F280&gt;=AQ$5-4, $F280&lt;=AQ$5, COUNTIF($M280:AP280,"u")=0), "u", "")</f>
        <v/>
      </c>
      <c r="AR280" s="80" t="str">
        <f>IF(AND($F280&lt;&gt;"", $F280&gt;=AR$5-4, $F280&lt;=AR$5, COUNTIF($M280:AQ280,"u")=0), "u", "")</f>
        <v/>
      </c>
      <c r="AS280" s="80" t="str">
        <f>IF(AND($F280&lt;&gt;"", $F280&gt;=AS$5-4, $F280&lt;=AS$5, COUNTIF($M280:AR280,"u")=0), "u", "")</f>
        <v/>
      </c>
      <c r="AT280" s="80" t="str">
        <f>IF(AND($F280&lt;&gt;"", $F280&gt;=AT$5-4, $F280&lt;=AT$5, COUNTIF($M280:AS280,"u")=0), "u", "")</f>
        <v/>
      </c>
      <c r="AU280" s="80" t="str">
        <f>IF(AND($F280&lt;&gt;"", $F280&gt;=AU$5-4, $F280&lt;=AU$5, COUNTIF($M280:AT280,"u")=0), "u", "")</f>
        <v/>
      </c>
      <c r="AV280" s="80" t="str">
        <f>IF(AND($F280&lt;&gt;"", $F280&gt;=AV$5-4, $F280&lt;=AV$5, COUNTIF($M280:AU280,"u")=0), "u", "")</f>
        <v/>
      </c>
      <c r="AW280" s="80" t="str">
        <f>IF(AND($F280&lt;&gt;"", $F280&gt;=AW$5-4, $F280&lt;=AW$5, COUNTIF($M280:AV280,"u")=0), "u", "")</f>
        <v/>
      </c>
      <c r="AX280" s="80" t="str">
        <f>IF(AND($F280&lt;&gt;"", $F280&gt;=AX$5-4, $F280&lt;=AX$5, COUNTIF($M280:AW280,"u")=0), "u", "")</f>
        <v/>
      </c>
      <c r="AY280" s="80" t="str">
        <f>IF(AND($F280&lt;&gt;"", $F280&gt;=AY$5-4, $F280&lt;=AY$5, COUNTIF($M280:AX280,"u")=0), "u", "")</f>
        <v/>
      </c>
      <c r="AZ280" s="80" t="str">
        <f>IF(AND($F280&lt;&gt;"", $F280&gt;=AZ$5-4, $F280&lt;=AZ$5, COUNTIF($M280:AY280,"u")=0), "u", "")</f>
        <v/>
      </c>
      <c r="BA280" s="80" t="str">
        <f>IF(AND($F280&lt;&gt;"", $F280&gt;=BA$5-4, $F280&lt;=BA$5, COUNTIF($M280:AZ280,"u")=0), "u", "")</f>
        <v/>
      </c>
      <c r="BB280" s="80" t="str">
        <f>IF(AND($F280&lt;&gt;"", $F280&gt;=BB$5-4, $F280&lt;=BB$5, COUNTIF($M280:BA280,"u")=0), "u", "")</f>
        <v/>
      </c>
      <c r="BC280" s="80" t="str">
        <f>IF(AND($F280&lt;&gt;"", $F280&gt;=BC$5-4, $F280&lt;=BC$5, COUNTIF($M280:BB280,"u")=0), "u", "")</f>
        <v/>
      </c>
      <c r="BD280" s="80" t="str">
        <f>IF(AND($F280&lt;&gt;"", $F280&gt;=BD$5-4, $F280&lt;=BD$5, COUNTIF($M280:BC280,"u")=0), "u", "")</f>
        <v/>
      </c>
      <c r="BE280" s="80" t="str">
        <f>IF(AND($F280&lt;&gt;"", $F280&gt;=BE$5-4, $F280&lt;=BE$5, COUNTIF($M280:BD280,"u")=0), "u", "")</f>
        <v/>
      </c>
      <c r="BF280" s="80" t="str">
        <f>IF(AND($F280&lt;&gt;"", $F280&gt;=BF$5-4, $F280&lt;=BF$5, COUNTIF($M280:BE280,"u")=0), "u", "")</f>
        <v/>
      </c>
      <c r="BG280" s="80" t="str">
        <f>IF(AND($F280&lt;&gt;"", $F280&gt;=BG$5-4, $F280&lt;=BG$5, COUNTIF($M280:BF280,"u")=0), "u", "")</f>
        <v/>
      </c>
      <c r="BH280" s="80" t="str">
        <f>IF(AND($F280&lt;&gt;"", $F280&gt;=BH$5-4, $F280&lt;=BH$5, COUNTIF($M280:BG280,"u")=0), "u", "")</f>
        <v/>
      </c>
      <c r="BI280" s="80" t="str">
        <f>IF(AND($F280&lt;&gt;"", $F280&gt;=BI$5-4, $F280&lt;=BI$5, COUNTIF($M280:BH280,"u")=0), "u", "")</f>
        <v/>
      </c>
      <c r="BJ280" s="80" t="str">
        <f>IF(AND($F280&lt;&gt;"", $F280&gt;=BJ$5-4, $F280&lt;=BJ$5, COUNTIF($M280:BI280,"u")=0), "u", "")</f>
        <v/>
      </c>
      <c r="BK280" s="80" t="str">
        <f>IF(AND($F280&lt;&gt;"", $F280&gt;=BK$5-4, $F280&lt;=BK$5, COUNTIF($M280:BJ280,"u")=0), "u", "")</f>
        <v/>
      </c>
      <c r="BL280" s="80" t="str">
        <f>IF(AND($F280&lt;&gt;"", $F280&gt;=BL$5-4, $F280&lt;=BL$5, COUNTIF($M280:BK280,"u")=0), "u", "")</f>
        <v/>
      </c>
      <c r="BM280" s="80" t="str">
        <f>IF(AND($F280&lt;&gt;"", $F280&gt;=BM$5-4, $F280&lt;=BM$5, COUNTIF($M280:BL280,"u")=0), "u", "")</f>
        <v/>
      </c>
      <c r="BN280" s="80" t="str">
        <f>IF(AND($F280&lt;&gt;"", $F280&gt;=BN$5-4, $F280&lt;=BN$5, COUNTIF($M280:BM280,"u")=0), "u", "")</f>
        <v/>
      </c>
      <c r="BO280" s="80" t="str">
        <f>IF(AND($F280&lt;&gt;"", $F280&gt;=BO$5-4, $F280&lt;=BO$5, COUNTIF($M280:BN280,"u")=0), "u", "")</f>
        <v/>
      </c>
      <c r="BP280" s="80" t="str">
        <f>IF(AND($F280&lt;&gt;"", $F280&gt;=BP$5-4, $F280&lt;=BP$5, COUNTIF($M280:BO280,"u")=0), "u", "")</f>
        <v/>
      </c>
      <c r="BQ280" s="80" t="str">
        <f>IF(AND($F280&lt;&gt;"", $F280&gt;=BQ$5-4, $F280&lt;=BQ$5, COUNTIF($M280:BP280,"u")=0), "u", "")</f>
        <v/>
      </c>
      <c r="BR280" s="80" t="str">
        <f>IF(AND($F280&lt;&gt;"", $F280&gt;=BR$5-4, $F280&lt;=BR$5, COUNTIF($M280:BQ280,"u")=0), "u", "")</f>
        <v/>
      </c>
      <c r="BS280" s="80" t="str">
        <f>IF(AND($F280&lt;&gt;"", $F280&gt;=BS$5-4, $F280&lt;=BS$5, COUNTIF($M280:BR280,"u")=0), "u", "")</f>
        <v/>
      </c>
      <c r="BT280" s="80" t="str">
        <f>IF(AND($F280&lt;&gt;"", $F280&gt;=BT$5-4, $F280&lt;=BT$5, COUNTIF($M280:BS280,"u")=0), "u", "")</f>
        <v/>
      </c>
      <c r="BU280" s="80" t="str">
        <f>IF(AND($F280&lt;&gt;"", $F280&gt;=BU$5-4, $F280&lt;=BU$5, COUNTIF($M280:BT280,"u")=0), "u", "")</f>
        <v/>
      </c>
      <c r="BV280" s="80" t="str">
        <f>IF(AND($F280&lt;&gt;"", $F280&gt;=BV$5-4, $F280&lt;=BV$5, COUNTIF($M280:BU280,"u")=0), "u", "")</f>
        <v/>
      </c>
      <c r="BW280" s="80" t="str">
        <f>IF(AND($F280&lt;&gt;"", $F280&gt;=BW$5-4, $F280&lt;=BW$5, COUNTIF($M280:BV280,"u")=0), "u", "")</f>
        <v/>
      </c>
      <c r="BX280" s="80" t="str">
        <f>IF(AND($F280&lt;&gt;"", $F280&gt;=BX$5-4, $F280&lt;=BX$5, COUNTIF($M280:BW280,"u")=0), "u", "")</f>
        <v/>
      </c>
      <c r="BY280" s="80" t="str">
        <f>IF(AND($F280&lt;&gt;"", $F280&gt;=BY$5-4, $F280&lt;=BY$5, COUNTIF($M280:BX280,"u")=0), "u", "")</f>
        <v/>
      </c>
      <c r="BZ280" s="80" t="str">
        <f>IF(AND($F280&lt;&gt;"", $F280&gt;=BZ$5-4, $F280&lt;=BZ$5, COUNTIF($M280:BY280,"u")=0), "u", "")</f>
        <v/>
      </c>
      <c r="CA280" s="80" t="str">
        <f>IF(AND($F280&lt;&gt;"", $F280&gt;=CA$5-4, $F280&lt;=CA$5, COUNTIF($M280:BZ280,"u")=0), "u", "")</f>
        <v/>
      </c>
      <c r="CB280" s="80" t="str">
        <f>IF(AND($F280&lt;&gt;"", $F280&gt;=CB$5-4, $F280&lt;=CB$5, COUNTIF($M280:CA280,"u")=0), "u", "")</f>
        <v/>
      </c>
      <c r="CC280" s="80" t="str">
        <f>IF(AND($F280&lt;&gt;"", $F280&gt;=CC$5-4, $F280&lt;=CC$5, COUNTIF($M280:CB280,"u")=0), "u", "")</f>
        <v/>
      </c>
      <c r="CD280" s="80" t="str">
        <f>IF(AND($F280&lt;&gt;"", $F280&gt;=CD$5-4, $F280&lt;=CD$5, COUNTIF($M280:CC280,"u")=0), "u", "")</f>
        <v/>
      </c>
      <c r="CE280" s="80" t="str">
        <f>IF(AND($F280&lt;&gt;"", $F280&gt;=CE$5-4, $F280&lt;=CE$5, COUNTIF($M280:CD280,"u")=0), "u", "")</f>
        <v/>
      </c>
      <c r="CF280" s="80" t="str">
        <f>IF(AND($F280&lt;&gt;"", $F280&gt;=CF$5-4, $F280&lt;=CF$5, COUNTIF($M280:CE280,"u")=0), "u", "")</f>
        <v/>
      </c>
      <c r="CG280" s="80" t="str">
        <f>IF(AND($F280&lt;&gt;"", $F280&gt;=CG$5-4, $F280&lt;=CG$5, COUNTIF($M280:CF280,"u")=0), "u", "")</f>
        <v/>
      </c>
      <c r="CH280" s="80" t="str">
        <f>IF(AND($F280&lt;&gt;"", $F280&gt;=CH$5-4, $F280&lt;=CH$5, COUNTIF($M280:CG280,"u")=0), "u", "")</f>
        <v/>
      </c>
      <c r="CI280" s="80" t="str">
        <f>IF(AND($F280&lt;&gt;"", $F280&gt;=CI$5-4, $F280&lt;=CI$5, COUNTIF($M280:CH280,"u")=0), "u", "")</f>
        <v/>
      </c>
      <c r="CJ280" s="80" t="str">
        <f>IF(AND($F280&lt;&gt;"", $F280&gt;=CJ$5-4, $F280&lt;=CJ$5, COUNTIF($M280:CI280,"u")=0), "u", "")</f>
        <v/>
      </c>
      <c r="CK280" s="80" t="str">
        <f>IF(AND($F280&lt;&gt;"", $F280&gt;=CK$5-4, $F280&lt;=CK$5, COUNTIF($M280:CJ280,"u")=0), "u", "")</f>
        <v/>
      </c>
      <c r="CL280" s="80" t="str">
        <f>IF(AND($F280&lt;&gt;"", $F280&gt;=CL$5-4, $F280&lt;=CL$5, COUNTIF($M280:CK280,"u")=0), "u", "")</f>
        <v/>
      </c>
      <c r="CM280" s="80" t="str">
        <f>IF(AND($F280&lt;&gt;"", $F280&gt;=CM$5-4, $F280&lt;=CM$5, COUNTIF($M280:CL280,"u")=0), "u", "")</f>
        <v/>
      </c>
      <c r="CN280" s="80" t="str">
        <f>IF(AND($F280&lt;&gt;"", $F280&gt;=CN$5-4, $F280&lt;=CN$5, COUNTIF($M280:CM280,"u")=0), "u", "")</f>
        <v/>
      </c>
      <c r="CO280" s="80" t="str">
        <f>IF(AND($F280&lt;&gt;"", $F280&gt;=CO$5-4, $F280&lt;=CO$5, COUNTIF($M280:CN280,"u")=0), "u", "")</f>
        <v/>
      </c>
      <c r="CP280" s="80" t="str">
        <f>IF(AND($F280&lt;&gt;"", $F280&gt;=CP$5-4, $F280&lt;=CP$5, COUNTIF($M280:CO280,"u")=0), "u", "")</f>
        <v/>
      </c>
      <c r="CQ280" s="80" t="str">
        <f>IF(AND($F280&lt;&gt;"", $F280&gt;=CQ$5-4, $F280&lt;=CQ$5, COUNTIF($M280:CP280,"u")=0), "u", "")</f>
        <v/>
      </c>
      <c r="CR280" s="80" t="str">
        <f>IF(AND($F280&lt;&gt;"", $F280&gt;=CR$5-4, $F280&lt;=CR$5, COUNTIF($M280:CQ280,"u")=0), "u", "")</f>
        <v/>
      </c>
      <c r="CS280" s="80" t="str">
        <f>IF(AND($F280&lt;&gt;"", $F280&gt;=CS$5-4, $F280&lt;=CS$5, COUNTIF($M280:CR280,"u")=0), "u", "")</f>
        <v/>
      </c>
      <c r="CT280" s="80" t="str">
        <f>IF(AND($F280&lt;&gt;"", $F280&gt;=CT$5-4, $F280&lt;=CT$5, COUNTIF($M280:CS280,"u")=0), "u", "")</f>
        <v/>
      </c>
      <c r="CU280" s="80" t="str">
        <f>IF(AND($F280&lt;&gt;"", $F280&gt;=CU$5-4, $F280&lt;=CU$5, COUNTIF($M280:CT280,"u")=0), "u", "")</f>
        <v/>
      </c>
      <c r="CV280" s="80" t="str">
        <f>IF(AND($F280&lt;&gt;"", $F280&gt;=CV$5-4, $F280&lt;=CV$5, COUNTIF($M280:CU280,"u")=0), "u", "")</f>
        <v/>
      </c>
      <c r="CW280" s="80" t="str">
        <f>IF(AND($F280&lt;&gt;"", $F280&gt;=CW$5-4, $F280&lt;=CW$5, COUNTIF($M280:CV280,"u")=0), "u", "")</f>
        <v/>
      </c>
      <c r="CX280" s="80" t="str">
        <f>IF(AND($F280&lt;&gt;"", $F280&gt;=CX$5-4, $F280&lt;=CX$5, COUNTIF($M280:CW280,"u")=0), "u", "")</f>
        <v/>
      </c>
      <c r="CY280" s="80" t="str">
        <f>IF(AND($F280&lt;&gt;"", $F280&gt;=CY$5-4, $F280&lt;=CY$5, COUNTIF($M280:CX280,"u")=0), "u", "")</f>
        <v/>
      </c>
      <c r="CZ280" s="80" t="str">
        <f>IF(AND($F280&lt;&gt;"", $F280&gt;=CZ$5-4, $F280&lt;=CZ$5, COUNTIF($M280:CY280,"u")=0), "u", "")</f>
        <v/>
      </c>
      <c r="DA280" s="80" t="str">
        <f>IF(AND($F280&lt;&gt;"", $F280&gt;=DA$5-4, $F280&lt;=DA$5, COUNTIF($M280:CZ280,"u")=0), "u", "")</f>
        <v/>
      </c>
      <c r="DB280" s="80" t="str">
        <f>IF(AND($F280&lt;&gt;"", $F280&gt;=DB$5-4, $F280&lt;=DB$5, COUNTIF($M280:DA280,"u")=0), "u", "")</f>
        <v/>
      </c>
      <c r="DC280" s="80" t="str">
        <f>IF(AND($F280&lt;&gt;"", $F280&gt;=DC$5-4, $F280&lt;=DC$5, COUNTIF($M280:DB280,"u")=0), "u", "")</f>
        <v/>
      </c>
      <c r="DD280" s="80" t="str">
        <f>IF(AND($F280&lt;&gt;"", $F280&gt;=DD$5-4, $F280&lt;=DD$5, COUNTIF($M280:DC280,"u")=0), "u", "")</f>
        <v/>
      </c>
      <c r="DE280" s="80" t="str">
        <f>IF(AND($F280&lt;&gt;"", $F280&gt;=DE$5-4, $F280&lt;=DE$5, COUNTIF($M280:DD280,"u")=0), "u", "")</f>
        <v/>
      </c>
      <c r="DF280" s="80" t="str">
        <f>IF(AND($F280&lt;&gt;"", $F280&gt;=DF$5-4, $F280&lt;=DF$5, COUNTIF($M280:DE280,"u")=0), "u", "")</f>
        <v/>
      </c>
      <c r="DG280" s="80" t="str">
        <f>IF(AND($F280&lt;&gt;"", $F280&gt;=DG$5-4, $F280&lt;=DG$5, COUNTIF($M280:DF280,"u")=0), "u", "")</f>
        <v/>
      </c>
      <c r="DH280" s="80" t="str">
        <f>IF(AND($F280&lt;&gt;"", $F280&gt;=DH$5-4, $F280&lt;=DH$5, COUNTIF($M280:DG280,"u")=0), "u", "")</f>
        <v/>
      </c>
      <c r="DI280" s="80" t="str">
        <f>IF(AND($F280&lt;&gt;"", $F280&gt;=DI$5-4, $F280&lt;=DI$5, COUNTIF($M280:DH280,"u")=0), "u", "")</f>
        <v/>
      </c>
      <c r="DJ280" s="80" t="str">
        <f>IF(AND($F280&lt;&gt;"", $F280&gt;=DJ$5-4, $F280&lt;=DJ$5, COUNTIF($M280:DI280,"u")=0), "u", "")</f>
        <v/>
      </c>
      <c r="DK280" s="80" t="str">
        <f>IF(AND($F280&lt;&gt;"", $F280&gt;=DK$5-4, $F280&lt;=DK$5, COUNTIF($M280:DJ280,"u")=0), "u", "")</f>
        <v/>
      </c>
      <c r="DL280" s="80" t="str">
        <f>IF(AND($F280&lt;&gt;"", $F280&gt;=DL$5-4, $F280&lt;=DL$5, COUNTIF($M280:DK280,"u")=0), "u", "")</f>
        <v/>
      </c>
    </row>
    <row r="281" spans="1:116" ht="25.05" customHeight="1" x14ac:dyDescent="0.3">
      <c r="A281" s="39"/>
      <c r="B281" s="75">
        <v>276</v>
      </c>
      <c r="C281" s="97"/>
      <c r="D281" s="92"/>
      <c r="E281" s="53"/>
      <c r="F281" s="53"/>
      <c r="G281" s="83" t="str">
        <f t="shared" si="59"/>
        <v/>
      </c>
      <c r="H281" s="83" t="str">
        <f t="shared" si="59"/>
        <v/>
      </c>
      <c r="I281" s="77" t="str">
        <f t="shared" si="57"/>
        <v/>
      </c>
      <c r="J281" s="78"/>
      <c r="K281" s="86"/>
      <c r="L281" s="56"/>
      <c r="M281" s="80" t="str">
        <f t="shared" si="58"/>
        <v/>
      </c>
      <c r="N281" s="80" t="str">
        <f>IF(AND($F281&lt;&gt;"", $F281&gt;=N$5-4, $F281&lt;=N$5, COUNTIF($M281:M281,"u")=0), "u", "")</f>
        <v/>
      </c>
      <c r="O281" s="80" t="str">
        <f>IF(AND($F281&lt;&gt;"", $F281&gt;=O$5-4, $F281&lt;=O$5, COUNTIF($M281:N281,"u")=0), "u", "")</f>
        <v/>
      </c>
      <c r="P281" s="80" t="str">
        <f>IF(AND($F281&lt;&gt;"", $F281&gt;=P$5-4, $F281&lt;=P$5, COUNTIF($M281:O281,"u")=0), "u", "")</f>
        <v/>
      </c>
      <c r="Q281" s="80" t="str">
        <f>IF(AND($F281&lt;&gt;"", $F281&gt;=Q$5-4, $F281&lt;=Q$5, COUNTIF($M281:P281,"u")=0), "u", "")</f>
        <v/>
      </c>
      <c r="R281" s="80" t="str">
        <f>IF(AND($F281&lt;&gt;"", $F281&gt;=R$5-4, $F281&lt;=R$5, COUNTIF($M281:Q281,"u")=0), "u", "")</f>
        <v/>
      </c>
      <c r="S281" s="80" t="str">
        <f>IF(AND($F281&lt;&gt;"", $F281&gt;=S$5-4, $F281&lt;=S$5, COUNTIF($M281:R281,"u")=0), "u", "")</f>
        <v/>
      </c>
      <c r="T281" s="80" t="str">
        <f>IF(AND($F281&lt;&gt;"", $F281&gt;=T$5-4, $F281&lt;=T$5, COUNTIF($M281:S281,"u")=0), "u", "")</f>
        <v/>
      </c>
      <c r="U281" s="80" t="str">
        <f>IF(AND($F281&lt;&gt;"", $F281&gt;=U$5-4, $F281&lt;=U$5, COUNTIF($M281:T281,"u")=0), "u", "")</f>
        <v/>
      </c>
      <c r="V281" s="80" t="str">
        <f>IF(AND($F281&lt;&gt;"", $F281&gt;=V$5-4, $F281&lt;=V$5, COUNTIF($M281:U281,"u")=0), "u", "")</f>
        <v/>
      </c>
      <c r="W281" s="80" t="str">
        <f>IF(AND($F281&lt;&gt;"", $F281&gt;=W$5-4, $F281&lt;=W$5, COUNTIF($M281:V281,"u")=0), "u", "")</f>
        <v/>
      </c>
      <c r="X281" s="80" t="str">
        <f>IF(AND($F281&lt;&gt;"", $F281&gt;=X$5-4, $F281&lt;=X$5, COUNTIF($M281:W281,"u")=0), "u", "")</f>
        <v/>
      </c>
      <c r="Y281" s="80" t="str">
        <f>IF(AND($F281&lt;&gt;"", $F281&gt;=Y$5-4, $F281&lt;=Y$5, COUNTIF($M281:X281,"u")=0), "u", "")</f>
        <v/>
      </c>
      <c r="Z281" s="80" t="str">
        <f>IF(AND($F281&lt;&gt;"", $F281&gt;=Z$5-4, $F281&lt;=Z$5, COUNTIF($M281:Y281,"u")=0), "u", "")</f>
        <v/>
      </c>
      <c r="AA281" s="80" t="str">
        <f>IF(AND($F281&lt;&gt;"", $F281&gt;=AA$5-4, $F281&lt;=AA$5, COUNTIF($M281:Z281,"u")=0), "u", "")</f>
        <v/>
      </c>
      <c r="AB281" s="80" t="str">
        <f>IF(AND($F281&lt;&gt;"", $F281&gt;=AB$5-4, $F281&lt;=AB$5, COUNTIF($M281:AA281,"u")=0), "u", "")</f>
        <v/>
      </c>
      <c r="AC281" s="80" t="str">
        <f>IF(AND($F281&lt;&gt;"", $F281&gt;=AC$5-4, $F281&lt;=AC$5, COUNTIF($M281:AB281,"u")=0), "u", "")</f>
        <v/>
      </c>
      <c r="AD281" s="80" t="str">
        <f>IF(AND($F281&lt;&gt;"", $F281&gt;=AD$5-4, $F281&lt;=AD$5, COUNTIF($M281:AC281,"u")=0), "u", "")</f>
        <v/>
      </c>
      <c r="AE281" s="80" t="str">
        <f>IF(AND($F281&lt;&gt;"", $F281&gt;=AE$5-4, $F281&lt;=AE$5, COUNTIF($M281:AD281,"u")=0), "u", "")</f>
        <v/>
      </c>
      <c r="AF281" s="80" t="str">
        <f>IF(AND($F281&lt;&gt;"", $F281&gt;=AF$5-4, $F281&lt;=AF$5, COUNTIF($M281:AE281,"u")=0), "u", "")</f>
        <v/>
      </c>
      <c r="AG281" s="80" t="str">
        <f>IF(AND($F281&lt;&gt;"", $F281&gt;=AG$5-4, $F281&lt;=AG$5, COUNTIF($M281:AF281,"u")=0), "u", "")</f>
        <v/>
      </c>
      <c r="AH281" s="80" t="str">
        <f>IF(AND($F281&lt;&gt;"", $F281&gt;=AH$5-4, $F281&lt;=AH$5, COUNTIF($M281:AG281,"u")=0), "u", "")</f>
        <v/>
      </c>
      <c r="AI281" s="80" t="str">
        <f>IF(AND($F281&lt;&gt;"", $F281&gt;=AI$5-4, $F281&lt;=AI$5, COUNTIF($M281:AH281,"u")=0), "u", "")</f>
        <v/>
      </c>
      <c r="AJ281" s="80" t="str">
        <f>IF(AND($F281&lt;&gt;"", $F281&gt;=AJ$5-4, $F281&lt;=AJ$5, COUNTIF($M281:AI281,"u")=0), "u", "")</f>
        <v/>
      </c>
      <c r="AK281" s="80" t="str">
        <f>IF(AND($F281&lt;&gt;"", $F281&gt;=AK$5-4, $F281&lt;=AK$5, COUNTIF($M281:AJ281,"u")=0), "u", "")</f>
        <v/>
      </c>
      <c r="AL281" s="80" t="str">
        <f>IF(AND($F281&lt;&gt;"", $F281&gt;=AL$5-4, $F281&lt;=AL$5, COUNTIF($M281:AK281,"u")=0), "u", "")</f>
        <v/>
      </c>
      <c r="AM281" s="80" t="str">
        <f>IF(AND($F281&lt;&gt;"", $F281&gt;=AM$5-4, $F281&lt;=AM$5, COUNTIF($M281:AL281,"u")=0), "u", "")</f>
        <v/>
      </c>
      <c r="AN281" s="80" t="str">
        <f>IF(AND($F281&lt;&gt;"", $F281&gt;=AN$5-4, $F281&lt;=AN$5, COUNTIF($M281:AM281,"u")=0), "u", "")</f>
        <v/>
      </c>
      <c r="AO281" s="80" t="str">
        <f>IF(AND($F281&lt;&gt;"", $F281&gt;=AO$5-4, $F281&lt;=AO$5, COUNTIF($M281:AN281,"u")=0), "u", "")</f>
        <v/>
      </c>
      <c r="AP281" s="80" t="str">
        <f>IF(AND($F281&lt;&gt;"", $F281&gt;=AP$5-4, $F281&lt;=AP$5, COUNTIF($M281:AO281,"u")=0), "u", "")</f>
        <v/>
      </c>
      <c r="AQ281" s="80" t="str">
        <f>IF(AND($F281&lt;&gt;"", $F281&gt;=AQ$5-4, $F281&lt;=AQ$5, COUNTIF($M281:AP281,"u")=0), "u", "")</f>
        <v/>
      </c>
      <c r="AR281" s="80" t="str">
        <f>IF(AND($F281&lt;&gt;"", $F281&gt;=AR$5-4, $F281&lt;=AR$5, COUNTIF($M281:AQ281,"u")=0), "u", "")</f>
        <v/>
      </c>
      <c r="AS281" s="80" t="str">
        <f>IF(AND($F281&lt;&gt;"", $F281&gt;=AS$5-4, $F281&lt;=AS$5, COUNTIF($M281:AR281,"u")=0), "u", "")</f>
        <v/>
      </c>
      <c r="AT281" s="80" t="str">
        <f>IF(AND($F281&lt;&gt;"", $F281&gt;=AT$5-4, $F281&lt;=AT$5, COUNTIF($M281:AS281,"u")=0), "u", "")</f>
        <v/>
      </c>
      <c r="AU281" s="80" t="str">
        <f>IF(AND($F281&lt;&gt;"", $F281&gt;=AU$5-4, $F281&lt;=AU$5, COUNTIF($M281:AT281,"u")=0), "u", "")</f>
        <v/>
      </c>
      <c r="AV281" s="80" t="str">
        <f>IF(AND($F281&lt;&gt;"", $F281&gt;=AV$5-4, $F281&lt;=AV$5, COUNTIF($M281:AU281,"u")=0), "u", "")</f>
        <v/>
      </c>
      <c r="AW281" s="80" t="str">
        <f>IF(AND($F281&lt;&gt;"", $F281&gt;=AW$5-4, $F281&lt;=AW$5, COUNTIF($M281:AV281,"u")=0), "u", "")</f>
        <v/>
      </c>
      <c r="AX281" s="80" t="str">
        <f>IF(AND($F281&lt;&gt;"", $F281&gt;=AX$5-4, $F281&lt;=AX$5, COUNTIF($M281:AW281,"u")=0), "u", "")</f>
        <v/>
      </c>
      <c r="AY281" s="80" t="str">
        <f>IF(AND($F281&lt;&gt;"", $F281&gt;=AY$5-4, $F281&lt;=AY$5, COUNTIF($M281:AX281,"u")=0), "u", "")</f>
        <v/>
      </c>
      <c r="AZ281" s="80" t="str">
        <f>IF(AND($F281&lt;&gt;"", $F281&gt;=AZ$5-4, $F281&lt;=AZ$5, COUNTIF($M281:AY281,"u")=0), "u", "")</f>
        <v/>
      </c>
      <c r="BA281" s="80" t="str">
        <f>IF(AND($F281&lt;&gt;"", $F281&gt;=BA$5-4, $F281&lt;=BA$5, COUNTIF($M281:AZ281,"u")=0), "u", "")</f>
        <v/>
      </c>
      <c r="BB281" s="80" t="str">
        <f>IF(AND($F281&lt;&gt;"", $F281&gt;=BB$5-4, $F281&lt;=BB$5, COUNTIF($M281:BA281,"u")=0), "u", "")</f>
        <v/>
      </c>
      <c r="BC281" s="80" t="str">
        <f>IF(AND($F281&lt;&gt;"", $F281&gt;=BC$5-4, $F281&lt;=BC$5, COUNTIF($M281:BB281,"u")=0), "u", "")</f>
        <v/>
      </c>
      <c r="BD281" s="80" t="str">
        <f>IF(AND($F281&lt;&gt;"", $F281&gt;=BD$5-4, $F281&lt;=BD$5, COUNTIF($M281:BC281,"u")=0), "u", "")</f>
        <v/>
      </c>
      <c r="BE281" s="80" t="str">
        <f>IF(AND($F281&lt;&gt;"", $F281&gt;=BE$5-4, $F281&lt;=BE$5, COUNTIF($M281:BD281,"u")=0), "u", "")</f>
        <v/>
      </c>
      <c r="BF281" s="80" t="str">
        <f>IF(AND($F281&lt;&gt;"", $F281&gt;=BF$5-4, $F281&lt;=BF$5, COUNTIF($M281:BE281,"u")=0), "u", "")</f>
        <v/>
      </c>
      <c r="BG281" s="80" t="str">
        <f>IF(AND($F281&lt;&gt;"", $F281&gt;=BG$5-4, $F281&lt;=BG$5, COUNTIF($M281:BF281,"u")=0), "u", "")</f>
        <v/>
      </c>
      <c r="BH281" s="80" t="str">
        <f>IF(AND($F281&lt;&gt;"", $F281&gt;=BH$5-4, $F281&lt;=BH$5, COUNTIF($M281:BG281,"u")=0), "u", "")</f>
        <v/>
      </c>
      <c r="BI281" s="80" t="str">
        <f>IF(AND($F281&lt;&gt;"", $F281&gt;=BI$5-4, $F281&lt;=BI$5, COUNTIF($M281:BH281,"u")=0), "u", "")</f>
        <v/>
      </c>
      <c r="BJ281" s="80" t="str">
        <f>IF(AND($F281&lt;&gt;"", $F281&gt;=BJ$5-4, $F281&lt;=BJ$5, COUNTIF($M281:BI281,"u")=0), "u", "")</f>
        <v/>
      </c>
      <c r="BK281" s="80" t="str">
        <f>IF(AND($F281&lt;&gt;"", $F281&gt;=BK$5-4, $F281&lt;=BK$5, COUNTIF($M281:BJ281,"u")=0), "u", "")</f>
        <v/>
      </c>
      <c r="BL281" s="80" t="str">
        <f>IF(AND($F281&lt;&gt;"", $F281&gt;=BL$5-4, $F281&lt;=BL$5, COUNTIF($M281:BK281,"u")=0), "u", "")</f>
        <v/>
      </c>
      <c r="BM281" s="80" t="str">
        <f>IF(AND($F281&lt;&gt;"", $F281&gt;=BM$5-4, $F281&lt;=BM$5, COUNTIF($M281:BL281,"u")=0), "u", "")</f>
        <v/>
      </c>
      <c r="BN281" s="80" t="str">
        <f>IF(AND($F281&lt;&gt;"", $F281&gt;=BN$5-4, $F281&lt;=BN$5, COUNTIF($M281:BM281,"u")=0), "u", "")</f>
        <v/>
      </c>
      <c r="BO281" s="80" t="str">
        <f>IF(AND($F281&lt;&gt;"", $F281&gt;=BO$5-4, $F281&lt;=BO$5, COUNTIF($M281:BN281,"u")=0), "u", "")</f>
        <v/>
      </c>
      <c r="BP281" s="80" t="str">
        <f>IF(AND($F281&lt;&gt;"", $F281&gt;=BP$5-4, $F281&lt;=BP$5, COUNTIF($M281:BO281,"u")=0), "u", "")</f>
        <v/>
      </c>
      <c r="BQ281" s="80" t="str">
        <f>IF(AND($F281&lt;&gt;"", $F281&gt;=BQ$5-4, $F281&lt;=BQ$5, COUNTIF($M281:BP281,"u")=0), "u", "")</f>
        <v/>
      </c>
      <c r="BR281" s="80" t="str">
        <f>IF(AND($F281&lt;&gt;"", $F281&gt;=BR$5-4, $F281&lt;=BR$5, COUNTIF($M281:BQ281,"u")=0), "u", "")</f>
        <v/>
      </c>
      <c r="BS281" s="80" t="str">
        <f>IF(AND($F281&lt;&gt;"", $F281&gt;=BS$5-4, $F281&lt;=BS$5, COUNTIF($M281:BR281,"u")=0), "u", "")</f>
        <v/>
      </c>
      <c r="BT281" s="80" t="str">
        <f>IF(AND($F281&lt;&gt;"", $F281&gt;=BT$5-4, $F281&lt;=BT$5, COUNTIF($M281:BS281,"u")=0), "u", "")</f>
        <v/>
      </c>
      <c r="BU281" s="80" t="str">
        <f>IF(AND($F281&lt;&gt;"", $F281&gt;=BU$5-4, $F281&lt;=BU$5, COUNTIF($M281:BT281,"u")=0), "u", "")</f>
        <v/>
      </c>
      <c r="BV281" s="80" t="str">
        <f>IF(AND($F281&lt;&gt;"", $F281&gt;=BV$5-4, $F281&lt;=BV$5, COUNTIF($M281:BU281,"u")=0), "u", "")</f>
        <v/>
      </c>
      <c r="BW281" s="80" t="str">
        <f>IF(AND($F281&lt;&gt;"", $F281&gt;=BW$5-4, $F281&lt;=BW$5, COUNTIF($M281:BV281,"u")=0), "u", "")</f>
        <v/>
      </c>
      <c r="BX281" s="80" t="str">
        <f>IF(AND($F281&lt;&gt;"", $F281&gt;=BX$5-4, $F281&lt;=BX$5, COUNTIF($M281:BW281,"u")=0), "u", "")</f>
        <v/>
      </c>
      <c r="BY281" s="80" t="str">
        <f>IF(AND($F281&lt;&gt;"", $F281&gt;=BY$5-4, $F281&lt;=BY$5, COUNTIF($M281:BX281,"u")=0), "u", "")</f>
        <v/>
      </c>
      <c r="BZ281" s="80" t="str">
        <f>IF(AND($F281&lt;&gt;"", $F281&gt;=BZ$5-4, $F281&lt;=BZ$5, COUNTIF($M281:BY281,"u")=0), "u", "")</f>
        <v/>
      </c>
      <c r="CA281" s="80" t="str">
        <f>IF(AND($F281&lt;&gt;"", $F281&gt;=CA$5-4, $F281&lt;=CA$5, COUNTIF($M281:BZ281,"u")=0), "u", "")</f>
        <v/>
      </c>
      <c r="CB281" s="80" t="str">
        <f>IF(AND($F281&lt;&gt;"", $F281&gt;=CB$5-4, $F281&lt;=CB$5, COUNTIF($M281:CA281,"u")=0), "u", "")</f>
        <v/>
      </c>
      <c r="CC281" s="80" t="str">
        <f>IF(AND($F281&lt;&gt;"", $F281&gt;=CC$5-4, $F281&lt;=CC$5, COUNTIF($M281:CB281,"u")=0), "u", "")</f>
        <v/>
      </c>
      <c r="CD281" s="80" t="str">
        <f>IF(AND($F281&lt;&gt;"", $F281&gt;=CD$5-4, $F281&lt;=CD$5, COUNTIF($M281:CC281,"u")=0), "u", "")</f>
        <v/>
      </c>
      <c r="CE281" s="80" t="str">
        <f>IF(AND($F281&lt;&gt;"", $F281&gt;=CE$5-4, $F281&lt;=CE$5, COUNTIF($M281:CD281,"u")=0), "u", "")</f>
        <v/>
      </c>
      <c r="CF281" s="80" t="str">
        <f>IF(AND($F281&lt;&gt;"", $F281&gt;=CF$5-4, $F281&lt;=CF$5, COUNTIF($M281:CE281,"u")=0), "u", "")</f>
        <v/>
      </c>
      <c r="CG281" s="80" t="str">
        <f>IF(AND($F281&lt;&gt;"", $F281&gt;=CG$5-4, $F281&lt;=CG$5, COUNTIF($M281:CF281,"u")=0), "u", "")</f>
        <v/>
      </c>
      <c r="CH281" s="80" t="str">
        <f>IF(AND($F281&lt;&gt;"", $F281&gt;=CH$5-4, $F281&lt;=CH$5, COUNTIF($M281:CG281,"u")=0), "u", "")</f>
        <v/>
      </c>
      <c r="CI281" s="80" t="str">
        <f>IF(AND($F281&lt;&gt;"", $F281&gt;=CI$5-4, $F281&lt;=CI$5, COUNTIF($M281:CH281,"u")=0), "u", "")</f>
        <v/>
      </c>
      <c r="CJ281" s="80" t="str">
        <f>IF(AND($F281&lt;&gt;"", $F281&gt;=CJ$5-4, $F281&lt;=CJ$5, COUNTIF($M281:CI281,"u")=0), "u", "")</f>
        <v/>
      </c>
      <c r="CK281" s="80" t="str">
        <f>IF(AND($F281&lt;&gt;"", $F281&gt;=CK$5-4, $F281&lt;=CK$5, COUNTIF($M281:CJ281,"u")=0), "u", "")</f>
        <v/>
      </c>
      <c r="CL281" s="80" t="str">
        <f>IF(AND($F281&lt;&gt;"", $F281&gt;=CL$5-4, $F281&lt;=CL$5, COUNTIF($M281:CK281,"u")=0), "u", "")</f>
        <v/>
      </c>
      <c r="CM281" s="80" t="str">
        <f>IF(AND($F281&lt;&gt;"", $F281&gt;=CM$5-4, $F281&lt;=CM$5, COUNTIF($M281:CL281,"u")=0), "u", "")</f>
        <v/>
      </c>
      <c r="CN281" s="80" t="str">
        <f>IF(AND($F281&lt;&gt;"", $F281&gt;=CN$5-4, $F281&lt;=CN$5, COUNTIF($M281:CM281,"u")=0), "u", "")</f>
        <v/>
      </c>
      <c r="CO281" s="80" t="str">
        <f>IF(AND($F281&lt;&gt;"", $F281&gt;=CO$5-4, $F281&lt;=CO$5, COUNTIF($M281:CN281,"u")=0), "u", "")</f>
        <v/>
      </c>
      <c r="CP281" s="80" t="str">
        <f>IF(AND($F281&lt;&gt;"", $F281&gt;=CP$5-4, $F281&lt;=CP$5, COUNTIF($M281:CO281,"u")=0), "u", "")</f>
        <v/>
      </c>
      <c r="CQ281" s="80" t="str">
        <f>IF(AND($F281&lt;&gt;"", $F281&gt;=CQ$5-4, $F281&lt;=CQ$5, COUNTIF($M281:CP281,"u")=0), "u", "")</f>
        <v/>
      </c>
      <c r="CR281" s="80" t="str">
        <f>IF(AND($F281&lt;&gt;"", $F281&gt;=CR$5-4, $F281&lt;=CR$5, COUNTIF($M281:CQ281,"u")=0), "u", "")</f>
        <v/>
      </c>
      <c r="CS281" s="80" t="str">
        <f>IF(AND($F281&lt;&gt;"", $F281&gt;=CS$5-4, $F281&lt;=CS$5, COUNTIF($M281:CR281,"u")=0), "u", "")</f>
        <v/>
      </c>
      <c r="CT281" s="80" t="str">
        <f>IF(AND($F281&lt;&gt;"", $F281&gt;=CT$5-4, $F281&lt;=CT$5, COUNTIF($M281:CS281,"u")=0), "u", "")</f>
        <v/>
      </c>
      <c r="CU281" s="80" t="str">
        <f>IF(AND($F281&lt;&gt;"", $F281&gt;=CU$5-4, $F281&lt;=CU$5, COUNTIF($M281:CT281,"u")=0), "u", "")</f>
        <v/>
      </c>
      <c r="CV281" s="80" t="str">
        <f>IF(AND($F281&lt;&gt;"", $F281&gt;=CV$5-4, $F281&lt;=CV$5, COUNTIF($M281:CU281,"u")=0), "u", "")</f>
        <v/>
      </c>
      <c r="CW281" s="80" t="str">
        <f>IF(AND($F281&lt;&gt;"", $F281&gt;=CW$5-4, $F281&lt;=CW$5, COUNTIF($M281:CV281,"u")=0), "u", "")</f>
        <v/>
      </c>
      <c r="CX281" s="80" t="str">
        <f>IF(AND($F281&lt;&gt;"", $F281&gt;=CX$5-4, $F281&lt;=CX$5, COUNTIF($M281:CW281,"u")=0), "u", "")</f>
        <v/>
      </c>
      <c r="CY281" s="80" t="str">
        <f>IF(AND($F281&lt;&gt;"", $F281&gt;=CY$5-4, $F281&lt;=CY$5, COUNTIF($M281:CX281,"u")=0), "u", "")</f>
        <v/>
      </c>
      <c r="CZ281" s="80" t="str">
        <f>IF(AND($F281&lt;&gt;"", $F281&gt;=CZ$5-4, $F281&lt;=CZ$5, COUNTIF($M281:CY281,"u")=0), "u", "")</f>
        <v/>
      </c>
      <c r="DA281" s="80" t="str">
        <f>IF(AND($F281&lt;&gt;"", $F281&gt;=DA$5-4, $F281&lt;=DA$5, COUNTIF($M281:CZ281,"u")=0), "u", "")</f>
        <v/>
      </c>
      <c r="DB281" s="80" t="str">
        <f>IF(AND($F281&lt;&gt;"", $F281&gt;=DB$5-4, $F281&lt;=DB$5, COUNTIF($M281:DA281,"u")=0), "u", "")</f>
        <v/>
      </c>
      <c r="DC281" s="80" t="str">
        <f>IF(AND($F281&lt;&gt;"", $F281&gt;=DC$5-4, $F281&lt;=DC$5, COUNTIF($M281:DB281,"u")=0), "u", "")</f>
        <v/>
      </c>
      <c r="DD281" s="80" t="str">
        <f>IF(AND($F281&lt;&gt;"", $F281&gt;=DD$5-4, $F281&lt;=DD$5, COUNTIF($M281:DC281,"u")=0), "u", "")</f>
        <v/>
      </c>
      <c r="DE281" s="80" t="str">
        <f>IF(AND($F281&lt;&gt;"", $F281&gt;=DE$5-4, $F281&lt;=DE$5, COUNTIF($M281:DD281,"u")=0), "u", "")</f>
        <v/>
      </c>
      <c r="DF281" s="80" t="str">
        <f>IF(AND($F281&lt;&gt;"", $F281&gt;=DF$5-4, $F281&lt;=DF$5, COUNTIF($M281:DE281,"u")=0), "u", "")</f>
        <v/>
      </c>
      <c r="DG281" s="80" t="str">
        <f>IF(AND($F281&lt;&gt;"", $F281&gt;=DG$5-4, $F281&lt;=DG$5, COUNTIF($M281:DF281,"u")=0), "u", "")</f>
        <v/>
      </c>
      <c r="DH281" s="80" t="str">
        <f>IF(AND($F281&lt;&gt;"", $F281&gt;=DH$5-4, $F281&lt;=DH$5, COUNTIF($M281:DG281,"u")=0), "u", "")</f>
        <v/>
      </c>
      <c r="DI281" s="80" t="str">
        <f>IF(AND($F281&lt;&gt;"", $F281&gt;=DI$5-4, $F281&lt;=DI$5, COUNTIF($M281:DH281,"u")=0), "u", "")</f>
        <v/>
      </c>
      <c r="DJ281" s="80" t="str">
        <f>IF(AND($F281&lt;&gt;"", $F281&gt;=DJ$5-4, $F281&lt;=DJ$5, COUNTIF($M281:DI281,"u")=0), "u", "")</f>
        <v/>
      </c>
      <c r="DK281" s="80" t="str">
        <f>IF(AND($F281&lt;&gt;"", $F281&gt;=DK$5-4, $F281&lt;=DK$5, COUNTIF($M281:DJ281,"u")=0), "u", "")</f>
        <v/>
      </c>
      <c r="DL281" s="80" t="str">
        <f>IF(AND($F281&lt;&gt;"", $F281&gt;=DL$5-4, $F281&lt;=DL$5, COUNTIF($M281:DK281,"u")=0), "u", "")</f>
        <v/>
      </c>
    </row>
    <row r="282" spans="1:116" ht="25.05" customHeight="1" x14ac:dyDescent="0.3">
      <c r="A282" s="39"/>
      <c r="B282" s="75">
        <v>277</v>
      </c>
      <c r="C282" s="97"/>
      <c r="D282" s="92"/>
      <c r="E282" s="53"/>
      <c r="F282" s="53"/>
      <c r="G282" s="83" t="str">
        <f t="shared" si="59"/>
        <v/>
      </c>
      <c r="H282" s="83" t="str">
        <f t="shared" si="59"/>
        <v/>
      </c>
      <c r="I282" s="77" t="str">
        <f t="shared" si="57"/>
        <v/>
      </c>
      <c r="J282" s="78"/>
      <c r="K282" s="86"/>
      <c r="L282" s="56"/>
      <c r="M282" s="80" t="str">
        <f t="shared" si="58"/>
        <v/>
      </c>
      <c r="N282" s="80" t="str">
        <f>IF(AND($F282&lt;&gt;"", $F282&gt;=N$5-4, $F282&lt;=N$5, COUNTIF($M282:M282,"u")=0), "u", "")</f>
        <v/>
      </c>
      <c r="O282" s="80" t="str">
        <f>IF(AND($F282&lt;&gt;"", $F282&gt;=O$5-4, $F282&lt;=O$5, COUNTIF($M282:N282,"u")=0), "u", "")</f>
        <v/>
      </c>
      <c r="P282" s="80" t="str">
        <f>IF(AND($F282&lt;&gt;"", $F282&gt;=P$5-4, $F282&lt;=P$5, COUNTIF($M282:O282,"u")=0), "u", "")</f>
        <v/>
      </c>
      <c r="Q282" s="80" t="str">
        <f>IF(AND($F282&lt;&gt;"", $F282&gt;=Q$5-4, $F282&lt;=Q$5, COUNTIF($M282:P282,"u")=0), "u", "")</f>
        <v/>
      </c>
      <c r="R282" s="80" t="str">
        <f>IF(AND($F282&lt;&gt;"", $F282&gt;=R$5-4, $F282&lt;=R$5, COUNTIF($M282:Q282,"u")=0), "u", "")</f>
        <v/>
      </c>
      <c r="S282" s="80" t="str">
        <f>IF(AND($F282&lt;&gt;"", $F282&gt;=S$5-4, $F282&lt;=S$5, COUNTIF($M282:R282,"u")=0), "u", "")</f>
        <v/>
      </c>
      <c r="T282" s="80" t="str">
        <f>IF(AND($F282&lt;&gt;"", $F282&gt;=T$5-4, $F282&lt;=T$5, COUNTIF($M282:S282,"u")=0), "u", "")</f>
        <v/>
      </c>
      <c r="U282" s="80" t="str">
        <f>IF(AND($F282&lt;&gt;"", $F282&gt;=U$5-4, $F282&lt;=U$5, COUNTIF($M282:T282,"u")=0), "u", "")</f>
        <v/>
      </c>
      <c r="V282" s="80" t="str">
        <f>IF(AND($F282&lt;&gt;"", $F282&gt;=V$5-4, $F282&lt;=V$5, COUNTIF($M282:U282,"u")=0), "u", "")</f>
        <v/>
      </c>
      <c r="W282" s="80" t="str">
        <f>IF(AND($F282&lt;&gt;"", $F282&gt;=W$5-4, $F282&lt;=W$5, COUNTIF($M282:V282,"u")=0), "u", "")</f>
        <v/>
      </c>
      <c r="X282" s="80" t="str">
        <f>IF(AND($F282&lt;&gt;"", $F282&gt;=X$5-4, $F282&lt;=X$5, COUNTIF($M282:W282,"u")=0), "u", "")</f>
        <v/>
      </c>
      <c r="Y282" s="80" t="str">
        <f>IF(AND($F282&lt;&gt;"", $F282&gt;=Y$5-4, $F282&lt;=Y$5, COUNTIF($M282:X282,"u")=0), "u", "")</f>
        <v/>
      </c>
      <c r="Z282" s="80" t="str">
        <f>IF(AND($F282&lt;&gt;"", $F282&gt;=Z$5-4, $F282&lt;=Z$5, COUNTIF($M282:Y282,"u")=0), "u", "")</f>
        <v/>
      </c>
      <c r="AA282" s="80" t="str">
        <f>IF(AND($F282&lt;&gt;"", $F282&gt;=AA$5-4, $F282&lt;=AA$5, COUNTIF($M282:Z282,"u")=0), "u", "")</f>
        <v/>
      </c>
      <c r="AB282" s="80" t="str">
        <f>IF(AND($F282&lt;&gt;"", $F282&gt;=AB$5-4, $F282&lt;=AB$5, COUNTIF($M282:AA282,"u")=0), "u", "")</f>
        <v/>
      </c>
      <c r="AC282" s="80" t="str">
        <f>IF(AND($F282&lt;&gt;"", $F282&gt;=AC$5-4, $F282&lt;=AC$5, COUNTIF($M282:AB282,"u")=0), "u", "")</f>
        <v/>
      </c>
      <c r="AD282" s="80" t="str">
        <f>IF(AND($F282&lt;&gt;"", $F282&gt;=AD$5-4, $F282&lt;=AD$5, COUNTIF($M282:AC282,"u")=0), "u", "")</f>
        <v/>
      </c>
      <c r="AE282" s="80" t="str">
        <f>IF(AND($F282&lt;&gt;"", $F282&gt;=AE$5-4, $F282&lt;=AE$5, COUNTIF($M282:AD282,"u")=0), "u", "")</f>
        <v/>
      </c>
      <c r="AF282" s="80" t="str">
        <f>IF(AND($F282&lt;&gt;"", $F282&gt;=AF$5-4, $F282&lt;=AF$5, COUNTIF($M282:AE282,"u")=0), "u", "")</f>
        <v/>
      </c>
      <c r="AG282" s="80" t="str">
        <f>IF(AND($F282&lt;&gt;"", $F282&gt;=AG$5-4, $F282&lt;=AG$5, COUNTIF($M282:AF282,"u")=0), "u", "")</f>
        <v/>
      </c>
      <c r="AH282" s="80" t="str">
        <f>IF(AND($F282&lt;&gt;"", $F282&gt;=AH$5-4, $F282&lt;=AH$5, COUNTIF($M282:AG282,"u")=0), "u", "")</f>
        <v/>
      </c>
      <c r="AI282" s="80" t="str">
        <f>IF(AND($F282&lt;&gt;"", $F282&gt;=AI$5-4, $F282&lt;=AI$5, COUNTIF($M282:AH282,"u")=0), "u", "")</f>
        <v/>
      </c>
      <c r="AJ282" s="80" t="str">
        <f>IF(AND($F282&lt;&gt;"", $F282&gt;=AJ$5-4, $F282&lt;=AJ$5, COUNTIF($M282:AI282,"u")=0), "u", "")</f>
        <v/>
      </c>
      <c r="AK282" s="80" t="str">
        <f>IF(AND($F282&lt;&gt;"", $F282&gt;=AK$5-4, $F282&lt;=AK$5, COUNTIF($M282:AJ282,"u")=0), "u", "")</f>
        <v/>
      </c>
      <c r="AL282" s="80" t="str">
        <f>IF(AND($F282&lt;&gt;"", $F282&gt;=AL$5-4, $F282&lt;=AL$5, COUNTIF($M282:AK282,"u")=0), "u", "")</f>
        <v/>
      </c>
      <c r="AM282" s="80" t="str">
        <f>IF(AND($F282&lt;&gt;"", $F282&gt;=AM$5-4, $F282&lt;=AM$5, COUNTIF($M282:AL282,"u")=0), "u", "")</f>
        <v/>
      </c>
      <c r="AN282" s="80" t="str">
        <f>IF(AND($F282&lt;&gt;"", $F282&gt;=AN$5-4, $F282&lt;=AN$5, COUNTIF($M282:AM282,"u")=0), "u", "")</f>
        <v/>
      </c>
      <c r="AO282" s="80" t="str">
        <f>IF(AND($F282&lt;&gt;"", $F282&gt;=AO$5-4, $F282&lt;=AO$5, COUNTIF($M282:AN282,"u")=0), "u", "")</f>
        <v/>
      </c>
      <c r="AP282" s="80" t="str">
        <f>IF(AND($F282&lt;&gt;"", $F282&gt;=AP$5-4, $F282&lt;=AP$5, COUNTIF($M282:AO282,"u")=0), "u", "")</f>
        <v/>
      </c>
      <c r="AQ282" s="80" t="str">
        <f>IF(AND($F282&lt;&gt;"", $F282&gt;=AQ$5-4, $F282&lt;=AQ$5, COUNTIF($M282:AP282,"u")=0), "u", "")</f>
        <v/>
      </c>
      <c r="AR282" s="80" t="str">
        <f>IF(AND($F282&lt;&gt;"", $F282&gt;=AR$5-4, $F282&lt;=AR$5, COUNTIF($M282:AQ282,"u")=0), "u", "")</f>
        <v/>
      </c>
      <c r="AS282" s="80" t="str">
        <f>IF(AND($F282&lt;&gt;"", $F282&gt;=AS$5-4, $F282&lt;=AS$5, COUNTIF($M282:AR282,"u")=0), "u", "")</f>
        <v/>
      </c>
      <c r="AT282" s="80" t="str">
        <f>IF(AND($F282&lt;&gt;"", $F282&gt;=AT$5-4, $F282&lt;=AT$5, COUNTIF($M282:AS282,"u")=0), "u", "")</f>
        <v/>
      </c>
      <c r="AU282" s="80" t="str">
        <f>IF(AND($F282&lt;&gt;"", $F282&gt;=AU$5-4, $F282&lt;=AU$5, COUNTIF($M282:AT282,"u")=0), "u", "")</f>
        <v/>
      </c>
      <c r="AV282" s="80" t="str">
        <f>IF(AND($F282&lt;&gt;"", $F282&gt;=AV$5-4, $F282&lt;=AV$5, COUNTIF($M282:AU282,"u")=0), "u", "")</f>
        <v/>
      </c>
      <c r="AW282" s="80" t="str">
        <f>IF(AND($F282&lt;&gt;"", $F282&gt;=AW$5-4, $F282&lt;=AW$5, COUNTIF($M282:AV282,"u")=0), "u", "")</f>
        <v/>
      </c>
      <c r="AX282" s="80" t="str">
        <f>IF(AND($F282&lt;&gt;"", $F282&gt;=AX$5-4, $F282&lt;=AX$5, COUNTIF($M282:AW282,"u")=0), "u", "")</f>
        <v/>
      </c>
      <c r="AY282" s="80" t="str">
        <f>IF(AND($F282&lt;&gt;"", $F282&gt;=AY$5-4, $F282&lt;=AY$5, COUNTIF($M282:AX282,"u")=0), "u", "")</f>
        <v/>
      </c>
      <c r="AZ282" s="80" t="str">
        <f>IF(AND($F282&lt;&gt;"", $F282&gt;=AZ$5-4, $F282&lt;=AZ$5, COUNTIF($M282:AY282,"u")=0), "u", "")</f>
        <v/>
      </c>
      <c r="BA282" s="80" t="str">
        <f>IF(AND($F282&lt;&gt;"", $F282&gt;=BA$5-4, $F282&lt;=BA$5, COUNTIF($M282:AZ282,"u")=0), "u", "")</f>
        <v/>
      </c>
      <c r="BB282" s="80" t="str">
        <f>IF(AND($F282&lt;&gt;"", $F282&gt;=BB$5-4, $F282&lt;=BB$5, COUNTIF($M282:BA282,"u")=0), "u", "")</f>
        <v/>
      </c>
      <c r="BC282" s="80" t="str">
        <f>IF(AND($F282&lt;&gt;"", $F282&gt;=BC$5-4, $F282&lt;=BC$5, COUNTIF($M282:BB282,"u")=0), "u", "")</f>
        <v/>
      </c>
      <c r="BD282" s="80" t="str">
        <f>IF(AND($F282&lt;&gt;"", $F282&gt;=BD$5-4, $F282&lt;=BD$5, COUNTIF($M282:BC282,"u")=0), "u", "")</f>
        <v/>
      </c>
      <c r="BE282" s="80" t="str">
        <f>IF(AND($F282&lt;&gt;"", $F282&gt;=BE$5-4, $F282&lt;=BE$5, COUNTIF($M282:BD282,"u")=0), "u", "")</f>
        <v/>
      </c>
      <c r="BF282" s="80" t="str">
        <f>IF(AND($F282&lt;&gt;"", $F282&gt;=BF$5-4, $F282&lt;=BF$5, COUNTIF($M282:BE282,"u")=0), "u", "")</f>
        <v/>
      </c>
      <c r="BG282" s="80" t="str">
        <f>IF(AND($F282&lt;&gt;"", $F282&gt;=BG$5-4, $F282&lt;=BG$5, COUNTIF($M282:BF282,"u")=0), "u", "")</f>
        <v/>
      </c>
      <c r="BH282" s="80" t="str">
        <f>IF(AND($F282&lt;&gt;"", $F282&gt;=BH$5-4, $F282&lt;=BH$5, COUNTIF($M282:BG282,"u")=0), "u", "")</f>
        <v/>
      </c>
      <c r="BI282" s="80" t="str">
        <f>IF(AND($F282&lt;&gt;"", $F282&gt;=BI$5-4, $F282&lt;=BI$5, COUNTIF($M282:BH282,"u")=0), "u", "")</f>
        <v/>
      </c>
      <c r="BJ282" s="80" t="str">
        <f>IF(AND($F282&lt;&gt;"", $F282&gt;=BJ$5-4, $F282&lt;=BJ$5, COUNTIF($M282:BI282,"u")=0), "u", "")</f>
        <v/>
      </c>
      <c r="BK282" s="80" t="str">
        <f>IF(AND($F282&lt;&gt;"", $F282&gt;=BK$5-4, $F282&lt;=BK$5, COUNTIF($M282:BJ282,"u")=0), "u", "")</f>
        <v/>
      </c>
      <c r="BL282" s="80" t="str">
        <f>IF(AND($F282&lt;&gt;"", $F282&gt;=BL$5-4, $F282&lt;=BL$5, COUNTIF($M282:BK282,"u")=0), "u", "")</f>
        <v/>
      </c>
      <c r="BM282" s="80" t="str">
        <f>IF(AND($F282&lt;&gt;"", $F282&gt;=BM$5-4, $F282&lt;=BM$5, COUNTIF($M282:BL282,"u")=0), "u", "")</f>
        <v/>
      </c>
      <c r="BN282" s="80" t="str">
        <f>IF(AND($F282&lt;&gt;"", $F282&gt;=BN$5-4, $F282&lt;=BN$5, COUNTIF($M282:BM282,"u")=0), "u", "")</f>
        <v/>
      </c>
      <c r="BO282" s="80" t="str">
        <f>IF(AND($F282&lt;&gt;"", $F282&gt;=BO$5-4, $F282&lt;=BO$5, COUNTIF($M282:BN282,"u")=0), "u", "")</f>
        <v/>
      </c>
      <c r="BP282" s="80" t="str">
        <f>IF(AND($F282&lt;&gt;"", $F282&gt;=BP$5-4, $F282&lt;=BP$5, COUNTIF($M282:BO282,"u")=0), "u", "")</f>
        <v/>
      </c>
      <c r="BQ282" s="80" t="str">
        <f>IF(AND($F282&lt;&gt;"", $F282&gt;=BQ$5-4, $F282&lt;=BQ$5, COUNTIF($M282:BP282,"u")=0), "u", "")</f>
        <v/>
      </c>
      <c r="BR282" s="80" t="str">
        <f>IF(AND($F282&lt;&gt;"", $F282&gt;=BR$5-4, $F282&lt;=BR$5, COUNTIF($M282:BQ282,"u")=0), "u", "")</f>
        <v/>
      </c>
      <c r="BS282" s="80" t="str">
        <f>IF(AND($F282&lt;&gt;"", $F282&gt;=BS$5-4, $F282&lt;=BS$5, COUNTIF($M282:BR282,"u")=0), "u", "")</f>
        <v/>
      </c>
      <c r="BT282" s="80" t="str">
        <f>IF(AND($F282&lt;&gt;"", $F282&gt;=BT$5-4, $F282&lt;=BT$5, COUNTIF($M282:BS282,"u")=0), "u", "")</f>
        <v/>
      </c>
      <c r="BU282" s="80" t="str">
        <f>IF(AND($F282&lt;&gt;"", $F282&gt;=BU$5-4, $F282&lt;=BU$5, COUNTIF($M282:BT282,"u")=0), "u", "")</f>
        <v/>
      </c>
      <c r="BV282" s="80" t="str">
        <f>IF(AND($F282&lt;&gt;"", $F282&gt;=BV$5-4, $F282&lt;=BV$5, COUNTIF($M282:BU282,"u")=0), "u", "")</f>
        <v/>
      </c>
      <c r="BW282" s="80" t="str">
        <f>IF(AND($F282&lt;&gt;"", $F282&gt;=BW$5-4, $F282&lt;=BW$5, COUNTIF($M282:BV282,"u")=0), "u", "")</f>
        <v/>
      </c>
      <c r="BX282" s="80" t="str">
        <f>IF(AND($F282&lt;&gt;"", $F282&gt;=BX$5-4, $F282&lt;=BX$5, COUNTIF($M282:BW282,"u")=0), "u", "")</f>
        <v/>
      </c>
      <c r="BY282" s="80" t="str">
        <f>IF(AND($F282&lt;&gt;"", $F282&gt;=BY$5-4, $F282&lt;=BY$5, COUNTIF($M282:BX282,"u")=0), "u", "")</f>
        <v/>
      </c>
      <c r="BZ282" s="80" t="str">
        <f>IF(AND($F282&lt;&gt;"", $F282&gt;=BZ$5-4, $F282&lt;=BZ$5, COUNTIF($M282:BY282,"u")=0), "u", "")</f>
        <v/>
      </c>
      <c r="CA282" s="80" t="str">
        <f>IF(AND($F282&lt;&gt;"", $F282&gt;=CA$5-4, $F282&lt;=CA$5, COUNTIF($M282:BZ282,"u")=0), "u", "")</f>
        <v/>
      </c>
      <c r="CB282" s="80" t="str">
        <f>IF(AND($F282&lt;&gt;"", $F282&gt;=CB$5-4, $F282&lt;=CB$5, COUNTIF($M282:CA282,"u")=0), "u", "")</f>
        <v/>
      </c>
      <c r="CC282" s="80" t="str">
        <f>IF(AND($F282&lt;&gt;"", $F282&gt;=CC$5-4, $F282&lt;=CC$5, COUNTIF($M282:CB282,"u")=0), "u", "")</f>
        <v/>
      </c>
      <c r="CD282" s="80" t="str">
        <f>IF(AND($F282&lt;&gt;"", $F282&gt;=CD$5-4, $F282&lt;=CD$5, COUNTIF($M282:CC282,"u")=0), "u", "")</f>
        <v/>
      </c>
      <c r="CE282" s="80" t="str">
        <f>IF(AND($F282&lt;&gt;"", $F282&gt;=CE$5-4, $F282&lt;=CE$5, COUNTIF($M282:CD282,"u")=0), "u", "")</f>
        <v/>
      </c>
      <c r="CF282" s="80" t="str">
        <f>IF(AND($F282&lt;&gt;"", $F282&gt;=CF$5-4, $F282&lt;=CF$5, COUNTIF($M282:CE282,"u")=0), "u", "")</f>
        <v/>
      </c>
      <c r="CG282" s="80" t="str">
        <f>IF(AND($F282&lt;&gt;"", $F282&gt;=CG$5-4, $F282&lt;=CG$5, COUNTIF($M282:CF282,"u")=0), "u", "")</f>
        <v/>
      </c>
      <c r="CH282" s="80" t="str">
        <f>IF(AND($F282&lt;&gt;"", $F282&gt;=CH$5-4, $F282&lt;=CH$5, COUNTIF($M282:CG282,"u")=0), "u", "")</f>
        <v/>
      </c>
      <c r="CI282" s="80" t="str">
        <f>IF(AND($F282&lt;&gt;"", $F282&gt;=CI$5-4, $F282&lt;=CI$5, COUNTIF($M282:CH282,"u")=0), "u", "")</f>
        <v/>
      </c>
      <c r="CJ282" s="80" t="str">
        <f>IF(AND($F282&lt;&gt;"", $F282&gt;=CJ$5-4, $F282&lt;=CJ$5, COUNTIF($M282:CI282,"u")=0), "u", "")</f>
        <v/>
      </c>
      <c r="CK282" s="80" t="str">
        <f>IF(AND($F282&lt;&gt;"", $F282&gt;=CK$5-4, $F282&lt;=CK$5, COUNTIF($M282:CJ282,"u")=0), "u", "")</f>
        <v/>
      </c>
      <c r="CL282" s="80" t="str">
        <f>IF(AND($F282&lt;&gt;"", $F282&gt;=CL$5-4, $F282&lt;=CL$5, COUNTIF($M282:CK282,"u")=0), "u", "")</f>
        <v/>
      </c>
      <c r="CM282" s="80" t="str">
        <f>IF(AND($F282&lt;&gt;"", $F282&gt;=CM$5-4, $F282&lt;=CM$5, COUNTIF($M282:CL282,"u")=0), "u", "")</f>
        <v/>
      </c>
      <c r="CN282" s="80" t="str">
        <f>IF(AND($F282&lt;&gt;"", $F282&gt;=CN$5-4, $F282&lt;=CN$5, COUNTIF($M282:CM282,"u")=0), "u", "")</f>
        <v/>
      </c>
      <c r="CO282" s="80" t="str">
        <f>IF(AND($F282&lt;&gt;"", $F282&gt;=CO$5-4, $F282&lt;=CO$5, COUNTIF($M282:CN282,"u")=0), "u", "")</f>
        <v/>
      </c>
      <c r="CP282" s="80" t="str">
        <f>IF(AND($F282&lt;&gt;"", $F282&gt;=CP$5-4, $F282&lt;=CP$5, COUNTIF($M282:CO282,"u")=0), "u", "")</f>
        <v/>
      </c>
      <c r="CQ282" s="80" t="str">
        <f>IF(AND($F282&lt;&gt;"", $F282&gt;=CQ$5-4, $F282&lt;=CQ$5, COUNTIF($M282:CP282,"u")=0), "u", "")</f>
        <v/>
      </c>
      <c r="CR282" s="80" t="str">
        <f>IF(AND($F282&lt;&gt;"", $F282&gt;=CR$5-4, $F282&lt;=CR$5, COUNTIF($M282:CQ282,"u")=0), "u", "")</f>
        <v/>
      </c>
      <c r="CS282" s="80" t="str">
        <f>IF(AND($F282&lt;&gt;"", $F282&gt;=CS$5-4, $F282&lt;=CS$5, COUNTIF($M282:CR282,"u")=0), "u", "")</f>
        <v/>
      </c>
      <c r="CT282" s="80" t="str">
        <f>IF(AND($F282&lt;&gt;"", $F282&gt;=CT$5-4, $F282&lt;=CT$5, COUNTIF($M282:CS282,"u")=0), "u", "")</f>
        <v/>
      </c>
      <c r="CU282" s="80" t="str">
        <f>IF(AND($F282&lt;&gt;"", $F282&gt;=CU$5-4, $F282&lt;=CU$5, COUNTIF($M282:CT282,"u")=0), "u", "")</f>
        <v/>
      </c>
      <c r="CV282" s="80" t="str">
        <f>IF(AND($F282&lt;&gt;"", $F282&gt;=CV$5-4, $F282&lt;=CV$5, COUNTIF($M282:CU282,"u")=0), "u", "")</f>
        <v/>
      </c>
      <c r="CW282" s="80" t="str">
        <f>IF(AND($F282&lt;&gt;"", $F282&gt;=CW$5-4, $F282&lt;=CW$5, COUNTIF($M282:CV282,"u")=0), "u", "")</f>
        <v/>
      </c>
      <c r="CX282" s="80" t="str">
        <f>IF(AND($F282&lt;&gt;"", $F282&gt;=CX$5-4, $F282&lt;=CX$5, COUNTIF($M282:CW282,"u")=0), "u", "")</f>
        <v/>
      </c>
      <c r="CY282" s="80" t="str">
        <f>IF(AND($F282&lt;&gt;"", $F282&gt;=CY$5-4, $F282&lt;=CY$5, COUNTIF($M282:CX282,"u")=0), "u", "")</f>
        <v/>
      </c>
      <c r="CZ282" s="80" t="str">
        <f>IF(AND($F282&lt;&gt;"", $F282&gt;=CZ$5-4, $F282&lt;=CZ$5, COUNTIF($M282:CY282,"u")=0), "u", "")</f>
        <v/>
      </c>
      <c r="DA282" s="80" t="str">
        <f>IF(AND($F282&lt;&gt;"", $F282&gt;=DA$5-4, $F282&lt;=DA$5, COUNTIF($M282:CZ282,"u")=0), "u", "")</f>
        <v/>
      </c>
      <c r="DB282" s="80" t="str">
        <f>IF(AND($F282&lt;&gt;"", $F282&gt;=DB$5-4, $F282&lt;=DB$5, COUNTIF($M282:DA282,"u")=0), "u", "")</f>
        <v/>
      </c>
      <c r="DC282" s="80" t="str">
        <f>IF(AND($F282&lt;&gt;"", $F282&gt;=DC$5-4, $F282&lt;=DC$5, COUNTIF($M282:DB282,"u")=0), "u", "")</f>
        <v/>
      </c>
      <c r="DD282" s="80" t="str">
        <f>IF(AND($F282&lt;&gt;"", $F282&gt;=DD$5-4, $F282&lt;=DD$5, COUNTIF($M282:DC282,"u")=0), "u", "")</f>
        <v/>
      </c>
      <c r="DE282" s="80" t="str">
        <f>IF(AND($F282&lt;&gt;"", $F282&gt;=DE$5-4, $F282&lt;=DE$5, COUNTIF($M282:DD282,"u")=0), "u", "")</f>
        <v/>
      </c>
      <c r="DF282" s="80" t="str">
        <f>IF(AND($F282&lt;&gt;"", $F282&gt;=DF$5-4, $F282&lt;=DF$5, COUNTIF($M282:DE282,"u")=0), "u", "")</f>
        <v/>
      </c>
      <c r="DG282" s="80" t="str">
        <f>IF(AND($F282&lt;&gt;"", $F282&gt;=DG$5-4, $F282&lt;=DG$5, COUNTIF($M282:DF282,"u")=0), "u", "")</f>
        <v/>
      </c>
      <c r="DH282" s="80" t="str">
        <f>IF(AND($F282&lt;&gt;"", $F282&gt;=DH$5-4, $F282&lt;=DH$5, COUNTIF($M282:DG282,"u")=0), "u", "")</f>
        <v/>
      </c>
      <c r="DI282" s="80" t="str">
        <f>IF(AND($F282&lt;&gt;"", $F282&gt;=DI$5-4, $F282&lt;=DI$5, COUNTIF($M282:DH282,"u")=0), "u", "")</f>
        <v/>
      </c>
      <c r="DJ282" s="80" t="str">
        <f>IF(AND($F282&lt;&gt;"", $F282&gt;=DJ$5-4, $F282&lt;=DJ$5, COUNTIF($M282:DI282,"u")=0), "u", "")</f>
        <v/>
      </c>
      <c r="DK282" s="80" t="str">
        <f>IF(AND($F282&lt;&gt;"", $F282&gt;=DK$5-4, $F282&lt;=DK$5, COUNTIF($M282:DJ282,"u")=0), "u", "")</f>
        <v/>
      </c>
      <c r="DL282" s="80" t="str">
        <f>IF(AND($F282&lt;&gt;"", $F282&gt;=DL$5-4, $F282&lt;=DL$5, COUNTIF($M282:DK282,"u")=0), "u", "")</f>
        <v/>
      </c>
    </row>
    <row r="283" spans="1:116" ht="25.05" customHeight="1" x14ac:dyDescent="0.3">
      <c r="A283" s="39"/>
      <c r="B283" s="75">
        <v>278</v>
      </c>
      <c r="C283" s="97"/>
      <c r="D283" s="92"/>
      <c r="E283" s="53"/>
      <c r="F283" s="53"/>
      <c r="G283" s="83" t="str">
        <f t="shared" si="59"/>
        <v/>
      </c>
      <c r="H283" s="83" t="str">
        <f t="shared" si="59"/>
        <v/>
      </c>
      <c r="I283" s="77" t="str">
        <f t="shared" si="57"/>
        <v/>
      </c>
      <c r="J283" s="78"/>
      <c r="K283" s="86"/>
      <c r="L283" s="56"/>
      <c r="M283" s="80" t="str">
        <f t="shared" si="58"/>
        <v/>
      </c>
      <c r="N283" s="80" t="str">
        <f>IF(AND($F283&lt;&gt;"", $F283&gt;=N$5-4, $F283&lt;=N$5, COUNTIF($M283:M283,"u")=0), "u", "")</f>
        <v/>
      </c>
      <c r="O283" s="80" t="str">
        <f>IF(AND($F283&lt;&gt;"", $F283&gt;=O$5-4, $F283&lt;=O$5, COUNTIF($M283:N283,"u")=0), "u", "")</f>
        <v/>
      </c>
      <c r="P283" s="80" t="str">
        <f>IF(AND($F283&lt;&gt;"", $F283&gt;=P$5-4, $F283&lt;=P$5, COUNTIF($M283:O283,"u")=0), "u", "")</f>
        <v/>
      </c>
      <c r="Q283" s="80" t="str">
        <f>IF(AND($F283&lt;&gt;"", $F283&gt;=Q$5-4, $F283&lt;=Q$5, COUNTIF($M283:P283,"u")=0), "u", "")</f>
        <v/>
      </c>
      <c r="R283" s="80" t="str">
        <f>IF(AND($F283&lt;&gt;"", $F283&gt;=R$5-4, $F283&lt;=R$5, COUNTIF($M283:Q283,"u")=0), "u", "")</f>
        <v/>
      </c>
      <c r="S283" s="80" t="str">
        <f>IF(AND($F283&lt;&gt;"", $F283&gt;=S$5-4, $F283&lt;=S$5, COUNTIF($M283:R283,"u")=0), "u", "")</f>
        <v/>
      </c>
      <c r="T283" s="80" t="str">
        <f>IF(AND($F283&lt;&gt;"", $F283&gt;=T$5-4, $F283&lt;=T$5, COUNTIF($M283:S283,"u")=0), "u", "")</f>
        <v/>
      </c>
      <c r="U283" s="80" t="str">
        <f>IF(AND($F283&lt;&gt;"", $F283&gt;=U$5-4, $F283&lt;=U$5, COUNTIF($M283:T283,"u")=0), "u", "")</f>
        <v/>
      </c>
      <c r="V283" s="80" t="str">
        <f>IF(AND($F283&lt;&gt;"", $F283&gt;=V$5-4, $F283&lt;=V$5, COUNTIF($M283:U283,"u")=0), "u", "")</f>
        <v/>
      </c>
      <c r="W283" s="80" t="str">
        <f>IF(AND($F283&lt;&gt;"", $F283&gt;=W$5-4, $F283&lt;=W$5, COUNTIF($M283:V283,"u")=0), "u", "")</f>
        <v/>
      </c>
      <c r="X283" s="80" t="str">
        <f>IF(AND($F283&lt;&gt;"", $F283&gt;=X$5-4, $F283&lt;=X$5, COUNTIF($M283:W283,"u")=0), "u", "")</f>
        <v/>
      </c>
      <c r="Y283" s="80" t="str">
        <f>IF(AND($F283&lt;&gt;"", $F283&gt;=Y$5-4, $F283&lt;=Y$5, COUNTIF($M283:X283,"u")=0), "u", "")</f>
        <v/>
      </c>
      <c r="Z283" s="80" t="str">
        <f>IF(AND($F283&lt;&gt;"", $F283&gt;=Z$5-4, $F283&lt;=Z$5, COUNTIF($M283:Y283,"u")=0), "u", "")</f>
        <v/>
      </c>
      <c r="AA283" s="80" t="str">
        <f>IF(AND($F283&lt;&gt;"", $F283&gt;=AA$5-4, $F283&lt;=AA$5, COUNTIF($M283:Z283,"u")=0), "u", "")</f>
        <v/>
      </c>
      <c r="AB283" s="80" t="str">
        <f>IF(AND($F283&lt;&gt;"", $F283&gt;=AB$5-4, $F283&lt;=AB$5, COUNTIF($M283:AA283,"u")=0), "u", "")</f>
        <v/>
      </c>
      <c r="AC283" s="80" t="str">
        <f>IF(AND($F283&lt;&gt;"", $F283&gt;=AC$5-4, $F283&lt;=AC$5, COUNTIF($M283:AB283,"u")=0), "u", "")</f>
        <v/>
      </c>
      <c r="AD283" s="80" t="str">
        <f>IF(AND($F283&lt;&gt;"", $F283&gt;=AD$5-4, $F283&lt;=AD$5, COUNTIF($M283:AC283,"u")=0), "u", "")</f>
        <v/>
      </c>
      <c r="AE283" s="80" t="str">
        <f>IF(AND($F283&lt;&gt;"", $F283&gt;=AE$5-4, $F283&lt;=AE$5, COUNTIF($M283:AD283,"u")=0), "u", "")</f>
        <v/>
      </c>
      <c r="AF283" s="80" t="str">
        <f>IF(AND($F283&lt;&gt;"", $F283&gt;=AF$5-4, $F283&lt;=AF$5, COUNTIF($M283:AE283,"u")=0), "u", "")</f>
        <v/>
      </c>
      <c r="AG283" s="80" t="str">
        <f>IF(AND($F283&lt;&gt;"", $F283&gt;=AG$5-4, $F283&lt;=AG$5, COUNTIF($M283:AF283,"u")=0), "u", "")</f>
        <v/>
      </c>
      <c r="AH283" s="80" t="str">
        <f>IF(AND($F283&lt;&gt;"", $F283&gt;=AH$5-4, $F283&lt;=AH$5, COUNTIF($M283:AG283,"u")=0), "u", "")</f>
        <v/>
      </c>
      <c r="AI283" s="80" t="str">
        <f>IF(AND($F283&lt;&gt;"", $F283&gt;=AI$5-4, $F283&lt;=AI$5, COUNTIF($M283:AH283,"u")=0), "u", "")</f>
        <v/>
      </c>
      <c r="AJ283" s="80" t="str">
        <f>IF(AND($F283&lt;&gt;"", $F283&gt;=AJ$5-4, $F283&lt;=AJ$5, COUNTIF($M283:AI283,"u")=0), "u", "")</f>
        <v/>
      </c>
      <c r="AK283" s="80" t="str">
        <f>IF(AND($F283&lt;&gt;"", $F283&gt;=AK$5-4, $F283&lt;=AK$5, COUNTIF($M283:AJ283,"u")=0), "u", "")</f>
        <v/>
      </c>
      <c r="AL283" s="80" t="str">
        <f>IF(AND($F283&lt;&gt;"", $F283&gt;=AL$5-4, $F283&lt;=AL$5, COUNTIF($M283:AK283,"u")=0), "u", "")</f>
        <v/>
      </c>
      <c r="AM283" s="80" t="str">
        <f>IF(AND($F283&lt;&gt;"", $F283&gt;=AM$5-4, $F283&lt;=AM$5, COUNTIF($M283:AL283,"u")=0), "u", "")</f>
        <v/>
      </c>
      <c r="AN283" s="80" t="str">
        <f>IF(AND($F283&lt;&gt;"", $F283&gt;=AN$5-4, $F283&lt;=AN$5, COUNTIF($M283:AM283,"u")=0), "u", "")</f>
        <v/>
      </c>
      <c r="AO283" s="80" t="str">
        <f>IF(AND($F283&lt;&gt;"", $F283&gt;=AO$5-4, $F283&lt;=AO$5, COUNTIF($M283:AN283,"u")=0), "u", "")</f>
        <v/>
      </c>
      <c r="AP283" s="80" t="str">
        <f>IF(AND($F283&lt;&gt;"", $F283&gt;=AP$5-4, $F283&lt;=AP$5, COUNTIF($M283:AO283,"u")=0), "u", "")</f>
        <v/>
      </c>
      <c r="AQ283" s="80" t="str">
        <f>IF(AND($F283&lt;&gt;"", $F283&gt;=AQ$5-4, $F283&lt;=AQ$5, COUNTIF($M283:AP283,"u")=0), "u", "")</f>
        <v/>
      </c>
      <c r="AR283" s="80" t="str">
        <f>IF(AND($F283&lt;&gt;"", $F283&gt;=AR$5-4, $F283&lt;=AR$5, COUNTIF($M283:AQ283,"u")=0), "u", "")</f>
        <v/>
      </c>
      <c r="AS283" s="80" t="str">
        <f>IF(AND($F283&lt;&gt;"", $F283&gt;=AS$5-4, $F283&lt;=AS$5, COUNTIF($M283:AR283,"u")=0), "u", "")</f>
        <v/>
      </c>
      <c r="AT283" s="80" t="str">
        <f>IF(AND($F283&lt;&gt;"", $F283&gt;=AT$5-4, $F283&lt;=AT$5, COUNTIF($M283:AS283,"u")=0), "u", "")</f>
        <v/>
      </c>
      <c r="AU283" s="80" t="str">
        <f>IF(AND($F283&lt;&gt;"", $F283&gt;=AU$5-4, $F283&lt;=AU$5, COUNTIF($M283:AT283,"u")=0), "u", "")</f>
        <v/>
      </c>
      <c r="AV283" s="80" t="str">
        <f>IF(AND($F283&lt;&gt;"", $F283&gt;=AV$5-4, $F283&lt;=AV$5, COUNTIF($M283:AU283,"u")=0), "u", "")</f>
        <v/>
      </c>
      <c r="AW283" s="80" t="str">
        <f>IF(AND($F283&lt;&gt;"", $F283&gt;=AW$5-4, $F283&lt;=AW$5, COUNTIF($M283:AV283,"u")=0), "u", "")</f>
        <v/>
      </c>
      <c r="AX283" s="80" t="str">
        <f>IF(AND($F283&lt;&gt;"", $F283&gt;=AX$5-4, $F283&lt;=AX$5, COUNTIF($M283:AW283,"u")=0), "u", "")</f>
        <v/>
      </c>
      <c r="AY283" s="80" t="str">
        <f>IF(AND($F283&lt;&gt;"", $F283&gt;=AY$5-4, $F283&lt;=AY$5, COUNTIF($M283:AX283,"u")=0), "u", "")</f>
        <v/>
      </c>
      <c r="AZ283" s="80" t="str">
        <f>IF(AND($F283&lt;&gt;"", $F283&gt;=AZ$5-4, $F283&lt;=AZ$5, COUNTIF($M283:AY283,"u")=0), "u", "")</f>
        <v/>
      </c>
      <c r="BA283" s="80" t="str">
        <f>IF(AND($F283&lt;&gt;"", $F283&gt;=BA$5-4, $F283&lt;=BA$5, COUNTIF($M283:AZ283,"u")=0), "u", "")</f>
        <v/>
      </c>
      <c r="BB283" s="80" t="str">
        <f>IF(AND($F283&lt;&gt;"", $F283&gt;=BB$5-4, $F283&lt;=BB$5, COUNTIF($M283:BA283,"u")=0), "u", "")</f>
        <v/>
      </c>
      <c r="BC283" s="80" t="str">
        <f>IF(AND($F283&lt;&gt;"", $F283&gt;=BC$5-4, $F283&lt;=BC$5, COUNTIF($M283:BB283,"u")=0), "u", "")</f>
        <v/>
      </c>
      <c r="BD283" s="80" t="str">
        <f>IF(AND($F283&lt;&gt;"", $F283&gt;=BD$5-4, $F283&lt;=BD$5, COUNTIF($M283:BC283,"u")=0), "u", "")</f>
        <v/>
      </c>
      <c r="BE283" s="80" t="str">
        <f>IF(AND($F283&lt;&gt;"", $F283&gt;=BE$5-4, $F283&lt;=BE$5, COUNTIF($M283:BD283,"u")=0), "u", "")</f>
        <v/>
      </c>
      <c r="BF283" s="80" t="str">
        <f>IF(AND($F283&lt;&gt;"", $F283&gt;=BF$5-4, $F283&lt;=BF$5, COUNTIF($M283:BE283,"u")=0), "u", "")</f>
        <v/>
      </c>
      <c r="BG283" s="80" t="str">
        <f>IF(AND($F283&lt;&gt;"", $F283&gt;=BG$5-4, $F283&lt;=BG$5, COUNTIF($M283:BF283,"u")=0), "u", "")</f>
        <v/>
      </c>
      <c r="BH283" s="80" t="str">
        <f>IF(AND($F283&lt;&gt;"", $F283&gt;=BH$5-4, $F283&lt;=BH$5, COUNTIF($M283:BG283,"u")=0), "u", "")</f>
        <v/>
      </c>
      <c r="BI283" s="80" t="str">
        <f>IF(AND($F283&lt;&gt;"", $F283&gt;=BI$5-4, $F283&lt;=BI$5, COUNTIF($M283:BH283,"u")=0), "u", "")</f>
        <v/>
      </c>
      <c r="BJ283" s="80" t="str">
        <f>IF(AND($F283&lt;&gt;"", $F283&gt;=BJ$5-4, $F283&lt;=BJ$5, COUNTIF($M283:BI283,"u")=0), "u", "")</f>
        <v/>
      </c>
      <c r="BK283" s="80" t="str">
        <f>IF(AND($F283&lt;&gt;"", $F283&gt;=BK$5-4, $F283&lt;=BK$5, COUNTIF($M283:BJ283,"u")=0), "u", "")</f>
        <v/>
      </c>
      <c r="BL283" s="80" t="str">
        <f>IF(AND($F283&lt;&gt;"", $F283&gt;=BL$5-4, $F283&lt;=BL$5, COUNTIF($M283:BK283,"u")=0), "u", "")</f>
        <v/>
      </c>
      <c r="BM283" s="80" t="str">
        <f>IF(AND($F283&lt;&gt;"", $F283&gt;=BM$5-4, $F283&lt;=BM$5, COUNTIF($M283:BL283,"u")=0), "u", "")</f>
        <v/>
      </c>
      <c r="BN283" s="80" t="str">
        <f>IF(AND($F283&lt;&gt;"", $F283&gt;=BN$5-4, $F283&lt;=BN$5, COUNTIF($M283:BM283,"u")=0), "u", "")</f>
        <v/>
      </c>
      <c r="BO283" s="80" t="str">
        <f>IF(AND($F283&lt;&gt;"", $F283&gt;=BO$5-4, $F283&lt;=BO$5, COUNTIF($M283:BN283,"u")=0), "u", "")</f>
        <v/>
      </c>
      <c r="BP283" s="80" t="str">
        <f>IF(AND($F283&lt;&gt;"", $F283&gt;=BP$5-4, $F283&lt;=BP$5, COUNTIF($M283:BO283,"u")=0), "u", "")</f>
        <v/>
      </c>
      <c r="BQ283" s="80" t="str">
        <f>IF(AND($F283&lt;&gt;"", $F283&gt;=BQ$5-4, $F283&lt;=BQ$5, COUNTIF($M283:BP283,"u")=0), "u", "")</f>
        <v/>
      </c>
      <c r="BR283" s="80" t="str">
        <f>IF(AND($F283&lt;&gt;"", $F283&gt;=BR$5-4, $F283&lt;=BR$5, COUNTIF($M283:BQ283,"u")=0), "u", "")</f>
        <v/>
      </c>
      <c r="BS283" s="80" t="str">
        <f>IF(AND($F283&lt;&gt;"", $F283&gt;=BS$5-4, $F283&lt;=BS$5, COUNTIF($M283:BR283,"u")=0), "u", "")</f>
        <v/>
      </c>
      <c r="BT283" s="80" t="str">
        <f>IF(AND($F283&lt;&gt;"", $F283&gt;=BT$5-4, $F283&lt;=BT$5, COUNTIF($M283:BS283,"u")=0), "u", "")</f>
        <v/>
      </c>
      <c r="BU283" s="80" t="str">
        <f>IF(AND($F283&lt;&gt;"", $F283&gt;=BU$5-4, $F283&lt;=BU$5, COUNTIF($M283:BT283,"u")=0), "u", "")</f>
        <v/>
      </c>
      <c r="BV283" s="80" t="str">
        <f>IF(AND($F283&lt;&gt;"", $F283&gt;=BV$5-4, $F283&lt;=BV$5, COUNTIF($M283:BU283,"u")=0), "u", "")</f>
        <v/>
      </c>
      <c r="BW283" s="80" t="str">
        <f>IF(AND($F283&lt;&gt;"", $F283&gt;=BW$5-4, $F283&lt;=BW$5, COUNTIF($M283:BV283,"u")=0), "u", "")</f>
        <v/>
      </c>
      <c r="BX283" s="80" t="str">
        <f>IF(AND($F283&lt;&gt;"", $F283&gt;=BX$5-4, $F283&lt;=BX$5, COUNTIF($M283:BW283,"u")=0), "u", "")</f>
        <v/>
      </c>
      <c r="BY283" s="80" t="str">
        <f>IF(AND($F283&lt;&gt;"", $F283&gt;=BY$5-4, $F283&lt;=BY$5, COUNTIF($M283:BX283,"u")=0), "u", "")</f>
        <v/>
      </c>
      <c r="BZ283" s="80" t="str">
        <f>IF(AND($F283&lt;&gt;"", $F283&gt;=BZ$5-4, $F283&lt;=BZ$5, COUNTIF($M283:BY283,"u")=0), "u", "")</f>
        <v/>
      </c>
      <c r="CA283" s="80" t="str">
        <f>IF(AND($F283&lt;&gt;"", $F283&gt;=CA$5-4, $F283&lt;=CA$5, COUNTIF($M283:BZ283,"u")=0), "u", "")</f>
        <v/>
      </c>
      <c r="CB283" s="80" t="str">
        <f>IF(AND($F283&lt;&gt;"", $F283&gt;=CB$5-4, $F283&lt;=CB$5, COUNTIF($M283:CA283,"u")=0), "u", "")</f>
        <v/>
      </c>
      <c r="CC283" s="80" t="str">
        <f>IF(AND($F283&lt;&gt;"", $F283&gt;=CC$5-4, $F283&lt;=CC$5, COUNTIF($M283:CB283,"u")=0), "u", "")</f>
        <v/>
      </c>
      <c r="CD283" s="80" t="str">
        <f>IF(AND($F283&lt;&gt;"", $F283&gt;=CD$5-4, $F283&lt;=CD$5, COUNTIF($M283:CC283,"u")=0), "u", "")</f>
        <v/>
      </c>
      <c r="CE283" s="80" t="str">
        <f>IF(AND($F283&lt;&gt;"", $F283&gt;=CE$5-4, $F283&lt;=CE$5, COUNTIF($M283:CD283,"u")=0), "u", "")</f>
        <v/>
      </c>
      <c r="CF283" s="80" t="str">
        <f>IF(AND($F283&lt;&gt;"", $F283&gt;=CF$5-4, $F283&lt;=CF$5, COUNTIF($M283:CE283,"u")=0), "u", "")</f>
        <v/>
      </c>
      <c r="CG283" s="80" t="str">
        <f>IF(AND($F283&lt;&gt;"", $F283&gt;=CG$5-4, $F283&lt;=CG$5, COUNTIF($M283:CF283,"u")=0), "u", "")</f>
        <v/>
      </c>
      <c r="CH283" s="80" t="str">
        <f>IF(AND($F283&lt;&gt;"", $F283&gt;=CH$5-4, $F283&lt;=CH$5, COUNTIF($M283:CG283,"u")=0), "u", "")</f>
        <v/>
      </c>
      <c r="CI283" s="80" t="str">
        <f>IF(AND($F283&lt;&gt;"", $F283&gt;=CI$5-4, $F283&lt;=CI$5, COUNTIF($M283:CH283,"u")=0), "u", "")</f>
        <v/>
      </c>
      <c r="CJ283" s="80" t="str">
        <f>IF(AND($F283&lt;&gt;"", $F283&gt;=CJ$5-4, $F283&lt;=CJ$5, COUNTIF($M283:CI283,"u")=0), "u", "")</f>
        <v/>
      </c>
      <c r="CK283" s="80" t="str">
        <f>IF(AND($F283&lt;&gt;"", $F283&gt;=CK$5-4, $F283&lt;=CK$5, COUNTIF($M283:CJ283,"u")=0), "u", "")</f>
        <v/>
      </c>
      <c r="CL283" s="80" t="str">
        <f>IF(AND($F283&lt;&gt;"", $F283&gt;=CL$5-4, $F283&lt;=CL$5, COUNTIF($M283:CK283,"u")=0), "u", "")</f>
        <v/>
      </c>
      <c r="CM283" s="80" t="str">
        <f>IF(AND($F283&lt;&gt;"", $F283&gt;=CM$5-4, $F283&lt;=CM$5, COUNTIF($M283:CL283,"u")=0), "u", "")</f>
        <v/>
      </c>
      <c r="CN283" s="80" t="str">
        <f>IF(AND($F283&lt;&gt;"", $F283&gt;=CN$5-4, $F283&lt;=CN$5, COUNTIF($M283:CM283,"u")=0), "u", "")</f>
        <v/>
      </c>
      <c r="CO283" s="80" t="str">
        <f>IF(AND($F283&lt;&gt;"", $F283&gt;=CO$5-4, $F283&lt;=CO$5, COUNTIF($M283:CN283,"u")=0), "u", "")</f>
        <v/>
      </c>
      <c r="CP283" s="80" t="str">
        <f>IF(AND($F283&lt;&gt;"", $F283&gt;=CP$5-4, $F283&lt;=CP$5, COUNTIF($M283:CO283,"u")=0), "u", "")</f>
        <v/>
      </c>
      <c r="CQ283" s="80" t="str">
        <f>IF(AND($F283&lt;&gt;"", $F283&gt;=CQ$5-4, $F283&lt;=CQ$5, COUNTIF($M283:CP283,"u")=0), "u", "")</f>
        <v/>
      </c>
      <c r="CR283" s="80" t="str">
        <f>IF(AND($F283&lt;&gt;"", $F283&gt;=CR$5-4, $F283&lt;=CR$5, COUNTIF($M283:CQ283,"u")=0), "u", "")</f>
        <v/>
      </c>
      <c r="CS283" s="80" t="str">
        <f>IF(AND($F283&lt;&gt;"", $F283&gt;=CS$5-4, $F283&lt;=CS$5, COUNTIF($M283:CR283,"u")=0), "u", "")</f>
        <v/>
      </c>
      <c r="CT283" s="80" t="str">
        <f>IF(AND($F283&lt;&gt;"", $F283&gt;=CT$5-4, $F283&lt;=CT$5, COUNTIF($M283:CS283,"u")=0), "u", "")</f>
        <v/>
      </c>
      <c r="CU283" s="80" t="str">
        <f>IF(AND($F283&lt;&gt;"", $F283&gt;=CU$5-4, $F283&lt;=CU$5, COUNTIF($M283:CT283,"u")=0), "u", "")</f>
        <v/>
      </c>
      <c r="CV283" s="80" t="str">
        <f>IF(AND($F283&lt;&gt;"", $F283&gt;=CV$5-4, $F283&lt;=CV$5, COUNTIF($M283:CU283,"u")=0), "u", "")</f>
        <v/>
      </c>
      <c r="CW283" s="80" t="str">
        <f>IF(AND($F283&lt;&gt;"", $F283&gt;=CW$5-4, $F283&lt;=CW$5, COUNTIF($M283:CV283,"u")=0), "u", "")</f>
        <v/>
      </c>
      <c r="CX283" s="80" t="str">
        <f>IF(AND($F283&lt;&gt;"", $F283&gt;=CX$5-4, $F283&lt;=CX$5, COUNTIF($M283:CW283,"u")=0), "u", "")</f>
        <v/>
      </c>
      <c r="CY283" s="80" t="str">
        <f>IF(AND($F283&lt;&gt;"", $F283&gt;=CY$5-4, $F283&lt;=CY$5, COUNTIF($M283:CX283,"u")=0), "u", "")</f>
        <v/>
      </c>
      <c r="CZ283" s="80" t="str">
        <f>IF(AND($F283&lt;&gt;"", $F283&gt;=CZ$5-4, $F283&lt;=CZ$5, COUNTIF($M283:CY283,"u")=0), "u", "")</f>
        <v/>
      </c>
      <c r="DA283" s="80" t="str">
        <f>IF(AND($F283&lt;&gt;"", $F283&gt;=DA$5-4, $F283&lt;=DA$5, COUNTIF($M283:CZ283,"u")=0), "u", "")</f>
        <v/>
      </c>
      <c r="DB283" s="80" t="str">
        <f>IF(AND($F283&lt;&gt;"", $F283&gt;=DB$5-4, $F283&lt;=DB$5, COUNTIF($M283:DA283,"u")=0), "u", "")</f>
        <v/>
      </c>
      <c r="DC283" s="80" t="str">
        <f>IF(AND($F283&lt;&gt;"", $F283&gt;=DC$5-4, $F283&lt;=DC$5, COUNTIF($M283:DB283,"u")=0), "u", "")</f>
        <v/>
      </c>
      <c r="DD283" s="80" t="str">
        <f>IF(AND($F283&lt;&gt;"", $F283&gt;=DD$5-4, $F283&lt;=DD$5, COUNTIF($M283:DC283,"u")=0), "u", "")</f>
        <v/>
      </c>
      <c r="DE283" s="80" t="str">
        <f>IF(AND($F283&lt;&gt;"", $F283&gt;=DE$5-4, $F283&lt;=DE$5, COUNTIF($M283:DD283,"u")=0), "u", "")</f>
        <v/>
      </c>
      <c r="DF283" s="80" t="str">
        <f>IF(AND($F283&lt;&gt;"", $F283&gt;=DF$5-4, $F283&lt;=DF$5, COUNTIF($M283:DE283,"u")=0), "u", "")</f>
        <v/>
      </c>
      <c r="DG283" s="80" t="str">
        <f>IF(AND($F283&lt;&gt;"", $F283&gt;=DG$5-4, $F283&lt;=DG$5, COUNTIF($M283:DF283,"u")=0), "u", "")</f>
        <v/>
      </c>
      <c r="DH283" s="80" t="str">
        <f>IF(AND($F283&lt;&gt;"", $F283&gt;=DH$5-4, $F283&lt;=DH$5, COUNTIF($M283:DG283,"u")=0), "u", "")</f>
        <v/>
      </c>
      <c r="DI283" s="80" t="str">
        <f>IF(AND($F283&lt;&gt;"", $F283&gt;=DI$5-4, $F283&lt;=DI$5, COUNTIF($M283:DH283,"u")=0), "u", "")</f>
        <v/>
      </c>
      <c r="DJ283" s="80" t="str">
        <f>IF(AND($F283&lt;&gt;"", $F283&gt;=DJ$5-4, $F283&lt;=DJ$5, COUNTIF($M283:DI283,"u")=0), "u", "")</f>
        <v/>
      </c>
      <c r="DK283" s="80" t="str">
        <f>IF(AND($F283&lt;&gt;"", $F283&gt;=DK$5-4, $F283&lt;=DK$5, COUNTIF($M283:DJ283,"u")=0), "u", "")</f>
        <v/>
      </c>
      <c r="DL283" s="80" t="str">
        <f>IF(AND($F283&lt;&gt;"", $F283&gt;=DL$5-4, $F283&lt;=DL$5, COUNTIF($M283:DK283,"u")=0), "u", "")</f>
        <v/>
      </c>
    </row>
    <row r="284" spans="1:116" ht="25.05" customHeight="1" x14ac:dyDescent="0.3">
      <c r="A284" s="39"/>
      <c r="B284" s="75">
        <v>279</v>
      </c>
      <c r="C284" s="97"/>
      <c r="D284" s="92"/>
      <c r="E284" s="53"/>
      <c r="F284" s="53"/>
      <c r="G284" s="83" t="str">
        <f t="shared" si="59"/>
        <v/>
      </c>
      <c r="H284" s="83" t="str">
        <f t="shared" si="59"/>
        <v/>
      </c>
      <c r="I284" s="77" t="str">
        <f t="shared" si="57"/>
        <v/>
      </c>
      <c r="J284" s="78"/>
      <c r="K284" s="86"/>
      <c r="L284" s="56"/>
      <c r="M284" s="80" t="str">
        <f t="shared" si="58"/>
        <v/>
      </c>
      <c r="N284" s="80" t="str">
        <f>IF(AND($F284&lt;&gt;"", $F284&gt;=N$5-4, $F284&lt;=N$5, COUNTIF($M284:M284,"u")=0), "u", "")</f>
        <v/>
      </c>
      <c r="O284" s="80" t="str">
        <f>IF(AND($F284&lt;&gt;"", $F284&gt;=O$5-4, $F284&lt;=O$5, COUNTIF($M284:N284,"u")=0), "u", "")</f>
        <v/>
      </c>
      <c r="P284" s="80" t="str">
        <f>IF(AND($F284&lt;&gt;"", $F284&gt;=P$5-4, $F284&lt;=P$5, COUNTIF($M284:O284,"u")=0), "u", "")</f>
        <v/>
      </c>
      <c r="Q284" s="80" t="str">
        <f>IF(AND($F284&lt;&gt;"", $F284&gt;=Q$5-4, $F284&lt;=Q$5, COUNTIF($M284:P284,"u")=0), "u", "")</f>
        <v/>
      </c>
      <c r="R284" s="80" t="str">
        <f>IF(AND($F284&lt;&gt;"", $F284&gt;=R$5-4, $F284&lt;=R$5, COUNTIF($M284:Q284,"u")=0), "u", "")</f>
        <v/>
      </c>
      <c r="S284" s="80" t="str">
        <f>IF(AND($F284&lt;&gt;"", $F284&gt;=S$5-4, $F284&lt;=S$5, COUNTIF($M284:R284,"u")=0), "u", "")</f>
        <v/>
      </c>
      <c r="T284" s="80" t="str">
        <f>IF(AND($F284&lt;&gt;"", $F284&gt;=T$5-4, $F284&lt;=T$5, COUNTIF($M284:S284,"u")=0), "u", "")</f>
        <v/>
      </c>
      <c r="U284" s="80" t="str">
        <f>IF(AND($F284&lt;&gt;"", $F284&gt;=U$5-4, $F284&lt;=U$5, COUNTIF($M284:T284,"u")=0), "u", "")</f>
        <v/>
      </c>
      <c r="V284" s="80" t="str">
        <f>IF(AND($F284&lt;&gt;"", $F284&gt;=V$5-4, $F284&lt;=V$5, COUNTIF($M284:U284,"u")=0), "u", "")</f>
        <v/>
      </c>
      <c r="W284" s="80" t="str">
        <f>IF(AND($F284&lt;&gt;"", $F284&gt;=W$5-4, $F284&lt;=W$5, COUNTIF($M284:V284,"u")=0), "u", "")</f>
        <v/>
      </c>
      <c r="X284" s="80" t="str">
        <f>IF(AND($F284&lt;&gt;"", $F284&gt;=X$5-4, $F284&lt;=X$5, COUNTIF($M284:W284,"u")=0), "u", "")</f>
        <v/>
      </c>
      <c r="Y284" s="80" t="str">
        <f>IF(AND($F284&lt;&gt;"", $F284&gt;=Y$5-4, $F284&lt;=Y$5, COUNTIF($M284:X284,"u")=0), "u", "")</f>
        <v/>
      </c>
      <c r="Z284" s="80" t="str">
        <f>IF(AND($F284&lt;&gt;"", $F284&gt;=Z$5-4, $F284&lt;=Z$5, COUNTIF($M284:Y284,"u")=0), "u", "")</f>
        <v/>
      </c>
      <c r="AA284" s="80" t="str">
        <f>IF(AND($F284&lt;&gt;"", $F284&gt;=AA$5-4, $F284&lt;=AA$5, COUNTIF($M284:Z284,"u")=0), "u", "")</f>
        <v/>
      </c>
      <c r="AB284" s="80" t="str">
        <f>IF(AND($F284&lt;&gt;"", $F284&gt;=AB$5-4, $F284&lt;=AB$5, COUNTIF($M284:AA284,"u")=0), "u", "")</f>
        <v/>
      </c>
      <c r="AC284" s="80" t="str">
        <f>IF(AND($F284&lt;&gt;"", $F284&gt;=AC$5-4, $F284&lt;=AC$5, COUNTIF($M284:AB284,"u")=0), "u", "")</f>
        <v/>
      </c>
      <c r="AD284" s="80" t="str">
        <f>IF(AND($F284&lt;&gt;"", $F284&gt;=AD$5-4, $F284&lt;=AD$5, COUNTIF($M284:AC284,"u")=0), "u", "")</f>
        <v/>
      </c>
      <c r="AE284" s="80" t="str">
        <f>IF(AND($F284&lt;&gt;"", $F284&gt;=AE$5-4, $F284&lt;=AE$5, COUNTIF($M284:AD284,"u")=0), "u", "")</f>
        <v/>
      </c>
      <c r="AF284" s="80" t="str">
        <f>IF(AND($F284&lt;&gt;"", $F284&gt;=AF$5-4, $F284&lt;=AF$5, COUNTIF($M284:AE284,"u")=0), "u", "")</f>
        <v/>
      </c>
      <c r="AG284" s="80" t="str">
        <f>IF(AND($F284&lt;&gt;"", $F284&gt;=AG$5-4, $F284&lt;=AG$5, COUNTIF($M284:AF284,"u")=0), "u", "")</f>
        <v/>
      </c>
      <c r="AH284" s="80" t="str">
        <f>IF(AND($F284&lt;&gt;"", $F284&gt;=AH$5-4, $F284&lt;=AH$5, COUNTIF($M284:AG284,"u")=0), "u", "")</f>
        <v/>
      </c>
      <c r="AI284" s="80" t="str">
        <f>IF(AND($F284&lt;&gt;"", $F284&gt;=AI$5-4, $F284&lt;=AI$5, COUNTIF($M284:AH284,"u")=0), "u", "")</f>
        <v/>
      </c>
      <c r="AJ284" s="80" t="str">
        <f>IF(AND($F284&lt;&gt;"", $F284&gt;=AJ$5-4, $F284&lt;=AJ$5, COUNTIF($M284:AI284,"u")=0), "u", "")</f>
        <v/>
      </c>
      <c r="AK284" s="80" t="str">
        <f>IF(AND($F284&lt;&gt;"", $F284&gt;=AK$5-4, $F284&lt;=AK$5, COUNTIF($M284:AJ284,"u")=0), "u", "")</f>
        <v/>
      </c>
      <c r="AL284" s="80" t="str">
        <f>IF(AND($F284&lt;&gt;"", $F284&gt;=AL$5-4, $F284&lt;=AL$5, COUNTIF($M284:AK284,"u")=0), "u", "")</f>
        <v/>
      </c>
      <c r="AM284" s="80" t="str">
        <f>IF(AND($F284&lt;&gt;"", $F284&gt;=AM$5-4, $F284&lt;=AM$5, COUNTIF($M284:AL284,"u")=0), "u", "")</f>
        <v/>
      </c>
      <c r="AN284" s="80" t="str">
        <f>IF(AND($F284&lt;&gt;"", $F284&gt;=AN$5-4, $F284&lt;=AN$5, COUNTIF($M284:AM284,"u")=0), "u", "")</f>
        <v/>
      </c>
      <c r="AO284" s="80" t="str">
        <f>IF(AND($F284&lt;&gt;"", $F284&gt;=AO$5-4, $F284&lt;=AO$5, COUNTIF($M284:AN284,"u")=0), "u", "")</f>
        <v/>
      </c>
      <c r="AP284" s="80" t="str">
        <f>IF(AND($F284&lt;&gt;"", $F284&gt;=AP$5-4, $F284&lt;=AP$5, COUNTIF($M284:AO284,"u")=0), "u", "")</f>
        <v/>
      </c>
      <c r="AQ284" s="80" t="str">
        <f>IF(AND($F284&lt;&gt;"", $F284&gt;=AQ$5-4, $F284&lt;=AQ$5, COUNTIF($M284:AP284,"u")=0), "u", "")</f>
        <v/>
      </c>
      <c r="AR284" s="80" t="str">
        <f>IF(AND($F284&lt;&gt;"", $F284&gt;=AR$5-4, $F284&lt;=AR$5, COUNTIF($M284:AQ284,"u")=0), "u", "")</f>
        <v/>
      </c>
      <c r="AS284" s="80" t="str">
        <f>IF(AND($F284&lt;&gt;"", $F284&gt;=AS$5-4, $F284&lt;=AS$5, COUNTIF($M284:AR284,"u")=0), "u", "")</f>
        <v/>
      </c>
      <c r="AT284" s="80" t="str">
        <f>IF(AND($F284&lt;&gt;"", $F284&gt;=AT$5-4, $F284&lt;=AT$5, COUNTIF($M284:AS284,"u")=0), "u", "")</f>
        <v/>
      </c>
      <c r="AU284" s="80" t="str">
        <f>IF(AND($F284&lt;&gt;"", $F284&gt;=AU$5-4, $F284&lt;=AU$5, COUNTIF($M284:AT284,"u")=0), "u", "")</f>
        <v/>
      </c>
      <c r="AV284" s="80" t="str">
        <f>IF(AND($F284&lt;&gt;"", $F284&gt;=AV$5-4, $F284&lt;=AV$5, COUNTIF($M284:AU284,"u")=0), "u", "")</f>
        <v/>
      </c>
      <c r="AW284" s="80" t="str">
        <f>IF(AND($F284&lt;&gt;"", $F284&gt;=AW$5-4, $F284&lt;=AW$5, COUNTIF($M284:AV284,"u")=0), "u", "")</f>
        <v/>
      </c>
      <c r="AX284" s="80" t="str">
        <f>IF(AND($F284&lt;&gt;"", $F284&gt;=AX$5-4, $F284&lt;=AX$5, COUNTIF($M284:AW284,"u")=0), "u", "")</f>
        <v/>
      </c>
      <c r="AY284" s="80" t="str">
        <f>IF(AND($F284&lt;&gt;"", $F284&gt;=AY$5-4, $F284&lt;=AY$5, COUNTIF($M284:AX284,"u")=0), "u", "")</f>
        <v/>
      </c>
      <c r="AZ284" s="80" t="str">
        <f>IF(AND($F284&lt;&gt;"", $F284&gt;=AZ$5-4, $F284&lt;=AZ$5, COUNTIF($M284:AY284,"u")=0), "u", "")</f>
        <v/>
      </c>
      <c r="BA284" s="80" t="str">
        <f>IF(AND($F284&lt;&gt;"", $F284&gt;=BA$5-4, $F284&lt;=BA$5, COUNTIF($M284:AZ284,"u")=0), "u", "")</f>
        <v/>
      </c>
      <c r="BB284" s="80" t="str">
        <f>IF(AND($F284&lt;&gt;"", $F284&gt;=BB$5-4, $F284&lt;=BB$5, COUNTIF($M284:BA284,"u")=0), "u", "")</f>
        <v/>
      </c>
      <c r="BC284" s="80" t="str">
        <f>IF(AND($F284&lt;&gt;"", $F284&gt;=BC$5-4, $F284&lt;=BC$5, COUNTIF($M284:BB284,"u")=0), "u", "")</f>
        <v/>
      </c>
      <c r="BD284" s="80" t="str">
        <f>IF(AND($F284&lt;&gt;"", $F284&gt;=BD$5-4, $F284&lt;=BD$5, COUNTIF($M284:BC284,"u")=0), "u", "")</f>
        <v/>
      </c>
      <c r="BE284" s="80" t="str">
        <f>IF(AND($F284&lt;&gt;"", $F284&gt;=BE$5-4, $F284&lt;=BE$5, COUNTIF($M284:BD284,"u")=0), "u", "")</f>
        <v/>
      </c>
      <c r="BF284" s="80" t="str">
        <f>IF(AND($F284&lt;&gt;"", $F284&gt;=BF$5-4, $F284&lt;=BF$5, COUNTIF($M284:BE284,"u")=0), "u", "")</f>
        <v/>
      </c>
      <c r="BG284" s="80" t="str">
        <f>IF(AND($F284&lt;&gt;"", $F284&gt;=BG$5-4, $F284&lt;=BG$5, COUNTIF($M284:BF284,"u")=0), "u", "")</f>
        <v/>
      </c>
      <c r="BH284" s="80" t="str">
        <f>IF(AND($F284&lt;&gt;"", $F284&gt;=BH$5-4, $F284&lt;=BH$5, COUNTIF($M284:BG284,"u")=0), "u", "")</f>
        <v/>
      </c>
      <c r="BI284" s="80" t="str">
        <f>IF(AND($F284&lt;&gt;"", $F284&gt;=BI$5-4, $F284&lt;=BI$5, COUNTIF($M284:BH284,"u")=0), "u", "")</f>
        <v/>
      </c>
      <c r="BJ284" s="80" t="str">
        <f>IF(AND($F284&lt;&gt;"", $F284&gt;=BJ$5-4, $F284&lt;=BJ$5, COUNTIF($M284:BI284,"u")=0), "u", "")</f>
        <v/>
      </c>
      <c r="BK284" s="80" t="str">
        <f>IF(AND($F284&lt;&gt;"", $F284&gt;=BK$5-4, $F284&lt;=BK$5, COUNTIF($M284:BJ284,"u")=0), "u", "")</f>
        <v/>
      </c>
      <c r="BL284" s="80" t="str">
        <f>IF(AND($F284&lt;&gt;"", $F284&gt;=BL$5-4, $F284&lt;=BL$5, COUNTIF($M284:BK284,"u")=0), "u", "")</f>
        <v/>
      </c>
      <c r="BM284" s="80" t="str">
        <f>IF(AND($F284&lt;&gt;"", $F284&gt;=BM$5-4, $F284&lt;=BM$5, COUNTIF($M284:BL284,"u")=0), "u", "")</f>
        <v/>
      </c>
      <c r="BN284" s="80" t="str">
        <f>IF(AND($F284&lt;&gt;"", $F284&gt;=BN$5-4, $F284&lt;=BN$5, COUNTIF($M284:BM284,"u")=0), "u", "")</f>
        <v/>
      </c>
      <c r="BO284" s="80" t="str">
        <f>IF(AND($F284&lt;&gt;"", $F284&gt;=BO$5-4, $F284&lt;=BO$5, COUNTIF($M284:BN284,"u")=0), "u", "")</f>
        <v/>
      </c>
      <c r="BP284" s="80" t="str">
        <f>IF(AND($F284&lt;&gt;"", $F284&gt;=BP$5-4, $F284&lt;=BP$5, COUNTIF($M284:BO284,"u")=0), "u", "")</f>
        <v/>
      </c>
      <c r="BQ284" s="80" t="str">
        <f>IF(AND($F284&lt;&gt;"", $F284&gt;=BQ$5-4, $F284&lt;=BQ$5, COUNTIF($M284:BP284,"u")=0), "u", "")</f>
        <v/>
      </c>
      <c r="BR284" s="80" t="str">
        <f>IF(AND($F284&lt;&gt;"", $F284&gt;=BR$5-4, $F284&lt;=BR$5, COUNTIF($M284:BQ284,"u")=0), "u", "")</f>
        <v/>
      </c>
      <c r="BS284" s="80" t="str">
        <f>IF(AND($F284&lt;&gt;"", $F284&gt;=BS$5-4, $F284&lt;=BS$5, COUNTIF($M284:BR284,"u")=0), "u", "")</f>
        <v/>
      </c>
      <c r="BT284" s="80" t="str">
        <f>IF(AND($F284&lt;&gt;"", $F284&gt;=BT$5-4, $F284&lt;=BT$5, COUNTIF($M284:BS284,"u")=0), "u", "")</f>
        <v/>
      </c>
      <c r="BU284" s="80" t="str">
        <f>IF(AND($F284&lt;&gt;"", $F284&gt;=BU$5-4, $F284&lt;=BU$5, COUNTIF($M284:BT284,"u")=0), "u", "")</f>
        <v/>
      </c>
      <c r="BV284" s="80" t="str">
        <f>IF(AND($F284&lt;&gt;"", $F284&gt;=BV$5-4, $F284&lt;=BV$5, COUNTIF($M284:BU284,"u")=0), "u", "")</f>
        <v/>
      </c>
      <c r="BW284" s="80" t="str">
        <f>IF(AND($F284&lt;&gt;"", $F284&gt;=BW$5-4, $F284&lt;=BW$5, COUNTIF($M284:BV284,"u")=0), "u", "")</f>
        <v/>
      </c>
      <c r="BX284" s="80" t="str">
        <f>IF(AND($F284&lt;&gt;"", $F284&gt;=BX$5-4, $F284&lt;=BX$5, COUNTIF($M284:BW284,"u")=0), "u", "")</f>
        <v/>
      </c>
      <c r="BY284" s="80" t="str">
        <f>IF(AND($F284&lt;&gt;"", $F284&gt;=BY$5-4, $F284&lt;=BY$5, COUNTIF($M284:BX284,"u")=0), "u", "")</f>
        <v/>
      </c>
      <c r="BZ284" s="80" t="str">
        <f>IF(AND($F284&lt;&gt;"", $F284&gt;=BZ$5-4, $F284&lt;=BZ$5, COUNTIF($M284:BY284,"u")=0), "u", "")</f>
        <v/>
      </c>
      <c r="CA284" s="80" t="str">
        <f>IF(AND($F284&lt;&gt;"", $F284&gt;=CA$5-4, $F284&lt;=CA$5, COUNTIF($M284:BZ284,"u")=0), "u", "")</f>
        <v/>
      </c>
      <c r="CB284" s="80" t="str">
        <f>IF(AND($F284&lt;&gt;"", $F284&gt;=CB$5-4, $F284&lt;=CB$5, COUNTIF($M284:CA284,"u")=0), "u", "")</f>
        <v/>
      </c>
      <c r="CC284" s="80" t="str">
        <f>IF(AND($F284&lt;&gt;"", $F284&gt;=CC$5-4, $F284&lt;=CC$5, COUNTIF($M284:CB284,"u")=0), "u", "")</f>
        <v/>
      </c>
      <c r="CD284" s="80" t="str">
        <f>IF(AND($F284&lt;&gt;"", $F284&gt;=CD$5-4, $F284&lt;=CD$5, COUNTIF($M284:CC284,"u")=0), "u", "")</f>
        <v/>
      </c>
      <c r="CE284" s="80" t="str">
        <f>IF(AND($F284&lt;&gt;"", $F284&gt;=CE$5-4, $F284&lt;=CE$5, COUNTIF($M284:CD284,"u")=0), "u", "")</f>
        <v/>
      </c>
      <c r="CF284" s="80" t="str">
        <f>IF(AND($F284&lt;&gt;"", $F284&gt;=CF$5-4, $F284&lt;=CF$5, COUNTIF($M284:CE284,"u")=0), "u", "")</f>
        <v/>
      </c>
      <c r="CG284" s="80" t="str">
        <f>IF(AND($F284&lt;&gt;"", $F284&gt;=CG$5-4, $F284&lt;=CG$5, COUNTIF($M284:CF284,"u")=0), "u", "")</f>
        <v/>
      </c>
      <c r="CH284" s="80" t="str">
        <f>IF(AND($F284&lt;&gt;"", $F284&gt;=CH$5-4, $F284&lt;=CH$5, COUNTIF($M284:CG284,"u")=0), "u", "")</f>
        <v/>
      </c>
      <c r="CI284" s="80" t="str">
        <f>IF(AND($F284&lt;&gt;"", $F284&gt;=CI$5-4, $F284&lt;=CI$5, COUNTIF($M284:CH284,"u")=0), "u", "")</f>
        <v/>
      </c>
      <c r="CJ284" s="80" t="str">
        <f>IF(AND($F284&lt;&gt;"", $F284&gt;=CJ$5-4, $F284&lt;=CJ$5, COUNTIF($M284:CI284,"u")=0), "u", "")</f>
        <v/>
      </c>
      <c r="CK284" s="80" t="str">
        <f>IF(AND($F284&lt;&gt;"", $F284&gt;=CK$5-4, $F284&lt;=CK$5, COUNTIF($M284:CJ284,"u")=0), "u", "")</f>
        <v/>
      </c>
      <c r="CL284" s="80" t="str">
        <f>IF(AND($F284&lt;&gt;"", $F284&gt;=CL$5-4, $F284&lt;=CL$5, COUNTIF($M284:CK284,"u")=0), "u", "")</f>
        <v/>
      </c>
      <c r="CM284" s="80" t="str">
        <f>IF(AND($F284&lt;&gt;"", $F284&gt;=CM$5-4, $F284&lt;=CM$5, COUNTIF($M284:CL284,"u")=0), "u", "")</f>
        <v/>
      </c>
      <c r="CN284" s="80" t="str">
        <f>IF(AND($F284&lt;&gt;"", $F284&gt;=CN$5-4, $F284&lt;=CN$5, COUNTIF($M284:CM284,"u")=0), "u", "")</f>
        <v/>
      </c>
      <c r="CO284" s="80" t="str">
        <f>IF(AND($F284&lt;&gt;"", $F284&gt;=CO$5-4, $F284&lt;=CO$5, COUNTIF($M284:CN284,"u")=0), "u", "")</f>
        <v/>
      </c>
      <c r="CP284" s="80" t="str">
        <f>IF(AND($F284&lt;&gt;"", $F284&gt;=CP$5-4, $F284&lt;=CP$5, COUNTIF($M284:CO284,"u")=0), "u", "")</f>
        <v/>
      </c>
      <c r="CQ284" s="80" t="str">
        <f>IF(AND($F284&lt;&gt;"", $F284&gt;=CQ$5-4, $F284&lt;=CQ$5, COUNTIF($M284:CP284,"u")=0), "u", "")</f>
        <v/>
      </c>
      <c r="CR284" s="80" t="str">
        <f>IF(AND($F284&lt;&gt;"", $F284&gt;=CR$5-4, $F284&lt;=CR$5, COUNTIF($M284:CQ284,"u")=0), "u", "")</f>
        <v/>
      </c>
      <c r="CS284" s="80" t="str">
        <f>IF(AND($F284&lt;&gt;"", $F284&gt;=CS$5-4, $F284&lt;=CS$5, COUNTIF($M284:CR284,"u")=0), "u", "")</f>
        <v/>
      </c>
      <c r="CT284" s="80" t="str">
        <f>IF(AND($F284&lt;&gt;"", $F284&gt;=CT$5-4, $F284&lt;=CT$5, COUNTIF($M284:CS284,"u")=0), "u", "")</f>
        <v/>
      </c>
      <c r="CU284" s="80" t="str">
        <f>IF(AND($F284&lt;&gt;"", $F284&gt;=CU$5-4, $F284&lt;=CU$5, COUNTIF($M284:CT284,"u")=0), "u", "")</f>
        <v/>
      </c>
      <c r="CV284" s="80" t="str">
        <f>IF(AND($F284&lt;&gt;"", $F284&gt;=CV$5-4, $F284&lt;=CV$5, COUNTIF($M284:CU284,"u")=0), "u", "")</f>
        <v/>
      </c>
      <c r="CW284" s="80" t="str">
        <f>IF(AND($F284&lt;&gt;"", $F284&gt;=CW$5-4, $F284&lt;=CW$5, COUNTIF($M284:CV284,"u")=0), "u", "")</f>
        <v/>
      </c>
      <c r="CX284" s="80" t="str">
        <f>IF(AND($F284&lt;&gt;"", $F284&gt;=CX$5-4, $F284&lt;=CX$5, COUNTIF($M284:CW284,"u")=0), "u", "")</f>
        <v/>
      </c>
      <c r="CY284" s="80" t="str">
        <f>IF(AND($F284&lt;&gt;"", $F284&gt;=CY$5-4, $F284&lt;=CY$5, COUNTIF($M284:CX284,"u")=0), "u", "")</f>
        <v/>
      </c>
      <c r="CZ284" s="80" t="str">
        <f>IF(AND($F284&lt;&gt;"", $F284&gt;=CZ$5-4, $F284&lt;=CZ$5, COUNTIF($M284:CY284,"u")=0), "u", "")</f>
        <v/>
      </c>
      <c r="DA284" s="80" t="str">
        <f>IF(AND($F284&lt;&gt;"", $F284&gt;=DA$5-4, $F284&lt;=DA$5, COUNTIF($M284:CZ284,"u")=0), "u", "")</f>
        <v/>
      </c>
      <c r="DB284" s="80" t="str">
        <f>IF(AND($F284&lt;&gt;"", $F284&gt;=DB$5-4, $F284&lt;=DB$5, COUNTIF($M284:DA284,"u")=0), "u", "")</f>
        <v/>
      </c>
      <c r="DC284" s="80" t="str">
        <f>IF(AND($F284&lt;&gt;"", $F284&gt;=DC$5-4, $F284&lt;=DC$5, COUNTIF($M284:DB284,"u")=0), "u", "")</f>
        <v/>
      </c>
      <c r="DD284" s="80" t="str">
        <f>IF(AND($F284&lt;&gt;"", $F284&gt;=DD$5-4, $F284&lt;=DD$5, COUNTIF($M284:DC284,"u")=0), "u", "")</f>
        <v/>
      </c>
      <c r="DE284" s="80" t="str">
        <f>IF(AND($F284&lt;&gt;"", $F284&gt;=DE$5-4, $F284&lt;=DE$5, COUNTIF($M284:DD284,"u")=0), "u", "")</f>
        <v/>
      </c>
      <c r="DF284" s="80" t="str">
        <f>IF(AND($F284&lt;&gt;"", $F284&gt;=DF$5-4, $F284&lt;=DF$5, COUNTIF($M284:DE284,"u")=0), "u", "")</f>
        <v/>
      </c>
      <c r="DG284" s="80" t="str">
        <f>IF(AND($F284&lt;&gt;"", $F284&gt;=DG$5-4, $F284&lt;=DG$5, COUNTIF($M284:DF284,"u")=0), "u", "")</f>
        <v/>
      </c>
      <c r="DH284" s="80" t="str">
        <f>IF(AND($F284&lt;&gt;"", $F284&gt;=DH$5-4, $F284&lt;=DH$5, COUNTIF($M284:DG284,"u")=0), "u", "")</f>
        <v/>
      </c>
      <c r="DI284" s="80" t="str">
        <f>IF(AND($F284&lt;&gt;"", $F284&gt;=DI$5-4, $F284&lt;=DI$5, COUNTIF($M284:DH284,"u")=0), "u", "")</f>
        <v/>
      </c>
      <c r="DJ284" s="80" t="str">
        <f>IF(AND($F284&lt;&gt;"", $F284&gt;=DJ$5-4, $F284&lt;=DJ$5, COUNTIF($M284:DI284,"u")=0), "u", "")</f>
        <v/>
      </c>
      <c r="DK284" s="80" t="str">
        <f>IF(AND($F284&lt;&gt;"", $F284&gt;=DK$5-4, $F284&lt;=DK$5, COUNTIF($M284:DJ284,"u")=0), "u", "")</f>
        <v/>
      </c>
      <c r="DL284" s="80" t="str">
        <f>IF(AND($F284&lt;&gt;"", $F284&gt;=DL$5-4, $F284&lt;=DL$5, COUNTIF($M284:DK284,"u")=0), "u", "")</f>
        <v/>
      </c>
    </row>
    <row r="285" spans="1:116" ht="25.05" customHeight="1" x14ac:dyDescent="0.3">
      <c r="A285" s="39"/>
      <c r="B285" s="75">
        <v>280</v>
      </c>
      <c r="C285" s="97"/>
      <c r="D285" s="92"/>
      <c r="E285" s="53"/>
      <c r="F285" s="53"/>
      <c r="G285" s="83" t="str">
        <f t="shared" si="59"/>
        <v/>
      </c>
      <c r="H285" s="83" t="str">
        <f t="shared" si="59"/>
        <v/>
      </c>
      <c r="I285" s="77" t="str">
        <f t="shared" si="57"/>
        <v/>
      </c>
      <c r="J285" s="78"/>
      <c r="K285" s="86"/>
      <c r="L285" s="56"/>
      <c r="M285" s="80" t="str">
        <f t="shared" si="58"/>
        <v/>
      </c>
      <c r="N285" s="80" t="str">
        <f>IF(AND($F285&lt;&gt;"", $F285&gt;=N$5-4, $F285&lt;=N$5, COUNTIF($M285:M285,"u")=0), "u", "")</f>
        <v/>
      </c>
      <c r="O285" s="80" t="str">
        <f>IF(AND($F285&lt;&gt;"", $F285&gt;=O$5-4, $F285&lt;=O$5, COUNTIF($M285:N285,"u")=0), "u", "")</f>
        <v/>
      </c>
      <c r="P285" s="80" t="str">
        <f>IF(AND($F285&lt;&gt;"", $F285&gt;=P$5-4, $F285&lt;=P$5, COUNTIF($M285:O285,"u")=0), "u", "")</f>
        <v/>
      </c>
      <c r="Q285" s="80" t="str">
        <f>IF(AND($F285&lt;&gt;"", $F285&gt;=Q$5-4, $F285&lt;=Q$5, COUNTIF($M285:P285,"u")=0), "u", "")</f>
        <v/>
      </c>
      <c r="R285" s="80" t="str">
        <f>IF(AND($F285&lt;&gt;"", $F285&gt;=R$5-4, $F285&lt;=R$5, COUNTIF($M285:Q285,"u")=0), "u", "")</f>
        <v/>
      </c>
      <c r="S285" s="80" t="str">
        <f>IF(AND($F285&lt;&gt;"", $F285&gt;=S$5-4, $F285&lt;=S$5, COUNTIF($M285:R285,"u")=0), "u", "")</f>
        <v/>
      </c>
      <c r="T285" s="80" t="str">
        <f>IF(AND($F285&lt;&gt;"", $F285&gt;=T$5-4, $F285&lt;=T$5, COUNTIF($M285:S285,"u")=0), "u", "")</f>
        <v/>
      </c>
      <c r="U285" s="80" t="str">
        <f>IF(AND($F285&lt;&gt;"", $F285&gt;=U$5-4, $F285&lt;=U$5, COUNTIF($M285:T285,"u")=0), "u", "")</f>
        <v/>
      </c>
      <c r="V285" s="80" t="str">
        <f>IF(AND($F285&lt;&gt;"", $F285&gt;=V$5-4, $F285&lt;=V$5, COUNTIF($M285:U285,"u")=0), "u", "")</f>
        <v/>
      </c>
      <c r="W285" s="80" t="str">
        <f>IF(AND($F285&lt;&gt;"", $F285&gt;=W$5-4, $F285&lt;=W$5, COUNTIF($M285:V285,"u")=0), "u", "")</f>
        <v/>
      </c>
      <c r="X285" s="80" t="str">
        <f>IF(AND($F285&lt;&gt;"", $F285&gt;=X$5-4, $F285&lt;=X$5, COUNTIF($M285:W285,"u")=0), "u", "")</f>
        <v/>
      </c>
      <c r="Y285" s="80" t="str">
        <f>IF(AND($F285&lt;&gt;"", $F285&gt;=Y$5-4, $F285&lt;=Y$5, COUNTIF($M285:X285,"u")=0), "u", "")</f>
        <v/>
      </c>
      <c r="Z285" s="80" t="str">
        <f>IF(AND($F285&lt;&gt;"", $F285&gt;=Z$5-4, $F285&lt;=Z$5, COUNTIF($M285:Y285,"u")=0), "u", "")</f>
        <v/>
      </c>
      <c r="AA285" s="80" t="str">
        <f>IF(AND($F285&lt;&gt;"", $F285&gt;=AA$5-4, $F285&lt;=AA$5, COUNTIF($M285:Z285,"u")=0), "u", "")</f>
        <v/>
      </c>
      <c r="AB285" s="80" t="str">
        <f>IF(AND($F285&lt;&gt;"", $F285&gt;=AB$5-4, $F285&lt;=AB$5, COUNTIF($M285:AA285,"u")=0), "u", "")</f>
        <v/>
      </c>
      <c r="AC285" s="80" t="str">
        <f>IF(AND($F285&lt;&gt;"", $F285&gt;=AC$5-4, $F285&lt;=AC$5, COUNTIF($M285:AB285,"u")=0), "u", "")</f>
        <v/>
      </c>
      <c r="AD285" s="80" t="str">
        <f>IF(AND($F285&lt;&gt;"", $F285&gt;=AD$5-4, $F285&lt;=AD$5, COUNTIF($M285:AC285,"u")=0), "u", "")</f>
        <v/>
      </c>
      <c r="AE285" s="80" t="str">
        <f>IF(AND($F285&lt;&gt;"", $F285&gt;=AE$5-4, $F285&lt;=AE$5, COUNTIF($M285:AD285,"u")=0), "u", "")</f>
        <v/>
      </c>
      <c r="AF285" s="80" t="str">
        <f>IF(AND($F285&lt;&gt;"", $F285&gt;=AF$5-4, $F285&lt;=AF$5, COUNTIF($M285:AE285,"u")=0), "u", "")</f>
        <v/>
      </c>
      <c r="AG285" s="80" t="str">
        <f>IF(AND($F285&lt;&gt;"", $F285&gt;=AG$5-4, $F285&lt;=AG$5, COUNTIF($M285:AF285,"u")=0), "u", "")</f>
        <v/>
      </c>
      <c r="AH285" s="80" t="str">
        <f>IF(AND($F285&lt;&gt;"", $F285&gt;=AH$5-4, $F285&lt;=AH$5, COUNTIF($M285:AG285,"u")=0), "u", "")</f>
        <v/>
      </c>
      <c r="AI285" s="80" t="str">
        <f>IF(AND($F285&lt;&gt;"", $F285&gt;=AI$5-4, $F285&lt;=AI$5, COUNTIF($M285:AH285,"u")=0), "u", "")</f>
        <v/>
      </c>
      <c r="AJ285" s="80" t="str">
        <f>IF(AND($F285&lt;&gt;"", $F285&gt;=AJ$5-4, $F285&lt;=AJ$5, COUNTIF($M285:AI285,"u")=0), "u", "")</f>
        <v/>
      </c>
      <c r="AK285" s="80" t="str">
        <f>IF(AND($F285&lt;&gt;"", $F285&gt;=AK$5-4, $F285&lt;=AK$5, COUNTIF($M285:AJ285,"u")=0), "u", "")</f>
        <v/>
      </c>
      <c r="AL285" s="80" t="str">
        <f>IF(AND($F285&lt;&gt;"", $F285&gt;=AL$5-4, $F285&lt;=AL$5, COUNTIF($M285:AK285,"u")=0), "u", "")</f>
        <v/>
      </c>
      <c r="AM285" s="80" t="str">
        <f>IF(AND($F285&lt;&gt;"", $F285&gt;=AM$5-4, $F285&lt;=AM$5, COUNTIF($M285:AL285,"u")=0), "u", "")</f>
        <v/>
      </c>
      <c r="AN285" s="80" t="str">
        <f>IF(AND($F285&lt;&gt;"", $F285&gt;=AN$5-4, $F285&lt;=AN$5, COUNTIF($M285:AM285,"u")=0), "u", "")</f>
        <v/>
      </c>
      <c r="AO285" s="80" t="str">
        <f>IF(AND($F285&lt;&gt;"", $F285&gt;=AO$5-4, $F285&lt;=AO$5, COUNTIF($M285:AN285,"u")=0), "u", "")</f>
        <v/>
      </c>
      <c r="AP285" s="80" t="str">
        <f>IF(AND($F285&lt;&gt;"", $F285&gt;=AP$5-4, $F285&lt;=AP$5, COUNTIF($M285:AO285,"u")=0), "u", "")</f>
        <v/>
      </c>
      <c r="AQ285" s="80" t="str">
        <f>IF(AND($F285&lt;&gt;"", $F285&gt;=AQ$5-4, $F285&lt;=AQ$5, COUNTIF($M285:AP285,"u")=0), "u", "")</f>
        <v/>
      </c>
      <c r="AR285" s="80" t="str">
        <f>IF(AND($F285&lt;&gt;"", $F285&gt;=AR$5-4, $F285&lt;=AR$5, COUNTIF($M285:AQ285,"u")=0), "u", "")</f>
        <v/>
      </c>
      <c r="AS285" s="80" t="str">
        <f>IF(AND($F285&lt;&gt;"", $F285&gt;=AS$5-4, $F285&lt;=AS$5, COUNTIF($M285:AR285,"u")=0), "u", "")</f>
        <v/>
      </c>
      <c r="AT285" s="80" t="str">
        <f>IF(AND($F285&lt;&gt;"", $F285&gt;=AT$5-4, $F285&lt;=AT$5, COUNTIF($M285:AS285,"u")=0), "u", "")</f>
        <v/>
      </c>
      <c r="AU285" s="80" t="str">
        <f>IF(AND($F285&lt;&gt;"", $F285&gt;=AU$5-4, $F285&lt;=AU$5, COUNTIF($M285:AT285,"u")=0), "u", "")</f>
        <v/>
      </c>
      <c r="AV285" s="80" t="str">
        <f>IF(AND($F285&lt;&gt;"", $F285&gt;=AV$5-4, $F285&lt;=AV$5, COUNTIF($M285:AU285,"u")=0), "u", "")</f>
        <v/>
      </c>
      <c r="AW285" s="80" t="str">
        <f>IF(AND($F285&lt;&gt;"", $F285&gt;=AW$5-4, $F285&lt;=AW$5, COUNTIF($M285:AV285,"u")=0), "u", "")</f>
        <v/>
      </c>
      <c r="AX285" s="80" t="str">
        <f>IF(AND($F285&lt;&gt;"", $F285&gt;=AX$5-4, $F285&lt;=AX$5, COUNTIF($M285:AW285,"u")=0), "u", "")</f>
        <v/>
      </c>
      <c r="AY285" s="80" t="str">
        <f>IF(AND($F285&lt;&gt;"", $F285&gt;=AY$5-4, $F285&lt;=AY$5, COUNTIF($M285:AX285,"u")=0), "u", "")</f>
        <v/>
      </c>
      <c r="AZ285" s="80" t="str">
        <f>IF(AND($F285&lt;&gt;"", $F285&gt;=AZ$5-4, $F285&lt;=AZ$5, COUNTIF($M285:AY285,"u")=0), "u", "")</f>
        <v/>
      </c>
      <c r="BA285" s="80" t="str">
        <f>IF(AND($F285&lt;&gt;"", $F285&gt;=BA$5-4, $F285&lt;=BA$5, COUNTIF($M285:AZ285,"u")=0), "u", "")</f>
        <v/>
      </c>
      <c r="BB285" s="80" t="str">
        <f>IF(AND($F285&lt;&gt;"", $F285&gt;=BB$5-4, $F285&lt;=BB$5, COUNTIF($M285:BA285,"u")=0), "u", "")</f>
        <v/>
      </c>
      <c r="BC285" s="80" t="str">
        <f>IF(AND($F285&lt;&gt;"", $F285&gt;=BC$5-4, $F285&lt;=BC$5, COUNTIF($M285:BB285,"u")=0), "u", "")</f>
        <v/>
      </c>
      <c r="BD285" s="80" t="str">
        <f>IF(AND($F285&lt;&gt;"", $F285&gt;=BD$5-4, $F285&lt;=BD$5, COUNTIF($M285:BC285,"u")=0), "u", "")</f>
        <v/>
      </c>
      <c r="BE285" s="80" t="str">
        <f>IF(AND($F285&lt;&gt;"", $F285&gt;=BE$5-4, $F285&lt;=BE$5, COUNTIF($M285:BD285,"u")=0), "u", "")</f>
        <v/>
      </c>
      <c r="BF285" s="80" t="str">
        <f>IF(AND($F285&lt;&gt;"", $F285&gt;=BF$5-4, $F285&lt;=BF$5, COUNTIF($M285:BE285,"u")=0), "u", "")</f>
        <v/>
      </c>
      <c r="BG285" s="80" t="str">
        <f>IF(AND($F285&lt;&gt;"", $F285&gt;=BG$5-4, $F285&lt;=BG$5, COUNTIF($M285:BF285,"u")=0), "u", "")</f>
        <v/>
      </c>
      <c r="BH285" s="80" t="str">
        <f>IF(AND($F285&lt;&gt;"", $F285&gt;=BH$5-4, $F285&lt;=BH$5, COUNTIF($M285:BG285,"u")=0), "u", "")</f>
        <v/>
      </c>
      <c r="BI285" s="80" t="str">
        <f>IF(AND($F285&lt;&gt;"", $F285&gt;=BI$5-4, $F285&lt;=BI$5, COUNTIF($M285:BH285,"u")=0), "u", "")</f>
        <v/>
      </c>
      <c r="BJ285" s="80" t="str">
        <f>IF(AND($F285&lt;&gt;"", $F285&gt;=BJ$5-4, $F285&lt;=BJ$5, COUNTIF($M285:BI285,"u")=0), "u", "")</f>
        <v/>
      </c>
      <c r="BK285" s="80" t="str">
        <f>IF(AND($F285&lt;&gt;"", $F285&gt;=BK$5-4, $F285&lt;=BK$5, COUNTIF($M285:BJ285,"u")=0), "u", "")</f>
        <v/>
      </c>
      <c r="BL285" s="80" t="str">
        <f>IF(AND($F285&lt;&gt;"", $F285&gt;=BL$5-4, $F285&lt;=BL$5, COUNTIF($M285:BK285,"u")=0), "u", "")</f>
        <v/>
      </c>
      <c r="BM285" s="80" t="str">
        <f>IF(AND($F285&lt;&gt;"", $F285&gt;=BM$5-4, $F285&lt;=BM$5, COUNTIF($M285:BL285,"u")=0), "u", "")</f>
        <v/>
      </c>
      <c r="BN285" s="80" t="str">
        <f>IF(AND($F285&lt;&gt;"", $F285&gt;=BN$5-4, $F285&lt;=BN$5, COUNTIF($M285:BM285,"u")=0), "u", "")</f>
        <v/>
      </c>
      <c r="BO285" s="80" t="str">
        <f>IF(AND($F285&lt;&gt;"", $F285&gt;=BO$5-4, $F285&lt;=BO$5, COUNTIF($M285:BN285,"u")=0), "u", "")</f>
        <v/>
      </c>
      <c r="BP285" s="80" t="str">
        <f>IF(AND($F285&lt;&gt;"", $F285&gt;=BP$5-4, $F285&lt;=BP$5, COUNTIF($M285:BO285,"u")=0), "u", "")</f>
        <v/>
      </c>
      <c r="BQ285" s="80" t="str">
        <f>IF(AND($F285&lt;&gt;"", $F285&gt;=BQ$5-4, $F285&lt;=BQ$5, COUNTIF($M285:BP285,"u")=0), "u", "")</f>
        <v/>
      </c>
      <c r="BR285" s="80" t="str">
        <f>IF(AND($F285&lt;&gt;"", $F285&gt;=BR$5-4, $F285&lt;=BR$5, COUNTIF($M285:BQ285,"u")=0), "u", "")</f>
        <v/>
      </c>
      <c r="BS285" s="80" t="str">
        <f>IF(AND($F285&lt;&gt;"", $F285&gt;=BS$5-4, $F285&lt;=BS$5, COUNTIF($M285:BR285,"u")=0), "u", "")</f>
        <v/>
      </c>
      <c r="BT285" s="80" t="str">
        <f>IF(AND($F285&lt;&gt;"", $F285&gt;=BT$5-4, $F285&lt;=BT$5, COUNTIF($M285:BS285,"u")=0), "u", "")</f>
        <v/>
      </c>
      <c r="BU285" s="80" t="str">
        <f>IF(AND($F285&lt;&gt;"", $F285&gt;=BU$5-4, $F285&lt;=BU$5, COUNTIF($M285:BT285,"u")=0), "u", "")</f>
        <v/>
      </c>
      <c r="BV285" s="80" t="str">
        <f>IF(AND($F285&lt;&gt;"", $F285&gt;=BV$5-4, $F285&lt;=BV$5, COUNTIF($M285:BU285,"u")=0), "u", "")</f>
        <v/>
      </c>
      <c r="BW285" s="80" t="str">
        <f>IF(AND($F285&lt;&gt;"", $F285&gt;=BW$5-4, $F285&lt;=BW$5, COUNTIF($M285:BV285,"u")=0), "u", "")</f>
        <v/>
      </c>
      <c r="BX285" s="80" t="str">
        <f>IF(AND($F285&lt;&gt;"", $F285&gt;=BX$5-4, $F285&lt;=BX$5, COUNTIF($M285:BW285,"u")=0), "u", "")</f>
        <v/>
      </c>
      <c r="BY285" s="80" t="str">
        <f>IF(AND($F285&lt;&gt;"", $F285&gt;=BY$5-4, $F285&lt;=BY$5, COUNTIF($M285:BX285,"u")=0), "u", "")</f>
        <v/>
      </c>
      <c r="BZ285" s="80" t="str">
        <f>IF(AND($F285&lt;&gt;"", $F285&gt;=BZ$5-4, $F285&lt;=BZ$5, COUNTIF($M285:BY285,"u")=0), "u", "")</f>
        <v/>
      </c>
      <c r="CA285" s="80" t="str">
        <f>IF(AND($F285&lt;&gt;"", $F285&gt;=CA$5-4, $F285&lt;=CA$5, COUNTIF($M285:BZ285,"u")=0), "u", "")</f>
        <v/>
      </c>
      <c r="CB285" s="80" t="str">
        <f>IF(AND($F285&lt;&gt;"", $F285&gt;=CB$5-4, $F285&lt;=CB$5, COUNTIF($M285:CA285,"u")=0), "u", "")</f>
        <v/>
      </c>
      <c r="CC285" s="80" t="str">
        <f>IF(AND($F285&lt;&gt;"", $F285&gt;=CC$5-4, $F285&lt;=CC$5, COUNTIF($M285:CB285,"u")=0), "u", "")</f>
        <v/>
      </c>
      <c r="CD285" s="80" t="str">
        <f>IF(AND($F285&lt;&gt;"", $F285&gt;=CD$5-4, $F285&lt;=CD$5, COUNTIF($M285:CC285,"u")=0), "u", "")</f>
        <v/>
      </c>
      <c r="CE285" s="80" t="str">
        <f>IF(AND($F285&lt;&gt;"", $F285&gt;=CE$5-4, $F285&lt;=CE$5, COUNTIF($M285:CD285,"u")=0), "u", "")</f>
        <v/>
      </c>
      <c r="CF285" s="80" t="str">
        <f>IF(AND($F285&lt;&gt;"", $F285&gt;=CF$5-4, $F285&lt;=CF$5, COUNTIF($M285:CE285,"u")=0), "u", "")</f>
        <v/>
      </c>
      <c r="CG285" s="80" t="str">
        <f>IF(AND($F285&lt;&gt;"", $F285&gt;=CG$5-4, $F285&lt;=CG$5, COUNTIF($M285:CF285,"u")=0), "u", "")</f>
        <v/>
      </c>
      <c r="CH285" s="80" t="str">
        <f>IF(AND($F285&lt;&gt;"", $F285&gt;=CH$5-4, $F285&lt;=CH$5, COUNTIF($M285:CG285,"u")=0), "u", "")</f>
        <v/>
      </c>
      <c r="CI285" s="80" t="str">
        <f>IF(AND($F285&lt;&gt;"", $F285&gt;=CI$5-4, $F285&lt;=CI$5, COUNTIF($M285:CH285,"u")=0), "u", "")</f>
        <v/>
      </c>
      <c r="CJ285" s="80" t="str">
        <f>IF(AND($F285&lt;&gt;"", $F285&gt;=CJ$5-4, $F285&lt;=CJ$5, COUNTIF($M285:CI285,"u")=0), "u", "")</f>
        <v/>
      </c>
      <c r="CK285" s="80" t="str">
        <f>IF(AND($F285&lt;&gt;"", $F285&gt;=CK$5-4, $F285&lt;=CK$5, COUNTIF($M285:CJ285,"u")=0), "u", "")</f>
        <v/>
      </c>
      <c r="CL285" s="80" t="str">
        <f>IF(AND($F285&lt;&gt;"", $F285&gt;=CL$5-4, $F285&lt;=CL$5, COUNTIF($M285:CK285,"u")=0), "u", "")</f>
        <v/>
      </c>
      <c r="CM285" s="80" t="str">
        <f>IF(AND($F285&lt;&gt;"", $F285&gt;=CM$5-4, $F285&lt;=CM$5, COUNTIF($M285:CL285,"u")=0), "u", "")</f>
        <v/>
      </c>
      <c r="CN285" s="80" t="str">
        <f>IF(AND($F285&lt;&gt;"", $F285&gt;=CN$5-4, $F285&lt;=CN$5, COUNTIF($M285:CM285,"u")=0), "u", "")</f>
        <v/>
      </c>
      <c r="CO285" s="80" t="str">
        <f>IF(AND($F285&lt;&gt;"", $F285&gt;=CO$5-4, $F285&lt;=CO$5, COUNTIF($M285:CN285,"u")=0), "u", "")</f>
        <v/>
      </c>
      <c r="CP285" s="80" t="str">
        <f>IF(AND($F285&lt;&gt;"", $F285&gt;=CP$5-4, $F285&lt;=CP$5, COUNTIF($M285:CO285,"u")=0), "u", "")</f>
        <v/>
      </c>
      <c r="CQ285" s="80" t="str">
        <f>IF(AND($F285&lt;&gt;"", $F285&gt;=CQ$5-4, $F285&lt;=CQ$5, COUNTIF($M285:CP285,"u")=0), "u", "")</f>
        <v/>
      </c>
      <c r="CR285" s="80" t="str">
        <f>IF(AND($F285&lt;&gt;"", $F285&gt;=CR$5-4, $F285&lt;=CR$5, COUNTIF($M285:CQ285,"u")=0), "u", "")</f>
        <v/>
      </c>
      <c r="CS285" s="80" t="str">
        <f>IF(AND($F285&lt;&gt;"", $F285&gt;=CS$5-4, $F285&lt;=CS$5, COUNTIF($M285:CR285,"u")=0), "u", "")</f>
        <v/>
      </c>
      <c r="CT285" s="80" t="str">
        <f>IF(AND($F285&lt;&gt;"", $F285&gt;=CT$5-4, $F285&lt;=CT$5, COUNTIF($M285:CS285,"u")=0), "u", "")</f>
        <v/>
      </c>
      <c r="CU285" s="80" t="str">
        <f>IF(AND($F285&lt;&gt;"", $F285&gt;=CU$5-4, $F285&lt;=CU$5, COUNTIF($M285:CT285,"u")=0), "u", "")</f>
        <v/>
      </c>
      <c r="CV285" s="80" t="str">
        <f>IF(AND($F285&lt;&gt;"", $F285&gt;=CV$5-4, $F285&lt;=CV$5, COUNTIF($M285:CU285,"u")=0), "u", "")</f>
        <v/>
      </c>
      <c r="CW285" s="80" t="str">
        <f>IF(AND($F285&lt;&gt;"", $F285&gt;=CW$5-4, $F285&lt;=CW$5, COUNTIF($M285:CV285,"u")=0), "u", "")</f>
        <v/>
      </c>
      <c r="CX285" s="80" t="str">
        <f>IF(AND($F285&lt;&gt;"", $F285&gt;=CX$5-4, $F285&lt;=CX$5, COUNTIF($M285:CW285,"u")=0), "u", "")</f>
        <v/>
      </c>
      <c r="CY285" s="80" t="str">
        <f>IF(AND($F285&lt;&gt;"", $F285&gt;=CY$5-4, $F285&lt;=CY$5, COUNTIF($M285:CX285,"u")=0), "u", "")</f>
        <v/>
      </c>
      <c r="CZ285" s="80" t="str">
        <f>IF(AND($F285&lt;&gt;"", $F285&gt;=CZ$5-4, $F285&lt;=CZ$5, COUNTIF($M285:CY285,"u")=0), "u", "")</f>
        <v/>
      </c>
      <c r="DA285" s="80" t="str">
        <f>IF(AND($F285&lt;&gt;"", $F285&gt;=DA$5-4, $F285&lt;=DA$5, COUNTIF($M285:CZ285,"u")=0), "u", "")</f>
        <v/>
      </c>
      <c r="DB285" s="80" t="str">
        <f>IF(AND($F285&lt;&gt;"", $F285&gt;=DB$5-4, $F285&lt;=DB$5, COUNTIF($M285:DA285,"u")=0), "u", "")</f>
        <v/>
      </c>
      <c r="DC285" s="80" t="str">
        <f>IF(AND($F285&lt;&gt;"", $F285&gt;=DC$5-4, $F285&lt;=DC$5, COUNTIF($M285:DB285,"u")=0), "u", "")</f>
        <v/>
      </c>
      <c r="DD285" s="80" t="str">
        <f>IF(AND($F285&lt;&gt;"", $F285&gt;=DD$5-4, $F285&lt;=DD$5, COUNTIF($M285:DC285,"u")=0), "u", "")</f>
        <v/>
      </c>
      <c r="DE285" s="80" t="str">
        <f>IF(AND($F285&lt;&gt;"", $F285&gt;=DE$5-4, $F285&lt;=DE$5, COUNTIF($M285:DD285,"u")=0), "u", "")</f>
        <v/>
      </c>
      <c r="DF285" s="80" t="str">
        <f>IF(AND($F285&lt;&gt;"", $F285&gt;=DF$5-4, $F285&lt;=DF$5, COUNTIF($M285:DE285,"u")=0), "u", "")</f>
        <v/>
      </c>
      <c r="DG285" s="80" t="str">
        <f>IF(AND($F285&lt;&gt;"", $F285&gt;=DG$5-4, $F285&lt;=DG$5, COUNTIF($M285:DF285,"u")=0), "u", "")</f>
        <v/>
      </c>
      <c r="DH285" s="80" t="str">
        <f>IF(AND($F285&lt;&gt;"", $F285&gt;=DH$5-4, $F285&lt;=DH$5, COUNTIF($M285:DG285,"u")=0), "u", "")</f>
        <v/>
      </c>
      <c r="DI285" s="80" t="str">
        <f>IF(AND($F285&lt;&gt;"", $F285&gt;=DI$5-4, $F285&lt;=DI$5, COUNTIF($M285:DH285,"u")=0), "u", "")</f>
        <v/>
      </c>
      <c r="DJ285" s="80" t="str">
        <f>IF(AND($F285&lt;&gt;"", $F285&gt;=DJ$5-4, $F285&lt;=DJ$5, COUNTIF($M285:DI285,"u")=0), "u", "")</f>
        <v/>
      </c>
      <c r="DK285" s="80" t="str">
        <f>IF(AND($F285&lt;&gt;"", $F285&gt;=DK$5-4, $F285&lt;=DK$5, COUNTIF($M285:DJ285,"u")=0), "u", "")</f>
        <v/>
      </c>
      <c r="DL285" s="80" t="str">
        <f>IF(AND($F285&lt;&gt;"", $F285&gt;=DL$5-4, $F285&lt;=DL$5, COUNTIF($M285:DK285,"u")=0), "u", "")</f>
        <v/>
      </c>
    </row>
    <row r="286" spans="1:116" ht="25.05" customHeight="1" x14ac:dyDescent="0.3">
      <c r="A286" s="39"/>
      <c r="B286" s="75">
        <v>281</v>
      </c>
      <c r="C286" s="97"/>
      <c r="D286" s="92"/>
      <c r="E286" s="53"/>
      <c r="F286" s="53"/>
      <c r="G286" s="83" t="str">
        <f t="shared" si="59"/>
        <v/>
      </c>
      <c r="H286" s="83" t="str">
        <f t="shared" si="59"/>
        <v/>
      </c>
      <c r="I286" s="77" t="str">
        <f t="shared" si="57"/>
        <v/>
      </c>
      <c r="J286" s="78"/>
      <c r="K286" s="86"/>
      <c r="L286" s="56"/>
      <c r="M286" s="80" t="str">
        <f t="shared" si="58"/>
        <v/>
      </c>
      <c r="N286" s="80" t="str">
        <f>IF(AND($F286&lt;&gt;"", $F286&gt;=N$5-4, $F286&lt;=N$5, COUNTIF($M286:M286,"u")=0), "u", "")</f>
        <v/>
      </c>
      <c r="O286" s="80" t="str">
        <f>IF(AND($F286&lt;&gt;"", $F286&gt;=O$5-4, $F286&lt;=O$5, COUNTIF($M286:N286,"u")=0), "u", "")</f>
        <v/>
      </c>
      <c r="P286" s="80" t="str">
        <f>IF(AND($F286&lt;&gt;"", $F286&gt;=P$5-4, $F286&lt;=P$5, COUNTIF($M286:O286,"u")=0), "u", "")</f>
        <v/>
      </c>
      <c r="Q286" s="80" t="str">
        <f>IF(AND($F286&lt;&gt;"", $F286&gt;=Q$5-4, $F286&lt;=Q$5, COUNTIF($M286:P286,"u")=0), "u", "")</f>
        <v/>
      </c>
      <c r="R286" s="80" t="str">
        <f>IF(AND($F286&lt;&gt;"", $F286&gt;=R$5-4, $F286&lt;=R$5, COUNTIF($M286:Q286,"u")=0), "u", "")</f>
        <v/>
      </c>
      <c r="S286" s="80" t="str">
        <f>IF(AND($F286&lt;&gt;"", $F286&gt;=S$5-4, $F286&lt;=S$5, COUNTIF($M286:R286,"u")=0), "u", "")</f>
        <v/>
      </c>
      <c r="T286" s="80" t="str">
        <f>IF(AND($F286&lt;&gt;"", $F286&gt;=T$5-4, $F286&lt;=T$5, COUNTIF($M286:S286,"u")=0), "u", "")</f>
        <v/>
      </c>
      <c r="U286" s="80" t="str">
        <f>IF(AND($F286&lt;&gt;"", $F286&gt;=U$5-4, $F286&lt;=U$5, COUNTIF($M286:T286,"u")=0), "u", "")</f>
        <v/>
      </c>
      <c r="V286" s="80" t="str">
        <f>IF(AND($F286&lt;&gt;"", $F286&gt;=V$5-4, $F286&lt;=V$5, COUNTIF($M286:U286,"u")=0), "u", "")</f>
        <v/>
      </c>
      <c r="W286" s="80" t="str">
        <f>IF(AND($F286&lt;&gt;"", $F286&gt;=W$5-4, $F286&lt;=W$5, COUNTIF($M286:V286,"u")=0), "u", "")</f>
        <v/>
      </c>
      <c r="X286" s="80" t="str">
        <f>IF(AND($F286&lt;&gt;"", $F286&gt;=X$5-4, $F286&lt;=X$5, COUNTIF($M286:W286,"u")=0), "u", "")</f>
        <v/>
      </c>
      <c r="Y286" s="80" t="str">
        <f>IF(AND($F286&lt;&gt;"", $F286&gt;=Y$5-4, $F286&lt;=Y$5, COUNTIF($M286:X286,"u")=0), "u", "")</f>
        <v/>
      </c>
      <c r="Z286" s="80" t="str">
        <f>IF(AND($F286&lt;&gt;"", $F286&gt;=Z$5-4, $F286&lt;=Z$5, COUNTIF($M286:Y286,"u")=0), "u", "")</f>
        <v/>
      </c>
      <c r="AA286" s="80" t="str">
        <f>IF(AND($F286&lt;&gt;"", $F286&gt;=AA$5-4, $F286&lt;=AA$5, COUNTIF($M286:Z286,"u")=0), "u", "")</f>
        <v/>
      </c>
      <c r="AB286" s="80" t="str">
        <f>IF(AND($F286&lt;&gt;"", $F286&gt;=AB$5-4, $F286&lt;=AB$5, COUNTIF($M286:AA286,"u")=0), "u", "")</f>
        <v/>
      </c>
      <c r="AC286" s="80" t="str">
        <f>IF(AND($F286&lt;&gt;"", $F286&gt;=AC$5-4, $F286&lt;=AC$5, COUNTIF($M286:AB286,"u")=0), "u", "")</f>
        <v/>
      </c>
      <c r="AD286" s="80" t="str">
        <f>IF(AND($F286&lt;&gt;"", $F286&gt;=AD$5-4, $F286&lt;=AD$5, COUNTIF($M286:AC286,"u")=0), "u", "")</f>
        <v/>
      </c>
      <c r="AE286" s="80" t="str">
        <f>IF(AND($F286&lt;&gt;"", $F286&gt;=AE$5-4, $F286&lt;=AE$5, COUNTIF($M286:AD286,"u")=0), "u", "")</f>
        <v/>
      </c>
      <c r="AF286" s="80" t="str">
        <f>IF(AND($F286&lt;&gt;"", $F286&gt;=AF$5-4, $F286&lt;=AF$5, COUNTIF($M286:AE286,"u")=0), "u", "")</f>
        <v/>
      </c>
      <c r="AG286" s="80" t="str">
        <f>IF(AND($F286&lt;&gt;"", $F286&gt;=AG$5-4, $F286&lt;=AG$5, COUNTIF($M286:AF286,"u")=0), "u", "")</f>
        <v/>
      </c>
      <c r="AH286" s="80" t="str">
        <f>IF(AND($F286&lt;&gt;"", $F286&gt;=AH$5-4, $F286&lt;=AH$5, COUNTIF($M286:AG286,"u")=0), "u", "")</f>
        <v/>
      </c>
      <c r="AI286" s="80" t="str">
        <f>IF(AND($F286&lt;&gt;"", $F286&gt;=AI$5-4, $F286&lt;=AI$5, COUNTIF($M286:AH286,"u")=0), "u", "")</f>
        <v/>
      </c>
      <c r="AJ286" s="80" t="str">
        <f>IF(AND($F286&lt;&gt;"", $F286&gt;=AJ$5-4, $F286&lt;=AJ$5, COUNTIF($M286:AI286,"u")=0), "u", "")</f>
        <v/>
      </c>
      <c r="AK286" s="80" t="str">
        <f>IF(AND($F286&lt;&gt;"", $F286&gt;=AK$5-4, $F286&lt;=AK$5, COUNTIF($M286:AJ286,"u")=0), "u", "")</f>
        <v/>
      </c>
      <c r="AL286" s="80" t="str">
        <f>IF(AND($F286&lt;&gt;"", $F286&gt;=AL$5-4, $F286&lt;=AL$5, COUNTIF($M286:AK286,"u")=0), "u", "")</f>
        <v/>
      </c>
      <c r="AM286" s="80" t="str">
        <f>IF(AND($F286&lt;&gt;"", $F286&gt;=AM$5-4, $F286&lt;=AM$5, COUNTIF($M286:AL286,"u")=0), "u", "")</f>
        <v/>
      </c>
      <c r="AN286" s="80" t="str">
        <f>IF(AND($F286&lt;&gt;"", $F286&gt;=AN$5-4, $F286&lt;=AN$5, COUNTIF($M286:AM286,"u")=0), "u", "")</f>
        <v/>
      </c>
      <c r="AO286" s="80" t="str">
        <f>IF(AND($F286&lt;&gt;"", $F286&gt;=AO$5-4, $F286&lt;=AO$5, COUNTIF($M286:AN286,"u")=0), "u", "")</f>
        <v/>
      </c>
      <c r="AP286" s="80" t="str">
        <f>IF(AND($F286&lt;&gt;"", $F286&gt;=AP$5-4, $F286&lt;=AP$5, COUNTIF($M286:AO286,"u")=0), "u", "")</f>
        <v/>
      </c>
      <c r="AQ286" s="80" t="str">
        <f>IF(AND($F286&lt;&gt;"", $F286&gt;=AQ$5-4, $F286&lt;=AQ$5, COUNTIF($M286:AP286,"u")=0), "u", "")</f>
        <v/>
      </c>
      <c r="AR286" s="80" t="str">
        <f>IF(AND($F286&lt;&gt;"", $F286&gt;=AR$5-4, $F286&lt;=AR$5, COUNTIF($M286:AQ286,"u")=0), "u", "")</f>
        <v/>
      </c>
      <c r="AS286" s="80" t="str">
        <f>IF(AND($F286&lt;&gt;"", $F286&gt;=AS$5-4, $F286&lt;=AS$5, COUNTIF($M286:AR286,"u")=0), "u", "")</f>
        <v/>
      </c>
      <c r="AT286" s="80" t="str">
        <f>IF(AND($F286&lt;&gt;"", $F286&gt;=AT$5-4, $F286&lt;=AT$5, COUNTIF($M286:AS286,"u")=0), "u", "")</f>
        <v/>
      </c>
      <c r="AU286" s="80" t="str">
        <f>IF(AND($F286&lt;&gt;"", $F286&gt;=AU$5-4, $F286&lt;=AU$5, COUNTIF($M286:AT286,"u")=0), "u", "")</f>
        <v/>
      </c>
      <c r="AV286" s="80" t="str">
        <f>IF(AND($F286&lt;&gt;"", $F286&gt;=AV$5-4, $F286&lt;=AV$5, COUNTIF($M286:AU286,"u")=0), "u", "")</f>
        <v/>
      </c>
      <c r="AW286" s="80" t="str">
        <f>IF(AND($F286&lt;&gt;"", $F286&gt;=AW$5-4, $F286&lt;=AW$5, COUNTIF($M286:AV286,"u")=0), "u", "")</f>
        <v/>
      </c>
      <c r="AX286" s="80" t="str">
        <f>IF(AND($F286&lt;&gt;"", $F286&gt;=AX$5-4, $F286&lt;=AX$5, COUNTIF($M286:AW286,"u")=0), "u", "")</f>
        <v/>
      </c>
      <c r="AY286" s="80" t="str">
        <f>IF(AND($F286&lt;&gt;"", $F286&gt;=AY$5-4, $F286&lt;=AY$5, COUNTIF($M286:AX286,"u")=0), "u", "")</f>
        <v/>
      </c>
      <c r="AZ286" s="80" t="str">
        <f>IF(AND($F286&lt;&gt;"", $F286&gt;=AZ$5-4, $F286&lt;=AZ$5, COUNTIF($M286:AY286,"u")=0), "u", "")</f>
        <v/>
      </c>
      <c r="BA286" s="80" t="str">
        <f>IF(AND($F286&lt;&gt;"", $F286&gt;=BA$5-4, $F286&lt;=BA$5, COUNTIF($M286:AZ286,"u")=0), "u", "")</f>
        <v/>
      </c>
      <c r="BB286" s="80" t="str">
        <f>IF(AND($F286&lt;&gt;"", $F286&gt;=BB$5-4, $F286&lt;=BB$5, COUNTIF($M286:BA286,"u")=0), "u", "")</f>
        <v/>
      </c>
      <c r="BC286" s="80" t="str">
        <f>IF(AND($F286&lt;&gt;"", $F286&gt;=BC$5-4, $F286&lt;=BC$5, COUNTIF($M286:BB286,"u")=0), "u", "")</f>
        <v/>
      </c>
      <c r="BD286" s="80" t="str">
        <f>IF(AND($F286&lt;&gt;"", $F286&gt;=BD$5-4, $F286&lt;=BD$5, COUNTIF($M286:BC286,"u")=0), "u", "")</f>
        <v/>
      </c>
      <c r="BE286" s="80" t="str">
        <f>IF(AND($F286&lt;&gt;"", $F286&gt;=BE$5-4, $F286&lt;=BE$5, COUNTIF($M286:BD286,"u")=0), "u", "")</f>
        <v/>
      </c>
      <c r="BF286" s="80" t="str">
        <f>IF(AND($F286&lt;&gt;"", $F286&gt;=BF$5-4, $F286&lt;=BF$5, COUNTIF($M286:BE286,"u")=0), "u", "")</f>
        <v/>
      </c>
      <c r="BG286" s="80" t="str">
        <f>IF(AND($F286&lt;&gt;"", $F286&gt;=BG$5-4, $F286&lt;=BG$5, COUNTIF($M286:BF286,"u")=0), "u", "")</f>
        <v/>
      </c>
      <c r="BH286" s="80" t="str">
        <f>IF(AND($F286&lt;&gt;"", $F286&gt;=BH$5-4, $F286&lt;=BH$5, COUNTIF($M286:BG286,"u")=0), "u", "")</f>
        <v/>
      </c>
      <c r="BI286" s="80" t="str">
        <f>IF(AND($F286&lt;&gt;"", $F286&gt;=BI$5-4, $F286&lt;=BI$5, COUNTIF($M286:BH286,"u")=0), "u", "")</f>
        <v/>
      </c>
      <c r="BJ286" s="80" t="str">
        <f>IF(AND($F286&lt;&gt;"", $F286&gt;=BJ$5-4, $F286&lt;=BJ$5, COUNTIF($M286:BI286,"u")=0), "u", "")</f>
        <v/>
      </c>
      <c r="BK286" s="80" t="str">
        <f>IF(AND($F286&lt;&gt;"", $F286&gt;=BK$5-4, $F286&lt;=BK$5, COUNTIF($M286:BJ286,"u")=0), "u", "")</f>
        <v/>
      </c>
      <c r="BL286" s="80" t="str">
        <f>IF(AND($F286&lt;&gt;"", $F286&gt;=BL$5-4, $F286&lt;=BL$5, COUNTIF($M286:BK286,"u")=0), "u", "")</f>
        <v/>
      </c>
      <c r="BM286" s="80" t="str">
        <f>IF(AND($F286&lt;&gt;"", $F286&gt;=BM$5-4, $F286&lt;=BM$5, COUNTIF($M286:BL286,"u")=0), "u", "")</f>
        <v/>
      </c>
      <c r="BN286" s="80" t="str">
        <f>IF(AND($F286&lt;&gt;"", $F286&gt;=BN$5-4, $F286&lt;=BN$5, COUNTIF($M286:BM286,"u")=0), "u", "")</f>
        <v/>
      </c>
      <c r="BO286" s="80" t="str">
        <f>IF(AND($F286&lt;&gt;"", $F286&gt;=BO$5-4, $F286&lt;=BO$5, COUNTIF($M286:BN286,"u")=0), "u", "")</f>
        <v/>
      </c>
      <c r="BP286" s="80" t="str">
        <f>IF(AND($F286&lt;&gt;"", $F286&gt;=BP$5-4, $F286&lt;=BP$5, COUNTIF($M286:BO286,"u")=0), "u", "")</f>
        <v/>
      </c>
      <c r="BQ286" s="80" t="str">
        <f>IF(AND($F286&lt;&gt;"", $F286&gt;=BQ$5-4, $F286&lt;=BQ$5, COUNTIF($M286:BP286,"u")=0), "u", "")</f>
        <v/>
      </c>
      <c r="BR286" s="80" t="str">
        <f>IF(AND($F286&lt;&gt;"", $F286&gt;=BR$5-4, $F286&lt;=BR$5, COUNTIF($M286:BQ286,"u")=0), "u", "")</f>
        <v/>
      </c>
      <c r="BS286" s="80" t="str">
        <f>IF(AND($F286&lt;&gt;"", $F286&gt;=BS$5-4, $F286&lt;=BS$5, COUNTIF($M286:BR286,"u")=0), "u", "")</f>
        <v/>
      </c>
      <c r="BT286" s="80" t="str">
        <f>IF(AND($F286&lt;&gt;"", $F286&gt;=BT$5-4, $F286&lt;=BT$5, COUNTIF($M286:BS286,"u")=0), "u", "")</f>
        <v/>
      </c>
      <c r="BU286" s="80" t="str">
        <f>IF(AND($F286&lt;&gt;"", $F286&gt;=BU$5-4, $F286&lt;=BU$5, COUNTIF($M286:BT286,"u")=0), "u", "")</f>
        <v/>
      </c>
      <c r="BV286" s="80" t="str">
        <f>IF(AND($F286&lt;&gt;"", $F286&gt;=BV$5-4, $F286&lt;=BV$5, COUNTIF($M286:BU286,"u")=0), "u", "")</f>
        <v/>
      </c>
      <c r="BW286" s="80" t="str">
        <f>IF(AND($F286&lt;&gt;"", $F286&gt;=BW$5-4, $F286&lt;=BW$5, COUNTIF($M286:BV286,"u")=0), "u", "")</f>
        <v/>
      </c>
      <c r="BX286" s="80" t="str">
        <f>IF(AND($F286&lt;&gt;"", $F286&gt;=BX$5-4, $F286&lt;=BX$5, COUNTIF($M286:BW286,"u")=0), "u", "")</f>
        <v/>
      </c>
      <c r="BY286" s="80" t="str">
        <f>IF(AND($F286&lt;&gt;"", $F286&gt;=BY$5-4, $F286&lt;=BY$5, COUNTIF($M286:BX286,"u")=0), "u", "")</f>
        <v/>
      </c>
      <c r="BZ286" s="80" t="str">
        <f>IF(AND($F286&lt;&gt;"", $F286&gt;=BZ$5-4, $F286&lt;=BZ$5, COUNTIF($M286:BY286,"u")=0), "u", "")</f>
        <v/>
      </c>
      <c r="CA286" s="80" t="str">
        <f>IF(AND($F286&lt;&gt;"", $F286&gt;=CA$5-4, $F286&lt;=CA$5, COUNTIF($M286:BZ286,"u")=0), "u", "")</f>
        <v/>
      </c>
      <c r="CB286" s="80" t="str">
        <f>IF(AND($F286&lt;&gt;"", $F286&gt;=CB$5-4, $F286&lt;=CB$5, COUNTIF($M286:CA286,"u")=0), "u", "")</f>
        <v/>
      </c>
      <c r="CC286" s="80" t="str">
        <f>IF(AND($F286&lt;&gt;"", $F286&gt;=CC$5-4, $F286&lt;=CC$5, COUNTIF($M286:CB286,"u")=0), "u", "")</f>
        <v/>
      </c>
      <c r="CD286" s="80" t="str">
        <f>IF(AND($F286&lt;&gt;"", $F286&gt;=CD$5-4, $F286&lt;=CD$5, COUNTIF($M286:CC286,"u")=0), "u", "")</f>
        <v/>
      </c>
      <c r="CE286" s="80" t="str">
        <f>IF(AND($F286&lt;&gt;"", $F286&gt;=CE$5-4, $F286&lt;=CE$5, COUNTIF($M286:CD286,"u")=0), "u", "")</f>
        <v/>
      </c>
      <c r="CF286" s="80" t="str">
        <f>IF(AND($F286&lt;&gt;"", $F286&gt;=CF$5-4, $F286&lt;=CF$5, COUNTIF($M286:CE286,"u")=0), "u", "")</f>
        <v/>
      </c>
      <c r="CG286" s="80" t="str">
        <f>IF(AND($F286&lt;&gt;"", $F286&gt;=CG$5-4, $F286&lt;=CG$5, COUNTIF($M286:CF286,"u")=0), "u", "")</f>
        <v/>
      </c>
      <c r="CH286" s="80" t="str">
        <f>IF(AND($F286&lt;&gt;"", $F286&gt;=CH$5-4, $F286&lt;=CH$5, COUNTIF($M286:CG286,"u")=0), "u", "")</f>
        <v/>
      </c>
      <c r="CI286" s="80" t="str">
        <f>IF(AND($F286&lt;&gt;"", $F286&gt;=CI$5-4, $F286&lt;=CI$5, COUNTIF($M286:CH286,"u")=0), "u", "")</f>
        <v/>
      </c>
      <c r="CJ286" s="80" t="str">
        <f>IF(AND($F286&lt;&gt;"", $F286&gt;=CJ$5-4, $F286&lt;=CJ$5, COUNTIF($M286:CI286,"u")=0), "u", "")</f>
        <v/>
      </c>
      <c r="CK286" s="80" t="str">
        <f>IF(AND($F286&lt;&gt;"", $F286&gt;=CK$5-4, $F286&lt;=CK$5, COUNTIF($M286:CJ286,"u")=0), "u", "")</f>
        <v/>
      </c>
      <c r="CL286" s="80" t="str">
        <f>IF(AND($F286&lt;&gt;"", $F286&gt;=CL$5-4, $F286&lt;=CL$5, COUNTIF($M286:CK286,"u")=0), "u", "")</f>
        <v/>
      </c>
      <c r="CM286" s="80" t="str">
        <f>IF(AND($F286&lt;&gt;"", $F286&gt;=CM$5-4, $F286&lt;=CM$5, COUNTIF($M286:CL286,"u")=0), "u", "")</f>
        <v/>
      </c>
      <c r="CN286" s="80" t="str">
        <f>IF(AND($F286&lt;&gt;"", $F286&gt;=CN$5-4, $F286&lt;=CN$5, COUNTIF($M286:CM286,"u")=0), "u", "")</f>
        <v/>
      </c>
      <c r="CO286" s="80" t="str">
        <f>IF(AND($F286&lt;&gt;"", $F286&gt;=CO$5-4, $F286&lt;=CO$5, COUNTIF($M286:CN286,"u")=0), "u", "")</f>
        <v/>
      </c>
      <c r="CP286" s="80" t="str">
        <f>IF(AND($F286&lt;&gt;"", $F286&gt;=CP$5-4, $F286&lt;=CP$5, COUNTIF($M286:CO286,"u")=0), "u", "")</f>
        <v/>
      </c>
      <c r="CQ286" s="80" t="str">
        <f>IF(AND($F286&lt;&gt;"", $F286&gt;=CQ$5-4, $F286&lt;=CQ$5, COUNTIF($M286:CP286,"u")=0), "u", "")</f>
        <v/>
      </c>
      <c r="CR286" s="80" t="str">
        <f>IF(AND($F286&lt;&gt;"", $F286&gt;=CR$5-4, $F286&lt;=CR$5, COUNTIF($M286:CQ286,"u")=0), "u", "")</f>
        <v/>
      </c>
      <c r="CS286" s="80" t="str">
        <f>IF(AND($F286&lt;&gt;"", $F286&gt;=CS$5-4, $F286&lt;=CS$5, COUNTIF($M286:CR286,"u")=0), "u", "")</f>
        <v/>
      </c>
      <c r="CT286" s="80" t="str">
        <f>IF(AND($F286&lt;&gt;"", $F286&gt;=CT$5-4, $F286&lt;=CT$5, COUNTIF($M286:CS286,"u")=0), "u", "")</f>
        <v/>
      </c>
      <c r="CU286" s="80" t="str">
        <f>IF(AND($F286&lt;&gt;"", $F286&gt;=CU$5-4, $F286&lt;=CU$5, COUNTIF($M286:CT286,"u")=0), "u", "")</f>
        <v/>
      </c>
      <c r="CV286" s="80" t="str">
        <f>IF(AND($F286&lt;&gt;"", $F286&gt;=CV$5-4, $F286&lt;=CV$5, COUNTIF($M286:CU286,"u")=0), "u", "")</f>
        <v/>
      </c>
      <c r="CW286" s="80" t="str">
        <f>IF(AND($F286&lt;&gt;"", $F286&gt;=CW$5-4, $F286&lt;=CW$5, COUNTIF($M286:CV286,"u")=0), "u", "")</f>
        <v/>
      </c>
      <c r="CX286" s="80" t="str">
        <f>IF(AND($F286&lt;&gt;"", $F286&gt;=CX$5-4, $F286&lt;=CX$5, COUNTIF($M286:CW286,"u")=0), "u", "")</f>
        <v/>
      </c>
      <c r="CY286" s="80" t="str">
        <f>IF(AND($F286&lt;&gt;"", $F286&gt;=CY$5-4, $F286&lt;=CY$5, COUNTIF($M286:CX286,"u")=0), "u", "")</f>
        <v/>
      </c>
      <c r="CZ286" s="80" t="str">
        <f>IF(AND($F286&lt;&gt;"", $F286&gt;=CZ$5-4, $F286&lt;=CZ$5, COUNTIF($M286:CY286,"u")=0), "u", "")</f>
        <v/>
      </c>
      <c r="DA286" s="80" t="str">
        <f>IF(AND($F286&lt;&gt;"", $F286&gt;=DA$5-4, $F286&lt;=DA$5, COUNTIF($M286:CZ286,"u")=0), "u", "")</f>
        <v/>
      </c>
      <c r="DB286" s="80" t="str">
        <f>IF(AND($F286&lt;&gt;"", $F286&gt;=DB$5-4, $F286&lt;=DB$5, COUNTIF($M286:DA286,"u")=0), "u", "")</f>
        <v/>
      </c>
      <c r="DC286" s="80" t="str">
        <f>IF(AND($F286&lt;&gt;"", $F286&gt;=DC$5-4, $F286&lt;=DC$5, COUNTIF($M286:DB286,"u")=0), "u", "")</f>
        <v/>
      </c>
      <c r="DD286" s="80" t="str">
        <f>IF(AND($F286&lt;&gt;"", $F286&gt;=DD$5-4, $F286&lt;=DD$5, COUNTIF($M286:DC286,"u")=0), "u", "")</f>
        <v/>
      </c>
      <c r="DE286" s="80" t="str">
        <f>IF(AND($F286&lt;&gt;"", $F286&gt;=DE$5-4, $F286&lt;=DE$5, COUNTIF($M286:DD286,"u")=0), "u", "")</f>
        <v/>
      </c>
      <c r="DF286" s="80" t="str">
        <f>IF(AND($F286&lt;&gt;"", $F286&gt;=DF$5-4, $F286&lt;=DF$5, COUNTIF($M286:DE286,"u")=0), "u", "")</f>
        <v/>
      </c>
      <c r="DG286" s="80" t="str">
        <f>IF(AND($F286&lt;&gt;"", $F286&gt;=DG$5-4, $F286&lt;=DG$5, COUNTIF($M286:DF286,"u")=0), "u", "")</f>
        <v/>
      </c>
      <c r="DH286" s="80" t="str">
        <f>IF(AND($F286&lt;&gt;"", $F286&gt;=DH$5-4, $F286&lt;=DH$5, COUNTIF($M286:DG286,"u")=0), "u", "")</f>
        <v/>
      </c>
      <c r="DI286" s="80" t="str">
        <f>IF(AND($F286&lt;&gt;"", $F286&gt;=DI$5-4, $F286&lt;=DI$5, COUNTIF($M286:DH286,"u")=0), "u", "")</f>
        <v/>
      </c>
      <c r="DJ286" s="80" t="str">
        <f>IF(AND($F286&lt;&gt;"", $F286&gt;=DJ$5-4, $F286&lt;=DJ$5, COUNTIF($M286:DI286,"u")=0), "u", "")</f>
        <v/>
      </c>
      <c r="DK286" s="80" t="str">
        <f>IF(AND($F286&lt;&gt;"", $F286&gt;=DK$5-4, $F286&lt;=DK$5, COUNTIF($M286:DJ286,"u")=0), "u", "")</f>
        <v/>
      </c>
      <c r="DL286" s="80" t="str">
        <f>IF(AND($F286&lt;&gt;"", $F286&gt;=DL$5-4, $F286&lt;=DL$5, COUNTIF($M286:DK286,"u")=0), "u", "")</f>
        <v/>
      </c>
    </row>
    <row r="287" spans="1:116" ht="25.05" customHeight="1" x14ac:dyDescent="0.3">
      <c r="A287" s="39"/>
      <c r="B287" s="75">
        <v>282</v>
      </c>
      <c r="C287" s="97"/>
      <c r="D287" s="92"/>
      <c r="E287" s="53"/>
      <c r="F287" s="53"/>
      <c r="G287" s="83" t="str">
        <f t="shared" si="59"/>
        <v/>
      </c>
      <c r="H287" s="83" t="str">
        <f t="shared" si="59"/>
        <v/>
      </c>
      <c r="I287" s="77" t="str">
        <f t="shared" si="57"/>
        <v/>
      </c>
      <c r="J287" s="78"/>
      <c r="K287" s="86"/>
      <c r="L287" s="56"/>
      <c r="M287" s="80" t="str">
        <f t="shared" si="58"/>
        <v/>
      </c>
      <c r="N287" s="80" t="str">
        <f>IF(AND($F287&lt;&gt;"", $F287&gt;=N$5-4, $F287&lt;=N$5, COUNTIF($M287:M287,"u")=0), "u", "")</f>
        <v/>
      </c>
      <c r="O287" s="80" t="str">
        <f>IF(AND($F287&lt;&gt;"", $F287&gt;=O$5-4, $F287&lt;=O$5, COUNTIF($M287:N287,"u")=0), "u", "")</f>
        <v/>
      </c>
      <c r="P287" s="80" t="str">
        <f>IF(AND($F287&lt;&gt;"", $F287&gt;=P$5-4, $F287&lt;=P$5, COUNTIF($M287:O287,"u")=0), "u", "")</f>
        <v/>
      </c>
      <c r="Q287" s="80" t="str">
        <f>IF(AND($F287&lt;&gt;"", $F287&gt;=Q$5-4, $F287&lt;=Q$5, COUNTIF($M287:P287,"u")=0), "u", "")</f>
        <v/>
      </c>
      <c r="R287" s="80" t="str">
        <f>IF(AND($F287&lt;&gt;"", $F287&gt;=R$5-4, $F287&lt;=R$5, COUNTIF($M287:Q287,"u")=0), "u", "")</f>
        <v/>
      </c>
      <c r="S287" s="80" t="str">
        <f>IF(AND($F287&lt;&gt;"", $F287&gt;=S$5-4, $F287&lt;=S$5, COUNTIF($M287:R287,"u")=0), "u", "")</f>
        <v/>
      </c>
      <c r="T287" s="80" t="str">
        <f>IF(AND($F287&lt;&gt;"", $F287&gt;=T$5-4, $F287&lt;=T$5, COUNTIF($M287:S287,"u")=0), "u", "")</f>
        <v/>
      </c>
      <c r="U287" s="80" t="str">
        <f>IF(AND($F287&lt;&gt;"", $F287&gt;=U$5-4, $F287&lt;=U$5, COUNTIF($M287:T287,"u")=0), "u", "")</f>
        <v/>
      </c>
      <c r="V287" s="80" t="str">
        <f>IF(AND($F287&lt;&gt;"", $F287&gt;=V$5-4, $F287&lt;=V$5, COUNTIF($M287:U287,"u")=0), "u", "")</f>
        <v/>
      </c>
      <c r="W287" s="80" t="str">
        <f>IF(AND($F287&lt;&gt;"", $F287&gt;=W$5-4, $F287&lt;=W$5, COUNTIF($M287:V287,"u")=0), "u", "")</f>
        <v/>
      </c>
      <c r="X287" s="80" t="str">
        <f>IF(AND($F287&lt;&gt;"", $F287&gt;=X$5-4, $F287&lt;=X$5, COUNTIF($M287:W287,"u")=0), "u", "")</f>
        <v/>
      </c>
      <c r="Y287" s="80" t="str">
        <f>IF(AND($F287&lt;&gt;"", $F287&gt;=Y$5-4, $F287&lt;=Y$5, COUNTIF($M287:X287,"u")=0), "u", "")</f>
        <v/>
      </c>
      <c r="Z287" s="80" t="str">
        <f>IF(AND($F287&lt;&gt;"", $F287&gt;=Z$5-4, $F287&lt;=Z$5, COUNTIF($M287:Y287,"u")=0), "u", "")</f>
        <v/>
      </c>
      <c r="AA287" s="80" t="str">
        <f>IF(AND($F287&lt;&gt;"", $F287&gt;=AA$5-4, $F287&lt;=AA$5, COUNTIF($M287:Z287,"u")=0), "u", "")</f>
        <v/>
      </c>
      <c r="AB287" s="80" t="str">
        <f>IF(AND($F287&lt;&gt;"", $F287&gt;=AB$5-4, $F287&lt;=AB$5, COUNTIF($M287:AA287,"u")=0), "u", "")</f>
        <v/>
      </c>
      <c r="AC287" s="80" t="str">
        <f>IF(AND($F287&lt;&gt;"", $F287&gt;=AC$5-4, $F287&lt;=AC$5, COUNTIF($M287:AB287,"u")=0), "u", "")</f>
        <v/>
      </c>
      <c r="AD287" s="80" t="str">
        <f>IF(AND($F287&lt;&gt;"", $F287&gt;=AD$5-4, $F287&lt;=AD$5, COUNTIF($M287:AC287,"u")=0), "u", "")</f>
        <v/>
      </c>
      <c r="AE287" s="80" t="str">
        <f>IF(AND($F287&lt;&gt;"", $F287&gt;=AE$5-4, $F287&lt;=AE$5, COUNTIF($M287:AD287,"u")=0), "u", "")</f>
        <v/>
      </c>
      <c r="AF287" s="80" t="str">
        <f>IF(AND($F287&lt;&gt;"", $F287&gt;=AF$5-4, $F287&lt;=AF$5, COUNTIF($M287:AE287,"u")=0), "u", "")</f>
        <v/>
      </c>
      <c r="AG287" s="80" t="str">
        <f>IF(AND($F287&lt;&gt;"", $F287&gt;=AG$5-4, $F287&lt;=AG$5, COUNTIF($M287:AF287,"u")=0), "u", "")</f>
        <v/>
      </c>
      <c r="AH287" s="80" t="str">
        <f>IF(AND($F287&lt;&gt;"", $F287&gt;=AH$5-4, $F287&lt;=AH$5, COUNTIF($M287:AG287,"u")=0), "u", "")</f>
        <v/>
      </c>
      <c r="AI287" s="80" t="str">
        <f>IF(AND($F287&lt;&gt;"", $F287&gt;=AI$5-4, $F287&lt;=AI$5, COUNTIF($M287:AH287,"u")=0), "u", "")</f>
        <v/>
      </c>
      <c r="AJ287" s="80" t="str">
        <f>IF(AND($F287&lt;&gt;"", $F287&gt;=AJ$5-4, $F287&lt;=AJ$5, COUNTIF($M287:AI287,"u")=0), "u", "")</f>
        <v/>
      </c>
      <c r="AK287" s="80" t="str">
        <f>IF(AND($F287&lt;&gt;"", $F287&gt;=AK$5-4, $F287&lt;=AK$5, COUNTIF($M287:AJ287,"u")=0), "u", "")</f>
        <v/>
      </c>
      <c r="AL287" s="80" t="str">
        <f>IF(AND($F287&lt;&gt;"", $F287&gt;=AL$5-4, $F287&lt;=AL$5, COUNTIF($M287:AK287,"u")=0), "u", "")</f>
        <v/>
      </c>
      <c r="AM287" s="80" t="str">
        <f>IF(AND($F287&lt;&gt;"", $F287&gt;=AM$5-4, $F287&lt;=AM$5, COUNTIF($M287:AL287,"u")=0), "u", "")</f>
        <v/>
      </c>
      <c r="AN287" s="80" t="str">
        <f>IF(AND($F287&lt;&gt;"", $F287&gt;=AN$5-4, $F287&lt;=AN$5, COUNTIF($M287:AM287,"u")=0), "u", "")</f>
        <v/>
      </c>
      <c r="AO287" s="80" t="str">
        <f>IF(AND($F287&lt;&gt;"", $F287&gt;=AO$5-4, $F287&lt;=AO$5, COUNTIF($M287:AN287,"u")=0), "u", "")</f>
        <v/>
      </c>
      <c r="AP287" s="80" t="str">
        <f>IF(AND($F287&lt;&gt;"", $F287&gt;=AP$5-4, $F287&lt;=AP$5, COUNTIF($M287:AO287,"u")=0), "u", "")</f>
        <v/>
      </c>
      <c r="AQ287" s="80" t="str">
        <f>IF(AND($F287&lt;&gt;"", $F287&gt;=AQ$5-4, $F287&lt;=AQ$5, COUNTIF($M287:AP287,"u")=0), "u", "")</f>
        <v/>
      </c>
      <c r="AR287" s="80" t="str">
        <f>IF(AND($F287&lt;&gt;"", $F287&gt;=AR$5-4, $F287&lt;=AR$5, COUNTIF($M287:AQ287,"u")=0), "u", "")</f>
        <v/>
      </c>
      <c r="AS287" s="80" t="str">
        <f>IF(AND($F287&lt;&gt;"", $F287&gt;=AS$5-4, $F287&lt;=AS$5, COUNTIF($M287:AR287,"u")=0), "u", "")</f>
        <v/>
      </c>
      <c r="AT287" s="80" t="str">
        <f>IF(AND($F287&lt;&gt;"", $F287&gt;=AT$5-4, $F287&lt;=AT$5, COUNTIF($M287:AS287,"u")=0), "u", "")</f>
        <v/>
      </c>
      <c r="AU287" s="80" t="str">
        <f>IF(AND($F287&lt;&gt;"", $F287&gt;=AU$5-4, $F287&lt;=AU$5, COUNTIF($M287:AT287,"u")=0), "u", "")</f>
        <v/>
      </c>
      <c r="AV287" s="80" t="str">
        <f>IF(AND($F287&lt;&gt;"", $F287&gt;=AV$5-4, $F287&lt;=AV$5, COUNTIF($M287:AU287,"u")=0), "u", "")</f>
        <v/>
      </c>
      <c r="AW287" s="80" t="str">
        <f>IF(AND($F287&lt;&gt;"", $F287&gt;=AW$5-4, $F287&lt;=AW$5, COUNTIF($M287:AV287,"u")=0), "u", "")</f>
        <v/>
      </c>
      <c r="AX287" s="80" t="str">
        <f>IF(AND($F287&lt;&gt;"", $F287&gt;=AX$5-4, $F287&lt;=AX$5, COUNTIF($M287:AW287,"u")=0), "u", "")</f>
        <v/>
      </c>
      <c r="AY287" s="80" t="str">
        <f>IF(AND($F287&lt;&gt;"", $F287&gt;=AY$5-4, $F287&lt;=AY$5, COUNTIF($M287:AX287,"u")=0), "u", "")</f>
        <v/>
      </c>
      <c r="AZ287" s="80" t="str">
        <f>IF(AND($F287&lt;&gt;"", $F287&gt;=AZ$5-4, $F287&lt;=AZ$5, COUNTIF($M287:AY287,"u")=0), "u", "")</f>
        <v/>
      </c>
      <c r="BA287" s="80" t="str">
        <f>IF(AND($F287&lt;&gt;"", $F287&gt;=BA$5-4, $F287&lt;=BA$5, COUNTIF($M287:AZ287,"u")=0), "u", "")</f>
        <v/>
      </c>
      <c r="BB287" s="80" t="str">
        <f>IF(AND($F287&lt;&gt;"", $F287&gt;=BB$5-4, $F287&lt;=BB$5, COUNTIF($M287:BA287,"u")=0), "u", "")</f>
        <v/>
      </c>
      <c r="BC287" s="80" t="str">
        <f>IF(AND($F287&lt;&gt;"", $F287&gt;=BC$5-4, $F287&lt;=BC$5, COUNTIF($M287:BB287,"u")=0), "u", "")</f>
        <v/>
      </c>
      <c r="BD287" s="80" t="str">
        <f>IF(AND($F287&lt;&gt;"", $F287&gt;=BD$5-4, $F287&lt;=BD$5, COUNTIF($M287:BC287,"u")=0), "u", "")</f>
        <v/>
      </c>
      <c r="BE287" s="80" t="str">
        <f>IF(AND($F287&lt;&gt;"", $F287&gt;=BE$5-4, $F287&lt;=BE$5, COUNTIF($M287:BD287,"u")=0), "u", "")</f>
        <v/>
      </c>
      <c r="BF287" s="80" t="str">
        <f>IF(AND($F287&lt;&gt;"", $F287&gt;=BF$5-4, $F287&lt;=BF$5, COUNTIF($M287:BE287,"u")=0), "u", "")</f>
        <v/>
      </c>
      <c r="BG287" s="80" t="str">
        <f>IF(AND($F287&lt;&gt;"", $F287&gt;=BG$5-4, $F287&lt;=BG$5, COUNTIF($M287:BF287,"u")=0), "u", "")</f>
        <v/>
      </c>
      <c r="BH287" s="80" t="str">
        <f>IF(AND($F287&lt;&gt;"", $F287&gt;=BH$5-4, $F287&lt;=BH$5, COUNTIF($M287:BG287,"u")=0), "u", "")</f>
        <v/>
      </c>
      <c r="BI287" s="80" t="str">
        <f>IF(AND($F287&lt;&gt;"", $F287&gt;=BI$5-4, $F287&lt;=BI$5, COUNTIF($M287:BH287,"u")=0), "u", "")</f>
        <v/>
      </c>
      <c r="BJ287" s="80" t="str">
        <f>IF(AND($F287&lt;&gt;"", $F287&gt;=BJ$5-4, $F287&lt;=BJ$5, COUNTIF($M287:BI287,"u")=0), "u", "")</f>
        <v/>
      </c>
      <c r="BK287" s="80" t="str">
        <f>IF(AND($F287&lt;&gt;"", $F287&gt;=BK$5-4, $F287&lt;=BK$5, COUNTIF($M287:BJ287,"u")=0), "u", "")</f>
        <v/>
      </c>
      <c r="BL287" s="80" t="str">
        <f>IF(AND($F287&lt;&gt;"", $F287&gt;=BL$5-4, $F287&lt;=BL$5, COUNTIF($M287:BK287,"u")=0), "u", "")</f>
        <v/>
      </c>
      <c r="BM287" s="80" t="str">
        <f>IF(AND($F287&lt;&gt;"", $F287&gt;=BM$5-4, $F287&lt;=BM$5, COUNTIF($M287:BL287,"u")=0), "u", "")</f>
        <v/>
      </c>
      <c r="BN287" s="80" t="str">
        <f>IF(AND($F287&lt;&gt;"", $F287&gt;=BN$5-4, $F287&lt;=BN$5, COUNTIF($M287:BM287,"u")=0), "u", "")</f>
        <v/>
      </c>
      <c r="BO287" s="80" t="str">
        <f>IF(AND($F287&lt;&gt;"", $F287&gt;=BO$5-4, $F287&lt;=BO$5, COUNTIF($M287:BN287,"u")=0), "u", "")</f>
        <v/>
      </c>
      <c r="BP287" s="80" t="str">
        <f>IF(AND($F287&lt;&gt;"", $F287&gt;=BP$5-4, $F287&lt;=BP$5, COUNTIF($M287:BO287,"u")=0), "u", "")</f>
        <v/>
      </c>
      <c r="BQ287" s="80" t="str">
        <f>IF(AND($F287&lt;&gt;"", $F287&gt;=BQ$5-4, $F287&lt;=BQ$5, COUNTIF($M287:BP287,"u")=0), "u", "")</f>
        <v/>
      </c>
      <c r="BR287" s="80" t="str">
        <f>IF(AND($F287&lt;&gt;"", $F287&gt;=BR$5-4, $F287&lt;=BR$5, COUNTIF($M287:BQ287,"u")=0), "u", "")</f>
        <v/>
      </c>
      <c r="BS287" s="80" t="str">
        <f>IF(AND($F287&lt;&gt;"", $F287&gt;=BS$5-4, $F287&lt;=BS$5, COUNTIF($M287:BR287,"u")=0), "u", "")</f>
        <v/>
      </c>
      <c r="BT287" s="80" t="str">
        <f>IF(AND($F287&lt;&gt;"", $F287&gt;=BT$5-4, $F287&lt;=BT$5, COUNTIF($M287:BS287,"u")=0), "u", "")</f>
        <v/>
      </c>
      <c r="BU287" s="80" t="str">
        <f>IF(AND($F287&lt;&gt;"", $F287&gt;=BU$5-4, $F287&lt;=BU$5, COUNTIF($M287:BT287,"u")=0), "u", "")</f>
        <v/>
      </c>
      <c r="BV287" s="80" t="str">
        <f>IF(AND($F287&lt;&gt;"", $F287&gt;=BV$5-4, $F287&lt;=BV$5, COUNTIF($M287:BU287,"u")=0), "u", "")</f>
        <v/>
      </c>
      <c r="BW287" s="80" t="str">
        <f>IF(AND($F287&lt;&gt;"", $F287&gt;=BW$5-4, $F287&lt;=BW$5, COUNTIF($M287:BV287,"u")=0), "u", "")</f>
        <v/>
      </c>
      <c r="BX287" s="80" t="str">
        <f>IF(AND($F287&lt;&gt;"", $F287&gt;=BX$5-4, $F287&lt;=BX$5, COUNTIF($M287:BW287,"u")=0), "u", "")</f>
        <v/>
      </c>
      <c r="BY287" s="80" t="str">
        <f>IF(AND($F287&lt;&gt;"", $F287&gt;=BY$5-4, $F287&lt;=BY$5, COUNTIF($M287:BX287,"u")=0), "u", "")</f>
        <v/>
      </c>
      <c r="BZ287" s="80" t="str">
        <f>IF(AND($F287&lt;&gt;"", $F287&gt;=BZ$5-4, $F287&lt;=BZ$5, COUNTIF($M287:BY287,"u")=0), "u", "")</f>
        <v/>
      </c>
      <c r="CA287" s="80" t="str">
        <f>IF(AND($F287&lt;&gt;"", $F287&gt;=CA$5-4, $F287&lt;=CA$5, COUNTIF($M287:BZ287,"u")=0), "u", "")</f>
        <v/>
      </c>
      <c r="CB287" s="80" t="str">
        <f>IF(AND($F287&lt;&gt;"", $F287&gt;=CB$5-4, $F287&lt;=CB$5, COUNTIF($M287:CA287,"u")=0), "u", "")</f>
        <v/>
      </c>
      <c r="CC287" s="80" t="str">
        <f>IF(AND($F287&lt;&gt;"", $F287&gt;=CC$5-4, $F287&lt;=CC$5, COUNTIF($M287:CB287,"u")=0), "u", "")</f>
        <v/>
      </c>
      <c r="CD287" s="80" t="str">
        <f>IF(AND($F287&lt;&gt;"", $F287&gt;=CD$5-4, $F287&lt;=CD$5, COUNTIF($M287:CC287,"u")=0), "u", "")</f>
        <v/>
      </c>
      <c r="CE287" s="80" t="str">
        <f>IF(AND($F287&lt;&gt;"", $F287&gt;=CE$5-4, $F287&lt;=CE$5, COUNTIF($M287:CD287,"u")=0), "u", "")</f>
        <v/>
      </c>
      <c r="CF287" s="80" t="str">
        <f>IF(AND($F287&lt;&gt;"", $F287&gt;=CF$5-4, $F287&lt;=CF$5, COUNTIF($M287:CE287,"u")=0), "u", "")</f>
        <v/>
      </c>
      <c r="CG287" s="80" t="str">
        <f>IF(AND($F287&lt;&gt;"", $F287&gt;=CG$5-4, $F287&lt;=CG$5, COUNTIF($M287:CF287,"u")=0), "u", "")</f>
        <v/>
      </c>
      <c r="CH287" s="80" t="str">
        <f>IF(AND($F287&lt;&gt;"", $F287&gt;=CH$5-4, $F287&lt;=CH$5, COUNTIF($M287:CG287,"u")=0), "u", "")</f>
        <v/>
      </c>
      <c r="CI287" s="80" t="str">
        <f>IF(AND($F287&lt;&gt;"", $F287&gt;=CI$5-4, $F287&lt;=CI$5, COUNTIF($M287:CH287,"u")=0), "u", "")</f>
        <v/>
      </c>
      <c r="CJ287" s="80" t="str">
        <f>IF(AND($F287&lt;&gt;"", $F287&gt;=CJ$5-4, $F287&lt;=CJ$5, COUNTIF($M287:CI287,"u")=0), "u", "")</f>
        <v/>
      </c>
      <c r="CK287" s="80" t="str">
        <f>IF(AND($F287&lt;&gt;"", $F287&gt;=CK$5-4, $F287&lt;=CK$5, COUNTIF($M287:CJ287,"u")=0), "u", "")</f>
        <v/>
      </c>
      <c r="CL287" s="80" t="str">
        <f>IF(AND($F287&lt;&gt;"", $F287&gt;=CL$5-4, $F287&lt;=CL$5, COUNTIF($M287:CK287,"u")=0), "u", "")</f>
        <v/>
      </c>
      <c r="CM287" s="80" t="str">
        <f>IF(AND($F287&lt;&gt;"", $F287&gt;=CM$5-4, $F287&lt;=CM$5, COUNTIF($M287:CL287,"u")=0), "u", "")</f>
        <v/>
      </c>
      <c r="CN287" s="80" t="str">
        <f>IF(AND($F287&lt;&gt;"", $F287&gt;=CN$5-4, $F287&lt;=CN$5, COUNTIF($M287:CM287,"u")=0), "u", "")</f>
        <v/>
      </c>
      <c r="CO287" s="80" t="str">
        <f>IF(AND($F287&lt;&gt;"", $F287&gt;=CO$5-4, $F287&lt;=CO$5, COUNTIF($M287:CN287,"u")=0), "u", "")</f>
        <v/>
      </c>
      <c r="CP287" s="80" t="str">
        <f>IF(AND($F287&lt;&gt;"", $F287&gt;=CP$5-4, $F287&lt;=CP$5, COUNTIF($M287:CO287,"u")=0), "u", "")</f>
        <v/>
      </c>
      <c r="CQ287" s="80" t="str">
        <f>IF(AND($F287&lt;&gt;"", $F287&gt;=CQ$5-4, $F287&lt;=CQ$5, COUNTIF($M287:CP287,"u")=0), "u", "")</f>
        <v/>
      </c>
      <c r="CR287" s="80" t="str">
        <f>IF(AND($F287&lt;&gt;"", $F287&gt;=CR$5-4, $F287&lt;=CR$5, COUNTIF($M287:CQ287,"u")=0), "u", "")</f>
        <v/>
      </c>
      <c r="CS287" s="80" t="str">
        <f>IF(AND($F287&lt;&gt;"", $F287&gt;=CS$5-4, $F287&lt;=CS$5, COUNTIF($M287:CR287,"u")=0), "u", "")</f>
        <v/>
      </c>
      <c r="CT287" s="80" t="str">
        <f>IF(AND($F287&lt;&gt;"", $F287&gt;=CT$5-4, $F287&lt;=CT$5, COUNTIF($M287:CS287,"u")=0), "u", "")</f>
        <v/>
      </c>
      <c r="CU287" s="80" t="str">
        <f>IF(AND($F287&lt;&gt;"", $F287&gt;=CU$5-4, $F287&lt;=CU$5, COUNTIF($M287:CT287,"u")=0), "u", "")</f>
        <v/>
      </c>
      <c r="CV287" s="80" t="str">
        <f>IF(AND($F287&lt;&gt;"", $F287&gt;=CV$5-4, $F287&lt;=CV$5, COUNTIF($M287:CU287,"u")=0), "u", "")</f>
        <v/>
      </c>
      <c r="CW287" s="80" t="str">
        <f>IF(AND($F287&lt;&gt;"", $F287&gt;=CW$5-4, $F287&lt;=CW$5, COUNTIF($M287:CV287,"u")=0), "u", "")</f>
        <v/>
      </c>
      <c r="CX287" s="80" t="str">
        <f>IF(AND($F287&lt;&gt;"", $F287&gt;=CX$5-4, $F287&lt;=CX$5, COUNTIF($M287:CW287,"u")=0), "u", "")</f>
        <v/>
      </c>
      <c r="CY287" s="80" t="str">
        <f>IF(AND($F287&lt;&gt;"", $F287&gt;=CY$5-4, $F287&lt;=CY$5, COUNTIF($M287:CX287,"u")=0), "u", "")</f>
        <v/>
      </c>
      <c r="CZ287" s="80" t="str">
        <f>IF(AND($F287&lt;&gt;"", $F287&gt;=CZ$5-4, $F287&lt;=CZ$5, COUNTIF($M287:CY287,"u")=0), "u", "")</f>
        <v/>
      </c>
      <c r="DA287" s="80" t="str">
        <f>IF(AND($F287&lt;&gt;"", $F287&gt;=DA$5-4, $F287&lt;=DA$5, COUNTIF($M287:CZ287,"u")=0), "u", "")</f>
        <v/>
      </c>
      <c r="DB287" s="80" t="str">
        <f>IF(AND($F287&lt;&gt;"", $F287&gt;=DB$5-4, $F287&lt;=DB$5, COUNTIF($M287:DA287,"u")=0), "u", "")</f>
        <v/>
      </c>
      <c r="DC287" s="80" t="str">
        <f>IF(AND($F287&lt;&gt;"", $F287&gt;=DC$5-4, $F287&lt;=DC$5, COUNTIF($M287:DB287,"u")=0), "u", "")</f>
        <v/>
      </c>
      <c r="DD287" s="80" t="str">
        <f>IF(AND($F287&lt;&gt;"", $F287&gt;=DD$5-4, $F287&lt;=DD$5, COUNTIF($M287:DC287,"u")=0), "u", "")</f>
        <v/>
      </c>
      <c r="DE287" s="80" t="str">
        <f>IF(AND($F287&lt;&gt;"", $F287&gt;=DE$5-4, $F287&lt;=DE$5, COUNTIF($M287:DD287,"u")=0), "u", "")</f>
        <v/>
      </c>
      <c r="DF287" s="80" t="str">
        <f>IF(AND($F287&lt;&gt;"", $F287&gt;=DF$5-4, $F287&lt;=DF$5, COUNTIF($M287:DE287,"u")=0), "u", "")</f>
        <v/>
      </c>
      <c r="DG287" s="80" t="str">
        <f>IF(AND($F287&lt;&gt;"", $F287&gt;=DG$5-4, $F287&lt;=DG$5, COUNTIF($M287:DF287,"u")=0), "u", "")</f>
        <v/>
      </c>
      <c r="DH287" s="80" t="str">
        <f>IF(AND($F287&lt;&gt;"", $F287&gt;=DH$5-4, $F287&lt;=DH$5, COUNTIF($M287:DG287,"u")=0), "u", "")</f>
        <v/>
      </c>
      <c r="DI287" s="80" t="str">
        <f>IF(AND($F287&lt;&gt;"", $F287&gt;=DI$5-4, $F287&lt;=DI$5, COUNTIF($M287:DH287,"u")=0), "u", "")</f>
        <v/>
      </c>
      <c r="DJ287" s="80" t="str">
        <f>IF(AND($F287&lt;&gt;"", $F287&gt;=DJ$5-4, $F287&lt;=DJ$5, COUNTIF($M287:DI287,"u")=0), "u", "")</f>
        <v/>
      </c>
      <c r="DK287" s="80" t="str">
        <f>IF(AND($F287&lt;&gt;"", $F287&gt;=DK$5-4, $F287&lt;=DK$5, COUNTIF($M287:DJ287,"u")=0), "u", "")</f>
        <v/>
      </c>
      <c r="DL287" s="80" t="str">
        <f>IF(AND($F287&lt;&gt;"", $F287&gt;=DL$5-4, $F287&lt;=DL$5, COUNTIF($M287:DK287,"u")=0), "u", "")</f>
        <v/>
      </c>
    </row>
    <row r="288" spans="1:116" ht="25.05" customHeight="1" x14ac:dyDescent="0.3">
      <c r="A288" s="39"/>
      <c r="B288" s="75">
        <v>283</v>
      </c>
      <c r="C288" s="97"/>
      <c r="D288" s="92"/>
      <c r="E288" s="53"/>
      <c r="F288" s="53"/>
      <c r="G288" s="83" t="str">
        <f t="shared" si="59"/>
        <v/>
      </c>
      <c r="H288" s="83" t="str">
        <f t="shared" si="59"/>
        <v/>
      </c>
      <c r="I288" s="77" t="str">
        <f t="shared" si="57"/>
        <v/>
      </c>
      <c r="J288" s="78"/>
      <c r="K288" s="86"/>
      <c r="L288" s="56"/>
      <c r="M288" s="80" t="str">
        <f t="shared" si="58"/>
        <v/>
      </c>
      <c r="N288" s="80" t="str">
        <f>IF(AND($F288&lt;&gt;"", $F288&gt;=N$5-4, $F288&lt;=N$5, COUNTIF($M288:M288,"u")=0), "u", "")</f>
        <v/>
      </c>
      <c r="O288" s="80" t="str">
        <f>IF(AND($F288&lt;&gt;"", $F288&gt;=O$5-4, $F288&lt;=O$5, COUNTIF($M288:N288,"u")=0), "u", "")</f>
        <v/>
      </c>
      <c r="P288" s="80" t="str">
        <f>IF(AND($F288&lt;&gt;"", $F288&gt;=P$5-4, $F288&lt;=P$5, COUNTIF($M288:O288,"u")=0), "u", "")</f>
        <v/>
      </c>
      <c r="Q288" s="80" t="str">
        <f>IF(AND($F288&lt;&gt;"", $F288&gt;=Q$5-4, $F288&lt;=Q$5, COUNTIF($M288:P288,"u")=0), "u", "")</f>
        <v/>
      </c>
      <c r="R288" s="80" t="str">
        <f>IF(AND($F288&lt;&gt;"", $F288&gt;=R$5-4, $F288&lt;=R$5, COUNTIF($M288:Q288,"u")=0), "u", "")</f>
        <v/>
      </c>
      <c r="S288" s="80" t="str">
        <f>IF(AND($F288&lt;&gt;"", $F288&gt;=S$5-4, $F288&lt;=S$5, COUNTIF($M288:R288,"u")=0), "u", "")</f>
        <v/>
      </c>
      <c r="T288" s="80" t="str">
        <f>IF(AND($F288&lt;&gt;"", $F288&gt;=T$5-4, $F288&lt;=T$5, COUNTIF($M288:S288,"u")=0), "u", "")</f>
        <v/>
      </c>
      <c r="U288" s="80" t="str">
        <f>IF(AND($F288&lt;&gt;"", $F288&gt;=U$5-4, $F288&lt;=U$5, COUNTIF($M288:T288,"u")=0), "u", "")</f>
        <v/>
      </c>
      <c r="V288" s="80" t="str">
        <f>IF(AND($F288&lt;&gt;"", $F288&gt;=V$5-4, $F288&lt;=V$5, COUNTIF($M288:U288,"u")=0), "u", "")</f>
        <v/>
      </c>
      <c r="W288" s="80" t="str">
        <f>IF(AND($F288&lt;&gt;"", $F288&gt;=W$5-4, $F288&lt;=W$5, COUNTIF($M288:V288,"u")=0), "u", "")</f>
        <v/>
      </c>
      <c r="X288" s="80" t="str">
        <f>IF(AND($F288&lt;&gt;"", $F288&gt;=X$5-4, $F288&lt;=X$5, COUNTIF($M288:W288,"u")=0), "u", "")</f>
        <v/>
      </c>
      <c r="Y288" s="80" t="str">
        <f>IF(AND($F288&lt;&gt;"", $F288&gt;=Y$5-4, $F288&lt;=Y$5, COUNTIF($M288:X288,"u")=0), "u", "")</f>
        <v/>
      </c>
      <c r="Z288" s="80" t="str">
        <f>IF(AND($F288&lt;&gt;"", $F288&gt;=Z$5-4, $F288&lt;=Z$5, COUNTIF($M288:Y288,"u")=0), "u", "")</f>
        <v/>
      </c>
      <c r="AA288" s="80" t="str">
        <f>IF(AND($F288&lt;&gt;"", $F288&gt;=AA$5-4, $F288&lt;=AA$5, COUNTIF($M288:Z288,"u")=0), "u", "")</f>
        <v/>
      </c>
      <c r="AB288" s="80" t="str">
        <f>IF(AND($F288&lt;&gt;"", $F288&gt;=AB$5-4, $F288&lt;=AB$5, COUNTIF($M288:AA288,"u")=0), "u", "")</f>
        <v/>
      </c>
      <c r="AC288" s="80" t="str">
        <f>IF(AND($F288&lt;&gt;"", $F288&gt;=AC$5-4, $F288&lt;=AC$5, COUNTIF($M288:AB288,"u")=0), "u", "")</f>
        <v/>
      </c>
      <c r="AD288" s="80" t="str">
        <f>IF(AND($F288&lt;&gt;"", $F288&gt;=AD$5-4, $F288&lt;=AD$5, COUNTIF($M288:AC288,"u")=0), "u", "")</f>
        <v/>
      </c>
      <c r="AE288" s="80" t="str">
        <f>IF(AND($F288&lt;&gt;"", $F288&gt;=AE$5-4, $F288&lt;=AE$5, COUNTIF($M288:AD288,"u")=0), "u", "")</f>
        <v/>
      </c>
      <c r="AF288" s="80" t="str">
        <f>IF(AND($F288&lt;&gt;"", $F288&gt;=AF$5-4, $F288&lt;=AF$5, COUNTIF($M288:AE288,"u")=0), "u", "")</f>
        <v/>
      </c>
      <c r="AG288" s="80" t="str">
        <f>IF(AND($F288&lt;&gt;"", $F288&gt;=AG$5-4, $F288&lt;=AG$5, COUNTIF($M288:AF288,"u")=0), "u", "")</f>
        <v/>
      </c>
      <c r="AH288" s="80" t="str">
        <f>IF(AND($F288&lt;&gt;"", $F288&gt;=AH$5-4, $F288&lt;=AH$5, COUNTIF($M288:AG288,"u")=0), "u", "")</f>
        <v/>
      </c>
      <c r="AI288" s="80" t="str">
        <f>IF(AND($F288&lt;&gt;"", $F288&gt;=AI$5-4, $F288&lt;=AI$5, COUNTIF($M288:AH288,"u")=0), "u", "")</f>
        <v/>
      </c>
      <c r="AJ288" s="80" t="str">
        <f>IF(AND($F288&lt;&gt;"", $F288&gt;=AJ$5-4, $F288&lt;=AJ$5, COUNTIF($M288:AI288,"u")=0), "u", "")</f>
        <v/>
      </c>
      <c r="AK288" s="80" t="str">
        <f>IF(AND($F288&lt;&gt;"", $F288&gt;=AK$5-4, $F288&lt;=AK$5, COUNTIF($M288:AJ288,"u")=0), "u", "")</f>
        <v/>
      </c>
      <c r="AL288" s="80" t="str">
        <f>IF(AND($F288&lt;&gt;"", $F288&gt;=AL$5-4, $F288&lt;=AL$5, COUNTIF($M288:AK288,"u")=0), "u", "")</f>
        <v/>
      </c>
      <c r="AM288" s="80" t="str">
        <f>IF(AND($F288&lt;&gt;"", $F288&gt;=AM$5-4, $F288&lt;=AM$5, COUNTIF($M288:AL288,"u")=0), "u", "")</f>
        <v/>
      </c>
      <c r="AN288" s="80" t="str">
        <f>IF(AND($F288&lt;&gt;"", $F288&gt;=AN$5-4, $F288&lt;=AN$5, COUNTIF($M288:AM288,"u")=0), "u", "")</f>
        <v/>
      </c>
      <c r="AO288" s="80" t="str">
        <f>IF(AND($F288&lt;&gt;"", $F288&gt;=AO$5-4, $F288&lt;=AO$5, COUNTIF($M288:AN288,"u")=0), "u", "")</f>
        <v/>
      </c>
      <c r="AP288" s="80" t="str">
        <f>IF(AND($F288&lt;&gt;"", $F288&gt;=AP$5-4, $F288&lt;=AP$5, COUNTIF($M288:AO288,"u")=0), "u", "")</f>
        <v/>
      </c>
      <c r="AQ288" s="80" t="str">
        <f>IF(AND($F288&lt;&gt;"", $F288&gt;=AQ$5-4, $F288&lt;=AQ$5, COUNTIF($M288:AP288,"u")=0), "u", "")</f>
        <v/>
      </c>
      <c r="AR288" s="80" t="str">
        <f>IF(AND($F288&lt;&gt;"", $F288&gt;=AR$5-4, $F288&lt;=AR$5, COUNTIF($M288:AQ288,"u")=0), "u", "")</f>
        <v/>
      </c>
      <c r="AS288" s="80" t="str">
        <f>IF(AND($F288&lt;&gt;"", $F288&gt;=AS$5-4, $F288&lt;=AS$5, COUNTIF($M288:AR288,"u")=0), "u", "")</f>
        <v/>
      </c>
      <c r="AT288" s="80" t="str">
        <f>IF(AND($F288&lt;&gt;"", $F288&gt;=AT$5-4, $F288&lt;=AT$5, COUNTIF($M288:AS288,"u")=0), "u", "")</f>
        <v/>
      </c>
      <c r="AU288" s="80" t="str">
        <f>IF(AND($F288&lt;&gt;"", $F288&gt;=AU$5-4, $F288&lt;=AU$5, COUNTIF($M288:AT288,"u")=0), "u", "")</f>
        <v/>
      </c>
      <c r="AV288" s="80" t="str">
        <f>IF(AND($F288&lt;&gt;"", $F288&gt;=AV$5-4, $F288&lt;=AV$5, COUNTIF($M288:AU288,"u")=0), "u", "")</f>
        <v/>
      </c>
      <c r="AW288" s="80" t="str">
        <f>IF(AND($F288&lt;&gt;"", $F288&gt;=AW$5-4, $F288&lt;=AW$5, COUNTIF($M288:AV288,"u")=0), "u", "")</f>
        <v/>
      </c>
      <c r="AX288" s="80" t="str">
        <f>IF(AND($F288&lt;&gt;"", $F288&gt;=AX$5-4, $F288&lt;=AX$5, COUNTIF($M288:AW288,"u")=0), "u", "")</f>
        <v/>
      </c>
      <c r="AY288" s="80" t="str">
        <f>IF(AND($F288&lt;&gt;"", $F288&gt;=AY$5-4, $F288&lt;=AY$5, COUNTIF($M288:AX288,"u")=0), "u", "")</f>
        <v/>
      </c>
      <c r="AZ288" s="80" t="str">
        <f>IF(AND($F288&lt;&gt;"", $F288&gt;=AZ$5-4, $F288&lt;=AZ$5, COUNTIF($M288:AY288,"u")=0), "u", "")</f>
        <v/>
      </c>
      <c r="BA288" s="80" t="str">
        <f>IF(AND($F288&lt;&gt;"", $F288&gt;=BA$5-4, $F288&lt;=BA$5, COUNTIF($M288:AZ288,"u")=0), "u", "")</f>
        <v/>
      </c>
      <c r="BB288" s="80" t="str">
        <f>IF(AND($F288&lt;&gt;"", $F288&gt;=BB$5-4, $F288&lt;=BB$5, COUNTIF($M288:BA288,"u")=0), "u", "")</f>
        <v/>
      </c>
      <c r="BC288" s="80" t="str">
        <f>IF(AND($F288&lt;&gt;"", $F288&gt;=BC$5-4, $F288&lt;=BC$5, COUNTIF($M288:BB288,"u")=0), "u", "")</f>
        <v/>
      </c>
      <c r="BD288" s="80" t="str">
        <f>IF(AND($F288&lt;&gt;"", $F288&gt;=BD$5-4, $F288&lt;=BD$5, COUNTIF($M288:BC288,"u")=0), "u", "")</f>
        <v/>
      </c>
      <c r="BE288" s="80" t="str">
        <f>IF(AND($F288&lt;&gt;"", $F288&gt;=BE$5-4, $F288&lt;=BE$5, COUNTIF($M288:BD288,"u")=0), "u", "")</f>
        <v/>
      </c>
      <c r="BF288" s="80" t="str">
        <f>IF(AND($F288&lt;&gt;"", $F288&gt;=BF$5-4, $F288&lt;=BF$5, COUNTIF($M288:BE288,"u")=0), "u", "")</f>
        <v/>
      </c>
      <c r="BG288" s="80" t="str">
        <f>IF(AND($F288&lt;&gt;"", $F288&gt;=BG$5-4, $F288&lt;=BG$5, COUNTIF($M288:BF288,"u")=0), "u", "")</f>
        <v/>
      </c>
      <c r="BH288" s="80" t="str">
        <f>IF(AND($F288&lt;&gt;"", $F288&gt;=BH$5-4, $F288&lt;=BH$5, COUNTIF($M288:BG288,"u")=0), "u", "")</f>
        <v/>
      </c>
      <c r="BI288" s="80" t="str">
        <f>IF(AND($F288&lt;&gt;"", $F288&gt;=BI$5-4, $F288&lt;=BI$5, COUNTIF($M288:BH288,"u")=0), "u", "")</f>
        <v/>
      </c>
      <c r="BJ288" s="80" t="str">
        <f>IF(AND($F288&lt;&gt;"", $F288&gt;=BJ$5-4, $F288&lt;=BJ$5, COUNTIF($M288:BI288,"u")=0), "u", "")</f>
        <v/>
      </c>
      <c r="BK288" s="80" t="str">
        <f>IF(AND($F288&lt;&gt;"", $F288&gt;=BK$5-4, $F288&lt;=BK$5, COUNTIF($M288:BJ288,"u")=0), "u", "")</f>
        <v/>
      </c>
      <c r="BL288" s="80" t="str">
        <f>IF(AND($F288&lt;&gt;"", $F288&gt;=BL$5-4, $F288&lt;=BL$5, COUNTIF($M288:BK288,"u")=0), "u", "")</f>
        <v/>
      </c>
      <c r="BM288" s="80" t="str">
        <f>IF(AND($F288&lt;&gt;"", $F288&gt;=BM$5-4, $F288&lt;=BM$5, COUNTIF($M288:BL288,"u")=0), "u", "")</f>
        <v/>
      </c>
      <c r="BN288" s="80" t="str">
        <f>IF(AND($F288&lt;&gt;"", $F288&gt;=BN$5-4, $F288&lt;=BN$5, COUNTIF($M288:BM288,"u")=0), "u", "")</f>
        <v/>
      </c>
      <c r="BO288" s="80" t="str">
        <f>IF(AND($F288&lt;&gt;"", $F288&gt;=BO$5-4, $F288&lt;=BO$5, COUNTIF($M288:BN288,"u")=0), "u", "")</f>
        <v/>
      </c>
      <c r="BP288" s="80" t="str">
        <f>IF(AND($F288&lt;&gt;"", $F288&gt;=BP$5-4, $F288&lt;=BP$5, COUNTIF($M288:BO288,"u")=0), "u", "")</f>
        <v/>
      </c>
      <c r="BQ288" s="80" t="str">
        <f>IF(AND($F288&lt;&gt;"", $F288&gt;=BQ$5-4, $F288&lt;=BQ$5, COUNTIF($M288:BP288,"u")=0), "u", "")</f>
        <v/>
      </c>
      <c r="BR288" s="80" t="str">
        <f>IF(AND($F288&lt;&gt;"", $F288&gt;=BR$5-4, $F288&lt;=BR$5, COUNTIF($M288:BQ288,"u")=0), "u", "")</f>
        <v/>
      </c>
      <c r="BS288" s="80" t="str">
        <f>IF(AND($F288&lt;&gt;"", $F288&gt;=BS$5-4, $F288&lt;=BS$5, COUNTIF($M288:BR288,"u")=0), "u", "")</f>
        <v/>
      </c>
      <c r="BT288" s="80" t="str">
        <f>IF(AND($F288&lt;&gt;"", $F288&gt;=BT$5-4, $F288&lt;=BT$5, COUNTIF($M288:BS288,"u")=0), "u", "")</f>
        <v/>
      </c>
      <c r="BU288" s="80" t="str">
        <f>IF(AND($F288&lt;&gt;"", $F288&gt;=BU$5-4, $F288&lt;=BU$5, COUNTIF($M288:BT288,"u")=0), "u", "")</f>
        <v/>
      </c>
      <c r="BV288" s="80" t="str">
        <f>IF(AND($F288&lt;&gt;"", $F288&gt;=BV$5-4, $F288&lt;=BV$5, COUNTIF($M288:BU288,"u")=0), "u", "")</f>
        <v/>
      </c>
      <c r="BW288" s="80" t="str">
        <f>IF(AND($F288&lt;&gt;"", $F288&gt;=BW$5-4, $F288&lt;=BW$5, COUNTIF($M288:BV288,"u")=0), "u", "")</f>
        <v/>
      </c>
      <c r="BX288" s="80" t="str">
        <f>IF(AND($F288&lt;&gt;"", $F288&gt;=BX$5-4, $F288&lt;=BX$5, COUNTIF($M288:BW288,"u")=0), "u", "")</f>
        <v/>
      </c>
      <c r="BY288" s="80" t="str">
        <f>IF(AND($F288&lt;&gt;"", $F288&gt;=BY$5-4, $F288&lt;=BY$5, COUNTIF($M288:BX288,"u")=0), "u", "")</f>
        <v/>
      </c>
      <c r="BZ288" s="80" t="str">
        <f>IF(AND($F288&lt;&gt;"", $F288&gt;=BZ$5-4, $F288&lt;=BZ$5, COUNTIF($M288:BY288,"u")=0), "u", "")</f>
        <v/>
      </c>
      <c r="CA288" s="80" t="str">
        <f>IF(AND($F288&lt;&gt;"", $F288&gt;=CA$5-4, $F288&lt;=CA$5, COUNTIF($M288:BZ288,"u")=0), "u", "")</f>
        <v/>
      </c>
      <c r="CB288" s="80" t="str">
        <f>IF(AND($F288&lt;&gt;"", $F288&gt;=CB$5-4, $F288&lt;=CB$5, COUNTIF($M288:CA288,"u")=0), "u", "")</f>
        <v/>
      </c>
      <c r="CC288" s="80" t="str">
        <f>IF(AND($F288&lt;&gt;"", $F288&gt;=CC$5-4, $F288&lt;=CC$5, COUNTIF($M288:CB288,"u")=0), "u", "")</f>
        <v/>
      </c>
      <c r="CD288" s="80" t="str">
        <f>IF(AND($F288&lt;&gt;"", $F288&gt;=CD$5-4, $F288&lt;=CD$5, COUNTIF($M288:CC288,"u")=0), "u", "")</f>
        <v/>
      </c>
      <c r="CE288" s="80" t="str">
        <f>IF(AND($F288&lt;&gt;"", $F288&gt;=CE$5-4, $F288&lt;=CE$5, COUNTIF($M288:CD288,"u")=0), "u", "")</f>
        <v/>
      </c>
      <c r="CF288" s="80" t="str">
        <f>IF(AND($F288&lt;&gt;"", $F288&gt;=CF$5-4, $F288&lt;=CF$5, COUNTIF($M288:CE288,"u")=0), "u", "")</f>
        <v/>
      </c>
      <c r="CG288" s="80" t="str">
        <f>IF(AND($F288&lt;&gt;"", $F288&gt;=CG$5-4, $F288&lt;=CG$5, COUNTIF($M288:CF288,"u")=0), "u", "")</f>
        <v/>
      </c>
      <c r="CH288" s="80" t="str">
        <f>IF(AND($F288&lt;&gt;"", $F288&gt;=CH$5-4, $F288&lt;=CH$5, COUNTIF($M288:CG288,"u")=0), "u", "")</f>
        <v/>
      </c>
      <c r="CI288" s="80" t="str">
        <f>IF(AND($F288&lt;&gt;"", $F288&gt;=CI$5-4, $F288&lt;=CI$5, COUNTIF($M288:CH288,"u")=0), "u", "")</f>
        <v/>
      </c>
      <c r="CJ288" s="80" t="str">
        <f>IF(AND($F288&lt;&gt;"", $F288&gt;=CJ$5-4, $F288&lt;=CJ$5, COUNTIF($M288:CI288,"u")=0), "u", "")</f>
        <v/>
      </c>
      <c r="CK288" s="80" t="str">
        <f>IF(AND($F288&lt;&gt;"", $F288&gt;=CK$5-4, $F288&lt;=CK$5, COUNTIF($M288:CJ288,"u")=0), "u", "")</f>
        <v/>
      </c>
      <c r="CL288" s="80" t="str">
        <f>IF(AND($F288&lt;&gt;"", $F288&gt;=CL$5-4, $F288&lt;=CL$5, COUNTIF($M288:CK288,"u")=0), "u", "")</f>
        <v/>
      </c>
      <c r="CM288" s="80" t="str">
        <f>IF(AND($F288&lt;&gt;"", $F288&gt;=CM$5-4, $F288&lt;=CM$5, COUNTIF($M288:CL288,"u")=0), "u", "")</f>
        <v/>
      </c>
      <c r="CN288" s="80" t="str">
        <f>IF(AND($F288&lt;&gt;"", $F288&gt;=CN$5-4, $F288&lt;=CN$5, COUNTIF($M288:CM288,"u")=0), "u", "")</f>
        <v/>
      </c>
      <c r="CO288" s="80" t="str">
        <f>IF(AND($F288&lt;&gt;"", $F288&gt;=CO$5-4, $F288&lt;=CO$5, COUNTIF($M288:CN288,"u")=0), "u", "")</f>
        <v/>
      </c>
      <c r="CP288" s="80" t="str">
        <f>IF(AND($F288&lt;&gt;"", $F288&gt;=CP$5-4, $F288&lt;=CP$5, COUNTIF($M288:CO288,"u")=0), "u", "")</f>
        <v/>
      </c>
      <c r="CQ288" s="80" t="str">
        <f>IF(AND($F288&lt;&gt;"", $F288&gt;=CQ$5-4, $F288&lt;=CQ$5, COUNTIF($M288:CP288,"u")=0), "u", "")</f>
        <v/>
      </c>
      <c r="CR288" s="80" t="str">
        <f>IF(AND($F288&lt;&gt;"", $F288&gt;=CR$5-4, $F288&lt;=CR$5, COUNTIF($M288:CQ288,"u")=0), "u", "")</f>
        <v/>
      </c>
      <c r="CS288" s="80" t="str">
        <f>IF(AND($F288&lt;&gt;"", $F288&gt;=CS$5-4, $F288&lt;=CS$5, COUNTIF($M288:CR288,"u")=0), "u", "")</f>
        <v/>
      </c>
      <c r="CT288" s="80" t="str">
        <f>IF(AND($F288&lt;&gt;"", $F288&gt;=CT$5-4, $F288&lt;=CT$5, COUNTIF($M288:CS288,"u")=0), "u", "")</f>
        <v/>
      </c>
      <c r="CU288" s="80" t="str">
        <f>IF(AND($F288&lt;&gt;"", $F288&gt;=CU$5-4, $F288&lt;=CU$5, COUNTIF($M288:CT288,"u")=0), "u", "")</f>
        <v/>
      </c>
      <c r="CV288" s="80" t="str">
        <f>IF(AND($F288&lt;&gt;"", $F288&gt;=CV$5-4, $F288&lt;=CV$5, COUNTIF($M288:CU288,"u")=0), "u", "")</f>
        <v/>
      </c>
      <c r="CW288" s="80" t="str">
        <f>IF(AND($F288&lt;&gt;"", $F288&gt;=CW$5-4, $F288&lt;=CW$5, COUNTIF($M288:CV288,"u")=0), "u", "")</f>
        <v/>
      </c>
      <c r="CX288" s="80" t="str">
        <f>IF(AND($F288&lt;&gt;"", $F288&gt;=CX$5-4, $F288&lt;=CX$5, COUNTIF($M288:CW288,"u")=0), "u", "")</f>
        <v/>
      </c>
      <c r="CY288" s="80" t="str">
        <f>IF(AND($F288&lt;&gt;"", $F288&gt;=CY$5-4, $F288&lt;=CY$5, COUNTIF($M288:CX288,"u")=0), "u", "")</f>
        <v/>
      </c>
      <c r="CZ288" s="80" t="str">
        <f>IF(AND($F288&lt;&gt;"", $F288&gt;=CZ$5-4, $F288&lt;=CZ$5, COUNTIF($M288:CY288,"u")=0), "u", "")</f>
        <v/>
      </c>
      <c r="DA288" s="80" t="str">
        <f>IF(AND($F288&lt;&gt;"", $F288&gt;=DA$5-4, $F288&lt;=DA$5, COUNTIF($M288:CZ288,"u")=0), "u", "")</f>
        <v/>
      </c>
      <c r="DB288" s="80" t="str">
        <f>IF(AND($F288&lt;&gt;"", $F288&gt;=DB$5-4, $F288&lt;=DB$5, COUNTIF($M288:DA288,"u")=0), "u", "")</f>
        <v/>
      </c>
      <c r="DC288" s="80" t="str">
        <f>IF(AND($F288&lt;&gt;"", $F288&gt;=DC$5-4, $F288&lt;=DC$5, COUNTIF($M288:DB288,"u")=0), "u", "")</f>
        <v/>
      </c>
      <c r="DD288" s="80" t="str">
        <f>IF(AND($F288&lt;&gt;"", $F288&gt;=DD$5-4, $F288&lt;=DD$5, COUNTIF($M288:DC288,"u")=0), "u", "")</f>
        <v/>
      </c>
      <c r="DE288" s="80" t="str">
        <f>IF(AND($F288&lt;&gt;"", $F288&gt;=DE$5-4, $F288&lt;=DE$5, COUNTIF($M288:DD288,"u")=0), "u", "")</f>
        <v/>
      </c>
      <c r="DF288" s="80" t="str">
        <f>IF(AND($F288&lt;&gt;"", $F288&gt;=DF$5-4, $F288&lt;=DF$5, COUNTIF($M288:DE288,"u")=0), "u", "")</f>
        <v/>
      </c>
      <c r="DG288" s="80" t="str">
        <f>IF(AND($F288&lt;&gt;"", $F288&gt;=DG$5-4, $F288&lt;=DG$5, COUNTIF($M288:DF288,"u")=0), "u", "")</f>
        <v/>
      </c>
      <c r="DH288" s="80" t="str">
        <f>IF(AND($F288&lt;&gt;"", $F288&gt;=DH$5-4, $F288&lt;=DH$5, COUNTIF($M288:DG288,"u")=0), "u", "")</f>
        <v/>
      </c>
      <c r="DI288" s="80" t="str">
        <f>IF(AND($F288&lt;&gt;"", $F288&gt;=DI$5-4, $F288&lt;=DI$5, COUNTIF($M288:DH288,"u")=0), "u", "")</f>
        <v/>
      </c>
      <c r="DJ288" s="80" t="str">
        <f>IF(AND($F288&lt;&gt;"", $F288&gt;=DJ$5-4, $F288&lt;=DJ$5, COUNTIF($M288:DI288,"u")=0), "u", "")</f>
        <v/>
      </c>
      <c r="DK288" s="80" t="str">
        <f>IF(AND($F288&lt;&gt;"", $F288&gt;=DK$5-4, $F288&lt;=DK$5, COUNTIF($M288:DJ288,"u")=0), "u", "")</f>
        <v/>
      </c>
      <c r="DL288" s="80" t="str">
        <f>IF(AND($F288&lt;&gt;"", $F288&gt;=DL$5-4, $F288&lt;=DL$5, COUNTIF($M288:DK288,"u")=0), "u", "")</f>
        <v/>
      </c>
    </row>
    <row r="289" spans="1:116" ht="25.05" customHeight="1" x14ac:dyDescent="0.3">
      <c r="A289" s="39"/>
      <c r="B289" s="75">
        <v>284</v>
      </c>
      <c r="C289" s="97"/>
      <c r="D289" s="92"/>
      <c r="E289" s="53"/>
      <c r="F289" s="53"/>
      <c r="G289" s="83" t="str">
        <f t="shared" si="59"/>
        <v/>
      </c>
      <c r="H289" s="83" t="str">
        <f t="shared" si="59"/>
        <v/>
      </c>
      <c r="I289" s="77" t="str">
        <f t="shared" si="57"/>
        <v/>
      </c>
      <c r="J289" s="78"/>
      <c r="K289" s="86"/>
      <c r="L289" s="56"/>
      <c r="M289" s="80" t="str">
        <f t="shared" si="58"/>
        <v/>
      </c>
      <c r="N289" s="80" t="str">
        <f>IF(AND($F289&lt;&gt;"", $F289&gt;=N$5-4, $F289&lt;=N$5, COUNTIF($M289:M289,"u")=0), "u", "")</f>
        <v/>
      </c>
      <c r="O289" s="80" t="str">
        <f>IF(AND($F289&lt;&gt;"", $F289&gt;=O$5-4, $F289&lt;=O$5, COUNTIF($M289:N289,"u")=0), "u", "")</f>
        <v/>
      </c>
      <c r="P289" s="80" t="str">
        <f>IF(AND($F289&lt;&gt;"", $F289&gt;=P$5-4, $F289&lt;=P$5, COUNTIF($M289:O289,"u")=0), "u", "")</f>
        <v/>
      </c>
      <c r="Q289" s="80" t="str">
        <f>IF(AND($F289&lt;&gt;"", $F289&gt;=Q$5-4, $F289&lt;=Q$5, COUNTIF($M289:P289,"u")=0), "u", "")</f>
        <v/>
      </c>
      <c r="R289" s="80" t="str">
        <f>IF(AND($F289&lt;&gt;"", $F289&gt;=R$5-4, $F289&lt;=R$5, COUNTIF($M289:Q289,"u")=0), "u", "")</f>
        <v/>
      </c>
      <c r="S289" s="80" t="str">
        <f>IF(AND($F289&lt;&gt;"", $F289&gt;=S$5-4, $F289&lt;=S$5, COUNTIF($M289:R289,"u")=0), "u", "")</f>
        <v/>
      </c>
      <c r="T289" s="80" t="str">
        <f>IF(AND($F289&lt;&gt;"", $F289&gt;=T$5-4, $F289&lt;=T$5, COUNTIF($M289:S289,"u")=0), "u", "")</f>
        <v/>
      </c>
      <c r="U289" s="80" t="str">
        <f>IF(AND($F289&lt;&gt;"", $F289&gt;=U$5-4, $F289&lt;=U$5, COUNTIF($M289:T289,"u")=0), "u", "")</f>
        <v/>
      </c>
      <c r="V289" s="80" t="str">
        <f>IF(AND($F289&lt;&gt;"", $F289&gt;=V$5-4, $F289&lt;=V$5, COUNTIF($M289:U289,"u")=0), "u", "")</f>
        <v/>
      </c>
      <c r="W289" s="80" t="str">
        <f>IF(AND($F289&lt;&gt;"", $F289&gt;=W$5-4, $F289&lt;=W$5, COUNTIF($M289:V289,"u")=0), "u", "")</f>
        <v/>
      </c>
      <c r="X289" s="80" t="str">
        <f>IF(AND($F289&lt;&gt;"", $F289&gt;=X$5-4, $F289&lt;=X$5, COUNTIF($M289:W289,"u")=0), "u", "")</f>
        <v/>
      </c>
      <c r="Y289" s="80" t="str">
        <f>IF(AND($F289&lt;&gt;"", $F289&gt;=Y$5-4, $F289&lt;=Y$5, COUNTIF($M289:X289,"u")=0), "u", "")</f>
        <v/>
      </c>
      <c r="Z289" s="80" t="str">
        <f>IF(AND($F289&lt;&gt;"", $F289&gt;=Z$5-4, $F289&lt;=Z$5, COUNTIF($M289:Y289,"u")=0), "u", "")</f>
        <v/>
      </c>
      <c r="AA289" s="80" t="str">
        <f>IF(AND($F289&lt;&gt;"", $F289&gt;=AA$5-4, $F289&lt;=AA$5, COUNTIF($M289:Z289,"u")=0), "u", "")</f>
        <v/>
      </c>
      <c r="AB289" s="80" t="str">
        <f>IF(AND($F289&lt;&gt;"", $F289&gt;=AB$5-4, $F289&lt;=AB$5, COUNTIF($M289:AA289,"u")=0), "u", "")</f>
        <v/>
      </c>
      <c r="AC289" s="80" t="str">
        <f>IF(AND($F289&lt;&gt;"", $F289&gt;=AC$5-4, $F289&lt;=AC$5, COUNTIF($M289:AB289,"u")=0), "u", "")</f>
        <v/>
      </c>
      <c r="AD289" s="80" t="str">
        <f>IF(AND($F289&lt;&gt;"", $F289&gt;=AD$5-4, $F289&lt;=AD$5, COUNTIF($M289:AC289,"u")=0), "u", "")</f>
        <v/>
      </c>
      <c r="AE289" s="80" t="str">
        <f>IF(AND($F289&lt;&gt;"", $F289&gt;=AE$5-4, $F289&lt;=AE$5, COUNTIF($M289:AD289,"u")=0), "u", "")</f>
        <v/>
      </c>
      <c r="AF289" s="80" t="str">
        <f>IF(AND($F289&lt;&gt;"", $F289&gt;=AF$5-4, $F289&lt;=AF$5, COUNTIF($M289:AE289,"u")=0), "u", "")</f>
        <v/>
      </c>
      <c r="AG289" s="80" t="str">
        <f>IF(AND($F289&lt;&gt;"", $F289&gt;=AG$5-4, $F289&lt;=AG$5, COUNTIF($M289:AF289,"u")=0), "u", "")</f>
        <v/>
      </c>
      <c r="AH289" s="80" t="str">
        <f>IF(AND($F289&lt;&gt;"", $F289&gt;=AH$5-4, $F289&lt;=AH$5, COUNTIF($M289:AG289,"u")=0), "u", "")</f>
        <v/>
      </c>
      <c r="AI289" s="80" t="str">
        <f>IF(AND($F289&lt;&gt;"", $F289&gt;=AI$5-4, $F289&lt;=AI$5, COUNTIF($M289:AH289,"u")=0), "u", "")</f>
        <v/>
      </c>
      <c r="AJ289" s="80" t="str">
        <f>IF(AND($F289&lt;&gt;"", $F289&gt;=AJ$5-4, $F289&lt;=AJ$5, COUNTIF($M289:AI289,"u")=0), "u", "")</f>
        <v/>
      </c>
      <c r="AK289" s="80" t="str">
        <f>IF(AND($F289&lt;&gt;"", $F289&gt;=AK$5-4, $F289&lt;=AK$5, COUNTIF($M289:AJ289,"u")=0), "u", "")</f>
        <v/>
      </c>
      <c r="AL289" s="80" t="str">
        <f>IF(AND($F289&lt;&gt;"", $F289&gt;=AL$5-4, $F289&lt;=AL$5, COUNTIF($M289:AK289,"u")=0), "u", "")</f>
        <v/>
      </c>
      <c r="AM289" s="80" t="str">
        <f>IF(AND($F289&lt;&gt;"", $F289&gt;=AM$5-4, $F289&lt;=AM$5, COUNTIF($M289:AL289,"u")=0), "u", "")</f>
        <v/>
      </c>
      <c r="AN289" s="80" t="str">
        <f>IF(AND($F289&lt;&gt;"", $F289&gt;=AN$5-4, $F289&lt;=AN$5, COUNTIF($M289:AM289,"u")=0), "u", "")</f>
        <v/>
      </c>
      <c r="AO289" s="80" t="str">
        <f>IF(AND($F289&lt;&gt;"", $F289&gt;=AO$5-4, $F289&lt;=AO$5, COUNTIF($M289:AN289,"u")=0), "u", "")</f>
        <v/>
      </c>
      <c r="AP289" s="80" t="str">
        <f>IF(AND($F289&lt;&gt;"", $F289&gt;=AP$5-4, $F289&lt;=AP$5, COUNTIF($M289:AO289,"u")=0), "u", "")</f>
        <v/>
      </c>
      <c r="AQ289" s="80" t="str">
        <f>IF(AND($F289&lt;&gt;"", $F289&gt;=AQ$5-4, $F289&lt;=AQ$5, COUNTIF($M289:AP289,"u")=0), "u", "")</f>
        <v/>
      </c>
      <c r="AR289" s="80" t="str">
        <f>IF(AND($F289&lt;&gt;"", $F289&gt;=AR$5-4, $F289&lt;=AR$5, COUNTIF($M289:AQ289,"u")=0), "u", "")</f>
        <v/>
      </c>
      <c r="AS289" s="80" t="str">
        <f>IF(AND($F289&lt;&gt;"", $F289&gt;=AS$5-4, $F289&lt;=AS$5, COUNTIF($M289:AR289,"u")=0), "u", "")</f>
        <v/>
      </c>
      <c r="AT289" s="80" t="str">
        <f>IF(AND($F289&lt;&gt;"", $F289&gt;=AT$5-4, $F289&lt;=AT$5, COUNTIF($M289:AS289,"u")=0), "u", "")</f>
        <v/>
      </c>
      <c r="AU289" s="80" t="str">
        <f>IF(AND($F289&lt;&gt;"", $F289&gt;=AU$5-4, $F289&lt;=AU$5, COUNTIF($M289:AT289,"u")=0), "u", "")</f>
        <v/>
      </c>
      <c r="AV289" s="80" t="str">
        <f>IF(AND($F289&lt;&gt;"", $F289&gt;=AV$5-4, $F289&lt;=AV$5, COUNTIF($M289:AU289,"u")=0), "u", "")</f>
        <v/>
      </c>
      <c r="AW289" s="80" t="str">
        <f>IF(AND($F289&lt;&gt;"", $F289&gt;=AW$5-4, $F289&lt;=AW$5, COUNTIF($M289:AV289,"u")=0), "u", "")</f>
        <v/>
      </c>
      <c r="AX289" s="80" t="str">
        <f>IF(AND($F289&lt;&gt;"", $F289&gt;=AX$5-4, $F289&lt;=AX$5, COUNTIF($M289:AW289,"u")=0), "u", "")</f>
        <v/>
      </c>
      <c r="AY289" s="80" t="str">
        <f>IF(AND($F289&lt;&gt;"", $F289&gt;=AY$5-4, $F289&lt;=AY$5, COUNTIF($M289:AX289,"u")=0), "u", "")</f>
        <v/>
      </c>
      <c r="AZ289" s="80" t="str">
        <f>IF(AND($F289&lt;&gt;"", $F289&gt;=AZ$5-4, $F289&lt;=AZ$5, COUNTIF($M289:AY289,"u")=0), "u", "")</f>
        <v/>
      </c>
      <c r="BA289" s="80" t="str">
        <f>IF(AND($F289&lt;&gt;"", $F289&gt;=BA$5-4, $F289&lt;=BA$5, COUNTIF($M289:AZ289,"u")=0), "u", "")</f>
        <v/>
      </c>
      <c r="BB289" s="80" t="str">
        <f>IF(AND($F289&lt;&gt;"", $F289&gt;=BB$5-4, $F289&lt;=BB$5, COUNTIF($M289:BA289,"u")=0), "u", "")</f>
        <v/>
      </c>
      <c r="BC289" s="80" t="str">
        <f>IF(AND($F289&lt;&gt;"", $F289&gt;=BC$5-4, $F289&lt;=BC$5, COUNTIF($M289:BB289,"u")=0), "u", "")</f>
        <v/>
      </c>
      <c r="BD289" s="80" t="str">
        <f>IF(AND($F289&lt;&gt;"", $F289&gt;=BD$5-4, $F289&lt;=BD$5, COUNTIF($M289:BC289,"u")=0), "u", "")</f>
        <v/>
      </c>
      <c r="BE289" s="80" t="str">
        <f>IF(AND($F289&lt;&gt;"", $F289&gt;=BE$5-4, $F289&lt;=BE$5, COUNTIF($M289:BD289,"u")=0), "u", "")</f>
        <v/>
      </c>
      <c r="BF289" s="80" t="str">
        <f>IF(AND($F289&lt;&gt;"", $F289&gt;=BF$5-4, $F289&lt;=BF$5, COUNTIF($M289:BE289,"u")=0), "u", "")</f>
        <v/>
      </c>
      <c r="BG289" s="80" t="str">
        <f>IF(AND($F289&lt;&gt;"", $F289&gt;=BG$5-4, $F289&lt;=BG$5, COUNTIF($M289:BF289,"u")=0), "u", "")</f>
        <v/>
      </c>
      <c r="BH289" s="80" t="str">
        <f>IF(AND($F289&lt;&gt;"", $F289&gt;=BH$5-4, $F289&lt;=BH$5, COUNTIF($M289:BG289,"u")=0), "u", "")</f>
        <v/>
      </c>
      <c r="BI289" s="80" t="str">
        <f>IF(AND($F289&lt;&gt;"", $F289&gt;=BI$5-4, $F289&lt;=BI$5, COUNTIF($M289:BH289,"u")=0), "u", "")</f>
        <v/>
      </c>
      <c r="BJ289" s="80" t="str">
        <f>IF(AND($F289&lt;&gt;"", $F289&gt;=BJ$5-4, $F289&lt;=BJ$5, COUNTIF($M289:BI289,"u")=0), "u", "")</f>
        <v/>
      </c>
      <c r="BK289" s="80" t="str">
        <f>IF(AND($F289&lt;&gt;"", $F289&gt;=BK$5-4, $F289&lt;=BK$5, COUNTIF($M289:BJ289,"u")=0), "u", "")</f>
        <v/>
      </c>
      <c r="BL289" s="80" t="str">
        <f>IF(AND($F289&lt;&gt;"", $F289&gt;=BL$5-4, $F289&lt;=BL$5, COUNTIF($M289:BK289,"u")=0), "u", "")</f>
        <v/>
      </c>
      <c r="BM289" s="80" t="str">
        <f>IF(AND($F289&lt;&gt;"", $F289&gt;=BM$5-4, $F289&lt;=BM$5, COUNTIF($M289:BL289,"u")=0), "u", "")</f>
        <v/>
      </c>
      <c r="BN289" s="80" t="str">
        <f>IF(AND($F289&lt;&gt;"", $F289&gt;=BN$5-4, $F289&lt;=BN$5, COUNTIF($M289:BM289,"u")=0), "u", "")</f>
        <v/>
      </c>
      <c r="BO289" s="80" t="str">
        <f>IF(AND($F289&lt;&gt;"", $F289&gt;=BO$5-4, $F289&lt;=BO$5, COUNTIF($M289:BN289,"u")=0), "u", "")</f>
        <v/>
      </c>
      <c r="BP289" s="80" t="str">
        <f>IF(AND($F289&lt;&gt;"", $F289&gt;=BP$5-4, $F289&lt;=BP$5, COUNTIF($M289:BO289,"u")=0), "u", "")</f>
        <v/>
      </c>
      <c r="BQ289" s="80" t="str">
        <f>IF(AND($F289&lt;&gt;"", $F289&gt;=BQ$5-4, $F289&lt;=BQ$5, COUNTIF($M289:BP289,"u")=0), "u", "")</f>
        <v/>
      </c>
      <c r="BR289" s="80" t="str">
        <f>IF(AND($F289&lt;&gt;"", $F289&gt;=BR$5-4, $F289&lt;=BR$5, COUNTIF($M289:BQ289,"u")=0), "u", "")</f>
        <v/>
      </c>
      <c r="BS289" s="80" t="str">
        <f>IF(AND($F289&lt;&gt;"", $F289&gt;=BS$5-4, $F289&lt;=BS$5, COUNTIF($M289:BR289,"u")=0), "u", "")</f>
        <v/>
      </c>
      <c r="BT289" s="80" t="str">
        <f>IF(AND($F289&lt;&gt;"", $F289&gt;=BT$5-4, $F289&lt;=BT$5, COUNTIF($M289:BS289,"u")=0), "u", "")</f>
        <v/>
      </c>
      <c r="BU289" s="80" t="str">
        <f>IF(AND($F289&lt;&gt;"", $F289&gt;=BU$5-4, $F289&lt;=BU$5, COUNTIF($M289:BT289,"u")=0), "u", "")</f>
        <v/>
      </c>
      <c r="BV289" s="80" t="str">
        <f>IF(AND($F289&lt;&gt;"", $F289&gt;=BV$5-4, $F289&lt;=BV$5, COUNTIF($M289:BU289,"u")=0), "u", "")</f>
        <v/>
      </c>
      <c r="BW289" s="80" t="str">
        <f>IF(AND($F289&lt;&gt;"", $F289&gt;=BW$5-4, $F289&lt;=BW$5, COUNTIF($M289:BV289,"u")=0), "u", "")</f>
        <v/>
      </c>
      <c r="BX289" s="80" t="str">
        <f>IF(AND($F289&lt;&gt;"", $F289&gt;=BX$5-4, $F289&lt;=BX$5, COUNTIF($M289:BW289,"u")=0), "u", "")</f>
        <v/>
      </c>
      <c r="BY289" s="80" t="str">
        <f>IF(AND($F289&lt;&gt;"", $F289&gt;=BY$5-4, $F289&lt;=BY$5, COUNTIF($M289:BX289,"u")=0), "u", "")</f>
        <v/>
      </c>
      <c r="BZ289" s="80" t="str">
        <f>IF(AND($F289&lt;&gt;"", $F289&gt;=BZ$5-4, $F289&lt;=BZ$5, COUNTIF($M289:BY289,"u")=0), "u", "")</f>
        <v/>
      </c>
      <c r="CA289" s="80" t="str">
        <f>IF(AND($F289&lt;&gt;"", $F289&gt;=CA$5-4, $F289&lt;=CA$5, COUNTIF($M289:BZ289,"u")=0), "u", "")</f>
        <v/>
      </c>
      <c r="CB289" s="80" t="str">
        <f>IF(AND($F289&lt;&gt;"", $F289&gt;=CB$5-4, $F289&lt;=CB$5, COUNTIF($M289:CA289,"u")=0), "u", "")</f>
        <v/>
      </c>
      <c r="CC289" s="80" t="str">
        <f>IF(AND($F289&lt;&gt;"", $F289&gt;=CC$5-4, $F289&lt;=CC$5, COUNTIF($M289:CB289,"u")=0), "u", "")</f>
        <v/>
      </c>
      <c r="CD289" s="80" t="str">
        <f>IF(AND($F289&lt;&gt;"", $F289&gt;=CD$5-4, $F289&lt;=CD$5, COUNTIF($M289:CC289,"u")=0), "u", "")</f>
        <v/>
      </c>
      <c r="CE289" s="80" t="str">
        <f>IF(AND($F289&lt;&gt;"", $F289&gt;=CE$5-4, $F289&lt;=CE$5, COUNTIF($M289:CD289,"u")=0), "u", "")</f>
        <v/>
      </c>
      <c r="CF289" s="80" t="str">
        <f>IF(AND($F289&lt;&gt;"", $F289&gt;=CF$5-4, $F289&lt;=CF$5, COUNTIF($M289:CE289,"u")=0), "u", "")</f>
        <v/>
      </c>
      <c r="CG289" s="80" t="str">
        <f>IF(AND($F289&lt;&gt;"", $F289&gt;=CG$5-4, $F289&lt;=CG$5, COUNTIF($M289:CF289,"u")=0), "u", "")</f>
        <v/>
      </c>
      <c r="CH289" s="80" t="str">
        <f>IF(AND($F289&lt;&gt;"", $F289&gt;=CH$5-4, $F289&lt;=CH$5, COUNTIF($M289:CG289,"u")=0), "u", "")</f>
        <v/>
      </c>
      <c r="CI289" s="80" t="str">
        <f>IF(AND($F289&lt;&gt;"", $F289&gt;=CI$5-4, $F289&lt;=CI$5, COUNTIF($M289:CH289,"u")=0), "u", "")</f>
        <v/>
      </c>
      <c r="CJ289" s="80" t="str">
        <f>IF(AND($F289&lt;&gt;"", $F289&gt;=CJ$5-4, $F289&lt;=CJ$5, COUNTIF($M289:CI289,"u")=0), "u", "")</f>
        <v/>
      </c>
      <c r="CK289" s="80" t="str">
        <f>IF(AND($F289&lt;&gt;"", $F289&gt;=CK$5-4, $F289&lt;=CK$5, COUNTIF($M289:CJ289,"u")=0), "u", "")</f>
        <v/>
      </c>
      <c r="CL289" s="80" t="str">
        <f>IF(AND($F289&lt;&gt;"", $F289&gt;=CL$5-4, $F289&lt;=CL$5, COUNTIF($M289:CK289,"u")=0), "u", "")</f>
        <v/>
      </c>
      <c r="CM289" s="80" t="str">
        <f>IF(AND($F289&lt;&gt;"", $F289&gt;=CM$5-4, $F289&lt;=CM$5, COUNTIF($M289:CL289,"u")=0), "u", "")</f>
        <v/>
      </c>
      <c r="CN289" s="80" t="str">
        <f>IF(AND($F289&lt;&gt;"", $F289&gt;=CN$5-4, $F289&lt;=CN$5, COUNTIF($M289:CM289,"u")=0), "u", "")</f>
        <v/>
      </c>
      <c r="CO289" s="80" t="str">
        <f>IF(AND($F289&lt;&gt;"", $F289&gt;=CO$5-4, $F289&lt;=CO$5, COUNTIF($M289:CN289,"u")=0), "u", "")</f>
        <v/>
      </c>
      <c r="CP289" s="80" t="str">
        <f>IF(AND($F289&lt;&gt;"", $F289&gt;=CP$5-4, $F289&lt;=CP$5, COUNTIF($M289:CO289,"u")=0), "u", "")</f>
        <v/>
      </c>
      <c r="CQ289" s="80" t="str">
        <f>IF(AND($F289&lt;&gt;"", $F289&gt;=CQ$5-4, $F289&lt;=CQ$5, COUNTIF($M289:CP289,"u")=0), "u", "")</f>
        <v/>
      </c>
      <c r="CR289" s="80" t="str">
        <f>IF(AND($F289&lt;&gt;"", $F289&gt;=CR$5-4, $F289&lt;=CR$5, COUNTIF($M289:CQ289,"u")=0), "u", "")</f>
        <v/>
      </c>
      <c r="CS289" s="80" t="str">
        <f>IF(AND($F289&lt;&gt;"", $F289&gt;=CS$5-4, $F289&lt;=CS$5, COUNTIF($M289:CR289,"u")=0), "u", "")</f>
        <v/>
      </c>
      <c r="CT289" s="80" t="str">
        <f>IF(AND($F289&lt;&gt;"", $F289&gt;=CT$5-4, $F289&lt;=CT$5, COUNTIF($M289:CS289,"u")=0), "u", "")</f>
        <v/>
      </c>
      <c r="CU289" s="80" t="str">
        <f>IF(AND($F289&lt;&gt;"", $F289&gt;=CU$5-4, $F289&lt;=CU$5, COUNTIF($M289:CT289,"u")=0), "u", "")</f>
        <v/>
      </c>
      <c r="CV289" s="80" t="str">
        <f>IF(AND($F289&lt;&gt;"", $F289&gt;=CV$5-4, $F289&lt;=CV$5, COUNTIF($M289:CU289,"u")=0), "u", "")</f>
        <v/>
      </c>
      <c r="CW289" s="80" t="str">
        <f>IF(AND($F289&lt;&gt;"", $F289&gt;=CW$5-4, $F289&lt;=CW$5, COUNTIF($M289:CV289,"u")=0), "u", "")</f>
        <v/>
      </c>
      <c r="CX289" s="80" t="str">
        <f>IF(AND($F289&lt;&gt;"", $F289&gt;=CX$5-4, $F289&lt;=CX$5, COUNTIF($M289:CW289,"u")=0), "u", "")</f>
        <v/>
      </c>
      <c r="CY289" s="80" t="str">
        <f>IF(AND($F289&lt;&gt;"", $F289&gt;=CY$5-4, $F289&lt;=CY$5, COUNTIF($M289:CX289,"u")=0), "u", "")</f>
        <v/>
      </c>
      <c r="CZ289" s="80" t="str">
        <f>IF(AND($F289&lt;&gt;"", $F289&gt;=CZ$5-4, $F289&lt;=CZ$5, COUNTIF($M289:CY289,"u")=0), "u", "")</f>
        <v/>
      </c>
      <c r="DA289" s="80" t="str">
        <f>IF(AND($F289&lt;&gt;"", $F289&gt;=DA$5-4, $F289&lt;=DA$5, COUNTIF($M289:CZ289,"u")=0), "u", "")</f>
        <v/>
      </c>
      <c r="DB289" s="80" t="str">
        <f>IF(AND($F289&lt;&gt;"", $F289&gt;=DB$5-4, $F289&lt;=DB$5, COUNTIF($M289:DA289,"u")=0), "u", "")</f>
        <v/>
      </c>
      <c r="DC289" s="80" t="str">
        <f>IF(AND($F289&lt;&gt;"", $F289&gt;=DC$5-4, $F289&lt;=DC$5, COUNTIF($M289:DB289,"u")=0), "u", "")</f>
        <v/>
      </c>
      <c r="DD289" s="80" t="str">
        <f>IF(AND($F289&lt;&gt;"", $F289&gt;=DD$5-4, $F289&lt;=DD$5, COUNTIF($M289:DC289,"u")=0), "u", "")</f>
        <v/>
      </c>
      <c r="DE289" s="80" t="str">
        <f>IF(AND($F289&lt;&gt;"", $F289&gt;=DE$5-4, $F289&lt;=DE$5, COUNTIF($M289:DD289,"u")=0), "u", "")</f>
        <v/>
      </c>
      <c r="DF289" s="80" t="str">
        <f>IF(AND($F289&lt;&gt;"", $F289&gt;=DF$5-4, $F289&lt;=DF$5, COUNTIF($M289:DE289,"u")=0), "u", "")</f>
        <v/>
      </c>
      <c r="DG289" s="80" t="str">
        <f>IF(AND($F289&lt;&gt;"", $F289&gt;=DG$5-4, $F289&lt;=DG$5, COUNTIF($M289:DF289,"u")=0), "u", "")</f>
        <v/>
      </c>
      <c r="DH289" s="80" t="str">
        <f>IF(AND($F289&lt;&gt;"", $F289&gt;=DH$5-4, $F289&lt;=DH$5, COUNTIF($M289:DG289,"u")=0), "u", "")</f>
        <v/>
      </c>
      <c r="DI289" s="80" t="str">
        <f>IF(AND($F289&lt;&gt;"", $F289&gt;=DI$5-4, $F289&lt;=DI$5, COUNTIF($M289:DH289,"u")=0), "u", "")</f>
        <v/>
      </c>
      <c r="DJ289" s="80" t="str">
        <f>IF(AND($F289&lt;&gt;"", $F289&gt;=DJ$5-4, $F289&lt;=DJ$5, COUNTIF($M289:DI289,"u")=0), "u", "")</f>
        <v/>
      </c>
      <c r="DK289" s="80" t="str">
        <f>IF(AND($F289&lt;&gt;"", $F289&gt;=DK$5-4, $F289&lt;=DK$5, COUNTIF($M289:DJ289,"u")=0), "u", "")</f>
        <v/>
      </c>
      <c r="DL289" s="80" t="str">
        <f>IF(AND($F289&lt;&gt;"", $F289&gt;=DL$5-4, $F289&lt;=DL$5, COUNTIF($M289:DK289,"u")=0), "u", "")</f>
        <v/>
      </c>
    </row>
    <row r="290" spans="1:116" ht="25.05" customHeight="1" x14ac:dyDescent="0.3">
      <c r="A290" s="39"/>
      <c r="B290" s="75">
        <v>285</v>
      </c>
      <c r="C290" s="97"/>
      <c r="D290" s="92"/>
      <c r="E290" s="53"/>
      <c r="F290" s="53"/>
      <c r="G290" s="83" t="str">
        <f t="shared" si="59"/>
        <v/>
      </c>
      <c r="H290" s="83" t="str">
        <f t="shared" si="59"/>
        <v/>
      </c>
      <c r="I290" s="77" t="str">
        <f t="shared" si="57"/>
        <v/>
      </c>
      <c r="J290" s="78"/>
      <c r="K290" s="86"/>
      <c r="L290" s="56"/>
      <c r="M290" s="80" t="str">
        <f t="shared" si="58"/>
        <v/>
      </c>
      <c r="N290" s="80" t="str">
        <f>IF(AND($F290&lt;&gt;"", $F290&gt;=N$5-4, $F290&lt;=N$5, COUNTIF($M290:M290,"u")=0), "u", "")</f>
        <v/>
      </c>
      <c r="O290" s="80" t="str">
        <f>IF(AND($F290&lt;&gt;"", $F290&gt;=O$5-4, $F290&lt;=O$5, COUNTIF($M290:N290,"u")=0), "u", "")</f>
        <v/>
      </c>
      <c r="P290" s="80" t="str">
        <f>IF(AND($F290&lt;&gt;"", $F290&gt;=P$5-4, $F290&lt;=P$5, COUNTIF($M290:O290,"u")=0), "u", "")</f>
        <v/>
      </c>
      <c r="Q290" s="80" t="str">
        <f>IF(AND($F290&lt;&gt;"", $F290&gt;=Q$5-4, $F290&lt;=Q$5, COUNTIF($M290:P290,"u")=0), "u", "")</f>
        <v/>
      </c>
      <c r="R290" s="80" t="str">
        <f>IF(AND($F290&lt;&gt;"", $F290&gt;=R$5-4, $F290&lt;=R$5, COUNTIF($M290:Q290,"u")=0), "u", "")</f>
        <v/>
      </c>
      <c r="S290" s="80" t="str">
        <f>IF(AND($F290&lt;&gt;"", $F290&gt;=S$5-4, $F290&lt;=S$5, COUNTIF($M290:R290,"u")=0), "u", "")</f>
        <v/>
      </c>
      <c r="T290" s="80" t="str">
        <f>IF(AND($F290&lt;&gt;"", $F290&gt;=T$5-4, $F290&lt;=T$5, COUNTIF($M290:S290,"u")=0), "u", "")</f>
        <v/>
      </c>
      <c r="U290" s="80" t="str">
        <f>IF(AND($F290&lt;&gt;"", $F290&gt;=U$5-4, $F290&lt;=U$5, COUNTIF($M290:T290,"u")=0), "u", "")</f>
        <v/>
      </c>
      <c r="V290" s="80" t="str">
        <f>IF(AND($F290&lt;&gt;"", $F290&gt;=V$5-4, $F290&lt;=V$5, COUNTIF($M290:U290,"u")=0), "u", "")</f>
        <v/>
      </c>
      <c r="W290" s="80" t="str">
        <f>IF(AND($F290&lt;&gt;"", $F290&gt;=W$5-4, $F290&lt;=W$5, COUNTIF($M290:V290,"u")=0), "u", "")</f>
        <v/>
      </c>
      <c r="X290" s="80" t="str">
        <f>IF(AND($F290&lt;&gt;"", $F290&gt;=X$5-4, $F290&lt;=X$5, COUNTIF($M290:W290,"u")=0), "u", "")</f>
        <v/>
      </c>
      <c r="Y290" s="80" t="str">
        <f>IF(AND($F290&lt;&gt;"", $F290&gt;=Y$5-4, $F290&lt;=Y$5, COUNTIF($M290:X290,"u")=0), "u", "")</f>
        <v/>
      </c>
      <c r="Z290" s="80" t="str">
        <f>IF(AND($F290&lt;&gt;"", $F290&gt;=Z$5-4, $F290&lt;=Z$5, COUNTIF($M290:Y290,"u")=0), "u", "")</f>
        <v/>
      </c>
      <c r="AA290" s="80" t="str">
        <f>IF(AND($F290&lt;&gt;"", $F290&gt;=AA$5-4, $F290&lt;=AA$5, COUNTIF($M290:Z290,"u")=0), "u", "")</f>
        <v/>
      </c>
      <c r="AB290" s="80" t="str">
        <f>IF(AND($F290&lt;&gt;"", $F290&gt;=AB$5-4, $F290&lt;=AB$5, COUNTIF($M290:AA290,"u")=0), "u", "")</f>
        <v/>
      </c>
      <c r="AC290" s="80" t="str">
        <f>IF(AND($F290&lt;&gt;"", $F290&gt;=AC$5-4, $F290&lt;=AC$5, COUNTIF($M290:AB290,"u")=0), "u", "")</f>
        <v/>
      </c>
      <c r="AD290" s="80" t="str">
        <f>IF(AND($F290&lt;&gt;"", $F290&gt;=AD$5-4, $F290&lt;=AD$5, COUNTIF($M290:AC290,"u")=0), "u", "")</f>
        <v/>
      </c>
      <c r="AE290" s="80" t="str">
        <f>IF(AND($F290&lt;&gt;"", $F290&gt;=AE$5-4, $F290&lt;=AE$5, COUNTIF($M290:AD290,"u")=0), "u", "")</f>
        <v/>
      </c>
      <c r="AF290" s="80" t="str">
        <f>IF(AND($F290&lt;&gt;"", $F290&gt;=AF$5-4, $F290&lt;=AF$5, COUNTIF($M290:AE290,"u")=0), "u", "")</f>
        <v/>
      </c>
      <c r="AG290" s="80" t="str">
        <f>IF(AND($F290&lt;&gt;"", $F290&gt;=AG$5-4, $F290&lt;=AG$5, COUNTIF($M290:AF290,"u")=0), "u", "")</f>
        <v/>
      </c>
      <c r="AH290" s="80" t="str">
        <f>IF(AND($F290&lt;&gt;"", $F290&gt;=AH$5-4, $F290&lt;=AH$5, COUNTIF($M290:AG290,"u")=0), "u", "")</f>
        <v/>
      </c>
      <c r="AI290" s="80" t="str">
        <f>IF(AND($F290&lt;&gt;"", $F290&gt;=AI$5-4, $F290&lt;=AI$5, COUNTIF($M290:AH290,"u")=0), "u", "")</f>
        <v/>
      </c>
      <c r="AJ290" s="80" t="str">
        <f>IF(AND($F290&lt;&gt;"", $F290&gt;=AJ$5-4, $F290&lt;=AJ$5, COUNTIF($M290:AI290,"u")=0), "u", "")</f>
        <v/>
      </c>
      <c r="AK290" s="80" t="str">
        <f>IF(AND($F290&lt;&gt;"", $F290&gt;=AK$5-4, $F290&lt;=AK$5, COUNTIF($M290:AJ290,"u")=0), "u", "")</f>
        <v/>
      </c>
      <c r="AL290" s="80" t="str">
        <f>IF(AND($F290&lt;&gt;"", $F290&gt;=AL$5-4, $F290&lt;=AL$5, COUNTIF($M290:AK290,"u")=0), "u", "")</f>
        <v/>
      </c>
      <c r="AM290" s="80" t="str">
        <f>IF(AND($F290&lt;&gt;"", $F290&gt;=AM$5-4, $F290&lt;=AM$5, COUNTIF($M290:AL290,"u")=0), "u", "")</f>
        <v/>
      </c>
      <c r="AN290" s="80" t="str">
        <f>IF(AND($F290&lt;&gt;"", $F290&gt;=AN$5-4, $F290&lt;=AN$5, COUNTIF($M290:AM290,"u")=0), "u", "")</f>
        <v/>
      </c>
      <c r="AO290" s="80" t="str">
        <f>IF(AND($F290&lt;&gt;"", $F290&gt;=AO$5-4, $F290&lt;=AO$5, COUNTIF($M290:AN290,"u")=0), "u", "")</f>
        <v/>
      </c>
      <c r="AP290" s="80" t="str">
        <f>IF(AND($F290&lt;&gt;"", $F290&gt;=AP$5-4, $F290&lt;=AP$5, COUNTIF($M290:AO290,"u")=0), "u", "")</f>
        <v/>
      </c>
      <c r="AQ290" s="80" t="str">
        <f>IF(AND($F290&lt;&gt;"", $F290&gt;=AQ$5-4, $F290&lt;=AQ$5, COUNTIF($M290:AP290,"u")=0), "u", "")</f>
        <v/>
      </c>
      <c r="AR290" s="80" t="str">
        <f>IF(AND($F290&lt;&gt;"", $F290&gt;=AR$5-4, $F290&lt;=AR$5, COUNTIF($M290:AQ290,"u")=0), "u", "")</f>
        <v/>
      </c>
      <c r="AS290" s="80" t="str">
        <f>IF(AND($F290&lt;&gt;"", $F290&gt;=AS$5-4, $F290&lt;=AS$5, COUNTIF($M290:AR290,"u")=0), "u", "")</f>
        <v/>
      </c>
      <c r="AT290" s="80" t="str">
        <f>IF(AND($F290&lt;&gt;"", $F290&gt;=AT$5-4, $F290&lt;=AT$5, COUNTIF($M290:AS290,"u")=0), "u", "")</f>
        <v/>
      </c>
      <c r="AU290" s="80" t="str">
        <f>IF(AND($F290&lt;&gt;"", $F290&gt;=AU$5-4, $F290&lt;=AU$5, COUNTIF($M290:AT290,"u")=0), "u", "")</f>
        <v/>
      </c>
      <c r="AV290" s="80" t="str">
        <f>IF(AND($F290&lt;&gt;"", $F290&gt;=AV$5-4, $F290&lt;=AV$5, COUNTIF($M290:AU290,"u")=0), "u", "")</f>
        <v/>
      </c>
      <c r="AW290" s="80" t="str">
        <f>IF(AND($F290&lt;&gt;"", $F290&gt;=AW$5-4, $F290&lt;=AW$5, COUNTIF($M290:AV290,"u")=0), "u", "")</f>
        <v/>
      </c>
      <c r="AX290" s="80" t="str">
        <f>IF(AND($F290&lt;&gt;"", $F290&gt;=AX$5-4, $F290&lt;=AX$5, COUNTIF($M290:AW290,"u")=0), "u", "")</f>
        <v/>
      </c>
      <c r="AY290" s="80" t="str">
        <f>IF(AND($F290&lt;&gt;"", $F290&gt;=AY$5-4, $F290&lt;=AY$5, COUNTIF($M290:AX290,"u")=0), "u", "")</f>
        <v/>
      </c>
      <c r="AZ290" s="80" t="str">
        <f>IF(AND($F290&lt;&gt;"", $F290&gt;=AZ$5-4, $F290&lt;=AZ$5, COUNTIF($M290:AY290,"u")=0), "u", "")</f>
        <v/>
      </c>
      <c r="BA290" s="80" t="str">
        <f>IF(AND($F290&lt;&gt;"", $F290&gt;=BA$5-4, $F290&lt;=BA$5, COUNTIF($M290:AZ290,"u")=0), "u", "")</f>
        <v/>
      </c>
      <c r="BB290" s="80" t="str">
        <f>IF(AND($F290&lt;&gt;"", $F290&gt;=BB$5-4, $F290&lt;=BB$5, COUNTIF($M290:BA290,"u")=0), "u", "")</f>
        <v/>
      </c>
      <c r="BC290" s="80" t="str">
        <f>IF(AND($F290&lt;&gt;"", $F290&gt;=BC$5-4, $F290&lt;=BC$5, COUNTIF($M290:BB290,"u")=0), "u", "")</f>
        <v/>
      </c>
      <c r="BD290" s="80" t="str">
        <f>IF(AND($F290&lt;&gt;"", $F290&gt;=BD$5-4, $F290&lt;=BD$5, COUNTIF($M290:BC290,"u")=0), "u", "")</f>
        <v/>
      </c>
      <c r="BE290" s="80" t="str">
        <f>IF(AND($F290&lt;&gt;"", $F290&gt;=BE$5-4, $F290&lt;=BE$5, COUNTIF($M290:BD290,"u")=0), "u", "")</f>
        <v/>
      </c>
      <c r="BF290" s="80" t="str">
        <f>IF(AND($F290&lt;&gt;"", $F290&gt;=BF$5-4, $F290&lt;=BF$5, COUNTIF($M290:BE290,"u")=0), "u", "")</f>
        <v/>
      </c>
      <c r="BG290" s="80" t="str">
        <f>IF(AND($F290&lt;&gt;"", $F290&gt;=BG$5-4, $F290&lt;=BG$5, COUNTIF($M290:BF290,"u")=0), "u", "")</f>
        <v/>
      </c>
      <c r="BH290" s="80" t="str">
        <f>IF(AND($F290&lt;&gt;"", $F290&gt;=BH$5-4, $F290&lt;=BH$5, COUNTIF($M290:BG290,"u")=0), "u", "")</f>
        <v/>
      </c>
      <c r="BI290" s="80" t="str">
        <f>IF(AND($F290&lt;&gt;"", $F290&gt;=BI$5-4, $F290&lt;=BI$5, COUNTIF($M290:BH290,"u")=0), "u", "")</f>
        <v/>
      </c>
      <c r="BJ290" s="80" t="str">
        <f>IF(AND($F290&lt;&gt;"", $F290&gt;=BJ$5-4, $F290&lt;=BJ$5, COUNTIF($M290:BI290,"u")=0), "u", "")</f>
        <v/>
      </c>
      <c r="BK290" s="80" t="str">
        <f>IF(AND($F290&lt;&gt;"", $F290&gt;=BK$5-4, $F290&lt;=BK$5, COUNTIF($M290:BJ290,"u")=0), "u", "")</f>
        <v/>
      </c>
      <c r="BL290" s="80" t="str">
        <f>IF(AND($F290&lt;&gt;"", $F290&gt;=BL$5-4, $F290&lt;=BL$5, COUNTIF($M290:BK290,"u")=0), "u", "")</f>
        <v/>
      </c>
      <c r="BM290" s="80" t="str">
        <f>IF(AND($F290&lt;&gt;"", $F290&gt;=BM$5-4, $F290&lt;=BM$5, COUNTIF($M290:BL290,"u")=0), "u", "")</f>
        <v/>
      </c>
      <c r="BN290" s="80" t="str">
        <f>IF(AND($F290&lt;&gt;"", $F290&gt;=BN$5-4, $F290&lt;=BN$5, COUNTIF($M290:BM290,"u")=0), "u", "")</f>
        <v/>
      </c>
      <c r="BO290" s="80" t="str">
        <f>IF(AND($F290&lt;&gt;"", $F290&gt;=BO$5-4, $F290&lt;=BO$5, COUNTIF($M290:BN290,"u")=0), "u", "")</f>
        <v/>
      </c>
      <c r="BP290" s="80" t="str">
        <f>IF(AND($F290&lt;&gt;"", $F290&gt;=BP$5-4, $F290&lt;=BP$5, COUNTIF($M290:BO290,"u")=0), "u", "")</f>
        <v/>
      </c>
      <c r="BQ290" s="80" t="str">
        <f>IF(AND($F290&lt;&gt;"", $F290&gt;=BQ$5-4, $F290&lt;=BQ$5, COUNTIF($M290:BP290,"u")=0), "u", "")</f>
        <v/>
      </c>
      <c r="BR290" s="80" t="str">
        <f>IF(AND($F290&lt;&gt;"", $F290&gt;=BR$5-4, $F290&lt;=BR$5, COUNTIF($M290:BQ290,"u")=0), "u", "")</f>
        <v/>
      </c>
      <c r="BS290" s="80" t="str">
        <f>IF(AND($F290&lt;&gt;"", $F290&gt;=BS$5-4, $F290&lt;=BS$5, COUNTIF($M290:BR290,"u")=0), "u", "")</f>
        <v/>
      </c>
      <c r="BT290" s="80" t="str">
        <f>IF(AND($F290&lt;&gt;"", $F290&gt;=BT$5-4, $F290&lt;=BT$5, COUNTIF($M290:BS290,"u")=0), "u", "")</f>
        <v/>
      </c>
      <c r="BU290" s="80" t="str">
        <f>IF(AND($F290&lt;&gt;"", $F290&gt;=BU$5-4, $F290&lt;=BU$5, COUNTIF($M290:BT290,"u")=0), "u", "")</f>
        <v/>
      </c>
      <c r="BV290" s="80" t="str">
        <f>IF(AND($F290&lt;&gt;"", $F290&gt;=BV$5-4, $F290&lt;=BV$5, COUNTIF($M290:BU290,"u")=0), "u", "")</f>
        <v/>
      </c>
      <c r="BW290" s="80" t="str">
        <f>IF(AND($F290&lt;&gt;"", $F290&gt;=BW$5-4, $F290&lt;=BW$5, COUNTIF($M290:BV290,"u")=0), "u", "")</f>
        <v/>
      </c>
      <c r="BX290" s="80" t="str">
        <f>IF(AND($F290&lt;&gt;"", $F290&gt;=BX$5-4, $F290&lt;=BX$5, COUNTIF($M290:BW290,"u")=0), "u", "")</f>
        <v/>
      </c>
      <c r="BY290" s="80" t="str">
        <f>IF(AND($F290&lt;&gt;"", $F290&gt;=BY$5-4, $F290&lt;=BY$5, COUNTIF($M290:BX290,"u")=0), "u", "")</f>
        <v/>
      </c>
      <c r="BZ290" s="80" t="str">
        <f>IF(AND($F290&lt;&gt;"", $F290&gt;=BZ$5-4, $F290&lt;=BZ$5, COUNTIF($M290:BY290,"u")=0), "u", "")</f>
        <v/>
      </c>
      <c r="CA290" s="80" t="str">
        <f>IF(AND($F290&lt;&gt;"", $F290&gt;=CA$5-4, $F290&lt;=CA$5, COUNTIF($M290:BZ290,"u")=0), "u", "")</f>
        <v/>
      </c>
      <c r="CB290" s="80" t="str">
        <f>IF(AND($F290&lt;&gt;"", $F290&gt;=CB$5-4, $F290&lt;=CB$5, COUNTIF($M290:CA290,"u")=0), "u", "")</f>
        <v/>
      </c>
      <c r="CC290" s="80" t="str">
        <f>IF(AND($F290&lt;&gt;"", $F290&gt;=CC$5-4, $F290&lt;=CC$5, COUNTIF($M290:CB290,"u")=0), "u", "")</f>
        <v/>
      </c>
      <c r="CD290" s="80" t="str">
        <f>IF(AND($F290&lt;&gt;"", $F290&gt;=CD$5-4, $F290&lt;=CD$5, COUNTIF($M290:CC290,"u")=0), "u", "")</f>
        <v/>
      </c>
      <c r="CE290" s="80" t="str">
        <f>IF(AND($F290&lt;&gt;"", $F290&gt;=CE$5-4, $F290&lt;=CE$5, COUNTIF($M290:CD290,"u")=0), "u", "")</f>
        <v/>
      </c>
      <c r="CF290" s="80" t="str">
        <f>IF(AND($F290&lt;&gt;"", $F290&gt;=CF$5-4, $F290&lt;=CF$5, COUNTIF($M290:CE290,"u")=0), "u", "")</f>
        <v/>
      </c>
      <c r="CG290" s="80" t="str">
        <f>IF(AND($F290&lt;&gt;"", $F290&gt;=CG$5-4, $F290&lt;=CG$5, COUNTIF($M290:CF290,"u")=0), "u", "")</f>
        <v/>
      </c>
      <c r="CH290" s="80" t="str">
        <f>IF(AND($F290&lt;&gt;"", $F290&gt;=CH$5-4, $F290&lt;=CH$5, COUNTIF($M290:CG290,"u")=0), "u", "")</f>
        <v/>
      </c>
      <c r="CI290" s="80" t="str">
        <f>IF(AND($F290&lt;&gt;"", $F290&gt;=CI$5-4, $F290&lt;=CI$5, COUNTIF($M290:CH290,"u")=0), "u", "")</f>
        <v/>
      </c>
      <c r="CJ290" s="80" t="str">
        <f>IF(AND($F290&lt;&gt;"", $F290&gt;=CJ$5-4, $F290&lt;=CJ$5, COUNTIF($M290:CI290,"u")=0), "u", "")</f>
        <v/>
      </c>
      <c r="CK290" s="80" t="str">
        <f>IF(AND($F290&lt;&gt;"", $F290&gt;=CK$5-4, $F290&lt;=CK$5, COUNTIF($M290:CJ290,"u")=0), "u", "")</f>
        <v/>
      </c>
      <c r="CL290" s="80" t="str">
        <f>IF(AND($F290&lt;&gt;"", $F290&gt;=CL$5-4, $F290&lt;=CL$5, COUNTIF($M290:CK290,"u")=0), "u", "")</f>
        <v/>
      </c>
      <c r="CM290" s="80" t="str">
        <f>IF(AND($F290&lt;&gt;"", $F290&gt;=CM$5-4, $F290&lt;=CM$5, COUNTIF($M290:CL290,"u")=0), "u", "")</f>
        <v/>
      </c>
      <c r="CN290" s="80" t="str">
        <f>IF(AND($F290&lt;&gt;"", $F290&gt;=CN$5-4, $F290&lt;=CN$5, COUNTIF($M290:CM290,"u")=0), "u", "")</f>
        <v/>
      </c>
      <c r="CO290" s="80" t="str">
        <f>IF(AND($F290&lt;&gt;"", $F290&gt;=CO$5-4, $F290&lt;=CO$5, COUNTIF($M290:CN290,"u")=0), "u", "")</f>
        <v/>
      </c>
      <c r="CP290" s="80" t="str">
        <f>IF(AND($F290&lt;&gt;"", $F290&gt;=CP$5-4, $F290&lt;=CP$5, COUNTIF($M290:CO290,"u")=0), "u", "")</f>
        <v/>
      </c>
      <c r="CQ290" s="80" t="str">
        <f>IF(AND($F290&lt;&gt;"", $F290&gt;=CQ$5-4, $F290&lt;=CQ$5, COUNTIF($M290:CP290,"u")=0), "u", "")</f>
        <v/>
      </c>
      <c r="CR290" s="80" t="str">
        <f>IF(AND($F290&lt;&gt;"", $F290&gt;=CR$5-4, $F290&lt;=CR$5, COUNTIF($M290:CQ290,"u")=0), "u", "")</f>
        <v/>
      </c>
      <c r="CS290" s="80" t="str">
        <f>IF(AND($F290&lt;&gt;"", $F290&gt;=CS$5-4, $F290&lt;=CS$5, COUNTIF($M290:CR290,"u")=0), "u", "")</f>
        <v/>
      </c>
      <c r="CT290" s="80" t="str">
        <f>IF(AND($F290&lt;&gt;"", $F290&gt;=CT$5-4, $F290&lt;=CT$5, COUNTIF($M290:CS290,"u")=0), "u", "")</f>
        <v/>
      </c>
      <c r="CU290" s="80" t="str">
        <f>IF(AND($F290&lt;&gt;"", $F290&gt;=CU$5-4, $F290&lt;=CU$5, COUNTIF($M290:CT290,"u")=0), "u", "")</f>
        <v/>
      </c>
      <c r="CV290" s="80" t="str">
        <f>IF(AND($F290&lt;&gt;"", $F290&gt;=CV$5-4, $F290&lt;=CV$5, COUNTIF($M290:CU290,"u")=0), "u", "")</f>
        <v/>
      </c>
      <c r="CW290" s="80" t="str">
        <f>IF(AND($F290&lt;&gt;"", $F290&gt;=CW$5-4, $F290&lt;=CW$5, COUNTIF($M290:CV290,"u")=0), "u", "")</f>
        <v/>
      </c>
      <c r="CX290" s="80" t="str">
        <f>IF(AND($F290&lt;&gt;"", $F290&gt;=CX$5-4, $F290&lt;=CX$5, COUNTIF($M290:CW290,"u")=0), "u", "")</f>
        <v/>
      </c>
      <c r="CY290" s="80" t="str">
        <f>IF(AND($F290&lt;&gt;"", $F290&gt;=CY$5-4, $F290&lt;=CY$5, COUNTIF($M290:CX290,"u")=0), "u", "")</f>
        <v/>
      </c>
      <c r="CZ290" s="80" t="str">
        <f>IF(AND($F290&lt;&gt;"", $F290&gt;=CZ$5-4, $F290&lt;=CZ$5, COUNTIF($M290:CY290,"u")=0), "u", "")</f>
        <v/>
      </c>
      <c r="DA290" s="80" t="str">
        <f>IF(AND($F290&lt;&gt;"", $F290&gt;=DA$5-4, $F290&lt;=DA$5, COUNTIF($M290:CZ290,"u")=0), "u", "")</f>
        <v/>
      </c>
      <c r="DB290" s="80" t="str">
        <f>IF(AND($F290&lt;&gt;"", $F290&gt;=DB$5-4, $F290&lt;=DB$5, COUNTIF($M290:DA290,"u")=0), "u", "")</f>
        <v/>
      </c>
      <c r="DC290" s="80" t="str">
        <f>IF(AND($F290&lt;&gt;"", $F290&gt;=DC$5-4, $F290&lt;=DC$5, COUNTIF($M290:DB290,"u")=0), "u", "")</f>
        <v/>
      </c>
      <c r="DD290" s="80" t="str">
        <f>IF(AND($F290&lt;&gt;"", $F290&gt;=DD$5-4, $F290&lt;=DD$5, COUNTIF($M290:DC290,"u")=0), "u", "")</f>
        <v/>
      </c>
      <c r="DE290" s="80" t="str">
        <f>IF(AND($F290&lt;&gt;"", $F290&gt;=DE$5-4, $F290&lt;=DE$5, COUNTIF($M290:DD290,"u")=0), "u", "")</f>
        <v/>
      </c>
      <c r="DF290" s="80" t="str">
        <f>IF(AND($F290&lt;&gt;"", $F290&gt;=DF$5-4, $F290&lt;=DF$5, COUNTIF($M290:DE290,"u")=0), "u", "")</f>
        <v/>
      </c>
      <c r="DG290" s="80" t="str">
        <f>IF(AND($F290&lt;&gt;"", $F290&gt;=DG$5-4, $F290&lt;=DG$5, COUNTIF($M290:DF290,"u")=0), "u", "")</f>
        <v/>
      </c>
      <c r="DH290" s="80" t="str">
        <f>IF(AND($F290&lt;&gt;"", $F290&gt;=DH$5-4, $F290&lt;=DH$5, COUNTIF($M290:DG290,"u")=0), "u", "")</f>
        <v/>
      </c>
      <c r="DI290" s="80" t="str">
        <f>IF(AND($F290&lt;&gt;"", $F290&gt;=DI$5-4, $F290&lt;=DI$5, COUNTIF($M290:DH290,"u")=0), "u", "")</f>
        <v/>
      </c>
      <c r="DJ290" s="80" t="str">
        <f>IF(AND($F290&lt;&gt;"", $F290&gt;=DJ$5-4, $F290&lt;=DJ$5, COUNTIF($M290:DI290,"u")=0), "u", "")</f>
        <v/>
      </c>
      <c r="DK290" s="80" t="str">
        <f>IF(AND($F290&lt;&gt;"", $F290&gt;=DK$5-4, $F290&lt;=DK$5, COUNTIF($M290:DJ290,"u")=0), "u", "")</f>
        <v/>
      </c>
      <c r="DL290" s="80" t="str">
        <f>IF(AND($F290&lt;&gt;"", $F290&gt;=DL$5-4, $F290&lt;=DL$5, COUNTIF($M290:DK290,"u")=0), "u", "")</f>
        <v/>
      </c>
    </row>
    <row r="291" spans="1:116" ht="25.05" customHeight="1" x14ac:dyDescent="0.3">
      <c r="A291" s="39"/>
      <c r="B291" s="75">
        <v>286</v>
      </c>
      <c r="C291" s="97"/>
      <c r="D291" s="92"/>
      <c r="E291" s="53"/>
      <c r="F291" s="53"/>
      <c r="G291" s="83" t="str">
        <f t="shared" si="59"/>
        <v/>
      </c>
      <c r="H291" s="83" t="str">
        <f t="shared" si="59"/>
        <v/>
      </c>
      <c r="I291" s="77" t="str">
        <f t="shared" si="57"/>
        <v/>
      </c>
      <c r="J291" s="78"/>
      <c r="K291" s="86"/>
      <c r="L291" s="56"/>
      <c r="M291" s="80" t="str">
        <f t="shared" si="58"/>
        <v/>
      </c>
      <c r="N291" s="80" t="str">
        <f>IF(AND($F291&lt;&gt;"", $F291&gt;=N$5-4, $F291&lt;=N$5, COUNTIF($M291:M291,"u")=0), "u", "")</f>
        <v/>
      </c>
      <c r="O291" s="80" t="str">
        <f>IF(AND($F291&lt;&gt;"", $F291&gt;=O$5-4, $F291&lt;=O$5, COUNTIF($M291:N291,"u")=0), "u", "")</f>
        <v/>
      </c>
      <c r="P291" s="80" t="str">
        <f>IF(AND($F291&lt;&gt;"", $F291&gt;=P$5-4, $F291&lt;=P$5, COUNTIF($M291:O291,"u")=0), "u", "")</f>
        <v/>
      </c>
      <c r="Q291" s="80" t="str">
        <f>IF(AND($F291&lt;&gt;"", $F291&gt;=Q$5-4, $F291&lt;=Q$5, COUNTIF($M291:P291,"u")=0), "u", "")</f>
        <v/>
      </c>
      <c r="R291" s="80" t="str">
        <f>IF(AND($F291&lt;&gt;"", $F291&gt;=R$5-4, $F291&lt;=R$5, COUNTIF($M291:Q291,"u")=0), "u", "")</f>
        <v/>
      </c>
      <c r="S291" s="80" t="str">
        <f>IF(AND($F291&lt;&gt;"", $F291&gt;=S$5-4, $F291&lt;=S$5, COUNTIF($M291:R291,"u")=0), "u", "")</f>
        <v/>
      </c>
      <c r="T291" s="80" t="str">
        <f>IF(AND($F291&lt;&gt;"", $F291&gt;=T$5-4, $F291&lt;=T$5, COUNTIF($M291:S291,"u")=0), "u", "")</f>
        <v/>
      </c>
      <c r="U291" s="80" t="str">
        <f>IF(AND($F291&lt;&gt;"", $F291&gt;=U$5-4, $F291&lt;=U$5, COUNTIF($M291:T291,"u")=0), "u", "")</f>
        <v/>
      </c>
      <c r="V291" s="80" t="str">
        <f>IF(AND($F291&lt;&gt;"", $F291&gt;=V$5-4, $F291&lt;=V$5, COUNTIF($M291:U291,"u")=0), "u", "")</f>
        <v/>
      </c>
      <c r="W291" s="80" t="str">
        <f>IF(AND($F291&lt;&gt;"", $F291&gt;=W$5-4, $F291&lt;=W$5, COUNTIF($M291:V291,"u")=0), "u", "")</f>
        <v/>
      </c>
      <c r="X291" s="80" t="str">
        <f>IF(AND($F291&lt;&gt;"", $F291&gt;=X$5-4, $F291&lt;=X$5, COUNTIF($M291:W291,"u")=0), "u", "")</f>
        <v/>
      </c>
      <c r="Y291" s="80" t="str">
        <f>IF(AND($F291&lt;&gt;"", $F291&gt;=Y$5-4, $F291&lt;=Y$5, COUNTIF($M291:X291,"u")=0), "u", "")</f>
        <v/>
      </c>
      <c r="Z291" s="80" t="str">
        <f>IF(AND($F291&lt;&gt;"", $F291&gt;=Z$5-4, $F291&lt;=Z$5, COUNTIF($M291:Y291,"u")=0), "u", "")</f>
        <v/>
      </c>
      <c r="AA291" s="80" t="str">
        <f>IF(AND($F291&lt;&gt;"", $F291&gt;=AA$5-4, $F291&lt;=AA$5, COUNTIF($M291:Z291,"u")=0), "u", "")</f>
        <v/>
      </c>
      <c r="AB291" s="80" t="str">
        <f>IF(AND($F291&lt;&gt;"", $F291&gt;=AB$5-4, $F291&lt;=AB$5, COUNTIF($M291:AA291,"u")=0), "u", "")</f>
        <v/>
      </c>
      <c r="AC291" s="80" t="str">
        <f>IF(AND($F291&lt;&gt;"", $F291&gt;=AC$5-4, $F291&lt;=AC$5, COUNTIF($M291:AB291,"u")=0), "u", "")</f>
        <v/>
      </c>
      <c r="AD291" s="80" t="str">
        <f>IF(AND($F291&lt;&gt;"", $F291&gt;=AD$5-4, $F291&lt;=AD$5, COUNTIF($M291:AC291,"u")=0), "u", "")</f>
        <v/>
      </c>
      <c r="AE291" s="80" t="str">
        <f>IF(AND($F291&lt;&gt;"", $F291&gt;=AE$5-4, $F291&lt;=AE$5, COUNTIF($M291:AD291,"u")=0), "u", "")</f>
        <v/>
      </c>
      <c r="AF291" s="80" t="str">
        <f>IF(AND($F291&lt;&gt;"", $F291&gt;=AF$5-4, $F291&lt;=AF$5, COUNTIF($M291:AE291,"u")=0), "u", "")</f>
        <v/>
      </c>
      <c r="AG291" s="80" t="str">
        <f>IF(AND($F291&lt;&gt;"", $F291&gt;=AG$5-4, $F291&lt;=AG$5, COUNTIF($M291:AF291,"u")=0), "u", "")</f>
        <v/>
      </c>
      <c r="AH291" s="80" t="str">
        <f>IF(AND($F291&lt;&gt;"", $F291&gt;=AH$5-4, $F291&lt;=AH$5, COUNTIF($M291:AG291,"u")=0), "u", "")</f>
        <v/>
      </c>
      <c r="AI291" s="80" t="str">
        <f>IF(AND($F291&lt;&gt;"", $F291&gt;=AI$5-4, $F291&lt;=AI$5, COUNTIF($M291:AH291,"u")=0), "u", "")</f>
        <v/>
      </c>
      <c r="AJ291" s="80" t="str">
        <f>IF(AND($F291&lt;&gt;"", $F291&gt;=AJ$5-4, $F291&lt;=AJ$5, COUNTIF($M291:AI291,"u")=0), "u", "")</f>
        <v/>
      </c>
      <c r="AK291" s="80" t="str">
        <f>IF(AND($F291&lt;&gt;"", $F291&gt;=AK$5-4, $F291&lt;=AK$5, COUNTIF($M291:AJ291,"u")=0), "u", "")</f>
        <v/>
      </c>
      <c r="AL291" s="80" t="str">
        <f>IF(AND($F291&lt;&gt;"", $F291&gt;=AL$5-4, $F291&lt;=AL$5, COUNTIF($M291:AK291,"u")=0), "u", "")</f>
        <v/>
      </c>
      <c r="AM291" s="80" t="str">
        <f>IF(AND($F291&lt;&gt;"", $F291&gt;=AM$5-4, $F291&lt;=AM$5, COUNTIF($M291:AL291,"u")=0), "u", "")</f>
        <v/>
      </c>
      <c r="AN291" s="80" t="str">
        <f>IF(AND($F291&lt;&gt;"", $F291&gt;=AN$5-4, $F291&lt;=AN$5, COUNTIF($M291:AM291,"u")=0), "u", "")</f>
        <v/>
      </c>
      <c r="AO291" s="80" t="str">
        <f>IF(AND($F291&lt;&gt;"", $F291&gt;=AO$5-4, $F291&lt;=AO$5, COUNTIF($M291:AN291,"u")=0), "u", "")</f>
        <v/>
      </c>
      <c r="AP291" s="80" t="str">
        <f>IF(AND($F291&lt;&gt;"", $F291&gt;=AP$5-4, $F291&lt;=AP$5, COUNTIF($M291:AO291,"u")=0), "u", "")</f>
        <v/>
      </c>
      <c r="AQ291" s="80" t="str">
        <f>IF(AND($F291&lt;&gt;"", $F291&gt;=AQ$5-4, $F291&lt;=AQ$5, COUNTIF($M291:AP291,"u")=0), "u", "")</f>
        <v/>
      </c>
      <c r="AR291" s="80" t="str">
        <f>IF(AND($F291&lt;&gt;"", $F291&gt;=AR$5-4, $F291&lt;=AR$5, COUNTIF($M291:AQ291,"u")=0), "u", "")</f>
        <v/>
      </c>
      <c r="AS291" s="80" t="str">
        <f>IF(AND($F291&lt;&gt;"", $F291&gt;=AS$5-4, $F291&lt;=AS$5, COUNTIF($M291:AR291,"u")=0), "u", "")</f>
        <v/>
      </c>
      <c r="AT291" s="80" t="str">
        <f>IF(AND($F291&lt;&gt;"", $F291&gt;=AT$5-4, $F291&lt;=AT$5, COUNTIF($M291:AS291,"u")=0), "u", "")</f>
        <v/>
      </c>
      <c r="AU291" s="80" t="str">
        <f>IF(AND($F291&lt;&gt;"", $F291&gt;=AU$5-4, $F291&lt;=AU$5, COUNTIF($M291:AT291,"u")=0), "u", "")</f>
        <v/>
      </c>
      <c r="AV291" s="80" t="str">
        <f>IF(AND($F291&lt;&gt;"", $F291&gt;=AV$5-4, $F291&lt;=AV$5, COUNTIF($M291:AU291,"u")=0), "u", "")</f>
        <v/>
      </c>
      <c r="AW291" s="80" t="str">
        <f>IF(AND($F291&lt;&gt;"", $F291&gt;=AW$5-4, $F291&lt;=AW$5, COUNTIF($M291:AV291,"u")=0), "u", "")</f>
        <v/>
      </c>
      <c r="AX291" s="80" t="str">
        <f>IF(AND($F291&lt;&gt;"", $F291&gt;=AX$5-4, $F291&lt;=AX$5, COUNTIF($M291:AW291,"u")=0), "u", "")</f>
        <v/>
      </c>
      <c r="AY291" s="80" t="str">
        <f>IF(AND($F291&lt;&gt;"", $F291&gt;=AY$5-4, $F291&lt;=AY$5, COUNTIF($M291:AX291,"u")=0), "u", "")</f>
        <v/>
      </c>
      <c r="AZ291" s="80" t="str">
        <f>IF(AND($F291&lt;&gt;"", $F291&gt;=AZ$5-4, $F291&lt;=AZ$5, COUNTIF($M291:AY291,"u")=0), "u", "")</f>
        <v/>
      </c>
      <c r="BA291" s="80" t="str">
        <f>IF(AND($F291&lt;&gt;"", $F291&gt;=BA$5-4, $F291&lt;=BA$5, COUNTIF($M291:AZ291,"u")=0), "u", "")</f>
        <v/>
      </c>
      <c r="BB291" s="80" t="str">
        <f>IF(AND($F291&lt;&gt;"", $F291&gt;=BB$5-4, $F291&lt;=BB$5, COUNTIF($M291:BA291,"u")=0), "u", "")</f>
        <v/>
      </c>
      <c r="BC291" s="80" t="str">
        <f>IF(AND($F291&lt;&gt;"", $F291&gt;=BC$5-4, $F291&lt;=BC$5, COUNTIF($M291:BB291,"u")=0), "u", "")</f>
        <v/>
      </c>
      <c r="BD291" s="80" t="str">
        <f>IF(AND($F291&lt;&gt;"", $F291&gt;=BD$5-4, $F291&lt;=BD$5, COUNTIF($M291:BC291,"u")=0), "u", "")</f>
        <v/>
      </c>
      <c r="BE291" s="80" t="str">
        <f>IF(AND($F291&lt;&gt;"", $F291&gt;=BE$5-4, $F291&lt;=BE$5, COUNTIF($M291:BD291,"u")=0), "u", "")</f>
        <v/>
      </c>
      <c r="BF291" s="80" t="str">
        <f>IF(AND($F291&lt;&gt;"", $F291&gt;=BF$5-4, $F291&lt;=BF$5, COUNTIF($M291:BE291,"u")=0), "u", "")</f>
        <v/>
      </c>
      <c r="BG291" s="80" t="str">
        <f>IF(AND($F291&lt;&gt;"", $F291&gt;=BG$5-4, $F291&lt;=BG$5, COUNTIF($M291:BF291,"u")=0), "u", "")</f>
        <v/>
      </c>
      <c r="BH291" s="80" t="str">
        <f>IF(AND($F291&lt;&gt;"", $F291&gt;=BH$5-4, $F291&lt;=BH$5, COUNTIF($M291:BG291,"u")=0), "u", "")</f>
        <v/>
      </c>
      <c r="BI291" s="80" t="str">
        <f>IF(AND($F291&lt;&gt;"", $F291&gt;=BI$5-4, $F291&lt;=BI$5, COUNTIF($M291:BH291,"u")=0), "u", "")</f>
        <v/>
      </c>
      <c r="BJ291" s="80" t="str">
        <f>IF(AND($F291&lt;&gt;"", $F291&gt;=BJ$5-4, $F291&lt;=BJ$5, COUNTIF($M291:BI291,"u")=0), "u", "")</f>
        <v/>
      </c>
      <c r="BK291" s="80" t="str">
        <f>IF(AND($F291&lt;&gt;"", $F291&gt;=BK$5-4, $F291&lt;=BK$5, COUNTIF($M291:BJ291,"u")=0), "u", "")</f>
        <v/>
      </c>
      <c r="BL291" s="80" t="str">
        <f>IF(AND($F291&lt;&gt;"", $F291&gt;=BL$5-4, $F291&lt;=BL$5, COUNTIF($M291:BK291,"u")=0), "u", "")</f>
        <v/>
      </c>
      <c r="BM291" s="80" t="str">
        <f>IF(AND($F291&lt;&gt;"", $F291&gt;=BM$5-4, $F291&lt;=BM$5, COUNTIF($M291:BL291,"u")=0), "u", "")</f>
        <v/>
      </c>
      <c r="BN291" s="80" t="str">
        <f>IF(AND($F291&lt;&gt;"", $F291&gt;=BN$5-4, $F291&lt;=BN$5, COUNTIF($M291:BM291,"u")=0), "u", "")</f>
        <v/>
      </c>
      <c r="BO291" s="80" t="str">
        <f>IF(AND($F291&lt;&gt;"", $F291&gt;=BO$5-4, $F291&lt;=BO$5, COUNTIF($M291:BN291,"u")=0), "u", "")</f>
        <v/>
      </c>
      <c r="BP291" s="80" t="str">
        <f>IF(AND($F291&lt;&gt;"", $F291&gt;=BP$5-4, $F291&lt;=BP$5, COUNTIF($M291:BO291,"u")=0), "u", "")</f>
        <v/>
      </c>
      <c r="BQ291" s="80" t="str">
        <f>IF(AND($F291&lt;&gt;"", $F291&gt;=BQ$5-4, $F291&lt;=BQ$5, COUNTIF($M291:BP291,"u")=0), "u", "")</f>
        <v/>
      </c>
      <c r="BR291" s="80" t="str">
        <f>IF(AND($F291&lt;&gt;"", $F291&gt;=BR$5-4, $F291&lt;=BR$5, COUNTIF($M291:BQ291,"u")=0), "u", "")</f>
        <v/>
      </c>
      <c r="BS291" s="80" t="str">
        <f>IF(AND($F291&lt;&gt;"", $F291&gt;=BS$5-4, $F291&lt;=BS$5, COUNTIF($M291:BR291,"u")=0), "u", "")</f>
        <v/>
      </c>
      <c r="BT291" s="80" t="str">
        <f>IF(AND($F291&lt;&gt;"", $F291&gt;=BT$5-4, $F291&lt;=BT$5, COUNTIF($M291:BS291,"u")=0), "u", "")</f>
        <v/>
      </c>
      <c r="BU291" s="80" t="str">
        <f>IF(AND($F291&lt;&gt;"", $F291&gt;=BU$5-4, $F291&lt;=BU$5, COUNTIF($M291:BT291,"u")=0), "u", "")</f>
        <v/>
      </c>
      <c r="BV291" s="80" t="str">
        <f>IF(AND($F291&lt;&gt;"", $F291&gt;=BV$5-4, $F291&lt;=BV$5, COUNTIF($M291:BU291,"u")=0), "u", "")</f>
        <v/>
      </c>
      <c r="BW291" s="80" t="str">
        <f>IF(AND($F291&lt;&gt;"", $F291&gt;=BW$5-4, $F291&lt;=BW$5, COUNTIF($M291:BV291,"u")=0), "u", "")</f>
        <v/>
      </c>
      <c r="BX291" s="80" t="str">
        <f>IF(AND($F291&lt;&gt;"", $F291&gt;=BX$5-4, $F291&lt;=BX$5, COUNTIF($M291:BW291,"u")=0), "u", "")</f>
        <v/>
      </c>
      <c r="BY291" s="80" t="str">
        <f>IF(AND($F291&lt;&gt;"", $F291&gt;=BY$5-4, $F291&lt;=BY$5, COUNTIF($M291:BX291,"u")=0), "u", "")</f>
        <v/>
      </c>
      <c r="BZ291" s="80" t="str">
        <f>IF(AND($F291&lt;&gt;"", $F291&gt;=BZ$5-4, $F291&lt;=BZ$5, COUNTIF($M291:BY291,"u")=0), "u", "")</f>
        <v/>
      </c>
      <c r="CA291" s="80" t="str">
        <f>IF(AND($F291&lt;&gt;"", $F291&gt;=CA$5-4, $F291&lt;=CA$5, COUNTIF($M291:BZ291,"u")=0), "u", "")</f>
        <v/>
      </c>
      <c r="CB291" s="80" t="str">
        <f>IF(AND($F291&lt;&gt;"", $F291&gt;=CB$5-4, $F291&lt;=CB$5, COUNTIF($M291:CA291,"u")=0), "u", "")</f>
        <v/>
      </c>
      <c r="CC291" s="80" t="str">
        <f>IF(AND($F291&lt;&gt;"", $F291&gt;=CC$5-4, $F291&lt;=CC$5, COUNTIF($M291:CB291,"u")=0), "u", "")</f>
        <v/>
      </c>
      <c r="CD291" s="80" t="str">
        <f>IF(AND($F291&lt;&gt;"", $F291&gt;=CD$5-4, $F291&lt;=CD$5, COUNTIF($M291:CC291,"u")=0), "u", "")</f>
        <v/>
      </c>
      <c r="CE291" s="80" t="str">
        <f>IF(AND($F291&lt;&gt;"", $F291&gt;=CE$5-4, $F291&lt;=CE$5, COUNTIF($M291:CD291,"u")=0), "u", "")</f>
        <v/>
      </c>
      <c r="CF291" s="80" t="str">
        <f>IF(AND($F291&lt;&gt;"", $F291&gt;=CF$5-4, $F291&lt;=CF$5, COUNTIF($M291:CE291,"u")=0), "u", "")</f>
        <v/>
      </c>
      <c r="CG291" s="80" t="str">
        <f>IF(AND($F291&lt;&gt;"", $F291&gt;=CG$5-4, $F291&lt;=CG$5, COUNTIF($M291:CF291,"u")=0), "u", "")</f>
        <v/>
      </c>
      <c r="CH291" s="80" t="str">
        <f>IF(AND($F291&lt;&gt;"", $F291&gt;=CH$5-4, $F291&lt;=CH$5, COUNTIF($M291:CG291,"u")=0), "u", "")</f>
        <v/>
      </c>
      <c r="CI291" s="80" t="str">
        <f>IF(AND($F291&lt;&gt;"", $F291&gt;=CI$5-4, $F291&lt;=CI$5, COUNTIF($M291:CH291,"u")=0), "u", "")</f>
        <v/>
      </c>
      <c r="CJ291" s="80" t="str">
        <f>IF(AND($F291&lt;&gt;"", $F291&gt;=CJ$5-4, $F291&lt;=CJ$5, COUNTIF($M291:CI291,"u")=0), "u", "")</f>
        <v/>
      </c>
      <c r="CK291" s="80" t="str">
        <f>IF(AND($F291&lt;&gt;"", $F291&gt;=CK$5-4, $F291&lt;=CK$5, COUNTIF($M291:CJ291,"u")=0), "u", "")</f>
        <v/>
      </c>
      <c r="CL291" s="80" t="str">
        <f>IF(AND($F291&lt;&gt;"", $F291&gt;=CL$5-4, $F291&lt;=CL$5, COUNTIF($M291:CK291,"u")=0), "u", "")</f>
        <v/>
      </c>
      <c r="CM291" s="80" t="str">
        <f>IF(AND($F291&lt;&gt;"", $F291&gt;=CM$5-4, $F291&lt;=CM$5, COUNTIF($M291:CL291,"u")=0), "u", "")</f>
        <v/>
      </c>
      <c r="CN291" s="80" t="str">
        <f>IF(AND($F291&lt;&gt;"", $F291&gt;=CN$5-4, $F291&lt;=CN$5, COUNTIF($M291:CM291,"u")=0), "u", "")</f>
        <v/>
      </c>
      <c r="CO291" s="80" t="str">
        <f>IF(AND($F291&lt;&gt;"", $F291&gt;=CO$5-4, $F291&lt;=CO$5, COUNTIF($M291:CN291,"u")=0), "u", "")</f>
        <v/>
      </c>
      <c r="CP291" s="80" t="str">
        <f>IF(AND($F291&lt;&gt;"", $F291&gt;=CP$5-4, $F291&lt;=CP$5, COUNTIF($M291:CO291,"u")=0), "u", "")</f>
        <v/>
      </c>
      <c r="CQ291" s="80" t="str">
        <f>IF(AND($F291&lt;&gt;"", $F291&gt;=CQ$5-4, $F291&lt;=CQ$5, COUNTIF($M291:CP291,"u")=0), "u", "")</f>
        <v/>
      </c>
      <c r="CR291" s="80" t="str">
        <f>IF(AND($F291&lt;&gt;"", $F291&gt;=CR$5-4, $F291&lt;=CR$5, COUNTIF($M291:CQ291,"u")=0), "u", "")</f>
        <v/>
      </c>
      <c r="CS291" s="80" t="str">
        <f>IF(AND($F291&lt;&gt;"", $F291&gt;=CS$5-4, $F291&lt;=CS$5, COUNTIF($M291:CR291,"u")=0), "u", "")</f>
        <v/>
      </c>
      <c r="CT291" s="80" t="str">
        <f>IF(AND($F291&lt;&gt;"", $F291&gt;=CT$5-4, $F291&lt;=CT$5, COUNTIF($M291:CS291,"u")=0), "u", "")</f>
        <v/>
      </c>
      <c r="CU291" s="80" t="str">
        <f>IF(AND($F291&lt;&gt;"", $F291&gt;=CU$5-4, $F291&lt;=CU$5, COUNTIF($M291:CT291,"u")=0), "u", "")</f>
        <v/>
      </c>
      <c r="CV291" s="80" t="str">
        <f>IF(AND($F291&lt;&gt;"", $F291&gt;=CV$5-4, $F291&lt;=CV$5, COUNTIF($M291:CU291,"u")=0), "u", "")</f>
        <v/>
      </c>
      <c r="CW291" s="80" t="str">
        <f>IF(AND($F291&lt;&gt;"", $F291&gt;=CW$5-4, $F291&lt;=CW$5, COUNTIF($M291:CV291,"u")=0), "u", "")</f>
        <v/>
      </c>
      <c r="CX291" s="80" t="str">
        <f>IF(AND($F291&lt;&gt;"", $F291&gt;=CX$5-4, $F291&lt;=CX$5, COUNTIF($M291:CW291,"u")=0), "u", "")</f>
        <v/>
      </c>
      <c r="CY291" s="80" t="str">
        <f>IF(AND($F291&lt;&gt;"", $F291&gt;=CY$5-4, $F291&lt;=CY$5, COUNTIF($M291:CX291,"u")=0), "u", "")</f>
        <v/>
      </c>
      <c r="CZ291" s="80" t="str">
        <f>IF(AND($F291&lt;&gt;"", $F291&gt;=CZ$5-4, $F291&lt;=CZ$5, COUNTIF($M291:CY291,"u")=0), "u", "")</f>
        <v/>
      </c>
      <c r="DA291" s="80" t="str">
        <f>IF(AND($F291&lt;&gt;"", $F291&gt;=DA$5-4, $F291&lt;=DA$5, COUNTIF($M291:CZ291,"u")=0), "u", "")</f>
        <v/>
      </c>
      <c r="DB291" s="80" t="str">
        <f>IF(AND($F291&lt;&gt;"", $F291&gt;=DB$5-4, $F291&lt;=DB$5, COUNTIF($M291:DA291,"u")=0), "u", "")</f>
        <v/>
      </c>
      <c r="DC291" s="80" t="str">
        <f>IF(AND($F291&lt;&gt;"", $F291&gt;=DC$5-4, $F291&lt;=DC$5, COUNTIF($M291:DB291,"u")=0), "u", "")</f>
        <v/>
      </c>
      <c r="DD291" s="80" t="str">
        <f>IF(AND($F291&lt;&gt;"", $F291&gt;=DD$5-4, $F291&lt;=DD$5, COUNTIF($M291:DC291,"u")=0), "u", "")</f>
        <v/>
      </c>
      <c r="DE291" s="80" t="str">
        <f>IF(AND($F291&lt;&gt;"", $F291&gt;=DE$5-4, $F291&lt;=DE$5, COUNTIF($M291:DD291,"u")=0), "u", "")</f>
        <v/>
      </c>
      <c r="DF291" s="80" t="str">
        <f>IF(AND($F291&lt;&gt;"", $F291&gt;=DF$5-4, $F291&lt;=DF$5, COUNTIF($M291:DE291,"u")=0), "u", "")</f>
        <v/>
      </c>
      <c r="DG291" s="80" t="str">
        <f>IF(AND($F291&lt;&gt;"", $F291&gt;=DG$5-4, $F291&lt;=DG$5, COUNTIF($M291:DF291,"u")=0), "u", "")</f>
        <v/>
      </c>
      <c r="DH291" s="80" t="str">
        <f>IF(AND($F291&lt;&gt;"", $F291&gt;=DH$5-4, $F291&lt;=DH$5, COUNTIF($M291:DG291,"u")=0), "u", "")</f>
        <v/>
      </c>
      <c r="DI291" s="80" t="str">
        <f>IF(AND($F291&lt;&gt;"", $F291&gt;=DI$5-4, $F291&lt;=DI$5, COUNTIF($M291:DH291,"u")=0), "u", "")</f>
        <v/>
      </c>
      <c r="DJ291" s="80" t="str">
        <f>IF(AND($F291&lt;&gt;"", $F291&gt;=DJ$5-4, $F291&lt;=DJ$5, COUNTIF($M291:DI291,"u")=0), "u", "")</f>
        <v/>
      </c>
      <c r="DK291" s="80" t="str">
        <f>IF(AND($F291&lt;&gt;"", $F291&gt;=DK$5-4, $F291&lt;=DK$5, COUNTIF($M291:DJ291,"u")=0), "u", "")</f>
        <v/>
      </c>
      <c r="DL291" s="80" t="str">
        <f>IF(AND($F291&lt;&gt;"", $F291&gt;=DL$5-4, $F291&lt;=DL$5, COUNTIF($M291:DK291,"u")=0), "u", "")</f>
        <v/>
      </c>
    </row>
    <row r="292" spans="1:116" ht="25.05" customHeight="1" x14ac:dyDescent="0.3">
      <c r="A292" s="39"/>
      <c r="B292" s="75">
        <v>287</v>
      </c>
      <c r="C292" s="97"/>
      <c r="D292" s="92"/>
      <c r="E292" s="53"/>
      <c r="F292" s="53"/>
      <c r="G292" s="83" t="str">
        <f t="shared" si="59"/>
        <v/>
      </c>
      <c r="H292" s="83" t="str">
        <f t="shared" si="59"/>
        <v/>
      </c>
      <c r="I292" s="77" t="str">
        <f t="shared" si="57"/>
        <v/>
      </c>
      <c r="J292" s="78"/>
      <c r="K292" s="86"/>
      <c r="L292" s="56"/>
      <c r="M292" s="80" t="str">
        <f t="shared" si="58"/>
        <v/>
      </c>
      <c r="N292" s="80" t="str">
        <f>IF(AND($F292&lt;&gt;"", $F292&gt;=N$5-4, $F292&lt;=N$5, COUNTIF($M292:M292,"u")=0), "u", "")</f>
        <v/>
      </c>
      <c r="O292" s="80" t="str">
        <f>IF(AND($F292&lt;&gt;"", $F292&gt;=O$5-4, $F292&lt;=O$5, COUNTIF($M292:N292,"u")=0), "u", "")</f>
        <v/>
      </c>
      <c r="P292" s="80" t="str">
        <f>IF(AND($F292&lt;&gt;"", $F292&gt;=P$5-4, $F292&lt;=P$5, COUNTIF($M292:O292,"u")=0), "u", "")</f>
        <v/>
      </c>
      <c r="Q292" s="80" t="str">
        <f>IF(AND($F292&lt;&gt;"", $F292&gt;=Q$5-4, $F292&lt;=Q$5, COUNTIF($M292:P292,"u")=0), "u", "")</f>
        <v/>
      </c>
      <c r="R292" s="80" t="str">
        <f>IF(AND($F292&lt;&gt;"", $F292&gt;=R$5-4, $F292&lt;=R$5, COUNTIF($M292:Q292,"u")=0), "u", "")</f>
        <v/>
      </c>
      <c r="S292" s="80" t="str">
        <f>IF(AND($F292&lt;&gt;"", $F292&gt;=S$5-4, $F292&lt;=S$5, COUNTIF($M292:R292,"u")=0), "u", "")</f>
        <v/>
      </c>
      <c r="T292" s="80" t="str">
        <f>IF(AND($F292&lt;&gt;"", $F292&gt;=T$5-4, $F292&lt;=T$5, COUNTIF($M292:S292,"u")=0), "u", "")</f>
        <v/>
      </c>
      <c r="U292" s="80" t="str">
        <f>IF(AND($F292&lt;&gt;"", $F292&gt;=U$5-4, $F292&lt;=U$5, COUNTIF($M292:T292,"u")=0), "u", "")</f>
        <v/>
      </c>
      <c r="V292" s="80" t="str">
        <f>IF(AND($F292&lt;&gt;"", $F292&gt;=V$5-4, $F292&lt;=V$5, COUNTIF($M292:U292,"u")=0), "u", "")</f>
        <v/>
      </c>
      <c r="W292" s="80" t="str">
        <f>IF(AND($F292&lt;&gt;"", $F292&gt;=W$5-4, $F292&lt;=W$5, COUNTIF($M292:V292,"u")=0), "u", "")</f>
        <v/>
      </c>
      <c r="X292" s="80" t="str">
        <f>IF(AND($F292&lt;&gt;"", $F292&gt;=X$5-4, $F292&lt;=X$5, COUNTIF($M292:W292,"u")=0), "u", "")</f>
        <v/>
      </c>
      <c r="Y292" s="80" t="str">
        <f>IF(AND($F292&lt;&gt;"", $F292&gt;=Y$5-4, $F292&lt;=Y$5, COUNTIF($M292:X292,"u")=0), "u", "")</f>
        <v/>
      </c>
      <c r="Z292" s="80" t="str">
        <f>IF(AND($F292&lt;&gt;"", $F292&gt;=Z$5-4, $F292&lt;=Z$5, COUNTIF($M292:Y292,"u")=0), "u", "")</f>
        <v/>
      </c>
      <c r="AA292" s="80" t="str">
        <f>IF(AND($F292&lt;&gt;"", $F292&gt;=AA$5-4, $F292&lt;=AA$5, COUNTIF($M292:Z292,"u")=0), "u", "")</f>
        <v/>
      </c>
      <c r="AB292" s="80" t="str">
        <f>IF(AND($F292&lt;&gt;"", $F292&gt;=AB$5-4, $F292&lt;=AB$5, COUNTIF($M292:AA292,"u")=0), "u", "")</f>
        <v/>
      </c>
      <c r="AC292" s="80" t="str">
        <f>IF(AND($F292&lt;&gt;"", $F292&gt;=AC$5-4, $F292&lt;=AC$5, COUNTIF($M292:AB292,"u")=0), "u", "")</f>
        <v/>
      </c>
      <c r="AD292" s="80" t="str">
        <f>IF(AND($F292&lt;&gt;"", $F292&gt;=AD$5-4, $F292&lt;=AD$5, COUNTIF($M292:AC292,"u")=0), "u", "")</f>
        <v/>
      </c>
      <c r="AE292" s="80" t="str">
        <f>IF(AND($F292&lt;&gt;"", $F292&gt;=AE$5-4, $F292&lt;=AE$5, COUNTIF($M292:AD292,"u")=0), "u", "")</f>
        <v/>
      </c>
      <c r="AF292" s="80" t="str">
        <f>IF(AND($F292&lt;&gt;"", $F292&gt;=AF$5-4, $F292&lt;=AF$5, COUNTIF($M292:AE292,"u")=0), "u", "")</f>
        <v/>
      </c>
      <c r="AG292" s="80" t="str">
        <f>IF(AND($F292&lt;&gt;"", $F292&gt;=AG$5-4, $F292&lt;=AG$5, COUNTIF($M292:AF292,"u")=0), "u", "")</f>
        <v/>
      </c>
      <c r="AH292" s="80" t="str">
        <f>IF(AND($F292&lt;&gt;"", $F292&gt;=AH$5-4, $F292&lt;=AH$5, COUNTIF($M292:AG292,"u")=0), "u", "")</f>
        <v/>
      </c>
      <c r="AI292" s="80" t="str">
        <f>IF(AND($F292&lt;&gt;"", $F292&gt;=AI$5-4, $F292&lt;=AI$5, COUNTIF($M292:AH292,"u")=0), "u", "")</f>
        <v/>
      </c>
      <c r="AJ292" s="80" t="str">
        <f>IF(AND($F292&lt;&gt;"", $F292&gt;=AJ$5-4, $F292&lt;=AJ$5, COUNTIF($M292:AI292,"u")=0), "u", "")</f>
        <v/>
      </c>
      <c r="AK292" s="80" t="str">
        <f>IF(AND($F292&lt;&gt;"", $F292&gt;=AK$5-4, $F292&lt;=AK$5, COUNTIF($M292:AJ292,"u")=0), "u", "")</f>
        <v/>
      </c>
      <c r="AL292" s="80" t="str">
        <f>IF(AND($F292&lt;&gt;"", $F292&gt;=AL$5-4, $F292&lt;=AL$5, COUNTIF($M292:AK292,"u")=0), "u", "")</f>
        <v/>
      </c>
      <c r="AM292" s="80" t="str">
        <f>IF(AND($F292&lt;&gt;"", $F292&gt;=AM$5-4, $F292&lt;=AM$5, COUNTIF($M292:AL292,"u")=0), "u", "")</f>
        <v/>
      </c>
      <c r="AN292" s="80" t="str">
        <f>IF(AND($F292&lt;&gt;"", $F292&gt;=AN$5-4, $F292&lt;=AN$5, COUNTIF($M292:AM292,"u")=0), "u", "")</f>
        <v/>
      </c>
      <c r="AO292" s="80" t="str">
        <f>IF(AND($F292&lt;&gt;"", $F292&gt;=AO$5-4, $F292&lt;=AO$5, COUNTIF($M292:AN292,"u")=0), "u", "")</f>
        <v/>
      </c>
      <c r="AP292" s="80" t="str">
        <f>IF(AND($F292&lt;&gt;"", $F292&gt;=AP$5-4, $F292&lt;=AP$5, COUNTIF($M292:AO292,"u")=0), "u", "")</f>
        <v/>
      </c>
      <c r="AQ292" s="80" t="str">
        <f>IF(AND($F292&lt;&gt;"", $F292&gt;=AQ$5-4, $F292&lt;=AQ$5, COUNTIF($M292:AP292,"u")=0), "u", "")</f>
        <v/>
      </c>
      <c r="AR292" s="80" t="str">
        <f>IF(AND($F292&lt;&gt;"", $F292&gt;=AR$5-4, $F292&lt;=AR$5, COUNTIF($M292:AQ292,"u")=0), "u", "")</f>
        <v/>
      </c>
      <c r="AS292" s="80" t="str">
        <f>IF(AND($F292&lt;&gt;"", $F292&gt;=AS$5-4, $F292&lt;=AS$5, COUNTIF($M292:AR292,"u")=0), "u", "")</f>
        <v/>
      </c>
      <c r="AT292" s="80" t="str">
        <f>IF(AND($F292&lt;&gt;"", $F292&gt;=AT$5-4, $F292&lt;=AT$5, COUNTIF($M292:AS292,"u")=0), "u", "")</f>
        <v/>
      </c>
      <c r="AU292" s="80" t="str">
        <f>IF(AND($F292&lt;&gt;"", $F292&gt;=AU$5-4, $F292&lt;=AU$5, COUNTIF($M292:AT292,"u")=0), "u", "")</f>
        <v/>
      </c>
      <c r="AV292" s="80" t="str">
        <f>IF(AND($F292&lt;&gt;"", $F292&gt;=AV$5-4, $F292&lt;=AV$5, COUNTIF($M292:AU292,"u")=0), "u", "")</f>
        <v/>
      </c>
      <c r="AW292" s="80" t="str">
        <f>IF(AND($F292&lt;&gt;"", $F292&gt;=AW$5-4, $F292&lt;=AW$5, COUNTIF($M292:AV292,"u")=0), "u", "")</f>
        <v/>
      </c>
      <c r="AX292" s="80" t="str">
        <f>IF(AND($F292&lt;&gt;"", $F292&gt;=AX$5-4, $F292&lt;=AX$5, COUNTIF($M292:AW292,"u")=0), "u", "")</f>
        <v/>
      </c>
      <c r="AY292" s="80" t="str">
        <f>IF(AND($F292&lt;&gt;"", $F292&gt;=AY$5-4, $F292&lt;=AY$5, COUNTIF($M292:AX292,"u")=0), "u", "")</f>
        <v/>
      </c>
      <c r="AZ292" s="80" t="str">
        <f>IF(AND($F292&lt;&gt;"", $F292&gt;=AZ$5-4, $F292&lt;=AZ$5, COUNTIF($M292:AY292,"u")=0), "u", "")</f>
        <v/>
      </c>
      <c r="BA292" s="80" t="str">
        <f>IF(AND($F292&lt;&gt;"", $F292&gt;=BA$5-4, $F292&lt;=BA$5, COUNTIF($M292:AZ292,"u")=0), "u", "")</f>
        <v/>
      </c>
      <c r="BB292" s="80" t="str">
        <f>IF(AND($F292&lt;&gt;"", $F292&gt;=BB$5-4, $F292&lt;=BB$5, COUNTIF($M292:BA292,"u")=0), "u", "")</f>
        <v/>
      </c>
      <c r="BC292" s="80" t="str">
        <f>IF(AND($F292&lt;&gt;"", $F292&gt;=BC$5-4, $F292&lt;=BC$5, COUNTIF($M292:BB292,"u")=0), "u", "")</f>
        <v/>
      </c>
      <c r="BD292" s="80" t="str">
        <f>IF(AND($F292&lt;&gt;"", $F292&gt;=BD$5-4, $F292&lt;=BD$5, COUNTIF($M292:BC292,"u")=0), "u", "")</f>
        <v/>
      </c>
      <c r="BE292" s="80" t="str">
        <f>IF(AND($F292&lt;&gt;"", $F292&gt;=BE$5-4, $F292&lt;=BE$5, COUNTIF($M292:BD292,"u")=0), "u", "")</f>
        <v/>
      </c>
      <c r="BF292" s="80" t="str">
        <f>IF(AND($F292&lt;&gt;"", $F292&gt;=BF$5-4, $F292&lt;=BF$5, COUNTIF($M292:BE292,"u")=0), "u", "")</f>
        <v/>
      </c>
      <c r="BG292" s="80" t="str">
        <f>IF(AND($F292&lt;&gt;"", $F292&gt;=BG$5-4, $F292&lt;=BG$5, COUNTIF($M292:BF292,"u")=0), "u", "")</f>
        <v/>
      </c>
      <c r="BH292" s="80" t="str">
        <f>IF(AND($F292&lt;&gt;"", $F292&gt;=BH$5-4, $F292&lt;=BH$5, COUNTIF($M292:BG292,"u")=0), "u", "")</f>
        <v/>
      </c>
      <c r="BI292" s="80" t="str">
        <f>IF(AND($F292&lt;&gt;"", $F292&gt;=BI$5-4, $F292&lt;=BI$5, COUNTIF($M292:BH292,"u")=0), "u", "")</f>
        <v/>
      </c>
      <c r="BJ292" s="80" t="str">
        <f>IF(AND($F292&lt;&gt;"", $F292&gt;=BJ$5-4, $F292&lt;=BJ$5, COUNTIF($M292:BI292,"u")=0), "u", "")</f>
        <v/>
      </c>
      <c r="BK292" s="80" t="str">
        <f>IF(AND($F292&lt;&gt;"", $F292&gt;=BK$5-4, $F292&lt;=BK$5, COUNTIF($M292:BJ292,"u")=0), "u", "")</f>
        <v/>
      </c>
      <c r="BL292" s="80" t="str">
        <f>IF(AND($F292&lt;&gt;"", $F292&gt;=BL$5-4, $F292&lt;=BL$5, COUNTIF($M292:BK292,"u")=0), "u", "")</f>
        <v/>
      </c>
      <c r="BM292" s="80" t="str">
        <f>IF(AND($F292&lt;&gt;"", $F292&gt;=BM$5-4, $F292&lt;=BM$5, COUNTIF($M292:BL292,"u")=0), "u", "")</f>
        <v/>
      </c>
      <c r="BN292" s="80" t="str">
        <f>IF(AND($F292&lt;&gt;"", $F292&gt;=BN$5-4, $F292&lt;=BN$5, COUNTIF($M292:BM292,"u")=0), "u", "")</f>
        <v/>
      </c>
      <c r="BO292" s="80" t="str">
        <f>IF(AND($F292&lt;&gt;"", $F292&gt;=BO$5-4, $F292&lt;=BO$5, COUNTIF($M292:BN292,"u")=0), "u", "")</f>
        <v/>
      </c>
      <c r="BP292" s="80" t="str">
        <f>IF(AND($F292&lt;&gt;"", $F292&gt;=BP$5-4, $F292&lt;=BP$5, COUNTIF($M292:BO292,"u")=0), "u", "")</f>
        <v/>
      </c>
      <c r="BQ292" s="80" t="str">
        <f>IF(AND($F292&lt;&gt;"", $F292&gt;=BQ$5-4, $F292&lt;=BQ$5, COUNTIF($M292:BP292,"u")=0), "u", "")</f>
        <v/>
      </c>
      <c r="BR292" s="80" t="str">
        <f>IF(AND($F292&lt;&gt;"", $F292&gt;=BR$5-4, $F292&lt;=BR$5, COUNTIF($M292:BQ292,"u")=0), "u", "")</f>
        <v/>
      </c>
      <c r="BS292" s="80" t="str">
        <f>IF(AND($F292&lt;&gt;"", $F292&gt;=BS$5-4, $F292&lt;=BS$5, COUNTIF($M292:BR292,"u")=0), "u", "")</f>
        <v/>
      </c>
      <c r="BT292" s="80" t="str">
        <f>IF(AND($F292&lt;&gt;"", $F292&gt;=BT$5-4, $F292&lt;=BT$5, COUNTIF($M292:BS292,"u")=0), "u", "")</f>
        <v/>
      </c>
      <c r="BU292" s="80" t="str">
        <f>IF(AND($F292&lt;&gt;"", $F292&gt;=BU$5-4, $F292&lt;=BU$5, COUNTIF($M292:BT292,"u")=0), "u", "")</f>
        <v/>
      </c>
      <c r="BV292" s="80" t="str">
        <f>IF(AND($F292&lt;&gt;"", $F292&gt;=BV$5-4, $F292&lt;=BV$5, COUNTIF($M292:BU292,"u")=0), "u", "")</f>
        <v/>
      </c>
      <c r="BW292" s="80" t="str">
        <f>IF(AND($F292&lt;&gt;"", $F292&gt;=BW$5-4, $F292&lt;=BW$5, COUNTIF($M292:BV292,"u")=0), "u", "")</f>
        <v/>
      </c>
      <c r="BX292" s="80" t="str">
        <f>IF(AND($F292&lt;&gt;"", $F292&gt;=BX$5-4, $F292&lt;=BX$5, COUNTIF($M292:BW292,"u")=0), "u", "")</f>
        <v/>
      </c>
      <c r="BY292" s="80" t="str">
        <f>IF(AND($F292&lt;&gt;"", $F292&gt;=BY$5-4, $F292&lt;=BY$5, COUNTIF($M292:BX292,"u")=0), "u", "")</f>
        <v/>
      </c>
      <c r="BZ292" s="80" t="str">
        <f>IF(AND($F292&lt;&gt;"", $F292&gt;=BZ$5-4, $F292&lt;=BZ$5, COUNTIF($M292:BY292,"u")=0), "u", "")</f>
        <v/>
      </c>
      <c r="CA292" s="80" t="str">
        <f>IF(AND($F292&lt;&gt;"", $F292&gt;=CA$5-4, $F292&lt;=CA$5, COUNTIF($M292:BZ292,"u")=0), "u", "")</f>
        <v/>
      </c>
      <c r="CB292" s="80" t="str">
        <f>IF(AND($F292&lt;&gt;"", $F292&gt;=CB$5-4, $F292&lt;=CB$5, COUNTIF($M292:CA292,"u")=0), "u", "")</f>
        <v/>
      </c>
      <c r="CC292" s="80" t="str">
        <f>IF(AND($F292&lt;&gt;"", $F292&gt;=CC$5-4, $F292&lt;=CC$5, COUNTIF($M292:CB292,"u")=0), "u", "")</f>
        <v/>
      </c>
      <c r="CD292" s="80" t="str">
        <f>IF(AND($F292&lt;&gt;"", $F292&gt;=CD$5-4, $F292&lt;=CD$5, COUNTIF($M292:CC292,"u")=0), "u", "")</f>
        <v/>
      </c>
      <c r="CE292" s="80" t="str">
        <f>IF(AND($F292&lt;&gt;"", $F292&gt;=CE$5-4, $F292&lt;=CE$5, COUNTIF($M292:CD292,"u")=0), "u", "")</f>
        <v/>
      </c>
      <c r="CF292" s="80" t="str">
        <f>IF(AND($F292&lt;&gt;"", $F292&gt;=CF$5-4, $F292&lt;=CF$5, COUNTIF($M292:CE292,"u")=0), "u", "")</f>
        <v/>
      </c>
      <c r="CG292" s="80" t="str">
        <f>IF(AND($F292&lt;&gt;"", $F292&gt;=CG$5-4, $F292&lt;=CG$5, COUNTIF($M292:CF292,"u")=0), "u", "")</f>
        <v/>
      </c>
      <c r="CH292" s="80" t="str">
        <f>IF(AND($F292&lt;&gt;"", $F292&gt;=CH$5-4, $F292&lt;=CH$5, COUNTIF($M292:CG292,"u")=0), "u", "")</f>
        <v/>
      </c>
      <c r="CI292" s="80" t="str">
        <f>IF(AND($F292&lt;&gt;"", $F292&gt;=CI$5-4, $F292&lt;=CI$5, COUNTIF($M292:CH292,"u")=0), "u", "")</f>
        <v/>
      </c>
      <c r="CJ292" s="80" t="str">
        <f>IF(AND($F292&lt;&gt;"", $F292&gt;=CJ$5-4, $F292&lt;=CJ$5, COUNTIF($M292:CI292,"u")=0), "u", "")</f>
        <v/>
      </c>
      <c r="CK292" s="80" t="str">
        <f>IF(AND($F292&lt;&gt;"", $F292&gt;=CK$5-4, $F292&lt;=CK$5, COUNTIF($M292:CJ292,"u")=0), "u", "")</f>
        <v/>
      </c>
      <c r="CL292" s="80" t="str">
        <f>IF(AND($F292&lt;&gt;"", $F292&gt;=CL$5-4, $F292&lt;=CL$5, COUNTIF($M292:CK292,"u")=0), "u", "")</f>
        <v/>
      </c>
      <c r="CM292" s="80" t="str">
        <f>IF(AND($F292&lt;&gt;"", $F292&gt;=CM$5-4, $F292&lt;=CM$5, COUNTIF($M292:CL292,"u")=0), "u", "")</f>
        <v/>
      </c>
      <c r="CN292" s="80" t="str">
        <f>IF(AND($F292&lt;&gt;"", $F292&gt;=CN$5-4, $F292&lt;=CN$5, COUNTIF($M292:CM292,"u")=0), "u", "")</f>
        <v/>
      </c>
      <c r="CO292" s="80" t="str">
        <f>IF(AND($F292&lt;&gt;"", $F292&gt;=CO$5-4, $F292&lt;=CO$5, COUNTIF($M292:CN292,"u")=0), "u", "")</f>
        <v/>
      </c>
      <c r="CP292" s="80" t="str">
        <f>IF(AND($F292&lt;&gt;"", $F292&gt;=CP$5-4, $F292&lt;=CP$5, COUNTIF($M292:CO292,"u")=0), "u", "")</f>
        <v/>
      </c>
      <c r="CQ292" s="80" t="str">
        <f>IF(AND($F292&lt;&gt;"", $F292&gt;=CQ$5-4, $F292&lt;=CQ$5, COUNTIF($M292:CP292,"u")=0), "u", "")</f>
        <v/>
      </c>
      <c r="CR292" s="80" t="str">
        <f>IF(AND($F292&lt;&gt;"", $F292&gt;=CR$5-4, $F292&lt;=CR$5, COUNTIF($M292:CQ292,"u")=0), "u", "")</f>
        <v/>
      </c>
      <c r="CS292" s="80" t="str">
        <f>IF(AND($F292&lt;&gt;"", $F292&gt;=CS$5-4, $F292&lt;=CS$5, COUNTIF($M292:CR292,"u")=0), "u", "")</f>
        <v/>
      </c>
      <c r="CT292" s="80" t="str">
        <f>IF(AND($F292&lt;&gt;"", $F292&gt;=CT$5-4, $F292&lt;=CT$5, COUNTIF($M292:CS292,"u")=0), "u", "")</f>
        <v/>
      </c>
      <c r="CU292" s="80" t="str">
        <f>IF(AND($F292&lt;&gt;"", $F292&gt;=CU$5-4, $F292&lt;=CU$5, COUNTIF($M292:CT292,"u")=0), "u", "")</f>
        <v/>
      </c>
      <c r="CV292" s="80" t="str">
        <f>IF(AND($F292&lt;&gt;"", $F292&gt;=CV$5-4, $F292&lt;=CV$5, COUNTIF($M292:CU292,"u")=0), "u", "")</f>
        <v/>
      </c>
      <c r="CW292" s="80" t="str">
        <f>IF(AND($F292&lt;&gt;"", $F292&gt;=CW$5-4, $F292&lt;=CW$5, COUNTIF($M292:CV292,"u")=0), "u", "")</f>
        <v/>
      </c>
      <c r="CX292" s="80" t="str">
        <f>IF(AND($F292&lt;&gt;"", $F292&gt;=CX$5-4, $F292&lt;=CX$5, COUNTIF($M292:CW292,"u")=0), "u", "")</f>
        <v/>
      </c>
      <c r="CY292" s="80" t="str">
        <f>IF(AND($F292&lt;&gt;"", $F292&gt;=CY$5-4, $F292&lt;=CY$5, COUNTIF($M292:CX292,"u")=0), "u", "")</f>
        <v/>
      </c>
      <c r="CZ292" s="80" t="str">
        <f>IF(AND($F292&lt;&gt;"", $F292&gt;=CZ$5-4, $F292&lt;=CZ$5, COUNTIF($M292:CY292,"u")=0), "u", "")</f>
        <v/>
      </c>
      <c r="DA292" s="80" t="str">
        <f>IF(AND($F292&lt;&gt;"", $F292&gt;=DA$5-4, $F292&lt;=DA$5, COUNTIF($M292:CZ292,"u")=0), "u", "")</f>
        <v/>
      </c>
      <c r="DB292" s="80" t="str">
        <f>IF(AND($F292&lt;&gt;"", $F292&gt;=DB$5-4, $F292&lt;=DB$5, COUNTIF($M292:DA292,"u")=0), "u", "")</f>
        <v/>
      </c>
      <c r="DC292" s="80" t="str">
        <f>IF(AND($F292&lt;&gt;"", $F292&gt;=DC$5-4, $F292&lt;=DC$5, COUNTIF($M292:DB292,"u")=0), "u", "")</f>
        <v/>
      </c>
      <c r="DD292" s="80" t="str">
        <f>IF(AND($F292&lt;&gt;"", $F292&gt;=DD$5-4, $F292&lt;=DD$5, COUNTIF($M292:DC292,"u")=0), "u", "")</f>
        <v/>
      </c>
      <c r="DE292" s="80" t="str">
        <f>IF(AND($F292&lt;&gt;"", $F292&gt;=DE$5-4, $F292&lt;=DE$5, COUNTIF($M292:DD292,"u")=0), "u", "")</f>
        <v/>
      </c>
      <c r="DF292" s="80" t="str">
        <f>IF(AND($F292&lt;&gt;"", $F292&gt;=DF$5-4, $F292&lt;=DF$5, COUNTIF($M292:DE292,"u")=0), "u", "")</f>
        <v/>
      </c>
      <c r="DG292" s="80" t="str">
        <f>IF(AND($F292&lt;&gt;"", $F292&gt;=DG$5-4, $F292&lt;=DG$5, COUNTIF($M292:DF292,"u")=0), "u", "")</f>
        <v/>
      </c>
      <c r="DH292" s="80" t="str">
        <f>IF(AND($F292&lt;&gt;"", $F292&gt;=DH$5-4, $F292&lt;=DH$5, COUNTIF($M292:DG292,"u")=0), "u", "")</f>
        <v/>
      </c>
      <c r="DI292" s="80" t="str">
        <f>IF(AND($F292&lt;&gt;"", $F292&gt;=DI$5-4, $F292&lt;=DI$5, COUNTIF($M292:DH292,"u")=0), "u", "")</f>
        <v/>
      </c>
      <c r="DJ292" s="80" t="str">
        <f>IF(AND($F292&lt;&gt;"", $F292&gt;=DJ$5-4, $F292&lt;=DJ$5, COUNTIF($M292:DI292,"u")=0), "u", "")</f>
        <v/>
      </c>
      <c r="DK292" s="80" t="str">
        <f>IF(AND($F292&lt;&gt;"", $F292&gt;=DK$5-4, $F292&lt;=DK$5, COUNTIF($M292:DJ292,"u")=0), "u", "")</f>
        <v/>
      </c>
      <c r="DL292" s="80" t="str">
        <f>IF(AND($F292&lt;&gt;"", $F292&gt;=DL$5-4, $F292&lt;=DL$5, COUNTIF($M292:DK292,"u")=0), "u", "")</f>
        <v/>
      </c>
    </row>
    <row r="293" spans="1:116" ht="25.05" customHeight="1" x14ac:dyDescent="0.3">
      <c r="A293" s="39"/>
      <c r="B293" s="75">
        <v>288</v>
      </c>
      <c r="C293" s="97"/>
      <c r="D293" s="92"/>
      <c r="E293" s="53"/>
      <c r="F293" s="53"/>
      <c r="G293" s="83" t="str">
        <f t="shared" si="59"/>
        <v/>
      </c>
      <c r="H293" s="83" t="str">
        <f t="shared" si="59"/>
        <v/>
      </c>
      <c r="I293" s="77" t="str">
        <f t="shared" si="57"/>
        <v/>
      </c>
      <c r="J293" s="78"/>
      <c r="K293" s="86"/>
      <c r="L293" s="56"/>
      <c r="M293" s="80" t="str">
        <f t="shared" si="58"/>
        <v/>
      </c>
      <c r="N293" s="80" t="str">
        <f>IF(AND($F293&lt;&gt;"", $F293&gt;=N$5-4, $F293&lt;=N$5, COUNTIF($M293:M293,"u")=0), "u", "")</f>
        <v/>
      </c>
      <c r="O293" s="80" t="str">
        <f>IF(AND($F293&lt;&gt;"", $F293&gt;=O$5-4, $F293&lt;=O$5, COUNTIF($M293:N293,"u")=0), "u", "")</f>
        <v/>
      </c>
      <c r="P293" s="80" t="str">
        <f>IF(AND($F293&lt;&gt;"", $F293&gt;=P$5-4, $F293&lt;=P$5, COUNTIF($M293:O293,"u")=0), "u", "")</f>
        <v/>
      </c>
      <c r="Q293" s="80" t="str">
        <f>IF(AND($F293&lt;&gt;"", $F293&gt;=Q$5-4, $F293&lt;=Q$5, COUNTIF($M293:P293,"u")=0), "u", "")</f>
        <v/>
      </c>
      <c r="R293" s="80" t="str">
        <f>IF(AND($F293&lt;&gt;"", $F293&gt;=R$5-4, $F293&lt;=R$5, COUNTIF($M293:Q293,"u")=0), "u", "")</f>
        <v/>
      </c>
      <c r="S293" s="80" t="str">
        <f>IF(AND($F293&lt;&gt;"", $F293&gt;=S$5-4, $F293&lt;=S$5, COUNTIF($M293:R293,"u")=0), "u", "")</f>
        <v/>
      </c>
      <c r="T293" s="80" t="str">
        <f>IF(AND($F293&lt;&gt;"", $F293&gt;=T$5-4, $F293&lt;=T$5, COUNTIF($M293:S293,"u")=0), "u", "")</f>
        <v/>
      </c>
      <c r="U293" s="80" t="str">
        <f>IF(AND($F293&lt;&gt;"", $F293&gt;=U$5-4, $F293&lt;=U$5, COUNTIF($M293:T293,"u")=0), "u", "")</f>
        <v/>
      </c>
      <c r="V293" s="80" t="str">
        <f>IF(AND($F293&lt;&gt;"", $F293&gt;=V$5-4, $F293&lt;=V$5, COUNTIF($M293:U293,"u")=0), "u", "")</f>
        <v/>
      </c>
      <c r="W293" s="80" t="str">
        <f>IF(AND($F293&lt;&gt;"", $F293&gt;=W$5-4, $F293&lt;=W$5, COUNTIF($M293:V293,"u")=0), "u", "")</f>
        <v/>
      </c>
      <c r="X293" s="80" t="str">
        <f>IF(AND($F293&lt;&gt;"", $F293&gt;=X$5-4, $F293&lt;=X$5, COUNTIF($M293:W293,"u")=0), "u", "")</f>
        <v/>
      </c>
      <c r="Y293" s="80" t="str">
        <f>IF(AND($F293&lt;&gt;"", $F293&gt;=Y$5-4, $F293&lt;=Y$5, COUNTIF($M293:X293,"u")=0), "u", "")</f>
        <v/>
      </c>
      <c r="Z293" s="80" t="str">
        <f>IF(AND($F293&lt;&gt;"", $F293&gt;=Z$5-4, $F293&lt;=Z$5, COUNTIF($M293:Y293,"u")=0), "u", "")</f>
        <v/>
      </c>
      <c r="AA293" s="80" t="str">
        <f>IF(AND($F293&lt;&gt;"", $F293&gt;=AA$5-4, $F293&lt;=AA$5, COUNTIF($M293:Z293,"u")=0), "u", "")</f>
        <v/>
      </c>
      <c r="AB293" s="80" t="str">
        <f>IF(AND($F293&lt;&gt;"", $F293&gt;=AB$5-4, $F293&lt;=AB$5, COUNTIF($M293:AA293,"u")=0), "u", "")</f>
        <v/>
      </c>
      <c r="AC293" s="80" t="str">
        <f>IF(AND($F293&lt;&gt;"", $F293&gt;=AC$5-4, $F293&lt;=AC$5, COUNTIF($M293:AB293,"u")=0), "u", "")</f>
        <v/>
      </c>
      <c r="AD293" s="80" t="str">
        <f>IF(AND($F293&lt;&gt;"", $F293&gt;=AD$5-4, $F293&lt;=AD$5, COUNTIF($M293:AC293,"u")=0), "u", "")</f>
        <v/>
      </c>
      <c r="AE293" s="80" t="str">
        <f>IF(AND($F293&lt;&gt;"", $F293&gt;=AE$5-4, $F293&lt;=AE$5, COUNTIF($M293:AD293,"u")=0), "u", "")</f>
        <v/>
      </c>
      <c r="AF293" s="80" t="str">
        <f>IF(AND($F293&lt;&gt;"", $F293&gt;=AF$5-4, $F293&lt;=AF$5, COUNTIF($M293:AE293,"u")=0), "u", "")</f>
        <v/>
      </c>
      <c r="AG293" s="80" t="str">
        <f>IF(AND($F293&lt;&gt;"", $F293&gt;=AG$5-4, $F293&lt;=AG$5, COUNTIF($M293:AF293,"u")=0), "u", "")</f>
        <v/>
      </c>
      <c r="AH293" s="80" t="str">
        <f>IF(AND($F293&lt;&gt;"", $F293&gt;=AH$5-4, $F293&lt;=AH$5, COUNTIF($M293:AG293,"u")=0), "u", "")</f>
        <v/>
      </c>
      <c r="AI293" s="80" t="str">
        <f>IF(AND($F293&lt;&gt;"", $F293&gt;=AI$5-4, $F293&lt;=AI$5, COUNTIF($M293:AH293,"u")=0), "u", "")</f>
        <v/>
      </c>
      <c r="AJ293" s="80" t="str">
        <f>IF(AND($F293&lt;&gt;"", $F293&gt;=AJ$5-4, $F293&lt;=AJ$5, COUNTIF($M293:AI293,"u")=0), "u", "")</f>
        <v/>
      </c>
      <c r="AK293" s="80" t="str">
        <f>IF(AND($F293&lt;&gt;"", $F293&gt;=AK$5-4, $F293&lt;=AK$5, COUNTIF($M293:AJ293,"u")=0), "u", "")</f>
        <v/>
      </c>
      <c r="AL293" s="80" t="str">
        <f>IF(AND($F293&lt;&gt;"", $F293&gt;=AL$5-4, $F293&lt;=AL$5, COUNTIF($M293:AK293,"u")=0), "u", "")</f>
        <v/>
      </c>
      <c r="AM293" s="80" t="str">
        <f>IF(AND($F293&lt;&gt;"", $F293&gt;=AM$5-4, $F293&lt;=AM$5, COUNTIF($M293:AL293,"u")=0), "u", "")</f>
        <v/>
      </c>
      <c r="AN293" s="80" t="str">
        <f>IF(AND($F293&lt;&gt;"", $F293&gt;=AN$5-4, $F293&lt;=AN$5, COUNTIF($M293:AM293,"u")=0), "u", "")</f>
        <v/>
      </c>
      <c r="AO293" s="80" t="str">
        <f>IF(AND($F293&lt;&gt;"", $F293&gt;=AO$5-4, $F293&lt;=AO$5, COUNTIF($M293:AN293,"u")=0), "u", "")</f>
        <v/>
      </c>
      <c r="AP293" s="80" t="str">
        <f>IF(AND($F293&lt;&gt;"", $F293&gt;=AP$5-4, $F293&lt;=AP$5, COUNTIF($M293:AO293,"u")=0), "u", "")</f>
        <v/>
      </c>
      <c r="AQ293" s="80" t="str">
        <f>IF(AND($F293&lt;&gt;"", $F293&gt;=AQ$5-4, $F293&lt;=AQ$5, COUNTIF($M293:AP293,"u")=0), "u", "")</f>
        <v/>
      </c>
      <c r="AR293" s="80" t="str">
        <f>IF(AND($F293&lt;&gt;"", $F293&gt;=AR$5-4, $F293&lt;=AR$5, COUNTIF($M293:AQ293,"u")=0), "u", "")</f>
        <v/>
      </c>
      <c r="AS293" s="80" t="str">
        <f>IF(AND($F293&lt;&gt;"", $F293&gt;=AS$5-4, $F293&lt;=AS$5, COUNTIF($M293:AR293,"u")=0), "u", "")</f>
        <v/>
      </c>
      <c r="AT293" s="80" t="str">
        <f>IF(AND($F293&lt;&gt;"", $F293&gt;=AT$5-4, $F293&lt;=AT$5, COUNTIF($M293:AS293,"u")=0), "u", "")</f>
        <v/>
      </c>
      <c r="AU293" s="80" t="str">
        <f>IF(AND($F293&lt;&gt;"", $F293&gt;=AU$5-4, $F293&lt;=AU$5, COUNTIF($M293:AT293,"u")=0), "u", "")</f>
        <v/>
      </c>
      <c r="AV293" s="80" t="str">
        <f>IF(AND($F293&lt;&gt;"", $F293&gt;=AV$5-4, $F293&lt;=AV$5, COUNTIF($M293:AU293,"u")=0), "u", "")</f>
        <v/>
      </c>
      <c r="AW293" s="80" t="str">
        <f>IF(AND($F293&lt;&gt;"", $F293&gt;=AW$5-4, $F293&lt;=AW$5, COUNTIF($M293:AV293,"u")=0), "u", "")</f>
        <v/>
      </c>
      <c r="AX293" s="80" t="str">
        <f>IF(AND($F293&lt;&gt;"", $F293&gt;=AX$5-4, $F293&lt;=AX$5, COUNTIF($M293:AW293,"u")=0), "u", "")</f>
        <v/>
      </c>
      <c r="AY293" s="80" t="str">
        <f>IF(AND($F293&lt;&gt;"", $F293&gt;=AY$5-4, $F293&lt;=AY$5, COUNTIF($M293:AX293,"u")=0), "u", "")</f>
        <v/>
      </c>
      <c r="AZ293" s="80" t="str">
        <f>IF(AND($F293&lt;&gt;"", $F293&gt;=AZ$5-4, $F293&lt;=AZ$5, COUNTIF($M293:AY293,"u")=0), "u", "")</f>
        <v/>
      </c>
      <c r="BA293" s="80" t="str">
        <f>IF(AND($F293&lt;&gt;"", $F293&gt;=BA$5-4, $F293&lt;=BA$5, COUNTIF($M293:AZ293,"u")=0), "u", "")</f>
        <v/>
      </c>
      <c r="BB293" s="80" t="str">
        <f>IF(AND($F293&lt;&gt;"", $F293&gt;=BB$5-4, $F293&lt;=BB$5, COUNTIF($M293:BA293,"u")=0), "u", "")</f>
        <v/>
      </c>
      <c r="BC293" s="80" t="str">
        <f>IF(AND($F293&lt;&gt;"", $F293&gt;=BC$5-4, $F293&lt;=BC$5, COUNTIF($M293:BB293,"u")=0), "u", "")</f>
        <v/>
      </c>
      <c r="BD293" s="80" t="str">
        <f>IF(AND($F293&lt;&gt;"", $F293&gt;=BD$5-4, $F293&lt;=BD$5, COUNTIF($M293:BC293,"u")=0), "u", "")</f>
        <v/>
      </c>
      <c r="BE293" s="80" t="str">
        <f>IF(AND($F293&lt;&gt;"", $F293&gt;=BE$5-4, $F293&lt;=BE$5, COUNTIF($M293:BD293,"u")=0), "u", "")</f>
        <v/>
      </c>
      <c r="BF293" s="80" t="str">
        <f>IF(AND($F293&lt;&gt;"", $F293&gt;=BF$5-4, $F293&lt;=BF$5, COUNTIF($M293:BE293,"u")=0), "u", "")</f>
        <v/>
      </c>
      <c r="BG293" s="80" t="str">
        <f>IF(AND($F293&lt;&gt;"", $F293&gt;=BG$5-4, $F293&lt;=BG$5, COUNTIF($M293:BF293,"u")=0), "u", "")</f>
        <v/>
      </c>
      <c r="BH293" s="80" t="str">
        <f>IF(AND($F293&lt;&gt;"", $F293&gt;=BH$5-4, $F293&lt;=BH$5, COUNTIF($M293:BG293,"u")=0), "u", "")</f>
        <v/>
      </c>
      <c r="BI293" s="80" t="str">
        <f>IF(AND($F293&lt;&gt;"", $F293&gt;=BI$5-4, $F293&lt;=BI$5, COUNTIF($M293:BH293,"u")=0), "u", "")</f>
        <v/>
      </c>
      <c r="BJ293" s="80" t="str">
        <f>IF(AND($F293&lt;&gt;"", $F293&gt;=BJ$5-4, $F293&lt;=BJ$5, COUNTIF($M293:BI293,"u")=0), "u", "")</f>
        <v/>
      </c>
      <c r="BK293" s="80" t="str">
        <f>IF(AND($F293&lt;&gt;"", $F293&gt;=BK$5-4, $F293&lt;=BK$5, COUNTIF($M293:BJ293,"u")=0), "u", "")</f>
        <v/>
      </c>
      <c r="BL293" s="80" t="str">
        <f>IF(AND($F293&lt;&gt;"", $F293&gt;=BL$5-4, $F293&lt;=BL$5, COUNTIF($M293:BK293,"u")=0), "u", "")</f>
        <v/>
      </c>
      <c r="BM293" s="80" t="str">
        <f>IF(AND($F293&lt;&gt;"", $F293&gt;=BM$5-4, $F293&lt;=BM$5, COUNTIF($M293:BL293,"u")=0), "u", "")</f>
        <v/>
      </c>
      <c r="BN293" s="80" t="str">
        <f>IF(AND($F293&lt;&gt;"", $F293&gt;=BN$5-4, $F293&lt;=BN$5, COUNTIF($M293:BM293,"u")=0), "u", "")</f>
        <v/>
      </c>
      <c r="BO293" s="80" t="str">
        <f>IF(AND($F293&lt;&gt;"", $F293&gt;=BO$5-4, $F293&lt;=BO$5, COUNTIF($M293:BN293,"u")=0), "u", "")</f>
        <v/>
      </c>
      <c r="BP293" s="80" t="str">
        <f>IF(AND($F293&lt;&gt;"", $F293&gt;=BP$5-4, $F293&lt;=BP$5, COUNTIF($M293:BO293,"u")=0), "u", "")</f>
        <v/>
      </c>
      <c r="BQ293" s="80" t="str">
        <f>IF(AND($F293&lt;&gt;"", $F293&gt;=BQ$5-4, $F293&lt;=BQ$5, COUNTIF($M293:BP293,"u")=0), "u", "")</f>
        <v/>
      </c>
      <c r="BR293" s="80" t="str">
        <f>IF(AND($F293&lt;&gt;"", $F293&gt;=BR$5-4, $F293&lt;=BR$5, COUNTIF($M293:BQ293,"u")=0), "u", "")</f>
        <v/>
      </c>
      <c r="BS293" s="80" t="str">
        <f>IF(AND($F293&lt;&gt;"", $F293&gt;=BS$5-4, $F293&lt;=BS$5, COUNTIF($M293:BR293,"u")=0), "u", "")</f>
        <v/>
      </c>
      <c r="BT293" s="80" t="str">
        <f>IF(AND($F293&lt;&gt;"", $F293&gt;=BT$5-4, $F293&lt;=BT$5, COUNTIF($M293:BS293,"u")=0), "u", "")</f>
        <v/>
      </c>
      <c r="BU293" s="80" t="str">
        <f>IF(AND($F293&lt;&gt;"", $F293&gt;=BU$5-4, $F293&lt;=BU$5, COUNTIF($M293:BT293,"u")=0), "u", "")</f>
        <v/>
      </c>
      <c r="BV293" s="80" t="str">
        <f>IF(AND($F293&lt;&gt;"", $F293&gt;=BV$5-4, $F293&lt;=BV$5, COUNTIF($M293:BU293,"u")=0), "u", "")</f>
        <v/>
      </c>
      <c r="BW293" s="80" t="str">
        <f>IF(AND($F293&lt;&gt;"", $F293&gt;=BW$5-4, $F293&lt;=BW$5, COUNTIF($M293:BV293,"u")=0), "u", "")</f>
        <v/>
      </c>
      <c r="BX293" s="80" t="str">
        <f>IF(AND($F293&lt;&gt;"", $F293&gt;=BX$5-4, $F293&lt;=BX$5, COUNTIF($M293:BW293,"u")=0), "u", "")</f>
        <v/>
      </c>
      <c r="BY293" s="80" t="str">
        <f>IF(AND($F293&lt;&gt;"", $F293&gt;=BY$5-4, $F293&lt;=BY$5, COUNTIF($M293:BX293,"u")=0), "u", "")</f>
        <v/>
      </c>
      <c r="BZ293" s="80" t="str">
        <f>IF(AND($F293&lt;&gt;"", $F293&gt;=BZ$5-4, $F293&lt;=BZ$5, COUNTIF($M293:BY293,"u")=0), "u", "")</f>
        <v/>
      </c>
      <c r="CA293" s="80" t="str">
        <f>IF(AND($F293&lt;&gt;"", $F293&gt;=CA$5-4, $F293&lt;=CA$5, COUNTIF($M293:BZ293,"u")=0), "u", "")</f>
        <v/>
      </c>
      <c r="CB293" s="80" t="str">
        <f>IF(AND($F293&lt;&gt;"", $F293&gt;=CB$5-4, $F293&lt;=CB$5, COUNTIF($M293:CA293,"u")=0), "u", "")</f>
        <v/>
      </c>
      <c r="CC293" s="80" t="str">
        <f>IF(AND($F293&lt;&gt;"", $F293&gt;=CC$5-4, $F293&lt;=CC$5, COUNTIF($M293:CB293,"u")=0), "u", "")</f>
        <v/>
      </c>
      <c r="CD293" s="80" t="str">
        <f>IF(AND($F293&lt;&gt;"", $F293&gt;=CD$5-4, $F293&lt;=CD$5, COUNTIF($M293:CC293,"u")=0), "u", "")</f>
        <v/>
      </c>
      <c r="CE293" s="80" t="str">
        <f>IF(AND($F293&lt;&gt;"", $F293&gt;=CE$5-4, $F293&lt;=CE$5, COUNTIF($M293:CD293,"u")=0), "u", "")</f>
        <v/>
      </c>
      <c r="CF293" s="80" t="str">
        <f>IF(AND($F293&lt;&gt;"", $F293&gt;=CF$5-4, $F293&lt;=CF$5, COUNTIF($M293:CE293,"u")=0), "u", "")</f>
        <v/>
      </c>
      <c r="CG293" s="80" t="str">
        <f>IF(AND($F293&lt;&gt;"", $F293&gt;=CG$5-4, $F293&lt;=CG$5, COUNTIF($M293:CF293,"u")=0), "u", "")</f>
        <v/>
      </c>
      <c r="CH293" s="80" t="str">
        <f>IF(AND($F293&lt;&gt;"", $F293&gt;=CH$5-4, $F293&lt;=CH$5, COUNTIF($M293:CG293,"u")=0), "u", "")</f>
        <v/>
      </c>
      <c r="CI293" s="80" t="str">
        <f>IF(AND($F293&lt;&gt;"", $F293&gt;=CI$5-4, $F293&lt;=CI$5, COUNTIF($M293:CH293,"u")=0), "u", "")</f>
        <v/>
      </c>
      <c r="CJ293" s="80" t="str">
        <f>IF(AND($F293&lt;&gt;"", $F293&gt;=CJ$5-4, $F293&lt;=CJ$5, COUNTIF($M293:CI293,"u")=0), "u", "")</f>
        <v/>
      </c>
      <c r="CK293" s="80" t="str">
        <f>IF(AND($F293&lt;&gt;"", $F293&gt;=CK$5-4, $F293&lt;=CK$5, COUNTIF($M293:CJ293,"u")=0), "u", "")</f>
        <v/>
      </c>
      <c r="CL293" s="80" t="str">
        <f>IF(AND($F293&lt;&gt;"", $F293&gt;=CL$5-4, $F293&lt;=CL$5, COUNTIF($M293:CK293,"u")=0), "u", "")</f>
        <v/>
      </c>
      <c r="CM293" s="80" t="str">
        <f>IF(AND($F293&lt;&gt;"", $F293&gt;=CM$5-4, $F293&lt;=CM$5, COUNTIF($M293:CL293,"u")=0), "u", "")</f>
        <v/>
      </c>
      <c r="CN293" s="80" t="str">
        <f>IF(AND($F293&lt;&gt;"", $F293&gt;=CN$5-4, $F293&lt;=CN$5, COUNTIF($M293:CM293,"u")=0), "u", "")</f>
        <v/>
      </c>
      <c r="CO293" s="80" t="str">
        <f>IF(AND($F293&lt;&gt;"", $F293&gt;=CO$5-4, $F293&lt;=CO$5, COUNTIF($M293:CN293,"u")=0), "u", "")</f>
        <v/>
      </c>
      <c r="CP293" s="80" t="str">
        <f>IF(AND($F293&lt;&gt;"", $F293&gt;=CP$5-4, $F293&lt;=CP$5, COUNTIF($M293:CO293,"u")=0), "u", "")</f>
        <v/>
      </c>
      <c r="CQ293" s="80" t="str">
        <f>IF(AND($F293&lt;&gt;"", $F293&gt;=CQ$5-4, $F293&lt;=CQ$5, COUNTIF($M293:CP293,"u")=0), "u", "")</f>
        <v/>
      </c>
      <c r="CR293" s="80" t="str">
        <f>IF(AND($F293&lt;&gt;"", $F293&gt;=CR$5-4, $F293&lt;=CR$5, COUNTIF($M293:CQ293,"u")=0), "u", "")</f>
        <v/>
      </c>
      <c r="CS293" s="80" t="str">
        <f>IF(AND($F293&lt;&gt;"", $F293&gt;=CS$5-4, $F293&lt;=CS$5, COUNTIF($M293:CR293,"u")=0), "u", "")</f>
        <v/>
      </c>
      <c r="CT293" s="80" t="str">
        <f>IF(AND($F293&lt;&gt;"", $F293&gt;=CT$5-4, $F293&lt;=CT$5, COUNTIF($M293:CS293,"u")=0), "u", "")</f>
        <v/>
      </c>
      <c r="CU293" s="80" t="str">
        <f>IF(AND($F293&lt;&gt;"", $F293&gt;=CU$5-4, $F293&lt;=CU$5, COUNTIF($M293:CT293,"u")=0), "u", "")</f>
        <v/>
      </c>
      <c r="CV293" s="80" t="str">
        <f>IF(AND($F293&lt;&gt;"", $F293&gt;=CV$5-4, $F293&lt;=CV$5, COUNTIF($M293:CU293,"u")=0), "u", "")</f>
        <v/>
      </c>
      <c r="CW293" s="80" t="str">
        <f>IF(AND($F293&lt;&gt;"", $F293&gt;=CW$5-4, $F293&lt;=CW$5, COUNTIF($M293:CV293,"u")=0), "u", "")</f>
        <v/>
      </c>
      <c r="CX293" s="80" t="str">
        <f>IF(AND($F293&lt;&gt;"", $F293&gt;=CX$5-4, $F293&lt;=CX$5, COUNTIF($M293:CW293,"u")=0), "u", "")</f>
        <v/>
      </c>
      <c r="CY293" s="80" t="str">
        <f>IF(AND($F293&lt;&gt;"", $F293&gt;=CY$5-4, $F293&lt;=CY$5, COUNTIF($M293:CX293,"u")=0), "u", "")</f>
        <v/>
      </c>
      <c r="CZ293" s="80" t="str">
        <f>IF(AND($F293&lt;&gt;"", $F293&gt;=CZ$5-4, $F293&lt;=CZ$5, COUNTIF($M293:CY293,"u")=0), "u", "")</f>
        <v/>
      </c>
      <c r="DA293" s="80" t="str">
        <f>IF(AND($F293&lt;&gt;"", $F293&gt;=DA$5-4, $F293&lt;=DA$5, COUNTIF($M293:CZ293,"u")=0), "u", "")</f>
        <v/>
      </c>
      <c r="DB293" s="80" t="str">
        <f>IF(AND($F293&lt;&gt;"", $F293&gt;=DB$5-4, $F293&lt;=DB$5, COUNTIF($M293:DA293,"u")=0), "u", "")</f>
        <v/>
      </c>
      <c r="DC293" s="80" t="str">
        <f>IF(AND($F293&lt;&gt;"", $F293&gt;=DC$5-4, $F293&lt;=DC$5, COUNTIF($M293:DB293,"u")=0), "u", "")</f>
        <v/>
      </c>
      <c r="DD293" s="80" t="str">
        <f>IF(AND($F293&lt;&gt;"", $F293&gt;=DD$5-4, $F293&lt;=DD$5, COUNTIF($M293:DC293,"u")=0), "u", "")</f>
        <v/>
      </c>
      <c r="DE293" s="80" t="str">
        <f>IF(AND($F293&lt;&gt;"", $F293&gt;=DE$5-4, $F293&lt;=DE$5, COUNTIF($M293:DD293,"u")=0), "u", "")</f>
        <v/>
      </c>
      <c r="DF293" s="80" t="str">
        <f>IF(AND($F293&lt;&gt;"", $F293&gt;=DF$5-4, $F293&lt;=DF$5, COUNTIF($M293:DE293,"u")=0), "u", "")</f>
        <v/>
      </c>
      <c r="DG293" s="80" t="str">
        <f>IF(AND($F293&lt;&gt;"", $F293&gt;=DG$5-4, $F293&lt;=DG$5, COUNTIF($M293:DF293,"u")=0), "u", "")</f>
        <v/>
      </c>
      <c r="DH293" s="80" t="str">
        <f>IF(AND($F293&lt;&gt;"", $F293&gt;=DH$5-4, $F293&lt;=DH$5, COUNTIF($M293:DG293,"u")=0), "u", "")</f>
        <v/>
      </c>
      <c r="DI293" s="80" t="str">
        <f>IF(AND($F293&lt;&gt;"", $F293&gt;=DI$5-4, $F293&lt;=DI$5, COUNTIF($M293:DH293,"u")=0), "u", "")</f>
        <v/>
      </c>
      <c r="DJ293" s="80" t="str">
        <f>IF(AND($F293&lt;&gt;"", $F293&gt;=DJ$5-4, $F293&lt;=DJ$5, COUNTIF($M293:DI293,"u")=0), "u", "")</f>
        <v/>
      </c>
      <c r="DK293" s="80" t="str">
        <f>IF(AND($F293&lt;&gt;"", $F293&gt;=DK$5-4, $F293&lt;=DK$5, COUNTIF($M293:DJ293,"u")=0), "u", "")</f>
        <v/>
      </c>
      <c r="DL293" s="80" t="str">
        <f>IF(AND($F293&lt;&gt;"", $F293&gt;=DL$5-4, $F293&lt;=DL$5, COUNTIF($M293:DK293,"u")=0), "u", "")</f>
        <v/>
      </c>
    </row>
    <row r="294" spans="1:116" ht="25.05" customHeight="1" x14ac:dyDescent="0.3">
      <c r="A294" s="39"/>
      <c r="B294" s="75">
        <v>289</v>
      </c>
      <c r="C294" s="97"/>
      <c r="D294" s="92"/>
      <c r="E294" s="53"/>
      <c r="F294" s="53"/>
      <c r="G294" s="83" t="str">
        <f t="shared" si="59"/>
        <v/>
      </c>
      <c r="H294" s="83" t="str">
        <f t="shared" si="59"/>
        <v/>
      </c>
      <c r="I294" s="77" t="str">
        <f t="shared" si="57"/>
        <v/>
      </c>
      <c r="J294" s="78"/>
      <c r="K294" s="86"/>
      <c r="L294" s="56"/>
      <c r="M294" s="80" t="str">
        <f t="shared" si="58"/>
        <v/>
      </c>
      <c r="N294" s="80" t="str">
        <f>IF(AND($F294&lt;&gt;"", $F294&gt;=N$5-4, $F294&lt;=N$5, COUNTIF($M294:M294,"u")=0), "u", "")</f>
        <v/>
      </c>
      <c r="O294" s="80" t="str">
        <f>IF(AND($F294&lt;&gt;"", $F294&gt;=O$5-4, $F294&lt;=O$5, COUNTIF($M294:N294,"u")=0), "u", "")</f>
        <v/>
      </c>
      <c r="P294" s="80" t="str">
        <f>IF(AND($F294&lt;&gt;"", $F294&gt;=P$5-4, $F294&lt;=P$5, COUNTIF($M294:O294,"u")=0), "u", "")</f>
        <v/>
      </c>
      <c r="Q294" s="80" t="str">
        <f>IF(AND($F294&lt;&gt;"", $F294&gt;=Q$5-4, $F294&lt;=Q$5, COUNTIF($M294:P294,"u")=0), "u", "")</f>
        <v/>
      </c>
      <c r="R294" s="80" t="str">
        <f>IF(AND($F294&lt;&gt;"", $F294&gt;=R$5-4, $F294&lt;=R$5, COUNTIF($M294:Q294,"u")=0), "u", "")</f>
        <v/>
      </c>
      <c r="S294" s="80" t="str">
        <f>IF(AND($F294&lt;&gt;"", $F294&gt;=S$5-4, $F294&lt;=S$5, COUNTIF($M294:R294,"u")=0), "u", "")</f>
        <v/>
      </c>
      <c r="T294" s="80" t="str">
        <f>IF(AND($F294&lt;&gt;"", $F294&gt;=T$5-4, $F294&lt;=T$5, COUNTIF($M294:S294,"u")=0), "u", "")</f>
        <v/>
      </c>
      <c r="U294" s="80" t="str">
        <f>IF(AND($F294&lt;&gt;"", $F294&gt;=U$5-4, $F294&lt;=U$5, COUNTIF($M294:T294,"u")=0), "u", "")</f>
        <v/>
      </c>
      <c r="V294" s="80" t="str">
        <f>IF(AND($F294&lt;&gt;"", $F294&gt;=V$5-4, $F294&lt;=V$5, COUNTIF($M294:U294,"u")=0), "u", "")</f>
        <v/>
      </c>
      <c r="W294" s="80" t="str">
        <f>IF(AND($F294&lt;&gt;"", $F294&gt;=W$5-4, $F294&lt;=W$5, COUNTIF($M294:V294,"u")=0), "u", "")</f>
        <v/>
      </c>
      <c r="X294" s="80" t="str">
        <f>IF(AND($F294&lt;&gt;"", $F294&gt;=X$5-4, $F294&lt;=X$5, COUNTIF($M294:W294,"u")=0), "u", "")</f>
        <v/>
      </c>
      <c r="Y294" s="80" t="str">
        <f>IF(AND($F294&lt;&gt;"", $F294&gt;=Y$5-4, $F294&lt;=Y$5, COUNTIF($M294:X294,"u")=0), "u", "")</f>
        <v/>
      </c>
      <c r="Z294" s="80" t="str">
        <f>IF(AND($F294&lt;&gt;"", $F294&gt;=Z$5-4, $F294&lt;=Z$5, COUNTIF($M294:Y294,"u")=0), "u", "")</f>
        <v/>
      </c>
      <c r="AA294" s="80" t="str">
        <f>IF(AND($F294&lt;&gt;"", $F294&gt;=AA$5-4, $F294&lt;=AA$5, COUNTIF($M294:Z294,"u")=0), "u", "")</f>
        <v/>
      </c>
      <c r="AB294" s="80" t="str">
        <f>IF(AND($F294&lt;&gt;"", $F294&gt;=AB$5-4, $F294&lt;=AB$5, COUNTIF($M294:AA294,"u")=0), "u", "")</f>
        <v/>
      </c>
      <c r="AC294" s="80" t="str">
        <f>IF(AND($F294&lt;&gt;"", $F294&gt;=AC$5-4, $F294&lt;=AC$5, COUNTIF($M294:AB294,"u")=0), "u", "")</f>
        <v/>
      </c>
      <c r="AD294" s="80" t="str">
        <f>IF(AND($F294&lt;&gt;"", $F294&gt;=AD$5-4, $F294&lt;=AD$5, COUNTIF($M294:AC294,"u")=0), "u", "")</f>
        <v/>
      </c>
      <c r="AE294" s="80" t="str">
        <f>IF(AND($F294&lt;&gt;"", $F294&gt;=AE$5-4, $F294&lt;=AE$5, COUNTIF($M294:AD294,"u")=0), "u", "")</f>
        <v/>
      </c>
      <c r="AF294" s="80" t="str">
        <f>IF(AND($F294&lt;&gt;"", $F294&gt;=AF$5-4, $F294&lt;=AF$5, COUNTIF($M294:AE294,"u")=0), "u", "")</f>
        <v/>
      </c>
      <c r="AG294" s="80" t="str">
        <f>IF(AND($F294&lt;&gt;"", $F294&gt;=AG$5-4, $F294&lt;=AG$5, COUNTIF($M294:AF294,"u")=0), "u", "")</f>
        <v/>
      </c>
      <c r="AH294" s="80" t="str">
        <f>IF(AND($F294&lt;&gt;"", $F294&gt;=AH$5-4, $F294&lt;=AH$5, COUNTIF($M294:AG294,"u")=0), "u", "")</f>
        <v/>
      </c>
      <c r="AI294" s="80" t="str">
        <f>IF(AND($F294&lt;&gt;"", $F294&gt;=AI$5-4, $F294&lt;=AI$5, COUNTIF($M294:AH294,"u")=0), "u", "")</f>
        <v/>
      </c>
      <c r="AJ294" s="80" t="str">
        <f>IF(AND($F294&lt;&gt;"", $F294&gt;=AJ$5-4, $F294&lt;=AJ$5, COUNTIF($M294:AI294,"u")=0), "u", "")</f>
        <v/>
      </c>
      <c r="AK294" s="80" t="str">
        <f>IF(AND($F294&lt;&gt;"", $F294&gt;=AK$5-4, $F294&lt;=AK$5, COUNTIF($M294:AJ294,"u")=0), "u", "")</f>
        <v/>
      </c>
      <c r="AL294" s="80" t="str">
        <f>IF(AND($F294&lt;&gt;"", $F294&gt;=AL$5-4, $F294&lt;=AL$5, COUNTIF($M294:AK294,"u")=0), "u", "")</f>
        <v/>
      </c>
      <c r="AM294" s="80" t="str">
        <f>IF(AND($F294&lt;&gt;"", $F294&gt;=AM$5-4, $F294&lt;=AM$5, COUNTIF($M294:AL294,"u")=0), "u", "")</f>
        <v/>
      </c>
      <c r="AN294" s="80" t="str">
        <f>IF(AND($F294&lt;&gt;"", $F294&gt;=AN$5-4, $F294&lt;=AN$5, COUNTIF($M294:AM294,"u")=0), "u", "")</f>
        <v/>
      </c>
      <c r="AO294" s="80" t="str">
        <f>IF(AND($F294&lt;&gt;"", $F294&gt;=AO$5-4, $F294&lt;=AO$5, COUNTIF($M294:AN294,"u")=0), "u", "")</f>
        <v/>
      </c>
      <c r="AP294" s="80" t="str">
        <f>IF(AND($F294&lt;&gt;"", $F294&gt;=AP$5-4, $F294&lt;=AP$5, COUNTIF($M294:AO294,"u")=0), "u", "")</f>
        <v/>
      </c>
      <c r="AQ294" s="80" t="str">
        <f>IF(AND($F294&lt;&gt;"", $F294&gt;=AQ$5-4, $F294&lt;=AQ$5, COUNTIF($M294:AP294,"u")=0), "u", "")</f>
        <v/>
      </c>
      <c r="AR294" s="80" t="str">
        <f>IF(AND($F294&lt;&gt;"", $F294&gt;=AR$5-4, $F294&lt;=AR$5, COUNTIF($M294:AQ294,"u")=0), "u", "")</f>
        <v/>
      </c>
      <c r="AS294" s="80" t="str">
        <f>IF(AND($F294&lt;&gt;"", $F294&gt;=AS$5-4, $F294&lt;=AS$5, COUNTIF($M294:AR294,"u")=0), "u", "")</f>
        <v/>
      </c>
      <c r="AT294" s="80" t="str">
        <f>IF(AND($F294&lt;&gt;"", $F294&gt;=AT$5-4, $F294&lt;=AT$5, COUNTIF($M294:AS294,"u")=0), "u", "")</f>
        <v/>
      </c>
      <c r="AU294" s="80" t="str">
        <f>IF(AND($F294&lt;&gt;"", $F294&gt;=AU$5-4, $F294&lt;=AU$5, COUNTIF($M294:AT294,"u")=0), "u", "")</f>
        <v/>
      </c>
      <c r="AV294" s="80" t="str">
        <f>IF(AND($F294&lt;&gt;"", $F294&gt;=AV$5-4, $F294&lt;=AV$5, COUNTIF($M294:AU294,"u")=0), "u", "")</f>
        <v/>
      </c>
      <c r="AW294" s="80" t="str">
        <f>IF(AND($F294&lt;&gt;"", $F294&gt;=AW$5-4, $F294&lt;=AW$5, COUNTIF($M294:AV294,"u")=0), "u", "")</f>
        <v/>
      </c>
      <c r="AX294" s="80" t="str">
        <f>IF(AND($F294&lt;&gt;"", $F294&gt;=AX$5-4, $F294&lt;=AX$5, COUNTIF($M294:AW294,"u")=0), "u", "")</f>
        <v/>
      </c>
      <c r="AY294" s="80" t="str">
        <f>IF(AND($F294&lt;&gt;"", $F294&gt;=AY$5-4, $F294&lt;=AY$5, COUNTIF($M294:AX294,"u")=0), "u", "")</f>
        <v/>
      </c>
      <c r="AZ294" s="80" t="str">
        <f>IF(AND($F294&lt;&gt;"", $F294&gt;=AZ$5-4, $F294&lt;=AZ$5, COUNTIF($M294:AY294,"u")=0), "u", "")</f>
        <v/>
      </c>
      <c r="BA294" s="80" t="str">
        <f>IF(AND($F294&lt;&gt;"", $F294&gt;=BA$5-4, $F294&lt;=BA$5, COUNTIF($M294:AZ294,"u")=0), "u", "")</f>
        <v/>
      </c>
      <c r="BB294" s="80" t="str">
        <f>IF(AND($F294&lt;&gt;"", $F294&gt;=BB$5-4, $F294&lt;=BB$5, COUNTIF($M294:BA294,"u")=0), "u", "")</f>
        <v/>
      </c>
      <c r="BC294" s="80" t="str">
        <f>IF(AND($F294&lt;&gt;"", $F294&gt;=BC$5-4, $F294&lt;=BC$5, COUNTIF($M294:BB294,"u")=0), "u", "")</f>
        <v/>
      </c>
      <c r="BD294" s="80" t="str">
        <f>IF(AND($F294&lt;&gt;"", $F294&gt;=BD$5-4, $F294&lt;=BD$5, COUNTIF($M294:BC294,"u")=0), "u", "")</f>
        <v/>
      </c>
      <c r="BE294" s="80" t="str">
        <f>IF(AND($F294&lt;&gt;"", $F294&gt;=BE$5-4, $F294&lt;=BE$5, COUNTIF($M294:BD294,"u")=0), "u", "")</f>
        <v/>
      </c>
      <c r="BF294" s="80" t="str">
        <f>IF(AND($F294&lt;&gt;"", $F294&gt;=BF$5-4, $F294&lt;=BF$5, COUNTIF($M294:BE294,"u")=0), "u", "")</f>
        <v/>
      </c>
      <c r="BG294" s="80" t="str">
        <f>IF(AND($F294&lt;&gt;"", $F294&gt;=BG$5-4, $F294&lt;=BG$5, COUNTIF($M294:BF294,"u")=0), "u", "")</f>
        <v/>
      </c>
      <c r="BH294" s="80" t="str">
        <f>IF(AND($F294&lt;&gt;"", $F294&gt;=BH$5-4, $F294&lt;=BH$5, COUNTIF($M294:BG294,"u")=0), "u", "")</f>
        <v/>
      </c>
      <c r="BI294" s="80" t="str">
        <f>IF(AND($F294&lt;&gt;"", $F294&gt;=BI$5-4, $F294&lt;=BI$5, COUNTIF($M294:BH294,"u")=0), "u", "")</f>
        <v/>
      </c>
      <c r="BJ294" s="80" t="str">
        <f>IF(AND($F294&lt;&gt;"", $F294&gt;=BJ$5-4, $F294&lt;=BJ$5, COUNTIF($M294:BI294,"u")=0), "u", "")</f>
        <v/>
      </c>
      <c r="BK294" s="80" t="str">
        <f>IF(AND($F294&lt;&gt;"", $F294&gt;=BK$5-4, $F294&lt;=BK$5, COUNTIF($M294:BJ294,"u")=0), "u", "")</f>
        <v/>
      </c>
      <c r="BL294" s="80" t="str">
        <f>IF(AND($F294&lt;&gt;"", $F294&gt;=BL$5-4, $F294&lt;=BL$5, COUNTIF($M294:BK294,"u")=0), "u", "")</f>
        <v/>
      </c>
      <c r="BM294" s="80" t="str">
        <f>IF(AND($F294&lt;&gt;"", $F294&gt;=BM$5-4, $F294&lt;=BM$5, COUNTIF($M294:BL294,"u")=0), "u", "")</f>
        <v/>
      </c>
      <c r="BN294" s="80" t="str">
        <f>IF(AND($F294&lt;&gt;"", $F294&gt;=BN$5-4, $F294&lt;=BN$5, COUNTIF($M294:BM294,"u")=0), "u", "")</f>
        <v/>
      </c>
      <c r="BO294" s="80" t="str">
        <f>IF(AND($F294&lt;&gt;"", $F294&gt;=BO$5-4, $F294&lt;=BO$5, COUNTIF($M294:BN294,"u")=0), "u", "")</f>
        <v/>
      </c>
      <c r="BP294" s="80" t="str">
        <f>IF(AND($F294&lt;&gt;"", $F294&gt;=BP$5-4, $F294&lt;=BP$5, COUNTIF($M294:BO294,"u")=0), "u", "")</f>
        <v/>
      </c>
      <c r="BQ294" s="80" t="str">
        <f>IF(AND($F294&lt;&gt;"", $F294&gt;=BQ$5-4, $F294&lt;=BQ$5, COUNTIF($M294:BP294,"u")=0), "u", "")</f>
        <v/>
      </c>
      <c r="BR294" s="80" t="str">
        <f>IF(AND($F294&lt;&gt;"", $F294&gt;=BR$5-4, $F294&lt;=BR$5, COUNTIF($M294:BQ294,"u")=0), "u", "")</f>
        <v/>
      </c>
      <c r="BS294" s="80" t="str">
        <f>IF(AND($F294&lt;&gt;"", $F294&gt;=BS$5-4, $F294&lt;=BS$5, COUNTIF($M294:BR294,"u")=0), "u", "")</f>
        <v/>
      </c>
      <c r="BT294" s="80" t="str">
        <f>IF(AND($F294&lt;&gt;"", $F294&gt;=BT$5-4, $F294&lt;=BT$5, COUNTIF($M294:BS294,"u")=0), "u", "")</f>
        <v/>
      </c>
      <c r="BU294" s="80" t="str">
        <f>IF(AND($F294&lt;&gt;"", $F294&gt;=BU$5-4, $F294&lt;=BU$5, COUNTIF($M294:BT294,"u")=0), "u", "")</f>
        <v/>
      </c>
      <c r="BV294" s="80" t="str">
        <f>IF(AND($F294&lt;&gt;"", $F294&gt;=BV$5-4, $F294&lt;=BV$5, COUNTIF($M294:BU294,"u")=0), "u", "")</f>
        <v/>
      </c>
      <c r="BW294" s="80" t="str">
        <f>IF(AND($F294&lt;&gt;"", $F294&gt;=BW$5-4, $F294&lt;=BW$5, COUNTIF($M294:BV294,"u")=0), "u", "")</f>
        <v/>
      </c>
      <c r="BX294" s="80" t="str">
        <f>IF(AND($F294&lt;&gt;"", $F294&gt;=BX$5-4, $F294&lt;=BX$5, COUNTIF($M294:BW294,"u")=0), "u", "")</f>
        <v/>
      </c>
      <c r="BY294" s="80" t="str">
        <f>IF(AND($F294&lt;&gt;"", $F294&gt;=BY$5-4, $F294&lt;=BY$5, COUNTIF($M294:BX294,"u")=0), "u", "")</f>
        <v/>
      </c>
      <c r="BZ294" s="80" t="str">
        <f>IF(AND($F294&lt;&gt;"", $F294&gt;=BZ$5-4, $F294&lt;=BZ$5, COUNTIF($M294:BY294,"u")=0), "u", "")</f>
        <v/>
      </c>
      <c r="CA294" s="80" t="str">
        <f>IF(AND($F294&lt;&gt;"", $F294&gt;=CA$5-4, $F294&lt;=CA$5, COUNTIF($M294:BZ294,"u")=0), "u", "")</f>
        <v/>
      </c>
      <c r="CB294" s="80" t="str">
        <f>IF(AND($F294&lt;&gt;"", $F294&gt;=CB$5-4, $F294&lt;=CB$5, COUNTIF($M294:CA294,"u")=0), "u", "")</f>
        <v/>
      </c>
      <c r="CC294" s="80" t="str">
        <f>IF(AND($F294&lt;&gt;"", $F294&gt;=CC$5-4, $F294&lt;=CC$5, COUNTIF($M294:CB294,"u")=0), "u", "")</f>
        <v/>
      </c>
      <c r="CD294" s="80" t="str">
        <f>IF(AND($F294&lt;&gt;"", $F294&gt;=CD$5-4, $F294&lt;=CD$5, COUNTIF($M294:CC294,"u")=0), "u", "")</f>
        <v/>
      </c>
      <c r="CE294" s="80" t="str">
        <f>IF(AND($F294&lt;&gt;"", $F294&gt;=CE$5-4, $F294&lt;=CE$5, COUNTIF($M294:CD294,"u")=0), "u", "")</f>
        <v/>
      </c>
      <c r="CF294" s="80" t="str">
        <f>IF(AND($F294&lt;&gt;"", $F294&gt;=CF$5-4, $F294&lt;=CF$5, COUNTIF($M294:CE294,"u")=0), "u", "")</f>
        <v/>
      </c>
      <c r="CG294" s="80" t="str">
        <f>IF(AND($F294&lt;&gt;"", $F294&gt;=CG$5-4, $F294&lt;=CG$5, COUNTIF($M294:CF294,"u")=0), "u", "")</f>
        <v/>
      </c>
      <c r="CH294" s="80" t="str">
        <f>IF(AND($F294&lt;&gt;"", $F294&gt;=CH$5-4, $F294&lt;=CH$5, COUNTIF($M294:CG294,"u")=0), "u", "")</f>
        <v/>
      </c>
      <c r="CI294" s="80" t="str">
        <f>IF(AND($F294&lt;&gt;"", $F294&gt;=CI$5-4, $F294&lt;=CI$5, COUNTIF($M294:CH294,"u")=0), "u", "")</f>
        <v/>
      </c>
      <c r="CJ294" s="80" t="str">
        <f>IF(AND($F294&lt;&gt;"", $F294&gt;=CJ$5-4, $F294&lt;=CJ$5, COUNTIF($M294:CI294,"u")=0), "u", "")</f>
        <v/>
      </c>
      <c r="CK294" s="80" t="str">
        <f>IF(AND($F294&lt;&gt;"", $F294&gt;=CK$5-4, $F294&lt;=CK$5, COUNTIF($M294:CJ294,"u")=0), "u", "")</f>
        <v/>
      </c>
      <c r="CL294" s="80" t="str">
        <f>IF(AND($F294&lt;&gt;"", $F294&gt;=CL$5-4, $F294&lt;=CL$5, COUNTIF($M294:CK294,"u")=0), "u", "")</f>
        <v/>
      </c>
      <c r="CM294" s="80" t="str">
        <f>IF(AND($F294&lt;&gt;"", $F294&gt;=CM$5-4, $F294&lt;=CM$5, COUNTIF($M294:CL294,"u")=0), "u", "")</f>
        <v/>
      </c>
      <c r="CN294" s="80" t="str">
        <f>IF(AND($F294&lt;&gt;"", $F294&gt;=CN$5-4, $F294&lt;=CN$5, COUNTIF($M294:CM294,"u")=0), "u", "")</f>
        <v/>
      </c>
      <c r="CO294" s="80" t="str">
        <f>IF(AND($F294&lt;&gt;"", $F294&gt;=CO$5-4, $F294&lt;=CO$5, COUNTIF($M294:CN294,"u")=0), "u", "")</f>
        <v/>
      </c>
      <c r="CP294" s="80" t="str">
        <f>IF(AND($F294&lt;&gt;"", $F294&gt;=CP$5-4, $F294&lt;=CP$5, COUNTIF($M294:CO294,"u")=0), "u", "")</f>
        <v/>
      </c>
      <c r="CQ294" s="80" t="str">
        <f>IF(AND($F294&lt;&gt;"", $F294&gt;=CQ$5-4, $F294&lt;=CQ$5, COUNTIF($M294:CP294,"u")=0), "u", "")</f>
        <v/>
      </c>
      <c r="CR294" s="80" t="str">
        <f>IF(AND($F294&lt;&gt;"", $F294&gt;=CR$5-4, $F294&lt;=CR$5, COUNTIF($M294:CQ294,"u")=0), "u", "")</f>
        <v/>
      </c>
      <c r="CS294" s="80" t="str">
        <f>IF(AND($F294&lt;&gt;"", $F294&gt;=CS$5-4, $F294&lt;=CS$5, COUNTIF($M294:CR294,"u")=0), "u", "")</f>
        <v/>
      </c>
      <c r="CT294" s="80" t="str">
        <f>IF(AND($F294&lt;&gt;"", $F294&gt;=CT$5-4, $F294&lt;=CT$5, COUNTIF($M294:CS294,"u")=0), "u", "")</f>
        <v/>
      </c>
      <c r="CU294" s="80" t="str">
        <f>IF(AND($F294&lt;&gt;"", $F294&gt;=CU$5-4, $F294&lt;=CU$5, COUNTIF($M294:CT294,"u")=0), "u", "")</f>
        <v/>
      </c>
      <c r="CV294" s="80" t="str">
        <f>IF(AND($F294&lt;&gt;"", $F294&gt;=CV$5-4, $F294&lt;=CV$5, COUNTIF($M294:CU294,"u")=0), "u", "")</f>
        <v/>
      </c>
      <c r="CW294" s="80" t="str">
        <f>IF(AND($F294&lt;&gt;"", $F294&gt;=CW$5-4, $F294&lt;=CW$5, COUNTIF($M294:CV294,"u")=0), "u", "")</f>
        <v/>
      </c>
      <c r="CX294" s="80" t="str">
        <f>IF(AND($F294&lt;&gt;"", $F294&gt;=CX$5-4, $F294&lt;=CX$5, COUNTIF($M294:CW294,"u")=0), "u", "")</f>
        <v/>
      </c>
      <c r="CY294" s="80" t="str">
        <f>IF(AND($F294&lt;&gt;"", $F294&gt;=CY$5-4, $F294&lt;=CY$5, COUNTIF($M294:CX294,"u")=0), "u", "")</f>
        <v/>
      </c>
      <c r="CZ294" s="80" t="str">
        <f>IF(AND($F294&lt;&gt;"", $F294&gt;=CZ$5-4, $F294&lt;=CZ$5, COUNTIF($M294:CY294,"u")=0), "u", "")</f>
        <v/>
      </c>
      <c r="DA294" s="80" t="str">
        <f>IF(AND($F294&lt;&gt;"", $F294&gt;=DA$5-4, $F294&lt;=DA$5, COUNTIF($M294:CZ294,"u")=0), "u", "")</f>
        <v/>
      </c>
      <c r="DB294" s="80" t="str">
        <f>IF(AND($F294&lt;&gt;"", $F294&gt;=DB$5-4, $F294&lt;=DB$5, COUNTIF($M294:DA294,"u")=0), "u", "")</f>
        <v/>
      </c>
      <c r="DC294" s="80" t="str">
        <f>IF(AND($F294&lt;&gt;"", $F294&gt;=DC$5-4, $F294&lt;=DC$5, COUNTIF($M294:DB294,"u")=0), "u", "")</f>
        <v/>
      </c>
      <c r="DD294" s="80" t="str">
        <f>IF(AND($F294&lt;&gt;"", $F294&gt;=DD$5-4, $F294&lt;=DD$5, COUNTIF($M294:DC294,"u")=0), "u", "")</f>
        <v/>
      </c>
      <c r="DE294" s="80" t="str">
        <f>IF(AND($F294&lt;&gt;"", $F294&gt;=DE$5-4, $F294&lt;=DE$5, COUNTIF($M294:DD294,"u")=0), "u", "")</f>
        <v/>
      </c>
      <c r="DF294" s="80" t="str">
        <f>IF(AND($F294&lt;&gt;"", $F294&gt;=DF$5-4, $F294&lt;=DF$5, COUNTIF($M294:DE294,"u")=0), "u", "")</f>
        <v/>
      </c>
      <c r="DG294" s="80" t="str">
        <f>IF(AND($F294&lt;&gt;"", $F294&gt;=DG$5-4, $F294&lt;=DG$5, COUNTIF($M294:DF294,"u")=0), "u", "")</f>
        <v/>
      </c>
      <c r="DH294" s="80" t="str">
        <f>IF(AND($F294&lt;&gt;"", $F294&gt;=DH$5-4, $F294&lt;=DH$5, COUNTIF($M294:DG294,"u")=0), "u", "")</f>
        <v/>
      </c>
      <c r="DI294" s="80" t="str">
        <f>IF(AND($F294&lt;&gt;"", $F294&gt;=DI$5-4, $F294&lt;=DI$5, COUNTIF($M294:DH294,"u")=0), "u", "")</f>
        <v/>
      </c>
      <c r="DJ294" s="80" t="str">
        <f>IF(AND($F294&lt;&gt;"", $F294&gt;=DJ$5-4, $F294&lt;=DJ$5, COUNTIF($M294:DI294,"u")=0), "u", "")</f>
        <v/>
      </c>
      <c r="DK294" s="80" t="str">
        <f>IF(AND($F294&lt;&gt;"", $F294&gt;=DK$5-4, $F294&lt;=DK$5, COUNTIF($M294:DJ294,"u")=0), "u", "")</f>
        <v/>
      </c>
      <c r="DL294" s="80" t="str">
        <f>IF(AND($F294&lt;&gt;"", $F294&gt;=DL$5-4, $F294&lt;=DL$5, COUNTIF($M294:DK294,"u")=0), "u", "")</f>
        <v/>
      </c>
    </row>
    <row r="295" spans="1:116" ht="25.05" customHeight="1" x14ac:dyDescent="0.3">
      <c r="A295" s="39"/>
      <c r="B295" s="75">
        <v>290</v>
      </c>
      <c r="C295" s="97"/>
      <c r="D295" s="92"/>
      <c r="E295" s="53"/>
      <c r="F295" s="53"/>
      <c r="G295" s="83" t="str">
        <f t="shared" si="59"/>
        <v/>
      </c>
      <c r="H295" s="83" t="str">
        <f t="shared" si="59"/>
        <v/>
      </c>
      <c r="I295" s="77" t="str">
        <f t="shared" si="57"/>
        <v/>
      </c>
      <c r="J295" s="78"/>
      <c r="K295" s="86"/>
      <c r="L295" s="56"/>
      <c r="M295" s="80" t="str">
        <f t="shared" si="58"/>
        <v/>
      </c>
      <c r="N295" s="80" t="str">
        <f>IF(AND($F295&lt;&gt;"", $F295&gt;=N$5-4, $F295&lt;=N$5, COUNTIF($M295:M295,"u")=0), "u", "")</f>
        <v/>
      </c>
      <c r="O295" s="80" t="str">
        <f>IF(AND($F295&lt;&gt;"", $F295&gt;=O$5-4, $F295&lt;=O$5, COUNTIF($M295:N295,"u")=0), "u", "")</f>
        <v/>
      </c>
      <c r="P295" s="80" t="str">
        <f>IF(AND($F295&lt;&gt;"", $F295&gt;=P$5-4, $F295&lt;=P$5, COUNTIF($M295:O295,"u")=0), "u", "")</f>
        <v/>
      </c>
      <c r="Q295" s="80" t="str">
        <f>IF(AND($F295&lt;&gt;"", $F295&gt;=Q$5-4, $F295&lt;=Q$5, COUNTIF($M295:P295,"u")=0), "u", "")</f>
        <v/>
      </c>
      <c r="R295" s="80" t="str">
        <f>IF(AND($F295&lt;&gt;"", $F295&gt;=R$5-4, $F295&lt;=R$5, COUNTIF($M295:Q295,"u")=0), "u", "")</f>
        <v/>
      </c>
      <c r="S295" s="80" t="str">
        <f>IF(AND($F295&lt;&gt;"", $F295&gt;=S$5-4, $F295&lt;=S$5, COUNTIF($M295:R295,"u")=0), "u", "")</f>
        <v/>
      </c>
      <c r="T295" s="80" t="str">
        <f>IF(AND($F295&lt;&gt;"", $F295&gt;=T$5-4, $F295&lt;=T$5, COUNTIF($M295:S295,"u")=0), "u", "")</f>
        <v/>
      </c>
      <c r="U295" s="80" t="str">
        <f>IF(AND($F295&lt;&gt;"", $F295&gt;=U$5-4, $F295&lt;=U$5, COUNTIF($M295:T295,"u")=0), "u", "")</f>
        <v/>
      </c>
      <c r="V295" s="80" t="str">
        <f>IF(AND($F295&lt;&gt;"", $F295&gt;=V$5-4, $F295&lt;=V$5, COUNTIF($M295:U295,"u")=0), "u", "")</f>
        <v/>
      </c>
      <c r="W295" s="80" t="str">
        <f>IF(AND($F295&lt;&gt;"", $F295&gt;=W$5-4, $F295&lt;=W$5, COUNTIF($M295:V295,"u")=0), "u", "")</f>
        <v/>
      </c>
      <c r="X295" s="80" t="str">
        <f>IF(AND($F295&lt;&gt;"", $F295&gt;=X$5-4, $F295&lt;=X$5, COUNTIF($M295:W295,"u")=0), "u", "")</f>
        <v/>
      </c>
      <c r="Y295" s="80" t="str">
        <f>IF(AND($F295&lt;&gt;"", $F295&gt;=Y$5-4, $F295&lt;=Y$5, COUNTIF($M295:X295,"u")=0), "u", "")</f>
        <v/>
      </c>
      <c r="Z295" s="80" t="str">
        <f>IF(AND($F295&lt;&gt;"", $F295&gt;=Z$5-4, $F295&lt;=Z$5, COUNTIF($M295:Y295,"u")=0), "u", "")</f>
        <v/>
      </c>
      <c r="AA295" s="80" t="str">
        <f>IF(AND($F295&lt;&gt;"", $F295&gt;=AA$5-4, $F295&lt;=AA$5, COUNTIF($M295:Z295,"u")=0), "u", "")</f>
        <v/>
      </c>
      <c r="AB295" s="80" t="str">
        <f>IF(AND($F295&lt;&gt;"", $F295&gt;=AB$5-4, $F295&lt;=AB$5, COUNTIF($M295:AA295,"u")=0), "u", "")</f>
        <v/>
      </c>
      <c r="AC295" s="80" t="str">
        <f>IF(AND($F295&lt;&gt;"", $F295&gt;=AC$5-4, $F295&lt;=AC$5, COUNTIF($M295:AB295,"u")=0), "u", "")</f>
        <v/>
      </c>
      <c r="AD295" s="80" t="str">
        <f>IF(AND($F295&lt;&gt;"", $F295&gt;=AD$5-4, $F295&lt;=AD$5, COUNTIF($M295:AC295,"u")=0), "u", "")</f>
        <v/>
      </c>
      <c r="AE295" s="80" t="str">
        <f>IF(AND($F295&lt;&gt;"", $F295&gt;=AE$5-4, $F295&lt;=AE$5, COUNTIF($M295:AD295,"u")=0), "u", "")</f>
        <v/>
      </c>
      <c r="AF295" s="80" t="str">
        <f>IF(AND($F295&lt;&gt;"", $F295&gt;=AF$5-4, $F295&lt;=AF$5, COUNTIF($M295:AE295,"u")=0), "u", "")</f>
        <v/>
      </c>
      <c r="AG295" s="80" t="str">
        <f>IF(AND($F295&lt;&gt;"", $F295&gt;=AG$5-4, $F295&lt;=AG$5, COUNTIF($M295:AF295,"u")=0), "u", "")</f>
        <v/>
      </c>
      <c r="AH295" s="80" t="str">
        <f>IF(AND($F295&lt;&gt;"", $F295&gt;=AH$5-4, $F295&lt;=AH$5, COUNTIF($M295:AG295,"u")=0), "u", "")</f>
        <v/>
      </c>
      <c r="AI295" s="80" t="str">
        <f>IF(AND($F295&lt;&gt;"", $F295&gt;=AI$5-4, $F295&lt;=AI$5, COUNTIF($M295:AH295,"u")=0), "u", "")</f>
        <v/>
      </c>
      <c r="AJ295" s="80" t="str">
        <f>IF(AND($F295&lt;&gt;"", $F295&gt;=AJ$5-4, $F295&lt;=AJ$5, COUNTIF($M295:AI295,"u")=0), "u", "")</f>
        <v/>
      </c>
      <c r="AK295" s="80" t="str">
        <f>IF(AND($F295&lt;&gt;"", $F295&gt;=AK$5-4, $F295&lt;=AK$5, COUNTIF($M295:AJ295,"u")=0), "u", "")</f>
        <v/>
      </c>
      <c r="AL295" s="80" t="str">
        <f>IF(AND($F295&lt;&gt;"", $F295&gt;=AL$5-4, $F295&lt;=AL$5, COUNTIF($M295:AK295,"u")=0), "u", "")</f>
        <v/>
      </c>
      <c r="AM295" s="80" t="str">
        <f>IF(AND($F295&lt;&gt;"", $F295&gt;=AM$5-4, $F295&lt;=AM$5, COUNTIF($M295:AL295,"u")=0), "u", "")</f>
        <v/>
      </c>
      <c r="AN295" s="80" t="str">
        <f>IF(AND($F295&lt;&gt;"", $F295&gt;=AN$5-4, $F295&lt;=AN$5, COUNTIF($M295:AM295,"u")=0), "u", "")</f>
        <v/>
      </c>
      <c r="AO295" s="80" t="str">
        <f>IF(AND($F295&lt;&gt;"", $F295&gt;=AO$5-4, $F295&lt;=AO$5, COUNTIF($M295:AN295,"u")=0), "u", "")</f>
        <v/>
      </c>
      <c r="AP295" s="80" t="str">
        <f>IF(AND($F295&lt;&gt;"", $F295&gt;=AP$5-4, $F295&lt;=AP$5, COUNTIF($M295:AO295,"u")=0), "u", "")</f>
        <v/>
      </c>
      <c r="AQ295" s="80" t="str">
        <f>IF(AND($F295&lt;&gt;"", $F295&gt;=AQ$5-4, $F295&lt;=AQ$5, COUNTIF($M295:AP295,"u")=0), "u", "")</f>
        <v/>
      </c>
      <c r="AR295" s="80" t="str">
        <f>IF(AND($F295&lt;&gt;"", $F295&gt;=AR$5-4, $F295&lt;=AR$5, COUNTIF($M295:AQ295,"u")=0), "u", "")</f>
        <v/>
      </c>
      <c r="AS295" s="80" t="str">
        <f>IF(AND($F295&lt;&gt;"", $F295&gt;=AS$5-4, $F295&lt;=AS$5, COUNTIF($M295:AR295,"u")=0), "u", "")</f>
        <v/>
      </c>
      <c r="AT295" s="80" t="str">
        <f>IF(AND($F295&lt;&gt;"", $F295&gt;=AT$5-4, $F295&lt;=AT$5, COUNTIF($M295:AS295,"u")=0), "u", "")</f>
        <v/>
      </c>
      <c r="AU295" s="80" t="str">
        <f>IF(AND($F295&lt;&gt;"", $F295&gt;=AU$5-4, $F295&lt;=AU$5, COUNTIF($M295:AT295,"u")=0), "u", "")</f>
        <v/>
      </c>
      <c r="AV295" s="80" t="str">
        <f>IF(AND($F295&lt;&gt;"", $F295&gt;=AV$5-4, $F295&lt;=AV$5, COUNTIF($M295:AU295,"u")=0), "u", "")</f>
        <v/>
      </c>
      <c r="AW295" s="80" t="str">
        <f>IF(AND($F295&lt;&gt;"", $F295&gt;=AW$5-4, $F295&lt;=AW$5, COUNTIF($M295:AV295,"u")=0), "u", "")</f>
        <v/>
      </c>
      <c r="AX295" s="80" t="str">
        <f>IF(AND($F295&lt;&gt;"", $F295&gt;=AX$5-4, $F295&lt;=AX$5, COUNTIF($M295:AW295,"u")=0), "u", "")</f>
        <v/>
      </c>
      <c r="AY295" s="80" t="str">
        <f>IF(AND($F295&lt;&gt;"", $F295&gt;=AY$5-4, $F295&lt;=AY$5, COUNTIF($M295:AX295,"u")=0), "u", "")</f>
        <v/>
      </c>
      <c r="AZ295" s="80" t="str">
        <f>IF(AND($F295&lt;&gt;"", $F295&gt;=AZ$5-4, $F295&lt;=AZ$5, COUNTIF($M295:AY295,"u")=0), "u", "")</f>
        <v/>
      </c>
      <c r="BA295" s="80" t="str">
        <f>IF(AND($F295&lt;&gt;"", $F295&gt;=BA$5-4, $F295&lt;=BA$5, COUNTIF($M295:AZ295,"u")=0), "u", "")</f>
        <v/>
      </c>
      <c r="BB295" s="80" t="str">
        <f>IF(AND($F295&lt;&gt;"", $F295&gt;=BB$5-4, $F295&lt;=BB$5, COUNTIF($M295:BA295,"u")=0), "u", "")</f>
        <v/>
      </c>
      <c r="BC295" s="80" t="str">
        <f>IF(AND($F295&lt;&gt;"", $F295&gt;=BC$5-4, $F295&lt;=BC$5, COUNTIF($M295:BB295,"u")=0), "u", "")</f>
        <v/>
      </c>
      <c r="BD295" s="80" t="str">
        <f>IF(AND($F295&lt;&gt;"", $F295&gt;=BD$5-4, $F295&lt;=BD$5, COUNTIF($M295:BC295,"u")=0), "u", "")</f>
        <v/>
      </c>
      <c r="BE295" s="80" t="str">
        <f>IF(AND($F295&lt;&gt;"", $F295&gt;=BE$5-4, $F295&lt;=BE$5, COUNTIF($M295:BD295,"u")=0), "u", "")</f>
        <v/>
      </c>
      <c r="BF295" s="80" t="str">
        <f>IF(AND($F295&lt;&gt;"", $F295&gt;=BF$5-4, $F295&lt;=BF$5, COUNTIF($M295:BE295,"u")=0), "u", "")</f>
        <v/>
      </c>
      <c r="BG295" s="80" t="str">
        <f>IF(AND($F295&lt;&gt;"", $F295&gt;=BG$5-4, $F295&lt;=BG$5, COUNTIF($M295:BF295,"u")=0), "u", "")</f>
        <v/>
      </c>
      <c r="BH295" s="80" t="str">
        <f>IF(AND($F295&lt;&gt;"", $F295&gt;=BH$5-4, $F295&lt;=BH$5, COUNTIF($M295:BG295,"u")=0), "u", "")</f>
        <v/>
      </c>
      <c r="BI295" s="80" t="str">
        <f>IF(AND($F295&lt;&gt;"", $F295&gt;=BI$5-4, $F295&lt;=BI$5, COUNTIF($M295:BH295,"u")=0), "u", "")</f>
        <v/>
      </c>
      <c r="BJ295" s="80" t="str">
        <f>IF(AND($F295&lt;&gt;"", $F295&gt;=BJ$5-4, $F295&lt;=BJ$5, COUNTIF($M295:BI295,"u")=0), "u", "")</f>
        <v/>
      </c>
      <c r="BK295" s="80" t="str">
        <f>IF(AND($F295&lt;&gt;"", $F295&gt;=BK$5-4, $F295&lt;=BK$5, COUNTIF($M295:BJ295,"u")=0), "u", "")</f>
        <v/>
      </c>
      <c r="BL295" s="80" t="str">
        <f>IF(AND($F295&lt;&gt;"", $F295&gt;=BL$5-4, $F295&lt;=BL$5, COUNTIF($M295:BK295,"u")=0), "u", "")</f>
        <v/>
      </c>
      <c r="BM295" s="80" t="str">
        <f>IF(AND($F295&lt;&gt;"", $F295&gt;=BM$5-4, $F295&lt;=BM$5, COUNTIF($M295:BL295,"u")=0), "u", "")</f>
        <v/>
      </c>
      <c r="BN295" s="80" t="str">
        <f>IF(AND($F295&lt;&gt;"", $F295&gt;=BN$5-4, $F295&lt;=BN$5, COUNTIF($M295:BM295,"u")=0), "u", "")</f>
        <v/>
      </c>
      <c r="BO295" s="80" t="str">
        <f>IF(AND($F295&lt;&gt;"", $F295&gt;=BO$5-4, $F295&lt;=BO$5, COUNTIF($M295:BN295,"u")=0), "u", "")</f>
        <v/>
      </c>
      <c r="BP295" s="80" t="str">
        <f>IF(AND($F295&lt;&gt;"", $F295&gt;=BP$5-4, $F295&lt;=BP$5, COUNTIF($M295:BO295,"u")=0), "u", "")</f>
        <v/>
      </c>
      <c r="BQ295" s="80" t="str">
        <f>IF(AND($F295&lt;&gt;"", $F295&gt;=BQ$5-4, $F295&lt;=BQ$5, COUNTIF($M295:BP295,"u")=0), "u", "")</f>
        <v/>
      </c>
      <c r="BR295" s="80" t="str">
        <f>IF(AND($F295&lt;&gt;"", $F295&gt;=BR$5-4, $F295&lt;=BR$5, COUNTIF($M295:BQ295,"u")=0), "u", "")</f>
        <v/>
      </c>
      <c r="BS295" s="80" t="str">
        <f>IF(AND($F295&lt;&gt;"", $F295&gt;=BS$5-4, $F295&lt;=BS$5, COUNTIF($M295:BR295,"u")=0), "u", "")</f>
        <v/>
      </c>
      <c r="BT295" s="80" t="str">
        <f>IF(AND($F295&lt;&gt;"", $F295&gt;=BT$5-4, $F295&lt;=BT$5, COUNTIF($M295:BS295,"u")=0), "u", "")</f>
        <v/>
      </c>
      <c r="BU295" s="80" t="str">
        <f>IF(AND($F295&lt;&gt;"", $F295&gt;=BU$5-4, $F295&lt;=BU$5, COUNTIF($M295:BT295,"u")=0), "u", "")</f>
        <v/>
      </c>
      <c r="BV295" s="80" t="str">
        <f>IF(AND($F295&lt;&gt;"", $F295&gt;=BV$5-4, $F295&lt;=BV$5, COUNTIF($M295:BU295,"u")=0), "u", "")</f>
        <v/>
      </c>
      <c r="BW295" s="80" t="str">
        <f>IF(AND($F295&lt;&gt;"", $F295&gt;=BW$5-4, $F295&lt;=BW$5, COUNTIF($M295:BV295,"u")=0), "u", "")</f>
        <v/>
      </c>
      <c r="BX295" s="80" t="str">
        <f>IF(AND($F295&lt;&gt;"", $F295&gt;=BX$5-4, $F295&lt;=BX$5, COUNTIF($M295:BW295,"u")=0), "u", "")</f>
        <v/>
      </c>
      <c r="BY295" s="80" t="str">
        <f>IF(AND($F295&lt;&gt;"", $F295&gt;=BY$5-4, $F295&lt;=BY$5, COUNTIF($M295:BX295,"u")=0), "u", "")</f>
        <v/>
      </c>
      <c r="BZ295" s="80" t="str">
        <f>IF(AND($F295&lt;&gt;"", $F295&gt;=BZ$5-4, $F295&lt;=BZ$5, COUNTIF($M295:BY295,"u")=0), "u", "")</f>
        <v/>
      </c>
      <c r="CA295" s="80" t="str">
        <f>IF(AND($F295&lt;&gt;"", $F295&gt;=CA$5-4, $F295&lt;=CA$5, COUNTIF($M295:BZ295,"u")=0), "u", "")</f>
        <v/>
      </c>
      <c r="CB295" s="80" t="str">
        <f>IF(AND($F295&lt;&gt;"", $F295&gt;=CB$5-4, $F295&lt;=CB$5, COUNTIF($M295:CA295,"u")=0), "u", "")</f>
        <v/>
      </c>
      <c r="CC295" s="80" t="str">
        <f>IF(AND($F295&lt;&gt;"", $F295&gt;=CC$5-4, $F295&lt;=CC$5, COUNTIF($M295:CB295,"u")=0), "u", "")</f>
        <v/>
      </c>
      <c r="CD295" s="80" t="str">
        <f>IF(AND($F295&lt;&gt;"", $F295&gt;=CD$5-4, $F295&lt;=CD$5, COUNTIF($M295:CC295,"u")=0), "u", "")</f>
        <v/>
      </c>
      <c r="CE295" s="80" t="str">
        <f>IF(AND($F295&lt;&gt;"", $F295&gt;=CE$5-4, $F295&lt;=CE$5, COUNTIF($M295:CD295,"u")=0), "u", "")</f>
        <v/>
      </c>
      <c r="CF295" s="80" t="str">
        <f>IF(AND($F295&lt;&gt;"", $F295&gt;=CF$5-4, $F295&lt;=CF$5, COUNTIF($M295:CE295,"u")=0), "u", "")</f>
        <v/>
      </c>
      <c r="CG295" s="80" t="str">
        <f>IF(AND($F295&lt;&gt;"", $F295&gt;=CG$5-4, $F295&lt;=CG$5, COUNTIF($M295:CF295,"u")=0), "u", "")</f>
        <v/>
      </c>
      <c r="CH295" s="80" t="str">
        <f>IF(AND($F295&lt;&gt;"", $F295&gt;=CH$5-4, $F295&lt;=CH$5, COUNTIF($M295:CG295,"u")=0), "u", "")</f>
        <v/>
      </c>
      <c r="CI295" s="80" t="str">
        <f>IF(AND($F295&lt;&gt;"", $F295&gt;=CI$5-4, $F295&lt;=CI$5, COUNTIF($M295:CH295,"u")=0), "u", "")</f>
        <v/>
      </c>
      <c r="CJ295" s="80" t="str">
        <f>IF(AND($F295&lt;&gt;"", $F295&gt;=CJ$5-4, $F295&lt;=CJ$5, COUNTIF($M295:CI295,"u")=0), "u", "")</f>
        <v/>
      </c>
      <c r="CK295" s="80" t="str">
        <f>IF(AND($F295&lt;&gt;"", $F295&gt;=CK$5-4, $F295&lt;=CK$5, COUNTIF($M295:CJ295,"u")=0), "u", "")</f>
        <v/>
      </c>
      <c r="CL295" s="80" t="str">
        <f>IF(AND($F295&lt;&gt;"", $F295&gt;=CL$5-4, $F295&lt;=CL$5, COUNTIF($M295:CK295,"u")=0), "u", "")</f>
        <v/>
      </c>
      <c r="CM295" s="80" t="str">
        <f>IF(AND($F295&lt;&gt;"", $F295&gt;=CM$5-4, $F295&lt;=CM$5, COUNTIF($M295:CL295,"u")=0), "u", "")</f>
        <v/>
      </c>
      <c r="CN295" s="80" t="str">
        <f>IF(AND($F295&lt;&gt;"", $F295&gt;=CN$5-4, $F295&lt;=CN$5, COUNTIF($M295:CM295,"u")=0), "u", "")</f>
        <v/>
      </c>
      <c r="CO295" s="80" t="str">
        <f>IF(AND($F295&lt;&gt;"", $F295&gt;=CO$5-4, $F295&lt;=CO$5, COUNTIF($M295:CN295,"u")=0), "u", "")</f>
        <v/>
      </c>
      <c r="CP295" s="80" t="str">
        <f>IF(AND($F295&lt;&gt;"", $F295&gt;=CP$5-4, $F295&lt;=CP$5, COUNTIF($M295:CO295,"u")=0), "u", "")</f>
        <v/>
      </c>
      <c r="CQ295" s="80" t="str">
        <f>IF(AND($F295&lt;&gt;"", $F295&gt;=CQ$5-4, $F295&lt;=CQ$5, COUNTIF($M295:CP295,"u")=0), "u", "")</f>
        <v/>
      </c>
      <c r="CR295" s="80" t="str">
        <f>IF(AND($F295&lt;&gt;"", $F295&gt;=CR$5-4, $F295&lt;=CR$5, COUNTIF($M295:CQ295,"u")=0), "u", "")</f>
        <v/>
      </c>
      <c r="CS295" s="80" t="str">
        <f>IF(AND($F295&lt;&gt;"", $F295&gt;=CS$5-4, $F295&lt;=CS$5, COUNTIF($M295:CR295,"u")=0), "u", "")</f>
        <v/>
      </c>
      <c r="CT295" s="80" t="str">
        <f>IF(AND($F295&lt;&gt;"", $F295&gt;=CT$5-4, $F295&lt;=CT$5, COUNTIF($M295:CS295,"u")=0), "u", "")</f>
        <v/>
      </c>
      <c r="CU295" s="80" t="str">
        <f>IF(AND($F295&lt;&gt;"", $F295&gt;=CU$5-4, $F295&lt;=CU$5, COUNTIF($M295:CT295,"u")=0), "u", "")</f>
        <v/>
      </c>
      <c r="CV295" s="80" t="str">
        <f>IF(AND($F295&lt;&gt;"", $F295&gt;=CV$5-4, $F295&lt;=CV$5, COUNTIF($M295:CU295,"u")=0), "u", "")</f>
        <v/>
      </c>
      <c r="CW295" s="80" t="str">
        <f>IF(AND($F295&lt;&gt;"", $F295&gt;=CW$5-4, $F295&lt;=CW$5, COUNTIF($M295:CV295,"u")=0), "u", "")</f>
        <v/>
      </c>
      <c r="CX295" s="80" t="str">
        <f>IF(AND($F295&lt;&gt;"", $F295&gt;=CX$5-4, $F295&lt;=CX$5, COUNTIF($M295:CW295,"u")=0), "u", "")</f>
        <v/>
      </c>
      <c r="CY295" s="80" t="str">
        <f>IF(AND($F295&lt;&gt;"", $F295&gt;=CY$5-4, $F295&lt;=CY$5, COUNTIF($M295:CX295,"u")=0), "u", "")</f>
        <v/>
      </c>
      <c r="CZ295" s="80" t="str">
        <f>IF(AND($F295&lt;&gt;"", $F295&gt;=CZ$5-4, $F295&lt;=CZ$5, COUNTIF($M295:CY295,"u")=0), "u", "")</f>
        <v/>
      </c>
      <c r="DA295" s="80" t="str">
        <f>IF(AND($F295&lt;&gt;"", $F295&gt;=DA$5-4, $F295&lt;=DA$5, COUNTIF($M295:CZ295,"u")=0), "u", "")</f>
        <v/>
      </c>
      <c r="DB295" s="80" t="str">
        <f>IF(AND($F295&lt;&gt;"", $F295&gt;=DB$5-4, $F295&lt;=DB$5, COUNTIF($M295:DA295,"u")=0), "u", "")</f>
        <v/>
      </c>
      <c r="DC295" s="80" t="str">
        <f>IF(AND($F295&lt;&gt;"", $F295&gt;=DC$5-4, $F295&lt;=DC$5, COUNTIF($M295:DB295,"u")=0), "u", "")</f>
        <v/>
      </c>
      <c r="DD295" s="80" t="str">
        <f>IF(AND($F295&lt;&gt;"", $F295&gt;=DD$5-4, $F295&lt;=DD$5, COUNTIF($M295:DC295,"u")=0), "u", "")</f>
        <v/>
      </c>
      <c r="DE295" s="80" t="str">
        <f>IF(AND($F295&lt;&gt;"", $F295&gt;=DE$5-4, $F295&lt;=DE$5, COUNTIF($M295:DD295,"u")=0), "u", "")</f>
        <v/>
      </c>
      <c r="DF295" s="80" t="str">
        <f>IF(AND($F295&lt;&gt;"", $F295&gt;=DF$5-4, $F295&lt;=DF$5, COUNTIF($M295:DE295,"u")=0), "u", "")</f>
        <v/>
      </c>
      <c r="DG295" s="80" t="str">
        <f>IF(AND($F295&lt;&gt;"", $F295&gt;=DG$5-4, $F295&lt;=DG$5, COUNTIF($M295:DF295,"u")=0), "u", "")</f>
        <v/>
      </c>
      <c r="DH295" s="80" t="str">
        <f>IF(AND($F295&lt;&gt;"", $F295&gt;=DH$5-4, $F295&lt;=DH$5, COUNTIF($M295:DG295,"u")=0), "u", "")</f>
        <v/>
      </c>
      <c r="DI295" s="80" t="str">
        <f>IF(AND($F295&lt;&gt;"", $F295&gt;=DI$5-4, $F295&lt;=DI$5, COUNTIF($M295:DH295,"u")=0), "u", "")</f>
        <v/>
      </c>
      <c r="DJ295" s="80" t="str">
        <f>IF(AND($F295&lt;&gt;"", $F295&gt;=DJ$5-4, $F295&lt;=DJ$5, COUNTIF($M295:DI295,"u")=0), "u", "")</f>
        <v/>
      </c>
      <c r="DK295" s="80" t="str">
        <f>IF(AND($F295&lt;&gt;"", $F295&gt;=DK$5-4, $F295&lt;=DK$5, COUNTIF($M295:DJ295,"u")=0), "u", "")</f>
        <v/>
      </c>
      <c r="DL295" s="80" t="str">
        <f>IF(AND($F295&lt;&gt;"", $F295&gt;=DL$5-4, $F295&lt;=DL$5, COUNTIF($M295:DK295,"u")=0), "u", "")</f>
        <v/>
      </c>
    </row>
    <row r="296" spans="1:116" ht="25.05" customHeight="1" x14ac:dyDescent="0.3">
      <c r="A296" s="39"/>
      <c r="B296" s="75">
        <v>291</v>
      </c>
      <c r="C296" s="97"/>
      <c r="D296" s="92"/>
      <c r="E296" s="53"/>
      <c r="F296" s="53"/>
      <c r="G296" s="76" t="str">
        <f t="shared" si="59"/>
        <v/>
      </c>
      <c r="H296" s="76" t="str">
        <f t="shared" si="59"/>
        <v/>
      </c>
      <c r="I296" s="77" t="str">
        <f t="shared" si="57"/>
        <v/>
      </c>
      <c r="J296" s="78"/>
      <c r="K296" s="86"/>
      <c r="L296" s="56"/>
      <c r="M296" s="80" t="str">
        <f t="shared" si="58"/>
        <v/>
      </c>
      <c r="N296" s="80" t="str">
        <f>IF(AND($F296&lt;&gt;"", $F296&gt;=N$5-4, $F296&lt;=N$5, COUNTIF($M296:M296,"u")=0), "u", "")</f>
        <v/>
      </c>
      <c r="O296" s="80" t="str">
        <f>IF(AND($F296&lt;&gt;"", $F296&gt;=O$5-4, $F296&lt;=O$5, COUNTIF($M296:N296,"u")=0), "u", "")</f>
        <v/>
      </c>
      <c r="P296" s="80" t="str">
        <f>IF(AND($F296&lt;&gt;"", $F296&gt;=P$5-4, $F296&lt;=P$5, COUNTIF($M296:O296,"u")=0), "u", "")</f>
        <v/>
      </c>
      <c r="Q296" s="80" t="str">
        <f>IF(AND($F296&lt;&gt;"", $F296&gt;=Q$5-4, $F296&lt;=Q$5, COUNTIF($M296:P296,"u")=0), "u", "")</f>
        <v/>
      </c>
      <c r="R296" s="80" t="str">
        <f>IF(AND($F296&lt;&gt;"", $F296&gt;=R$5-4, $F296&lt;=R$5, COUNTIF($M296:Q296,"u")=0), "u", "")</f>
        <v/>
      </c>
      <c r="S296" s="80" t="str">
        <f>IF(AND($F296&lt;&gt;"", $F296&gt;=S$5-4, $F296&lt;=S$5, COUNTIF($M296:R296,"u")=0), "u", "")</f>
        <v/>
      </c>
      <c r="T296" s="80" t="str">
        <f>IF(AND($F296&lt;&gt;"", $F296&gt;=T$5-4, $F296&lt;=T$5, COUNTIF($M296:S296,"u")=0), "u", "")</f>
        <v/>
      </c>
      <c r="U296" s="80" t="str">
        <f>IF(AND($F296&lt;&gt;"", $F296&gt;=U$5-4, $F296&lt;=U$5, COUNTIF($M296:T296,"u")=0), "u", "")</f>
        <v/>
      </c>
      <c r="V296" s="80" t="str">
        <f>IF(AND($F296&lt;&gt;"", $F296&gt;=V$5-4, $F296&lt;=V$5, COUNTIF($M296:U296,"u")=0), "u", "")</f>
        <v/>
      </c>
      <c r="W296" s="80" t="str">
        <f>IF(AND($F296&lt;&gt;"", $F296&gt;=W$5-4, $F296&lt;=W$5, COUNTIF($M296:V296,"u")=0), "u", "")</f>
        <v/>
      </c>
      <c r="X296" s="80" t="str">
        <f>IF(AND($F296&lt;&gt;"", $F296&gt;=X$5-4, $F296&lt;=X$5, COUNTIF($M296:W296,"u")=0), "u", "")</f>
        <v/>
      </c>
      <c r="Y296" s="80" t="str">
        <f>IF(AND($F296&lt;&gt;"", $F296&gt;=Y$5-4, $F296&lt;=Y$5, COUNTIF($M296:X296,"u")=0), "u", "")</f>
        <v/>
      </c>
      <c r="Z296" s="80" t="str">
        <f>IF(AND($F296&lt;&gt;"", $F296&gt;=Z$5-4, $F296&lt;=Z$5, COUNTIF($M296:Y296,"u")=0), "u", "")</f>
        <v/>
      </c>
      <c r="AA296" s="80" t="str">
        <f>IF(AND($F296&lt;&gt;"", $F296&gt;=AA$5-4, $F296&lt;=AA$5, COUNTIF($M296:Z296,"u")=0), "u", "")</f>
        <v/>
      </c>
      <c r="AB296" s="80" t="str">
        <f>IF(AND($F296&lt;&gt;"", $F296&gt;=AB$5-4, $F296&lt;=AB$5, COUNTIF($M296:AA296,"u")=0), "u", "")</f>
        <v/>
      </c>
      <c r="AC296" s="80" t="str">
        <f>IF(AND($F296&lt;&gt;"", $F296&gt;=AC$5-4, $F296&lt;=AC$5, COUNTIF($M296:AB296,"u")=0), "u", "")</f>
        <v/>
      </c>
      <c r="AD296" s="80" t="str">
        <f>IF(AND($F296&lt;&gt;"", $F296&gt;=AD$5-4, $F296&lt;=AD$5, COUNTIF($M296:AC296,"u")=0), "u", "")</f>
        <v/>
      </c>
      <c r="AE296" s="80" t="str">
        <f>IF(AND($F296&lt;&gt;"", $F296&gt;=AE$5-4, $F296&lt;=AE$5, COUNTIF($M296:AD296,"u")=0), "u", "")</f>
        <v/>
      </c>
      <c r="AF296" s="80" t="str">
        <f>IF(AND($F296&lt;&gt;"", $F296&gt;=AF$5-4, $F296&lt;=AF$5, COUNTIF($M296:AE296,"u")=0), "u", "")</f>
        <v/>
      </c>
      <c r="AG296" s="80" t="str">
        <f>IF(AND($F296&lt;&gt;"", $F296&gt;=AG$5-4, $F296&lt;=AG$5, COUNTIF($M296:AF296,"u")=0), "u", "")</f>
        <v/>
      </c>
      <c r="AH296" s="80" t="str">
        <f>IF(AND($F296&lt;&gt;"", $F296&gt;=AH$5-4, $F296&lt;=AH$5, COUNTIF($M296:AG296,"u")=0), "u", "")</f>
        <v/>
      </c>
      <c r="AI296" s="80" t="str">
        <f>IF(AND($F296&lt;&gt;"", $F296&gt;=AI$5-4, $F296&lt;=AI$5, COUNTIF($M296:AH296,"u")=0), "u", "")</f>
        <v/>
      </c>
      <c r="AJ296" s="80" t="str">
        <f>IF(AND($F296&lt;&gt;"", $F296&gt;=AJ$5-4, $F296&lt;=AJ$5, COUNTIF($M296:AI296,"u")=0), "u", "")</f>
        <v/>
      </c>
      <c r="AK296" s="80" t="str">
        <f>IF(AND($F296&lt;&gt;"", $F296&gt;=AK$5-4, $F296&lt;=AK$5, COUNTIF($M296:AJ296,"u")=0), "u", "")</f>
        <v/>
      </c>
      <c r="AL296" s="80" t="str">
        <f>IF(AND($F296&lt;&gt;"", $F296&gt;=AL$5-4, $F296&lt;=AL$5, COUNTIF($M296:AK296,"u")=0), "u", "")</f>
        <v/>
      </c>
      <c r="AM296" s="80" t="str">
        <f>IF(AND($F296&lt;&gt;"", $F296&gt;=AM$5-4, $F296&lt;=AM$5, COUNTIF($M296:AL296,"u")=0), "u", "")</f>
        <v/>
      </c>
      <c r="AN296" s="80" t="str">
        <f>IF(AND($F296&lt;&gt;"", $F296&gt;=AN$5-4, $F296&lt;=AN$5, COUNTIF($M296:AM296,"u")=0), "u", "")</f>
        <v/>
      </c>
      <c r="AO296" s="80" t="str">
        <f>IF(AND($F296&lt;&gt;"", $F296&gt;=AO$5-4, $F296&lt;=AO$5, COUNTIF($M296:AN296,"u")=0), "u", "")</f>
        <v/>
      </c>
      <c r="AP296" s="80" t="str">
        <f>IF(AND($F296&lt;&gt;"", $F296&gt;=AP$5-4, $F296&lt;=AP$5, COUNTIF($M296:AO296,"u")=0), "u", "")</f>
        <v/>
      </c>
      <c r="AQ296" s="80" t="str">
        <f>IF(AND($F296&lt;&gt;"", $F296&gt;=AQ$5-4, $F296&lt;=AQ$5, COUNTIF($M296:AP296,"u")=0), "u", "")</f>
        <v/>
      </c>
      <c r="AR296" s="80" t="str">
        <f>IF(AND($F296&lt;&gt;"", $F296&gt;=AR$5-4, $F296&lt;=AR$5, COUNTIF($M296:AQ296,"u")=0), "u", "")</f>
        <v/>
      </c>
      <c r="AS296" s="80" t="str">
        <f>IF(AND($F296&lt;&gt;"", $F296&gt;=AS$5-4, $F296&lt;=AS$5, COUNTIF($M296:AR296,"u")=0), "u", "")</f>
        <v/>
      </c>
      <c r="AT296" s="80" t="str">
        <f>IF(AND($F296&lt;&gt;"", $F296&gt;=AT$5-4, $F296&lt;=AT$5, COUNTIF($M296:AS296,"u")=0), "u", "")</f>
        <v/>
      </c>
      <c r="AU296" s="80" t="str">
        <f>IF(AND($F296&lt;&gt;"", $F296&gt;=AU$5-4, $F296&lt;=AU$5, COUNTIF($M296:AT296,"u")=0), "u", "")</f>
        <v/>
      </c>
      <c r="AV296" s="80" t="str">
        <f>IF(AND($F296&lt;&gt;"", $F296&gt;=AV$5-4, $F296&lt;=AV$5, COUNTIF($M296:AU296,"u")=0), "u", "")</f>
        <v/>
      </c>
      <c r="AW296" s="80" t="str">
        <f>IF(AND($F296&lt;&gt;"", $F296&gt;=AW$5-4, $F296&lt;=AW$5, COUNTIF($M296:AV296,"u")=0), "u", "")</f>
        <v/>
      </c>
      <c r="AX296" s="80" t="str">
        <f>IF(AND($F296&lt;&gt;"", $F296&gt;=AX$5-4, $F296&lt;=AX$5, COUNTIF($M296:AW296,"u")=0), "u", "")</f>
        <v/>
      </c>
      <c r="AY296" s="80" t="str">
        <f>IF(AND($F296&lt;&gt;"", $F296&gt;=AY$5-4, $F296&lt;=AY$5, COUNTIF($M296:AX296,"u")=0), "u", "")</f>
        <v/>
      </c>
      <c r="AZ296" s="80" t="str">
        <f>IF(AND($F296&lt;&gt;"", $F296&gt;=AZ$5-4, $F296&lt;=AZ$5, COUNTIF($M296:AY296,"u")=0), "u", "")</f>
        <v/>
      </c>
      <c r="BA296" s="80" t="str">
        <f>IF(AND($F296&lt;&gt;"", $F296&gt;=BA$5-4, $F296&lt;=BA$5, COUNTIF($M296:AZ296,"u")=0), "u", "")</f>
        <v/>
      </c>
      <c r="BB296" s="80" t="str">
        <f>IF(AND($F296&lt;&gt;"", $F296&gt;=BB$5-4, $F296&lt;=BB$5, COUNTIF($M296:BA296,"u")=0), "u", "")</f>
        <v/>
      </c>
      <c r="BC296" s="80" t="str">
        <f>IF(AND($F296&lt;&gt;"", $F296&gt;=BC$5-4, $F296&lt;=BC$5, COUNTIF($M296:BB296,"u")=0), "u", "")</f>
        <v/>
      </c>
      <c r="BD296" s="80" t="str">
        <f>IF(AND($F296&lt;&gt;"", $F296&gt;=BD$5-4, $F296&lt;=BD$5, COUNTIF($M296:BC296,"u")=0), "u", "")</f>
        <v/>
      </c>
      <c r="BE296" s="80" t="str">
        <f>IF(AND($F296&lt;&gt;"", $F296&gt;=BE$5-4, $F296&lt;=BE$5, COUNTIF($M296:BD296,"u")=0), "u", "")</f>
        <v/>
      </c>
      <c r="BF296" s="80" t="str">
        <f>IF(AND($F296&lt;&gt;"", $F296&gt;=BF$5-4, $F296&lt;=BF$5, COUNTIF($M296:BE296,"u")=0), "u", "")</f>
        <v/>
      </c>
      <c r="BG296" s="80" t="str">
        <f>IF(AND($F296&lt;&gt;"", $F296&gt;=BG$5-4, $F296&lt;=BG$5, COUNTIF($M296:BF296,"u")=0), "u", "")</f>
        <v/>
      </c>
      <c r="BH296" s="80" t="str">
        <f>IF(AND($F296&lt;&gt;"", $F296&gt;=BH$5-4, $F296&lt;=BH$5, COUNTIF($M296:BG296,"u")=0), "u", "")</f>
        <v/>
      </c>
      <c r="BI296" s="80" t="str">
        <f>IF(AND($F296&lt;&gt;"", $F296&gt;=BI$5-4, $F296&lt;=BI$5, COUNTIF($M296:BH296,"u")=0), "u", "")</f>
        <v/>
      </c>
      <c r="BJ296" s="80" t="str">
        <f>IF(AND($F296&lt;&gt;"", $F296&gt;=BJ$5-4, $F296&lt;=BJ$5, COUNTIF($M296:BI296,"u")=0), "u", "")</f>
        <v/>
      </c>
      <c r="BK296" s="80" t="str">
        <f>IF(AND($F296&lt;&gt;"", $F296&gt;=BK$5-4, $F296&lt;=BK$5, COUNTIF($M296:BJ296,"u")=0), "u", "")</f>
        <v/>
      </c>
      <c r="BL296" s="80" t="str">
        <f>IF(AND($F296&lt;&gt;"", $F296&gt;=BL$5-4, $F296&lt;=BL$5, COUNTIF($M296:BK296,"u")=0), "u", "")</f>
        <v/>
      </c>
      <c r="BM296" s="80" t="str">
        <f>IF(AND($F296&lt;&gt;"", $F296&gt;=BM$5-4, $F296&lt;=BM$5, COUNTIF($M296:BL296,"u")=0), "u", "")</f>
        <v/>
      </c>
      <c r="BN296" s="80" t="str">
        <f>IF(AND($F296&lt;&gt;"", $F296&gt;=BN$5-4, $F296&lt;=BN$5, COUNTIF($M296:BM296,"u")=0), "u", "")</f>
        <v/>
      </c>
      <c r="BO296" s="80" t="str">
        <f>IF(AND($F296&lt;&gt;"", $F296&gt;=BO$5-4, $F296&lt;=BO$5, COUNTIF($M296:BN296,"u")=0), "u", "")</f>
        <v/>
      </c>
      <c r="BP296" s="80" t="str">
        <f>IF(AND($F296&lt;&gt;"", $F296&gt;=BP$5-4, $F296&lt;=BP$5, COUNTIF($M296:BO296,"u")=0), "u", "")</f>
        <v/>
      </c>
      <c r="BQ296" s="80" t="str">
        <f>IF(AND($F296&lt;&gt;"", $F296&gt;=BQ$5-4, $F296&lt;=BQ$5, COUNTIF($M296:BP296,"u")=0), "u", "")</f>
        <v/>
      </c>
      <c r="BR296" s="80" t="str">
        <f>IF(AND($F296&lt;&gt;"", $F296&gt;=BR$5-4, $F296&lt;=BR$5, COUNTIF($M296:BQ296,"u")=0), "u", "")</f>
        <v/>
      </c>
      <c r="BS296" s="80" t="str">
        <f>IF(AND($F296&lt;&gt;"", $F296&gt;=BS$5-4, $F296&lt;=BS$5, COUNTIF($M296:BR296,"u")=0), "u", "")</f>
        <v/>
      </c>
      <c r="BT296" s="80" t="str">
        <f>IF(AND($F296&lt;&gt;"", $F296&gt;=BT$5-4, $F296&lt;=BT$5, COUNTIF($M296:BS296,"u")=0), "u", "")</f>
        <v/>
      </c>
      <c r="BU296" s="80" t="str">
        <f>IF(AND($F296&lt;&gt;"", $F296&gt;=BU$5-4, $F296&lt;=BU$5, COUNTIF($M296:BT296,"u")=0), "u", "")</f>
        <v/>
      </c>
      <c r="BV296" s="80" t="str">
        <f>IF(AND($F296&lt;&gt;"", $F296&gt;=BV$5-4, $F296&lt;=BV$5, COUNTIF($M296:BU296,"u")=0), "u", "")</f>
        <v/>
      </c>
      <c r="BW296" s="80" t="str">
        <f>IF(AND($F296&lt;&gt;"", $F296&gt;=BW$5-4, $F296&lt;=BW$5, COUNTIF($M296:BV296,"u")=0), "u", "")</f>
        <v/>
      </c>
      <c r="BX296" s="80" t="str">
        <f>IF(AND($F296&lt;&gt;"", $F296&gt;=BX$5-4, $F296&lt;=BX$5, COUNTIF($M296:BW296,"u")=0), "u", "")</f>
        <v/>
      </c>
      <c r="BY296" s="80" t="str">
        <f>IF(AND($F296&lt;&gt;"", $F296&gt;=BY$5-4, $F296&lt;=BY$5, COUNTIF($M296:BX296,"u")=0), "u", "")</f>
        <v/>
      </c>
      <c r="BZ296" s="80" t="str">
        <f>IF(AND($F296&lt;&gt;"", $F296&gt;=BZ$5-4, $F296&lt;=BZ$5, COUNTIF($M296:BY296,"u")=0), "u", "")</f>
        <v/>
      </c>
      <c r="CA296" s="80" t="str">
        <f>IF(AND($F296&lt;&gt;"", $F296&gt;=CA$5-4, $F296&lt;=CA$5, COUNTIF($M296:BZ296,"u")=0), "u", "")</f>
        <v/>
      </c>
      <c r="CB296" s="80" t="str">
        <f>IF(AND($F296&lt;&gt;"", $F296&gt;=CB$5-4, $F296&lt;=CB$5, COUNTIF($M296:CA296,"u")=0), "u", "")</f>
        <v/>
      </c>
      <c r="CC296" s="80" t="str">
        <f>IF(AND($F296&lt;&gt;"", $F296&gt;=CC$5-4, $F296&lt;=CC$5, COUNTIF($M296:CB296,"u")=0), "u", "")</f>
        <v/>
      </c>
      <c r="CD296" s="80" t="str">
        <f>IF(AND($F296&lt;&gt;"", $F296&gt;=CD$5-4, $F296&lt;=CD$5, COUNTIF($M296:CC296,"u")=0), "u", "")</f>
        <v/>
      </c>
      <c r="CE296" s="80" t="str">
        <f>IF(AND($F296&lt;&gt;"", $F296&gt;=CE$5-4, $F296&lt;=CE$5, COUNTIF($M296:CD296,"u")=0), "u", "")</f>
        <v/>
      </c>
      <c r="CF296" s="80" t="str">
        <f>IF(AND($F296&lt;&gt;"", $F296&gt;=CF$5-4, $F296&lt;=CF$5, COUNTIF($M296:CE296,"u")=0), "u", "")</f>
        <v/>
      </c>
      <c r="CG296" s="80" t="str">
        <f>IF(AND($F296&lt;&gt;"", $F296&gt;=CG$5-4, $F296&lt;=CG$5, COUNTIF($M296:CF296,"u")=0), "u", "")</f>
        <v/>
      </c>
      <c r="CH296" s="80" t="str">
        <f>IF(AND($F296&lt;&gt;"", $F296&gt;=CH$5-4, $F296&lt;=CH$5, COUNTIF($M296:CG296,"u")=0), "u", "")</f>
        <v/>
      </c>
      <c r="CI296" s="80" t="str">
        <f>IF(AND($F296&lt;&gt;"", $F296&gt;=CI$5-4, $F296&lt;=CI$5, COUNTIF($M296:CH296,"u")=0), "u", "")</f>
        <v/>
      </c>
      <c r="CJ296" s="80" t="str">
        <f>IF(AND($F296&lt;&gt;"", $F296&gt;=CJ$5-4, $F296&lt;=CJ$5, COUNTIF($M296:CI296,"u")=0), "u", "")</f>
        <v/>
      </c>
      <c r="CK296" s="80" t="str">
        <f>IF(AND($F296&lt;&gt;"", $F296&gt;=CK$5-4, $F296&lt;=CK$5, COUNTIF($M296:CJ296,"u")=0), "u", "")</f>
        <v/>
      </c>
      <c r="CL296" s="80" t="str">
        <f>IF(AND($F296&lt;&gt;"", $F296&gt;=CL$5-4, $F296&lt;=CL$5, COUNTIF($M296:CK296,"u")=0), "u", "")</f>
        <v/>
      </c>
      <c r="CM296" s="80" t="str">
        <f>IF(AND($F296&lt;&gt;"", $F296&gt;=CM$5-4, $F296&lt;=CM$5, COUNTIF($M296:CL296,"u")=0), "u", "")</f>
        <v/>
      </c>
      <c r="CN296" s="80" t="str">
        <f>IF(AND($F296&lt;&gt;"", $F296&gt;=CN$5-4, $F296&lt;=CN$5, COUNTIF($M296:CM296,"u")=0), "u", "")</f>
        <v/>
      </c>
      <c r="CO296" s="80" t="str">
        <f>IF(AND($F296&lt;&gt;"", $F296&gt;=CO$5-4, $F296&lt;=CO$5, COUNTIF($M296:CN296,"u")=0), "u", "")</f>
        <v/>
      </c>
      <c r="CP296" s="80" t="str">
        <f>IF(AND($F296&lt;&gt;"", $F296&gt;=CP$5-4, $F296&lt;=CP$5, COUNTIF($M296:CO296,"u")=0), "u", "")</f>
        <v/>
      </c>
      <c r="CQ296" s="80" t="str">
        <f>IF(AND($F296&lt;&gt;"", $F296&gt;=CQ$5-4, $F296&lt;=CQ$5, COUNTIF($M296:CP296,"u")=0), "u", "")</f>
        <v/>
      </c>
      <c r="CR296" s="80" t="str">
        <f>IF(AND($F296&lt;&gt;"", $F296&gt;=CR$5-4, $F296&lt;=CR$5, COUNTIF($M296:CQ296,"u")=0), "u", "")</f>
        <v/>
      </c>
      <c r="CS296" s="80" t="str">
        <f>IF(AND($F296&lt;&gt;"", $F296&gt;=CS$5-4, $F296&lt;=CS$5, COUNTIF($M296:CR296,"u")=0), "u", "")</f>
        <v/>
      </c>
      <c r="CT296" s="80" t="str">
        <f>IF(AND($F296&lt;&gt;"", $F296&gt;=CT$5-4, $F296&lt;=CT$5, COUNTIF($M296:CS296,"u")=0), "u", "")</f>
        <v/>
      </c>
      <c r="CU296" s="80" t="str">
        <f>IF(AND($F296&lt;&gt;"", $F296&gt;=CU$5-4, $F296&lt;=CU$5, COUNTIF($M296:CT296,"u")=0), "u", "")</f>
        <v/>
      </c>
      <c r="CV296" s="80" t="str">
        <f>IF(AND($F296&lt;&gt;"", $F296&gt;=CV$5-4, $F296&lt;=CV$5, COUNTIF($M296:CU296,"u")=0), "u", "")</f>
        <v/>
      </c>
      <c r="CW296" s="80" t="str">
        <f>IF(AND($F296&lt;&gt;"", $F296&gt;=CW$5-4, $F296&lt;=CW$5, COUNTIF($M296:CV296,"u")=0), "u", "")</f>
        <v/>
      </c>
      <c r="CX296" s="80" t="str">
        <f>IF(AND($F296&lt;&gt;"", $F296&gt;=CX$5-4, $F296&lt;=CX$5, COUNTIF($M296:CW296,"u")=0), "u", "")</f>
        <v/>
      </c>
      <c r="CY296" s="80" t="str">
        <f>IF(AND($F296&lt;&gt;"", $F296&gt;=CY$5-4, $F296&lt;=CY$5, COUNTIF($M296:CX296,"u")=0), "u", "")</f>
        <v/>
      </c>
      <c r="CZ296" s="80" t="str">
        <f>IF(AND($F296&lt;&gt;"", $F296&gt;=CZ$5-4, $F296&lt;=CZ$5, COUNTIF($M296:CY296,"u")=0), "u", "")</f>
        <v/>
      </c>
      <c r="DA296" s="80" t="str">
        <f>IF(AND($F296&lt;&gt;"", $F296&gt;=DA$5-4, $F296&lt;=DA$5, COUNTIF($M296:CZ296,"u")=0), "u", "")</f>
        <v/>
      </c>
      <c r="DB296" s="80" t="str">
        <f>IF(AND($F296&lt;&gt;"", $F296&gt;=DB$5-4, $F296&lt;=DB$5, COUNTIF($M296:DA296,"u")=0), "u", "")</f>
        <v/>
      </c>
      <c r="DC296" s="80" t="str">
        <f>IF(AND($F296&lt;&gt;"", $F296&gt;=DC$5-4, $F296&lt;=DC$5, COUNTIF($M296:DB296,"u")=0), "u", "")</f>
        <v/>
      </c>
      <c r="DD296" s="80" t="str">
        <f>IF(AND($F296&lt;&gt;"", $F296&gt;=DD$5-4, $F296&lt;=DD$5, COUNTIF($M296:DC296,"u")=0), "u", "")</f>
        <v/>
      </c>
      <c r="DE296" s="80" t="str">
        <f>IF(AND($F296&lt;&gt;"", $F296&gt;=DE$5-4, $F296&lt;=DE$5, COUNTIF($M296:DD296,"u")=0), "u", "")</f>
        <v/>
      </c>
      <c r="DF296" s="80" t="str">
        <f>IF(AND($F296&lt;&gt;"", $F296&gt;=DF$5-4, $F296&lt;=DF$5, COUNTIF($M296:DE296,"u")=0), "u", "")</f>
        <v/>
      </c>
      <c r="DG296" s="80" t="str">
        <f>IF(AND($F296&lt;&gt;"", $F296&gt;=DG$5-4, $F296&lt;=DG$5, COUNTIF($M296:DF296,"u")=0), "u", "")</f>
        <v/>
      </c>
      <c r="DH296" s="80" t="str">
        <f>IF(AND($F296&lt;&gt;"", $F296&gt;=DH$5-4, $F296&lt;=DH$5, COUNTIF($M296:DG296,"u")=0), "u", "")</f>
        <v/>
      </c>
      <c r="DI296" s="80" t="str">
        <f>IF(AND($F296&lt;&gt;"", $F296&gt;=DI$5-4, $F296&lt;=DI$5, COUNTIF($M296:DH296,"u")=0), "u", "")</f>
        <v/>
      </c>
      <c r="DJ296" s="80" t="str">
        <f>IF(AND($F296&lt;&gt;"", $F296&gt;=DJ$5-4, $F296&lt;=DJ$5, COUNTIF($M296:DI296,"u")=0), "u", "")</f>
        <v/>
      </c>
      <c r="DK296" s="80" t="str">
        <f>IF(AND($F296&lt;&gt;"", $F296&gt;=DK$5-4, $F296&lt;=DK$5, COUNTIF($M296:DJ296,"u")=0), "u", "")</f>
        <v/>
      </c>
      <c r="DL296" s="80" t="str">
        <f>IF(AND($F296&lt;&gt;"", $F296&gt;=DL$5-4, $F296&lt;=DL$5, COUNTIF($M296:DK296,"u")=0), "u", "")</f>
        <v/>
      </c>
    </row>
    <row r="297" spans="1:116" ht="25.05" customHeight="1" x14ac:dyDescent="0.3">
      <c r="A297" s="39"/>
      <c r="B297" s="75">
        <v>292</v>
      </c>
      <c r="C297" s="97"/>
      <c r="D297" s="92"/>
      <c r="E297" s="53"/>
      <c r="F297" s="53"/>
      <c r="G297" s="83" t="str">
        <f t="shared" si="59"/>
        <v/>
      </c>
      <c r="H297" s="83" t="str">
        <f t="shared" si="59"/>
        <v/>
      </c>
      <c r="I297" s="77" t="str">
        <f t="shared" si="57"/>
        <v/>
      </c>
      <c r="J297" s="78"/>
      <c r="K297" s="86"/>
      <c r="L297" s="56"/>
      <c r="M297" s="80" t="str">
        <f t="shared" si="58"/>
        <v/>
      </c>
      <c r="N297" s="80" t="str">
        <f>IF(AND($F297&lt;&gt;"", $F297&gt;=N$5-4, $F297&lt;=N$5, COUNTIF($M297:M297,"u")=0), "u", "")</f>
        <v/>
      </c>
      <c r="O297" s="80" t="str">
        <f>IF(AND($F297&lt;&gt;"", $F297&gt;=O$5-4, $F297&lt;=O$5, COUNTIF($M297:N297,"u")=0), "u", "")</f>
        <v/>
      </c>
      <c r="P297" s="80" t="str">
        <f>IF(AND($F297&lt;&gt;"", $F297&gt;=P$5-4, $F297&lt;=P$5, COUNTIF($M297:O297,"u")=0), "u", "")</f>
        <v/>
      </c>
      <c r="Q297" s="80" t="str">
        <f>IF(AND($F297&lt;&gt;"", $F297&gt;=Q$5-4, $F297&lt;=Q$5, COUNTIF($M297:P297,"u")=0), "u", "")</f>
        <v/>
      </c>
      <c r="R297" s="80" t="str">
        <f>IF(AND($F297&lt;&gt;"", $F297&gt;=R$5-4, $F297&lt;=R$5, COUNTIF($M297:Q297,"u")=0), "u", "")</f>
        <v/>
      </c>
      <c r="S297" s="80" t="str">
        <f>IF(AND($F297&lt;&gt;"", $F297&gt;=S$5-4, $F297&lt;=S$5, COUNTIF($M297:R297,"u")=0), "u", "")</f>
        <v/>
      </c>
      <c r="T297" s="80" t="str">
        <f>IF(AND($F297&lt;&gt;"", $F297&gt;=T$5-4, $F297&lt;=T$5, COUNTIF($M297:S297,"u")=0), "u", "")</f>
        <v/>
      </c>
      <c r="U297" s="80" t="str">
        <f>IF(AND($F297&lt;&gt;"", $F297&gt;=U$5-4, $F297&lt;=U$5, COUNTIF($M297:T297,"u")=0), "u", "")</f>
        <v/>
      </c>
      <c r="V297" s="80" t="str">
        <f>IF(AND($F297&lt;&gt;"", $F297&gt;=V$5-4, $F297&lt;=V$5, COUNTIF($M297:U297,"u")=0), "u", "")</f>
        <v/>
      </c>
      <c r="W297" s="80" t="str">
        <f>IF(AND($F297&lt;&gt;"", $F297&gt;=W$5-4, $F297&lt;=W$5, COUNTIF($M297:V297,"u")=0), "u", "")</f>
        <v/>
      </c>
      <c r="X297" s="80" t="str">
        <f>IF(AND($F297&lt;&gt;"", $F297&gt;=X$5-4, $F297&lt;=X$5, COUNTIF($M297:W297,"u")=0), "u", "")</f>
        <v/>
      </c>
      <c r="Y297" s="80" t="str">
        <f>IF(AND($F297&lt;&gt;"", $F297&gt;=Y$5-4, $F297&lt;=Y$5, COUNTIF($M297:X297,"u")=0), "u", "")</f>
        <v/>
      </c>
      <c r="Z297" s="80" t="str">
        <f>IF(AND($F297&lt;&gt;"", $F297&gt;=Z$5-4, $F297&lt;=Z$5, COUNTIF($M297:Y297,"u")=0), "u", "")</f>
        <v/>
      </c>
      <c r="AA297" s="80" t="str">
        <f>IF(AND($F297&lt;&gt;"", $F297&gt;=AA$5-4, $F297&lt;=AA$5, COUNTIF($M297:Z297,"u")=0), "u", "")</f>
        <v/>
      </c>
      <c r="AB297" s="80" t="str">
        <f>IF(AND($F297&lt;&gt;"", $F297&gt;=AB$5-4, $F297&lt;=AB$5, COUNTIF($M297:AA297,"u")=0), "u", "")</f>
        <v/>
      </c>
      <c r="AC297" s="80" t="str">
        <f>IF(AND($F297&lt;&gt;"", $F297&gt;=AC$5-4, $F297&lt;=AC$5, COUNTIF($M297:AB297,"u")=0), "u", "")</f>
        <v/>
      </c>
      <c r="AD297" s="80" t="str">
        <f>IF(AND($F297&lt;&gt;"", $F297&gt;=AD$5-4, $F297&lt;=AD$5, COUNTIF($M297:AC297,"u")=0), "u", "")</f>
        <v/>
      </c>
      <c r="AE297" s="80" t="str">
        <f>IF(AND($F297&lt;&gt;"", $F297&gt;=AE$5-4, $F297&lt;=AE$5, COUNTIF($M297:AD297,"u")=0), "u", "")</f>
        <v/>
      </c>
      <c r="AF297" s="80" t="str">
        <f>IF(AND($F297&lt;&gt;"", $F297&gt;=AF$5-4, $F297&lt;=AF$5, COUNTIF($M297:AE297,"u")=0), "u", "")</f>
        <v/>
      </c>
      <c r="AG297" s="80" t="str">
        <f>IF(AND($F297&lt;&gt;"", $F297&gt;=AG$5-4, $F297&lt;=AG$5, COUNTIF($M297:AF297,"u")=0), "u", "")</f>
        <v/>
      </c>
      <c r="AH297" s="80" t="str">
        <f>IF(AND($F297&lt;&gt;"", $F297&gt;=AH$5-4, $F297&lt;=AH$5, COUNTIF($M297:AG297,"u")=0), "u", "")</f>
        <v/>
      </c>
      <c r="AI297" s="80" t="str">
        <f>IF(AND($F297&lt;&gt;"", $F297&gt;=AI$5-4, $F297&lt;=AI$5, COUNTIF($M297:AH297,"u")=0), "u", "")</f>
        <v/>
      </c>
      <c r="AJ297" s="80" t="str">
        <f>IF(AND($F297&lt;&gt;"", $F297&gt;=AJ$5-4, $F297&lt;=AJ$5, COUNTIF($M297:AI297,"u")=0), "u", "")</f>
        <v/>
      </c>
      <c r="AK297" s="80" t="str">
        <f>IF(AND($F297&lt;&gt;"", $F297&gt;=AK$5-4, $F297&lt;=AK$5, COUNTIF($M297:AJ297,"u")=0), "u", "")</f>
        <v/>
      </c>
      <c r="AL297" s="80" t="str">
        <f>IF(AND($F297&lt;&gt;"", $F297&gt;=AL$5-4, $F297&lt;=AL$5, COUNTIF($M297:AK297,"u")=0), "u", "")</f>
        <v/>
      </c>
      <c r="AM297" s="80" t="str">
        <f>IF(AND($F297&lt;&gt;"", $F297&gt;=AM$5-4, $F297&lt;=AM$5, COUNTIF($M297:AL297,"u")=0), "u", "")</f>
        <v/>
      </c>
      <c r="AN297" s="80" t="str">
        <f>IF(AND($F297&lt;&gt;"", $F297&gt;=AN$5-4, $F297&lt;=AN$5, COUNTIF($M297:AM297,"u")=0), "u", "")</f>
        <v/>
      </c>
      <c r="AO297" s="80" t="str">
        <f>IF(AND($F297&lt;&gt;"", $F297&gt;=AO$5-4, $F297&lt;=AO$5, COUNTIF($M297:AN297,"u")=0), "u", "")</f>
        <v/>
      </c>
      <c r="AP297" s="80" t="str">
        <f>IF(AND($F297&lt;&gt;"", $F297&gt;=AP$5-4, $F297&lt;=AP$5, COUNTIF($M297:AO297,"u")=0), "u", "")</f>
        <v/>
      </c>
      <c r="AQ297" s="80" t="str">
        <f>IF(AND($F297&lt;&gt;"", $F297&gt;=AQ$5-4, $F297&lt;=AQ$5, COUNTIF($M297:AP297,"u")=0), "u", "")</f>
        <v/>
      </c>
      <c r="AR297" s="80" t="str">
        <f>IF(AND($F297&lt;&gt;"", $F297&gt;=AR$5-4, $F297&lt;=AR$5, COUNTIF($M297:AQ297,"u")=0), "u", "")</f>
        <v/>
      </c>
      <c r="AS297" s="80" t="str">
        <f>IF(AND($F297&lt;&gt;"", $F297&gt;=AS$5-4, $F297&lt;=AS$5, COUNTIF($M297:AR297,"u")=0), "u", "")</f>
        <v/>
      </c>
      <c r="AT297" s="80" t="str">
        <f>IF(AND($F297&lt;&gt;"", $F297&gt;=AT$5-4, $F297&lt;=AT$5, COUNTIF($M297:AS297,"u")=0), "u", "")</f>
        <v/>
      </c>
      <c r="AU297" s="80" t="str">
        <f>IF(AND($F297&lt;&gt;"", $F297&gt;=AU$5-4, $F297&lt;=AU$5, COUNTIF($M297:AT297,"u")=0), "u", "")</f>
        <v/>
      </c>
      <c r="AV297" s="80" t="str">
        <f>IF(AND($F297&lt;&gt;"", $F297&gt;=AV$5-4, $F297&lt;=AV$5, COUNTIF($M297:AU297,"u")=0), "u", "")</f>
        <v/>
      </c>
      <c r="AW297" s="80" t="str">
        <f>IF(AND($F297&lt;&gt;"", $F297&gt;=AW$5-4, $F297&lt;=AW$5, COUNTIF($M297:AV297,"u")=0), "u", "")</f>
        <v/>
      </c>
      <c r="AX297" s="80" t="str">
        <f>IF(AND($F297&lt;&gt;"", $F297&gt;=AX$5-4, $F297&lt;=AX$5, COUNTIF($M297:AW297,"u")=0), "u", "")</f>
        <v/>
      </c>
      <c r="AY297" s="80" t="str">
        <f>IF(AND($F297&lt;&gt;"", $F297&gt;=AY$5-4, $F297&lt;=AY$5, COUNTIF($M297:AX297,"u")=0), "u", "")</f>
        <v/>
      </c>
      <c r="AZ297" s="80" t="str">
        <f>IF(AND($F297&lt;&gt;"", $F297&gt;=AZ$5-4, $F297&lt;=AZ$5, COUNTIF($M297:AY297,"u")=0), "u", "")</f>
        <v/>
      </c>
      <c r="BA297" s="80" t="str">
        <f>IF(AND($F297&lt;&gt;"", $F297&gt;=BA$5-4, $F297&lt;=BA$5, COUNTIF($M297:AZ297,"u")=0), "u", "")</f>
        <v/>
      </c>
      <c r="BB297" s="80" t="str">
        <f>IF(AND($F297&lt;&gt;"", $F297&gt;=BB$5-4, $F297&lt;=BB$5, COUNTIF($M297:BA297,"u")=0), "u", "")</f>
        <v/>
      </c>
      <c r="BC297" s="80" t="str">
        <f>IF(AND($F297&lt;&gt;"", $F297&gt;=BC$5-4, $F297&lt;=BC$5, COUNTIF($M297:BB297,"u")=0), "u", "")</f>
        <v/>
      </c>
      <c r="BD297" s="80" t="str">
        <f>IF(AND($F297&lt;&gt;"", $F297&gt;=BD$5-4, $F297&lt;=BD$5, COUNTIF($M297:BC297,"u")=0), "u", "")</f>
        <v/>
      </c>
      <c r="BE297" s="80" t="str">
        <f>IF(AND($F297&lt;&gt;"", $F297&gt;=BE$5-4, $F297&lt;=BE$5, COUNTIF($M297:BD297,"u")=0), "u", "")</f>
        <v/>
      </c>
      <c r="BF297" s="80" t="str">
        <f>IF(AND($F297&lt;&gt;"", $F297&gt;=BF$5-4, $F297&lt;=BF$5, COUNTIF($M297:BE297,"u")=0), "u", "")</f>
        <v/>
      </c>
      <c r="BG297" s="80" t="str">
        <f>IF(AND($F297&lt;&gt;"", $F297&gt;=BG$5-4, $F297&lt;=BG$5, COUNTIF($M297:BF297,"u")=0), "u", "")</f>
        <v/>
      </c>
      <c r="BH297" s="80" t="str">
        <f>IF(AND($F297&lt;&gt;"", $F297&gt;=BH$5-4, $F297&lt;=BH$5, COUNTIF($M297:BG297,"u")=0), "u", "")</f>
        <v/>
      </c>
      <c r="BI297" s="80" t="str">
        <f>IF(AND($F297&lt;&gt;"", $F297&gt;=BI$5-4, $F297&lt;=BI$5, COUNTIF($M297:BH297,"u")=0), "u", "")</f>
        <v/>
      </c>
      <c r="BJ297" s="80" t="str">
        <f>IF(AND($F297&lt;&gt;"", $F297&gt;=BJ$5-4, $F297&lt;=BJ$5, COUNTIF($M297:BI297,"u")=0), "u", "")</f>
        <v/>
      </c>
      <c r="BK297" s="80" t="str">
        <f>IF(AND($F297&lt;&gt;"", $F297&gt;=BK$5-4, $F297&lt;=BK$5, COUNTIF($M297:BJ297,"u")=0), "u", "")</f>
        <v/>
      </c>
      <c r="BL297" s="80" t="str">
        <f>IF(AND($F297&lt;&gt;"", $F297&gt;=BL$5-4, $F297&lt;=BL$5, COUNTIF($M297:BK297,"u")=0), "u", "")</f>
        <v/>
      </c>
      <c r="BM297" s="80" t="str">
        <f>IF(AND($F297&lt;&gt;"", $F297&gt;=BM$5-4, $F297&lt;=BM$5, COUNTIF($M297:BL297,"u")=0), "u", "")</f>
        <v/>
      </c>
      <c r="BN297" s="80" t="str">
        <f>IF(AND($F297&lt;&gt;"", $F297&gt;=BN$5-4, $F297&lt;=BN$5, COUNTIF($M297:BM297,"u")=0), "u", "")</f>
        <v/>
      </c>
      <c r="BO297" s="80" t="str">
        <f>IF(AND($F297&lt;&gt;"", $F297&gt;=BO$5-4, $F297&lt;=BO$5, COUNTIF($M297:BN297,"u")=0), "u", "")</f>
        <v/>
      </c>
      <c r="BP297" s="80" t="str">
        <f>IF(AND($F297&lt;&gt;"", $F297&gt;=BP$5-4, $F297&lt;=BP$5, COUNTIF($M297:BO297,"u")=0), "u", "")</f>
        <v/>
      </c>
      <c r="BQ297" s="80" t="str">
        <f>IF(AND($F297&lt;&gt;"", $F297&gt;=BQ$5-4, $F297&lt;=BQ$5, COUNTIF($M297:BP297,"u")=0), "u", "")</f>
        <v/>
      </c>
      <c r="BR297" s="80" t="str">
        <f>IF(AND($F297&lt;&gt;"", $F297&gt;=BR$5-4, $F297&lt;=BR$5, COUNTIF($M297:BQ297,"u")=0), "u", "")</f>
        <v/>
      </c>
      <c r="BS297" s="80" t="str">
        <f>IF(AND($F297&lt;&gt;"", $F297&gt;=BS$5-4, $F297&lt;=BS$5, COUNTIF($M297:BR297,"u")=0), "u", "")</f>
        <v/>
      </c>
      <c r="BT297" s="80" t="str">
        <f>IF(AND($F297&lt;&gt;"", $F297&gt;=BT$5-4, $F297&lt;=BT$5, COUNTIF($M297:BS297,"u")=0), "u", "")</f>
        <v/>
      </c>
      <c r="BU297" s="80" t="str">
        <f>IF(AND($F297&lt;&gt;"", $F297&gt;=BU$5-4, $F297&lt;=BU$5, COUNTIF($M297:BT297,"u")=0), "u", "")</f>
        <v/>
      </c>
      <c r="BV297" s="80" t="str">
        <f>IF(AND($F297&lt;&gt;"", $F297&gt;=BV$5-4, $F297&lt;=BV$5, COUNTIF($M297:BU297,"u")=0), "u", "")</f>
        <v/>
      </c>
      <c r="BW297" s="80" t="str">
        <f>IF(AND($F297&lt;&gt;"", $F297&gt;=BW$5-4, $F297&lt;=BW$5, COUNTIF($M297:BV297,"u")=0), "u", "")</f>
        <v/>
      </c>
      <c r="BX297" s="80" t="str">
        <f>IF(AND($F297&lt;&gt;"", $F297&gt;=BX$5-4, $F297&lt;=BX$5, COUNTIF($M297:BW297,"u")=0), "u", "")</f>
        <v/>
      </c>
      <c r="BY297" s="80" t="str">
        <f>IF(AND($F297&lt;&gt;"", $F297&gt;=BY$5-4, $F297&lt;=BY$5, COUNTIF($M297:BX297,"u")=0), "u", "")</f>
        <v/>
      </c>
      <c r="BZ297" s="80" t="str">
        <f>IF(AND($F297&lt;&gt;"", $F297&gt;=BZ$5-4, $F297&lt;=BZ$5, COUNTIF($M297:BY297,"u")=0), "u", "")</f>
        <v/>
      </c>
      <c r="CA297" s="80" t="str">
        <f>IF(AND($F297&lt;&gt;"", $F297&gt;=CA$5-4, $F297&lt;=CA$5, COUNTIF($M297:BZ297,"u")=0), "u", "")</f>
        <v/>
      </c>
      <c r="CB297" s="80" t="str">
        <f>IF(AND($F297&lt;&gt;"", $F297&gt;=CB$5-4, $F297&lt;=CB$5, COUNTIF($M297:CA297,"u")=0), "u", "")</f>
        <v/>
      </c>
      <c r="CC297" s="80" t="str">
        <f>IF(AND($F297&lt;&gt;"", $F297&gt;=CC$5-4, $F297&lt;=CC$5, COUNTIF($M297:CB297,"u")=0), "u", "")</f>
        <v/>
      </c>
      <c r="CD297" s="80" t="str">
        <f>IF(AND($F297&lt;&gt;"", $F297&gt;=CD$5-4, $F297&lt;=CD$5, COUNTIF($M297:CC297,"u")=0), "u", "")</f>
        <v/>
      </c>
      <c r="CE297" s="80" t="str">
        <f>IF(AND($F297&lt;&gt;"", $F297&gt;=CE$5-4, $F297&lt;=CE$5, COUNTIF($M297:CD297,"u")=0), "u", "")</f>
        <v/>
      </c>
      <c r="CF297" s="80" t="str">
        <f>IF(AND($F297&lt;&gt;"", $F297&gt;=CF$5-4, $F297&lt;=CF$5, COUNTIF($M297:CE297,"u")=0), "u", "")</f>
        <v/>
      </c>
      <c r="CG297" s="80" t="str">
        <f>IF(AND($F297&lt;&gt;"", $F297&gt;=CG$5-4, $F297&lt;=CG$5, COUNTIF($M297:CF297,"u")=0), "u", "")</f>
        <v/>
      </c>
      <c r="CH297" s="80" t="str">
        <f>IF(AND($F297&lt;&gt;"", $F297&gt;=CH$5-4, $F297&lt;=CH$5, COUNTIF($M297:CG297,"u")=0), "u", "")</f>
        <v/>
      </c>
      <c r="CI297" s="80" t="str">
        <f>IF(AND($F297&lt;&gt;"", $F297&gt;=CI$5-4, $F297&lt;=CI$5, COUNTIF($M297:CH297,"u")=0), "u", "")</f>
        <v/>
      </c>
      <c r="CJ297" s="80" t="str">
        <f>IF(AND($F297&lt;&gt;"", $F297&gt;=CJ$5-4, $F297&lt;=CJ$5, COUNTIF($M297:CI297,"u")=0), "u", "")</f>
        <v/>
      </c>
      <c r="CK297" s="80" t="str">
        <f>IF(AND($F297&lt;&gt;"", $F297&gt;=CK$5-4, $F297&lt;=CK$5, COUNTIF($M297:CJ297,"u")=0), "u", "")</f>
        <v/>
      </c>
      <c r="CL297" s="80" t="str">
        <f>IF(AND($F297&lt;&gt;"", $F297&gt;=CL$5-4, $F297&lt;=CL$5, COUNTIF($M297:CK297,"u")=0), "u", "")</f>
        <v/>
      </c>
      <c r="CM297" s="80" t="str">
        <f>IF(AND($F297&lt;&gt;"", $F297&gt;=CM$5-4, $F297&lt;=CM$5, COUNTIF($M297:CL297,"u")=0), "u", "")</f>
        <v/>
      </c>
      <c r="CN297" s="80" t="str">
        <f>IF(AND($F297&lt;&gt;"", $F297&gt;=CN$5-4, $F297&lt;=CN$5, COUNTIF($M297:CM297,"u")=0), "u", "")</f>
        <v/>
      </c>
      <c r="CO297" s="80" t="str">
        <f>IF(AND($F297&lt;&gt;"", $F297&gt;=CO$5-4, $F297&lt;=CO$5, COUNTIF($M297:CN297,"u")=0), "u", "")</f>
        <v/>
      </c>
      <c r="CP297" s="80" t="str">
        <f>IF(AND($F297&lt;&gt;"", $F297&gt;=CP$5-4, $F297&lt;=CP$5, COUNTIF($M297:CO297,"u")=0), "u", "")</f>
        <v/>
      </c>
      <c r="CQ297" s="80" t="str">
        <f>IF(AND($F297&lt;&gt;"", $F297&gt;=CQ$5-4, $F297&lt;=CQ$5, COUNTIF($M297:CP297,"u")=0), "u", "")</f>
        <v/>
      </c>
      <c r="CR297" s="80" t="str">
        <f>IF(AND($F297&lt;&gt;"", $F297&gt;=CR$5-4, $F297&lt;=CR$5, COUNTIF($M297:CQ297,"u")=0), "u", "")</f>
        <v/>
      </c>
      <c r="CS297" s="80" t="str">
        <f>IF(AND($F297&lt;&gt;"", $F297&gt;=CS$5-4, $F297&lt;=CS$5, COUNTIF($M297:CR297,"u")=0), "u", "")</f>
        <v/>
      </c>
      <c r="CT297" s="80" t="str">
        <f>IF(AND($F297&lt;&gt;"", $F297&gt;=CT$5-4, $F297&lt;=CT$5, COUNTIF($M297:CS297,"u")=0), "u", "")</f>
        <v/>
      </c>
      <c r="CU297" s="80" t="str">
        <f>IF(AND($F297&lt;&gt;"", $F297&gt;=CU$5-4, $F297&lt;=CU$5, COUNTIF($M297:CT297,"u")=0), "u", "")</f>
        <v/>
      </c>
      <c r="CV297" s="80" t="str">
        <f>IF(AND($F297&lt;&gt;"", $F297&gt;=CV$5-4, $F297&lt;=CV$5, COUNTIF($M297:CU297,"u")=0), "u", "")</f>
        <v/>
      </c>
      <c r="CW297" s="80" t="str">
        <f>IF(AND($F297&lt;&gt;"", $F297&gt;=CW$5-4, $F297&lt;=CW$5, COUNTIF($M297:CV297,"u")=0), "u", "")</f>
        <v/>
      </c>
      <c r="CX297" s="80" t="str">
        <f>IF(AND($F297&lt;&gt;"", $F297&gt;=CX$5-4, $F297&lt;=CX$5, COUNTIF($M297:CW297,"u")=0), "u", "")</f>
        <v/>
      </c>
      <c r="CY297" s="80" t="str">
        <f>IF(AND($F297&lt;&gt;"", $F297&gt;=CY$5-4, $F297&lt;=CY$5, COUNTIF($M297:CX297,"u")=0), "u", "")</f>
        <v/>
      </c>
      <c r="CZ297" s="80" t="str">
        <f>IF(AND($F297&lt;&gt;"", $F297&gt;=CZ$5-4, $F297&lt;=CZ$5, COUNTIF($M297:CY297,"u")=0), "u", "")</f>
        <v/>
      </c>
      <c r="DA297" s="80" t="str">
        <f>IF(AND($F297&lt;&gt;"", $F297&gt;=DA$5-4, $F297&lt;=DA$5, COUNTIF($M297:CZ297,"u")=0), "u", "")</f>
        <v/>
      </c>
      <c r="DB297" s="80" t="str">
        <f>IF(AND($F297&lt;&gt;"", $F297&gt;=DB$5-4, $F297&lt;=DB$5, COUNTIF($M297:DA297,"u")=0), "u", "")</f>
        <v/>
      </c>
      <c r="DC297" s="80" t="str">
        <f>IF(AND($F297&lt;&gt;"", $F297&gt;=DC$5-4, $F297&lt;=DC$5, COUNTIF($M297:DB297,"u")=0), "u", "")</f>
        <v/>
      </c>
      <c r="DD297" s="80" t="str">
        <f>IF(AND($F297&lt;&gt;"", $F297&gt;=DD$5-4, $F297&lt;=DD$5, COUNTIF($M297:DC297,"u")=0), "u", "")</f>
        <v/>
      </c>
      <c r="DE297" s="80" t="str">
        <f>IF(AND($F297&lt;&gt;"", $F297&gt;=DE$5-4, $F297&lt;=DE$5, COUNTIF($M297:DD297,"u")=0), "u", "")</f>
        <v/>
      </c>
      <c r="DF297" s="80" t="str">
        <f>IF(AND($F297&lt;&gt;"", $F297&gt;=DF$5-4, $F297&lt;=DF$5, COUNTIF($M297:DE297,"u")=0), "u", "")</f>
        <v/>
      </c>
      <c r="DG297" s="80" t="str">
        <f>IF(AND($F297&lt;&gt;"", $F297&gt;=DG$5-4, $F297&lt;=DG$5, COUNTIF($M297:DF297,"u")=0), "u", "")</f>
        <v/>
      </c>
      <c r="DH297" s="80" t="str">
        <f>IF(AND($F297&lt;&gt;"", $F297&gt;=DH$5-4, $F297&lt;=DH$5, COUNTIF($M297:DG297,"u")=0), "u", "")</f>
        <v/>
      </c>
      <c r="DI297" s="80" t="str">
        <f>IF(AND($F297&lt;&gt;"", $F297&gt;=DI$5-4, $F297&lt;=DI$5, COUNTIF($M297:DH297,"u")=0), "u", "")</f>
        <v/>
      </c>
      <c r="DJ297" s="80" t="str">
        <f>IF(AND($F297&lt;&gt;"", $F297&gt;=DJ$5-4, $F297&lt;=DJ$5, COUNTIF($M297:DI297,"u")=0), "u", "")</f>
        <v/>
      </c>
      <c r="DK297" s="80" t="str">
        <f>IF(AND($F297&lt;&gt;"", $F297&gt;=DK$5-4, $F297&lt;=DK$5, COUNTIF($M297:DJ297,"u")=0), "u", "")</f>
        <v/>
      </c>
      <c r="DL297" s="80" t="str">
        <f>IF(AND($F297&lt;&gt;"", $F297&gt;=DL$5-4, $F297&lt;=DL$5, COUNTIF($M297:DK297,"u")=0), "u", "")</f>
        <v/>
      </c>
    </row>
    <row r="298" spans="1:116" ht="25.05" customHeight="1" x14ac:dyDescent="0.3">
      <c r="A298" s="39"/>
      <c r="B298" s="75">
        <v>293</v>
      </c>
      <c r="C298" s="97"/>
      <c r="D298" s="92"/>
      <c r="E298" s="53"/>
      <c r="F298" s="53"/>
      <c r="G298" s="83" t="str">
        <f t="shared" si="59"/>
        <v/>
      </c>
      <c r="H298" s="83" t="str">
        <f t="shared" si="59"/>
        <v/>
      </c>
      <c r="I298" s="77" t="str">
        <f t="shared" si="57"/>
        <v/>
      </c>
      <c r="J298" s="78"/>
      <c r="K298" s="86"/>
      <c r="L298" s="56"/>
      <c r="M298" s="80" t="str">
        <f t="shared" si="58"/>
        <v/>
      </c>
      <c r="N298" s="80" t="str">
        <f>IF(AND($F298&lt;&gt;"", $F298&gt;=N$5-4, $F298&lt;=N$5, COUNTIF($M298:M298,"u")=0), "u", "")</f>
        <v/>
      </c>
      <c r="O298" s="80" t="str">
        <f>IF(AND($F298&lt;&gt;"", $F298&gt;=O$5-4, $F298&lt;=O$5, COUNTIF($M298:N298,"u")=0), "u", "")</f>
        <v/>
      </c>
      <c r="P298" s="80" t="str">
        <f>IF(AND($F298&lt;&gt;"", $F298&gt;=P$5-4, $F298&lt;=P$5, COUNTIF($M298:O298,"u")=0), "u", "")</f>
        <v/>
      </c>
      <c r="Q298" s="80" t="str">
        <f>IF(AND($F298&lt;&gt;"", $F298&gt;=Q$5-4, $F298&lt;=Q$5, COUNTIF($M298:P298,"u")=0), "u", "")</f>
        <v/>
      </c>
      <c r="R298" s="80" t="str">
        <f>IF(AND($F298&lt;&gt;"", $F298&gt;=R$5-4, $F298&lt;=R$5, COUNTIF($M298:Q298,"u")=0), "u", "")</f>
        <v/>
      </c>
      <c r="S298" s="80" t="str">
        <f>IF(AND($F298&lt;&gt;"", $F298&gt;=S$5-4, $F298&lt;=S$5, COUNTIF($M298:R298,"u")=0), "u", "")</f>
        <v/>
      </c>
      <c r="T298" s="80" t="str">
        <f>IF(AND($F298&lt;&gt;"", $F298&gt;=T$5-4, $F298&lt;=T$5, COUNTIF($M298:S298,"u")=0), "u", "")</f>
        <v/>
      </c>
      <c r="U298" s="80" t="str">
        <f>IF(AND($F298&lt;&gt;"", $F298&gt;=U$5-4, $F298&lt;=U$5, COUNTIF($M298:T298,"u")=0), "u", "")</f>
        <v/>
      </c>
      <c r="V298" s="80" t="str">
        <f>IF(AND($F298&lt;&gt;"", $F298&gt;=V$5-4, $F298&lt;=V$5, COUNTIF($M298:U298,"u")=0), "u", "")</f>
        <v/>
      </c>
      <c r="W298" s="80" t="str">
        <f>IF(AND($F298&lt;&gt;"", $F298&gt;=W$5-4, $F298&lt;=W$5, COUNTIF($M298:V298,"u")=0), "u", "")</f>
        <v/>
      </c>
      <c r="X298" s="80" t="str">
        <f>IF(AND($F298&lt;&gt;"", $F298&gt;=X$5-4, $F298&lt;=X$5, COUNTIF($M298:W298,"u")=0), "u", "")</f>
        <v/>
      </c>
      <c r="Y298" s="80" t="str">
        <f>IF(AND($F298&lt;&gt;"", $F298&gt;=Y$5-4, $F298&lt;=Y$5, COUNTIF($M298:X298,"u")=0), "u", "")</f>
        <v/>
      </c>
      <c r="Z298" s="80" t="str">
        <f>IF(AND($F298&lt;&gt;"", $F298&gt;=Z$5-4, $F298&lt;=Z$5, COUNTIF($M298:Y298,"u")=0), "u", "")</f>
        <v/>
      </c>
      <c r="AA298" s="80" t="str">
        <f>IF(AND($F298&lt;&gt;"", $F298&gt;=AA$5-4, $F298&lt;=AA$5, COUNTIF($M298:Z298,"u")=0), "u", "")</f>
        <v/>
      </c>
      <c r="AB298" s="80" t="str">
        <f>IF(AND($F298&lt;&gt;"", $F298&gt;=AB$5-4, $F298&lt;=AB$5, COUNTIF($M298:AA298,"u")=0), "u", "")</f>
        <v/>
      </c>
      <c r="AC298" s="80" t="str">
        <f>IF(AND($F298&lt;&gt;"", $F298&gt;=AC$5-4, $F298&lt;=AC$5, COUNTIF($M298:AB298,"u")=0), "u", "")</f>
        <v/>
      </c>
      <c r="AD298" s="80" t="str">
        <f>IF(AND($F298&lt;&gt;"", $F298&gt;=AD$5-4, $F298&lt;=AD$5, COUNTIF($M298:AC298,"u")=0), "u", "")</f>
        <v/>
      </c>
      <c r="AE298" s="80" t="str">
        <f>IF(AND($F298&lt;&gt;"", $F298&gt;=AE$5-4, $F298&lt;=AE$5, COUNTIF($M298:AD298,"u")=0), "u", "")</f>
        <v/>
      </c>
      <c r="AF298" s="80" t="str">
        <f>IF(AND($F298&lt;&gt;"", $F298&gt;=AF$5-4, $F298&lt;=AF$5, COUNTIF($M298:AE298,"u")=0), "u", "")</f>
        <v/>
      </c>
      <c r="AG298" s="80" t="str">
        <f>IF(AND($F298&lt;&gt;"", $F298&gt;=AG$5-4, $F298&lt;=AG$5, COUNTIF($M298:AF298,"u")=0), "u", "")</f>
        <v/>
      </c>
      <c r="AH298" s="80" t="str">
        <f>IF(AND($F298&lt;&gt;"", $F298&gt;=AH$5-4, $F298&lt;=AH$5, COUNTIF($M298:AG298,"u")=0), "u", "")</f>
        <v/>
      </c>
      <c r="AI298" s="80" t="str">
        <f>IF(AND($F298&lt;&gt;"", $F298&gt;=AI$5-4, $F298&lt;=AI$5, COUNTIF($M298:AH298,"u")=0), "u", "")</f>
        <v/>
      </c>
      <c r="AJ298" s="80" t="str">
        <f>IF(AND($F298&lt;&gt;"", $F298&gt;=AJ$5-4, $F298&lt;=AJ$5, COUNTIF($M298:AI298,"u")=0), "u", "")</f>
        <v/>
      </c>
      <c r="AK298" s="80" t="str">
        <f>IF(AND($F298&lt;&gt;"", $F298&gt;=AK$5-4, $F298&lt;=AK$5, COUNTIF($M298:AJ298,"u")=0), "u", "")</f>
        <v/>
      </c>
      <c r="AL298" s="80" t="str">
        <f>IF(AND($F298&lt;&gt;"", $F298&gt;=AL$5-4, $F298&lt;=AL$5, COUNTIF($M298:AK298,"u")=0), "u", "")</f>
        <v/>
      </c>
      <c r="AM298" s="80" t="str">
        <f>IF(AND($F298&lt;&gt;"", $F298&gt;=AM$5-4, $F298&lt;=AM$5, COUNTIF($M298:AL298,"u")=0), "u", "")</f>
        <v/>
      </c>
      <c r="AN298" s="80" t="str">
        <f>IF(AND($F298&lt;&gt;"", $F298&gt;=AN$5-4, $F298&lt;=AN$5, COUNTIF($M298:AM298,"u")=0), "u", "")</f>
        <v/>
      </c>
      <c r="AO298" s="80" t="str">
        <f>IF(AND($F298&lt;&gt;"", $F298&gt;=AO$5-4, $F298&lt;=AO$5, COUNTIF($M298:AN298,"u")=0), "u", "")</f>
        <v/>
      </c>
      <c r="AP298" s="80" t="str">
        <f>IF(AND($F298&lt;&gt;"", $F298&gt;=AP$5-4, $F298&lt;=AP$5, COUNTIF($M298:AO298,"u")=0), "u", "")</f>
        <v/>
      </c>
      <c r="AQ298" s="80" t="str">
        <f>IF(AND($F298&lt;&gt;"", $F298&gt;=AQ$5-4, $F298&lt;=AQ$5, COUNTIF($M298:AP298,"u")=0), "u", "")</f>
        <v/>
      </c>
      <c r="AR298" s="80" t="str">
        <f>IF(AND($F298&lt;&gt;"", $F298&gt;=AR$5-4, $F298&lt;=AR$5, COUNTIF($M298:AQ298,"u")=0), "u", "")</f>
        <v/>
      </c>
      <c r="AS298" s="80" t="str">
        <f>IF(AND($F298&lt;&gt;"", $F298&gt;=AS$5-4, $F298&lt;=AS$5, COUNTIF($M298:AR298,"u")=0), "u", "")</f>
        <v/>
      </c>
      <c r="AT298" s="80" t="str">
        <f>IF(AND($F298&lt;&gt;"", $F298&gt;=AT$5-4, $F298&lt;=AT$5, COUNTIF($M298:AS298,"u")=0), "u", "")</f>
        <v/>
      </c>
      <c r="AU298" s="80" t="str">
        <f>IF(AND($F298&lt;&gt;"", $F298&gt;=AU$5-4, $F298&lt;=AU$5, COUNTIF($M298:AT298,"u")=0), "u", "")</f>
        <v/>
      </c>
      <c r="AV298" s="80" t="str">
        <f>IF(AND($F298&lt;&gt;"", $F298&gt;=AV$5-4, $F298&lt;=AV$5, COUNTIF($M298:AU298,"u")=0), "u", "")</f>
        <v/>
      </c>
      <c r="AW298" s="80" t="str">
        <f>IF(AND($F298&lt;&gt;"", $F298&gt;=AW$5-4, $F298&lt;=AW$5, COUNTIF($M298:AV298,"u")=0), "u", "")</f>
        <v/>
      </c>
      <c r="AX298" s="80" t="str">
        <f>IF(AND($F298&lt;&gt;"", $F298&gt;=AX$5-4, $F298&lt;=AX$5, COUNTIF($M298:AW298,"u")=0), "u", "")</f>
        <v/>
      </c>
      <c r="AY298" s="80" t="str">
        <f>IF(AND($F298&lt;&gt;"", $F298&gt;=AY$5-4, $F298&lt;=AY$5, COUNTIF($M298:AX298,"u")=0), "u", "")</f>
        <v/>
      </c>
      <c r="AZ298" s="80" t="str">
        <f>IF(AND($F298&lt;&gt;"", $F298&gt;=AZ$5-4, $F298&lt;=AZ$5, COUNTIF($M298:AY298,"u")=0), "u", "")</f>
        <v/>
      </c>
      <c r="BA298" s="80" t="str">
        <f>IF(AND($F298&lt;&gt;"", $F298&gt;=BA$5-4, $F298&lt;=BA$5, COUNTIF($M298:AZ298,"u")=0), "u", "")</f>
        <v/>
      </c>
      <c r="BB298" s="80" t="str">
        <f>IF(AND($F298&lt;&gt;"", $F298&gt;=BB$5-4, $F298&lt;=BB$5, COUNTIF($M298:BA298,"u")=0), "u", "")</f>
        <v/>
      </c>
      <c r="BC298" s="80" t="str">
        <f>IF(AND($F298&lt;&gt;"", $F298&gt;=BC$5-4, $F298&lt;=BC$5, COUNTIF($M298:BB298,"u")=0), "u", "")</f>
        <v/>
      </c>
      <c r="BD298" s="80" t="str">
        <f>IF(AND($F298&lt;&gt;"", $F298&gt;=BD$5-4, $F298&lt;=BD$5, COUNTIF($M298:BC298,"u")=0), "u", "")</f>
        <v/>
      </c>
      <c r="BE298" s="80" t="str">
        <f>IF(AND($F298&lt;&gt;"", $F298&gt;=BE$5-4, $F298&lt;=BE$5, COUNTIF($M298:BD298,"u")=0), "u", "")</f>
        <v/>
      </c>
      <c r="BF298" s="80" t="str">
        <f>IF(AND($F298&lt;&gt;"", $F298&gt;=BF$5-4, $F298&lt;=BF$5, COUNTIF($M298:BE298,"u")=0), "u", "")</f>
        <v/>
      </c>
      <c r="BG298" s="80" t="str">
        <f>IF(AND($F298&lt;&gt;"", $F298&gt;=BG$5-4, $F298&lt;=BG$5, COUNTIF($M298:BF298,"u")=0), "u", "")</f>
        <v/>
      </c>
      <c r="BH298" s="80" t="str">
        <f>IF(AND($F298&lt;&gt;"", $F298&gt;=BH$5-4, $F298&lt;=BH$5, COUNTIF($M298:BG298,"u")=0), "u", "")</f>
        <v/>
      </c>
      <c r="BI298" s="80" t="str">
        <f>IF(AND($F298&lt;&gt;"", $F298&gt;=BI$5-4, $F298&lt;=BI$5, COUNTIF($M298:BH298,"u")=0), "u", "")</f>
        <v/>
      </c>
      <c r="BJ298" s="80" t="str">
        <f>IF(AND($F298&lt;&gt;"", $F298&gt;=BJ$5-4, $F298&lt;=BJ$5, COUNTIF($M298:BI298,"u")=0), "u", "")</f>
        <v/>
      </c>
      <c r="BK298" s="80" t="str">
        <f>IF(AND($F298&lt;&gt;"", $F298&gt;=BK$5-4, $F298&lt;=BK$5, COUNTIF($M298:BJ298,"u")=0), "u", "")</f>
        <v/>
      </c>
      <c r="BL298" s="80" t="str">
        <f>IF(AND($F298&lt;&gt;"", $F298&gt;=BL$5-4, $F298&lt;=BL$5, COUNTIF($M298:BK298,"u")=0), "u", "")</f>
        <v/>
      </c>
      <c r="BM298" s="80" t="str">
        <f>IF(AND($F298&lt;&gt;"", $F298&gt;=BM$5-4, $F298&lt;=BM$5, COUNTIF($M298:BL298,"u")=0), "u", "")</f>
        <v/>
      </c>
      <c r="BN298" s="80" t="str">
        <f>IF(AND($F298&lt;&gt;"", $F298&gt;=BN$5-4, $F298&lt;=BN$5, COUNTIF($M298:BM298,"u")=0), "u", "")</f>
        <v/>
      </c>
      <c r="BO298" s="80" t="str">
        <f>IF(AND($F298&lt;&gt;"", $F298&gt;=BO$5-4, $F298&lt;=BO$5, COUNTIF($M298:BN298,"u")=0), "u", "")</f>
        <v/>
      </c>
      <c r="BP298" s="80" t="str">
        <f>IF(AND($F298&lt;&gt;"", $F298&gt;=BP$5-4, $F298&lt;=BP$5, COUNTIF($M298:BO298,"u")=0), "u", "")</f>
        <v/>
      </c>
      <c r="BQ298" s="80" t="str">
        <f>IF(AND($F298&lt;&gt;"", $F298&gt;=BQ$5-4, $F298&lt;=BQ$5, COUNTIF($M298:BP298,"u")=0), "u", "")</f>
        <v/>
      </c>
      <c r="BR298" s="80" t="str">
        <f>IF(AND($F298&lt;&gt;"", $F298&gt;=BR$5-4, $F298&lt;=BR$5, COUNTIF($M298:BQ298,"u")=0), "u", "")</f>
        <v/>
      </c>
      <c r="BS298" s="80" t="str">
        <f>IF(AND($F298&lt;&gt;"", $F298&gt;=BS$5-4, $F298&lt;=BS$5, COUNTIF($M298:BR298,"u")=0), "u", "")</f>
        <v/>
      </c>
      <c r="BT298" s="80" t="str">
        <f>IF(AND($F298&lt;&gt;"", $F298&gt;=BT$5-4, $F298&lt;=BT$5, COUNTIF($M298:BS298,"u")=0), "u", "")</f>
        <v/>
      </c>
      <c r="BU298" s="80" t="str">
        <f>IF(AND($F298&lt;&gt;"", $F298&gt;=BU$5-4, $F298&lt;=BU$5, COUNTIF($M298:BT298,"u")=0), "u", "")</f>
        <v/>
      </c>
      <c r="BV298" s="80" t="str">
        <f>IF(AND($F298&lt;&gt;"", $F298&gt;=BV$5-4, $F298&lt;=BV$5, COUNTIF($M298:BU298,"u")=0), "u", "")</f>
        <v/>
      </c>
      <c r="BW298" s="80" t="str">
        <f>IF(AND($F298&lt;&gt;"", $F298&gt;=BW$5-4, $F298&lt;=BW$5, COUNTIF($M298:BV298,"u")=0), "u", "")</f>
        <v/>
      </c>
      <c r="BX298" s="80" t="str">
        <f>IF(AND($F298&lt;&gt;"", $F298&gt;=BX$5-4, $F298&lt;=BX$5, COUNTIF($M298:BW298,"u")=0), "u", "")</f>
        <v/>
      </c>
      <c r="BY298" s="80" t="str">
        <f>IF(AND($F298&lt;&gt;"", $F298&gt;=BY$5-4, $F298&lt;=BY$5, COUNTIF($M298:BX298,"u")=0), "u", "")</f>
        <v/>
      </c>
      <c r="BZ298" s="80" t="str">
        <f>IF(AND($F298&lt;&gt;"", $F298&gt;=BZ$5-4, $F298&lt;=BZ$5, COUNTIF($M298:BY298,"u")=0), "u", "")</f>
        <v/>
      </c>
      <c r="CA298" s="80" t="str">
        <f>IF(AND($F298&lt;&gt;"", $F298&gt;=CA$5-4, $F298&lt;=CA$5, COUNTIF($M298:BZ298,"u")=0), "u", "")</f>
        <v/>
      </c>
      <c r="CB298" s="80" t="str">
        <f>IF(AND($F298&lt;&gt;"", $F298&gt;=CB$5-4, $F298&lt;=CB$5, COUNTIF($M298:CA298,"u")=0), "u", "")</f>
        <v/>
      </c>
      <c r="CC298" s="80" t="str">
        <f>IF(AND($F298&lt;&gt;"", $F298&gt;=CC$5-4, $F298&lt;=CC$5, COUNTIF($M298:CB298,"u")=0), "u", "")</f>
        <v/>
      </c>
      <c r="CD298" s="80" t="str">
        <f>IF(AND($F298&lt;&gt;"", $F298&gt;=CD$5-4, $F298&lt;=CD$5, COUNTIF($M298:CC298,"u")=0), "u", "")</f>
        <v/>
      </c>
      <c r="CE298" s="80" t="str">
        <f>IF(AND($F298&lt;&gt;"", $F298&gt;=CE$5-4, $F298&lt;=CE$5, COUNTIF($M298:CD298,"u")=0), "u", "")</f>
        <v/>
      </c>
      <c r="CF298" s="80" t="str">
        <f>IF(AND($F298&lt;&gt;"", $F298&gt;=CF$5-4, $F298&lt;=CF$5, COUNTIF($M298:CE298,"u")=0), "u", "")</f>
        <v/>
      </c>
      <c r="CG298" s="80" t="str">
        <f>IF(AND($F298&lt;&gt;"", $F298&gt;=CG$5-4, $F298&lt;=CG$5, COUNTIF($M298:CF298,"u")=0), "u", "")</f>
        <v/>
      </c>
      <c r="CH298" s="80" t="str">
        <f>IF(AND($F298&lt;&gt;"", $F298&gt;=CH$5-4, $F298&lt;=CH$5, COUNTIF($M298:CG298,"u")=0), "u", "")</f>
        <v/>
      </c>
      <c r="CI298" s="80" t="str">
        <f>IF(AND($F298&lt;&gt;"", $F298&gt;=CI$5-4, $F298&lt;=CI$5, COUNTIF($M298:CH298,"u")=0), "u", "")</f>
        <v/>
      </c>
      <c r="CJ298" s="80" t="str">
        <f>IF(AND($F298&lt;&gt;"", $F298&gt;=CJ$5-4, $F298&lt;=CJ$5, COUNTIF($M298:CI298,"u")=0), "u", "")</f>
        <v/>
      </c>
      <c r="CK298" s="80" t="str">
        <f>IF(AND($F298&lt;&gt;"", $F298&gt;=CK$5-4, $F298&lt;=CK$5, COUNTIF($M298:CJ298,"u")=0), "u", "")</f>
        <v/>
      </c>
      <c r="CL298" s="80" t="str">
        <f>IF(AND($F298&lt;&gt;"", $F298&gt;=CL$5-4, $F298&lt;=CL$5, COUNTIF($M298:CK298,"u")=0), "u", "")</f>
        <v/>
      </c>
      <c r="CM298" s="80" t="str">
        <f>IF(AND($F298&lt;&gt;"", $F298&gt;=CM$5-4, $F298&lt;=CM$5, COUNTIF($M298:CL298,"u")=0), "u", "")</f>
        <v/>
      </c>
      <c r="CN298" s="80" t="str">
        <f>IF(AND($F298&lt;&gt;"", $F298&gt;=CN$5-4, $F298&lt;=CN$5, COUNTIF($M298:CM298,"u")=0), "u", "")</f>
        <v/>
      </c>
      <c r="CO298" s="80" t="str">
        <f>IF(AND($F298&lt;&gt;"", $F298&gt;=CO$5-4, $F298&lt;=CO$5, COUNTIF($M298:CN298,"u")=0), "u", "")</f>
        <v/>
      </c>
      <c r="CP298" s="80" t="str">
        <f>IF(AND($F298&lt;&gt;"", $F298&gt;=CP$5-4, $F298&lt;=CP$5, COUNTIF($M298:CO298,"u")=0), "u", "")</f>
        <v/>
      </c>
      <c r="CQ298" s="80" t="str">
        <f>IF(AND($F298&lt;&gt;"", $F298&gt;=CQ$5-4, $F298&lt;=CQ$5, COUNTIF($M298:CP298,"u")=0), "u", "")</f>
        <v/>
      </c>
      <c r="CR298" s="80" t="str">
        <f>IF(AND($F298&lt;&gt;"", $F298&gt;=CR$5-4, $F298&lt;=CR$5, COUNTIF($M298:CQ298,"u")=0), "u", "")</f>
        <v/>
      </c>
      <c r="CS298" s="80" t="str">
        <f>IF(AND($F298&lt;&gt;"", $F298&gt;=CS$5-4, $F298&lt;=CS$5, COUNTIF($M298:CR298,"u")=0), "u", "")</f>
        <v/>
      </c>
      <c r="CT298" s="80" t="str">
        <f>IF(AND($F298&lt;&gt;"", $F298&gt;=CT$5-4, $F298&lt;=CT$5, COUNTIF($M298:CS298,"u")=0), "u", "")</f>
        <v/>
      </c>
      <c r="CU298" s="80" t="str">
        <f>IF(AND($F298&lt;&gt;"", $F298&gt;=CU$5-4, $F298&lt;=CU$5, COUNTIF($M298:CT298,"u")=0), "u", "")</f>
        <v/>
      </c>
      <c r="CV298" s="80" t="str">
        <f>IF(AND($F298&lt;&gt;"", $F298&gt;=CV$5-4, $F298&lt;=CV$5, COUNTIF($M298:CU298,"u")=0), "u", "")</f>
        <v/>
      </c>
      <c r="CW298" s="80" t="str">
        <f>IF(AND($F298&lt;&gt;"", $F298&gt;=CW$5-4, $F298&lt;=CW$5, COUNTIF($M298:CV298,"u")=0), "u", "")</f>
        <v/>
      </c>
      <c r="CX298" s="80" t="str">
        <f>IF(AND($F298&lt;&gt;"", $F298&gt;=CX$5-4, $F298&lt;=CX$5, COUNTIF($M298:CW298,"u")=0), "u", "")</f>
        <v/>
      </c>
      <c r="CY298" s="80" t="str">
        <f>IF(AND($F298&lt;&gt;"", $F298&gt;=CY$5-4, $F298&lt;=CY$5, COUNTIF($M298:CX298,"u")=0), "u", "")</f>
        <v/>
      </c>
      <c r="CZ298" s="80" t="str">
        <f>IF(AND($F298&lt;&gt;"", $F298&gt;=CZ$5-4, $F298&lt;=CZ$5, COUNTIF($M298:CY298,"u")=0), "u", "")</f>
        <v/>
      </c>
      <c r="DA298" s="80" t="str">
        <f>IF(AND($F298&lt;&gt;"", $F298&gt;=DA$5-4, $F298&lt;=DA$5, COUNTIF($M298:CZ298,"u")=0), "u", "")</f>
        <v/>
      </c>
      <c r="DB298" s="80" t="str">
        <f>IF(AND($F298&lt;&gt;"", $F298&gt;=DB$5-4, $F298&lt;=DB$5, COUNTIF($M298:DA298,"u")=0), "u", "")</f>
        <v/>
      </c>
      <c r="DC298" s="80" t="str">
        <f>IF(AND($F298&lt;&gt;"", $F298&gt;=DC$5-4, $F298&lt;=DC$5, COUNTIF($M298:DB298,"u")=0), "u", "")</f>
        <v/>
      </c>
      <c r="DD298" s="80" t="str">
        <f>IF(AND($F298&lt;&gt;"", $F298&gt;=DD$5-4, $F298&lt;=DD$5, COUNTIF($M298:DC298,"u")=0), "u", "")</f>
        <v/>
      </c>
      <c r="DE298" s="80" t="str">
        <f>IF(AND($F298&lt;&gt;"", $F298&gt;=DE$5-4, $F298&lt;=DE$5, COUNTIF($M298:DD298,"u")=0), "u", "")</f>
        <v/>
      </c>
      <c r="DF298" s="80" t="str">
        <f>IF(AND($F298&lt;&gt;"", $F298&gt;=DF$5-4, $F298&lt;=DF$5, COUNTIF($M298:DE298,"u")=0), "u", "")</f>
        <v/>
      </c>
      <c r="DG298" s="80" t="str">
        <f>IF(AND($F298&lt;&gt;"", $F298&gt;=DG$5-4, $F298&lt;=DG$5, COUNTIF($M298:DF298,"u")=0), "u", "")</f>
        <v/>
      </c>
      <c r="DH298" s="80" t="str">
        <f>IF(AND($F298&lt;&gt;"", $F298&gt;=DH$5-4, $F298&lt;=DH$5, COUNTIF($M298:DG298,"u")=0), "u", "")</f>
        <v/>
      </c>
      <c r="DI298" s="80" t="str">
        <f>IF(AND($F298&lt;&gt;"", $F298&gt;=DI$5-4, $F298&lt;=DI$5, COUNTIF($M298:DH298,"u")=0), "u", "")</f>
        <v/>
      </c>
      <c r="DJ298" s="80" t="str">
        <f>IF(AND($F298&lt;&gt;"", $F298&gt;=DJ$5-4, $F298&lt;=DJ$5, COUNTIF($M298:DI298,"u")=0), "u", "")</f>
        <v/>
      </c>
      <c r="DK298" s="80" t="str">
        <f>IF(AND($F298&lt;&gt;"", $F298&gt;=DK$5-4, $F298&lt;=DK$5, COUNTIF($M298:DJ298,"u")=0), "u", "")</f>
        <v/>
      </c>
      <c r="DL298" s="80" t="str">
        <f>IF(AND($F298&lt;&gt;"", $F298&gt;=DL$5-4, $F298&lt;=DL$5, COUNTIF($M298:DK298,"u")=0), "u", "")</f>
        <v/>
      </c>
    </row>
    <row r="299" spans="1:116" ht="25.05" customHeight="1" x14ac:dyDescent="0.3">
      <c r="A299" s="39"/>
      <c r="B299" s="75">
        <v>294</v>
      </c>
      <c r="C299" s="97"/>
      <c r="D299" s="92"/>
      <c r="E299" s="53"/>
      <c r="F299" s="53"/>
      <c r="G299" s="83" t="str">
        <f t="shared" si="59"/>
        <v/>
      </c>
      <c r="H299" s="83" t="str">
        <f t="shared" si="59"/>
        <v/>
      </c>
      <c r="I299" s="77" t="str">
        <f t="shared" si="57"/>
        <v/>
      </c>
      <c r="J299" s="78"/>
      <c r="K299" s="86"/>
      <c r="L299" s="56"/>
      <c r="M299" s="80" t="str">
        <f t="shared" si="58"/>
        <v/>
      </c>
      <c r="N299" s="80" t="str">
        <f>IF(AND($F299&lt;&gt;"", $F299&gt;=N$5-4, $F299&lt;=N$5, COUNTIF($M299:M299,"u")=0), "u", "")</f>
        <v/>
      </c>
      <c r="O299" s="80" t="str">
        <f>IF(AND($F299&lt;&gt;"", $F299&gt;=O$5-4, $F299&lt;=O$5, COUNTIF($M299:N299,"u")=0), "u", "")</f>
        <v/>
      </c>
      <c r="P299" s="80" t="str">
        <f>IF(AND($F299&lt;&gt;"", $F299&gt;=P$5-4, $F299&lt;=P$5, COUNTIF($M299:O299,"u")=0), "u", "")</f>
        <v/>
      </c>
      <c r="Q299" s="80" t="str">
        <f>IF(AND($F299&lt;&gt;"", $F299&gt;=Q$5-4, $F299&lt;=Q$5, COUNTIF($M299:P299,"u")=0), "u", "")</f>
        <v/>
      </c>
      <c r="R299" s="80" t="str">
        <f>IF(AND($F299&lt;&gt;"", $F299&gt;=R$5-4, $F299&lt;=R$5, COUNTIF($M299:Q299,"u")=0), "u", "")</f>
        <v/>
      </c>
      <c r="S299" s="80" t="str">
        <f>IF(AND($F299&lt;&gt;"", $F299&gt;=S$5-4, $F299&lt;=S$5, COUNTIF($M299:R299,"u")=0), "u", "")</f>
        <v/>
      </c>
      <c r="T299" s="80" t="str">
        <f>IF(AND($F299&lt;&gt;"", $F299&gt;=T$5-4, $F299&lt;=T$5, COUNTIF($M299:S299,"u")=0), "u", "")</f>
        <v/>
      </c>
      <c r="U299" s="80" t="str">
        <f>IF(AND($F299&lt;&gt;"", $F299&gt;=U$5-4, $F299&lt;=U$5, COUNTIF($M299:T299,"u")=0), "u", "")</f>
        <v/>
      </c>
      <c r="V299" s="80" t="str">
        <f>IF(AND($F299&lt;&gt;"", $F299&gt;=V$5-4, $F299&lt;=V$5, COUNTIF($M299:U299,"u")=0), "u", "")</f>
        <v/>
      </c>
      <c r="W299" s="80" t="str">
        <f>IF(AND($F299&lt;&gt;"", $F299&gt;=W$5-4, $F299&lt;=W$5, COUNTIF($M299:V299,"u")=0), "u", "")</f>
        <v/>
      </c>
      <c r="X299" s="80" t="str">
        <f>IF(AND($F299&lt;&gt;"", $F299&gt;=X$5-4, $F299&lt;=X$5, COUNTIF($M299:W299,"u")=0), "u", "")</f>
        <v/>
      </c>
      <c r="Y299" s="80" t="str">
        <f>IF(AND($F299&lt;&gt;"", $F299&gt;=Y$5-4, $F299&lt;=Y$5, COUNTIF($M299:X299,"u")=0), "u", "")</f>
        <v/>
      </c>
      <c r="Z299" s="80" t="str">
        <f>IF(AND($F299&lt;&gt;"", $F299&gt;=Z$5-4, $F299&lt;=Z$5, COUNTIF($M299:Y299,"u")=0), "u", "")</f>
        <v/>
      </c>
      <c r="AA299" s="80" t="str">
        <f>IF(AND($F299&lt;&gt;"", $F299&gt;=AA$5-4, $F299&lt;=AA$5, COUNTIF($M299:Z299,"u")=0), "u", "")</f>
        <v/>
      </c>
      <c r="AB299" s="80" t="str">
        <f>IF(AND($F299&lt;&gt;"", $F299&gt;=AB$5-4, $F299&lt;=AB$5, COUNTIF($M299:AA299,"u")=0), "u", "")</f>
        <v/>
      </c>
      <c r="AC299" s="80" t="str">
        <f>IF(AND($F299&lt;&gt;"", $F299&gt;=AC$5-4, $F299&lt;=AC$5, COUNTIF($M299:AB299,"u")=0), "u", "")</f>
        <v/>
      </c>
      <c r="AD299" s="80" t="str">
        <f>IF(AND($F299&lt;&gt;"", $F299&gt;=AD$5-4, $F299&lt;=AD$5, COUNTIF($M299:AC299,"u")=0), "u", "")</f>
        <v/>
      </c>
      <c r="AE299" s="80" t="str">
        <f>IF(AND($F299&lt;&gt;"", $F299&gt;=AE$5-4, $F299&lt;=AE$5, COUNTIF($M299:AD299,"u")=0), "u", "")</f>
        <v/>
      </c>
      <c r="AF299" s="80" t="str">
        <f>IF(AND($F299&lt;&gt;"", $F299&gt;=AF$5-4, $F299&lt;=AF$5, COUNTIF($M299:AE299,"u")=0), "u", "")</f>
        <v/>
      </c>
      <c r="AG299" s="80" t="str">
        <f>IF(AND($F299&lt;&gt;"", $F299&gt;=AG$5-4, $F299&lt;=AG$5, COUNTIF($M299:AF299,"u")=0), "u", "")</f>
        <v/>
      </c>
      <c r="AH299" s="80" t="str">
        <f>IF(AND($F299&lt;&gt;"", $F299&gt;=AH$5-4, $F299&lt;=AH$5, COUNTIF($M299:AG299,"u")=0), "u", "")</f>
        <v/>
      </c>
      <c r="AI299" s="80" t="str">
        <f>IF(AND($F299&lt;&gt;"", $F299&gt;=AI$5-4, $F299&lt;=AI$5, COUNTIF($M299:AH299,"u")=0), "u", "")</f>
        <v/>
      </c>
      <c r="AJ299" s="80" t="str">
        <f>IF(AND($F299&lt;&gt;"", $F299&gt;=AJ$5-4, $F299&lt;=AJ$5, COUNTIF($M299:AI299,"u")=0), "u", "")</f>
        <v/>
      </c>
      <c r="AK299" s="80" t="str">
        <f>IF(AND($F299&lt;&gt;"", $F299&gt;=AK$5-4, $F299&lt;=AK$5, COUNTIF($M299:AJ299,"u")=0), "u", "")</f>
        <v/>
      </c>
      <c r="AL299" s="80" t="str">
        <f>IF(AND($F299&lt;&gt;"", $F299&gt;=AL$5-4, $F299&lt;=AL$5, COUNTIF($M299:AK299,"u")=0), "u", "")</f>
        <v/>
      </c>
      <c r="AM299" s="80" t="str">
        <f>IF(AND($F299&lt;&gt;"", $F299&gt;=AM$5-4, $F299&lt;=AM$5, COUNTIF($M299:AL299,"u")=0), "u", "")</f>
        <v/>
      </c>
      <c r="AN299" s="80" t="str">
        <f>IF(AND($F299&lt;&gt;"", $F299&gt;=AN$5-4, $F299&lt;=AN$5, COUNTIF($M299:AM299,"u")=0), "u", "")</f>
        <v/>
      </c>
      <c r="AO299" s="80" t="str">
        <f>IF(AND($F299&lt;&gt;"", $F299&gt;=AO$5-4, $F299&lt;=AO$5, COUNTIF($M299:AN299,"u")=0), "u", "")</f>
        <v/>
      </c>
      <c r="AP299" s="80" t="str">
        <f>IF(AND($F299&lt;&gt;"", $F299&gt;=AP$5-4, $F299&lt;=AP$5, COUNTIF($M299:AO299,"u")=0), "u", "")</f>
        <v/>
      </c>
      <c r="AQ299" s="80" t="str">
        <f>IF(AND($F299&lt;&gt;"", $F299&gt;=AQ$5-4, $F299&lt;=AQ$5, COUNTIF($M299:AP299,"u")=0), "u", "")</f>
        <v/>
      </c>
      <c r="AR299" s="80" t="str">
        <f>IF(AND($F299&lt;&gt;"", $F299&gt;=AR$5-4, $F299&lt;=AR$5, COUNTIF($M299:AQ299,"u")=0), "u", "")</f>
        <v/>
      </c>
      <c r="AS299" s="80" t="str">
        <f>IF(AND($F299&lt;&gt;"", $F299&gt;=AS$5-4, $F299&lt;=AS$5, COUNTIF($M299:AR299,"u")=0), "u", "")</f>
        <v/>
      </c>
      <c r="AT299" s="80" t="str">
        <f>IF(AND($F299&lt;&gt;"", $F299&gt;=AT$5-4, $F299&lt;=AT$5, COUNTIF($M299:AS299,"u")=0), "u", "")</f>
        <v/>
      </c>
      <c r="AU299" s="80" t="str">
        <f>IF(AND($F299&lt;&gt;"", $F299&gt;=AU$5-4, $F299&lt;=AU$5, COUNTIF($M299:AT299,"u")=0), "u", "")</f>
        <v/>
      </c>
      <c r="AV299" s="80" t="str">
        <f>IF(AND($F299&lt;&gt;"", $F299&gt;=AV$5-4, $F299&lt;=AV$5, COUNTIF($M299:AU299,"u")=0), "u", "")</f>
        <v/>
      </c>
      <c r="AW299" s="80" t="str">
        <f>IF(AND($F299&lt;&gt;"", $F299&gt;=AW$5-4, $F299&lt;=AW$5, COUNTIF($M299:AV299,"u")=0), "u", "")</f>
        <v/>
      </c>
      <c r="AX299" s="80" t="str">
        <f>IF(AND($F299&lt;&gt;"", $F299&gt;=AX$5-4, $F299&lt;=AX$5, COUNTIF($M299:AW299,"u")=0), "u", "")</f>
        <v/>
      </c>
      <c r="AY299" s="80" t="str">
        <f>IF(AND($F299&lt;&gt;"", $F299&gt;=AY$5-4, $F299&lt;=AY$5, COUNTIF($M299:AX299,"u")=0), "u", "")</f>
        <v/>
      </c>
      <c r="AZ299" s="80" t="str">
        <f>IF(AND($F299&lt;&gt;"", $F299&gt;=AZ$5-4, $F299&lt;=AZ$5, COUNTIF($M299:AY299,"u")=0), "u", "")</f>
        <v/>
      </c>
      <c r="BA299" s="80" t="str">
        <f>IF(AND($F299&lt;&gt;"", $F299&gt;=BA$5-4, $F299&lt;=BA$5, COUNTIF($M299:AZ299,"u")=0), "u", "")</f>
        <v/>
      </c>
      <c r="BB299" s="80" t="str">
        <f>IF(AND($F299&lt;&gt;"", $F299&gt;=BB$5-4, $F299&lt;=BB$5, COUNTIF($M299:BA299,"u")=0), "u", "")</f>
        <v/>
      </c>
      <c r="BC299" s="80" t="str">
        <f>IF(AND($F299&lt;&gt;"", $F299&gt;=BC$5-4, $F299&lt;=BC$5, COUNTIF($M299:BB299,"u")=0), "u", "")</f>
        <v/>
      </c>
      <c r="BD299" s="80" t="str">
        <f>IF(AND($F299&lt;&gt;"", $F299&gt;=BD$5-4, $F299&lt;=BD$5, COUNTIF($M299:BC299,"u")=0), "u", "")</f>
        <v/>
      </c>
      <c r="BE299" s="80" t="str">
        <f>IF(AND($F299&lt;&gt;"", $F299&gt;=BE$5-4, $F299&lt;=BE$5, COUNTIF($M299:BD299,"u")=0), "u", "")</f>
        <v/>
      </c>
      <c r="BF299" s="80" t="str">
        <f>IF(AND($F299&lt;&gt;"", $F299&gt;=BF$5-4, $F299&lt;=BF$5, COUNTIF($M299:BE299,"u")=0), "u", "")</f>
        <v/>
      </c>
      <c r="BG299" s="80" t="str">
        <f>IF(AND($F299&lt;&gt;"", $F299&gt;=BG$5-4, $F299&lt;=BG$5, COUNTIF($M299:BF299,"u")=0), "u", "")</f>
        <v/>
      </c>
      <c r="BH299" s="80" t="str">
        <f>IF(AND($F299&lt;&gt;"", $F299&gt;=BH$5-4, $F299&lt;=BH$5, COUNTIF($M299:BG299,"u")=0), "u", "")</f>
        <v/>
      </c>
      <c r="BI299" s="80" t="str">
        <f>IF(AND($F299&lt;&gt;"", $F299&gt;=BI$5-4, $F299&lt;=BI$5, COUNTIF($M299:BH299,"u")=0), "u", "")</f>
        <v/>
      </c>
      <c r="BJ299" s="80" t="str">
        <f>IF(AND($F299&lt;&gt;"", $F299&gt;=BJ$5-4, $F299&lt;=BJ$5, COUNTIF($M299:BI299,"u")=0), "u", "")</f>
        <v/>
      </c>
      <c r="BK299" s="80" t="str">
        <f>IF(AND($F299&lt;&gt;"", $F299&gt;=BK$5-4, $F299&lt;=BK$5, COUNTIF($M299:BJ299,"u")=0), "u", "")</f>
        <v/>
      </c>
      <c r="BL299" s="80" t="str">
        <f>IF(AND($F299&lt;&gt;"", $F299&gt;=BL$5-4, $F299&lt;=BL$5, COUNTIF($M299:BK299,"u")=0), "u", "")</f>
        <v/>
      </c>
      <c r="BM299" s="80" t="str">
        <f>IF(AND($F299&lt;&gt;"", $F299&gt;=BM$5-4, $F299&lt;=BM$5, COUNTIF($M299:BL299,"u")=0), "u", "")</f>
        <v/>
      </c>
      <c r="BN299" s="80" t="str">
        <f>IF(AND($F299&lt;&gt;"", $F299&gt;=BN$5-4, $F299&lt;=BN$5, COUNTIF($M299:BM299,"u")=0), "u", "")</f>
        <v/>
      </c>
      <c r="BO299" s="80" t="str">
        <f>IF(AND($F299&lt;&gt;"", $F299&gt;=BO$5-4, $F299&lt;=BO$5, COUNTIF($M299:BN299,"u")=0), "u", "")</f>
        <v/>
      </c>
      <c r="BP299" s="80" t="str">
        <f>IF(AND($F299&lt;&gt;"", $F299&gt;=BP$5-4, $F299&lt;=BP$5, COUNTIF($M299:BO299,"u")=0), "u", "")</f>
        <v/>
      </c>
      <c r="BQ299" s="80" t="str">
        <f>IF(AND($F299&lt;&gt;"", $F299&gt;=BQ$5-4, $F299&lt;=BQ$5, COUNTIF($M299:BP299,"u")=0), "u", "")</f>
        <v/>
      </c>
      <c r="BR299" s="80" t="str">
        <f>IF(AND($F299&lt;&gt;"", $F299&gt;=BR$5-4, $F299&lt;=BR$5, COUNTIF($M299:BQ299,"u")=0), "u", "")</f>
        <v/>
      </c>
      <c r="BS299" s="80" t="str">
        <f>IF(AND($F299&lt;&gt;"", $F299&gt;=BS$5-4, $F299&lt;=BS$5, COUNTIF($M299:BR299,"u")=0), "u", "")</f>
        <v/>
      </c>
      <c r="BT299" s="80" t="str">
        <f>IF(AND($F299&lt;&gt;"", $F299&gt;=BT$5-4, $F299&lt;=BT$5, COUNTIF($M299:BS299,"u")=0), "u", "")</f>
        <v/>
      </c>
      <c r="BU299" s="80" t="str">
        <f>IF(AND($F299&lt;&gt;"", $F299&gt;=BU$5-4, $F299&lt;=BU$5, COUNTIF($M299:BT299,"u")=0), "u", "")</f>
        <v/>
      </c>
      <c r="BV299" s="80" t="str">
        <f>IF(AND($F299&lt;&gt;"", $F299&gt;=BV$5-4, $F299&lt;=BV$5, COUNTIF($M299:BU299,"u")=0), "u", "")</f>
        <v/>
      </c>
      <c r="BW299" s="80" t="str">
        <f>IF(AND($F299&lt;&gt;"", $F299&gt;=BW$5-4, $F299&lt;=BW$5, COUNTIF($M299:BV299,"u")=0), "u", "")</f>
        <v/>
      </c>
      <c r="BX299" s="80" t="str">
        <f>IF(AND($F299&lt;&gt;"", $F299&gt;=BX$5-4, $F299&lt;=BX$5, COUNTIF($M299:BW299,"u")=0), "u", "")</f>
        <v/>
      </c>
      <c r="BY299" s="80" t="str">
        <f>IF(AND($F299&lt;&gt;"", $F299&gt;=BY$5-4, $F299&lt;=BY$5, COUNTIF($M299:BX299,"u")=0), "u", "")</f>
        <v/>
      </c>
      <c r="BZ299" s="80" t="str">
        <f>IF(AND($F299&lt;&gt;"", $F299&gt;=BZ$5-4, $F299&lt;=BZ$5, COUNTIF($M299:BY299,"u")=0), "u", "")</f>
        <v/>
      </c>
      <c r="CA299" s="80" t="str">
        <f>IF(AND($F299&lt;&gt;"", $F299&gt;=CA$5-4, $F299&lt;=CA$5, COUNTIF($M299:BZ299,"u")=0), "u", "")</f>
        <v/>
      </c>
      <c r="CB299" s="80" t="str">
        <f>IF(AND($F299&lt;&gt;"", $F299&gt;=CB$5-4, $F299&lt;=CB$5, COUNTIF($M299:CA299,"u")=0), "u", "")</f>
        <v/>
      </c>
      <c r="CC299" s="80" t="str">
        <f>IF(AND($F299&lt;&gt;"", $F299&gt;=CC$5-4, $F299&lt;=CC$5, COUNTIF($M299:CB299,"u")=0), "u", "")</f>
        <v/>
      </c>
      <c r="CD299" s="80" t="str">
        <f>IF(AND($F299&lt;&gt;"", $F299&gt;=CD$5-4, $F299&lt;=CD$5, COUNTIF($M299:CC299,"u")=0), "u", "")</f>
        <v/>
      </c>
      <c r="CE299" s="80" t="str">
        <f>IF(AND($F299&lt;&gt;"", $F299&gt;=CE$5-4, $F299&lt;=CE$5, COUNTIF($M299:CD299,"u")=0), "u", "")</f>
        <v/>
      </c>
      <c r="CF299" s="80" t="str">
        <f>IF(AND($F299&lt;&gt;"", $F299&gt;=CF$5-4, $F299&lt;=CF$5, COUNTIF($M299:CE299,"u")=0), "u", "")</f>
        <v/>
      </c>
      <c r="CG299" s="80" t="str">
        <f>IF(AND($F299&lt;&gt;"", $F299&gt;=CG$5-4, $F299&lt;=CG$5, COUNTIF($M299:CF299,"u")=0), "u", "")</f>
        <v/>
      </c>
      <c r="CH299" s="80" t="str">
        <f>IF(AND($F299&lt;&gt;"", $F299&gt;=CH$5-4, $F299&lt;=CH$5, COUNTIF($M299:CG299,"u")=0), "u", "")</f>
        <v/>
      </c>
      <c r="CI299" s="80" t="str">
        <f>IF(AND($F299&lt;&gt;"", $F299&gt;=CI$5-4, $F299&lt;=CI$5, COUNTIF($M299:CH299,"u")=0), "u", "")</f>
        <v/>
      </c>
      <c r="CJ299" s="80" t="str">
        <f>IF(AND($F299&lt;&gt;"", $F299&gt;=CJ$5-4, $F299&lt;=CJ$5, COUNTIF($M299:CI299,"u")=0), "u", "")</f>
        <v/>
      </c>
      <c r="CK299" s="80" t="str">
        <f>IF(AND($F299&lt;&gt;"", $F299&gt;=CK$5-4, $F299&lt;=CK$5, COUNTIF($M299:CJ299,"u")=0), "u", "")</f>
        <v/>
      </c>
      <c r="CL299" s="80" t="str">
        <f>IF(AND($F299&lt;&gt;"", $F299&gt;=CL$5-4, $F299&lt;=CL$5, COUNTIF($M299:CK299,"u")=0), "u", "")</f>
        <v/>
      </c>
      <c r="CM299" s="80" t="str">
        <f>IF(AND($F299&lt;&gt;"", $F299&gt;=CM$5-4, $F299&lt;=CM$5, COUNTIF($M299:CL299,"u")=0), "u", "")</f>
        <v/>
      </c>
      <c r="CN299" s="80" t="str">
        <f>IF(AND($F299&lt;&gt;"", $F299&gt;=CN$5-4, $F299&lt;=CN$5, COUNTIF($M299:CM299,"u")=0), "u", "")</f>
        <v/>
      </c>
      <c r="CO299" s="80" t="str">
        <f>IF(AND($F299&lt;&gt;"", $F299&gt;=CO$5-4, $F299&lt;=CO$5, COUNTIF($M299:CN299,"u")=0), "u", "")</f>
        <v/>
      </c>
      <c r="CP299" s="80" t="str">
        <f>IF(AND($F299&lt;&gt;"", $F299&gt;=CP$5-4, $F299&lt;=CP$5, COUNTIF($M299:CO299,"u")=0), "u", "")</f>
        <v/>
      </c>
      <c r="CQ299" s="80" t="str">
        <f>IF(AND($F299&lt;&gt;"", $F299&gt;=CQ$5-4, $F299&lt;=CQ$5, COUNTIF($M299:CP299,"u")=0), "u", "")</f>
        <v/>
      </c>
      <c r="CR299" s="80" t="str">
        <f>IF(AND($F299&lt;&gt;"", $F299&gt;=CR$5-4, $F299&lt;=CR$5, COUNTIF($M299:CQ299,"u")=0), "u", "")</f>
        <v/>
      </c>
      <c r="CS299" s="80" t="str">
        <f>IF(AND($F299&lt;&gt;"", $F299&gt;=CS$5-4, $F299&lt;=CS$5, COUNTIF($M299:CR299,"u")=0), "u", "")</f>
        <v/>
      </c>
      <c r="CT299" s="80" t="str">
        <f>IF(AND($F299&lt;&gt;"", $F299&gt;=CT$5-4, $F299&lt;=CT$5, COUNTIF($M299:CS299,"u")=0), "u", "")</f>
        <v/>
      </c>
      <c r="CU299" s="80" t="str">
        <f>IF(AND($F299&lt;&gt;"", $F299&gt;=CU$5-4, $F299&lt;=CU$5, COUNTIF($M299:CT299,"u")=0), "u", "")</f>
        <v/>
      </c>
      <c r="CV299" s="80" t="str">
        <f>IF(AND($F299&lt;&gt;"", $F299&gt;=CV$5-4, $F299&lt;=CV$5, COUNTIF($M299:CU299,"u")=0), "u", "")</f>
        <v/>
      </c>
      <c r="CW299" s="80" t="str">
        <f>IF(AND($F299&lt;&gt;"", $F299&gt;=CW$5-4, $F299&lt;=CW$5, COUNTIF($M299:CV299,"u")=0), "u", "")</f>
        <v/>
      </c>
      <c r="CX299" s="80" t="str">
        <f>IF(AND($F299&lt;&gt;"", $F299&gt;=CX$5-4, $F299&lt;=CX$5, COUNTIF($M299:CW299,"u")=0), "u", "")</f>
        <v/>
      </c>
      <c r="CY299" s="80" t="str">
        <f>IF(AND($F299&lt;&gt;"", $F299&gt;=CY$5-4, $F299&lt;=CY$5, COUNTIF($M299:CX299,"u")=0), "u", "")</f>
        <v/>
      </c>
      <c r="CZ299" s="80" t="str">
        <f>IF(AND($F299&lt;&gt;"", $F299&gt;=CZ$5-4, $F299&lt;=CZ$5, COUNTIF($M299:CY299,"u")=0), "u", "")</f>
        <v/>
      </c>
      <c r="DA299" s="80" t="str">
        <f>IF(AND($F299&lt;&gt;"", $F299&gt;=DA$5-4, $F299&lt;=DA$5, COUNTIF($M299:CZ299,"u")=0), "u", "")</f>
        <v/>
      </c>
      <c r="DB299" s="80" t="str">
        <f>IF(AND($F299&lt;&gt;"", $F299&gt;=DB$5-4, $F299&lt;=DB$5, COUNTIF($M299:DA299,"u")=0), "u", "")</f>
        <v/>
      </c>
      <c r="DC299" s="80" t="str">
        <f>IF(AND($F299&lt;&gt;"", $F299&gt;=DC$5-4, $F299&lt;=DC$5, COUNTIF($M299:DB299,"u")=0), "u", "")</f>
        <v/>
      </c>
      <c r="DD299" s="80" t="str">
        <f>IF(AND($F299&lt;&gt;"", $F299&gt;=DD$5-4, $F299&lt;=DD$5, COUNTIF($M299:DC299,"u")=0), "u", "")</f>
        <v/>
      </c>
      <c r="DE299" s="80" t="str">
        <f>IF(AND($F299&lt;&gt;"", $F299&gt;=DE$5-4, $F299&lt;=DE$5, COUNTIF($M299:DD299,"u")=0), "u", "")</f>
        <v/>
      </c>
      <c r="DF299" s="80" t="str">
        <f>IF(AND($F299&lt;&gt;"", $F299&gt;=DF$5-4, $F299&lt;=DF$5, COUNTIF($M299:DE299,"u")=0), "u", "")</f>
        <v/>
      </c>
      <c r="DG299" s="80" t="str">
        <f>IF(AND($F299&lt;&gt;"", $F299&gt;=DG$5-4, $F299&lt;=DG$5, COUNTIF($M299:DF299,"u")=0), "u", "")</f>
        <v/>
      </c>
      <c r="DH299" s="80" t="str">
        <f>IF(AND($F299&lt;&gt;"", $F299&gt;=DH$5-4, $F299&lt;=DH$5, COUNTIF($M299:DG299,"u")=0), "u", "")</f>
        <v/>
      </c>
      <c r="DI299" s="80" t="str">
        <f>IF(AND($F299&lt;&gt;"", $F299&gt;=DI$5-4, $F299&lt;=DI$5, COUNTIF($M299:DH299,"u")=0), "u", "")</f>
        <v/>
      </c>
      <c r="DJ299" s="80" t="str">
        <f>IF(AND($F299&lt;&gt;"", $F299&gt;=DJ$5-4, $F299&lt;=DJ$5, COUNTIF($M299:DI299,"u")=0), "u", "")</f>
        <v/>
      </c>
      <c r="DK299" s="80" t="str">
        <f>IF(AND($F299&lt;&gt;"", $F299&gt;=DK$5-4, $F299&lt;=DK$5, COUNTIF($M299:DJ299,"u")=0), "u", "")</f>
        <v/>
      </c>
      <c r="DL299" s="80" t="str">
        <f>IF(AND($F299&lt;&gt;"", $F299&gt;=DL$5-4, $F299&lt;=DL$5, COUNTIF($M299:DK299,"u")=0), "u", "")</f>
        <v/>
      </c>
    </row>
    <row r="300" spans="1:116" ht="25.05" customHeight="1" x14ac:dyDescent="0.3">
      <c r="A300" s="39"/>
      <c r="B300" s="75">
        <v>295</v>
      </c>
      <c r="C300" s="97"/>
      <c r="D300" s="92"/>
      <c r="E300" s="53"/>
      <c r="F300" s="53"/>
      <c r="G300" s="83" t="str">
        <f t="shared" si="59"/>
        <v/>
      </c>
      <c r="H300" s="83" t="str">
        <f t="shared" si="59"/>
        <v/>
      </c>
      <c r="I300" s="77" t="str">
        <f t="shared" si="57"/>
        <v/>
      </c>
      <c r="J300" s="78"/>
      <c r="K300" s="86"/>
      <c r="L300" s="56"/>
      <c r="M300" s="80" t="str">
        <f t="shared" si="58"/>
        <v/>
      </c>
      <c r="N300" s="80" t="str">
        <f>IF(AND($F300&lt;&gt;"", $F300&gt;=N$5-4, $F300&lt;=N$5, COUNTIF($M300:M300,"u")=0), "u", "")</f>
        <v/>
      </c>
      <c r="O300" s="80" t="str">
        <f>IF(AND($F300&lt;&gt;"", $F300&gt;=O$5-4, $F300&lt;=O$5, COUNTIF($M300:N300,"u")=0), "u", "")</f>
        <v/>
      </c>
      <c r="P300" s="80" t="str">
        <f>IF(AND($F300&lt;&gt;"", $F300&gt;=P$5-4, $F300&lt;=P$5, COUNTIF($M300:O300,"u")=0), "u", "")</f>
        <v/>
      </c>
      <c r="Q300" s="80" t="str">
        <f>IF(AND($F300&lt;&gt;"", $F300&gt;=Q$5-4, $F300&lt;=Q$5, COUNTIF($M300:P300,"u")=0), "u", "")</f>
        <v/>
      </c>
      <c r="R300" s="80" t="str">
        <f>IF(AND($F300&lt;&gt;"", $F300&gt;=R$5-4, $F300&lt;=R$5, COUNTIF($M300:Q300,"u")=0), "u", "")</f>
        <v/>
      </c>
      <c r="S300" s="80" t="str">
        <f>IF(AND($F300&lt;&gt;"", $F300&gt;=S$5-4, $F300&lt;=S$5, COUNTIF($M300:R300,"u")=0), "u", "")</f>
        <v/>
      </c>
      <c r="T300" s="80" t="str">
        <f>IF(AND($F300&lt;&gt;"", $F300&gt;=T$5-4, $F300&lt;=T$5, COUNTIF($M300:S300,"u")=0), "u", "")</f>
        <v/>
      </c>
      <c r="U300" s="80" t="str">
        <f>IF(AND($F300&lt;&gt;"", $F300&gt;=U$5-4, $F300&lt;=U$5, COUNTIF($M300:T300,"u")=0), "u", "")</f>
        <v/>
      </c>
      <c r="V300" s="80" t="str">
        <f>IF(AND($F300&lt;&gt;"", $F300&gt;=V$5-4, $F300&lt;=V$5, COUNTIF($M300:U300,"u")=0), "u", "")</f>
        <v/>
      </c>
      <c r="W300" s="80" t="str">
        <f>IF(AND($F300&lt;&gt;"", $F300&gt;=W$5-4, $F300&lt;=W$5, COUNTIF($M300:V300,"u")=0), "u", "")</f>
        <v/>
      </c>
      <c r="X300" s="80" t="str">
        <f>IF(AND($F300&lt;&gt;"", $F300&gt;=X$5-4, $F300&lt;=X$5, COUNTIF($M300:W300,"u")=0), "u", "")</f>
        <v/>
      </c>
      <c r="Y300" s="80" t="str">
        <f>IF(AND($F300&lt;&gt;"", $F300&gt;=Y$5-4, $F300&lt;=Y$5, COUNTIF($M300:X300,"u")=0), "u", "")</f>
        <v/>
      </c>
      <c r="Z300" s="80" t="str">
        <f>IF(AND($F300&lt;&gt;"", $F300&gt;=Z$5-4, $F300&lt;=Z$5, COUNTIF($M300:Y300,"u")=0), "u", "")</f>
        <v/>
      </c>
      <c r="AA300" s="80" t="str">
        <f>IF(AND($F300&lt;&gt;"", $F300&gt;=AA$5-4, $F300&lt;=AA$5, COUNTIF($M300:Z300,"u")=0), "u", "")</f>
        <v/>
      </c>
      <c r="AB300" s="80" t="str">
        <f>IF(AND($F300&lt;&gt;"", $F300&gt;=AB$5-4, $F300&lt;=AB$5, COUNTIF($M300:AA300,"u")=0), "u", "")</f>
        <v/>
      </c>
      <c r="AC300" s="80" t="str">
        <f>IF(AND($F300&lt;&gt;"", $F300&gt;=AC$5-4, $F300&lt;=AC$5, COUNTIF($M300:AB300,"u")=0), "u", "")</f>
        <v/>
      </c>
      <c r="AD300" s="80" t="str">
        <f>IF(AND($F300&lt;&gt;"", $F300&gt;=AD$5-4, $F300&lt;=AD$5, COUNTIF($M300:AC300,"u")=0), "u", "")</f>
        <v/>
      </c>
      <c r="AE300" s="80" t="str">
        <f>IF(AND($F300&lt;&gt;"", $F300&gt;=AE$5-4, $F300&lt;=AE$5, COUNTIF($M300:AD300,"u")=0), "u", "")</f>
        <v/>
      </c>
      <c r="AF300" s="80" t="str">
        <f>IF(AND($F300&lt;&gt;"", $F300&gt;=AF$5-4, $F300&lt;=AF$5, COUNTIF($M300:AE300,"u")=0), "u", "")</f>
        <v/>
      </c>
      <c r="AG300" s="80" t="str">
        <f>IF(AND($F300&lt;&gt;"", $F300&gt;=AG$5-4, $F300&lt;=AG$5, COUNTIF($M300:AF300,"u")=0), "u", "")</f>
        <v/>
      </c>
      <c r="AH300" s="80" t="str">
        <f>IF(AND($F300&lt;&gt;"", $F300&gt;=AH$5-4, $F300&lt;=AH$5, COUNTIF($M300:AG300,"u")=0), "u", "")</f>
        <v/>
      </c>
      <c r="AI300" s="80" t="str">
        <f>IF(AND($F300&lt;&gt;"", $F300&gt;=AI$5-4, $F300&lt;=AI$5, COUNTIF($M300:AH300,"u")=0), "u", "")</f>
        <v/>
      </c>
      <c r="AJ300" s="80" t="str">
        <f>IF(AND($F300&lt;&gt;"", $F300&gt;=AJ$5-4, $F300&lt;=AJ$5, COUNTIF($M300:AI300,"u")=0), "u", "")</f>
        <v/>
      </c>
      <c r="AK300" s="80" t="str">
        <f>IF(AND($F300&lt;&gt;"", $F300&gt;=AK$5-4, $F300&lt;=AK$5, COUNTIF($M300:AJ300,"u")=0), "u", "")</f>
        <v/>
      </c>
      <c r="AL300" s="80" t="str">
        <f>IF(AND($F300&lt;&gt;"", $F300&gt;=AL$5-4, $F300&lt;=AL$5, COUNTIF($M300:AK300,"u")=0), "u", "")</f>
        <v/>
      </c>
      <c r="AM300" s="80" t="str">
        <f>IF(AND($F300&lt;&gt;"", $F300&gt;=AM$5-4, $F300&lt;=AM$5, COUNTIF($M300:AL300,"u")=0), "u", "")</f>
        <v/>
      </c>
      <c r="AN300" s="80" t="str">
        <f>IF(AND($F300&lt;&gt;"", $F300&gt;=AN$5-4, $F300&lt;=AN$5, COUNTIF($M300:AM300,"u")=0), "u", "")</f>
        <v/>
      </c>
      <c r="AO300" s="80" t="str">
        <f>IF(AND($F300&lt;&gt;"", $F300&gt;=AO$5-4, $F300&lt;=AO$5, COUNTIF($M300:AN300,"u")=0), "u", "")</f>
        <v/>
      </c>
      <c r="AP300" s="80" t="str">
        <f>IF(AND($F300&lt;&gt;"", $F300&gt;=AP$5-4, $F300&lt;=AP$5, COUNTIF($M300:AO300,"u")=0), "u", "")</f>
        <v/>
      </c>
      <c r="AQ300" s="80" t="str">
        <f>IF(AND($F300&lt;&gt;"", $F300&gt;=AQ$5-4, $F300&lt;=AQ$5, COUNTIF($M300:AP300,"u")=0), "u", "")</f>
        <v/>
      </c>
      <c r="AR300" s="80" t="str">
        <f>IF(AND($F300&lt;&gt;"", $F300&gt;=AR$5-4, $F300&lt;=AR$5, COUNTIF($M300:AQ300,"u")=0), "u", "")</f>
        <v/>
      </c>
      <c r="AS300" s="80" t="str">
        <f>IF(AND($F300&lt;&gt;"", $F300&gt;=AS$5-4, $F300&lt;=AS$5, COUNTIF($M300:AR300,"u")=0), "u", "")</f>
        <v/>
      </c>
      <c r="AT300" s="80" t="str">
        <f>IF(AND($F300&lt;&gt;"", $F300&gt;=AT$5-4, $F300&lt;=AT$5, COUNTIF($M300:AS300,"u")=0), "u", "")</f>
        <v/>
      </c>
      <c r="AU300" s="80" t="str">
        <f>IF(AND($F300&lt;&gt;"", $F300&gt;=AU$5-4, $F300&lt;=AU$5, COUNTIF($M300:AT300,"u")=0), "u", "")</f>
        <v/>
      </c>
      <c r="AV300" s="80" t="str">
        <f>IF(AND($F300&lt;&gt;"", $F300&gt;=AV$5-4, $F300&lt;=AV$5, COUNTIF($M300:AU300,"u")=0), "u", "")</f>
        <v/>
      </c>
      <c r="AW300" s="80" t="str">
        <f>IF(AND($F300&lt;&gt;"", $F300&gt;=AW$5-4, $F300&lt;=AW$5, COUNTIF($M300:AV300,"u")=0), "u", "")</f>
        <v/>
      </c>
      <c r="AX300" s="80" t="str">
        <f>IF(AND($F300&lt;&gt;"", $F300&gt;=AX$5-4, $F300&lt;=AX$5, COUNTIF($M300:AW300,"u")=0), "u", "")</f>
        <v/>
      </c>
      <c r="AY300" s="80" t="str">
        <f>IF(AND($F300&lt;&gt;"", $F300&gt;=AY$5-4, $F300&lt;=AY$5, COUNTIF($M300:AX300,"u")=0), "u", "")</f>
        <v/>
      </c>
      <c r="AZ300" s="80" t="str">
        <f>IF(AND($F300&lt;&gt;"", $F300&gt;=AZ$5-4, $F300&lt;=AZ$5, COUNTIF($M300:AY300,"u")=0), "u", "")</f>
        <v/>
      </c>
      <c r="BA300" s="80" t="str">
        <f>IF(AND($F300&lt;&gt;"", $F300&gt;=BA$5-4, $F300&lt;=BA$5, COUNTIF($M300:AZ300,"u")=0), "u", "")</f>
        <v/>
      </c>
      <c r="BB300" s="80" t="str">
        <f>IF(AND($F300&lt;&gt;"", $F300&gt;=BB$5-4, $F300&lt;=BB$5, COUNTIF($M300:BA300,"u")=0), "u", "")</f>
        <v/>
      </c>
      <c r="BC300" s="80" t="str">
        <f>IF(AND($F300&lt;&gt;"", $F300&gt;=BC$5-4, $F300&lt;=BC$5, COUNTIF($M300:BB300,"u")=0), "u", "")</f>
        <v/>
      </c>
      <c r="BD300" s="80" t="str">
        <f>IF(AND($F300&lt;&gt;"", $F300&gt;=BD$5-4, $F300&lt;=BD$5, COUNTIF($M300:BC300,"u")=0), "u", "")</f>
        <v/>
      </c>
      <c r="BE300" s="80" t="str">
        <f>IF(AND($F300&lt;&gt;"", $F300&gt;=BE$5-4, $F300&lt;=BE$5, COUNTIF($M300:BD300,"u")=0), "u", "")</f>
        <v/>
      </c>
      <c r="BF300" s="80" t="str">
        <f>IF(AND($F300&lt;&gt;"", $F300&gt;=BF$5-4, $F300&lt;=BF$5, COUNTIF($M300:BE300,"u")=0), "u", "")</f>
        <v/>
      </c>
      <c r="BG300" s="80" t="str">
        <f>IF(AND($F300&lt;&gt;"", $F300&gt;=BG$5-4, $F300&lt;=BG$5, COUNTIF($M300:BF300,"u")=0), "u", "")</f>
        <v/>
      </c>
      <c r="BH300" s="80" t="str">
        <f>IF(AND($F300&lt;&gt;"", $F300&gt;=BH$5-4, $F300&lt;=BH$5, COUNTIF($M300:BG300,"u")=0), "u", "")</f>
        <v/>
      </c>
      <c r="BI300" s="80" t="str">
        <f>IF(AND($F300&lt;&gt;"", $F300&gt;=BI$5-4, $F300&lt;=BI$5, COUNTIF($M300:BH300,"u")=0), "u", "")</f>
        <v/>
      </c>
      <c r="BJ300" s="80" t="str">
        <f>IF(AND($F300&lt;&gt;"", $F300&gt;=BJ$5-4, $F300&lt;=BJ$5, COUNTIF($M300:BI300,"u")=0), "u", "")</f>
        <v/>
      </c>
      <c r="BK300" s="80" t="str">
        <f>IF(AND($F300&lt;&gt;"", $F300&gt;=BK$5-4, $F300&lt;=BK$5, COUNTIF($M300:BJ300,"u")=0), "u", "")</f>
        <v/>
      </c>
      <c r="BL300" s="80" t="str">
        <f>IF(AND($F300&lt;&gt;"", $F300&gt;=BL$5-4, $F300&lt;=BL$5, COUNTIF($M300:BK300,"u")=0), "u", "")</f>
        <v/>
      </c>
      <c r="BM300" s="80" t="str">
        <f>IF(AND($F300&lt;&gt;"", $F300&gt;=BM$5-4, $F300&lt;=BM$5, COUNTIF($M300:BL300,"u")=0), "u", "")</f>
        <v/>
      </c>
      <c r="BN300" s="80" t="str">
        <f>IF(AND($F300&lt;&gt;"", $F300&gt;=BN$5-4, $F300&lt;=BN$5, COUNTIF($M300:BM300,"u")=0), "u", "")</f>
        <v/>
      </c>
      <c r="BO300" s="80" t="str">
        <f>IF(AND($F300&lt;&gt;"", $F300&gt;=BO$5-4, $F300&lt;=BO$5, COUNTIF($M300:BN300,"u")=0), "u", "")</f>
        <v/>
      </c>
      <c r="BP300" s="80" t="str">
        <f>IF(AND($F300&lt;&gt;"", $F300&gt;=BP$5-4, $F300&lt;=BP$5, COUNTIF($M300:BO300,"u")=0), "u", "")</f>
        <v/>
      </c>
      <c r="BQ300" s="80" t="str">
        <f>IF(AND($F300&lt;&gt;"", $F300&gt;=BQ$5-4, $F300&lt;=BQ$5, COUNTIF($M300:BP300,"u")=0), "u", "")</f>
        <v/>
      </c>
      <c r="BR300" s="80" t="str">
        <f>IF(AND($F300&lt;&gt;"", $F300&gt;=BR$5-4, $F300&lt;=BR$5, COUNTIF($M300:BQ300,"u")=0), "u", "")</f>
        <v/>
      </c>
      <c r="BS300" s="80" t="str">
        <f>IF(AND($F300&lt;&gt;"", $F300&gt;=BS$5-4, $F300&lt;=BS$5, COUNTIF($M300:BR300,"u")=0), "u", "")</f>
        <v/>
      </c>
      <c r="BT300" s="80" t="str">
        <f>IF(AND($F300&lt;&gt;"", $F300&gt;=BT$5-4, $F300&lt;=BT$5, COUNTIF($M300:BS300,"u")=0), "u", "")</f>
        <v/>
      </c>
      <c r="BU300" s="80" t="str">
        <f>IF(AND($F300&lt;&gt;"", $F300&gt;=BU$5-4, $F300&lt;=BU$5, COUNTIF($M300:BT300,"u")=0), "u", "")</f>
        <v/>
      </c>
      <c r="BV300" s="80" t="str">
        <f>IF(AND($F300&lt;&gt;"", $F300&gt;=BV$5-4, $F300&lt;=BV$5, COUNTIF($M300:BU300,"u")=0), "u", "")</f>
        <v/>
      </c>
      <c r="BW300" s="80" t="str">
        <f>IF(AND($F300&lt;&gt;"", $F300&gt;=BW$5-4, $F300&lt;=BW$5, COUNTIF($M300:BV300,"u")=0), "u", "")</f>
        <v/>
      </c>
      <c r="BX300" s="80" t="str">
        <f>IF(AND($F300&lt;&gt;"", $F300&gt;=BX$5-4, $F300&lt;=BX$5, COUNTIF($M300:BW300,"u")=0), "u", "")</f>
        <v/>
      </c>
      <c r="BY300" s="80" t="str">
        <f>IF(AND($F300&lt;&gt;"", $F300&gt;=BY$5-4, $F300&lt;=BY$5, COUNTIF($M300:BX300,"u")=0), "u", "")</f>
        <v/>
      </c>
      <c r="BZ300" s="80" t="str">
        <f>IF(AND($F300&lt;&gt;"", $F300&gt;=BZ$5-4, $F300&lt;=BZ$5, COUNTIF($M300:BY300,"u")=0), "u", "")</f>
        <v/>
      </c>
      <c r="CA300" s="80" t="str">
        <f>IF(AND($F300&lt;&gt;"", $F300&gt;=CA$5-4, $F300&lt;=CA$5, COUNTIF($M300:BZ300,"u")=0), "u", "")</f>
        <v/>
      </c>
      <c r="CB300" s="80" t="str">
        <f>IF(AND($F300&lt;&gt;"", $F300&gt;=CB$5-4, $F300&lt;=CB$5, COUNTIF($M300:CA300,"u")=0), "u", "")</f>
        <v/>
      </c>
      <c r="CC300" s="80" t="str">
        <f>IF(AND($F300&lt;&gt;"", $F300&gt;=CC$5-4, $F300&lt;=CC$5, COUNTIF($M300:CB300,"u")=0), "u", "")</f>
        <v/>
      </c>
      <c r="CD300" s="80" t="str">
        <f>IF(AND($F300&lt;&gt;"", $F300&gt;=CD$5-4, $F300&lt;=CD$5, COUNTIF($M300:CC300,"u")=0), "u", "")</f>
        <v/>
      </c>
      <c r="CE300" s="80" t="str">
        <f>IF(AND($F300&lt;&gt;"", $F300&gt;=CE$5-4, $F300&lt;=CE$5, COUNTIF($M300:CD300,"u")=0), "u", "")</f>
        <v/>
      </c>
      <c r="CF300" s="80" t="str">
        <f>IF(AND($F300&lt;&gt;"", $F300&gt;=CF$5-4, $F300&lt;=CF$5, COUNTIF($M300:CE300,"u")=0), "u", "")</f>
        <v/>
      </c>
      <c r="CG300" s="80" t="str">
        <f>IF(AND($F300&lt;&gt;"", $F300&gt;=CG$5-4, $F300&lt;=CG$5, COUNTIF($M300:CF300,"u")=0), "u", "")</f>
        <v/>
      </c>
      <c r="CH300" s="80" t="str">
        <f>IF(AND($F300&lt;&gt;"", $F300&gt;=CH$5-4, $F300&lt;=CH$5, COUNTIF($M300:CG300,"u")=0), "u", "")</f>
        <v/>
      </c>
      <c r="CI300" s="80" t="str">
        <f>IF(AND($F300&lt;&gt;"", $F300&gt;=CI$5-4, $F300&lt;=CI$5, COUNTIF($M300:CH300,"u")=0), "u", "")</f>
        <v/>
      </c>
      <c r="CJ300" s="80" t="str">
        <f>IF(AND($F300&lt;&gt;"", $F300&gt;=CJ$5-4, $F300&lt;=CJ$5, COUNTIF($M300:CI300,"u")=0), "u", "")</f>
        <v/>
      </c>
      <c r="CK300" s="80" t="str">
        <f>IF(AND($F300&lt;&gt;"", $F300&gt;=CK$5-4, $F300&lt;=CK$5, COUNTIF($M300:CJ300,"u")=0), "u", "")</f>
        <v/>
      </c>
      <c r="CL300" s="80" t="str">
        <f>IF(AND($F300&lt;&gt;"", $F300&gt;=CL$5-4, $F300&lt;=CL$5, COUNTIF($M300:CK300,"u")=0), "u", "")</f>
        <v/>
      </c>
      <c r="CM300" s="80" t="str">
        <f>IF(AND($F300&lt;&gt;"", $F300&gt;=CM$5-4, $F300&lt;=CM$5, COUNTIF($M300:CL300,"u")=0), "u", "")</f>
        <v/>
      </c>
      <c r="CN300" s="80" t="str">
        <f>IF(AND($F300&lt;&gt;"", $F300&gt;=CN$5-4, $F300&lt;=CN$5, COUNTIF($M300:CM300,"u")=0), "u", "")</f>
        <v/>
      </c>
      <c r="CO300" s="80" t="str">
        <f>IF(AND($F300&lt;&gt;"", $F300&gt;=CO$5-4, $F300&lt;=CO$5, COUNTIF($M300:CN300,"u")=0), "u", "")</f>
        <v/>
      </c>
      <c r="CP300" s="80" t="str">
        <f>IF(AND($F300&lt;&gt;"", $F300&gt;=CP$5-4, $F300&lt;=CP$5, COUNTIF($M300:CO300,"u")=0), "u", "")</f>
        <v/>
      </c>
      <c r="CQ300" s="80" t="str">
        <f>IF(AND($F300&lt;&gt;"", $F300&gt;=CQ$5-4, $F300&lt;=CQ$5, COUNTIF($M300:CP300,"u")=0), "u", "")</f>
        <v/>
      </c>
      <c r="CR300" s="80" t="str">
        <f>IF(AND($F300&lt;&gt;"", $F300&gt;=CR$5-4, $F300&lt;=CR$5, COUNTIF($M300:CQ300,"u")=0), "u", "")</f>
        <v/>
      </c>
      <c r="CS300" s="80" t="str">
        <f>IF(AND($F300&lt;&gt;"", $F300&gt;=CS$5-4, $F300&lt;=CS$5, COUNTIF($M300:CR300,"u")=0), "u", "")</f>
        <v/>
      </c>
      <c r="CT300" s="80" t="str">
        <f>IF(AND($F300&lt;&gt;"", $F300&gt;=CT$5-4, $F300&lt;=CT$5, COUNTIF($M300:CS300,"u")=0), "u", "")</f>
        <v/>
      </c>
      <c r="CU300" s="80" t="str">
        <f>IF(AND($F300&lt;&gt;"", $F300&gt;=CU$5-4, $F300&lt;=CU$5, COUNTIF($M300:CT300,"u")=0), "u", "")</f>
        <v/>
      </c>
      <c r="CV300" s="80" t="str">
        <f>IF(AND($F300&lt;&gt;"", $F300&gt;=CV$5-4, $F300&lt;=CV$5, COUNTIF($M300:CU300,"u")=0), "u", "")</f>
        <v/>
      </c>
      <c r="CW300" s="80" t="str">
        <f>IF(AND($F300&lt;&gt;"", $F300&gt;=CW$5-4, $F300&lt;=CW$5, COUNTIF($M300:CV300,"u")=0), "u", "")</f>
        <v/>
      </c>
      <c r="CX300" s="80" t="str">
        <f>IF(AND($F300&lt;&gt;"", $F300&gt;=CX$5-4, $F300&lt;=CX$5, COUNTIF($M300:CW300,"u")=0), "u", "")</f>
        <v/>
      </c>
      <c r="CY300" s="80" t="str">
        <f>IF(AND($F300&lt;&gt;"", $F300&gt;=CY$5-4, $F300&lt;=CY$5, COUNTIF($M300:CX300,"u")=0), "u", "")</f>
        <v/>
      </c>
      <c r="CZ300" s="80" t="str">
        <f>IF(AND($F300&lt;&gt;"", $F300&gt;=CZ$5-4, $F300&lt;=CZ$5, COUNTIF($M300:CY300,"u")=0), "u", "")</f>
        <v/>
      </c>
      <c r="DA300" s="80" t="str">
        <f>IF(AND($F300&lt;&gt;"", $F300&gt;=DA$5-4, $F300&lt;=DA$5, COUNTIF($M300:CZ300,"u")=0), "u", "")</f>
        <v/>
      </c>
      <c r="DB300" s="80" t="str">
        <f>IF(AND($F300&lt;&gt;"", $F300&gt;=DB$5-4, $F300&lt;=DB$5, COUNTIF($M300:DA300,"u")=0), "u", "")</f>
        <v/>
      </c>
      <c r="DC300" s="80" t="str">
        <f>IF(AND($F300&lt;&gt;"", $F300&gt;=DC$5-4, $F300&lt;=DC$5, COUNTIF($M300:DB300,"u")=0), "u", "")</f>
        <v/>
      </c>
      <c r="DD300" s="80" t="str">
        <f>IF(AND($F300&lt;&gt;"", $F300&gt;=DD$5-4, $F300&lt;=DD$5, COUNTIF($M300:DC300,"u")=0), "u", "")</f>
        <v/>
      </c>
      <c r="DE300" s="80" t="str">
        <f>IF(AND($F300&lt;&gt;"", $F300&gt;=DE$5-4, $F300&lt;=DE$5, COUNTIF($M300:DD300,"u")=0), "u", "")</f>
        <v/>
      </c>
      <c r="DF300" s="80" t="str">
        <f>IF(AND($F300&lt;&gt;"", $F300&gt;=DF$5-4, $F300&lt;=DF$5, COUNTIF($M300:DE300,"u")=0), "u", "")</f>
        <v/>
      </c>
      <c r="DG300" s="80" t="str">
        <f>IF(AND($F300&lt;&gt;"", $F300&gt;=DG$5-4, $F300&lt;=DG$5, COUNTIF($M300:DF300,"u")=0), "u", "")</f>
        <v/>
      </c>
      <c r="DH300" s="80" t="str">
        <f>IF(AND($F300&lt;&gt;"", $F300&gt;=DH$5-4, $F300&lt;=DH$5, COUNTIF($M300:DG300,"u")=0), "u", "")</f>
        <v/>
      </c>
      <c r="DI300" s="80" t="str">
        <f>IF(AND($F300&lt;&gt;"", $F300&gt;=DI$5-4, $F300&lt;=DI$5, COUNTIF($M300:DH300,"u")=0), "u", "")</f>
        <v/>
      </c>
      <c r="DJ300" s="80" t="str">
        <f>IF(AND($F300&lt;&gt;"", $F300&gt;=DJ$5-4, $F300&lt;=DJ$5, COUNTIF($M300:DI300,"u")=0), "u", "")</f>
        <v/>
      </c>
      <c r="DK300" s="80" t="str">
        <f>IF(AND($F300&lt;&gt;"", $F300&gt;=DK$5-4, $F300&lt;=DK$5, COUNTIF($M300:DJ300,"u")=0), "u", "")</f>
        <v/>
      </c>
      <c r="DL300" s="80" t="str">
        <f>IF(AND($F300&lt;&gt;"", $F300&gt;=DL$5-4, $F300&lt;=DL$5, COUNTIF($M300:DK300,"u")=0), "u", "")</f>
        <v/>
      </c>
    </row>
    <row r="301" spans="1:116" ht="25.05" customHeight="1" x14ac:dyDescent="0.3">
      <c r="A301" s="39"/>
      <c r="B301" s="75">
        <v>296</v>
      </c>
      <c r="C301" s="97"/>
      <c r="D301" s="92"/>
      <c r="E301" s="53"/>
      <c r="F301" s="53"/>
      <c r="G301" s="83" t="str">
        <f t="shared" si="59"/>
        <v/>
      </c>
      <c r="H301" s="83" t="str">
        <f t="shared" si="59"/>
        <v/>
      </c>
      <c r="I301" s="77" t="str">
        <f t="shared" si="57"/>
        <v/>
      </c>
      <c r="J301" s="78"/>
      <c r="K301" s="86"/>
      <c r="L301" s="56"/>
      <c r="M301" s="80" t="str">
        <f t="shared" si="58"/>
        <v/>
      </c>
      <c r="N301" s="80" t="str">
        <f>IF(AND($F301&lt;&gt;"", $F301&gt;=N$5-4, $F301&lt;=N$5, COUNTIF($M301:M301,"u")=0), "u", "")</f>
        <v/>
      </c>
      <c r="O301" s="80" t="str">
        <f>IF(AND($F301&lt;&gt;"", $F301&gt;=O$5-4, $F301&lt;=O$5, COUNTIF($M301:N301,"u")=0), "u", "")</f>
        <v/>
      </c>
      <c r="P301" s="80" t="str">
        <f>IF(AND($F301&lt;&gt;"", $F301&gt;=P$5-4, $F301&lt;=P$5, COUNTIF($M301:O301,"u")=0), "u", "")</f>
        <v/>
      </c>
      <c r="Q301" s="80" t="str">
        <f>IF(AND($F301&lt;&gt;"", $F301&gt;=Q$5-4, $F301&lt;=Q$5, COUNTIF($M301:P301,"u")=0), "u", "")</f>
        <v/>
      </c>
      <c r="R301" s="80" t="str">
        <f>IF(AND($F301&lt;&gt;"", $F301&gt;=R$5-4, $F301&lt;=R$5, COUNTIF($M301:Q301,"u")=0), "u", "")</f>
        <v/>
      </c>
      <c r="S301" s="80" t="str">
        <f>IF(AND($F301&lt;&gt;"", $F301&gt;=S$5-4, $F301&lt;=S$5, COUNTIF($M301:R301,"u")=0), "u", "")</f>
        <v/>
      </c>
      <c r="T301" s="80" t="str">
        <f>IF(AND($F301&lt;&gt;"", $F301&gt;=T$5-4, $F301&lt;=T$5, COUNTIF($M301:S301,"u")=0), "u", "")</f>
        <v/>
      </c>
      <c r="U301" s="80" t="str">
        <f>IF(AND($F301&lt;&gt;"", $F301&gt;=U$5-4, $F301&lt;=U$5, COUNTIF($M301:T301,"u")=0), "u", "")</f>
        <v/>
      </c>
      <c r="V301" s="80" t="str">
        <f>IF(AND($F301&lt;&gt;"", $F301&gt;=V$5-4, $F301&lt;=V$5, COUNTIF($M301:U301,"u")=0), "u", "")</f>
        <v/>
      </c>
      <c r="W301" s="80" t="str">
        <f>IF(AND($F301&lt;&gt;"", $F301&gt;=W$5-4, $F301&lt;=W$5, COUNTIF($M301:V301,"u")=0), "u", "")</f>
        <v/>
      </c>
      <c r="X301" s="80" t="str">
        <f>IF(AND($F301&lt;&gt;"", $F301&gt;=X$5-4, $F301&lt;=X$5, COUNTIF($M301:W301,"u")=0), "u", "")</f>
        <v/>
      </c>
      <c r="Y301" s="80" t="str">
        <f>IF(AND($F301&lt;&gt;"", $F301&gt;=Y$5-4, $F301&lt;=Y$5, COUNTIF($M301:X301,"u")=0), "u", "")</f>
        <v/>
      </c>
      <c r="Z301" s="80" t="str">
        <f>IF(AND($F301&lt;&gt;"", $F301&gt;=Z$5-4, $F301&lt;=Z$5, COUNTIF($M301:Y301,"u")=0), "u", "")</f>
        <v/>
      </c>
      <c r="AA301" s="80" t="str">
        <f>IF(AND($F301&lt;&gt;"", $F301&gt;=AA$5-4, $F301&lt;=AA$5, COUNTIF($M301:Z301,"u")=0), "u", "")</f>
        <v/>
      </c>
      <c r="AB301" s="80" t="str">
        <f>IF(AND($F301&lt;&gt;"", $F301&gt;=AB$5-4, $F301&lt;=AB$5, COUNTIF($M301:AA301,"u")=0), "u", "")</f>
        <v/>
      </c>
      <c r="AC301" s="80" t="str">
        <f>IF(AND($F301&lt;&gt;"", $F301&gt;=AC$5-4, $F301&lt;=AC$5, COUNTIF($M301:AB301,"u")=0), "u", "")</f>
        <v/>
      </c>
      <c r="AD301" s="80" t="str">
        <f>IF(AND($F301&lt;&gt;"", $F301&gt;=AD$5-4, $F301&lt;=AD$5, COUNTIF($M301:AC301,"u")=0), "u", "")</f>
        <v/>
      </c>
      <c r="AE301" s="80" t="str">
        <f>IF(AND($F301&lt;&gt;"", $F301&gt;=AE$5-4, $F301&lt;=AE$5, COUNTIF($M301:AD301,"u")=0), "u", "")</f>
        <v/>
      </c>
      <c r="AF301" s="80" t="str">
        <f>IF(AND($F301&lt;&gt;"", $F301&gt;=AF$5-4, $F301&lt;=AF$5, COUNTIF($M301:AE301,"u")=0), "u", "")</f>
        <v/>
      </c>
      <c r="AG301" s="80" t="str">
        <f>IF(AND($F301&lt;&gt;"", $F301&gt;=AG$5-4, $F301&lt;=AG$5, COUNTIF($M301:AF301,"u")=0), "u", "")</f>
        <v/>
      </c>
      <c r="AH301" s="80" t="str">
        <f>IF(AND($F301&lt;&gt;"", $F301&gt;=AH$5-4, $F301&lt;=AH$5, COUNTIF($M301:AG301,"u")=0), "u", "")</f>
        <v/>
      </c>
      <c r="AI301" s="80" t="str">
        <f>IF(AND($F301&lt;&gt;"", $F301&gt;=AI$5-4, $F301&lt;=AI$5, COUNTIF($M301:AH301,"u")=0), "u", "")</f>
        <v/>
      </c>
      <c r="AJ301" s="80" t="str">
        <f>IF(AND($F301&lt;&gt;"", $F301&gt;=AJ$5-4, $F301&lt;=AJ$5, COUNTIF($M301:AI301,"u")=0), "u", "")</f>
        <v/>
      </c>
      <c r="AK301" s="80" t="str">
        <f>IF(AND($F301&lt;&gt;"", $F301&gt;=AK$5-4, $F301&lt;=AK$5, COUNTIF($M301:AJ301,"u")=0), "u", "")</f>
        <v/>
      </c>
      <c r="AL301" s="80" t="str">
        <f>IF(AND($F301&lt;&gt;"", $F301&gt;=AL$5-4, $F301&lt;=AL$5, COUNTIF($M301:AK301,"u")=0), "u", "")</f>
        <v/>
      </c>
      <c r="AM301" s="80" t="str">
        <f>IF(AND($F301&lt;&gt;"", $F301&gt;=AM$5-4, $F301&lt;=AM$5, COUNTIF($M301:AL301,"u")=0), "u", "")</f>
        <v/>
      </c>
      <c r="AN301" s="80" t="str">
        <f>IF(AND($F301&lt;&gt;"", $F301&gt;=AN$5-4, $F301&lt;=AN$5, COUNTIF($M301:AM301,"u")=0), "u", "")</f>
        <v/>
      </c>
      <c r="AO301" s="80" t="str">
        <f>IF(AND($F301&lt;&gt;"", $F301&gt;=AO$5-4, $F301&lt;=AO$5, COUNTIF($M301:AN301,"u")=0), "u", "")</f>
        <v/>
      </c>
      <c r="AP301" s="80" t="str">
        <f>IF(AND($F301&lt;&gt;"", $F301&gt;=AP$5-4, $F301&lt;=AP$5, COUNTIF($M301:AO301,"u")=0), "u", "")</f>
        <v/>
      </c>
      <c r="AQ301" s="80" t="str">
        <f>IF(AND($F301&lt;&gt;"", $F301&gt;=AQ$5-4, $F301&lt;=AQ$5, COUNTIF($M301:AP301,"u")=0), "u", "")</f>
        <v/>
      </c>
      <c r="AR301" s="80" t="str">
        <f>IF(AND($F301&lt;&gt;"", $F301&gt;=AR$5-4, $F301&lt;=AR$5, COUNTIF($M301:AQ301,"u")=0), "u", "")</f>
        <v/>
      </c>
      <c r="AS301" s="80" t="str">
        <f>IF(AND($F301&lt;&gt;"", $F301&gt;=AS$5-4, $F301&lt;=AS$5, COUNTIF($M301:AR301,"u")=0), "u", "")</f>
        <v/>
      </c>
      <c r="AT301" s="80" t="str">
        <f>IF(AND($F301&lt;&gt;"", $F301&gt;=AT$5-4, $F301&lt;=AT$5, COUNTIF($M301:AS301,"u")=0), "u", "")</f>
        <v/>
      </c>
      <c r="AU301" s="80" t="str">
        <f>IF(AND($F301&lt;&gt;"", $F301&gt;=AU$5-4, $F301&lt;=AU$5, COUNTIF($M301:AT301,"u")=0), "u", "")</f>
        <v/>
      </c>
      <c r="AV301" s="80" t="str">
        <f>IF(AND($F301&lt;&gt;"", $F301&gt;=AV$5-4, $F301&lt;=AV$5, COUNTIF($M301:AU301,"u")=0), "u", "")</f>
        <v/>
      </c>
      <c r="AW301" s="80" t="str">
        <f>IF(AND($F301&lt;&gt;"", $F301&gt;=AW$5-4, $F301&lt;=AW$5, COUNTIF($M301:AV301,"u")=0), "u", "")</f>
        <v/>
      </c>
      <c r="AX301" s="80" t="str">
        <f>IF(AND($F301&lt;&gt;"", $F301&gt;=AX$5-4, $F301&lt;=AX$5, COUNTIF($M301:AW301,"u")=0), "u", "")</f>
        <v/>
      </c>
      <c r="AY301" s="80" t="str">
        <f>IF(AND($F301&lt;&gt;"", $F301&gt;=AY$5-4, $F301&lt;=AY$5, COUNTIF($M301:AX301,"u")=0), "u", "")</f>
        <v/>
      </c>
      <c r="AZ301" s="80" t="str">
        <f>IF(AND($F301&lt;&gt;"", $F301&gt;=AZ$5-4, $F301&lt;=AZ$5, COUNTIF($M301:AY301,"u")=0), "u", "")</f>
        <v/>
      </c>
      <c r="BA301" s="80" t="str">
        <f>IF(AND($F301&lt;&gt;"", $F301&gt;=BA$5-4, $F301&lt;=BA$5, COUNTIF($M301:AZ301,"u")=0), "u", "")</f>
        <v/>
      </c>
      <c r="BB301" s="80" t="str">
        <f>IF(AND($F301&lt;&gt;"", $F301&gt;=BB$5-4, $F301&lt;=BB$5, COUNTIF($M301:BA301,"u")=0), "u", "")</f>
        <v/>
      </c>
      <c r="BC301" s="80" t="str">
        <f>IF(AND($F301&lt;&gt;"", $F301&gt;=BC$5-4, $F301&lt;=BC$5, COUNTIF($M301:BB301,"u")=0), "u", "")</f>
        <v/>
      </c>
      <c r="BD301" s="80" t="str">
        <f>IF(AND($F301&lt;&gt;"", $F301&gt;=BD$5-4, $F301&lt;=BD$5, COUNTIF($M301:BC301,"u")=0), "u", "")</f>
        <v/>
      </c>
      <c r="BE301" s="80" t="str">
        <f>IF(AND($F301&lt;&gt;"", $F301&gt;=BE$5-4, $F301&lt;=BE$5, COUNTIF($M301:BD301,"u")=0), "u", "")</f>
        <v/>
      </c>
      <c r="BF301" s="80" t="str">
        <f>IF(AND($F301&lt;&gt;"", $F301&gt;=BF$5-4, $F301&lt;=BF$5, COUNTIF($M301:BE301,"u")=0), "u", "")</f>
        <v/>
      </c>
      <c r="BG301" s="80" t="str">
        <f>IF(AND($F301&lt;&gt;"", $F301&gt;=BG$5-4, $F301&lt;=BG$5, COUNTIF($M301:BF301,"u")=0), "u", "")</f>
        <v/>
      </c>
      <c r="BH301" s="80" t="str">
        <f>IF(AND($F301&lt;&gt;"", $F301&gt;=BH$5-4, $F301&lt;=BH$5, COUNTIF($M301:BG301,"u")=0), "u", "")</f>
        <v/>
      </c>
      <c r="BI301" s="80" t="str">
        <f>IF(AND($F301&lt;&gt;"", $F301&gt;=BI$5-4, $F301&lt;=BI$5, COUNTIF($M301:BH301,"u")=0), "u", "")</f>
        <v/>
      </c>
      <c r="BJ301" s="80" t="str">
        <f>IF(AND($F301&lt;&gt;"", $F301&gt;=BJ$5-4, $F301&lt;=BJ$5, COUNTIF($M301:BI301,"u")=0), "u", "")</f>
        <v/>
      </c>
      <c r="BK301" s="80" t="str">
        <f>IF(AND($F301&lt;&gt;"", $F301&gt;=BK$5-4, $F301&lt;=BK$5, COUNTIF($M301:BJ301,"u")=0), "u", "")</f>
        <v/>
      </c>
      <c r="BL301" s="80" t="str">
        <f>IF(AND($F301&lt;&gt;"", $F301&gt;=BL$5-4, $F301&lt;=BL$5, COUNTIF($M301:BK301,"u")=0), "u", "")</f>
        <v/>
      </c>
      <c r="BM301" s="80" t="str">
        <f>IF(AND($F301&lt;&gt;"", $F301&gt;=BM$5-4, $F301&lt;=BM$5, COUNTIF($M301:BL301,"u")=0), "u", "")</f>
        <v/>
      </c>
      <c r="BN301" s="80" t="str">
        <f>IF(AND($F301&lt;&gt;"", $F301&gt;=BN$5-4, $F301&lt;=BN$5, COUNTIF($M301:BM301,"u")=0), "u", "")</f>
        <v/>
      </c>
      <c r="BO301" s="80" t="str">
        <f>IF(AND($F301&lt;&gt;"", $F301&gt;=BO$5-4, $F301&lt;=BO$5, COUNTIF($M301:BN301,"u")=0), "u", "")</f>
        <v/>
      </c>
      <c r="BP301" s="80" t="str">
        <f>IF(AND($F301&lt;&gt;"", $F301&gt;=BP$5-4, $F301&lt;=BP$5, COUNTIF($M301:BO301,"u")=0), "u", "")</f>
        <v/>
      </c>
      <c r="BQ301" s="80" t="str">
        <f>IF(AND($F301&lt;&gt;"", $F301&gt;=BQ$5-4, $F301&lt;=BQ$5, COUNTIF($M301:BP301,"u")=0), "u", "")</f>
        <v/>
      </c>
      <c r="BR301" s="80" t="str">
        <f>IF(AND($F301&lt;&gt;"", $F301&gt;=BR$5-4, $F301&lt;=BR$5, COUNTIF($M301:BQ301,"u")=0), "u", "")</f>
        <v/>
      </c>
      <c r="BS301" s="80" t="str">
        <f>IF(AND($F301&lt;&gt;"", $F301&gt;=BS$5-4, $F301&lt;=BS$5, COUNTIF($M301:BR301,"u")=0), "u", "")</f>
        <v/>
      </c>
      <c r="BT301" s="80" t="str">
        <f>IF(AND($F301&lt;&gt;"", $F301&gt;=BT$5-4, $F301&lt;=BT$5, COUNTIF($M301:BS301,"u")=0), "u", "")</f>
        <v/>
      </c>
      <c r="BU301" s="80" t="str">
        <f>IF(AND($F301&lt;&gt;"", $F301&gt;=BU$5-4, $F301&lt;=BU$5, COUNTIF($M301:BT301,"u")=0), "u", "")</f>
        <v/>
      </c>
      <c r="BV301" s="80" t="str">
        <f>IF(AND($F301&lt;&gt;"", $F301&gt;=BV$5-4, $F301&lt;=BV$5, COUNTIF($M301:BU301,"u")=0), "u", "")</f>
        <v/>
      </c>
      <c r="BW301" s="80" t="str">
        <f>IF(AND($F301&lt;&gt;"", $F301&gt;=BW$5-4, $F301&lt;=BW$5, COUNTIF($M301:BV301,"u")=0), "u", "")</f>
        <v/>
      </c>
      <c r="BX301" s="80" t="str">
        <f>IF(AND($F301&lt;&gt;"", $F301&gt;=BX$5-4, $F301&lt;=BX$5, COUNTIF($M301:BW301,"u")=0), "u", "")</f>
        <v/>
      </c>
      <c r="BY301" s="80" t="str">
        <f>IF(AND($F301&lt;&gt;"", $F301&gt;=BY$5-4, $F301&lt;=BY$5, COUNTIF($M301:BX301,"u")=0), "u", "")</f>
        <v/>
      </c>
      <c r="BZ301" s="80" t="str">
        <f>IF(AND($F301&lt;&gt;"", $F301&gt;=BZ$5-4, $F301&lt;=BZ$5, COUNTIF($M301:BY301,"u")=0), "u", "")</f>
        <v/>
      </c>
      <c r="CA301" s="80" t="str">
        <f>IF(AND($F301&lt;&gt;"", $F301&gt;=CA$5-4, $F301&lt;=CA$5, COUNTIF($M301:BZ301,"u")=0), "u", "")</f>
        <v/>
      </c>
      <c r="CB301" s="80" t="str">
        <f>IF(AND($F301&lt;&gt;"", $F301&gt;=CB$5-4, $F301&lt;=CB$5, COUNTIF($M301:CA301,"u")=0), "u", "")</f>
        <v/>
      </c>
      <c r="CC301" s="80" t="str">
        <f>IF(AND($F301&lt;&gt;"", $F301&gt;=CC$5-4, $F301&lt;=CC$5, COUNTIF($M301:CB301,"u")=0), "u", "")</f>
        <v/>
      </c>
      <c r="CD301" s="80" t="str">
        <f>IF(AND($F301&lt;&gt;"", $F301&gt;=CD$5-4, $F301&lt;=CD$5, COUNTIF($M301:CC301,"u")=0), "u", "")</f>
        <v/>
      </c>
      <c r="CE301" s="80" t="str">
        <f>IF(AND($F301&lt;&gt;"", $F301&gt;=CE$5-4, $F301&lt;=CE$5, COUNTIF($M301:CD301,"u")=0), "u", "")</f>
        <v/>
      </c>
      <c r="CF301" s="80" t="str">
        <f>IF(AND($F301&lt;&gt;"", $F301&gt;=CF$5-4, $F301&lt;=CF$5, COUNTIF($M301:CE301,"u")=0), "u", "")</f>
        <v/>
      </c>
      <c r="CG301" s="80" t="str">
        <f>IF(AND($F301&lt;&gt;"", $F301&gt;=CG$5-4, $F301&lt;=CG$5, COUNTIF($M301:CF301,"u")=0), "u", "")</f>
        <v/>
      </c>
      <c r="CH301" s="80" t="str">
        <f>IF(AND($F301&lt;&gt;"", $F301&gt;=CH$5-4, $F301&lt;=CH$5, COUNTIF($M301:CG301,"u")=0), "u", "")</f>
        <v/>
      </c>
      <c r="CI301" s="80" t="str">
        <f>IF(AND($F301&lt;&gt;"", $F301&gt;=CI$5-4, $F301&lt;=CI$5, COUNTIF($M301:CH301,"u")=0), "u", "")</f>
        <v/>
      </c>
      <c r="CJ301" s="80" t="str">
        <f>IF(AND($F301&lt;&gt;"", $F301&gt;=CJ$5-4, $F301&lt;=CJ$5, COUNTIF($M301:CI301,"u")=0), "u", "")</f>
        <v/>
      </c>
      <c r="CK301" s="80" t="str">
        <f>IF(AND($F301&lt;&gt;"", $F301&gt;=CK$5-4, $F301&lt;=CK$5, COUNTIF($M301:CJ301,"u")=0), "u", "")</f>
        <v/>
      </c>
      <c r="CL301" s="80" t="str">
        <f>IF(AND($F301&lt;&gt;"", $F301&gt;=CL$5-4, $F301&lt;=CL$5, COUNTIF($M301:CK301,"u")=0), "u", "")</f>
        <v/>
      </c>
      <c r="CM301" s="80" t="str">
        <f>IF(AND($F301&lt;&gt;"", $F301&gt;=CM$5-4, $F301&lt;=CM$5, COUNTIF($M301:CL301,"u")=0), "u", "")</f>
        <v/>
      </c>
      <c r="CN301" s="80" t="str">
        <f>IF(AND($F301&lt;&gt;"", $F301&gt;=CN$5-4, $F301&lt;=CN$5, COUNTIF($M301:CM301,"u")=0), "u", "")</f>
        <v/>
      </c>
      <c r="CO301" s="80" t="str">
        <f>IF(AND($F301&lt;&gt;"", $F301&gt;=CO$5-4, $F301&lt;=CO$5, COUNTIF($M301:CN301,"u")=0), "u", "")</f>
        <v/>
      </c>
      <c r="CP301" s="80" t="str">
        <f>IF(AND($F301&lt;&gt;"", $F301&gt;=CP$5-4, $F301&lt;=CP$5, COUNTIF($M301:CO301,"u")=0), "u", "")</f>
        <v/>
      </c>
      <c r="CQ301" s="80" t="str">
        <f>IF(AND($F301&lt;&gt;"", $F301&gt;=CQ$5-4, $F301&lt;=CQ$5, COUNTIF($M301:CP301,"u")=0), "u", "")</f>
        <v/>
      </c>
      <c r="CR301" s="80" t="str">
        <f>IF(AND($F301&lt;&gt;"", $F301&gt;=CR$5-4, $F301&lt;=CR$5, COUNTIF($M301:CQ301,"u")=0), "u", "")</f>
        <v/>
      </c>
      <c r="CS301" s="80" t="str">
        <f>IF(AND($F301&lt;&gt;"", $F301&gt;=CS$5-4, $F301&lt;=CS$5, COUNTIF($M301:CR301,"u")=0), "u", "")</f>
        <v/>
      </c>
      <c r="CT301" s="80" t="str">
        <f>IF(AND($F301&lt;&gt;"", $F301&gt;=CT$5-4, $F301&lt;=CT$5, COUNTIF($M301:CS301,"u")=0), "u", "")</f>
        <v/>
      </c>
      <c r="CU301" s="80" t="str">
        <f>IF(AND($F301&lt;&gt;"", $F301&gt;=CU$5-4, $F301&lt;=CU$5, COUNTIF($M301:CT301,"u")=0), "u", "")</f>
        <v/>
      </c>
      <c r="CV301" s="80" t="str">
        <f>IF(AND($F301&lt;&gt;"", $F301&gt;=CV$5-4, $F301&lt;=CV$5, COUNTIF($M301:CU301,"u")=0), "u", "")</f>
        <v/>
      </c>
      <c r="CW301" s="80" t="str">
        <f>IF(AND($F301&lt;&gt;"", $F301&gt;=CW$5-4, $F301&lt;=CW$5, COUNTIF($M301:CV301,"u")=0), "u", "")</f>
        <v/>
      </c>
      <c r="CX301" s="80" t="str">
        <f>IF(AND($F301&lt;&gt;"", $F301&gt;=CX$5-4, $F301&lt;=CX$5, COUNTIF($M301:CW301,"u")=0), "u", "")</f>
        <v/>
      </c>
      <c r="CY301" s="80" t="str">
        <f>IF(AND($F301&lt;&gt;"", $F301&gt;=CY$5-4, $F301&lt;=CY$5, COUNTIF($M301:CX301,"u")=0), "u", "")</f>
        <v/>
      </c>
      <c r="CZ301" s="80" t="str">
        <f>IF(AND($F301&lt;&gt;"", $F301&gt;=CZ$5-4, $F301&lt;=CZ$5, COUNTIF($M301:CY301,"u")=0), "u", "")</f>
        <v/>
      </c>
      <c r="DA301" s="80" t="str">
        <f>IF(AND($F301&lt;&gt;"", $F301&gt;=DA$5-4, $F301&lt;=DA$5, COUNTIF($M301:CZ301,"u")=0), "u", "")</f>
        <v/>
      </c>
      <c r="DB301" s="80" t="str">
        <f>IF(AND($F301&lt;&gt;"", $F301&gt;=DB$5-4, $F301&lt;=DB$5, COUNTIF($M301:DA301,"u")=0), "u", "")</f>
        <v/>
      </c>
      <c r="DC301" s="80" t="str">
        <f>IF(AND($F301&lt;&gt;"", $F301&gt;=DC$5-4, $F301&lt;=DC$5, COUNTIF($M301:DB301,"u")=0), "u", "")</f>
        <v/>
      </c>
      <c r="DD301" s="80" t="str">
        <f>IF(AND($F301&lt;&gt;"", $F301&gt;=DD$5-4, $F301&lt;=DD$5, COUNTIF($M301:DC301,"u")=0), "u", "")</f>
        <v/>
      </c>
      <c r="DE301" s="80" t="str">
        <f>IF(AND($F301&lt;&gt;"", $F301&gt;=DE$5-4, $F301&lt;=DE$5, COUNTIF($M301:DD301,"u")=0), "u", "")</f>
        <v/>
      </c>
      <c r="DF301" s="80" t="str">
        <f>IF(AND($F301&lt;&gt;"", $F301&gt;=DF$5-4, $F301&lt;=DF$5, COUNTIF($M301:DE301,"u")=0), "u", "")</f>
        <v/>
      </c>
      <c r="DG301" s="80" t="str">
        <f>IF(AND($F301&lt;&gt;"", $F301&gt;=DG$5-4, $F301&lt;=DG$5, COUNTIF($M301:DF301,"u")=0), "u", "")</f>
        <v/>
      </c>
      <c r="DH301" s="80" t="str">
        <f>IF(AND($F301&lt;&gt;"", $F301&gt;=DH$5-4, $F301&lt;=DH$5, COUNTIF($M301:DG301,"u")=0), "u", "")</f>
        <v/>
      </c>
      <c r="DI301" s="80" t="str">
        <f>IF(AND($F301&lt;&gt;"", $F301&gt;=DI$5-4, $F301&lt;=DI$5, COUNTIF($M301:DH301,"u")=0), "u", "")</f>
        <v/>
      </c>
      <c r="DJ301" s="80" t="str">
        <f>IF(AND($F301&lt;&gt;"", $F301&gt;=DJ$5-4, $F301&lt;=DJ$5, COUNTIF($M301:DI301,"u")=0), "u", "")</f>
        <v/>
      </c>
      <c r="DK301" s="80" t="str">
        <f>IF(AND($F301&lt;&gt;"", $F301&gt;=DK$5-4, $F301&lt;=DK$5, COUNTIF($M301:DJ301,"u")=0), "u", "")</f>
        <v/>
      </c>
      <c r="DL301" s="80" t="str">
        <f>IF(AND($F301&lt;&gt;"", $F301&gt;=DL$5-4, $F301&lt;=DL$5, COUNTIF($M301:DK301,"u")=0), "u", "")</f>
        <v/>
      </c>
    </row>
    <row r="302" spans="1:116" ht="25.05" customHeight="1" x14ac:dyDescent="0.3">
      <c r="A302" s="39"/>
      <c r="B302" s="75">
        <v>297</v>
      </c>
      <c r="C302" s="97"/>
      <c r="D302" s="92"/>
      <c r="E302" s="53"/>
      <c r="F302" s="53"/>
      <c r="G302" s="83" t="str">
        <f t="shared" si="59"/>
        <v/>
      </c>
      <c r="H302" s="83" t="str">
        <f t="shared" si="59"/>
        <v/>
      </c>
      <c r="I302" s="77" t="str">
        <f t="shared" si="57"/>
        <v/>
      </c>
      <c r="J302" s="78"/>
      <c r="K302" s="86"/>
      <c r="L302" s="56"/>
      <c r="M302" s="80" t="str">
        <f t="shared" si="58"/>
        <v/>
      </c>
      <c r="N302" s="80" t="str">
        <f>IF(AND($F302&lt;&gt;"", $F302&gt;=N$5-4, $F302&lt;=N$5, COUNTIF($M302:M302,"u")=0), "u", "")</f>
        <v/>
      </c>
      <c r="O302" s="80" t="str">
        <f>IF(AND($F302&lt;&gt;"", $F302&gt;=O$5-4, $F302&lt;=O$5, COUNTIF($M302:N302,"u")=0), "u", "")</f>
        <v/>
      </c>
      <c r="P302" s="80" t="str">
        <f>IF(AND($F302&lt;&gt;"", $F302&gt;=P$5-4, $F302&lt;=P$5, COUNTIF($M302:O302,"u")=0), "u", "")</f>
        <v/>
      </c>
      <c r="Q302" s="80" t="str">
        <f>IF(AND($F302&lt;&gt;"", $F302&gt;=Q$5-4, $F302&lt;=Q$5, COUNTIF($M302:P302,"u")=0), "u", "")</f>
        <v/>
      </c>
      <c r="R302" s="80" t="str">
        <f>IF(AND($F302&lt;&gt;"", $F302&gt;=R$5-4, $F302&lt;=R$5, COUNTIF($M302:Q302,"u")=0), "u", "")</f>
        <v/>
      </c>
      <c r="S302" s="80" t="str">
        <f>IF(AND($F302&lt;&gt;"", $F302&gt;=S$5-4, $F302&lt;=S$5, COUNTIF($M302:R302,"u")=0), "u", "")</f>
        <v/>
      </c>
      <c r="T302" s="80" t="str">
        <f>IF(AND($F302&lt;&gt;"", $F302&gt;=T$5-4, $F302&lt;=T$5, COUNTIF($M302:S302,"u")=0), "u", "")</f>
        <v/>
      </c>
      <c r="U302" s="80" t="str">
        <f>IF(AND($F302&lt;&gt;"", $F302&gt;=U$5-4, $F302&lt;=U$5, COUNTIF($M302:T302,"u")=0), "u", "")</f>
        <v/>
      </c>
      <c r="V302" s="80" t="str">
        <f>IF(AND($F302&lt;&gt;"", $F302&gt;=V$5-4, $F302&lt;=V$5, COUNTIF($M302:U302,"u")=0), "u", "")</f>
        <v/>
      </c>
      <c r="W302" s="80" t="str">
        <f>IF(AND($F302&lt;&gt;"", $F302&gt;=W$5-4, $F302&lt;=W$5, COUNTIF($M302:V302,"u")=0), "u", "")</f>
        <v/>
      </c>
      <c r="X302" s="80" t="str">
        <f>IF(AND($F302&lt;&gt;"", $F302&gt;=X$5-4, $F302&lt;=X$5, COUNTIF($M302:W302,"u")=0), "u", "")</f>
        <v/>
      </c>
      <c r="Y302" s="80" t="str">
        <f>IF(AND($F302&lt;&gt;"", $F302&gt;=Y$5-4, $F302&lt;=Y$5, COUNTIF($M302:X302,"u")=0), "u", "")</f>
        <v/>
      </c>
      <c r="Z302" s="80" t="str">
        <f>IF(AND($F302&lt;&gt;"", $F302&gt;=Z$5-4, $F302&lt;=Z$5, COUNTIF($M302:Y302,"u")=0), "u", "")</f>
        <v/>
      </c>
      <c r="AA302" s="80" t="str">
        <f>IF(AND($F302&lt;&gt;"", $F302&gt;=AA$5-4, $F302&lt;=AA$5, COUNTIF($M302:Z302,"u")=0), "u", "")</f>
        <v/>
      </c>
      <c r="AB302" s="80" t="str">
        <f>IF(AND($F302&lt;&gt;"", $F302&gt;=AB$5-4, $F302&lt;=AB$5, COUNTIF($M302:AA302,"u")=0), "u", "")</f>
        <v/>
      </c>
      <c r="AC302" s="80" t="str">
        <f>IF(AND($F302&lt;&gt;"", $F302&gt;=AC$5-4, $F302&lt;=AC$5, COUNTIF($M302:AB302,"u")=0), "u", "")</f>
        <v/>
      </c>
      <c r="AD302" s="80" t="str">
        <f>IF(AND($F302&lt;&gt;"", $F302&gt;=AD$5-4, $F302&lt;=AD$5, COUNTIF($M302:AC302,"u")=0), "u", "")</f>
        <v/>
      </c>
      <c r="AE302" s="80" t="str">
        <f>IF(AND($F302&lt;&gt;"", $F302&gt;=AE$5-4, $F302&lt;=AE$5, COUNTIF($M302:AD302,"u")=0), "u", "")</f>
        <v/>
      </c>
      <c r="AF302" s="80" t="str">
        <f>IF(AND($F302&lt;&gt;"", $F302&gt;=AF$5-4, $F302&lt;=AF$5, COUNTIF($M302:AE302,"u")=0), "u", "")</f>
        <v/>
      </c>
      <c r="AG302" s="80" t="str">
        <f>IF(AND($F302&lt;&gt;"", $F302&gt;=AG$5-4, $F302&lt;=AG$5, COUNTIF($M302:AF302,"u")=0), "u", "")</f>
        <v/>
      </c>
      <c r="AH302" s="80" t="str">
        <f>IF(AND($F302&lt;&gt;"", $F302&gt;=AH$5-4, $F302&lt;=AH$5, COUNTIF($M302:AG302,"u")=0), "u", "")</f>
        <v/>
      </c>
      <c r="AI302" s="80" t="str">
        <f>IF(AND($F302&lt;&gt;"", $F302&gt;=AI$5-4, $F302&lt;=AI$5, COUNTIF($M302:AH302,"u")=0), "u", "")</f>
        <v/>
      </c>
      <c r="AJ302" s="80" t="str">
        <f>IF(AND($F302&lt;&gt;"", $F302&gt;=AJ$5-4, $F302&lt;=AJ$5, COUNTIF($M302:AI302,"u")=0), "u", "")</f>
        <v/>
      </c>
      <c r="AK302" s="80" t="str">
        <f>IF(AND($F302&lt;&gt;"", $F302&gt;=AK$5-4, $F302&lt;=AK$5, COUNTIF($M302:AJ302,"u")=0), "u", "")</f>
        <v/>
      </c>
      <c r="AL302" s="80" t="str">
        <f>IF(AND($F302&lt;&gt;"", $F302&gt;=AL$5-4, $F302&lt;=AL$5, COUNTIF($M302:AK302,"u")=0), "u", "")</f>
        <v/>
      </c>
      <c r="AM302" s="80" t="str">
        <f>IF(AND($F302&lt;&gt;"", $F302&gt;=AM$5-4, $F302&lt;=AM$5, COUNTIF($M302:AL302,"u")=0), "u", "")</f>
        <v/>
      </c>
      <c r="AN302" s="80" t="str">
        <f>IF(AND($F302&lt;&gt;"", $F302&gt;=AN$5-4, $F302&lt;=AN$5, COUNTIF($M302:AM302,"u")=0), "u", "")</f>
        <v/>
      </c>
      <c r="AO302" s="80" t="str">
        <f>IF(AND($F302&lt;&gt;"", $F302&gt;=AO$5-4, $F302&lt;=AO$5, COUNTIF($M302:AN302,"u")=0), "u", "")</f>
        <v/>
      </c>
      <c r="AP302" s="80" t="str">
        <f>IF(AND($F302&lt;&gt;"", $F302&gt;=AP$5-4, $F302&lt;=AP$5, COUNTIF($M302:AO302,"u")=0), "u", "")</f>
        <v/>
      </c>
      <c r="AQ302" s="80" t="str">
        <f>IF(AND($F302&lt;&gt;"", $F302&gt;=AQ$5-4, $F302&lt;=AQ$5, COUNTIF($M302:AP302,"u")=0), "u", "")</f>
        <v/>
      </c>
      <c r="AR302" s="80" t="str">
        <f>IF(AND($F302&lt;&gt;"", $F302&gt;=AR$5-4, $F302&lt;=AR$5, COUNTIF($M302:AQ302,"u")=0), "u", "")</f>
        <v/>
      </c>
      <c r="AS302" s="80" t="str">
        <f>IF(AND($F302&lt;&gt;"", $F302&gt;=AS$5-4, $F302&lt;=AS$5, COUNTIF($M302:AR302,"u")=0), "u", "")</f>
        <v/>
      </c>
      <c r="AT302" s="80" t="str">
        <f>IF(AND($F302&lt;&gt;"", $F302&gt;=AT$5-4, $F302&lt;=AT$5, COUNTIF($M302:AS302,"u")=0), "u", "")</f>
        <v/>
      </c>
      <c r="AU302" s="80" t="str">
        <f>IF(AND($F302&lt;&gt;"", $F302&gt;=AU$5-4, $F302&lt;=AU$5, COUNTIF($M302:AT302,"u")=0), "u", "")</f>
        <v/>
      </c>
      <c r="AV302" s="80" t="str">
        <f>IF(AND($F302&lt;&gt;"", $F302&gt;=AV$5-4, $F302&lt;=AV$5, COUNTIF($M302:AU302,"u")=0), "u", "")</f>
        <v/>
      </c>
      <c r="AW302" s="80" t="str">
        <f>IF(AND($F302&lt;&gt;"", $F302&gt;=AW$5-4, $F302&lt;=AW$5, COUNTIF($M302:AV302,"u")=0), "u", "")</f>
        <v/>
      </c>
      <c r="AX302" s="80" t="str">
        <f>IF(AND($F302&lt;&gt;"", $F302&gt;=AX$5-4, $F302&lt;=AX$5, COUNTIF($M302:AW302,"u")=0), "u", "")</f>
        <v/>
      </c>
      <c r="AY302" s="80" t="str">
        <f>IF(AND($F302&lt;&gt;"", $F302&gt;=AY$5-4, $F302&lt;=AY$5, COUNTIF($M302:AX302,"u")=0), "u", "")</f>
        <v/>
      </c>
      <c r="AZ302" s="80" t="str">
        <f>IF(AND($F302&lt;&gt;"", $F302&gt;=AZ$5-4, $F302&lt;=AZ$5, COUNTIF($M302:AY302,"u")=0), "u", "")</f>
        <v/>
      </c>
      <c r="BA302" s="80" t="str">
        <f>IF(AND($F302&lt;&gt;"", $F302&gt;=BA$5-4, $F302&lt;=BA$5, COUNTIF($M302:AZ302,"u")=0), "u", "")</f>
        <v/>
      </c>
      <c r="BB302" s="80" t="str">
        <f>IF(AND($F302&lt;&gt;"", $F302&gt;=BB$5-4, $F302&lt;=BB$5, COUNTIF($M302:BA302,"u")=0), "u", "")</f>
        <v/>
      </c>
      <c r="BC302" s="80" t="str">
        <f>IF(AND($F302&lt;&gt;"", $F302&gt;=BC$5-4, $F302&lt;=BC$5, COUNTIF($M302:BB302,"u")=0), "u", "")</f>
        <v/>
      </c>
      <c r="BD302" s="80" t="str">
        <f>IF(AND($F302&lt;&gt;"", $F302&gt;=BD$5-4, $F302&lt;=BD$5, COUNTIF($M302:BC302,"u")=0), "u", "")</f>
        <v/>
      </c>
      <c r="BE302" s="80" t="str">
        <f>IF(AND($F302&lt;&gt;"", $F302&gt;=BE$5-4, $F302&lt;=BE$5, COUNTIF($M302:BD302,"u")=0), "u", "")</f>
        <v/>
      </c>
      <c r="BF302" s="80" t="str">
        <f>IF(AND($F302&lt;&gt;"", $F302&gt;=BF$5-4, $F302&lt;=BF$5, COUNTIF($M302:BE302,"u")=0), "u", "")</f>
        <v/>
      </c>
      <c r="BG302" s="80" t="str">
        <f>IF(AND($F302&lt;&gt;"", $F302&gt;=BG$5-4, $F302&lt;=BG$5, COUNTIF($M302:BF302,"u")=0), "u", "")</f>
        <v/>
      </c>
      <c r="BH302" s="80" t="str">
        <f>IF(AND($F302&lt;&gt;"", $F302&gt;=BH$5-4, $F302&lt;=BH$5, COUNTIF($M302:BG302,"u")=0), "u", "")</f>
        <v/>
      </c>
      <c r="BI302" s="80" t="str">
        <f>IF(AND($F302&lt;&gt;"", $F302&gt;=BI$5-4, $F302&lt;=BI$5, COUNTIF($M302:BH302,"u")=0), "u", "")</f>
        <v/>
      </c>
      <c r="BJ302" s="80" t="str">
        <f>IF(AND($F302&lt;&gt;"", $F302&gt;=BJ$5-4, $F302&lt;=BJ$5, COUNTIF($M302:BI302,"u")=0), "u", "")</f>
        <v/>
      </c>
      <c r="BK302" s="80" t="str">
        <f>IF(AND($F302&lt;&gt;"", $F302&gt;=BK$5-4, $F302&lt;=BK$5, COUNTIF($M302:BJ302,"u")=0), "u", "")</f>
        <v/>
      </c>
      <c r="BL302" s="80" t="str">
        <f>IF(AND($F302&lt;&gt;"", $F302&gt;=BL$5-4, $F302&lt;=BL$5, COUNTIF($M302:BK302,"u")=0), "u", "")</f>
        <v/>
      </c>
      <c r="BM302" s="80" t="str">
        <f>IF(AND($F302&lt;&gt;"", $F302&gt;=BM$5-4, $F302&lt;=BM$5, COUNTIF($M302:BL302,"u")=0), "u", "")</f>
        <v/>
      </c>
      <c r="BN302" s="80" t="str">
        <f>IF(AND($F302&lt;&gt;"", $F302&gt;=BN$5-4, $F302&lt;=BN$5, COUNTIF($M302:BM302,"u")=0), "u", "")</f>
        <v/>
      </c>
      <c r="BO302" s="80" t="str">
        <f>IF(AND($F302&lt;&gt;"", $F302&gt;=BO$5-4, $F302&lt;=BO$5, COUNTIF($M302:BN302,"u")=0), "u", "")</f>
        <v/>
      </c>
      <c r="BP302" s="80" t="str">
        <f>IF(AND($F302&lt;&gt;"", $F302&gt;=BP$5-4, $F302&lt;=BP$5, COUNTIF($M302:BO302,"u")=0), "u", "")</f>
        <v/>
      </c>
      <c r="BQ302" s="80" t="str">
        <f>IF(AND($F302&lt;&gt;"", $F302&gt;=BQ$5-4, $F302&lt;=BQ$5, COUNTIF($M302:BP302,"u")=0), "u", "")</f>
        <v/>
      </c>
      <c r="BR302" s="80" t="str">
        <f>IF(AND($F302&lt;&gt;"", $F302&gt;=BR$5-4, $F302&lt;=BR$5, COUNTIF($M302:BQ302,"u")=0), "u", "")</f>
        <v/>
      </c>
      <c r="BS302" s="80" t="str">
        <f>IF(AND($F302&lt;&gt;"", $F302&gt;=BS$5-4, $F302&lt;=BS$5, COUNTIF($M302:BR302,"u")=0), "u", "")</f>
        <v/>
      </c>
      <c r="BT302" s="80" t="str">
        <f>IF(AND($F302&lt;&gt;"", $F302&gt;=BT$5-4, $F302&lt;=BT$5, COUNTIF($M302:BS302,"u")=0), "u", "")</f>
        <v/>
      </c>
      <c r="BU302" s="80" t="str">
        <f>IF(AND($F302&lt;&gt;"", $F302&gt;=BU$5-4, $F302&lt;=BU$5, COUNTIF($M302:BT302,"u")=0), "u", "")</f>
        <v/>
      </c>
      <c r="BV302" s="80" t="str">
        <f>IF(AND($F302&lt;&gt;"", $F302&gt;=BV$5-4, $F302&lt;=BV$5, COUNTIF($M302:BU302,"u")=0), "u", "")</f>
        <v/>
      </c>
      <c r="BW302" s="80" t="str">
        <f>IF(AND($F302&lt;&gt;"", $F302&gt;=BW$5-4, $F302&lt;=BW$5, COUNTIF($M302:BV302,"u")=0), "u", "")</f>
        <v/>
      </c>
      <c r="BX302" s="80" t="str">
        <f>IF(AND($F302&lt;&gt;"", $F302&gt;=BX$5-4, $F302&lt;=BX$5, COUNTIF($M302:BW302,"u")=0), "u", "")</f>
        <v/>
      </c>
      <c r="BY302" s="80" t="str">
        <f>IF(AND($F302&lt;&gt;"", $F302&gt;=BY$5-4, $F302&lt;=BY$5, COUNTIF($M302:BX302,"u")=0), "u", "")</f>
        <v/>
      </c>
      <c r="BZ302" s="80" t="str">
        <f>IF(AND($F302&lt;&gt;"", $F302&gt;=BZ$5-4, $F302&lt;=BZ$5, COUNTIF($M302:BY302,"u")=0), "u", "")</f>
        <v/>
      </c>
      <c r="CA302" s="80" t="str">
        <f>IF(AND($F302&lt;&gt;"", $F302&gt;=CA$5-4, $F302&lt;=CA$5, COUNTIF($M302:BZ302,"u")=0), "u", "")</f>
        <v/>
      </c>
      <c r="CB302" s="80" t="str">
        <f>IF(AND($F302&lt;&gt;"", $F302&gt;=CB$5-4, $F302&lt;=CB$5, COUNTIF($M302:CA302,"u")=0), "u", "")</f>
        <v/>
      </c>
      <c r="CC302" s="80" t="str">
        <f>IF(AND($F302&lt;&gt;"", $F302&gt;=CC$5-4, $F302&lt;=CC$5, COUNTIF($M302:CB302,"u")=0), "u", "")</f>
        <v/>
      </c>
      <c r="CD302" s="80" t="str">
        <f>IF(AND($F302&lt;&gt;"", $F302&gt;=CD$5-4, $F302&lt;=CD$5, COUNTIF($M302:CC302,"u")=0), "u", "")</f>
        <v/>
      </c>
      <c r="CE302" s="80" t="str">
        <f>IF(AND($F302&lt;&gt;"", $F302&gt;=CE$5-4, $F302&lt;=CE$5, COUNTIF($M302:CD302,"u")=0), "u", "")</f>
        <v/>
      </c>
      <c r="CF302" s="80" t="str">
        <f>IF(AND($F302&lt;&gt;"", $F302&gt;=CF$5-4, $F302&lt;=CF$5, COUNTIF($M302:CE302,"u")=0), "u", "")</f>
        <v/>
      </c>
      <c r="CG302" s="80" t="str">
        <f>IF(AND($F302&lt;&gt;"", $F302&gt;=CG$5-4, $F302&lt;=CG$5, COUNTIF($M302:CF302,"u")=0), "u", "")</f>
        <v/>
      </c>
      <c r="CH302" s="80" t="str">
        <f>IF(AND($F302&lt;&gt;"", $F302&gt;=CH$5-4, $F302&lt;=CH$5, COUNTIF($M302:CG302,"u")=0), "u", "")</f>
        <v/>
      </c>
      <c r="CI302" s="80" t="str">
        <f>IF(AND($F302&lt;&gt;"", $F302&gt;=CI$5-4, $F302&lt;=CI$5, COUNTIF($M302:CH302,"u")=0), "u", "")</f>
        <v/>
      </c>
      <c r="CJ302" s="80" t="str">
        <f>IF(AND($F302&lt;&gt;"", $F302&gt;=CJ$5-4, $F302&lt;=CJ$5, COUNTIF($M302:CI302,"u")=0), "u", "")</f>
        <v/>
      </c>
      <c r="CK302" s="80" t="str">
        <f>IF(AND($F302&lt;&gt;"", $F302&gt;=CK$5-4, $F302&lt;=CK$5, COUNTIF($M302:CJ302,"u")=0), "u", "")</f>
        <v/>
      </c>
      <c r="CL302" s="80" t="str">
        <f>IF(AND($F302&lt;&gt;"", $F302&gt;=CL$5-4, $F302&lt;=CL$5, COUNTIF($M302:CK302,"u")=0), "u", "")</f>
        <v/>
      </c>
      <c r="CM302" s="80" t="str">
        <f>IF(AND($F302&lt;&gt;"", $F302&gt;=CM$5-4, $F302&lt;=CM$5, COUNTIF($M302:CL302,"u")=0), "u", "")</f>
        <v/>
      </c>
      <c r="CN302" s="80" t="str">
        <f>IF(AND($F302&lt;&gt;"", $F302&gt;=CN$5-4, $F302&lt;=CN$5, COUNTIF($M302:CM302,"u")=0), "u", "")</f>
        <v/>
      </c>
      <c r="CO302" s="80" t="str">
        <f>IF(AND($F302&lt;&gt;"", $F302&gt;=CO$5-4, $F302&lt;=CO$5, COUNTIF($M302:CN302,"u")=0), "u", "")</f>
        <v/>
      </c>
      <c r="CP302" s="80" t="str">
        <f>IF(AND($F302&lt;&gt;"", $F302&gt;=CP$5-4, $F302&lt;=CP$5, COUNTIF($M302:CO302,"u")=0), "u", "")</f>
        <v/>
      </c>
      <c r="CQ302" s="80" t="str">
        <f>IF(AND($F302&lt;&gt;"", $F302&gt;=CQ$5-4, $F302&lt;=CQ$5, COUNTIF($M302:CP302,"u")=0), "u", "")</f>
        <v/>
      </c>
      <c r="CR302" s="80" t="str">
        <f>IF(AND($F302&lt;&gt;"", $F302&gt;=CR$5-4, $F302&lt;=CR$5, COUNTIF($M302:CQ302,"u")=0), "u", "")</f>
        <v/>
      </c>
      <c r="CS302" s="80" t="str">
        <f>IF(AND($F302&lt;&gt;"", $F302&gt;=CS$5-4, $F302&lt;=CS$5, COUNTIF($M302:CR302,"u")=0), "u", "")</f>
        <v/>
      </c>
      <c r="CT302" s="80" t="str">
        <f>IF(AND($F302&lt;&gt;"", $F302&gt;=CT$5-4, $F302&lt;=CT$5, COUNTIF($M302:CS302,"u")=0), "u", "")</f>
        <v/>
      </c>
      <c r="CU302" s="80" t="str">
        <f>IF(AND($F302&lt;&gt;"", $F302&gt;=CU$5-4, $F302&lt;=CU$5, COUNTIF($M302:CT302,"u")=0), "u", "")</f>
        <v/>
      </c>
      <c r="CV302" s="80" t="str">
        <f>IF(AND($F302&lt;&gt;"", $F302&gt;=CV$5-4, $F302&lt;=CV$5, COUNTIF($M302:CU302,"u")=0), "u", "")</f>
        <v/>
      </c>
      <c r="CW302" s="80" t="str">
        <f>IF(AND($F302&lt;&gt;"", $F302&gt;=CW$5-4, $F302&lt;=CW$5, COUNTIF($M302:CV302,"u")=0), "u", "")</f>
        <v/>
      </c>
      <c r="CX302" s="80" t="str">
        <f>IF(AND($F302&lt;&gt;"", $F302&gt;=CX$5-4, $F302&lt;=CX$5, COUNTIF($M302:CW302,"u")=0), "u", "")</f>
        <v/>
      </c>
      <c r="CY302" s="80" t="str">
        <f>IF(AND($F302&lt;&gt;"", $F302&gt;=CY$5-4, $F302&lt;=CY$5, COUNTIF($M302:CX302,"u")=0), "u", "")</f>
        <v/>
      </c>
      <c r="CZ302" s="80" t="str">
        <f>IF(AND($F302&lt;&gt;"", $F302&gt;=CZ$5-4, $F302&lt;=CZ$5, COUNTIF($M302:CY302,"u")=0), "u", "")</f>
        <v/>
      </c>
      <c r="DA302" s="80" t="str">
        <f>IF(AND($F302&lt;&gt;"", $F302&gt;=DA$5-4, $F302&lt;=DA$5, COUNTIF($M302:CZ302,"u")=0), "u", "")</f>
        <v/>
      </c>
      <c r="DB302" s="80" t="str">
        <f>IF(AND($F302&lt;&gt;"", $F302&gt;=DB$5-4, $F302&lt;=DB$5, COUNTIF($M302:DA302,"u")=0), "u", "")</f>
        <v/>
      </c>
      <c r="DC302" s="80" t="str">
        <f>IF(AND($F302&lt;&gt;"", $F302&gt;=DC$5-4, $F302&lt;=DC$5, COUNTIF($M302:DB302,"u")=0), "u", "")</f>
        <v/>
      </c>
      <c r="DD302" s="80" t="str">
        <f>IF(AND($F302&lt;&gt;"", $F302&gt;=DD$5-4, $F302&lt;=DD$5, COUNTIF($M302:DC302,"u")=0), "u", "")</f>
        <v/>
      </c>
      <c r="DE302" s="80" t="str">
        <f>IF(AND($F302&lt;&gt;"", $F302&gt;=DE$5-4, $F302&lt;=DE$5, COUNTIF($M302:DD302,"u")=0), "u", "")</f>
        <v/>
      </c>
      <c r="DF302" s="80" t="str">
        <f>IF(AND($F302&lt;&gt;"", $F302&gt;=DF$5-4, $F302&lt;=DF$5, COUNTIF($M302:DE302,"u")=0), "u", "")</f>
        <v/>
      </c>
      <c r="DG302" s="80" t="str">
        <f>IF(AND($F302&lt;&gt;"", $F302&gt;=DG$5-4, $F302&lt;=DG$5, COUNTIF($M302:DF302,"u")=0), "u", "")</f>
        <v/>
      </c>
      <c r="DH302" s="80" t="str">
        <f>IF(AND($F302&lt;&gt;"", $F302&gt;=DH$5-4, $F302&lt;=DH$5, COUNTIF($M302:DG302,"u")=0), "u", "")</f>
        <v/>
      </c>
      <c r="DI302" s="80" t="str">
        <f>IF(AND($F302&lt;&gt;"", $F302&gt;=DI$5-4, $F302&lt;=DI$5, COUNTIF($M302:DH302,"u")=0), "u", "")</f>
        <v/>
      </c>
      <c r="DJ302" s="80" t="str">
        <f>IF(AND($F302&lt;&gt;"", $F302&gt;=DJ$5-4, $F302&lt;=DJ$5, COUNTIF($M302:DI302,"u")=0), "u", "")</f>
        <v/>
      </c>
      <c r="DK302" s="80" t="str">
        <f>IF(AND($F302&lt;&gt;"", $F302&gt;=DK$5-4, $F302&lt;=DK$5, COUNTIF($M302:DJ302,"u")=0), "u", "")</f>
        <v/>
      </c>
      <c r="DL302" s="80" t="str">
        <f>IF(AND($F302&lt;&gt;"", $F302&gt;=DL$5-4, $F302&lt;=DL$5, COUNTIF($M302:DK302,"u")=0), "u", "")</f>
        <v/>
      </c>
    </row>
    <row r="303" spans="1:116" ht="25.05" customHeight="1" x14ac:dyDescent="0.3">
      <c r="A303" s="39"/>
      <c r="B303" s="75">
        <v>298</v>
      </c>
      <c r="C303" s="97"/>
      <c r="D303" s="92"/>
      <c r="E303" s="53"/>
      <c r="F303" s="53"/>
      <c r="G303" s="83" t="str">
        <f t="shared" si="59"/>
        <v/>
      </c>
      <c r="H303" s="83" t="str">
        <f t="shared" si="59"/>
        <v/>
      </c>
      <c r="I303" s="77" t="str">
        <f t="shared" si="57"/>
        <v/>
      </c>
      <c r="J303" s="78"/>
      <c r="K303" s="86"/>
      <c r="L303" s="56"/>
      <c r="M303" s="80" t="str">
        <f t="shared" si="58"/>
        <v/>
      </c>
      <c r="N303" s="80" t="str">
        <f>IF(AND($F303&lt;&gt;"", $F303&gt;=N$5-4, $F303&lt;=N$5, COUNTIF($M303:M303,"u")=0), "u", "")</f>
        <v/>
      </c>
      <c r="O303" s="80" t="str">
        <f>IF(AND($F303&lt;&gt;"", $F303&gt;=O$5-4, $F303&lt;=O$5, COUNTIF($M303:N303,"u")=0), "u", "")</f>
        <v/>
      </c>
      <c r="P303" s="80" t="str">
        <f>IF(AND($F303&lt;&gt;"", $F303&gt;=P$5-4, $F303&lt;=P$5, COUNTIF($M303:O303,"u")=0), "u", "")</f>
        <v/>
      </c>
      <c r="Q303" s="80" t="str">
        <f>IF(AND($F303&lt;&gt;"", $F303&gt;=Q$5-4, $F303&lt;=Q$5, COUNTIF($M303:P303,"u")=0), "u", "")</f>
        <v/>
      </c>
      <c r="R303" s="80" t="str">
        <f>IF(AND($F303&lt;&gt;"", $F303&gt;=R$5-4, $F303&lt;=R$5, COUNTIF($M303:Q303,"u")=0), "u", "")</f>
        <v/>
      </c>
      <c r="S303" s="80" t="str">
        <f>IF(AND($F303&lt;&gt;"", $F303&gt;=S$5-4, $F303&lt;=S$5, COUNTIF($M303:R303,"u")=0), "u", "")</f>
        <v/>
      </c>
      <c r="T303" s="80" t="str">
        <f>IF(AND($F303&lt;&gt;"", $F303&gt;=T$5-4, $F303&lt;=T$5, COUNTIF($M303:S303,"u")=0), "u", "")</f>
        <v/>
      </c>
      <c r="U303" s="80" t="str">
        <f>IF(AND($F303&lt;&gt;"", $F303&gt;=U$5-4, $F303&lt;=U$5, COUNTIF($M303:T303,"u")=0), "u", "")</f>
        <v/>
      </c>
      <c r="V303" s="80" t="str">
        <f>IF(AND($F303&lt;&gt;"", $F303&gt;=V$5-4, $F303&lt;=V$5, COUNTIF($M303:U303,"u")=0), "u", "")</f>
        <v/>
      </c>
      <c r="W303" s="80" t="str">
        <f>IF(AND($F303&lt;&gt;"", $F303&gt;=W$5-4, $F303&lt;=W$5, COUNTIF($M303:V303,"u")=0), "u", "")</f>
        <v/>
      </c>
      <c r="X303" s="80" t="str">
        <f>IF(AND($F303&lt;&gt;"", $F303&gt;=X$5-4, $F303&lt;=X$5, COUNTIF($M303:W303,"u")=0), "u", "")</f>
        <v/>
      </c>
      <c r="Y303" s="80" t="str">
        <f>IF(AND($F303&lt;&gt;"", $F303&gt;=Y$5-4, $F303&lt;=Y$5, COUNTIF($M303:X303,"u")=0), "u", "")</f>
        <v/>
      </c>
      <c r="Z303" s="80" t="str">
        <f>IF(AND($F303&lt;&gt;"", $F303&gt;=Z$5-4, $F303&lt;=Z$5, COUNTIF($M303:Y303,"u")=0), "u", "")</f>
        <v/>
      </c>
      <c r="AA303" s="80" t="str">
        <f>IF(AND($F303&lt;&gt;"", $F303&gt;=AA$5-4, $F303&lt;=AA$5, COUNTIF($M303:Z303,"u")=0), "u", "")</f>
        <v/>
      </c>
      <c r="AB303" s="80" t="str">
        <f>IF(AND($F303&lt;&gt;"", $F303&gt;=AB$5-4, $F303&lt;=AB$5, COUNTIF($M303:AA303,"u")=0), "u", "")</f>
        <v/>
      </c>
      <c r="AC303" s="80" t="str">
        <f>IF(AND($F303&lt;&gt;"", $F303&gt;=AC$5-4, $F303&lt;=AC$5, COUNTIF($M303:AB303,"u")=0), "u", "")</f>
        <v/>
      </c>
      <c r="AD303" s="80" t="str">
        <f>IF(AND($F303&lt;&gt;"", $F303&gt;=AD$5-4, $F303&lt;=AD$5, COUNTIF($M303:AC303,"u")=0), "u", "")</f>
        <v/>
      </c>
      <c r="AE303" s="80" t="str">
        <f>IF(AND($F303&lt;&gt;"", $F303&gt;=AE$5-4, $F303&lt;=AE$5, COUNTIF($M303:AD303,"u")=0), "u", "")</f>
        <v/>
      </c>
      <c r="AF303" s="80" t="str">
        <f>IF(AND($F303&lt;&gt;"", $F303&gt;=AF$5-4, $F303&lt;=AF$5, COUNTIF($M303:AE303,"u")=0), "u", "")</f>
        <v/>
      </c>
      <c r="AG303" s="80" t="str">
        <f>IF(AND($F303&lt;&gt;"", $F303&gt;=AG$5-4, $F303&lt;=AG$5, COUNTIF($M303:AF303,"u")=0), "u", "")</f>
        <v/>
      </c>
      <c r="AH303" s="80" t="str">
        <f>IF(AND($F303&lt;&gt;"", $F303&gt;=AH$5-4, $F303&lt;=AH$5, COUNTIF($M303:AG303,"u")=0), "u", "")</f>
        <v/>
      </c>
      <c r="AI303" s="80" t="str">
        <f>IF(AND($F303&lt;&gt;"", $F303&gt;=AI$5-4, $F303&lt;=AI$5, COUNTIF($M303:AH303,"u")=0), "u", "")</f>
        <v/>
      </c>
      <c r="AJ303" s="80" t="str">
        <f>IF(AND($F303&lt;&gt;"", $F303&gt;=AJ$5-4, $F303&lt;=AJ$5, COUNTIF($M303:AI303,"u")=0), "u", "")</f>
        <v/>
      </c>
      <c r="AK303" s="80" t="str">
        <f>IF(AND($F303&lt;&gt;"", $F303&gt;=AK$5-4, $F303&lt;=AK$5, COUNTIF($M303:AJ303,"u")=0), "u", "")</f>
        <v/>
      </c>
      <c r="AL303" s="80" t="str">
        <f>IF(AND($F303&lt;&gt;"", $F303&gt;=AL$5-4, $F303&lt;=AL$5, COUNTIF($M303:AK303,"u")=0), "u", "")</f>
        <v/>
      </c>
      <c r="AM303" s="80" t="str">
        <f>IF(AND($F303&lt;&gt;"", $F303&gt;=AM$5-4, $F303&lt;=AM$5, COUNTIF($M303:AL303,"u")=0), "u", "")</f>
        <v/>
      </c>
      <c r="AN303" s="80" t="str">
        <f>IF(AND($F303&lt;&gt;"", $F303&gt;=AN$5-4, $F303&lt;=AN$5, COUNTIF($M303:AM303,"u")=0), "u", "")</f>
        <v/>
      </c>
      <c r="AO303" s="80" t="str">
        <f>IF(AND($F303&lt;&gt;"", $F303&gt;=AO$5-4, $F303&lt;=AO$5, COUNTIF($M303:AN303,"u")=0), "u", "")</f>
        <v/>
      </c>
      <c r="AP303" s="80" t="str">
        <f>IF(AND($F303&lt;&gt;"", $F303&gt;=AP$5-4, $F303&lt;=AP$5, COUNTIF($M303:AO303,"u")=0), "u", "")</f>
        <v/>
      </c>
      <c r="AQ303" s="80" t="str">
        <f>IF(AND($F303&lt;&gt;"", $F303&gt;=AQ$5-4, $F303&lt;=AQ$5, COUNTIF($M303:AP303,"u")=0), "u", "")</f>
        <v/>
      </c>
      <c r="AR303" s="80" t="str">
        <f>IF(AND($F303&lt;&gt;"", $F303&gt;=AR$5-4, $F303&lt;=AR$5, COUNTIF($M303:AQ303,"u")=0), "u", "")</f>
        <v/>
      </c>
      <c r="AS303" s="80" t="str">
        <f>IF(AND($F303&lt;&gt;"", $F303&gt;=AS$5-4, $F303&lt;=AS$5, COUNTIF($M303:AR303,"u")=0), "u", "")</f>
        <v/>
      </c>
      <c r="AT303" s="80" t="str">
        <f>IF(AND($F303&lt;&gt;"", $F303&gt;=AT$5-4, $F303&lt;=AT$5, COUNTIF($M303:AS303,"u")=0), "u", "")</f>
        <v/>
      </c>
      <c r="AU303" s="80" t="str">
        <f>IF(AND($F303&lt;&gt;"", $F303&gt;=AU$5-4, $F303&lt;=AU$5, COUNTIF($M303:AT303,"u")=0), "u", "")</f>
        <v/>
      </c>
      <c r="AV303" s="80" t="str">
        <f>IF(AND($F303&lt;&gt;"", $F303&gt;=AV$5-4, $F303&lt;=AV$5, COUNTIF($M303:AU303,"u")=0), "u", "")</f>
        <v/>
      </c>
      <c r="AW303" s="80" t="str">
        <f>IF(AND($F303&lt;&gt;"", $F303&gt;=AW$5-4, $F303&lt;=AW$5, COUNTIF($M303:AV303,"u")=0), "u", "")</f>
        <v/>
      </c>
      <c r="AX303" s="80" t="str">
        <f>IF(AND($F303&lt;&gt;"", $F303&gt;=AX$5-4, $F303&lt;=AX$5, COUNTIF($M303:AW303,"u")=0), "u", "")</f>
        <v/>
      </c>
      <c r="AY303" s="80" t="str">
        <f>IF(AND($F303&lt;&gt;"", $F303&gt;=AY$5-4, $F303&lt;=AY$5, COUNTIF($M303:AX303,"u")=0), "u", "")</f>
        <v/>
      </c>
      <c r="AZ303" s="80" t="str">
        <f>IF(AND($F303&lt;&gt;"", $F303&gt;=AZ$5-4, $F303&lt;=AZ$5, COUNTIF($M303:AY303,"u")=0), "u", "")</f>
        <v/>
      </c>
      <c r="BA303" s="80" t="str">
        <f>IF(AND($F303&lt;&gt;"", $F303&gt;=BA$5-4, $F303&lt;=BA$5, COUNTIF($M303:AZ303,"u")=0), "u", "")</f>
        <v/>
      </c>
      <c r="BB303" s="80" t="str">
        <f>IF(AND($F303&lt;&gt;"", $F303&gt;=BB$5-4, $F303&lt;=BB$5, COUNTIF($M303:BA303,"u")=0), "u", "")</f>
        <v/>
      </c>
      <c r="BC303" s="80" t="str">
        <f>IF(AND($F303&lt;&gt;"", $F303&gt;=BC$5-4, $F303&lt;=BC$5, COUNTIF($M303:BB303,"u")=0), "u", "")</f>
        <v/>
      </c>
      <c r="BD303" s="80" t="str">
        <f>IF(AND($F303&lt;&gt;"", $F303&gt;=BD$5-4, $F303&lt;=BD$5, COUNTIF($M303:BC303,"u")=0), "u", "")</f>
        <v/>
      </c>
      <c r="BE303" s="80" t="str">
        <f>IF(AND($F303&lt;&gt;"", $F303&gt;=BE$5-4, $F303&lt;=BE$5, COUNTIF($M303:BD303,"u")=0), "u", "")</f>
        <v/>
      </c>
      <c r="BF303" s="80" t="str">
        <f>IF(AND($F303&lt;&gt;"", $F303&gt;=BF$5-4, $F303&lt;=BF$5, COUNTIF($M303:BE303,"u")=0), "u", "")</f>
        <v/>
      </c>
      <c r="BG303" s="80" t="str">
        <f>IF(AND($F303&lt;&gt;"", $F303&gt;=BG$5-4, $F303&lt;=BG$5, COUNTIF($M303:BF303,"u")=0), "u", "")</f>
        <v/>
      </c>
      <c r="BH303" s="80" t="str">
        <f>IF(AND($F303&lt;&gt;"", $F303&gt;=BH$5-4, $F303&lt;=BH$5, COUNTIF($M303:BG303,"u")=0), "u", "")</f>
        <v/>
      </c>
      <c r="BI303" s="80" t="str">
        <f>IF(AND($F303&lt;&gt;"", $F303&gt;=BI$5-4, $F303&lt;=BI$5, COUNTIF($M303:BH303,"u")=0), "u", "")</f>
        <v/>
      </c>
      <c r="BJ303" s="80" t="str">
        <f>IF(AND($F303&lt;&gt;"", $F303&gt;=BJ$5-4, $F303&lt;=BJ$5, COUNTIF($M303:BI303,"u")=0), "u", "")</f>
        <v/>
      </c>
      <c r="BK303" s="80" t="str">
        <f>IF(AND($F303&lt;&gt;"", $F303&gt;=BK$5-4, $F303&lt;=BK$5, COUNTIF($M303:BJ303,"u")=0), "u", "")</f>
        <v/>
      </c>
      <c r="BL303" s="80" t="str">
        <f>IF(AND($F303&lt;&gt;"", $F303&gt;=BL$5-4, $F303&lt;=BL$5, COUNTIF($M303:BK303,"u")=0), "u", "")</f>
        <v/>
      </c>
      <c r="BM303" s="80" t="str">
        <f>IF(AND($F303&lt;&gt;"", $F303&gt;=BM$5-4, $F303&lt;=BM$5, COUNTIF($M303:BL303,"u")=0), "u", "")</f>
        <v/>
      </c>
      <c r="BN303" s="80" t="str">
        <f>IF(AND($F303&lt;&gt;"", $F303&gt;=BN$5-4, $F303&lt;=BN$5, COUNTIF($M303:BM303,"u")=0), "u", "")</f>
        <v/>
      </c>
      <c r="BO303" s="80" t="str">
        <f>IF(AND($F303&lt;&gt;"", $F303&gt;=BO$5-4, $F303&lt;=BO$5, COUNTIF($M303:BN303,"u")=0), "u", "")</f>
        <v/>
      </c>
      <c r="BP303" s="80" t="str">
        <f>IF(AND($F303&lt;&gt;"", $F303&gt;=BP$5-4, $F303&lt;=BP$5, COUNTIF($M303:BO303,"u")=0), "u", "")</f>
        <v/>
      </c>
      <c r="BQ303" s="80" t="str">
        <f>IF(AND($F303&lt;&gt;"", $F303&gt;=BQ$5-4, $F303&lt;=BQ$5, COUNTIF($M303:BP303,"u")=0), "u", "")</f>
        <v/>
      </c>
      <c r="BR303" s="80" t="str">
        <f>IF(AND($F303&lt;&gt;"", $F303&gt;=BR$5-4, $F303&lt;=BR$5, COUNTIF($M303:BQ303,"u")=0), "u", "")</f>
        <v/>
      </c>
      <c r="BS303" s="80" t="str">
        <f>IF(AND($F303&lt;&gt;"", $F303&gt;=BS$5-4, $F303&lt;=BS$5, COUNTIF($M303:BR303,"u")=0), "u", "")</f>
        <v/>
      </c>
      <c r="BT303" s="80" t="str">
        <f>IF(AND($F303&lt;&gt;"", $F303&gt;=BT$5-4, $F303&lt;=BT$5, COUNTIF($M303:BS303,"u")=0), "u", "")</f>
        <v/>
      </c>
      <c r="BU303" s="80" t="str">
        <f>IF(AND($F303&lt;&gt;"", $F303&gt;=BU$5-4, $F303&lt;=BU$5, COUNTIF($M303:BT303,"u")=0), "u", "")</f>
        <v/>
      </c>
      <c r="BV303" s="80" t="str">
        <f>IF(AND($F303&lt;&gt;"", $F303&gt;=BV$5-4, $F303&lt;=BV$5, COUNTIF($M303:BU303,"u")=0), "u", "")</f>
        <v/>
      </c>
      <c r="BW303" s="80" t="str">
        <f>IF(AND($F303&lt;&gt;"", $F303&gt;=BW$5-4, $F303&lt;=BW$5, COUNTIF($M303:BV303,"u")=0), "u", "")</f>
        <v/>
      </c>
      <c r="BX303" s="80" t="str">
        <f>IF(AND($F303&lt;&gt;"", $F303&gt;=BX$5-4, $F303&lt;=BX$5, COUNTIF($M303:BW303,"u")=0), "u", "")</f>
        <v/>
      </c>
      <c r="BY303" s="80" t="str">
        <f>IF(AND($F303&lt;&gt;"", $F303&gt;=BY$5-4, $F303&lt;=BY$5, COUNTIF($M303:BX303,"u")=0), "u", "")</f>
        <v/>
      </c>
      <c r="BZ303" s="80" t="str">
        <f>IF(AND($F303&lt;&gt;"", $F303&gt;=BZ$5-4, $F303&lt;=BZ$5, COUNTIF($M303:BY303,"u")=0), "u", "")</f>
        <v/>
      </c>
      <c r="CA303" s="80" t="str">
        <f>IF(AND($F303&lt;&gt;"", $F303&gt;=CA$5-4, $F303&lt;=CA$5, COUNTIF($M303:BZ303,"u")=0), "u", "")</f>
        <v/>
      </c>
      <c r="CB303" s="80" t="str">
        <f>IF(AND($F303&lt;&gt;"", $F303&gt;=CB$5-4, $F303&lt;=CB$5, COUNTIF($M303:CA303,"u")=0), "u", "")</f>
        <v/>
      </c>
      <c r="CC303" s="80" t="str">
        <f>IF(AND($F303&lt;&gt;"", $F303&gt;=CC$5-4, $F303&lt;=CC$5, COUNTIF($M303:CB303,"u")=0), "u", "")</f>
        <v/>
      </c>
      <c r="CD303" s="80" t="str">
        <f>IF(AND($F303&lt;&gt;"", $F303&gt;=CD$5-4, $F303&lt;=CD$5, COUNTIF($M303:CC303,"u")=0), "u", "")</f>
        <v/>
      </c>
      <c r="CE303" s="80" t="str">
        <f>IF(AND($F303&lt;&gt;"", $F303&gt;=CE$5-4, $F303&lt;=CE$5, COUNTIF($M303:CD303,"u")=0), "u", "")</f>
        <v/>
      </c>
      <c r="CF303" s="80" t="str">
        <f>IF(AND($F303&lt;&gt;"", $F303&gt;=CF$5-4, $F303&lt;=CF$5, COUNTIF($M303:CE303,"u")=0), "u", "")</f>
        <v/>
      </c>
      <c r="CG303" s="80" t="str">
        <f>IF(AND($F303&lt;&gt;"", $F303&gt;=CG$5-4, $F303&lt;=CG$5, COUNTIF($M303:CF303,"u")=0), "u", "")</f>
        <v/>
      </c>
      <c r="CH303" s="80" t="str">
        <f>IF(AND($F303&lt;&gt;"", $F303&gt;=CH$5-4, $F303&lt;=CH$5, COUNTIF($M303:CG303,"u")=0), "u", "")</f>
        <v/>
      </c>
      <c r="CI303" s="80" t="str">
        <f>IF(AND($F303&lt;&gt;"", $F303&gt;=CI$5-4, $F303&lt;=CI$5, COUNTIF($M303:CH303,"u")=0), "u", "")</f>
        <v/>
      </c>
      <c r="CJ303" s="80" t="str">
        <f>IF(AND($F303&lt;&gt;"", $F303&gt;=CJ$5-4, $F303&lt;=CJ$5, COUNTIF($M303:CI303,"u")=0), "u", "")</f>
        <v/>
      </c>
      <c r="CK303" s="80" t="str">
        <f>IF(AND($F303&lt;&gt;"", $F303&gt;=CK$5-4, $F303&lt;=CK$5, COUNTIF($M303:CJ303,"u")=0), "u", "")</f>
        <v/>
      </c>
      <c r="CL303" s="80" t="str">
        <f>IF(AND($F303&lt;&gt;"", $F303&gt;=CL$5-4, $F303&lt;=CL$5, COUNTIF($M303:CK303,"u")=0), "u", "")</f>
        <v/>
      </c>
      <c r="CM303" s="80" t="str">
        <f>IF(AND($F303&lt;&gt;"", $F303&gt;=CM$5-4, $F303&lt;=CM$5, COUNTIF($M303:CL303,"u")=0), "u", "")</f>
        <v/>
      </c>
      <c r="CN303" s="80" t="str">
        <f>IF(AND($F303&lt;&gt;"", $F303&gt;=CN$5-4, $F303&lt;=CN$5, COUNTIF($M303:CM303,"u")=0), "u", "")</f>
        <v/>
      </c>
      <c r="CO303" s="80" t="str">
        <f>IF(AND($F303&lt;&gt;"", $F303&gt;=CO$5-4, $F303&lt;=CO$5, COUNTIF($M303:CN303,"u")=0), "u", "")</f>
        <v/>
      </c>
      <c r="CP303" s="80" t="str">
        <f>IF(AND($F303&lt;&gt;"", $F303&gt;=CP$5-4, $F303&lt;=CP$5, COUNTIF($M303:CO303,"u")=0), "u", "")</f>
        <v/>
      </c>
      <c r="CQ303" s="80" t="str">
        <f>IF(AND($F303&lt;&gt;"", $F303&gt;=CQ$5-4, $F303&lt;=CQ$5, COUNTIF($M303:CP303,"u")=0), "u", "")</f>
        <v/>
      </c>
      <c r="CR303" s="80" t="str">
        <f>IF(AND($F303&lt;&gt;"", $F303&gt;=CR$5-4, $F303&lt;=CR$5, COUNTIF($M303:CQ303,"u")=0), "u", "")</f>
        <v/>
      </c>
      <c r="CS303" s="80" t="str">
        <f>IF(AND($F303&lt;&gt;"", $F303&gt;=CS$5-4, $F303&lt;=CS$5, COUNTIF($M303:CR303,"u")=0), "u", "")</f>
        <v/>
      </c>
      <c r="CT303" s="80" t="str">
        <f>IF(AND($F303&lt;&gt;"", $F303&gt;=CT$5-4, $F303&lt;=CT$5, COUNTIF($M303:CS303,"u")=0), "u", "")</f>
        <v/>
      </c>
      <c r="CU303" s="80" t="str">
        <f>IF(AND($F303&lt;&gt;"", $F303&gt;=CU$5-4, $F303&lt;=CU$5, COUNTIF($M303:CT303,"u")=0), "u", "")</f>
        <v/>
      </c>
      <c r="CV303" s="80" t="str">
        <f>IF(AND($F303&lt;&gt;"", $F303&gt;=CV$5-4, $F303&lt;=CV$5, COUNTIF($M303:CU303,"u")=0), "u", "")</f>
        <v/>
      </c>
      <c r="CW303" s="80" t="str">
        <f>IF(AND($F303&lt;&gt;"", $F303&gt;=CW$5-4, $F303&lt;=CW$5, COUNTIF($M303:CV303,"u")=0), "u", "")</f>
        <v/>
      </c>
      <c r="CX303" s="80" t="str">
        <f>IF(AND($F303&lt;&gt;"", $F303&gt;=CX$5-4, $F303&lt;=CX$5, COUNTIF($M303:CW303,"u")=0), "u", "")</f>
        <v/>
      </c>
      <c r="CY303" s="80" t="str">
        <f>IF(AND($F303&lt;&gt;"", $F303&gt;=CY$5-4, $F303&lt;=CY$5, COUNTIF($M303:CX303,"u")=0), "u", "")</f>
        <v/>
      </c>
      <c r="CZ303" s="80" t="str">
        <f>IF(AND($F303&lt;&gt;"", $F303&gt;=CZ$5-4, $F303&lt;=CZ$5, COUNTIF($M303:CY303,"u")=0), "u", "")</f>
        <v/>
      </c>
      <c r="DA303" s="80" t="str">
        <f>IF(AND($F303&lt;&gt;"", $F303&gt;=DA$5-4, $F303&lt;=DA$5, COUNTIF($M303:CZ303,"u")=0), "u", "")</f>
        <v/>
      </c>
      <c r="DB303" s="80" t="str">
        <f>IF(AND($F303&lt;&gt;"", $F303&gt;=DB$5-4, $F303&lt;=DB$5, COUNTIF($M303:DA303,"u")=0), "u", "")</f>
        <v/>
      </c>
      <c r="DC303" s="80" t="str">
        <f>IF(AND($F303&lt;&gt;"", $F303&gt;=DC$5-4, $F303&lt;=DC$5, COUNTIF($M303:DB303,"u")=0), "u", "")</f>
        <v/>
      </c>
      <c r="DD303" s="80" t="str">
        <f>IF(AND($F303&lt;&gt;"", $F303&gt;=DD$5-4, $F303&lt;=DD$5, COUNTIF($M303:DC303,"u")=0), "u", "")</f>
        <v/>
      </c>
      <c r="DE303" s="80" t="str">
        <f>IF(AND($F303&lt;&gt;"", $F303&gt;=DE$5-4, $F303&lt;=DE$5, COUNTIF($M303:DD303,"u")=0), "u", "")</f>
        <v/>
      </c>
      <c r="DF303" s="80" t="str">
        <f>IF(AND($F303&lt;&gt;"", $F303&gt;=DF$5-4, $F303&lt;=DF$5, COUNTIF($M303:DE303,"u")=0), "u", "")</f>
        <v/>
      </c>
      <c r="DG303" s="80" t="str">
        <f>IF(AND($F303&lt;&gt;"", $F303&gt;=DG$5-4, $F303&lt;=DG$5, COUNTIF($M303:DF303,"u")=0), "u", "")</f>
        <v/>
      </c>
      <c r="DH303" s="80" t="str">
        <f>IF(AND($F303&lt;&gt;"", $F303&gt;=DH$5-4, $F303&lt;=DH$5, COUNTIF($M303:DG303,"u")=0), "u", "")</f>
        <v/>
      </c>
      <c r="DI303" s="80" t="str">
        <f>IF(AND($F303&lt;&gt;"", $F303&gt;=DI$5-4, $F303&lt;=DI$5, COUNTIF($M303:DH303,"u")=0), "u", "")</f>
        <v/>
      </c>
      <c r="DJ303" s="80" t="str">
        <f>IF(AND($F303&lt;&gt;"", $F303&gt;=DJ$5-4, $F303&lt;=DJ$5, COUNTIF($M303:DI303,"u")=0), "u", "")</f>
        <v/>
      </c>
      <c r="DK303" s="80" t="str">
        <f>IF(AND($F303&lt;&gt;"", $F303&gt;=DK$5-4, $F303&lt;=DK$5, COUNTIF($M303:DJ303,"u")=0), "u", "")</f>
        <v/>
      </c>
      <c r="DL303" s="80" t="str">
        <f>IF(AND($F303&lt;&gt;"", $F303&gt;=DL$5-4, $F303&lt;=DL$5, COUNTIF($M303:DK303,"u")=0), "u", "")</f>
        <v/>
      </c>
    </row>
    <row r="304" spans="1:116" ht="25.05" customHeight="1" x14ac:dyDescent="0.3">
      <c r="A304" s="39"/>
      <c r="B304" s="75">
        <v>299</v>
      </c>
      <c r="C304" s="97"/>
      <c r="D304" s="92"/>
      <c r="E304" s="53"/>
      <c r="F304" s="53"/>
      <c r="G304" s="83" t="str">
        <f t="shared" si="59"/>
        <v/>
      </c>
      <c r="H304" s="83" t="str">
        <f t="shared" si="59"/>
        <v/>
      </c>
      <c r="I304" s="77" t="str">
        <f t="shared" si="57"/>
        <v/>
      </c>
      <c r="J304" s="78"/>
      <c r="K304" s="86"/>
      <c r="L304" s="56"/>
      <c r="M304" s="80" t="str">
        <f t="shared" si="58"/>
        <v/>
      </c>
      <c r="N304" s="80" t="str">
        <f>IF(AND($F304&lt;&gt;"", $F304&gt;=N$5-4, $F304&lt;=N$5, COUNTIF($M304:M304,"u")=0), "u", "")</f>
        <v/>
      </c>
      <c r="O304" s="80" t="str">
        <f>IF(AND($F304&lt;&gt;"", $F304&gt;=O$5-4, $F304&lt;=O$5, COUNTIF($M304:N304,"u")=0), "u", "")</f>
        <v/>
      </c>
      <c r="P304" s="80" t="str">
        <f>IF(AND($F304&lt;&gt;"", $F304&gt;=P$5-4, $F304&lt;=P$5, COUNTIF($M304:O304,"u")=0), "u", "")</f>
        <v/>
      </c>
      <c r="Q304" s="80" t="str">
        <f>IF(AND($F304&lt;&gt;"", $F304&gt;=Q$5-4, $F304&lt;=Q$5, COUNTIF($M304:P304,"u")=0), "u", "")</f>
        <v/>
      </c>
      <c r="R304" s="80" t="str">
        <f>IF(AND($F304&lt;&gt;"", $F304&gt;=R$5-4, $F304&lt;=R$5, COUNTIF($M304:Q304,"u")=0), "u", "")</f>
        <v/>
      </c>
      <c r="S304" s="80" t="str">
        <f>IF(AND($F304&lt;&gt;"", $F304&gt;=S$5-4, $F304&lt;=S$5, COUNTIF($M304:R304,"u")=0), "u", "")</f>
        <v/>
      </c>
      <c r="T304" s="80" t="str">
        <f>IF(AND($F304&lt;&gt;"", $F304&gt;=T$5-4, $F304&lt;=T$5, COUNTIF($M304:S304,"u")=0), "u", "")</f>
        <v/>
      </c>
      <c r="U304" s="80" t="str">
        <f>IF(AND($F304&lt;&gt;"", $F304&gt;=U$5-4, $F304&lt;=U$5, COUNTIF($M304:T304,"u")=0), "u", "")</f>
        <v/>
      </c>
      <c r="V304" s="80" t="str">
        <f>IF(AND($F304&lt;&gt;"", $F304&gt;=V$5-4, $F304&lt;=V$5, COUNTIF($M304:U304,"u")=0), "u", "")</f>
        <v/>
      </c>
      <c r="W304" s="80" t="str">
        <f>IF(AND($F304&lt;&gt;"", $F304&gt;=W$5-4, $F304&lt;=W$5, COUNTIF($M304:V304,"u")=0), "u", "")</f>
        <v/>
      </c>
      <c r="X304" s="80" t="str">
        <f>IF(AND($F304&lt;&gt;"", $F304&gt;=X$5-4, $F304&lt;=X$5, COUNTIF($M304:W304,"u")=0), "u", "")</f>
        <v/>
      </c>
      <c r="Y304" s="80" t="str">
        <f>IF(AND($F304&lt;&gt;"", $F304&gt;=Y$5-4, $F304&lt;=Y$5, COUNTIF($M304:X304,"u")=0), "u", "")</f>
        <v/>
      </c>
      <c r="Z304" s="80" t="str">
        <f>IF(AND($F304&lt;&gt;"", $F304&gt;=Z$5-4, $F304&lt;=Z$5, COUNTIF($M304:Y304,"u")=0), "u", "")</f>
        <v/>
      </c>
      <c r="AA304" s="80" t="str">
        <f>IF(AND($F304&lt;&gt;"", $F304&gt;=AA$5-4, $F304&lt;=AA$5, COUNTIF($M304:Z304,"u")=0), "u", "")</f>
        <v/>
      </c>
      <c r="AB304" s="80" t="str">
        <f>IF(AND($F304&lt;&gt;"", $F304&gt;=AB$5-4, $F304&lt;=AB$5, COUNTIF($M304:AA304,"u")=0), "u", "")</f>
        <v/>
      </c>
      <c r="AC304" s="80" t="str">
        <f>IF(AND($F304&lt;&gt;"", $F304&gt;=AC$5-4, $F304&lt;=AC$5, COUNTIF($M304:AB304,"u")=0), "u", "")</f>
        <v/>
      </c>
      <c r="AD304" s="80" t="str">
        <f>IF(AND($F304&lt;&gt;"", $F304&gt;=AD$5-4, $F304&lt;=AD$5, COUNTIF($M304:AC304,"u")=0), "u", "")</f>
        <v/>
      </c>
      <c r="AE304" s="80" t="str">
        <f>IF(AND($F304&lt;&gt;"", $F304&gt;=AE$5-4, $F304&lt;=AE$5, COUNTIF($M304:AD304,"u")=0), "u", "")</f>
        <v/>
      </c>
      <c r="AF304" s="80" t="str">
        <f>IF(AND($F304&lt;&gt;"", $F304&gt;=AF$5-4, $F304&lt;=AF$5, COUNTIF($M304:AE304,"u")=0), "u", "")</f>
        <v/>
      </c>
      <c r="AG304" s="80" t="str">
        <f>IF(AND($F304&lt;&gt;"", $F304&gt;=AG$5-4, $F304&lt;=AG$5, COUNTIF($M304:AF304,"u")=0), "u", "")</f>
        <v/>
      </c>
      <c r="AH304" s="80" t="str">
        <f>IF(AND($F304&lt;&gt;"", $F304&gt;=AH$5-4, $F304&lt;=AH$5, COUNTIF($M304:AG304,"u")=0), "u", "")</f>
        <v/>
      </c>
      <c r="AI304" s="80" t="str">
        <f>IF(AND($F304&lt;&gt;"", $F304&gt;=AI$5-4, $F304&lt;=AI$5, COUNTIF($M304:AH304,"u")=0), "u", "")</f>
        <v/>
      </c>
      <c r="AJ304" s="80" t="str">
        <f>IF(AND($F304&lt;&gt;"", $F304&gt;=AJ$5-4, $F304&lt;=AJ$5, COUNTIF($M304:AI304,"u")=0), "u", "")</f>
        <v/>
      </c>
      <c r="AK304" s="80" t="str">
        <f>IF(AND($F304&lt;&gt;"", $F304&gt;=AK$5-4, $F304&lt;=AK$5, COUNTIF($M304:AJ304,"u")=0), "u", "")</f>
        <v/>
      </c>
      <c r="AL304" s="80" t="str">
        <f>IF(AND($F304&lt;&gt;"", $F304&gt;=AL$5-4, $F304&lt;=AL$5, COUNTIF($M304:AK304,"u")=0), "u", "")</f>
        <v/>
      </c>
      <c r="AM304" s="80" t="str">
        <f>IF(AND($F304&lt;&gt;"", $F304&gt;=AM$5-4, $F304&lt;=AM$5, COUNTIF($M304:AL304,"u")=0), "u", "")</f>
        <v/>
      </c>
      <c r="AN304" s="80" t="str">
        <f>IF(AND($F304&lt;&gt;"", $F304&gt;=AN$5-4, $F304&lt;=AN$5, COUNTIF($M304:AM304,"u")=0), "u", "")</f>
        <v/>
      </c>
      <c r="AO304" s="80" t="str">
        <f>IF(AND($F304&lt;&gt;"", $F304&gt;=AO$5-4, $F304&lt;=AO$5, COUNTIF($M304:AN304,"u")=0), "u", "")</f>
        <v/>
      </c>
      <c r="AP304" s="80" t="str">
        <f>IF(AND($F304&lt;&gt;"", $F304&gt;=AP$5-4, $F304&lt;=AP$5, COUNTIF($M304:AO304,"u")=0), "u", "")</f>
        <v/>
      </c>
      <c r="AQ304" s="80" t="str">
        <f>IF(AND($F304&lt;&gt;"", $F304&gt;=AQ$5-4, $F304&lt;=AQ$5, COUNTIF($M304:AP304,"u")=0), "u", "")</f>
        <v/>
      </c>
      <c r="AR304" s="80" t="str">
        <f>IF(AND($F304&lt;&gt;"", $F304&gt;=AR$5-4, $F304&lt;=AR$5, COUNTIF($M304:AQ304,"u")=0), "u", "")</f>
        <v/>
      </c>
      <c r="AS304" s="80" t="str">
        <f>IF(AND($F304&lt;&gt;"", $F304&gt;=AS$5-4, $F304&lt;=AS$5, COUNTIF($M304:AR304,"u")=0), "u", "")</f>
        <v/>
      </c>
      <c r="AT304" s="80" t="str">
        <f>IF(AND($F304&lt;&gt;"", $F304&gt;=AT$5-4, $F304&lt;=AT$5, COUNTIF($M304:AS304,"u")=0), "u", "")</f>
        <v/>
      </c>
      <c r="AU304" s="80" t="str">
        <f>IF(AND($F304&lt;&gt;"", $F304&gt;=AU$5-4, $F304&lt;=AU$5, COUNTIF($M304:AT304,"u")=0), "u", "")</f>
        <v/>
      </c>
      <c r="AV304" s="80" t="str">
        <f>IF(AND($F304&lt;&gt;"", $F304&gt;=AV$5-4, $F304&lt;=AV$5, COUNTIF($M304:AU304,"u")=0), "u", "")</f>
        <v/>
      </c>
      <c r="AW304" s="80" t="str">
        <f>IF(AND($F304&lt;&gt;"", $F304&gt;=AW$5-4, $F304&lt;=AW$5, COUNTIF($M304:AV304,"u")=0), "u", "")</f>
        <v/>
      </c>
      <c r="AX304" s="80" t="str">
        <f>IF(AND($F304&lt;&gt;"", $F304&gt;=AX$5-4, $F304&lt;=AX$5, COUNTIF($M304:AW304,"u")=0), "u", "")</f>
        <v/>
      </c>
      <c r="AY304" s="80" t="str">
        <f>IF(AND($F304&lt;&gt;"", $F304&gt;=AY$5-4, $F304&lt;=AY$5, COUNTIF($M304:AX304,"u")=0), "u", "")</f>
        <v/>
      </c>
      <c r="AZ304" s="80" t="str">
        <f>IF(AND($F304&lt;&gt;"", $F304&gt;=AZ$5-4, $F304&lt;=AZ$5, COUNTIF($M304:AY304,"u")=0), "u", "")</f>
        <v/>
      </c>
      <c r="BA304" s="80" t="str">
        <f>IF(AND($F304&lt;&gt;"", $F304&gt;=BA$5-4, $F304&lt;=BA$5, COUNTIF($M304:AZ304,"u")=0), "u", "")</f>
        <v/>
      </c>
      <c r="BB304" s="80" t="str">
        <f>IF(AND($F304&lt;&gt;"", $F304&gt;=BB$5-4, $F304&lt;=BB$5, COUNTIF($M304:BA304,"u")=0), "u", "")</f>
        <v/>
      </c>
      <c r="BC304" s="80" t="str">
        <f>IF(AND($F304&lt;&gt;"", $F304&gt;=BC$5-4, $F304&lt;=BC$5, COUNTIF($M304:BB304,"u")=0), "u", "")</f>
        <v/>
      </c>
      <c r="BD304" s="80" t="str">
        <f>IF(AND($F304&lt;&gt;"", $F304&gt;=BD$5-4, $F304&lt;=BD$5, COUNTIF($M304:BC304,"u")=0), "u", "")</f>
        <v/>
      </c>
      <c r="BE304" s="80" t="str">
        <f>IF(AND($F304&lt;&gt;"", $F304&gt;=BE$5-4, $F304&lt;=BE$5, COUNTIF($M304:BD304,"u")=0), "u", "")</f>
        <v/>
      </c>
      <c r="BF304" s="80" t="str">
        <f>IF(AND($F304&lt;&gt;"", $F304&gt;=BF$5-4, $F304&lt;=BF$5, COUNTIF($M304:BE304,"u")=0), "u", "")</f>
        <v/>
      </c>
      <c r="BG304" s="80" t="str">
        <f>IF(AND($F304&lt;&gt;"", $F304&gt;=BG$5-4, $F304&lt;=BG$5, COUNTIF($M304:BF304,"u")=0), "u", "")</f>
        <v/>
      </c>
      <c r="BH304" s="80" t="str">
        <f>IF(AND($F304&lt;&gt;"", $F304&gt;=BH$5-4, $F304&lt;=BH$5, COUNTIF($M304:BG304,"u")=0), "u", "")</f>
        <v/>
      </c>
      <c r="BI304" s="80" t="str">
        <f>IF(AND($F304&lt;&gt;"", $F304&gt;=BI$5-4, $F304&lt;=BI$5, COUNTIF($M304:BH304,"u")=0), "u", "")</f>
        <v/>
      </c>
      <c r="BJ304" s="80" t="str">
        <f>IF(AND($F304&lt;&gt;"", $F304&gt;=BJ$5-4, $F304&lt;=BJ$5, COUNTIF($M304:BI304,"u")=0), "u", "")</f>
        <v/>
      </c>
      <c r="BK304" s="80" t="str">
        <f>IF(AND($F304&lt;&gt;"", $F304&gt;=BK$5-4, $F304&lt;=BK$5, COUNTIF($M304:BJ304,"u")=0), "u", "")</f>
        <v/>
      </c>
      <c r="BL304" s="80" t="str">
        <f>IF(AND($F304&lt;&gt;"", $F304&gt;=BL$5-4, $F304&lt;=BL$5, COUNTIF($M304:BK304,"u")=0), "u", "")</f>
        <v/>
      </c>
      <c r="BM304" s="80" t="str">
        <f>IF(AND($F304&lt;&gt;"", $F304&gt;=BM$5-4, $F304&lt;=BM$5, COUNTIF($M304:BL304,"u")=0), "u", "")</f>
        <v/>
      </c>
      <c r="BN304" s="80" t="str">
        <f>IF(AND($F304&lt;&gt;"", $F304&gt;=BN$5-4, $F304&lt;=BN$5, COUNTIF($M304:BM304,"u")=0), "u", "")</f>
        <v/>
      </c>
      <c r="BO304" s="80" t="str">
        <f>IF(AND($F304&lt;&gt;"", $F304&gt;=BO$5-4, $F304&lt;=BO$5, COUNTIF($M304:BN304,"u")=0), "u", "")</f>
        <v/>
      </c>
      <c r="BP304" s="80" t="str">
        <f>IF(AND($F304&lt;&gt;"", $F304&gt;=BP$5-4, $F304&lt;=BP$5, COUNTIF($M304:BO304,"u")=0), "u", "")</f>
        <v/>
      </c>
      <c r="BQ304" s="80" t="str">
        <f>IF(AND($F304&lt;&gt;"", $F304&gt;=BQ$5-4, $F304&lt;=BQ$5, COUNTIF($M304:BP304,"u")=0), "u", "")</f>
        <v/>
      </c>
      <c r="BR304" s="80" t="str">
        <f>IF(AND($F304&lt;&gt;"", $F304&gt;=BR$5-4, $F304&lt;=BR$5, COUNTIF($M304:BQ304,"u")=0), "u", "")</f>
        <v/>
      </c>
      <c r="BS304" s="80" t="str">
        <f>IF(AND($F304&lt;&gt;"", $F304&gt;=BS$5-4, $F304&lt;=BS$5, COUNTIF($M304:BR304,"u")=0), "u", "")</f>
        <v/>
      </c>
      <c r="BT304" s="80" t="str">
        <f>IF(AND($F304&lt;&gt;"", $F304&gt;=BT$5-4, $F304&lt;=BT$5, COUNTIF($M304:BS304,"u")=0), "u", "")</f>
        <v/>
      </c>
      <c r="BU304" s="80" t="str">
        <f>IF(AND($F304&lt;&gt;"", $F304&gt;=BU$5-4, $F304&lt;=BU$5, COUNTIF($M304:BT304,"u")=0), "u", "")</f>
        <v/>
      </c>
      <c r="BV304" s="80" t="str">
        <f>IF(AND($F304&lt;&gt;"", $F304&gt;=BV$5-4, $F304&lt;=BV$5, COUNTIF($M304:BU304,"u")=0), "u", "")</f>
        <v/>
      </c>
      <c r="BW304" s="80" t="str">
        <f>IF(AND($F304&lt;&gt;"", $F304&gt;=BW$5-4, $F304&lt;=BW$5, COUNTIF($M304:BV304,"u")=0), "u", "")</f>
        <v/>
      </c>
      <c r="BX304" s="80" t="str">
        <f>IF(AND($F304&lt;&gt;"", $F304&gt;=BX$5-4, $F304&lt;=BX$5, COUNTIF($M304:BW304,"u")=0), "u", "")</f>
        <v/>
      </c>
      <c r="BY304" s="80" t="str">
        <f>IF(AND($F304&lt;&gt;"", $F304&gt;=BY$5-4, $F304&lt;=BY$5, COUNTIF($M304:BX304,"u")=0), "u", "")</f>
        <v/>
      </c>
      <c r="BZ304" s="80" t="str">
        <f>IF(AND($F304&lt;&gt;"", $F304&gt;=BZ$5-4, $F304&lt;=BZ$5, COUNTIF($M304:BY304,"u")=0), "u", "")</f>
        <v/>
      </c>
      <c r="CA304" s="80" t="str">
        <f>IF(AND($F304&lt;&gt;"", $F304&gt;=CA$5-4, $F304&lt;=CA$5, COUNTIF($M304:BZ304,"u")=0), "u", "")</f>
        <v/>
      </c>
      <c r="CB304" s="80" t="str">
        <f>IF(AND($F304&lt;&gt;"", $F304&gt;=CB$5-4, $F304&lt;=CB$5, COUNTIF($M304:CA304,"u")=0), "u", "")</f>
        <v/>
      </c>
      <c r="CC304" s="80" t="str">
        <f>IF(AND($F304&lt;&gt;"", $F304&gt;=CC$5-4, $F304&lt;=CC$5, COUNTIF($M304:CB304,"u")=0), "u", "")</f>
        <v/>
      </c>
      <c r="CD304" s="80" t="str">
        <f>IF(AND($F304&lt;&gt;"", $F304&gt;=CD$5-4, $F304&lt;=CD$5, COUNTIF($M304:CC304,"u")=0), "u", "")</f>
        <v/>
      </c>
      <c r="CE304" s="80" t="str">
        <f>IF(AND($F304&lt;&gt;"", $F304&gt;=CE$5-4, $F304&lt;=CE$5, COUNTIF($M304:CD304,"u")=0), "u", "")</f>
        <v/>
      </c>
      <c r="CF304" s="80" t="str">
        <f>IF(AND($F304&lt;&gt;"", $F304&gt;=CF$5-4, $F304&lt;=CF$5, COUNTIF($M304:CE304,"u")=0), "u", "")</f>
        <v/>
      </c>
      <c r="CG304" s="80" t="str">
        <f>IF(AND($F304&lt;&gt;"", $F304&gt;=CG$5-4, $F304&lt;=CG$5, COUNTIF($M304:CF304,"u")=0), "u", "")</f>
        <v/>
      </c>
      <c r="CH304" s="80" t="str">
        <f>IF(AND($F304&lt;&gt;"", $F304&gt;=CH$5-4, $F304&lt;=CH$5, COUNTIF($M304:CG304,"u")=0), "u", "")</f>
        <v/>
      </c>
      <c r="CI304" s="80" t="str">
        <f>IF(AND($F304&lt;&gt;"", $F304&gt;=CI$5-4, $F304&lt;=CI$5, COUNTIF($M304:CH304,"u")=0), "u", "")</f>
        <v/>
      </c>
      <c r="CJ304" s="80" t="str">
        <f>IF(AND($F304&lt;&gt;"", $F304&gt;=CJ$5-4, $F304&lt;=CJ$5, COUNTIF($M304:CI304,"u")=0), "u", "")</f>
        <v/>
      </c>
      <c r="CK304" s="80" t="str">
        <f>IF(AND($F304&lt;&gt;"", $F304&gt;=CK$5-4, $F304&lt;=CK$5, COUNTIF($M304:CJ304,"u")=0), "u", "")</f>
        <v/>
      </c>
      <c r="CL304" s="80" t="str">
        <f>IF(AND($F304&lt;&gt;"", $F304&gt;=CL$5-4, $F304&lt;=CL$5, COUNTIF($M304:CK304,"u")=0), "u", "")</f>
        <v/>
      </c>
      <c r="CM304" s="80" t="str">
        <f>IF(AND($F304&lt;&gt;"", $F304&gt;=CM$5-4, $F304&lt;=CM$5, COUNTIF($M304:CL304,"u")=0), "u", "")</f>
        <v/>
      </c>
      <c r="CN304" s="80" t="str">
        <f>IF(AND($F304&lt;&gt;"", $F304&gt;=CN$5-4, $F304&lt;=CN$5, COUNTIF($M304:CM304,"u")=0), "u", "")</f>
        <v/>
      </c>
      <c r="CO304" s="80" t="str">
        <f>IF(AND($F304&lt;&gt;"", $F304&gt;=CO$5-4, $F304&lt;=CO$5, COUNTIF($M304:CN304,"u")=0), "u", "")</f>
        <v/>
      </c>
      <c r="CP304" s="80" t="str">
        <f>IF(AND($F304&lt;&gt;"", $F304&gt;=CP$5-4, $F304&lt;=CP$5, COUNTIF($M304:CO304,"u")=0), "u", "")</f>
        <v/>
      </c>
      <c r="CQ304" s="80" t="str">
        <f>IF(AND($F304&lt;&gt;"", $F304&gt;=CQ$5-4, $F304&lt;=CQ$5, COUNTIF($M304:CP304,"u")=0), "u", "")</f>
        <v/>
      </c>
      <c r="CR304" s="80" t="str">
        <f>IF(AND($F304&lt;&gt;"", $F304&gt;=CR$5-4, $F304&lt;=CR$5, COUNTIF($M304:CQ304,"u")=0), "u", "")</f>
        <v/>
      </c>
      <c r="CS304" s="80" t="str">
        <f>IF(AND($F304&lt;&gt;"", $F304&gt;=CS$5-4, $F304&lt;=CS$5, COUNTIF($M304:CR304,"u")=0), "u", "")</f>
        <v/>
      </c>
      <c r="CT304" s="80" t="str">
        <f>IF(AND($F304&lt;&gt;"", $F304&gt;=CT$5-4, $F304&lt;=CT$5, COUNTIF($M304:CS304,"u")=0), "u", "")</f>
        <v/>
      </c>
      <c r="CU304" s="80" t="str">
        <f>IF(AND($F304&lt;&gt;"", $F304&gt;=CU$5-4, $F304&lt;=CU$5, COUNTIF($M304:CT304,"u")=0), "u", "")</f>
        <v/>
      </c>
      <c r="CV304" s="80" t="str">
        <f>IF(AND($F304&lt;&gt;"", $F304&gt;=CV$5-4, $F304&lt;=CV$5, COUNTIF($M304:CU304,"u")=0), "u", "")</f>
        <v/>
      </c>
      <c r="CW304" s="80" t="str">
        <f>IF(AND($F304&lt;&gt;"", $F304&gt;=CW$5-4, $F304&lt;=CW$5, COUNTIF($M304:CV304,"u")=0), "u", "")</f>
        <v/>
      </c>
      <c r="CX304" s="80" t="str">
        <f>IF(AND($F304&lt;&gt;"", $F304&gt;=CX$5-4, $F304&lt;=CX$5, COUNTIF($M304:CW304,"u")=0), "u", "")</f>
        <v/>
      </c>
      <c r="CY304" s="80" t="str">
        <f>IF(AND($F304&lt;&gt;"", $F304&gt;=CY$5-4, $F304&lt;=CY$5, COUNTIF($M304:CX304,"u")=0), "u", "")</f>
        <v/>
      </c>
      <c r="CZ304" s="80" t="str">
        <f>IF(AND($F304&lt;&gt;"", $F304&gt;=CZ$5-4, $F304&lt;=CZ$5, COUNTIF($M304:CY304,"u")=0), "u", "")</f>
        <v/>
      </c>
      <c r="DA304" s="80" t="str">
        <f>IF(AND($F304&lt;&gt;"", $F304&gt;=DA$5-4, $F304&lt;=DA$5, COUNTIF($M304:CZ304,"u")=0), "u", "")</f>
        <v/>
      </c>
      <c r="DB304" s="80" t="str">
        <f>IF(AND($F304&lt;&gt;"", $F304&gt;=DB$5-4, $F304&lt;=DB$5, COUNTIF($M304:DA304,"u")=0), "u", "")</f>
        <v/>
      </c>
      <c r="DC304" s="80" t="str">
        <f>IF(AND($F304&lt;&gt;"", $F304&gt;=DC$5-4, $F304&lt;=DC$5, COUNTIF($M304:DB304,"u")=0), "u", "")</f>
        <v/>
      </c>
      <c r="DD304" s="80" t="str">
        <f>IF(AND($F304&lt;&gt;"", $F304&gt;=DD$5-4, $F304&lt;=DD$5, COUNTIF($M304:DC304,"u")=0), "u", "")</f>
        <v/>
      </c>
      <c r="DE304" s="80" t="str">
        <f>IF(AND($F304&lt;&gt;"", $F304&gt;=DE$5-4, $F304&lt;=DE$5, COUNTIF($M304:DD304,"u")=0), "u", "")</f>
        <v/>
      </c>
      <c r="DF304" s="80" t="str">
        <f>IF(AND($F304&lt;&gt;"", $F304&gt;=DF$5-4, $F304&lt;=DF$5, COUNTIF($M304:DE304,"u")=0), "u", "")</f>
        <v/>
      </c>
      <c r="DG304" s="80" t="str">
        <f>IF(AND($F304&lt;&gt;"", $F304&gt;=DG$5-4, $F304&lt;=DG$5, COUNTIF($M304:DF304,"u")=0), "u", "")</f>
        <v/>
      </c>
      <c r="DH304" s="80" t="str">
        <f>IF(AND($F304&lt;&gt;"", $F304&gt;=DH$5-4, $F304&lt;=DH$5, COUNTIF($M304:DG304,"u")=0), "u", "")</f>
        <v/>
      </c>
      <c r="DI304" s="80" t="str">
        <f>IF(AND($F304&lt;&gt;"", $F304&gt;=DI$5-4, $F304&lt;=DI$5, COUNTIF($M304:DH304,"u")=0), "u", "")</f>
        <v/>
      </c>
      <c r="DJ304" s="80" t="str">
        <f>IF(AND($F304&lt;&gt;"", $F304&gt;=DJ$5-4, $F304&lt;=DJ$5, COUNTIF($M304:DI304,"u")=0), "u", "")</f>
        <v/>
      </c>
      <c r="DK304" s="80" t="str">
        <f>IF(AND($F304&lt;&gt;"", $F304&gt;=DK$5-4, $F304&lt;=DK$5, COUNTIF($M304:DJ304,"u")=0), "u", "")</f>
        <v/>
      </c>
      <c r="DL304" s="80" t="str">
        <f>IF(AND($F304&lt;&gt;"", $F304&gt;=DL$5-4, $F304&lt;=DL$5, COUNTIF($M304:DK304,"u")=0), "u", "")</f>
        <v/>
      </c>
    </row>
    <row r="305" spans="1:116" ht="25.05" customHeight="1" x14ac:dyDescent="0.3">
      <c r="A305" s="39"/>
      <c r="B305" s="75">
        <v>300</v>
      </c>
      <c r="C305" s="97"/>
      <c r="D305" s="92"/>
      <c r="E305" s="53"/>
      <c r="F305" s="53"/>
      <c r="G305" s="98" t="str">
        <f t="shared" si="59"/>
        <v/>
      </c>
      <c r="H305" s="98" t="str">
        <f t="shared" si="59"/>
        <v/>
      </c>
      <c r="I305" s="77" t="str">
        <f t="shared" si="57"/>
        <v/>
      </c>
      <c r="J305" s="78"/>
      <c r="K305" s="86"/>
      <c r="L305" s="56"/>
      <c r="M305" s="80" t="str">
        <f t="shared" si="58"/>
        <v/>
      </c>
      <c r="N305" s="80" t="str">
        <f>IF(AND($F305&lt;&gt;"", $F305&gt;=N$5-4, $F305&lt;=N$5, COUNTIF($M305:M305,"u")=0), "u", "")</f>
        <v/>
      </c>
      <c r="O305" s="80" t="str">
        <f>IF(AND($F305&lt;&gt;"", $F305&gt;=O$5-4, $F305&lt;=O$5, COUNTIF($M305:N305,"u")=0), "u", "")</f>
        <v/>
      </c>
      <c r="P305" s="80" t="str">
        <f>IF(AND($F305&lt;&gt;"", $F305&gt;=P$5-4, $F305&lt;=P$5, COUNTIF($M305:O305,"u")=0), "u", "")</f>
        <v/>
      </c>
      <c r="Q305" s="80" t="str">
        <f>IF(AND($F305&lt;&gt;"", $F305&gt;=Q$5-4, $F305&lt;=Q$5, COUNTIF($M305:P305,"u")=0), "u", "")</f>
        <v/>
      </c>
      <c r="R305" s="80" t="str">
        <f>IF(AND($F305&lt;&gt;"", $F305&gt;=R$5-4, $F305&lt;=R$5, COUNTIF($M305:Q305,"u")=0), "u", "")</f>
        <v/>
      </c>
      <c r="S305" s="80" t="str">
        <f>IF(AND($F305&lt;&gt;"", $F305&gt;=S$5-4, $F305&lt;=S$5, COUNTIF($M305:R305,"u")=0), "u", "")</f>
        <v/>
      </c>
      <c r="T305" s="80" t="str">
        <f>IF(AND($F305&lt;&gt;"", $F305&gt;=T$5-4, $F305&lt;=T$5, COUNTIF($M305:S305,"u")=0), "u", "")</f>
        <v/>
      </c>
      <c r="U305" s="80" t="str">
        <f>IF(AND($F305&lt;&gt;"", $F305&gt;=U$5-4, $F305&lt;=U$5, COUNTIF($M305:T305,"u")=0), "u", "")</f>
        <v/>
      </c>
      <c r="V305" s="80" t="str">
        <f>IF(AND($F305&lt;&gt;"", $F305&gt;=V$5-4, $F305&lt;=V$5, COUNTIF($M305:U305,"u")=0), "u", "")</f>
        <v/>
      </c>
      <c r="W305" s="80" t="str">
        <f>IF(AND($F305&lt;&gt;"", $F305&gt;=W$5-4, $F305&lt;=W$5, COUNTIF($M305:V305,"u")=0), "u", "")</f>
        <v/>
      </c>
      <c r="X305" s="80" t="str">
        <f>IF(AND($F305&lt;&gt;"", $F305&gt;=X$5-4, $F305&lt;=X$5, COUNTIF($M305:W305,"u")=0), "u", "")</f>
        <v/>
      </c>
      <c r="Y305" s="80" t="str">
        <f>IF(AND($F305&lt;&gt;"", $F305&gt;=Y$5-4, $F305&lt;=Y$5, COUNTIF($M305:X305,"u")=0), "u", "")</f>
        <v/>
      </c>
      <c r="Z305" s="80" t="str">
        <f>IF(AND($F305&lt;&gt;"", $F305&gt;=Z$5-4, $F305&lt;=Z$5, COUNTIF($M305:Y305,"u")=0), "u", "")</f>
        <v/>
      </c>
      <c r="AA305" s="80" t="str">
        <f>IF(AND($F305&lt;&gt;"", $F305&gt;=AA$5-4, $F305&lt;=AA$5, COUNTIF($M305:Z305,"u")=0), "u", "")</f>
        <v/>
      </c>
      <c r="AB305" s="80" t="str">
        <f>IF(AND($F305&lt;&gt;"", $F305&gt;=AB$5-4, $F305&lt;=AB$5, COUNTIF($M305:AA305,"u")=0), "u", "")</f>
        <v/>
      </c>
      <c r="AC305" s="80" t="str">
        <f>IF(AND($F305&lt;&gt;"", $F305&gt;=AC$5-4, $F305&lt;=AC$5, COUNTIF($M305:AB305,"u")=0), "u", "")</f>
        <v/>
      </c>
      <c r="AD305" s="80" t="str">
        <f>IF(AND($F305&lt;&gt;"", $F305&gt;=AD$5-4, $F305&lt;=AD$5, COUNTIF($M305:AC305,"u")=0), "u", "")</f>
        <v/>
      </c>
      <c r="AE305" s="80" t="str">
        <f>IF(AND($F305&lt;&gt;"", $F305&gt;=AE$5-4, $F305&lt;=AE$5, COUNTIF($M305:AD305,"u")=0), "u", "")</f>
        <v/>
      </c>
      <c r="AF305" s="80" t="str">
        <f>IF(AND($F305&lt;&gt;"", $F305&gt;=AF$5-4, $F305&lt;=AF$5, COUNTIF($M305:AE305,"u")=0), "u", "")</f>
        <v/>
      </c>
      <c r="AG305" s="80" t="str">
        <f>IF(AND($F305&lt;&gt;"", $F305&gt;=AG$5-4, $F305&lt;=AG$5, COUNTIF($M305:AF305,"u")=0), "u", "")</f>
        <v/>
      </c>
      <c r="AH305" s="80" t="str">
        <f>IF(AND($F305&lt;&gt;"", $F305&gt;=AH$5-4, $F305&lt;=AH$5, COUNTIF($M305:AG305,"u")=0), "u", "")</f>
        <v/>
      </c>
      <c r="AI305" s="80" t="str">
        <f>IF(AND($F305&lt;&gt;"", $F305&gt;=AI$5-4, $F305&lt;=AI$5, COUNTIF($M305:AH305,"u")=0), "u", "")</f>
        <v/>
      </c>
      <c r="AJ305" s="80" t="str">
        <f>IF(AND($F305&lt;&gt;"", $F305&gt;=AJ$5-4, $F305&lt;=AJ$5, COUNTIF($M305:AI305,"u")=0), "u", "")</f>
        <v/>
      </c>
      <c r="AK305" s="80" t="str">
        <f>IF(AND($F305&lt;&gt;"", $F305&gt;=AK$5-4, $F305&lt;=AK$5, COUNTIF($M305:AJ305,"u")=0), "u", "")</f>
        <v/>
      </c>
      <c r="AL305" s="80" t="str">
        <f>IF(AND($F305&lt;&gt;"", $F305&gt;=AL$5-4, $F305&lt;=AL$5, COUNTIF($M305:AK305,"u")=0), "u", "")</f>
        <v/>
      </c>
      <c r="AM305" s="80" t="str">
        <f>IF(AND($F305&lt;&gt;"", $F305&gt;=AM$5-4, $F305&lt;=AM$5, COUNTIF($M305:AL305,"u")=0), "u", "")</f>
        <v/>
      </c>
      <c r="AN305" s="80" t="str">
        <f>IF(AND($F305&lt;&gt;"", $F305&gt;=AN$5-4, $F305&lt;=AN$5, COUNTIF($M305:AM305,"u")=0), "u", "")</f>
        <v/>
      </c>
      <c r="AO305" s="80" t="str">
        <f>IF(AND($F305&lt;&gt;"", $F305&gt;=AO$5-4, $F305&lt;=AO$5, COUNTIF($M305:AN305,"u")=0), "u", "")</f>
        <v/>
      </c>
      <c r="AP305" s="80" t="str">
        <f>IF(AND($F305&lt;&gt;"", $F305&gt;=AP$5-4, $F305&lt;=AP$5, COUNTIF($M305:AO305,"u")=0), "u", "")</f>
        <v/>
      </c>
      <c r="AQ305" s="80" t="str">
        <f>IF(AND($F305&lt;&gt;"", $F305&gt;=AQ$5-4, $F305&lt;=AQ$5, COUNTIF($M305:AP305,"u")=0), "u", "")</f>
        <v/>
      </c>
      <c r="AR305" s="80" t="str">
        <f>IF(AND($F305&lt;&gt;"", $F305&gt;=AR$5-4, $F305&lt;=AR$5, COUNTIF($M305:AQ305,"u")=0), "u", "")</f>
        <v/>
      </c>
      <c r="AS305" s="80" t="str">
        <f>IF(AND($F305&lt;&gt;"", $F305&gt;=AS$5-4, $F305&lt;=AS$5, COUNTIF($M305:AR305,"u")=0), "u", "")</f>
        <v/>
      </c>
      <c r="AT305" s="80" t="str">
        <f>IF(AND($F305&lt;&gt;"", $F305&gt;=AT$5-4, $F305&lt;=AT$5, COUNTIF($M305:AS305,"u")=0), "u", "")</f>
        <v/>
      </c>
      <c r="AU305" s="80" t="str">
        <f>IF(AND($F305&lt;&gt;"", $F305&gt;=AU$5-4, $F305&lt;=AU$5, COUNTIF($M305:AT305,"u")=0), "u", "")</f>
        <v/>
      </c>
      <c r="AV305" s="80" t="str">
        <f>IF(AND($F305&lt;&gt;"", $F305&gt;=AV$5-4, $F305&lt;=AV$5, COUNTIF($M305:AU305,"u")=0), "u", "")</f>
        <v/>
      </c>
      <c r="AW305" s="80" t="str">
        <f>IF(AND($F305&lt;&gt;"", $F305&gt;=AW$5-4, $F305&lt;=AW$5, COUNTIF($M305:AV305,"u")=0), "u", "")</f>
        <v/>
      </c>
      <c r="AX305" s="80" t="str">
        <f>IF(AND($F305&lt;&gt;"", $F305&gt;=AX$5-4, $F305&lt;=AX$5, COUNTIF($M305:AW305,"u")=0), "u", "")</f>
        <v/>
      </c>
      <c r="AY305" s="80" t="str">
        <f>IF(AND($F305&lt;&gt;"", $F305&gt;=AY$5-4, $F305&lt;=AY$5, COUNTIF($M305:AX305,"u")=0), "u", "")</f>
        <v/>
      </c>
      <c r="AZ305" s="80" t="str">
        <f>IF(AND($F305&lt;&gt;"", $F305&gt;=AZ$5-4, $F305&lt;=AZ$5, COUNTIF($M305:AY305,"u")=0), "u", "")</f>
        <v/>
      </c>
      <c r="BA305" s="80" t="str">
        <f>IF(AND($F305&lt;&gt;"", $F305&gt;=BA$5-4, $F305&lt;=BA$5, COUNTIF($M305:AZ305,"u")=0), "u", "")</f>
        <v/>
      </c>
      <c r="BB305" s="80" t="str">
        <f>IF(AND($F305&lt;&gt;"", $F305&gt;=BB$5-4, $F305&lt;=BB$5, COUNTIF($M305:BA305,"u")=0), "u", "")</f>
        <v/>
      </c>
      <c r="BC305" s="80" t="str">
        <f>IF(AND($F305&lt;&gt;"", $F305&gt;=BC$5-4, $F305&lt;=BC$5, COUNTIF($M305:BB305,"u")=0), "u", "")</f>
        <v/>
      </c>
      <c r="BD305" s="80" t="str">
        <f>IF(AND($F305&lt;&gt;"", $F305&gt;=BD$5-4, $F305&lt;=BD$5, COUNTIF($M305:BC305,"u")=0), "u", "")</f>
        <v/>
      </c>
      <c r="BE305" s="80" t="str">
        <f>IF(AND($F305&lt;&gt;"", $F305&gt;=BE$5-4, $F305&lt;=BE$5, COUNTIF($M305:BD305,"u")=0), "u", "")</f>
        <v/>
      </c>
      <c r="BF305" s="80" t="str">
        <f>IF(AND($F305&lt;&gt;"", $F305&gt;=BF$5-4, $F305&lt;=BF$5, COUNTIF($M305:BE305,"u")=0), "u", "")</f>
        <v/>
      </c>
      <c r="BG305" s="80" t="str">
        <f>IF(AND($F305&lt;&gt;"", $F305&gt;=BG$5-4, $F305&lt;=BG$5, COUNTIF($M305:BF305,"u")=0), "u", "")</f>
        <v/>
      </c>
      <c r="BH305" s="80" t="str">
        <f>IF(AND($F305&lt;&gt;"", $F305&gt;=BH$5-4, $F305&lt;=BH$5, COUNTIF($M305:BG305,"u")=0), "u", "")</f>
        <v/>
      </c>
      <c r="BI305" s="80" t="str">
        <f>IF(AND($F305&lt;&gt;"", $F305&gt;=BI$5-4, $F305&lt;=BI$5, COUNTIF($M305:BH305,"u")=0), "u", "")</f>
        <v/>
      </c>
      <c r="BJ305" s="80" t="str">
        <f>IF(AND($F305&lt;&gt;"", $F305&gt;=BJ$5-4, $F305&lt;=BJ$5, COUNTIF($M305:BI305,"u")=0), "u", "")</f>
        <v/>
      </c>
      <c r="BK305" s="80" t="str">
        <f>IF(AND($F305&lt;&gt;"", $F305&gt;=BK$5-4, $F305&lt;=BK$5, COUNTIF($M305:BJ305,"u")=0), "u", "")</f>
        <v/>
      </c>
      <c r="BL305" s="80" t="str">
        <f>IF(AND($F305&lt;&gt;"", $F305&gt;=BL$5-4, $F305&lt;=BL$5, COUNTIF($M305:BK305,"u")=0), "u", "")</f>
        <v/>
      </c>
      <c r="BM305" s="80" t="str">
        <f>IF(AND($F305&lt;&gt;"", $F305&gt;=BM$5-4, $F305&lt;=BM$5, COUNTIF($M305:BL305,"u")=0), "u", "")</f>
        <v/>
      </c>
      <c r="BN305" s="80" t="str">
        <f>IF(AND($F305&lt;&gt;"", $F305&gt;=BN$5-4, $F305&lt;=BN$5, COUNTIF($M305:BM305,"u")=0), "u", "")</f>
        <v/>
      </c>
      <c r="BO305" s="80" t="str">
        <f>IF(AND($F305&lt;&gt;"", $F305&gt;=BO$5-4, $F305&lt;=BO$5, COUNTIF($M305:BN305,"u")=0), "u", "")</f>
        <v/>
      </c>
      <c r="BP305" s="80" t="str">
        <f>IF(AND($F305&lt;&gt;"", $F305&gt;=BP$5-4, $F305&lt;=BP$5, COUNTIF($M305:BO305,"u")=0), "u", "")</f>
        <v/>
      </c>
      <c r="BQ305" s="80" t="str">
        <f>IF(AND($F305&lt;&gt;"", $F305&gt;=BQ$5-4, $F305&lt;=BQ$5, COUNTIF($M305:BP305,"u")=0), "u", "")</f>
        <v/>
      </c>
      <c r="BR305" s="80" t="str">
        <f>IF(AND($F305&lt;&gt;"", $F305&gt;=BR$5-4, $F305&lt;=BR$5, COUNTIF($M305:BQ305,"u")=0), "u", "")</f>
        <v/>
      </c>
      <c r="BS305" s="80" t="str">
        <f>IF(AND($F305&lt;&gt;"", $F305&gt;=BS$5-4, $F305&lt;=BS$5, COUNTIF($M305:BR305,"u")=0), "u", "")</f>
        <v/>
      </c>
      <c r="BT305" s="80" t="str">
        <f>IF(AND($F305&lt;&gt;"", $F305&gt;=BT$5-4, $F305&lt;=BT$5, COUNTIF($M305:BS305,"u")=0), "u", "")</f>
        <v/>
      </c>
      <c r="BU305" s="80" t="str">
        <f>IF(AND($F305&lt;&gt;"", $F305&gt;=BU$5-4, $F305&lt;=BU$5, COUNTIF($M305:BT305,"u")=0), "u", "")</f>
        <v/>
      </c>
      <c r="BV305" s="80" t="str">
        <f>IF(AND($F305&lt;&gt;"", $F305&gt;=BV$5-4, $F305&lt;=BV$5, COUNTIF($M305:BU305,"u")=0), "u", "")</f>
        <v/>
      </c>
      <c r="BW305" s="80" t="str">
        <f>IF(AND($F305&lt;&gt;"", $F305&gt;=BW$5-4, $F305&lt;=BW$5, COUNTIF($M305:BV305,"u")=0), "u", "")</f>
        <v/>
      </c>
      <c r="BX305" s="80" t="str">
        <f>IF(AND($F305&lt;&gt;"", $F305&gt;=BX$5-4, $F305&lt;=BX$5, COUNTIF($M305:BW305,"u")=0), "u", "")</f>
        <v/>
      </c>
      <c r="BY305" s="80" t="str">
        <f>IF(AND($F305&lt;&gt;"", $F305&gt;=BY$5-4, $F305&lt;=BY$5, COUNTIF($M305:BX305,"u")=0), "u", "")</f>
        <v/>
      </c>
      <c r="BZ305" s="80" t="str">
        <f>IF(AND($F305&lt;&gt;"", $F305&gt;=BZ$5-4, $F305&lt;=BZ$5, COUNTIF($M305:BY305,"u")=0), "u", "")</f>
        <v/>
      </c>
      <c r="CA305" s="80" t="str">
        <f>IF(AND($F305&lt;&gt;"", $F305&gt;=CA$5-4, $F305&lt;=CA$5, COUNTIF($M305:BZ305,"u")=0), "u", "")</f>
        <v/>
      </c>
      <c r="CB305" s="80" t="str">
        <f>IF(AND($F305&lt;&gt;"", $F305&gt;=CB$5-4, $F305&lt;=CB$5, COUNTIF($M305:CA305,"u")=0), "u", "")</f>
        <v/>
      </c>
      <c r="CC305" s="80" t="str">
        <f>IF(AND($F305&lt;&gt;"", $F305&gt;=CC$5-4, $F305&lt;=CC$5, COUNTIF($M305:CB305,"u")=0), "u", "")</f>
        <v/>
      </c>
      <c r="CD305" s="80" t="str">
        <f>IF(AND($F305&lt;&gt;"", $F305&gt;=CD$5-4, $F305&lt;=CD$5, COUNTIF($M305:CC305,"u")=0), "u", "")</f>
        <v/>
      </c>
      <c r="CE305" s="80" t="str">
        <f>IF(AND($F305&lt;&gt;"", $F305&gt;=CE$5-4, $F305&lt;=CE$5, COUNTIF($M305:CD305,"u")=0), "u", "")</f>
        <v/>
      </c>
      <c r="CF305" s="80" t="str">
        <f>IF(AND($F305&lt;&gt;"", $F305&gt;=CF$5-4, $F305&lt;=CF$5, COUNTIF($M305:CE305,"u")=0), "u", "")</f>
        <v/>
      </c>
      <c r="CG305" s="80" t="str">
        <f>IF(AND($F305&lt;&gt;"", $F305&gt;=CG$5-4, $F305&lt;=CG$5, COUNTIF($M305:CF305,"u")=0), "u", "")</f>
        <v/>
      </c>
      <c r="CH305" s="80" t="str">
        <f>IF(AND($F305&lt;&gt;"", $F305&gt;=CH$5-4, $F305&lt;=CH$5, COUNTIF($M305:CG305,"u")=0), "u", "")</f>
        <v/>
      </c>
      <c r="CI305" s="80" t="str">
        <f>IF(AND($F305&lt;&gt;"", $F305&gt;=CI$5-4, $F305&lt;=CI$5, COUNTIF($M305:CH305,"u")=0), "u", "")</f>
        <v/>
      </c>
      <c r="CJ305" s="80" t="str">
        <f>IF(AND($F305&lt;&gt;"", $F305&gt;=CJ$5-4, $F305&lt;=CJ$5, COUNTIF($M305:CI305,"u")=0), "u", "")</f>
        <v/>
      </c>
      <c r="CK305" s="80" t="str">
        <f>IF(AND($F305&lt;&gt;"", $F305&gt;=CK$5-4, $F305&lt;=CK$5, COUNTIF($M305:CJ305,"u")=0), "u", "")</f>
        <v/>
      </c>
      <c r="CL305" s="80" t="str">
        <f>IF(AND($F305&lt;&gt;"", $F305&gt;=CL$5-4, $F305&lt;=CL$5, COUNTIF($M305:CK305,"u")=0), "u", "")</f>
        <v/>
      </c>
      <c r="CM305" s="80" t="str">
        <f>IF(AND($F305&lt;&gt;"", $F305&gt;=CM$5-4, $F305&lt;=CM$5, COUNTIF($M305:CL305,"u")=0), "u", "")</f>
        <v/>
      </c>
      <c r="CN305" s="80" t="str">
        <f>IF(AND($F305&lt;&gt;"", $F305&gt;=CN$5-4, $F305&lt;=CN$5, COUNTIF($M305:CM305,"u")=0), "u", "")</f>
        <v/>
      </c>
      <c r="CO305" s="80" t="str">
        <f>IF(AND($F305&lt;&gt;"", $F305&gt;=CO$5-4, $F305&lt;=CO$5, COUNTIF($M305:CN305,"u")=0), "u", "")</f>
        <v/>
      </c>
      <c r="CP305" s="80" t="str">
        <f>IF(AND($F305&lt;&gt;"", $F305&gt;=CP$5-4, $F305&lt;=CP$5, COUNTIF($M305:CO305,"u")=0), "u", "")</f>
        <v/>
      </c>
      <c r="CQ305" s="80" t="str">
        <f>IF(AND($F305&lt;&gt;"", $F305&gt;=CQ$5-4, $F305&lt;=CQ$5, COUNTIF($M305:CP305,"u")=0), "u", "")</f>
        <v/>
      </c>
      <c r="CR305" s="80" t="str">
        <f>IF(AND($F305&lt;&gt;"", $F305&gt;=CR$5-4, $F305&lt;=CR$5, COUNTIF($M305:CQ305,"u")=0), "u", "")</f>
        <v/>
      </c>
      <c r="CS305" s="80" t="str">
        <f>IF(AND($F305&lt;&gt;"", $F305&gt;=CS$5-4, $F305&lt;=CS$5, COUNTIF($M305:CR305,"u")=0), "u", "")</f>
        <v/>
      </c>
      <c r="CT305" s="80" t="str">
        <f>IF(AND($F305&lt;&gt;"", $F305&gt;=CT$5-4, $F305&lt;=CT$5, COUNTIF($M305:CS305,"u")=0), "u", "")</f>
        <v/>
      </c>
      <c r="CU305" s="80" t="str">
        <f>IF(AND($F305&lt;&gt;"", $F305&gt;=CU$5-4, $F305&lt;=CU$5, COUNTIF($M305:CT305,"u")=0), "u", "")</f>
        <v/>
      </c>
      <c r="CV305" s="80" t="str">
        <f>IF(AND($F305&lt;&gt;"", $F305&gt;=CV$5-4, $F305&lt;=CV$5, COUNTIF($M305:CU305,"u")=0), "u", "")</f>
        <v/>
      </c>
      <c r="CW305" s="80" t="str">
        <f>IF(AND($F305&lt;&gt;"", $F305&gt;=CW$5-4, $F305&lt;=CW$5, COUNTIF($M305:CV305,"u")=0), "u", "")</f>
        <v/>
      </c>
      <c r="CX305" s="80" t="str">
        <f>IF(AND($F305&lt;&gt;"", $F305&gt;=CX$5-4, $F305&lt;=CX$5, COUNTIF($M305:CW305,"u")=0), "u", "")</f>
        <v/>
      </c>
      <c r="CY305" s="80" t="str">
        <f>IF(AND($F305&lt;&gt;"", $F305&gt;=CY$5-4, $F305&lt;=CY$5, COUNTIF($M305:CX305,"u")=0), "u", "")</f>
        <v/>
      </c>
      <c r="CZ305" s="80" t="str">
        <f>IF(AND($F305&lt;&gt;"", $F305&gt;=CZ$5-4, $F305&lt;=CZ$5, COUNTIF($M305:CY305,"u")=0), "u", "")</f>
        <v/>
      </c>
      <c r="DA305" s="80" t="str">
        <f>IF(AND($F305&lt;&gt;"", $F305&gt;=DA$5-4, $F305&lt;=DA$5, COUNTIF($M305:CZ305,"u")=0), "u", "")</f>
        <v/>
      </c>
      <c r="DB305" s="80" t="str">
        <f>IF(AND($F305&lt;&gt;"", $F305&gt;=DB$5-4, $F305&lt;=DB$5, COUNTIF($M305:DA305,"u")=0), "u", "")</f>
        <v/>
      </c>
      <c r="DC305" s="80" t="str">
        <f>IF(AND($F305&lt;&gt;"", $F305&gt;=DC$5-4, $F305&lt;=DC$5, COUNTIF($M305:DB305,"u")=0), "u", "")</f>
        <v/>
      </c>
      <c r="DD305" s="80" t="str">
        <f>IF(AND($F305&lt;&gt;"", $F305&gt;=DD$5-4, $F305&lt;=DD$5, COUNTIF($M305:DC305,"u")=0), "u", "")</f>
        <v/>
      </c>
      <c r="DE305" s="80" t="str">
        <f>IF(AND($F305&lt;&gt;"", $F305&gt;=DE$5-4, $F305&lt;=DE$5, COUNTIF($M305:DD305,"u")=0), "u", "")</f>
        <v/>
      </c>
      <c r="DF305" s="80" t="str">
        <f>IF(AND($F305&lt;&gt;"", $F305&gt;=DF$5-4, $F305&lt;=DF$5, COUNTIF($M305:DE305,"u")=0), "u", "")</f>
        <v/>
      </c>
      <c r="DG305" s="80" t="str">
        <f>IF(AND($F305&lt;&gt;"", $F305&gt;=DG$5-4, $F305&lt;=DG$5, COUNTIF($M305:DF305,"u")=0), "u", "")</f>
        <v/>
      </c>
      <c r="DH305" s="80" t="str">
        <f>IF(AND($F305&lt;&gt;"", $F305&gt;=DH$5-4, $F305&lt;=DH$5, COUNTIF($M305:DG305,"u")=0), "u", "")</f>
        <v/>
      </c>
      <c r="DI305" s="80" t="str">
        <f>IF(AND($F305&lt;&gt;"", $F305&gt;=DI$5-4, $F305&lt;=DI$5, COUNTIF($M305:DH305,"u")=0), "u", "")</f>
        <v/>
      </c>
      <c r="DJ305" s="80" t="str">
        <f>IF(AND($F305&lt;&gt;"", $F305&gt;=DJ$5-4, $F305&lt;=DJ$5, COUNTIF($M305:DI305,"u")=0), "u", "")</f>
        <v/>
      </c>
      <c r="DK305" s="80" t="str">
        <f>IF(AND($F305&lt;&gt;"", $F305&gt;=DK$5-4, $F305&lt;=DK$5, COUNTIF($M305:DJ305,"u")=0), "u", "")</f>
        <v/>
      </c>
      <c r="DL305" s="80" t="str">
        <f>IF(AND($F305&lt;&gt;"", $F305&gt;=DL$5-4, $F305&lt;=DL$5, COUNTIF($M305:DK305,"u")=0), "u", "")</f>
        <v/>
      </c>
    </row>
    <row r="306" spans="1:116" x14ac:dyDescent="0.3">
      <c r="A306" s="39"/>
      <c r="B306" s="39"/>
      <c r="C306" s="39"/>
      <c r="D306" s="39"/>
      <c r="E306" s="39"/>
      <c r="F306" s="39"/>
      <c r="G306" s="39"/>
      <c r="H306" s="39"/>
      <c r="I306" s="39"/>
      <c r="J306" s="39"/>
      <c r="K306" s="39"/>
      <c r="L306" s="39"/>
      <c r="M306" s="63"/>
      <c r="N306" s="63"/>
      <c r="O306" s="63"/>
      <c r="P306" s="63"/>
      <c r="Q306" s="63"/>
      <c r="R306" s="63"/>
      <c r="S306" s="63"/>
      <c r="T306" s="63"/>
      <c r="U306" s="63"/>
      <c r="V306" s="63"/>
      <c r="W306" s="63"/>
      <c r="X306" s="63"/>
      <c r="Y306" s="63"/>
      <c r="Z306" s="63"/>
      <c r="AA306" s="63"/>
      <c r="AB306" s="63"/>
      <c r="AC306" s="63"/>
      <c r="AD306" s="63"/>
      <c r="AE306" s="63"/>
      <c r="AF306" s="63"/>
      <c r="AG306" s="63"/>
      <c r="AH306" s="63"/>
      <c r="AI306" s="63"/>
      <c r="AJ306" s="63"/>
      <c r="AK306" s="63"/>
      <c r="AL306" s="63"/>
      <c r="AM306" s="63"/>
      <c r="AN306" s="63"/>
      <c r="AO306" s="63"/>
      <c r="AP306" s="63"/>
      <c r="AQ306" s="63"/>
      <c r="AR306" s="63"/>
      <c r="AS306" s="63"/>
      <c r="AT306" s="63"/>
      <c r="AU306" s="63"/>
      <c r="AV306" s="63"/>
      <c r="AW306" s="63"/>
      <c r="AX306" s="63"/>
      <c r="AY306" s="63"/>
      <c r="AZ306" s="63"/>
      <c r="BA306" s="63"/>
      <c r="BB306" s="63"/>
      <c r="BC306" s="63"/>
      <c r="BD306" s="63"/>
      <c r="BE306" s="63"/>
      <c r="BF306" s="63"/>
      <c r="BG306" s="63"/>
      <c r="BH306" s="63"/>
      <c r="BI306" s="63"/>
      <c r="BJ306" s="63"/>
      <c r="BK306" s="63"/>
      <c r="BL306" s="63"/>
      <c r="BM306" s="63"/>
      <c r="BN306" s="63"/>
      <c r="BO306" s="63"/>
      <c r="BP306" s="63"/>
      <c r="BQ306" s="63"/>
      <c r="BR306" s="63"/>
      <c r="BS306" s="63"/>
      <c r="BT306" s="63"/>
      <c r="BU306" s="63"/>
      <c r="BV306" s="63"/>
      <c r="BW306" s="63"/>
      <c r="BX306" s="63"/>
      <c r="BY306" s="63"/>
      <c r="BZ306" s="63"/>
      <c r="CA306" s="63"/>
      <c r="CB306" s="63"/>
      <c r="CC306" s="63"/>
      <c r="CD306" s="63"/>
      <c r="CE306" s="63"/>
      <c r="CF306" s="63"/>
      <c r="CG306" s="63"/>
      <c r="CH306" s="63"/>
      <c r="CI306" s="63"/>
      <c r="CJ306" s="63"/>
      <c r="CK306" s="63"/>
      <c r="CL306" s="63"/>
      <c r="CM306" s="63"/>
      <c r="CN306" s="63"/>
      <c r="CO306" s="63"/>
      <c r="CP306" s="63"/>
      <c r="CQ306" s="63"/>
      <c r="CR306" s="63"/>
      <c r="CS306" s="63"/>
      <c r="CT306" s="63"/>
      <c r="CU306" s="63"/>
      <c r="CV306" s="63"/>
      <c r="CW306" s="63"/>
      <c r="CX306" s="63"/>
      <c r="CY306" s="63"/>
      <c r="CZ306" s="63"/>
      <c r="DA306" s="63"/>
      <c r="DB306" s="63"/>
      <c r="DC306" s="63"/>
      <c r="DD306" s="63"/>
      <c r="DE306" s="63"/>
      <c r="DF306" s="63"/>
      <c r="DG306" s="63"/>
      <c r="DH306" s="63"/>
      <c r="DI306" s="63"/>
      <c r="DJ306" s="63"/>
      <c r="DK306" s="63"/>
      <c r="DL306" s="63"/>
    </row>
    <row r="307" spans="1:116" x14ac:dyDescent="0.3">
      <c r="A307" s="39"/>
      <c r="B307" s="39"/>
      <c r="C307" s="39"/>
      <c r="D307" s="39"/>
      <c r="E307" s="39"/>
      <c r="F307" s="39"/>
      <c r="G307" s="39"/>
      <c r="H307" s="39"/>
      <c r="I307" s="39"/>
      <c r="J307" s="39"/>
      <c r="K307" s="39"/>
      <c r="L307" s="39"/>
      <c r="M307" s="63"/>
      <c r="N307" s="63"/>
      <c r="O307" s="63"/>
      <c r="P307" s="63"/>
      <c r="Q307" s="63"/>
      <c r="R307" s="63"/>
      <c r="S307" s="63"/>
      <c r="T307" s="63"/>
      <c r="U307" s="63"/>
      <c r="V307" s="63"/>
      <c r="W307" s="63"/>
      <c r="X307" s="63"/>
      <c r="Y307" s="63"/>
      <c r="Z307" s="63"/>
      <c r="AA307" s="63"/>
      <c r="AB307" s="63"/>
      <c r="AC307" s="63"/>
      <c r="AD307" s="63"/>
      <c r="AE307" s="63"/>
      <c r="AF307" s="63"/>
      <c r="AG307" s="63"/>
      <c r="AH307" s="63"/>
      <c r="AI307" s="63"/>
      <c r="AJ307" s="63"/>
      <c r="AK307" s="63"/>
      <c r="AL307" s="63"/>
      <c r="AM307" s="63"/>
      <c r="AN307" s="63"/>
      <c r="AO307" s="63"/>
      <c r="AP307" s="63"/>
      <c r="AQ307" s="63"/>
      <c r="AR307" s="63"/>
      <c r="AS307" s="63"/>
      <c r="AT307" s="63"/>
      <c r="AU307" s="63"/>
      <c r="AV307" s="63"/>
      <c r="AW307" s="63"/>
      <c r="AX307" s="63"/>
      <c r="AY307" s="63"/>
      <c r="AZ307" s="63"/>
      <c r="BA307" s="63"/>
      <c r="BB307" s="63"/>
      <c r="BC307" s="63"/>
      <c r="BD307" s="63"/>
      <c r="BE307" s="63"/>
      <c r="BF307" s="63"/>
      <c r="BG307" s="63"/>
      <c r="BH307" s="63"/>
      <c r="BI307" s="63"/>
      <c r="BJ307" s="63"/>
      <c r="BK307" s="63"/>
      <c r="BL307" s="63"/>
      <c r="BM307" s="63"/>
      <c r="BN307" s="63"/>
      <c r="BO307" s="63"/>
      <c r="BP307" s="63"/>
      <c r="BQ307" s="63"/>
      <c r="BR307" s="63"/>
      <c r="BS307" s="63"/>
      <c r="BT307" s="63"/>
      <c r="BU307" s="63"/>
      <c r="BV307" s="63"/>
      <c r="BW307" s="63"/>
      <c r="BX307" s="63"/>
      <c r="BY307" s="63"/>
      <c r="BZ307" s="63"/>
      <c r="CA307" s="63"/>
      <c r="CB307" s="63"/>
      <c r="CC307" s="63"/>
      <c r="CD307" s="63"/>
      <c r="CE307" s="63"/>
      <c r="CF307" s="63"/>
      <c r="CG307" s="63"/>
      <c r="CH307" s="63"/>
      <c r="CI307" s="63"/>
      <c r="CJ307" s="63"/>
      <c r="CK307" s="63"/>
      <c r="CL307" s="63"/>
      <c r="CM307" s="63"/>
      <c r="CN307" s="63"/>
      <c r="CO307" s="63"/>
      <c r="CP307" s="63"/>
      <c r="CQ307" s="63"/>
      <c r="CR307" s="63"/>
      <c r="CS307" s="63"/>
      <c r="CT307" s="63"/>
      <c r="CU307" s="63"/>
      <c r="CV307" s="63"/>
      <c r="CW307" s="63"/>
      <c r="CX307" s="63"/>
      <c r="CY307" s="63"/>
      <c r="CZ307" s="63"/>
      <c r="DA307" s="63"/>
      <c r="DB307" s="63"/>
      <c r="DC307" s="63"/>
      <c r="DD307" s="63"/>
      <c r="DE307" s="63"/>
      <c r="DF307" s="63"/>
      <c r="DG307" s="63"/>
      <c r="DH307" s="63"/>
      <c r="DI307" s="63"/>
      <c r="DJ307" s="63"/>
      <c r="DK307" s="63"/>
      <c r="DL307" s="63"/>
    </row>
  </sheetData>
  <mergeCells count="81">
    <mergeCell ref="Y2:AB2"/>
    <mergeCell ref="D2:E2"/>
    <mergeCell ref="F2:I2"/>
    <mergeCell ref="M2:P2"/>
    <mergeCell ref="Q2:T2"/>
    <mergeCell ref="U2:X2"/>
    <mergeCell ref="BU2:BX2"/>
    <mergeCell ref="AC2:AF2"/>
    <mergeCell ref="AG2:AJ2"/>
    <mergeCell ref="AK2:AN2"/>
    <mergeCell ref="AO2:AR2"/>
    <mergeCell ref="AS2:AV2"/>
    <mergeCell ref="AW2:AZ2"/>
    <mergeCell ref="BA2:BD2"/>
    <mergeCell ref="BE2:BH2"/>
    <mergeCell ref="BI2:BL2"/>
    <mergeCell ref="BM2:BP2"/>
    <mergeCell ref="BQ2:BT2"/>
    <mergeCell ref="CW2:CZ2"/>
    <mergeCell ref="DA2:DD2"/>
    <mergeCell ref="DE2:DH2"/>
    <mergeCell ref="DI2:DL2"/>
    <mergeCell ref="F3:I3"/>
    <mergeCell ref="M3:P3"/>
    <mergeCell ref="Q3:T3"/>
    <mergeCell ref="U3:X3"/>
    <mergeCell ref="Y3:AB3"/>
    <mergeCell ref="AC3:AF3"/>
    <mergeCell ref="BY2:CB2"/>
    <mergeCell ref="CC2:CF2"/>
    <mergeCell ref="CG2:CJ2"/>
    <mergeCell ref="CK2:CN2"/>
    <mergeCell ref="CO2:CR2"/>
    <mergeCell ref="CS2:CV2"/>
    <mergeCell ref="BY3:CB3"/>
    <mergeCell ref="AG3:AJ3"/>
    <mergeCell ref="AK3:AN3"/>
    <mergeCell ref="AO3:AR3"/>
    <mergeCell ref="AS3:AV3"/>
    <mergeCell ref="AW3:AZ3"/>
    <mergeCell ref="BA3:BD3"/>
    <mergeCell ref="BE3:BH3"/>
    <mergeCell ref="BI3:BL3"/>
    <mergeCell ref="BM3:BP3"/>
    <mergeCell ref="BQ3:BT3"/>
    <mergeCell ref="BU3:BX3"/>
    <mergeCell ref="DE3:DH3"/>
    <mergeCell ref="DI3:DL3"/>
    <mergeCell ref="D4:I4"/>
    <mergeCell ref="M4:P4"/>
    <mergeCell ref="Q4:T4"/>
    <mergeCell ref="U4:X4"/>
    <mergeCell ref="Y4:AB4"/>
    <mergeCell ref="AC4:AF4"/>
    <mergeCell ref="AG4:AJ4"/>
    <mergeCell ref="AK4:AN4"/>
    <mergeCell ref="CC3:CF3"/>
    <mergeCell ref="CG3:CJ3"/>
    <mergeCell ref="CK3:CN3"/>
    <mergeCell ref="CO3:CR3"/>
    <mergeCell ref="CW3:CZ3"/>
    <mergeCell ref="DA3:DD3"/>
    <mergeCell ref="CG4:CJ4"/>
    <mergeCell ref="AO4:AR4"/>
    <mergeCell ref="AS4:AV4"/>
    <mergeCell ref="AW4:AZ4"/>
    <mergeCell ref="BA4:BD4"/>
    <mergeCell ref="BE4:BH4"/>
    <mergeCell ref="BI4:BL4"/>
    <mergeCell ref="BM4:BP4"/>
    <mergeCell ref="BQ4:BT4"/>
    <mergeCell ref="BU4:BX4"/>
    <mergeCell ref="BY4:CB4"/>
    <mergeCell ref="CC4:CF4"/>
    <mergeCell ref="DI4:DL4"/>
    <mergeCell ref="CK4:CN4"/>
    <mergeCell ref="CO4:CR4"/>
    <mergeCell ref="CS4:CV4"/>
    <mergeCell ref="CW4:CZ4"/>
    <mergeCell ref="DA4:DD4"/>
    <mergeCell ref="DE4:DH4"/>
  </mergeCells>
  <conditionalFormatting sqref="C4:D4 J4:K4">
    <cfRule type="containsText" dxfId="48" priority="67" operator="containsText" text="Em Discovery">
      <formula>NOT(ISERROR(SEARCH("Em Discovery",C4)))</formula>
    </cfRule>
    <cfRule type="containsText" dxfId="47" priority="68" operator="containsText" text="Cancelado">
      <formula>NOT(ISERROR(SEARCH("Cancelado",C4)))</formula>
    </cfRule>
    <cfRule type="cellIs" dxfId="46" priority="69" operator="equal">
      <formula>"Em Discovery"</formula>
    </cfRule>
    <cfRule type="cellIs" dxfId="45" priority="70" operator="equal">
      <formula>"Entregue"</formula>
    </cfRule>
    <cfRule type="cellIs" dxfId="44" priority="71" operator="equal">
      <formula>"Ideia"</formula>
    </cfRule>
    <cfRule type="cellIs" dxfId="43" priority="72" operator="equal">
      <formula>"Em Delivery"</formula>
    </cfRule>
    <cfRule type="cellIs" dxfId="42" priority="73" operator="equal">
      <formula>"Go-Live"</formula>
    </cfRule>
    <cfRule type="cellIs" dxfId="41" priority="74" operator="equal">
      <formula>"In Review"</formula>
    </cfRule>
  </conditionalFormatting>
  <conditionalFormatting sqref="J6:J305">
    <cfRule type="containsText" dxfId="40" priority="1" operator="containsText" text="Entregue">
      <formula>NOT(ISERROR(SEARCH("Entregue",J6)))</formula>
    </cfRule>
    <cfRule type="containsText" dxfId="39" priority="8" operator="containsText" text="Cancelado">
      <formula>NOT(ISERROR(SEARCH("Cancelado",J6)))</formula>
    </cfRule>
    <cfRule type="containsText" dxfId="38" priority="59" operator="containsText" text="Com impedimentos">
      <formula>NOT(ISERROR(SEARCH("Com impedimentos",J6)))</formula>
    </cfRule>
  </conditionalFormatting>
  <conditionalFormatting sqref="L1:L12">
    <cfRule type="cellIs" dxfId="37" priority="64" operator="equal">
      <formula>"G"</formula>
    </cfRule>
    <cfRule type="cellIs" dxfId="36" priority="65" operator="equal">
      <formula>"R"</formula>
    </cfRule>
    <cfRule type="cellIs" dxfId="35" priority="66" operator="equal">
      <formula>"A"</formula>
    </cfRule>
  </conditionalFormatting>
  <conditionalFormatting sqref="L14:L19 L21:L23 L25:L305">
    <cfRule type="cellIs" dxfId="34" priority="75" operator="equal">
      <formula>"G"</formula>
    </cfRule>
    <cfRule type="cellIs" dxfId="33" priority="76" operator="equal">
      <formula>"R"</formula>
    </cfRule>
    <cfRule type="cellIs" dxfId="32" priority="77" operator="equal">
      <formula>"A"</formula>
    </cfRule>
  </conditionalFormatting>
  <conditionalFormatting sqref="M6:DL305">
    <cfRule type="expression" dxfId="31" priority="33">
      <formula>AND(TODAY() - M$5 &gt;= 0, TODAY() - M$5 &lt; 7, M$5 = (TODAY() - (TODAY() - M$5)))</formula>
    </cfRule>
    <cfRule type="expression" dxfId="30" priority="58">
      <formula>AND($J6="Entregue", M$5 = $H6)</formula>
    </cfRule>
    <cfRule type="expression" dxfId="29" priority="60">
      <formula>AND($J6="Com impedimentos",$K6&gt;0, M$5 &lt;= ($G6 + ($H6 - $G6) * $K6), M$5 &gt;= $G6)</formula>
    </cfRule>
    <cfRule type="expression" dxfId="28" priority="61">
      <formula>AND($J6="Cancelado",$K6&gt;0, M$5 &lt;= ($G6 + ($H6 - $G6) * $K6), M$5 &gt;= $G6)</formula>
    </cfRule>
    <cfRule type="expression" dxfId="27" priority="62">
      <formula>AND($K6 &gt; 0, M$5 &lt;= ($G6 + ($H6 - $G6) * $K6), M$5 &gt;= $G6)</formula>
    </cfRule>
    <cfRule type="expression" dxfId="26" priority="63">
      <formula>AND(M$5 &gt;= $G6, M$5 &lt;= $H6)</formula>
    </cfRule>
  </conditionalFormatting>
  <conditionalFormatting sqref="C2">
    <cfRule type="containsText" dxfId="25" priority="50" operator="containsText" text="Em Discovery">
      <formula>NOT(ISERROR(SEARCH("Em Discovery",C2)))</formula>
    </cfRule>
    <cfRule type="containsText" dxfId="24" priority="51" operator="containsText" text="Cancelado">
      <formula>NOT(ISERROR(SEARCH("Cancelado",C2)))</formula>
    </cfRule>
    <cfRule type="cellIs" dxfId="23" priority="52" operator="equal">
      <formula>"Em Discovery"</formula>
    </cfRule>
    <cfRule type="cellIs" dxfId="22" priority="53" operator="equal">
      <formula>"Entregue"</formula>
    </cfRule>
    <cfRule type="cellIs" dxfId="21" priority="54" operator="equal">
      <formula>"Ideia"</formula>
    </cfRule>
    <cfRule type="cellIs" dxfId="20" priority="55" operator="equal">
      <formula>"Em Delivery"</formula>
    </cfRule>
    <cfRule type="cellIs" dxfId="19" priority="56" operator="equal">
      <formula>"Go-Live"</formula>
    </cfRule>
    <cfRule type="cellIs" dxfId="18" priority="57" operator="equal">
      <formula>"Em Revisão"</formula>
    </cfRule>
  </conditionalFormatting>
  <conditionalFormatting sqref="D2">
    <cfRule type="containsText" dxfId="17" priority="42" operator="containsText" text="Em Discovery">
      <formula>NOT(ISERROR(SEARCH("Em Discovery",D2)))</formula>
    </cfRule>
    <cfRule type="containsText" dxfId="16" priority="43" operator="containsText" text="Cancelado">
      <formula>NOT(ISERROR(SEARCH("Cancelado",D2)))</formula>
    </cfRule>
    <cfRule type="cellIs" dxfId="15" priority="44" operator="equal">
      <formula>"Em Discovery"</formula>
    </cfRule>
    <cfRule type="cellIs" dxfId="14" priority="45" operator="equal">
      <formula>"Entregue"</formula>
    </cfRule>
    <cfRule type="cellIs" dxfId="13" priority="46" operator="equal">
      <formula>"Ideia"</formula>
    </cfRule>
    <cfRule type="cellIs" dxfId="12" priority="47" operator="equal">
      <formula>"Em Delivery"</formula>
    </cfRule>
    <cfRule type="cellIs" dxfId="11" priority="48" operator="equal">
      <formula>"Go-Live"</formula>
    </cfRule>
    <cfRule type="cellIs" dxfId="10" priority="49" operator="equal">
      <formula>"Em Revisão"</formula>
    </cfRule>
  </conditionalFormatting>
  <conditionalFormatting sqref="F2:F3">
    <cfRule type="containsText" dxfId="9" priority="34" operator="containsText" text="Em Discovery">
      <formula>NOT(ISERROR(SEARCH("Em Discovery",F2)))</formula>
    </cfRule>
    <cfRule type="containsText" dxfId="8" priority="35" operator="containsText" text="Cancelado">
      <formula>NOT(ISERROR(SEARCH("Cancelado",F2)))</formula>
    </cfRule>
    <cfRule type="cellIs" dxfId="7" priority="36" operator="equal">
      <formula>"Em Discovery"</formula>
    </cfRule>
    <cfRule type="cellIs" dxfId="6" priority="37" operator="equal">
      <formula>"Entregue"</formula>
    </cfRule>
    <cfRule type="cellIs" dxfId="5" priority="38" operator="equal">
      <formula>"Ideia"</formula>
    </cfRule>
    <cfRule type="cellIs" dxfId="4" priority="39" operator="equal">
      <formula>"Em Delivery"</formula>
    </cfRule>
    <cfRule type="cellIs" dxfId="3" priority="40" operator="equal">
      <formula>"Go-Live"</formula>
    </cfRule>
    <cfRule type="cellIs" dxfId="2" priority="41" operator="equal">
      <formula>"Em Revisão"</formula>
    </cfRule>
  </conditionalFormatting>
  <dataValidations disablePrompts="1" count="4">
    <dataValidation type="list" allowBlank="1" showInputMessage="1" showErrorMessage="1" sqref="J2" xr:uid="{8B4DE5B3-D542-42EA-A5FD-6E73FDE664F1}">
      <formula1>"1,2,3,4"</formula1>
    </dataValidation>
    <dataValidation type="whole" allowBlank="1" showInputMessage="1" showErrorMessage="1" sqref="J3" xr:uid="{30B2A8E5-D6F0-4FE7-8751-6F2EB858AEE5}">
      <formula1>0</formula1>
      <formula2>30</formula2>
    </dataValidation>
    <dataValidation type="list" allowBlank="1" showInputMessage="1" showErrorMessage="1" sqref="J6:J1048576" xr:uid="{9BEE73A1-A8E6-4977-9900-671CECDDA2B3}">
      <formula1>Lista_Status</formula1>
    </dataValidation>
    <dataValidation type="decimal" allowBlank="1" showInputMessage="1" showErrorMessage="1" sqref="K6:K1048576" xr:uid="{80ACB634-4985-4AC4-A858-B41E4459C841}">
      <formula1>0</formula1>
      <formula2>100</formula2>
    </dataValidation>
  </dataValidations>
  <pageMargins left="0.7" right="0.7" top="0.75" bottom="0.75" header="0.3" footer="0.3"/>
  <pageSetup paperSize="9" orientation="portrait" horizontalDpi="4294967293"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EA387AD-B448-419B-A5A6-DA641047FF74}">
          <x14:formula1>
            <xm:f>'Calendário Comunidade 2025'!$A$3:$A$22</xm:f>
          </x14:formula1>
          <xm:sqref>D2:E2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4BDAF-87F8-4A57-8588-A68DC59AE9FA}">
  <sheetPr codeName="Planilha3"/>
  <dimension ref="A1:BI23"/>
  <sheetViews>
    <sheetView showGridLines="0" zoomScaleNormal="100" workbookViewId="0">
      <pane xSplit="10" ySplit="6" topLeftCell="BI7" activePane="bottomRight" state="frozen"/>
      <selection pane="topRight" activeCell="G1" sqref="G1"/>
      <selection pane="bottomLeft" activeCell="A7" sqref="A7"/>
      <selection pane="bottomRight" activeCell="B7" sqref="B7"/>
    </sheetView>
  </sheetViews>
  <sheetFormatPr defaultRowHeight="14.4" x14ac:dyDescent="0.3"/>
  <cols>
    <col min="1" max="1" width="15.21875" style="1" customWidth="1"/>
    <col min="2" max="2" width="12.77734375" style="1" bestFit="1" customWidth="1"/>
    <col min="3" max="3" width="22.88671875" style="1" bestFit="1" customWidth="1"/>
    <col min="4" max="4" width="22.88671875" style="1" customWidth="1"/>
    <col min="5" max="5" width="20.77734375" style="1" customWidth="1"/>
    <col min="6" max="7" width="25.77734375" style="1" customWidth="1"/>
    <col min="8" max="8" width="38.109375" style="1" bestFit="1" customWidth="1"/>
    <col min="9" max="9" width="13.88671875" style="1" customWidth="1"/>
    <col min="10" max="10" width="20.88671875" style="1" customWidth="1"/>
    <col min="11" max="11" width="24" style="1" bestFit="1" customWidth="1"/>
    <col min="12" max="12" width="18.6640625" style="1" customWidth="1"/>
    <col min="13" max="13" width="22.6640625" style="1" customWidth="1"/>
    <col min="14" max="14" width="12.77734375" style="1" customWidth="1"/>
    <col min="15" max="15" width="10.109375" style="1" customWidth="1"/>
    <col min="16" max="16" width="8.5546875" style="1" customWidth="1"/>
    <col min="17" max="17" width="22.77734375" style="1" bestFit="1" customWidth="1"/>
    <col min="18" max="22" width="22.77734375" style="1" customWidth="1"/>
    <col min="23" max="23" width="21.109375" style="1" bestFit="1" customWidth="1"/>
    <col min="24" max="24" width="21.109375" style="1" customWidth="1"/>
    <col min="25" max="25" width="24.77734375" style="1" customWidth="1"/>
    <col min="26" max="26" width="22" style="1" customWidth="1"/>
    <col min="27" max="27" width="22.5546875" style="1" customWidth="1"/>
    <col min="28" max="29" width="21.77734375" style="1" customWidth="1"/>
    <col min="30" max="30" width="29.88671875" style="1" customWidth="1"/>
    <col min="31" max="33" width="18.21875" style="1" customWidth="1"/>
    <col min="34" max="35" width="15.5546875" style="1" customWidth="1"/>
    <col min="36" max="36" width="33" style="1" customWidth="1"/>
    <col min="37" max="37" width="19.5546875" style="1" customWidth="1"/>
    <col min="38" max="38" width="25.88671875" style="9" customWidth="1"/>
    <col min="39" max="39" width="28.77734375" bestFit="1" customWidth="1"/>
    <col min="40" max="40" width="28.77734375" customWidth="1"/>
    <col min="41" max="41" width="19.21875" bestFit="1" customWidth="1"/>
    <col min="42" max="44" width="20.21875" bestFit="1" customWidth="1"/>
    <col min="45" max="45" width="19.21875" bestFit="1" customWidth="1"/>
    <col min="46" max="48" width="20.21875" bestFit="1" customWidth="1"/>
  </cols>
  <sheetData>
    <row r="1" spans="1:61" ht="14.4" customHeight="1" x14ac:dyDescent="0.3">
      <c r="A1" s="138" t="s">
        <v>392</v>
      </c>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row>
    <row r="2" spans="1:61" ht="14.4" customHeight="1" x14ac:dyDescent="0.3">
      <c r="A2" s="138"/>
      <c r="B2" s="138"/>
      <c r="C2" s="138"/>
      <c r="D2" s="138"/>
      <c r="E2" s="138"/>
      <c r="F2" s="138"/>
      <c r="G2" s="138"/>
      <c r="H2" s="138"/>
      <c r="I2" s="138"/>
      <c r="J2" s="138"/>
      <c r="K2" s="138"/>
      <c r="L2" s="138"/>
      <c r="M2" s="138"/>
      <c r="N2" s="138"/>
      <c r="O2" s="138"/>
      <c r="P2" s="138"/>
      <c r="Q2" s="138"/>
      <c r="R2" s="138"/>
      <c r="S2" s="138"/>
      <c r="T2" s="138"/>
      <c r="U2" s="138"/>
      <c r="V2" s="138"/>
      <c r="W2" s="138"/>
      <c r="X2" s="138"/>
      <c r="Y2" s="138"/>
      <c r="Z2" s="138"/>
      <c r="AA2" s="138"/>
      <c r="AB2" s="138"/>
      <c r="AC2" s="138"/>
      <c r="AD2" s="138"/>
      <c r="AE2" s="138"/>
      <c r="AF2" s="138"/>
      <c r="AG2" s="138"/>
      <c r="AH2" s="138"/>
      <c r="AI2" s="138"/>
      <c r="AJ2" s="138"/>
      <c r="AK2" s="138"/>
      <c r="AL2" s="138"/>
      <c r="AM2" s="138"/>
      <c r="AN2" s="138"/>
      <c r="AO2" s="138"/>
      <c r="AP2" s="138"/>
      <c r="AQ2" s="138"/>
      <c r="AR2" s="138"/>
      <c r="AS2" s="138"/>
      <c r="AT2" s="138"/>
      <c r="AU2" s="138"/>
      <c r="AV2" s="138"/>
      <c r="AW2" s="138"/>
      <c r="AX2" s="138"/>
      <c r="AY2" s="138"/>
      <c r="AZ2" s="138"/>
      <c r="BA2" s="138"/>
      <c r="BB2" s="138"/>
      <c r="BC2" s="138"/>
      <c r="BD2" s="138"/>
      <c r="BE2" s="138"/>
      <c r="BF2" s="138"/>
      <c r="BG2" s="138"/>
      <c r="BH2" s="138"/>
      <c r="BI2" s="138"/>
    </row>
    <row r="3" spans="1:61" ht="14.4" customHeight="1" x14ac:dyDescent="0.3">
      <c r="A3" s="139" t="s">
        <v>0</v>
      </c>
      <c r="B3" s="139"/>
      <c r="C3" s="139"/>
      <c r="D3" s="139"/>
      <c r="E3" s="139"/>
      <c r="F3" s="139"/>
      <c r="G3" s="139"/>
      <c r="H3" s="139"/>
      <c r="I3" s="139"/>
      <c r="J3" s="139"/>
      <c r="K3" s="139"/>
      <c r="L3" s="139"/>
      <c r="M3" s="139"/>
      <c r="N3" s="139"/>
      <c r="O3" s="139"/>
      <c r="P3" s="139"/>
      <c r="Q3" s="139"/>
      <c r="R3" s="139"/>
      <c r="S3" s="139"/>
      <c r="T3" s="139"/>
      <c r="U3" s="139"/>
      <c r="V3" s="139"/>
      <c r="W3" s="139"/>
      <c r="X3" s="139"/>
      <c r="Y3" s="139"/>
      <c r="Z3" s="139"/>
      <c r="AA3" s="139"/>
      <c r="AB3" s="139"/>
      <c r="AC3" s="139"/>
      <c r="AD3" s="139"/>
      <c r="AE3" s="139"/>
      <c r="AF3" s="139"/>
      <c r="AG3" s="139"/>
      <c r="AH3" s="139"/>
      <c r="AI3" s="139"/>
      <c r="AJ3" s="139"/>
      <c r="AK3" s="139"/>
      <c r="AL3" s="139"/>
      <c r="AM3" s="139"/>
      <c r="AN3" s="139"/>
      <c r="AO3" s="139"/>
      <c r="AP3" s="139"/>
      <c r="AQ3" s="139"/>
      <c r="AR3" s="139"/>
      <c r="AS3" s="139"/>
      <c r="AT3" s="139"/>
      <c r="AU3" s="139"/>
      <c r="AV3" s="139"/>
      <c r="AW3" s="139"/>
      <c r="AX3" s="139"/>
      <c r="AY3" s="139"/>
      <c r="AZ3" s="139"/>
      <c r="BA3" s="139"/>
      <c r="BB3" s="139"/>
      <c r="BC3" s="139"/>
      <c r="BD3" s="139"/>
      <c r="BE3" s="139"/>
      <c r="BF3" s="139"/>
      <c r="BG3" s="139"/>
      <c r="BH3" s="139"/>
    </row>
    <row r="4" spans="1:61" ht="14.4" customHeight="1" x14ac:dyDescent="0.3">
      <c r="A4" s="139"/>
      <c r="B4" s="139"/>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c r="AC4" s="139"/>
      <c r="AD4" s="139"/>
      <c r="AE4" s="139"/>
      <c r="AF4" s="139"/>
      <c r="AG4" s="139"/>
      <c r="AH4" s="139"/>
      <c r="AI4" s="139"/>
      <c r="AJ4" s="139"/>
      <c r="AK4" s="139"/>
      <c r="AL4" s="139"/>
      <c r="AM4" s="139"/>
      <c r="AN4" s="139"/>
      <c r="AO4" s="139"/>
      <c r="AP4" s="139"/>
      <c r="AQ4" s="139"/>
      <c r="AR4" s="139"/>
      <c r="AS4" s="139"/>
      <c r="AT4" s="139"/>
      <c r="AU4" s="139"/>
      <c r="AV4" s="139"/>
      <c r="AW4" s="139"/>
      <c r="AX4" s="139"/>
      <c r="AY4" s="139"/>
      <c r="AZ4" s="139"/>
      <c r="BA4" s="139"/>
      <c r="BB4" s="139"/>
      <c r="BC4" s="139"/>
      <c r="BD4" s="139"/>
      <c r="BE4" s="139"/>
      <c r="BF4" s="139"/>
      <c r="BG4" s="139"/>
      <c r="BH4" s="139"/>
    </row>
    <row r="5" spans="1:61" s="3" customFormat="1" ht="22.2" customHeight="1" x14ac:dyDescent="0.3">
      <c r="A5" s="7"/>
      <c r="B5" s="7"/>
      <c r="C5" s="7"/>
      <c r="D5" s="7"/>
      <c r="E5" s="7"/>
      <c r="F5" s="7"/>
      <c r="G5" s="7"/>
      <c r="H5" s="7"/>
      <c r="I5" s="7"/>
      <c r="J5" s="7"/>
      <c r="K5" s="7"/>
      <c r="L5" s="7"/>
      <c r="M5" s="7"/>
      <c r="N5" s="7"/>
      <c r="O5" s="7"/>
      <c r="P5" s="7"/>
      <c r="BA5" s="7"/>
      <c r="BB5" s="7"/>
      <c r="BC5" s="7"/>
      <c r="BD5" s="7"/>
      <c r="BE5" s="7"/>
      <c r="BF5" s="7"/>
      <c r="BG5" s="7"/>
      <c r="BH5" s="7"/>
    </row>
    <row r="6" spans="1:61" s="5" customFormat="1" ht="37.200000000000003" customHeight="1" x14ac:dyDescent="0.3">
      <c r="A6" s="15" t="s">
        <v>393</v>
      </c>
      <c r="B6" s="15" t="s">
        <v>439</v>
      </c>
      <c r="C6" s="6" t="s">
        <v>3</v>
      </c>
      <c r="D6" s="6" t="s">
        <v>412</v>
      </c>
      <c r="E6" s="6" t="s">
        <v>438</v>
      </c>
      <c r="F6" s="15" t="s">
        <v>12</v>
      </c>
      <c r="G6" s="15" t="s">
        <v>370</v>
      </c>
      <c r="H6" s="6" t="s">
        <v>394</v>
      </c>
      <c r="I6" s="6" t="s">
        <v>413</v>
      </c>
    </row>
    <row r="7" spans="1:61" s="16" customFormat="1" ht="49.95" customHeight="1" x14ac:dyDescent="0.3">
      <c r="A7" s="8" t="s">
        <v>368</v>
      </c>
      <c r="B7" s="8" t="s">
        <v>442</v>
      </c>
      <c r="C7" s="8" t="s">
        <v>27</v>
      </c>
      <c r="D7" s="29" t="s">
        <v>489</v>
      </c>
      <c r="E7" s="29"/>
      <c r="F7" s="8" t="s">
        <v>419</v>
      </c>
      <c r="G7" s="8" t="s">
        <v>490</v>
      </c>
      <c r="H7" s="8" t="s">
        <v>469</v>
      </c>
      <c r="I7" s="8" t="s">
        <v>52</v>
      </c>
    </row>
    <row r="8" spans="1:61" s="16" customFormat="1" ht="49.95" customHeight="1" x14ac:dyDescent="0.3">
      <c r="A8" s="8" t="s">
        <v>368</v>
      </c>
      <c r="B8" s="8" t="s">
        <v>460</v>
      </c>
      <c r="C8" s="8" t="s">
        <v>27</v>
      </c>
      <c r="D8" s="29" t="s">
        <v>491</v>
      </c>
      <c r="E8" s="29"/>
      <c r="F8" s="8" t="s">
        <v>492</v>
      </c>
      <c r="G8" s="8" t="s">
        <v>493</v>
      </c>
      <c r="H8" s="29" t="s">
        <v>467</v>
      </c>
      <c r="I8" s="8" t="s">
        <v>51</v>
      </c>
    </row>
    <row r="9" spans="1:61" s="16" customFormat="1" ht="49.95" customHeight="1" x14ac:dyDescent="0.3">
      <c r="A9" s="8" t="s">
        <v>368</v>
      </c>
      <c r="B9" s="8">
        <v>20</v>
      </c>
      <c r="C9" s="8" t="s">
        <v>31</v>
      </c>
      <c r="D9" s="8" t="s">
        <v>494</v>
      </c>
      <c r="E9" s="29"/>
      <c r="F9" s="8" t="s">
        <v>473</v>
      </c>
      <c r="G9" s="8" t="s">
        <v>475</v>
      </c>
      <c r="H9" s="8" t="s">
        <v>474</v>
      </c>
      <c r="I9" s="59" t="s">
        <v>52</v>
      </c>
    </row>
    <row r="10" spans="1:61" s="16" customFormat="1" ht="49.95" customHeight="1" x14ac:dyDescent="0.3">
      <c r="A10" s="8" t="s">
        <v>368</v>
      </c>
      <c r="B10" s="8" t="s">
        <v>482</v>
      </c>
      <c r="C10" s="8" t="s">
        <v>26</v>
      </c>
      <c r="D10" s="8" t="s">
        <v>496</v>
      </c>
      <c r="E10" s="29"/>
      <c r="F10" s="8" t="s">
        <v>497</v>
      </c>
      <c r="G10" s="8" t="s">
        <v>500</v>
      </c>
      <c r="H10" s="8" t="s">
        <v>499</v>
      </c>
      <c r="I10" s="59" t="s">
        <v>52</v>
      </c>
    </row>
    <row r="11" spans="1:61" s="16" customFormat="1" ht="49.95" customHeight="1" x14ac:dyDescent="0.3">
      <c r="A11" s="8" t="s">
        <v>368</v>
      </c>
      <c r="B11" s="8" t="s">
        <v>495</v>
      </c>
      <c r="C11" s="8" t="s">
        <v>29</v>
      </c>
      <c r="D11" s="29" t="s">
        <v>502</v>
      </c>
      <c r="E11" s="29"/>
      <c r="F11" s="29"/>
      <c r="G11" s="29"/>
      <c r="H11" s="29"/>
      <c r="I11" s="59"/>
    </row>
    <row r="12" spans="1:61" s="16" customFormat="1" ht="49.95" customHeight="1" x14ac:dyDescent="0.3">
      <c r="A12" s="1"/>
      <c r="B12" s="1"/>
      <c r="C12" s="1"/>
      <c r="D12" s="1"/>
      <c r="E12" s="1"/>
      <c r="F12" s="1"/>
      <c r="G12" s="1"/>
      <c r="H12"/>
      <c r="I12"/>
    </row>
    <row r="13" spans="1:61" x14ac:dyDescent="0.3">
      <c r="H13"/>
      <c r="I13"/>
      <c r="J13"/>
      <c r="K13"/>
      <c r="L13"/>
      <c r="M13"/>
      <c r="N13"/>
      <c r="O13"/>
      <c r="P13"/>
      <c r="Q13"/>
      <c r="R13"/>
      <c r="S13"/>
      <c r="T13"/>
      <c r="U13"/>
      <c r="V13"/>
      <c r="W13"/>
      <c r="X13"/>
      <c r="Y13"/>
      <c r="Z13"/>
      <c r="AA13"/>
      <c r="AB13"/>
      <c r="AC13"/>
      <c r="AD13"/>
      <c r="AE13"/>
      <c r="AF13"/>
      <c r="AG13"/>
      <c r="AH13"/>
      <c r="AI13"/>
      <c r="AJ13"/>
      <c r="AK13"/>
      <c r="AL13"/>
    </row>
    <row r="14" spans="1:61" x14ac:dyDescent="0.3">
      <c r="H14"/>
      <c r="I14"/>
      <c r="J14"/>
      <c r="K14"/>
      <c r="L14"/>
      <c r="M14"/>
      <c r="N14"/>
      <c r="O14"/>
      <c r="P14"/>
      <c r="Q14"/>
      <c r="R14"/>
      <c r="S14"/>
      <c r="T14"/>
      <c r="U14"/>
      <c r="V14"/>
      <c r="W14"/>
      <c r="X14"/>
      <c r="Y14"/>
      <c r="Z14"/>
      <c r="AA14"/>
      <c r="AB14"/>
      <c r="AC14"/>
      <c r="AD14"/>
      <c r="AE14"/>
      <c r="AF14"/>
      <c r="AG14"/>
      <c r="AH14"/>
      <c r="AI14"/>
      <c r="AJ14"/>
      <c r="AK14"/>
      <c r="AL14"/>
    </row>
    <row r="15" spans="1:61" x14ac:dyDescent="0.3">
      <c r="H15"/>
      <c r="I15"/>
      <c r="J15"/>
      <c r="K15"/>
      <c r="L15"/>
      <c r="M15"/>
      <c r="N15"/>
      <c r="O15"/>
      <c r="P15"/>
      <c r="Q15"/>
      <c r="R15"/>
      <c r="S15"/>
      <c r="T15"/>
      <c r="U15"/>
      <c r="V15"/>
      <c r="W15"/>
      <c r="X15"/>
      <c r="Y15"/>
      <c r="Z15"/>
      <c r="AA15"/>
      <c r="AB15"/>
      <c r="AC15"/>
      <c r="AD15"/>
      <c r="AE15"/>
      <c r="AF15"/>
      <c r="AG15"/>
      <c r="AH15"/>
      <c r="AI15"/>
      <c r="AJ15"/>
      <c r="AK15"/>
      <c r="AL15"/>
    </row>
    <row r="16" spans="1:61" x14ac:dyDescent="0.3">
      <c r="H16"/>
      <c r="I16"/>
      <c r="J16"/>
      <c r="K16"/>
      <c r="L16"/>
      <c r="M16"/>
      <c r="N16"/>
      <c r="O16"/>
      <c r="P16"/>
      <c r="Q16"/>
      <c r="R16"/>
      <c r="S16"/>
      <c r="T16"/>
      <c r="U16"/>
      <c r="V16"/>
      <c r="W16"/>
      <c r="X16"/>
      <c r="Y16"/>
      <c r="Z16"/>
      <c r="AA16"/>
      <c r="AB16"/>
      <c r="AC16"/>
      <c r="AD16"/>
      <c r="AE16"/>
      <c r="AF16"/>
      <c r="AG16"/>
      <c r="AH16"/>
      <c r="AI16"/>
      <c r="AJ16"/>
      <c r="AK16"/>
      <c r="AL16"/>
    </row>
    <row r="17" spans="8:38" x14ac:dyDescent="0.3">
      <c r="H17"/>
      <c r="I17"/>
      <c r="J17"/>
      <c r="K17"/>
      <c r="L17"/>
      <c r="M17"/>
      <c r="N17"/>
      <c r="O17"/>
      <c r="P17"/>
      <c r="Q17"/>
      <c r="R17"/>
      <c r="S17"/>
      <c r="T17"/>
      <c r="U17"/>
      <c r="V17"/>
      <c r="W17"/>
      <c r="X17"/>
      <c r="Y17"/>
      <c r="Z17"/>
      <c r="AA17"/>
      <c r="AB17"/>
      <c r="AC17"/>
      <c r="AD17"/>
      <c r="AE17"/>
      <c r="AF17"/>
      <c r="AG17"/>
      <c r="AH17"/>
      <c r="AI17"/>
      <c r="AJ17"/>
      <c r="AK17"/>
      <c r="AL17"/>
    </row>
    <row r="18" spans="8:38" x14ac:dyDescent="0.3">
      <c r="H18"/>
      <c r="I18"/>
      <c r="J18"/>
      <c r="K18"/>
      <c r="L18"/>
      <c r="M18"/>
      <c r="N18"/>
      <c r="O18"/>
      <c r="P18"/>
      <c r="Q18"/>
      <c r="R18"/>
      <c r="S18"/>
      <c r="T18"/>
      <c r="U18"/>
      <c r="V18"/>
      <c r="W18"/>
      <c r="X18"/>
      <c r="Y18"/>
      <c r="Z18"/>
      <c r="AA18"/>
      <c r="AB18"/>
      <c r="AC18"/>
      <c r="AD18"/>
      <c r="AE18"/>
      <c r="AF18"/>
      <c r="AG18"/>
      <c r="AH18"/>
      <c r="AI18"/>
      <c r="AJ18"/>
      <c r="AK18"/>
      <c r="AL18"/>
    </row>
    <row r="19" spans="8:38" x14ac:dyDescent="0.3">
      <c r="H19"/>
      <c r="I19"/>
      <c r="J19"/>
      <c r="K19"/>
      <c r="L19"/>
      <c r="M19"/>
      <c r="N19"/>
      <c r="O19"/>
      <c r="P19"/>
      <c r="Q19"/>
      <c r="R19"/>
      <c r="S19"/>
      <c r="T19"/>
      <c r="U19"/>
      <c r="V19"/>
      <c r="W19"/>
      <c r="X19"/>
      <c r="Y19"/>
      <c r="Z19"/>
      <c r="AA19"/>
      <c r="AB19"/>
      <c r="AC19"/>
      <c r="AD19"/>
      <c r="AE19"/>
      <c r="AF19"/>
      <c r="AG19"/>
      <c r="AH19"/>
      <c r="AI19"/>
      <c r="AJ19"/>
      <c r="AK19"/>
      <c r="AL19"/>
    </row>
    <row r="20" spans="8:38" x14ac:dyDescent="0.3">
      <c r="H20"/>
      <c r="I20"/>
      <c r="J20"/>
      <c r="K20"/>
      <c r="L20"/>
      <c r="M20"/>
      <c r="N20"/>
      <c r="O20"/>
      <c r="P20"/>
      <c r="Q20"/>
      <c r="R20"/>
      <c r="S20"/>
      <c r="T20"/>
      <c r="U20"/>
      <c r="V20"/>
      <c r="W20"/>
      <c r="X20"/>
      <c r="Y20"/>
      <c r="Z20"/>
      <c r="AA20"/>
      <c r="AB20"/>
      <c r="AC20"/>
      <c r="AD20"/>
      <c r="AE20"/>
      <c r="AF20"/>
      <c r="AG20"/>
      <c r="AH20"/>
      <c r="AI20"/>
      <c r="AJ20"/>
      <c r="AK20"/>
      <c r="AL20"/>
    </row>
    <row r="21" spans="8:38" x14ac:dyDescent="0.3">
      <c r="H21"/>
      <c r="I21"/>
      <c r="J21"/>
      <c r="K21"/>
      <c r="L21"/>
      <c r="M21"/>
      <c r="N21"/>
      <c r="O21"/>
      <c r="P21"/>
      <c r="Q21"/>
      <c r="R21"/>
      <c r="S21"/>
      <c r="T21"/>
      <c r="U21"/>
      <c r="V21"/>
      <c r="W21"/>
      <c r="X21"/>
      <c r="Y21"/>
      <c r="Z21"/>
      <c r="AA21"/>
      <c r="AB21"/>
      <c r="AC21"/>
      <c r="AD21"/>
      <c r="AE21"/>
      <c r="AF21"/>
      <c r="AG21"/>
      <c r="AH21"/>
      <c r="AI21"/>
      <c r="AJ21"/>
      <c r="AK21"/>
      <c r="AL21"/>
    </row>
    <row r="22" spans="8:38" x14ac:dyDescent="0.3">
      <c r="J22"/>
      <c r="K22"/>
      <c r="L22"/>
      <c r="M22"/>
      <c r="N22"/>
      <c r="O22"/>
      <c r="P22"/>
      <c r="Q22"/>
      <c r="R22"/>
      <c r="S22"/>
      <c r="T22"/>
      <c r="U22"/>
      <c r="V22"/>
      <c r="W22"/>
      <c r="X22"/>
      <c r="Y22"/>
      <c r="Z22"/>
      <c r="AA22"/>
      <c r="AB22"/>
      <c r="AC22"/>
      <c r="AD22"/>
      <c r="AE22"/>
      <c r="AF22"/>
      <c r="AG22"/>
      <c r="AH22"/>
      <c r="AI22"/>
      <c r="AJ22"/>
      <c r="AK22"/>
      <c r="AL22"/>
    </row>
    <row r="23" spans="8:38" x14ac:dyDescent="0.3">
      <c r="J23"/>
      <c r="K23"/>
      <c r="L23"/>
      <c r="M23"/>
      <c r="N23"/>
      <c r="O23"/>
      <c r="P23"/>
      <c r="Q23"/>
      <c r="R23"/>
      <c r="S23"/>
      <c r="T23"/>
      <c r="U23"/>
      <c r="V23"/>
      <c r="W23"/>
      <c r="X23"/>
      <c r="Y23"/>
      <c r="Z23"/>
      <c r="AA23"/>
      <c r="AB23"/>
      <c r="AC23"/>
      <c r="AD23"/>
      <c r="AE23"/>
      <c r="AF23"/>
      <c r="AG23"/>
      <c r="AH23"/>
      <c r="AI23"/>
      <c r="AJ23"/>
      <c r="AK23"/>
      <c r="AL23"/>
    </row>
  </sheetData>
  <mergeCells count="2">
    <mergeCell ref="A1:BI2"/>
    <mergeCell ref="A3:BH4"/>
  </mergeCells>
  <dataValidations count="12">
    <dataValidation type="list" allowBlank="1" showInputMessage="1" showErrorMessage="1" sqref="H22:H1048576 C7:C1048576" xr:uid="{776947A2-4A9F-499B-BAFD-CD9501F249FD}">
      <formula1>Lista_Produtos</formula1>
    </dataValidation>
    <dataValidation type="decimal" allowBlank="1" showInputMessage="1" showErrorMessage="1" sqref="AL24:AL1048576" xr:uid="{7696152A-75E1-42F8-93F7-67CA04ABB1DE}">
      <formula1>0</formula1>
      <formula2>100</formula2>
    </dataValidation>
    <dataValidation type="list" allowBlank="1" showInputMessage="1" showErrorMessage="1" sqref="AK24:AK1048576" xr:uid="{6A8265FF-34E4-4891-B854-B28AEBC094B7}">
      <formula1>Lista_Impacto</formula1>
    </dataValidation>
    <dataValidation type="list" allowBlank="1" showInputMessage="1" showErrorMessage="1" sqref="AG24:AG1048576" xr:uid="{C5AF851A-35CF-4C81-9AE1-2A33A4D05C90}">
      <formula1>"Sim,Não"</formula1>
    </dataValidation>
    <dataValidation type="list" allowBlank="1" showInputMessage="1" showErrorMessage="1" sqref="R24:T1048576" xr:uid="{F981F41D-7529-46B4-B902-01135E2B91AD}">
      <formula1>"Não,Sim,Não se aplica"</formula1>
    </dataValidation>
    <dataValidation type="list" allowBlank="1" showInputMessage="1" showErrorMessage="1" sqref="AO24:AV1048576" xr:uid="{2A15F6A3-7EFC-4821-AA7E-5B223E0A12C1}">
      <formula1>listaDualTrack</formula1>
    </dataValidation>
    <dataValidation type="list" allowBlank="1" showInputMessage="1" showErrorMessage="1" sqref="Q24:Q1048576 I7:I11" xr:uid="{E128B947-EC62-4868-A62E-1CC68E3AFFD0}">
      <formula1>Lista_Status</formula1>
    </dataValidation>
    <dataValidation type="list" allowBlank="1" showInputMessage="1" showErrorMessage="1" sqref="O24:O1048576" xr:uid="{FD1C0C43-A847-4EA6-B811-50806E5B5C68}">
      <formula1>Lista_Sinaleiro</formula1>
    </dataValidation>
    <dataValidation type="list" allowBlank="1" showInputMessage="1" showErrorMessage="1" sqref="N24:N1048576" xr:uid="{A152D281-B8BF-4360-9AF7-D672E20DB8D3}">
      <formula1>Lista_Orquestrado_Envolvido</formula1>
    </dataValidation>
    <dataValidation type="list" allowBlank="1" showInputMessage="1" showErrorMessage="1" sqref="M24:M1048576" xr:uid="{56D5FCDD-BAED-45A6-A9B3-BB6EF591E310}">
      <formula1>Lista_Discovery_Delivery</formula1>
    </dataValidation>
    <dataValidation type="list" allowBlank="1" showInputMessage="1" showErrorMessage="1" sqref="L24:L1048576" xr:uid="{82643761-2067-4EAA-9EFD-DA3B31CC3F00}">
      <formula1>Lista_Frente_Prioritária</formula1>
    </dataValidation>
    <dataValidation type="list" allowBlank="1" showInputMessage="1" showErrorMessage="1" sqref="K24:K1048576" xr:uid="{F818F294-2362-4E07-B1C8-EDF610861332}">
      <formula1>Lista_Classificação_da_Torre</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10" id="{493CADF6-1A01-4D98-8EC4-B52ACAF6DBA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O24:O1048576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BB19F942-67CB-4880-BB50-CA92FCA98BC0}">
          <x14:formula1>
            <xm:f>'Calendário Comunidade 2025'!$A$3:$A$22</xm:f>
          </x14:formula1>
          <xm:sqref>V24:Y1048576 A7:A1048576</xm:sqref>
        </x14:dataValidation>
        <x14:dataValidation type="list" allowBlank="1" showInputMessage="1" showErrorMessage="1" xr:uid="{8FC5B1C6-6A6C-459C-9C5D-FA88D57EFC93}">
          <x14:formula1>
            <xm:f>'Roadmap Estratégico'!$A$7:$A$1048576</xm:f>
          </x14:formula1>
          <xm:sqref>B7:B11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4"/>
  <dimension ref="A1:BE34"/>
  <sheetViews>
    <sheetView showGridLines="0" zoomScaleNormal="100" workbookViewId="0">
      <pane xSplit="6" ySplit="6" topLeftCell="AC28" activePane="bottomRight" state="frozen"/>
      <selection pane="topRight" activeCell="G1" sqref="G1"/>
      <selection pane="bottomLeft" activeCell="A7" sqref="A7"/>
      <selection pane="bottomRight" activeCell="F31" sqref="F31"/>
    </sheetView>
  </sheetViews>
  <sheetFormatPr defaultRowHeight="14.4" x14ac:dyDescent="0.3"/>
  <cols>
    <col min="1" max="1" width="9.21875" style="1" customWidth="1"/>
    <col min="2" max="2" width="22.88671875" style="1" bestFit="1" customWidth="1"/>
    <col min="3" max="3" width="9.77734375" style="1" customWidth="1"/>
    <col min="4" max="4" width="13.5546875" style="1" customWidth="1"/>
    <col min="5" max="5" width="14" style="1" customWidth="1"/>
    <col min="6" max="6" width="20.88671875" style="1" customWidth="1"/>
    <col min="7" max="7" width="24" style="1" bestFit="1" customWidth="1"/>
    <col min="8" max="8" width="18.6640625" style="1" customWidth="1"/>
    <col min="9" max="9" width="22.6640625" style="1" customWidth="1"/>
    <col min="10" max="10" width="12.77734375" style="1" customWidth="1"/>
    <col min="11" max="11" width="10.109375" style="1" customWidth="1"/>
    <col min="12" max="12" width="8.5546875" style="1" customWidth="1"/>
    <col min="13" max="13" width="22.77734375" style="1" bestFit="1" customWidth="1"/>
    <col min="14" max="18" width="22.77734375" style="1" customWidth="1"/>
    <col min="19" max="19" width="21.109375" style="1" bestFit="1" customWidth="1"/>
    <col min="20" max="20" width="21.109375" style="1" customWidth="1"/>
    <col min="21" max="21" width="24.77734375" style="1" customWidth="1"/>
    <col min="22" max="22" width="22" style="1" customWidth="1"/>
    <col min="23" max="23" width="22.5546875" style="1" customWidth="1"/>
    <col min="24" max="25" width="21.77734375" style="1" customWidth="1"/>
    <col min="26" max="26" width="29.88671875" style="1" customWidth="1"/>
    <col min="27" max="29" width="18.21875" style="1" customWidth="1"/>
    <col min="30" max="31" width="15.5546875" style="1" customWidth="1"/>
    <col min="32" max="32" width="33" style="1" customWidth="1"/>
    <col min="33" max="33" width="19.5546875" style="1" customWidth="1"/>
    <col min="34" max="34" width="25.88671875" style="9" customWidth="1"/>
    <col min="35" max="35" width="28.77734375" bestFit="1" customWidth="1"/>
    <col min="36" max="36" width="28.77734375" customWidth="1"/>
    <col min="37" max="37" width="19.21875" bestFit="1" customWidth="1"/>
    <col min="38" max="40" width="20.21875" bestFit="1" customWidth="1"/>
    <col min="41" max="41" width="19.21875" bestFit="1" customWidth="1"/>
    <col min="42" max="44" width="20.21875" bestFit="1" customWidth="1"/>
  </cols>
  <sheetData>
    <row r="1" spans="1:57" ht="14.4" customHeight="1" x14ac:dyDescent="0.3">
      <c r="A1" s="138" t="s">
        <v>390</v>
      </c>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row>
    <row r="2" spans="1:57" ht="14.4" customHeight="1" x14ac:dyDescent="0.3">
      <c r="A2" s="138"/>
      <c r="B2" s="138"/>
      <c r="C2" s="138"/>
      <c r="D2" s="138"/>
      <c r="E2" s="138"/>
      <c r="F2" s="138"/>
      <c r="G2" s="138"/>
      <c r="H2" s="138"/>
      <c r="I2" s="138"/>
      <c r="J2" s="138"/>
      <c r="K2" s="138"/>
      <c r="L2" s="138"/>
      <c r="M2" s="138"/>
      <c r="N2" s="138"/>
      <c r="O2" s="138"/>
      <c r="P2" s="138"/>
      <c r="Q2" s="138"/>
      <c r="R2" s="138"/>
      <c r="S2" s="138"/>
      <c r="T2" s="138"/>
      <c r="U2" s="138"/>
      <c r="V2" s="138"/>
      <c r="W2" s="138"/>
      <c r="X2" s="138"/>
      <c r="Y2" s="138"/>
      <c r="Z2" s="138"/>
      <c r="AA2" s="138"/>
      <c r="AB2" s="138"/>
      <c r="AC2" s="138"/>
      <c r="AD2" s="138"/>
      <c r="AE2" s="138"/>
      <c r="AF2" s="138"/>
      <c r="AG2" s="138"/>
      <c r="AH2" s="138"/>
      <c r="AI2" s="138"/>
      <c r="AJ2" s="138"/>
      <c r="AK2" s="138"/>
      <c r="AL2" s="138"/>
      <c r="AM2" s="138"/>
      <c r="AN2" s="138"/>
      <c r="AO2" s="138"/>
      <c r="AP2" s="138"/>
      <c r="AQ2" s="138"/>
      <c r="AR2" s="138"/>
      <c r="AS2" s="138"/>
      <c r="AT2" s="138"/>
      <c r="AU2" s="138"/>
      <c r="AV2" s="138"/>
      <c r="AW2" s="138"/>
      <c r="AX2" s="138"/>
      <c r="AY2" s="138"/>
      <c r="AZ2" s="138"/>
      <c r="BA2" s="138"/>
      <c r="BB2" s="138"/>
      <c r="BC2" s="138"/>
      <c r="BD2" s="138"/>
      <c r="BE2" s="138"/>
    </row>
    <row r="3" spans="1:57" ht="14.4" customHeight="1" x14ac:dyDescent="0.3">
      <c r="A3" s="139" t="s">
        <v>0</v>
      </c>
      <c r="B3" s="139"/>
      <c r="C3" s="139"/>
      <c r="D3" s="139"/>
      <c r="E3" s="139"/>
      <c r="F3" s="139"/>
      <c r="G3" s="139"/>
      <c r="H3" s="139"/>
      <c r="I3" s="139"/>
      <c r="J3" s="139"/>
      <c r="K3" s="139"/>
      <c r="L3" s="139"/>
      <c r="M3" s="139"/>
      <c r="N3" s="139"/>
      <c r="O3" s="139"/>
      <c r="P3" s="139"/>
      <c r="Q3" s="139"/>
      <c r="R3" s="139"/>
      <c r="S3" s="139"/>
      <c r="T3" s="139"/>
      <c r="U3" s="139"/>
      <c r="V3" s="139"/>
      <c r="W3" s="139"/>
      <c r="X3" s="139"/>
      <c r="Y3" s="139"/>
      <c r="Z3" s="139"/>
      <c r="AA3" s="139"/>
      <c r="AB3" s="139"/>
      <c r="AC3" s="139"/>
      <c r="AD3" s="139"/>
      <c r="AE3" s="139"/>
      <c r="AF3" s="139"/>
      <c r="AG3" s="139"/>
      <c r="AH3" s="139"/>
      <c r="AI3" s="139"/>
      <c r="AJ3" s="139"/>
      <c r="AK3" s="139"/>
      <c r="AL3" s="139"/>
      <c r="AM3" s="139"/>
      <c r="AN3" s="139"/>
      <c r="AO3" s="139"/>
      <c r="AP3" s="139"/>
      <c r="AQ3" s="139"/>
      <c r="AR3" s="139"/>
      <c r="AS3" s="139"/>
      <c r="AT3" s="139"/>
      <c r="AU3" s="139"/>
      <c r="AV3" s="139"/>
      <c r="AW3" s="139"/>
      <c r="AX3" s="139"/>
      <c r="AY3" s="139"/>
      <c r="AZ3" s="139"/>
      <c r="BA3" s="139"/>
      <c r="BB3" s="139"/>
      <c r="BC3" s="139"/>
      <c r="BD3" s="139"/>
    </row>
    <row r="4" spans="1:57" ht="14.4" customHeight="1" x14ac:dyDescent="0.3">
      <c r="A4" s="139"/>
      <c r="B4" s="139"/>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c r="AC4" s="139"/>
      <c r="AD4" s="139"/>
      <c r="AE4" s="139"/>
      <c r="AF4" s="139"/>
      <c r="AG4" s="139"/>
      <c r="AH4" s="139"/>
      <c r="AI4" s="139"/>
      <c r="AJ4" s="139"/>
      <c r="AK4" s="139"/>
      <c r="AL4" s="139"/>
      <c r="AM4" s="139"/>
      <c r="AN4" s="139"/>
      <c r="AO4" s="139"/>
      <c r="AP4" s="139"/>
      <c r="AQ4" s="139"/>
      <c r="AR4" s="139"/>
      <c r="AS4" s="139"/>
      <c r="AT4" s="139"/>
      <c r="AU4" s="139"/>
      <c r="AV4" s="139"/>
      <c r="AW4" s="139"/>
      <c r="AX4" s="139"/>
      <c r="AY4" s="139"/>
      <c r="AZ4" s="139"/>
      <c r="BA4" s="139"/>
      <c r="BB4" s="139"/>
      <c r="BC4" s="139"/>
      <c r="BD4" s="139"/>
    </row>
    <row r="5" spans="1:57" s="3" customFormat="1" ht="22.2" customHeight="1" x14ac:dyDescent="0.3">
      <c r="A5" s="7"/>
      <c r="B5" s="7"/>
      <c r="C5" s="7"/>
      <c r="D5" s="7"/>
      <c r="E5" s="7"/>
      <c r="F5" s="7"/>
      <c r="G5" s="7"/>
      <c r="H5" s="7"/>
      <c r="I5" s="7"/>
      <c r="J5" s="7"/>
      <c r="K5" s="7"/>
      <c r="L5" s="7"/>
      <c r="N5" s="142" t="s">
        <v>344</v>
      </c>
      <c r="O5" s="142"/>
      <c r="P5" s="142"/>
      <c r="Q5" s="142"/>
      <c r="R5" s="158" t="s">
        <v>74</v>
      </c>
      <c r="S5" s="158"/>
      <c r="T5" s="158"/>
      <c r="U5" s="158"/>
      <c r="V5" s="158"/>
      <c r="W5" s="158"/>
      <c r="X5" s="158"/>
      <c r="Y5" s="157" t="s">
        <v>127</v>
      </c>
      <c r="Z5" s="157"/>
      <c r="AA5" s="161" t="s">
        <v>16</v>
      </c>
      <c r="AB5" s="161"/>
      <c r="AC5" s="161"/>
      <c r="AD5" s="161"/>
      <c r="AE5" s="161"/>
      <c r="AF5" s="22" t="s">
        <v>129</v>
      </c>
      <c r="AG5" s="160" t="s">
        <v>17</v>
      </c>
      <c r="AH5" s="160"/>
      <c r="AI5" s="160"/>
      <c r="AJ5" s="37" t="s">
        <v>356</v>
      </c>
      <c r="AK5" s="159" t="s">
        <v>107</v>
      </c>
      <c r="AL5" s="159"/>
      <c r="AM5" s="159"/>
      <c r="AN5" s="159"/>
      <c r="AO5" s="159" t="s">
        <v>113</v>
      </c>
      <c r="AP5" s="159"/>
      <c r="AQ5" s="159"/>
      <c r="AR5" s="159"/>
      <c r="AS5" s="7"/>
      <c r="AT5" s="7"/>
      <c r="AU5" s="7"/>
      <c r="AV5" s="7"/>
      <c r="AW5" s="7"/>
      <c r="AX5" s="7"/>
      <c r="AY5" s="7"/>
      <c r="AZ5" s="7"/>
      <c r="BA5" s="7"/>
      <c r="BB5" s="7"/>
      <c r="BC5" s="7"/>
      <c r="BD5" s="7"/>
    </row>
    <row r="6" spans="1:57" s="5" customFormat="1" ht="37.200000000000003" customHeight="1" x14ac:dyDescent="0.3">
      <c r="A6" s="6" t="s">
        <v>132</v>
      </c>
      <c r="B6" s="6" t="s">
        <v>1</v>
      </c>
      <c r="C6" s="6" t="s">
        <v>2</v>
      </c>
      <c r="D6" s="6" t="s">
        <v>3</v>
      </c>
      <c r="E6" s="6" t="s">
        <v>4</v>
      </c>
      <c r="F6" s="6" t="s">
        <v>5</v>
      </c>
      <c r="G6" s="6" t="s">
        <v>6</v>
      </c>
      <c r="H6" s="6" t="s">
        <v>7</v>
      </c>
      <c r="I6" s="6" t="s">
        <v>8</v>
      </c>
      <c r="J6" s="15" t="s">
        <v>9</v>
      </c>
      <c r="K6" s="6" t="s">
        <v>10</v>
      </c>
      <c r="L6" s="15" t="s">
        <v>91</v>
      </c>
      <c r="M6" s="6" t="s">
        <v>11</v>
      </c>
      <c r="N6" s="6" t="s">
        <v>343</v>
      </c>
      <c r="O6" s="6" t="s">
        <v>346</v>
      </c>
      <c r="P6" s="15" t="s">
        <v>345</v>
      </c>
      <c r="Q6" s="15" t="s">
        <v>350</v>
      </c>
      <c r="R6" s="6" t="s">
        <v>70</v>
      </c>
      <c r="S6" s="6" t="s">
        <v>72</v>
      </c>
      <c r="T6" s="6" t="s">
        <v>71</v>
      </c>
      <c r="U6" s="6" t="s">
        <v>73</v>
      </c>
      <c r="V6" s="15" t="s">
        <v>141</v>
      </c>
      <c r="W6" s="15" t="s">
        <v>121</v>
      </c>
      <c r="X6" s="15" t="s">
        <v>122</v>
      </c>
      <c r="Y6" s="6" t="s">
        <v>15</v>
      </c>
      <c r="Z6" s="6" t="s">
        <v>126</v>
      </c>
      <c r="AA6" s="15" t="s">
        <v>12</v>
      </c>
      <c r="AB6" s="15" t="s">
        <v>370</v>
      </c>
      <c r="AC6" s="15" t="s">
        <v>374</v>
      </c>
      <c r="AD6" s="6" t="s">
        <v>13</v>
      </c>
      <c r="AE6" s="6" t="s">
        <v>14</v>
      </c>
      <c r="AF6" s="6" t="s">
        <v>129</v>
      </c>
      <c r="AG6" s="15" t="s">
        <v>18</v>
      </c>
      <c r="AH6" s="6" t="s">
        <v>274</v>
      </c>
      <c r="AI6" s="6" t="s">
        <v>20</v>
      </c>
      <c r="AJ6" s="6" t="s">
        <v>356</v>
      </c>
      <c r="AK6" s="15" t="s">
        <v>275</v>
      </c>
      <c r="AL6" s="15" t="s">
        <v>276</v>
      </c>
      <c r="AM6" s="15" t="s">
        <v>277</v>
      </c>
      <c r="AN6" s="15" t="s">
        <v>278</v>
      </c>
      <c r="AO6" s="15" t="s">
        <v>279</v>
      </c>
      <c r="AP6" s="15" t="s">
        <v>280</v>
      </c>
      <c r="AQ6" s="15" t="s">
        <v>281</v>
      </c>
      <c r="AR6" s="15" t="s">
        <v>282</v>
      </c>
    </row>
    <row r="7" spans="1:57" s="16" customFormat="1" ht="70.05" customHeight="1" x14ac:dyDescent="0.3">
      <c r="A7" s="8">
        <f>ROW()</f>
        <v>7</v>
      </c>
      <c r="B7" s="8" t="s">
        <v>21</v>
      </c>
      <c r="C7" s="8" t="s">
        <v>25</v>
      </c>
      <c r="D7" s="8" t="s">
        <v>26</v>
      </c>
      <c r="E7" s="8" t="s">
        <v>60</v>
      </c>
      <c r="F7" s="8" t="s">
        <v>61</v>
      </c>
      <c r="G7" s="8" t="s">
        <v>34</v>
      </c>
      <c r="H7" s="8" t="s">
        <v>36</v>
      </c>
      <c r="I7" s="8" t="s">
        <v>38</v>
      </c>
      <c r="J7" s="8" t="s">
        <v>43</v>
      </c>
      <c r="K7" s="8" t="s">
        <v>46</v>
      </c>
      <c r="L7" s="8">
        <f t="shared" ref="L7:L9" si="0">IF(K7="Ruim",1,IF(K7="Médio",2,IF(K7="Bom",3,IF(K7="Excelente",4,""))))</f>
        <v>2</v>
      </c>
      <c r="M7" s="8" t="s">
        <v>53</v>
      </c>
      <c r="N7" s="8" t="s">
        <v>347</v>
      </c>
      <c r="O7" s="8" t="s">
        <v>348</v>
      </c>
      <c r="P7" s="8" t="s">
        <v>347</v>
      </c>
      <c r="Q7" s="8"/>
      <c r="R7" s="8" t="s">
        <v>118</v>
      </c>
      <c r="S7" s="8" t="s">
        <v>119</v>
      </c>
      <c r="T7" s="8" t="s">
        <v>118</v>
      </c>
      <c r="U7" s="8" t="s">
        <v>120</v>
      </c>
      <c r="V7" s="8" t="str">
        <f t="shared" ref="V7:V11" si="1">IF(AND(R7&lt;&gt;"",T7&lt;&gt;""),
    _xlfn.LET(
        _xlpm.ini,SUBSTITUTE(LEFT(R7,SEARCH("S",R7)+1)," ",""),
        _xlpm.fim,SUBSTITUTE(LEFT(T7,SEARCH("S",T7)+1)," ",""),
        _xlpm.rIni,VALUE(MID(_xlpm.ini,2,1)),
        _xlpm.sIni,VALUE(RIGHT(_xlpm.ini,1)),
        _xlpm.rFim,VALUE(MID(_xlpm.fim,2,1)),
        _xlpm.sFim,VALUE(RIGHT(_xlpm.fim,1)),
        _xlpm.total,((_xlpm.rFim-1)*4 + _xlpm.sFim) - ((_xlpm.rIni-1)*4 + _xlpm.sIni) + 1,
        _xlpm.total &amp; " sprint" &amp; IF(_xlpm.total&gt;1,"s","")
    ),
"")</f>
        <v>1 sprint</v>
      </c>
      <c r="W7" s="8" t="str">
        <f t="shared" ref="W7:W13" si="2">IF(AND(R7&lt;&gt;"",U7&lt;&gt;""),
    _xlfn.LET(
        _xlpm.ini,SUBSTITUTE(LEFT(R7,SEARCH("S",R7)+1)," ",""),
        _xlpm.fim,SUBSTITUTE(LEFT(U7,SEARCH("S",U7)+1)," ",""),
        _xlpm.rIni,VALUE(MID(_xlpm.ini,2,1)),
        _xlpm.sIni,VALUE(RIGHT(_xlpm.ini,1)),
        _xlpm.rFim,VALUE(MID(_xlpm.fim,2,1)),
        _xlpm.sFim,VALUE(RIGHT(_xlpm.fim,1)),
        _xlpm.total,((_xlpm.rFim-1)*4 + _xlpm.sFim) - ((_xlpm.rIni-1)*4 + _xlpm.sIni) + 1,
        _xlpm.total &amp; " sprint" &amp; IF(_xlpm.total&gt;1,"s","")
    ),
"")</f>
        <v>3 sprints</v>
      </c>
      <c r="X7" s="8" t="str">
        <f t="shared" ref="X7:X11" si="3">IF(AND(S7&lt;&gt;"",U7&lt;&gt;""),
    _xlfn.LET(
        _xlpm.ini,SUBSTITUTE(LEFT(S7,SEARCH("S",S7)+1)," ",""),
        _xlpm.fim,SUBSTITUTE(LEFT(U7,SEARCH("S",U7)+1)," ",""),
        _xlpm.rIni,VALUE(MID(_xlpm.ini,2,1)),
        _xlpm.sIni,VALUE(RIGHT(_xlpm.ini,1)),
        _xlpm.rFim,VALUE(MID(_xlpm.fim,2,1)),
        _xlpm.sFim,VALUE(RIGHT(_xlpm.fim,1)),
        _xlpm.total,((_xlpm.rFim-1)*4 + _xlpm.sFim) - ((_xlpm.rIni-1)*4 + _xlpm.sIni) + 1,
        _xlpm.total &amp; " sprint" &amp; IF(_xlpm.total&gt;1,"s","")
    ),
"")</f>
        <v>2 sprints</v>
      </c>
      <c r="Y7" s="8"/>
      <c r="Z7" s="8"/>
      <c r="AA7" s="8"/>
      <c r="AB7" s="8"/>
      <c r="AC7" s="8"/>
      <c r="AD7" s="8"/>
      <c r="AE7" s="8"/>
      <c r="AF7" s="8"/>
      <c r="AG7" s="8"/>
      <c r="AH7" s="8"/>
      <c r="AI7" s="23"/>
      <c r="AJ7" s="23"/>
      <c r="AK7" s="8"/>
      <c r="AL7" s="8"/>
      <c r="AM7" s="8"/>
      <c r="AN7" s="8"/>
      <c r="AO7" s="8"/>
      <c r="AP7" s="8"/>
      <c r="AQ7" s="8"/>
      <c r="AR7" s="8"/>
    </row>
    <row r="8" spans="1:57" s="16" customFormat="1" ht="70.05" customHeight="1" x14ac:dyDescent="0.3">
      <c r="A8" s="8">
        <f>ROW()</f>
        <v>8</v>
      </c>
      <c r="B8" s="8" t="s">
        <v>21</v>
      </c>
      <c r="C8" s="8" t="s">
        <v>25</v>
      </c>
      <c r="D8" s="8" t="s">
        <v>26</v>
      </c>
      <c r="E8" s="8" t="s">
        <v>60</v>
      </c>
      <c r="F8" s="8" t="s">
        <v>61</v>
      </c>
      <c r="G8" s="8" t="s">
        <v>34</v>
      </c>
      <c r="H8" s="8" t="s">
        <v>36</v>
      </c>
      <c r="I8" s="8" t="s">
        <v>39</v>
      </c>
      <c r="J8" s="8" t="s">
        <v>43</v>
      </c>
      <c r="K8" s="8" t="s">
        <v>45</v>
      </c>
      <c r="L8" s="8">
        <f>IF(K8="Ruim",1,IF(K8="Médio",2,IF(K8="Bom",3,IF(K8="Excelente",4,""))))</f>
        <v>1</v>
      </c>
      <c r="M8" s="8" t="s">
        <v>53</v>
      </c>
      <c r="N8" s="8" t="s">
        <v>347</v>
      </c>
      <c r="O8" s="8" t="s">
        <v>348</v>
      </c>
      <c r="P8" s="8" t="s">
        <v>347</v>
      </c>
      <c r="Q8" s="8"/>
      <c r="R8" s="8" t="s">
        <v>118</v>
      </c>
      <c r="S8" s="8" t="s">
        <v>119</v>
      </c>
      <c r="T8" s="8" t="s">
        <v>118</v>
      </c>
      <c r="U8" s="8" t="s">
        <v>120</v>
      </c>
      <c r="V8" s="8" t="str">
        <f t="shared" si="1"/>
        <v>1 sprint</v>
      </c>
      <c r="W8" s="8" t="str">
        <f t="shared" si="2"/>
        <v>3 sprints</v>
      </c>
      <c r="X8" s="8" t="str">
        <f>IF(AND(S8&lt;&gt;"",U8&lt;&gt;""),
    _xlfn.LET(
        _xlpm.ini,SUBSTITUTE(LEFT(S8,SEARCH("S",S8)+1)," ",""),
        _xlpm.fim,SUBSTITUTE(LEFT(U8,SEARCH("S",U8)+1)," ",""),
        _xlpm.rIni,VALUE(MID(_xlpm.ini,2,1)),
        _xlpm.sIni,VALUE(RIGHT(_xlpm.ini,1)),
        _xlpm.rFim,VALUE(MID(_xlpm.fim,2,1)),
        _xlpm.sFim,VALUE(RIGHT(_xlpm.fim,1)),
        _xlpm.total,((_xlpm.rFim-1)*4 + _xlpm.sFim) - ((_xlpm.rIni-1)*4 + _xlpm.sIni) + 1,
        _xlpm.total &amp; " sprint" &amp; IF(_xlpm.total&gt;1,"s","")
    ),
"")</f>
        <v>2 sprints</v>
      </c>
      <c r="Y8" s="8"/>
      <c r="Z8" s="8"/>
      <c r="AA8" s="8"/>
      <c r="AB8" s="8"/>
      <c r="AC8" s="8"/>
      <c r="AD8" s="8"/>
      <c r="AE8" s="8"/>
      <c r="AF8" s="8"/>
      <c r="AG8" s="8"/>
      <c r="AH8" s="8"/>
      <c r="AI8" s="23"/>
      <c r="AJ8" s="23"/>
      <c r="AK8" s="8"/>
      <c r="AL8" s="8"/>
      <c r="AM8" s="8"/>
      <c r="AN8" s="8"/>
      <c r="AO8" s="8"/>
      <c r="AP8" s="8"/>
      <c r="AQ8" s="8"/>
      <c r="AR8" s="8"/>
    </row>
    <row r="9" spans="1:57" s="16" customFormat="1" ht="70.05" customHeight="1" x14ac:dyDescent="0.3">
      <c r="A9" s="8">
        <f>ROW()</f>
        <v>9</v>
      </c>
      <c r="B9" s="8" t="s">
        <v>21</v>
      </c>
      <c r="C9" s="8" t="s">
        <v>25</v>
      </c>
      <c r="D9" s="8" t="s">
        <v>26</v>
      </c>
      <c r="E9" s="8" t="s">
        <v>123</v>
      </c>
      <c r="F9" s="8" t="s">
        <v>124</v>
      </c>
      <c r="G9" s="8" t="s">
        <v>34</v>
      </c>
      <c r="H9" s="8" t="s">
        <v>36</v>
      </c>
      <c r="I9" s="8" t="s">
        <v>39</v>
      </c>
      <c r="J9" s="8" t="s">
        <v>43</v>
      </c>
      <c r="K9" s="8" t="s">
        <v>45</v>
      </c>
      <c r="L9" s="8">
        <f t="shared" si="0"/>
        <v>1</v>
      </c>
      <c r="M9" s="8" t="s">
        <v>53</v>
      </c>
      <c r="N9" s="8" t="s">
        <v>349</v>
      </c>
      <c r="O9" s="8" t="s">
        <v>349</v>
      </c>
      <c r="P9" s="8" t="s">
        <v>349</v>
      </c>
      <c r="Q9" s="8"/>
      <c r="R9" s="8" t="s">
        <v>118</v>
      </c>
      <c r="S9" s="8" t="s">
        <v>119</v>
      </c>
      <c r="T9" s="8" t="s">
        <v>118</v>
      </c>
      <c r="U9" s="8" t="s">
        <v>120</v>
      </c>
      <c r="V9" s="8" t="str">
        <f t="shared" si="1"/>
        <v>1 sprint</v>
      </c>
      <c r="W9" s="8" t="str">
        <f t="shared" si="2"/>
        <v>3 sprints</v>
      </c>
      <c r="X9" s="8" t="str">
        <f t="shared" si="3"/>
        <v>2 sprints</v>
      </c>
      <c r="Y9" s="21" t="s">
        <v>133</v>
      </c>
      <c r="Z9" s="8" t="s">
        <v>128</v>
      </c>
      <c r="AA9" s="8" t="s">
        <v>134</v>
      </c>
      <c r="AB9" s="8"/>
      <c r="AC9" s="8"/>
      <c r="AD9" s="24"/>
      <c r="AE9" s="8"/>
      <c r="AF9" s="8" t="s">
        <v>135</v>
      </c>
      <c r="AG9" s="8"/>
      <c r="AH9" s="8"/>
      <c r="AI9" s="23"/>
      <c r="AJ9" s="23"/>
      <c r="AK9" s="8"/>
      <c r="AL9" s="8"/>
      <c r="AM9" s="8"/>
      <c r="AN9" s="8" t="s">
        <v>285</v>
      </c>
      <c r="AO9" s="8" t="s">
        <v>286</v>
      </c>
      <c r="AP9" s="8" t="s">
        <v>287</v>
      </c>
      <c r="AQ9" s="8"/>
      <c r="AR9" s="8"/>
    </row>
    <row r="10" spans="1:57" s="16" customFormat="1" ht="70.05" customHeight="1" x14ac:dyDescent="0.3">
      <c r="A10" s="8">
        <f>ROW()</f>
        <v>10</v>
      </c>
      <c r="B10" s="8" t="s">
        <v>21</v>
      </c>
      <c r="C10" s="8" t="s">
        <v>24</v>
      </c>
      <c r="D10" s="8" t="s">
        <v>26</v>
      </c>
      <c r="E10" s="8" t="s">
        <v>123</v>
      </c>
      <c r="F10" s="8" t="s">
        <v>125</v>
      </c>
      <c r="G10" s="8" t="s">
        <v>34</v>
      </c>
      <c r="H10" s="8" t="s">
        <v>36</v>
      </c>
      <c r="I10" s="8" t="s">
        <v>39</v>
      </c>
      <c r="J10" s="8" t="s">
        <v>43</v>
      </c>
      <c r="K10" s="8" t="s">
        <v>47</v>
      </c>
      <c r="L10" s="8">
        <f t="shared" ref="L10:L28" si="4">IF(K10="Ruim",1,IF(K10="Médio",2,IF(K10="Bom",3,IF(K10="Excelente",4,""))))</f>
        <v>3</v>
      </c>
      <c r="M10" s="8" t="s">
        <v>53</v>
      </c>
      <c r="N10" s="8" t="s">
        <v>349</v>
      </c>
      <c r="O10" s="8" t="s">
        <v>349</v>
      </c>
      <c r="P10" s="8" t="s">
        <v>347</v>
      </c>
      <c r="Q10" s="8"/>
      <c r="R10" s="8" t="s">
        <v>120</v>
      </c>
      <c r="S10" s="8" t="s">
        <v>120</v>
      </c>
      <c r="T10" s="8" t="s">
        <v>120</v>
      </c>
      <c r="U10" s="8" t="s">
        <v>120</v>
      </c>
      <c r="V10" s="8" t="str">
        <f t="shared" si="1"/>
        <v>1 sprint</v>
      </c>
      <c r="W10" s="8" t="str">
        <f t="shared" si="2"/>
        <v>1 sprint</v>
      </c>
      <c r="X10" s="8" t="str">
        <f t="shared" si="3"/>
        <v>1 sprint</v>
      </c>
      <c r="Y10" s="8" t="s">
        <v>136</v>
      </c>
      <c r="Z10" s="8" t="s">
        <v>128</v>
      </c>
      <c r="AA10" s="8" t="s">
        <v>137</v>
      </c>
      <c r="AB10" s="8"/>
      <c r="AC10" s="8"/>
      <c r="AD10" s="8"/>
      <c r="AE10" s="8"/>
      <c r="AF10" s="8" t="s">
        <v>138</v>
      </c>
      <c r="AG10" s="8"/>
      <c r="AH10" s="8"/>
      <c r="AI10" s="23"/>
      <c r="AJ10" s="23"/>
      <c r="AK10" s="8"/>
      <c r="AL10" s="8"/>
      <c r="AM10" s="8"/>
      <c r="AN10" s="8"/>
      <c r="AO10" s="8" t="s">
        <v>287</v>
      </c>
      <c r="AP10" s="8"/>
      <c r="AQ10" s="8"/>
      <c r="AR10" s="8"/>
    </row>
    <row r="11" spans="1:57" s="16" customFormat="1" ht="70.05" customHeight="1" x14ac:dyDescent="0.3">
      <c r="A11" s="8">
        <f>ROW()</f>
        <v>11</v>
      </c>
      <c r="B11" s="8" t="s">
        <v>21</v>
      </c>
      <c r="C11" s="8" t="s">
        <v>25</v>
      </c>
      <c r="D11" s="8" t="s">
        <v>26</v>
      </c>
      <c r="E11" s="8" t="s">
        <v>130</v>
      </c>
      <c r="F11" s="8" t="s">
        <v>131</v>
      </c>
      <c r="G11" s="8" t="s">
        <v>34</v>
      </c>
      <c r="H11" s="8" t="s">
        <v>37</v>
      </c>
      <c r="I11" s="8" t="s">
        <v>39</v>
      </c>
      <c r="J11" s="8" t="s">
        <v>43</v>
      </c>
      <c r="K11" s="8" t="s">
        <v>45</v>
      </c>
      <c r="L11" s="8">
        <f t="shared" si="4"/>
        <v>1</v>
      </c>
      <c r="M11" s="8" t="s">
        <v>53</v>
      </c>
      <c r="N11" s="8" t="s">
        <v>349</v>
      </c>
      <c r="O11" s="8" t="s">
        <v>349</v>
      </c>
      <c r="P11" s="8" t="s">
        <v>349</v>
      </c>
      <c r="Q11" s="8"/>
      <c r="R11" s="8" t="s">
        <v>120</v>
      </c>
      <c r="S11" s="8" t="s">
        <v>120</v>
      </c>
      <c r="T11" s="8" t="s">
        <v>120</v>
      </c>
      <c r="U11" s="8" t="s">
        <v>140</v>
      </c>
      <c r="V11" s="8" t="str">
        <f t="shared" si="1"/>
        <v>1 sprint</v>
      </c>
      <c r="W11" s="8" t="str">
        <f t="shared" si="2"/>
        <v>2 sprints</v>
      </c>
      <c r="X11" s="8" t="str">
        <f t="shared" si="3"/>
        <v>2 sprints</v>
      </c>
      <c r="Y11" s="8"/>
      <c r="Z11" s="8" t="s">
        <v>139</v>
      </c>
      <c r="AA11" s="8"/>
      <c r="AB11" s="8"/>
      <c r="AC11" s="8"/>
      <c r="AD11" s="24">
        <v>45777</v>
      </c>
      <c r="AE11" s="8"/>
      <c r="AF11" s="8"/>
      <c r="AG11" s="8"/>
      <c r="AH11" s="8"/>
      <c r="AI11" s="23"/>
      <c r="AJ11" s="23"/>
      <c r="AK11" s="8"/>
      <c r="AL11" s="8"/>
      <c r="AM11" s="8"/>
      <c r="AN11" s="8"/>
      <c r="AO11" s="8" t="s">
        <v>285</v>
      </c>
      <c r="AP11" s="8" t="s">
        <v>291</v>
      </c>
      <c r="AQ11" s="8"/>
      <c r="AR11" s="8"/>
    </row>
    <row r="12" spans="1:57" ht="70.05" customHeight="1" x14ac:dyDescent="0.3">
      <c r="A12" s="8">
        <f>ROW()</f>
        <v>12</v>
      </c>
      <c r="B12" s="8" t="s">
        <v>21</v>
      </c>
      <c r="C12" s="8" t="s">
        <v>25</v>
      </c>
      <c r="D12" s="8" t="s">
        <v>26</v>
      </c>
      <c r="E12" s="8" t="s">
        <v>269</v>
      </c>
      <c r="F12" s="8" t="s">
        <v>270</v>
      </c>
      <c r="G12" s="8" t="s">
        <v>34</v>
      </c>
      <c r="H12" s="8" t="s">
        <v>36</v>
      </c>
      <c r="I12" s="8" t="s">
        <v>38</v>
      </c>
      <c r="J12" s="8" t="s">
        <v>43</v>
      </c>
      <c r="K12" s="8" t="s">
        <v>46</v>
      </c>
      <c r="L12" s="8">
        <f t="shared" si="4"/>
        <v>2</v>
      </c>
      <c r="M12" s="8" t="s">
        <v>53</v>
      </c>
      <c r="N12" s="8" t="s">
        <v>349</v>
      </c>
      <c r="O12" s="8" t="s">
        <v>349</v>
      </c>
      <c r="P12" s="8" t="s">
        <v>349</v>
      </c>
      <c r="Q12" s="8"/>
      <c r="R12" s="8" t="s">
        <v>120</v>
      </c>
      <c r="S12" s="8" t="s">
        <v>140</v>
      </c>
      <c r="T12" s="8" t="s">
        <v>120</v>
      </c>
      <c r="U12" s="8" t="s">
        <v>368</v>
      </c>
      <c r="V12" s="8" t="str">
        <f t="shared" ref="V12:V18" si="5">IF(AND(R12&lt;&gt;"",T12&lt;&gt;""),
    _xlfn.LET(
        _xlpm.ini,SUBSTITUTE(LEFT(R12,SEARCH("S",R12)+1)," ",""),
        _xlpm.fim,SUBSTITUTE(LEFT(T12,SEARCH("S",T12)+1)," ",""),
        _xlpm.rIni,VALUE(MID(_xlpm.ini,2,1)),
        _xlpm.sIni,VALUE(RIGHT(_xlpm.ini,1)),
        _xlpm.rFim,VALUE(MID(_xlpm.fim,2,1)),
        _xlpm.sFim,VALUE(RIGHT(_xlpm.fim,1)),
        _xlpm.total,((_xlpm.rFim-1)*4 + _xlpm.sFim) - ((_xlpm.rIni-1)*4 + _xlpm.sIni) + 1,
        _xlpm.total &amp; " sprint" &amp; IF(_xlpm.total&gt;1,"s","")
    ),
"")</f>
        <v>1 sprint</v>
      </c>
      <c r="W12" s="8" t="str">
        <f t="shared" si="2"/>
        <v>3 sprints</v>
      </c>
      <c r="X12" s="8" t="str">
        <f>IF(AND(S12&lt;&gt;"",U12&lt;&gt;""),
    _xlfn.LET(
        _xlpm.ini,SUBSTITUTE(LEFT(S12,SEARCH("S",S12)+1)," ",""),
        _xlpm.fim,SUBSTITUTE(LEFT(U12,SEARCH("S",U12)+1)," ",""),
        _xlpm.rIni,VALUE(MID(_xlpm.ini,2,1)),
        _xlpm.sIni,VALUE(RIGHT(_xlpm.ini,1)),
        _xlpm.rFim,VALUE(MID(_xlpm.fim,2,1)),
        _xlpm.sFim,VALUE(RIGHT(_xlpm.fim,1)),
        _xlpm.total,((_xlpm.rFim-1)*4 + _xlpm.sFim) - ((_xlpm.rIni-1)*4 + _xlpm.sIni) + 1,
        _xlpm.total &amp; " sprint" &amp; IF(_xlpm.total&gt;1,"s","")
    ),
"")</f>
        <v>2 sprints</v>
      </c>
      <c r="Y12" s="8" t="s">
        <v>498</v>
      </c>
      <c r="Z12" s="8" t="s">
        <v>271</v>
      </c>
      <c r="AA12" s="8" t="s">
        <v>497</v>
      </c>
      <c r="AB12" s="8" t="s">
        <v>500</v>
      </c>
      <c r="AC12" s="8"/>
      <c r="AD12" s="8"/>
      <c r="AE12" s="8"/>
      <c r="AF12" s="8" t="s">
        <v>499</v>
      </c>
      <c r="AG12" s="8"/>
      <c r="AH12" s="8"/>
      <c r="AI12" s="23"/>
      <c r="AJ12" s="23"/>
      <c r="AK12" s="8"/>
      <c r="AL12" s="8"/>
      <c r="AM12" s="8"/>
      <c r="AN12" s="8"/>
      <c r="AO12" s="8"/>
      <c r="AP12" s="8" t="s">
        <v>292</v>
      </c>
      <c r="AQ12" s="8" t="s">
        <v>299</v>
      </c>
      <c r="AR12" s="8"/>
    </row>
    <row r="13" spans="1:57" ht="70.05" customHeight="1" x14ac:dyDescent="0.3">
      <c r="A13" s="8">
        <f>ROW()</f>
        <v>13</v>
      </c>
      <c r="B13" s="8" t="s">
        <v>21</v>
      </c>
      <c r="C13" s="8" t="s">
        <v>25</v>
      </c>
      <c r="D13" s="8" t="s">
        <v>26</v>
      </c>
      <c r="E13" s="8" t="s">
        <v>269</v>
      </c>
      <c r="F13" s="8" t="s">
        <v>270</v>
      </c>
      <c r="G13" s="8" t="s">
        <v>34</v>
      </c>
      <c r="H13" s="8" t="s">
        <v>36</v>
      </c>
      <c r="I13" s="8" t="s">
        <v>39</v>
      </c>
      <c r="J13" s="8" t="s">
        <v>43</v>
      </c>
      <c r="K13" s="8" t="s">
        <v>46</v>
      </c>
      <c r="L13" s="8">
        <f t="shared" si="4"/>
        <v>2</v>
      </c>
      <c r="M13" s="8" t="s">
        <v>50</v>
      </c>
      <c r="N13" s="8" t="s">
        <v>349</v>
      </c>
      <c r="O13" s="8" t="s">
        <v>349</v>
      </c>
      <c r="P13" s="8" t="s">
        <v>349</v>
      </c>
      <c r="Q13" s="8"/>
      <c r="R13" s="8" t="s">
        <v>120</v>
      </c>
      <c r="S13" s="8"/>
      <c r="T13" s="8" t="s">
        <v>120</v>
      </c>
      <c r="U13" s="8"/>
      <c r="V13" s="8" t="str">
        <f t="shared" si="5"/>
        <v>1 sprint</v>
      </c>
      <c r="W13" s="8" t="str">
        <f t="shared" si="2"/>
        <v/>
      </c>
      <c r="X13" s="8" t="str">
        <f>IF(AND(S13&lt;&gt;"",U13&lt;&gt;""),
    _xlfn.LET(
        _xlpm.ini,SUBSTITUTE(LEFT(S13,SEARCH("S",S13)+1)," ",""),
        _xlpm.fim,SUBSTITUTE(LEFT(U13,SEARCH("S",U13)+1)," ",""),
        _xlpm.rIni,VALUE(MID(_xlpm.ini,2,1)),
        _xlpm.sIni,VALUE(RIGHT(_xlpm.ini,1)),
        _xlpm.rFim,VALUE(MID(_xlpm.fim,2,1)),
        _xlpm.sFim,VALUE(RIGHT(_xlpm.fim,1)),
        _xlpm.total,((_xlpm.rFim-1)*4 + _xlpm.sFim) - ((_xlpm.rIni-1)*4 + _xlpm.sIni) + 1,
        _xlpm.total &amp; " sprint" &amp; IF(_xlpm.total&gt;1,"s","")
    ),
"")</f>
        <v/>
      </c>
      <c r="Y13" s="8" t="s">
        <v>498</v>
      </c>
      <c r="Z13" s="8" t="s">
        <v>271</v>
      </c>
      <c r="AA13" s="8" t="s">
        <v>497</v>
      </c>
      <c r="AB13" s="8" t="s">
        <v>500</v>
      </c>
      <c r="AC13" s="8"/>
      <c r="AD13" s="8"/>
      <c r="AE13" s="8"/>
      <c r="AF13" s="8" t="s">
        <v>499</v>
      </c>
      <c r="AG13" s="8" t="s">
        <v>501</v>
      </c>
      <c r="AH13" s="8" t="s">
        <v>58</v>
      </c>
      <c r="AI13" s="23"/>
      <c r="AJ13" s="23"/>
      <c r="AK13" s="8"/>
      <c r="AL13" s="8"/>
      <c r="AM13" s="8"/>
      <c r="AN13" s="8"/>
      <c r="AO13" s="8"/>
      <c r="AP13" s="8"/>
      <c r="AQ13" s="8"/>
      <c r="AR13" s="8"/>
    </row>
    <row r="14" spans="1:57" ht="70.05" customHeight="1" x14ac:dyDescent="0.3">
      <c r="A14" s="8">
        <f>ROW()</f>
        <v>14</v>
      </c>
      <c r="B14" s="8" t="s">
        <v>21</v>
      </c>
      <c r="C14" s="8" t="s">
        <v>25</v>
      </c>
      <c r="D14" s="8" t="s">
        <v>26</v>
      </c>
      <c r="E14" s="8" t="s">
        <v>129</v>
      </c>
      <c r="F14" s="8" t="s">
        <v>296</v>
      </c>
      <c r="G14" s="8" t="s">
        <v>34</v>
      </c>
      <c r="H14" s="8" t="s">
        <v>36</v>
      </c>
      <c r="I14" s="8" t="s">
        <v>38</v>
      </c>
      <c r="J14" s="8" t="s">
        <v>43</v>
      </c>
      <c r="K14" s="8" t="s">
        <v>46</v>
      </c>
      <c r="L14" s="8">
        <f t="shared" si="4"/>
        <v>2</v>
      </c>
      <c r="M14" s="8" t="s">
        <v>51</v>
      </c>
      <c r="N14" s="8" t="s">
        <v>349</v>
      </c>
      <c r="O14" s="8" t="s">
        <v>349</v>
      </c>
      <c r="P14" s="8" t="s">
        <v>349</v>
      </c>
      <c r="Q14" s="8"/>
      <c r="R14" s="8" t="s">
        <v>120</v>
      </c>
      <c r="S14" s="8" t="s">
        <v>120</v>
      </c>
      <c r="T14" s="8" t="s">
        <v>120</v>
      </c>
      <c r="U14" s="8"/>
      <c r="V14" s="8" t="str">
        <f t="shared" si="5"/>
        <v>1 sprint</v>
      </c>
      <c r="W14" s="8" t="str">
        <f t="shared" ref="W14:W16" si="6">IF(AND(R14&lt;&gt;"",U14&lt;&gt;""),
    _xlfn.LET(
        _xlpm.ini,SUBSTITUTE(LEFT(R14,SEARCH("S",R14)+1)," ",""),
        _xlpm.fim,SUBSTITUTE(LEFT(U14,SEARCH("S",U14)+1)," ",""),
        _xlpm.rIni,VALUE(MID(_xlpm.ini,2,1)),
        _xlpm.sIni,VALUE(RIGHT(_xlpm.ini,1)),
        _xlpm.rFim,VALUE(MID(_xlpm.fim,2,1)),
        _xlpm.sFim,VALUE(RIGHT(_xlpm.fim,1)),
        _xlpm.total,((_xlpm.rFim-1)*4 + _xlpm.sFim) - ((_xlpm.rIni-1)*4 + _xlpm.sIni) + 1,
        _xlpm.total &amp; " sprint" &amp; IF(_xlpm.total&gt;1,"s","")
    ),
"")</f>
        <v/>
      </c>
      <c r="X14" s="8" t="str">
        <f t="shared" ref="X14:X16" si="7">IF(AND(S14&lt;&gt;"",U14&lt;&gt;""),
    _xlfn.LET(
        _xlpm.ini,SUBSTITUTE(LEFT(S14,SEARCH("S",S14)+1)," ",""),
        _xlpm.fim,SUBSTITUTE(LEFT(U14,SEARCH("S",U14)+1)," ",""),
        _xlpm.rIni,VALUE(MID(_xlpm.ini,2,1)),
        _xlpm.sIni,VALUE(RIGHT(_xlpm.ini,1)),
        _xlpm.rFim,VALUE(MID(_xlpm.fim,2,1)),
        _xlpm.sFim,VALUE(RIGHT(_xlpm.fim,1)),
        _xlpm.total,((_xlpm.rFim-1)*4 + _xlpm.sFim) - ((_xlpm.rIni-1)*4 + _xlpm.sIni) + 1,
        _xlpm.total &amp; " sprint" &amp; IF(_xlpm.total&gt;1,"s","")
    ),
"")</f>
        <v/>
      </c>
      <c r="Y14" s="8"/>
      <c r="Z14" s="8" t="s">
        <v>297</v>
      </c>
      <c r="AA14" s="8"/>
      <c r="AB14" s="8"/>
      <c r="AC14" s="8"/>
      <c r="AD14" s="8"/>
      <c r="AE14" s="8"/>
      <c r="AF14" s="8"/>
      <c r="AG14" s="8"/>
      <c r="AH14" s="8"/>
      <c r="AI14" s="23"/>
      <c r="AJ14" s="23"/>
      <c r="AK14" s="8"/>
      <c r="AL14" s="8"/>
      <c r="AM14" s="8"/>
      <c r="AN14" s="8"/>
      <c r="AO14" s="8" t="s">
        <v>305</v>
      </c>
      <c r="AP14" s="8" t="s">
        <v>299</v>
      </c>
      <c r="AQ14" s="8"/>
      <c r="AR14" s="8"/>
    </row>
    <row r="15" spans="1:57" ht="70.05" customHeight="1" x14ac:dyDescent="0.3">
      <c r="A15" s="8">
        <f>ROW()</f>
        <v>15</v>
      </c>
      <c r="B15" s="8" t="s">
        <v>21</v>
      </c>
      <c r="C15" s="8" t="s">
        <v>25</v>
      </c>
      <c r="D15" s="8" t="s">
        <v>26</v>
      </c>
      <c r="E15" s="8" t="s">
        <v>129</v>
      </c>
      <c r="F15" s="8" t="s">
        <v>296</v>
      </c>
      <c r="G15" s="8" t="s">
        <v>34</v>
      </c>
      <c r="H15" s="8" t="s">
        <v>36</v>
      </c>
      <c r="I15" s="8" t="s">
        <v>39</v>
      </c>
      <c r="J15" s="8" t="s">
        <v>43</v>
      </c>
      <c r="K15" s="8" t="s">
        <v>46</v>
      </c>
      <c r="L15" s="8">
        <f t="shared" si="4"/>
        <v>2</v>
      </c>
      <c r="M15" s="8" t="s">
        <v>52</v>
      </c>
      <c r="N15" s="8" t="s">
        <v>349</v>
      </c>
      <c r="O15" s="8" t="s">
        <v>349</v>
      </c>
      <c r="P15" s="8" t="s">
        <v>349</v>
      </c>
      <c r="Q15" s="8"/>
      <c r="R15" s="8" t="s">
        <v>120</v>
      </c>
      <c r="S15" s="8" t="s">
        <v>140</v>
      </c>
      <c r="T15" s="8" t="s">
        <v>120</v>
      </c>
      <c r="U15" s="8"/>
      <c r="V15" s="8" t="str">
        <f t="shared" si="5"/>
        <v>1 sprint</v>
      </c>
      <c r="W15" s="8" t="str">
        <f>IF(AND(R15&lt;&gt;"",U15&lt;&gt;""),
    _xlfn.LET(
        _xlpm.ini,SUBSTITUTE(LEFT(R15,SEARCH("S",R15)+1)," ",""),
        _xlpm.fim,SUBSTITUTE(LEFT(U15,SEARCH("S",U15)+1)," ",""),
        _xlpm.rIni,VALUE(MID(_xlpm.ini,2,1)),
        _xlpm.sIni,VALUE(RIGHT(_xlpm.ini,1)),
        _xlpm.rFim,VALUE(MID(_xlpm.fim,2,1)),
        _xlpm.sFim,VALUE(RIGHT(_xlpm.fim,1)),
        _xlpm.total,((_xlpm.rFim-1)*4 + _xlpm.sFim) - ((_xlpm.rIni-1)*4 + _xlpm.sIni) + 1,
        _xlpm.total &amp; " sprint" &amp; IF(_xlpm.total&gt;1,"s","")
    ),
"")</f>
        <v/>
      </c>
      <c r="X15" s="8" t="str">
        <f>IF(AND(S15&lt;&gt;"",U15&lt;&gt;""),
    _xlfn.LET(
        _xlpm.ini,SUBSTITUTE(LEFT(S15,SEARCH("S",S15)+1)," ",""),
        _xlpm.fim,SUBSTITUTE(LEFT(U15,SEARCH("S",U15)+1)," ",""),
        _xlpm.rIni,VALUE(MID(_xlpm.ini,2,1)),
        _xlpm.sIni,VALUE(RIGHT(_xlpm.ini,1)),
        _xlpm.rFim,VALUE(MID(_xlpm.fim,2,1)),
        _xlpm.sFim,VALUE(RIGHT(_xlpm.fim,1)),
        _xlpm.total,((_xlpm.rFim-1)*4 + _xlpm.sFim) - ((_xlpm.rIni-1)*4 + _xlpm.sIni) + 1,
        _xlpm.total &amp; " sprint" &amp; IF(_xlpm.total&gt;1,"s","")
    ),
"")</f>
        <v/>
      </c>
      <c r="Y15" s="8"/>
      <c r="Z15" s="8" t="s">
        <v>297</v>
      </c>
      <c r="AA15" s="8"/>
      <c r="AB15" s="8"/>
      <c r="AC15" s="8"/>
      <c r="AD15" s="8"/>
      <c r="AE15" s="8"/>
      <c r="AF15" s="8"/>
      <c r="AG15" s="8"/>
      <c r="AH15" s="8"/>
      <c r="AI15" s="23"/>
      <c r="AJ15" s="23"/>
      <c r="AK15" s="8"/>
      <c r="AL15" s="8"/>
      <c r="AM15" s="8"/>
      <c r="AN15" s="8"/>
      <c r="AO15" s="8" t="s">
        <v>299</v>
      </c>
      <c r="AP15" s="8" t="s">
        <v>285</v>
      </c>
      <c r="AQ15" s="8"/>
      <c r="AR15" s="8"/>
    </row>
    <row r="16" spans="1:57" ht="70.05" customHeight="1" x14ac:dyDescent="0.3">
      <c r="A16" s="8">
        <f>ROW()</f>
        <v>16</v>
      </c>
      <c r="B16" s="8" t="s">
        <v>21</v>
      </c>
      <c r="C16" s="8" t="s">
        <v>25</v>
      </c>
      <c r="D16" s="8" t="s">
        <v>27</v>
      </c>
      <c r="E16" s="8" t="s">
        <v>293</v>
      </c>
      <c r="F16" s="8" t="s">
        <v>294</v>
      </c>
      <c r="G16" s="8" t="s">
        <v>35</v>
      </c>
      <c r="H16" s="8" t="s">
        <v>37</v>
      </c>
      <c r="I16" s="8" t="s">
        <v>38</v>
      </c>
      <c r="J16" s="8" t="s">
        <v>43</v>
      </c>
      <c r="K16" s="8" t="s">
        <v>45</v>
      </c>
      <c r="L16" s="8">
        <f t="shared" si="4"/>
        <v>1</v>
      </c>
      <c r="M16" s="8" t="s">
        <v>51</v>
      </c>
      <c r="N16" s="8" t="s">
        <v>347</v>
      </c>
      <c r="O16" s="8" t="s">
        <v>347</v>
      </c>
      <c r="P16" s="8" t="s">
        <v>347</v>
      </c>
      <c r="Q16" s="8"/>
      <c r="R16" s="8" t="s">
        <v>118</v>
      </c>
      <c r="S16" s="8" t="s">
        <v>118</v>
      </c>
      <c r="T16" s="8" t="s">
        <v>119</v>
      </c>
      <c r="U16" s="8"/>
      <c r="V16" s="8" t="str">
        <f t="shared" si="5"/>
        <v>2 sprints</v>
      </c>
      <c r="W16" s="8" t="str">
        <f t="shared" si="6"/>
        <v/>
      </c>
      <c r="X16" s="8" t="str">
        <f t="shared" si="7"/>
        <v/>
      </c>
      <c r="Y16" s="8" t="s">
        <v>298</v>
      </c>
      <c r="Z16" s="8" t="s">
        <v>461</v>
      </c>
      <c r="AA16" s="8" t="s">
        <v>465</v>
      </c>
      <c r="AB16" s="8" t="s">
        <v>466</v>
      </c>
      <c r="AC16" s="29"/>
      <c r="AD16" s="8"/>
      <c r="AE16" s="101">
        <f>'Roadmap - Visão Timeline'!$F$9+60</f>
        <v>45874</v>
      </c>
      <c r="AF16" s="29" t="s">
        <v>467</v>
      </c>
      <c r="AG16" s="8"/>
      <c r="AH16" s="23"/>
      <c r="AI16" s="23"/>
      <c r="AJ16" s="23"/>
      <c r="AK16" s="8"/>
      <c r="AL16" s="8"/>
      <c r="AM16" s="8" t="s">
        <v>299</v>
      </c>
      <c r="AN16" s="8" t="s">
        <v>299</v>
      </c>
      <c r="AO16" s="8" t="s">
        <v>299</v>
      </c>
      <c r="AP16" s="8" t="s">
        <v>299</v>
      </c>
      <c r="AQ16" s="8"/>
      <c r="AR16" s="8"/>
    </row>
    <row r="17" spans="1:44" ht="70.05" customHeight="1" x14ac:dyDescent="0.3">
      <c r="A17" s="8">
        <f>ROW()</f>
        <v>17</v>
      </c>
      <c r="B17" s="8" t="s">
        <v>21</v>
      </c>
      <c r="C17" s="8" t="s">
        <v>25</v>
      </c>
      <c r="D17" s="8" t="s">
        <v>27</v>
      </c>
      <c r="E17" s="8" t="s">
        <v>293</v>
      </c>
      <c r="F17" s="8" t="s">
        <v>294</v>
      </c>
      <c r="G17" s="8" t="s">
        <v>35</v>
      </c>
      <c r="H17" s="8" t="s">
        <v>37</v>
      </c>
      <c r="I17" s="8" t="s">
        <v>39</v>
      </c>
      <c r="J17" s="8" t="s">
        <v>43</v>
      </c>
      <c r="K17" s="8" t="s">
        <v>45</v>
      </c>
      <c r="L17" s="8">
        <f t="shared" si="4"/>
        <v>1</v>
      </c>
      <c r="M17" s="8" t="s">
        <v>50</v>
      </c>
      <c r="N17" s="8" t="s">
        <v>347</v>
      </c>
      <c r="O17" s="8" t="s">
        <v>347</v>
      </c>
      <c r="P17" s="8" t="s">
        <v>347</v>
      </c>
      <c r="Q17" s="8"/>
      <c r="R17" s="8" t="s">
        <v>118</v>
      </c>
      <c r="S17" s="8" t="s">
        <v>118</v>
      </c>
      <c r="T17" s="8" t="s">
        <v>119</v>
      </c>
      <c r="U17" s="8"/>
      <c r="V17" s="8" t="str">
        <f t="shared" si="5"/>
        <v>2 sprints</v>
      </c>
      <c r="W17" s="8" t="str">
        <f t="shared" ref="W17:W24" si="8">IF(AND(R17&lt;&gt;"",U17&lt;&gt;""),
    _xlfn.LET(
        _xlpm.ini,SUBSTITUTE(LEFT(R17,SEARCH("S",R17)+1)," ",""),
        _xlpm.fim,SUBSTITUTE(LEFT(U17,SEARCH("S",U17)+1)," ",""),
        _xlpm.rIni,VALUE(MID(_xlpm.ini,2,1)),
        _xlpm.sIni,VALUE(RIGHT(_xlpm.ini,1)),
        _xlpm.rFim,VALUE(MID(_xlpm.fim,2,1)),
        _xlpm.sFim,VALUE(RIGHT(_xlpm.fim,1)),
        _xlpm.total,((_xlpm.rFim-1)*4 + _xlpm.sFim) - ((_xlpm.rIni-1)*4 + _xlpm.sIni) + 1,
        _xlpm.total &amp; " sprint" &amp; IF(_xlpm.total&gt;1,"s","")
    ),
"")</f>
        <v/>
      </c>
      <c r="X17" s="8" t="str">
        <f t="shared" ref="X17:X24" si="9">IF(AND(S17&lt;&gt;"",U17&lt;&gt;""),
    _xlfn.LET(
        _xlpm.ini,SUBSTITUTE(LEFT(S17,SEARCH("S",S17)+1)," ",""),
        _xlpm.fim,SUBSTITUTE(LEFT(U17,SEARCH("S",U17)+1)," ",""),
        _xlpm.rIni,VALUE(MID(_xlpm.ini,2,1)),
        _xlpm.sIni,VALUE(RIGHT(_xlpm.ini,1)),
        _xlpm.rFim,VALUE(MID(_xlpm.fim,2,1)),
        _xlpm.sFim,VALUE(RIGHT(_xlpm.fim,1)),
        _xlpm.total,((_xlpm.rFim-1)*4 + _xlpm.sFim) - ((_xlpm.rIni-1)*4 + _xlpm.sIni) + 1,
        _xlpm.total &amp; " sprint" &amp; IF(_xlpm.total&gt;1,"s","")
    ),
"")</f>
        <v/>
      </c>
      <c r="Y17" s="8" t="s">
        <v>298</v>
      </c>
      <c r="Z17" s="8" t="s">
        <v>461</v>
      </c>
      <c r="AA17" s="8" t="s">
        <v>465</v>
      </c>
      <c r="AB17" s="8" t="s">
        <v>466</v>
      </c>
      <c r="AC17" s="29"/>
      <c r="AD17" s="8"/>
      <c r="AE17" s="101">
        <f>'Roadmap - Visão Timeline'!$F$9+60</f>
        <v>45874</v>
      </c>
      <c r="AF17" s="29" t="s">
        <v>467</v>
      </c>
      <c r="AG17" s="8"/>
      <c r="AH17" s="23"/>
      <c r="AI17" s="23"/>
      <c r="AJ17" s="23"/>
      <c r="AK17" s="8"/>
      <c r="AL17" s="8"/>
      <c r="AM17" s="8" t="s">
        <v>299</v>
      </c>
      <c r="AN17" s="8" t="s">
        <v>299</v>
      </c>
      <c r="AO17" s="8" t="s">
        <v>299</v>
      </c>
      <c r="AP17" s="8" t="s">
        <v>299</v>
      </c>
      <c r="AQ17" s="8"/>
      <c r="AR17" s="8"/>
    </row>
    <row r="18" spans="1:44" ht="70.05" customHeight="1" x14ac:dyDescent="0.3">
      <c r="A18" s="8">
        <f>ROW()</f>
        <v>18</v>
      </c>
      <c r="B18" s="8" t="s">
        <v>21</v>
      </c>
      <c r="C18" s="8" t="s">
        <v>25</v>
      </c>
      <c r="D18" s="8" t="s">
        <v>28</v>
      </c>
      <c r="E18" s="8" t="s">
        <v>360</v>
      </c>
      <c r="F18" s="8" t="s">
        <v>342</v>
      </c>
      <c r="G18" s="8" t="s">
        <v>34</v>
      </c>
      <c r="H18" s="8" t="s">
        <v>37</v>
      </c>
      <c r="I18" s="8" t="s">
        <v>38</v>
      </c>
      <c r="J18" s="8" t="s">
        <v>43</v>
      </c>
      <c r="K18" s="8" t="s">
        <v>45</v>
      </c>
      <c r="L18" s="8">
        <f t="shared" si="4"/>
        <v>1</v>
      </c>
      <c r="M18" s="8" t="s">
        <v>51</v>
      </c>
      <c r="N18" s="8" t="s">
        <v>348</v>
      </c>
      <c r="O18" s="8" t="s">
        <v>348</v>
      </c>
      <c r="P18" s="8" t="s">
        <v>348</v>
      </c>
      <c r="Q18" s="8" t="s">
        <v>351</v>
      </c>
      <c r="R18" s="8" t="s">
        <v>119</v>
      </c>
      <c r="S18" s="8" t="s">
        <v>120</v>
      </c>
      <c r="T18" s="8" t="s">
        <v>120</v>
      </c>
      <c r="U18" s="8"/>
      <c r="V18" s="8" t="str">
        <f t="shared" si="5"/>
        <v>2 sprints</v>
      </c>
      <c r="W18" s="8" t="str">
        <f t="shared" si="8"/>
        <v/>
      </c>
      <c r="X18" s="8" t="str">
        <f t="shared" si="9"/>
        <v/>
      </c>
      <c r="Y18" s="8" t="s">
        <v>358</v>
      </c>
      <c r="Z18" s="8" t="s">
        <v>359</v>
      </c>
      <c r="AA18" s="8"/>
      <c r="AB18" s="8"/>
      <c r="AC18" s="8"/>
      <c r="AD18" s="8"/>
      <c r="AE18" s="8"/>
      <c r="AF18" s="8"/>
      <c r="AG18" s="8"/>
      <c r="AH18" s="23"/>
      <c r="AI18" s="23"/>
      <c r="AJ18" s="23"/>
      <c r="AK18" s="8"/>
      <c r="AL18" s="8"/>
      <c r="AM18" s="8"/>
      <c r="AN18" s="8" t="s">
        <v>292</v>
      </c>
      <c r="AO18" s="8" t="s">
        <v>295</v>
      </c>
      <c r="AP18" s="8" t="s">
        <v>295</v>
      </c>
      <c r="AQ18" s="8"/>
      <c r="AR18" s="8"/>
    </row>
    <row r="19" spans="1:44" ht="70.05" customHeight="1" x14ac:dyDescent="0.3">
      <c r="A19" s="8">
        <f>ROW()</f>
        <v>19</v>
      </c>
      <c r="B19" s="8" t="s">
        <v>21</v>
      </c>
      <c r="C19" s="8" t="s">
        <v>25</v>
      </c>
      <c r="D19" s="8" t="s">
        <v>28</v>
      </c>
      <c r="E19" s="8" t="s">
        <v>360</v>
      </c>
      <c r="F19" s="8" t="s">
        <v>342</v>
      </c>
      <c r="G19" s="8" t="s">
        <v>34</v>
      </c>
      <c r="H19" s="8" t="s">
        <v>37</v>
      </c>
      <c r="I19" s="8" t="s">
        <v>39</v>
      </c>
      <c r="J19" s="8" t="s">
        <v>43</v>
      </c>
      <c r="K19" s="8" t="s">
        <v>45</v>
      </c>
      <c r="L19" s="8">
        <f t="shared" si="4"/>
        <v>1</v>
      </c>
      <c r="M19" s="8" t="s">
        <v>50</v>
      </c>
      <c r="N19" s="8" t="s">
        <v>348</v>
      </c>
      <c r="O19" s="8" t="s">
        <v>348</v>
      </c>
      <c r="P19" s="8" t="s">
        <v>348</v>
      </c>
      <c r="Q19" s="8"/>
      <c r="R19" s="8" t="s">
        <v>119</v>
      </c>
      <c r="S19" s="8"/>
      <c r="T19" s="8" t="s">
        <v>120</v>
      </c>
      <c r="U19" s="8"/>
      <c r="V19" s="8" t="str">
        <f t="shared" ref="V19:V24" si="10">IF(AND(R19&lt;&gt;"",T19&lt;&gt;""),
    _xlfn.LET(
        _xlpm.ini,SUBSTITUTE(LEFT(R19,SEARCH("S",R19)+1)," ",""),
        _xlpm.fim,SUBSTITUTE(LEFT(T19,SEARCH("S",T19)+1)," ",""),
        _xlpm.rIni,VALUE(MID(_xlpm.ini,2,1)),
        _xlpm.sIni,VALUE(RIGHT(_xlpm.ini,1)),
        _xlpm.rFim,VALUE(MID(_xlpm.fim,2,1)),
        _xlpm.sFim,VALUE(RIGHT(_xlpm.fim,1)),
        _xlpm.total,((_xlpm.rFim-1)*4 + _xlpm.sFim) - ((_xlpm.rIni-1)*4 + _xlpm.sIni) + 1,
        _xlpm.total &amp; " sprint" &amp; IF(_xlpm.total&gt;1,"s","")
    ),
"")</f>
        <v>2 sprints</v>
      </c>
      <c r="W19" s="8" t="str">
        <f t="shared" si="8"/>
        <v/>
      </c>
      <c r="X19" s="8" t="str">
        <f t="shared" si="9"/>
        <v/>
      </c>
      <c r="Y19" s="8" t="s">
        <v>358</v>
      </c>
      <c r="Z19" s="8" t="s">
        <v>359</v>
      </c>
      <c r="AA19" s="8"/>
      <c r="AB19" s="8" t="s">
        <v>371</v>
      </c>
      <c r="AC19" s="8"/>
      <c r="AD19" s="24">
        <v>45777</v>
      </c>
      <c r="AE19" s="8"/>
      <c r="AF19" s="8"/>
      <c r="AG19" s="8"/>
      <c r="AH19" s="23"/>
      <c r="AI19" s="23"/>
      <c r="AJ19" s="23"/>
      <c r="AK19" s="8"/>
      <c r="AL19" s="8"/>
      <c r="AM19" s="8"/>
      <c r="AN19" s="8" t="s">
        <v>292</v>
      </c>
      <c r="AO19" s="8" t="s">
        <v>295</v>
      </c>
      <c r="AP19" s="8" t="s">
        <v>295</v>
      </c>
      <c r="AQ19" s="8"/>
      <c r="AR19" s="8"/>
    </row>
    <row r="20" spans="1:44" ht="70.05" customHeight="1" x14ac:dyDescent="0.3">
      <c r="A20" s="8">
        <f>ROW()</f>
        <v>20</v>
      </c>
      <c r="B20" s="8" t="s">
        <v>21</v>
      </c>
      <c r="C20" s="8" t="s">
        <v>25</v>
      </c>
      <c r="D20" s="8" t="s">
        <v>31</v>
      </c>
      <c r="E20" s="8" t="s">
        <v>361</v>
      </c>
      <c r="F20" s="8" t="s">
        <v>362</v>
      </c>
      <c r="G20" s="8" t="s">
        <v>34</v>
      </c>
      <c r="H20" s="8" t="s">
        <v>36</v>
      </c>
      <c r="I20" s="8" t="s">
        <v>39</v>
      </c>
      <c r="J20" s="8" t="s">
        <v>43</v>
      </c>
      <c r="K20" s="8" t="s">
        <v>45</v>
      </c>
      <c r="L20" s="8">
        <f t="shared" si="4"/>
        <v>1</v>
      </c>
      <c r="M20" s="8" t="s">
        <v>52</v>
      </c>
      <c r="N20" s="8" t="s">
        <v>347</v>
      </c>
      <c r="O20" s="8" t="s">
        <v>347</v>
      </c>
      <c r="P20" s="8" t="s">
        <v>347</v>
      </c>
      <c r="Q20" s="8"/>
      <c r="R20" s="8" t="s">
        <v>367</v>
      </c>
      <c r="S20" s="8" t="s">
        <v>118</v>
      </c>
      <c r="T20" s="8" t="s">
        <v>369</v>
      </c>
      <c r="U20" s="8"/>
      <c r="V20" s="8" t="str">
        <f t="shared" si="10"/>
        <v>8 sprints</v>
      </c>
      <c r="W20" s="8" t="str">
        <f t="shared" si="8"/>
        <v/>
      </c>
      <c r="X20" s="8" t="str">
        <f t="shared" si="9"/>
        <v/>
      </c>
      <c r="Y20" s="8" t="s">
        <v>472</v>
      </c>
      <c r="Z20" s="8" t="s">
        <v>388</v>
      </c>
      <c r="AA20" s="8" t="s">
        <v>473</v>
      </c>
      <c r="AB20" s="8" t="s">
        <v>475</v>
      </c>
      <c r="AC20" s="8" t="s">
        <v>348</v>
      </c>
      <c r="AD20" s="24">
        <v>45838</v>
      </c>
      <c r="AE20" s="8"/>
      <c r="AF20" s="8" t="s">
        <v>474</v>
      </c>
      <c r="AG20" s="8" t="s">
        <v>476</v>
      </c>
      <c r="AH20" s="23" t="s">
        <v>58</v>
      </c>
      <c r="AI20" s="23"/>
      <c r="AJ20" s="23"/>
      <c r="AK20" s="8" t="s">
        <v>303</v>
      </c>
      <c r="AL20" s="8" t="s">
        <v>303</v>
      </c>
      <c r="AM20" s="8" t="s">
        <v>285</v>
      </c>
      <c r="AN20" s="8" t="s">
        <v>285</v>
      </c>
      <c r="AO20" s="8" t="s">
        <v>285</v>
      </c>
      <c r="AP20" s="8" t="s">
        <v>285</v>
      </c>
      <c r="AQ20" s="8"/>
      <c r="AR20" s="8"/>
    </row>
    <row r="21" spans="1:44" ht="70.05" customHeight="1" x14ac:dyDescent="0.3">
      <c r="A21" s="8">
        <f>ROW()</f>
        <v>21</v>
      </c>
      <c r="B21" s="8" t="s">
        <v>21</v>
      </c>
      <c r="C21" s="8" t="s">
        <v>24</v>
      </c>
      <c r="D21" s="8" t="s">
        <v>32</v>
      </c>
      <c r="E21" s="8" t="s">
        <v>32</v>
      </c>
      <c r="F21" s="8" t="s">
        <v>32</v>
      </c>
      <c r="G21" s="8" t="s">
        <v>35</v>
      </c>
      <c r="H21" s="8" t="s">
        <v>37</v>
      </c>
      <c r="I21" s="8" t="s">
        <v>38</v>
      </c>
      <c r="J21" s="8" t="s">
        <v>44</v>
      </c>
      <c r="K21" s="8" t="s">
        <v>47</v>
      </c>
      <c r="L21" s="8">
        <f>IF(K21="Ruim",1,IF(K21="Médio",2,IF(K21="Bom",3,IF(K21="Excelente",4,""))))</f>
        <v>3</v>
      </c>
      <c r="M21" s="8" t="s">
        <v>53</v>
      </c>
      <c r="N21" s="8" t="s">
        <v>347</v>
      </c>
      <c r="O21" s="8" t="s">
        <v>347</v>
      </c>
      <c r="P21" s="8" t="s">
        <v>347</v>
      </c>
      <c r="Q21" s="8"/>
      <c r="R21" s="8" t="s">
        <v>118</v>
      </c>
      <c r="S21" s="8" t="s">
        <v>118</v>
      </c>
      <c r="T21" s="8" t="s">
        <v>140</v>
      </c>
      <c r="U21" s="8" t="s">
        <v>140</v>
      </c>
      <c r="V21" s="8" t="str">
        <f t="shared" si="10"/>
        <v>4 sprints</v>
      </c>
      <c r="W21" s="8" t="str">
        <f t="shared" si="8"/>
        <v>4 sprints</v>
      </c>
      <c r="X21" s="8" t="str">
        <f t="shared" si="9"/>
        <v>4 sprints</v>
      </c>
      <c r="Y21" s="8"/>
      <c r="Z21" s="8"/>
      <c r="AA21" s="8"/>
      <c r="AB21" s="8" t="s">
        <v>372</v>
      </c>
      <c r="AC21" s="8" t="s">
        <v>348</v>
      </c>
      <c r="AD21" s="8"/>
      <c r="AE21" s="8"/>
      <c r="AF21" s="8"/>
      <c r="AG21" s="8"/>
      <c r="AH21" s="23"/>
      <c r="AI21" s="23"/>
      <c r="AJ21" s="23"/>
      <c r="AK21" s="8"/>
      <c r="AL21" s="8"/>
      <c r="AM21" s="8" t="s">
        <v>299</v>
      </c>
      <c r="AN21" s="8" t="s">
        <v>299</v>
      </c>
      <c r="AO21" s="8" t="s">
        <v>299</v>
      </c>
      <c r="AP21" s="8"/>
      <c r="AQ21" s="8"/>
      <c r="AR21" s="8"/>
    </row>
    <row r="22" spans="1:44" ht="70.05" customHeight="1" x14ac:dyDescent="0.3">
      <c r="A22" s="8">
        <f>ROW()</f>
        <v>22</v>
      </c>
      <c r="B22" s="8" t="s">
        <v>21</v>
      </c>
      <c r="C22" s="8" t="s">
        <v>24</v>
      </c>
      <c r="D22" s="8" t="s">
        <v>32</v>
      </c>
      <c r="E22" s="8" t="s">
        <v>32</v>
      </c>
      <c r="F22" s="8" t="s">
        <v>32</v>
      </c>
      <c r="G22" s="8" t="s">
        <v>35</v>
      </c>
      <c r="H22" s="8" t="s">
        <v>37</v>
      </c>
      <c r="I22" s="8" t="s">
        <v>39</v>
      </c>
      <c r="J22" s="8" t="s">
        <v>44</v>
      </c>
      <c r="K22" s="8" t="s">
        <v>47</v>
      </c>
      <c r="L22" s="8">
        <f>IF(K22="Ruim",1,IF(K22="Médio",2,IF(K22="Bom",3,IF(K22="Excelente",4,""))))</f>
        <v>3</v>
      </c>
      <c r="M22" s="8" t="s">
        <v>52</v>
      </c>
      <c r="N22" s="8" t="s">
        <v>347</v>
      </c>
      <c r="O22" s="8" t="s">
        <v>347</v>
      </c>
      <c r="P22" s="8" t="s">
        <v>347</v>
      </c>
      <c r="Q22" s="8"/>
      <c r="R22" s="8" t="s">
        <v>140</v>
      </c>
      <c r="S22" s="8" t="s">
        <v>140</v>
      </c>
      <c r="T22" s="8" t="s">
        <v>373</v>
      </c>
      <c r="U22" s="8"/>
      <c r="V22" s="8" t="str">
        <f t="shared" si="10"/>
        <v>5 sprints</v>
      </c>
      <c r="W22" s="8" t="str">
        <f t="shared" si="8"/>
        <v/>
      </c>
      <c r="X22" s="8" t="str">
        <f t="shared" si="9"/>
        <v/>
      </c>
      <c r="Y22" s="8"/>
      <c r="Z22" s="8" t="s">
        <v>386</v>
      </c>
      <c r="AA22" s="8"/>
      <c r="AB22" s="8" t="s">
        <v>372</v>
      </c>
      <c r="AC22" s="8" t="s">
        <v>348</v>
      </c>
      <c r="AD22" s="8"/>
      <c r="AE22" s="8"/>
      <c r="AF22" s="8"/>
      <c r="AG22" s="8"/>
      <c r="AH22" s="23"/>
      <c r="AI22" s="23"/>
      <c r="AJ22" s="23"/>
      <c r="AK22" s="8"/>
      <c r="AL22" s="8"/>
      <c r="AM22" s="8"/>
      <c r="AN22" s="8"/>
      <c r="AO22" s="8"/>
      <c r="AP22" s="8" t="s">
        <v>285</v>
      </c>
      <c r="AQ22" s="8"/>
      <c r="AR22" s="8"/>
    </row>
    <row r="23" spans="1:44" ht="70.05" customHeight="1" x14ac:dyDescent="0.3">
      <c r="A23" s="8">
        <f>ROW()</f>
        <v>23</v>
      </c>
      <c r="B23" s="8" t="s">
        <v>22</v>
      </c>
      <c r="C23" s="8" t="s">
        <v>23</v>
      </c>
      <c r="D23" s="8" t="s">
        <v>33</v>
      </c>
      <c r="E23" s="8" t="s">
        <v>382</v>
      </c>
      <c r="F23" s="8" t="s">
        <v>382</v>
      </c>
      <c r="G23" s="8" t="s">
        <v>35</v>
      </c>
      <c r="H23" s="8" t="s">
        <v>37</v>
      </c>
      <c r="I23" s="8" t="s">
        <v>38</v>
      </c>
      <c r="J23" s="8" t="s">
        <v>44</v>
      </c>
      <c r="K23" s="8" t="s">
        <v>46</v>
      </c>
      <c r="L23" s="8">
        <f>IF(K23="Ruim",1,IF(K23="Médio",2,IF(K23="Bom",3,IF(K23="Excelente",4,""))))</f>
        <v>2</v>
      </c>
      <c r="M23" s="8" t="s">
        <v>54</v>
      </c>
      <c r="N23" s="8" t="s">
        <v>347</v>
      </c>
      <c r="O23" s="8" t="s">
        <v>347</v>
      </c>
      <c r="P23" s="8" t="s">
        <v>347</v>
      </c>
      <c r="Q23" s="8"/>
      <c r="R23" s="8" t="s">
        <v>118</v>
      </c>
      <c r="S23" s="8" t="s">
        <v>118</v>
      </c>
      <c r="T23" s="8"/>
      <c r="U23" s="8"/>
      <c r="V23" s="8" t="str">
        <f t="shared" si="10"/>
        <v/>
      </c>
      <c r="W23" s="8" t="str">
        <f t="shared" si="8"/>
        <v/>
      </c>
      <c r="X23" s="8" t="str">
        <f t="shared" si="9"/>
        <v/>
      </c>
      <c r="Y23" s="8" t="s">
        <v>385</v>
      </c>
      <c r="Z23" s="8" t="s">
        <v>388</v>
      </c>
      <c r="AA23" s="8"/>
      <c r="AB23" s="8" t="s">
        <v>372</v>
      </c>
      <c r="AC23" s="8" t="s">
        <v>348</v>
      </c>
      <c r="AD23" s="8"/>
      <c r="AE23" s="8"/>
      <c r="AF23" s="8"/>
      <c r="AG23" s="8"/>
      <c r="AH23" s="23"/>
      <c r="AI23" s="23"/>
      <c r="AJ23" s="23"/>
      <c r="AK23" s="8"/>
      <c r="AL23" s="8"/>
      <c r="AM23" s="8" t="s">
        <v>299</v>
      </c>
      <c r="AN23" s="8" t="s">
        <v>299</v>
      </c>
      <c r="AO23" s="8" t="s">
        <v>299</v>
      </c>
      <c r="AP23" s="8" t="s">
        <v>389</v>
      </c>
      <c r="AQ23" s="8"/>
      <c r="AR23" s="8"/>
    </row>
    <row r="24" spans="1:44" ht="70.05" customHeight="1" x14ac:dyDescent="0.3">
      <c r="A24" s="8">
        <f>ROW()</f>
        <v>24</v>
      </c>
      <c r="B24" s="8" t="s">
        <v>21</v>
      </c>
      <c r="C24" s="8" t="s">
        <v>24</v>
      </c>
      <c r="D24" s="8" t="s">
        <v>30</v>
      </c>
      <c r="E24" s="8" t="s">
        <v>366</v>
      </c>
      <c r="F24" s="8" t="s">
        <v>363</v>
      </c>
      <c r="G24" s="8" t="s">
        <v>35</v>
      </c>
      <c r="H24" s="8" t="s">
        <v>37</v>
      </c>
      <c r="I24" s="8" t="s">
        <v>38</v>
      </c>
      <c r="J24" s="8" t="s">
        <v>43</v>
      </c>
      <c r="K24" s="8" t="s">
        <v>47</v>
      </c>
      <c r="L24" s="8">
        <f t="shared" si="4"/>
        <v>3</v>
      </c>
      <c r="M24" s="8" t="s">
        <v>51</v>
      </c>
      <c r="N24" s="8" t="s">
        <v>347</v>
      </c>
      <c r="O24" s="8" t="s">
        <v>347</v>
      </c>
      <c r="P24" s="8" t="s">
        <v>347</v>
      </c>
      <c r="Q24" s="8"/>
      <c r="R24" s="8" t="s">
        <v>120</v>
      </c>
      <c r="S24" s="8" t="s">
        <v>120</v>
      </c>
      <c r="T24" s="8"/>
      <c r="U24" s="8"/>
      <c r="V24" s="8" t="str">
        <f t="shared" si="10"/>
        <v/>
      </c>
      <c r="W24" s="8" t="str">
        <f t="shared" si="8"/>
        <v/>
      </c>
      <c r="X24" s="8" t="str">
        <f t="shared" si="9"/>
        <v/>
      </c>
      <c r="Y24" s="8"/>
      <c r="Z24" s="8" t="s">
        <v>364</v>
      </c>
      <c r="AA24" s="8"/>
      <c r="AB24" s="8"/>
      <c r="AC24" s="8"/>
      <c r="AD24" s="8"/>
      <c r="AE24" s="8"/>
      <c r="AF24" s="8"/>
      <c r="AG24" s="8"/>
      <c r="AH24" s="23"/>
      <c r="AI24" s="23"/>
      <c r="AJ24" s="23" t="s">
        <v>365</v>
      </c>
      <c r="AK24" s="8"/>
      <c r="AL24" s="8"/>
      <c r="AM24" s="8"/>
      <c r="AN24" s="8"/>
      <c r="AO24" s="8" t="s">
        <v>302</v>
      </c>
      <c r="AP24" s="8" t="s">
        <v>292</v>
      </c>
      <c r="AQ24" s="8"/>
      <c r="AR24" s="8"/>
    </row>
    <row r="25" spans="1:44" ht="70.05" customHeight="1" x14ac:dyDescent="0.3">
      <c r="A25" s="8">
        <f>ROW()</f>
        <v>25</v>
      </c>
      <c r="B25" s="8" t="s">
        <v>21</v>
      </c>
      <c r="C25" s="8" t="s">
        <v>25</v>
      </c>
      <c r="D25" s="8" t="s">
        <v>29</v>
      </c>
      <c r="E25" s="8" t="s">
        <v>395</v>
      </c>
      <c r="F25" s="8" t="s">
        <v>396</v>
      </c>
      <c r="G25" s="8" t="s">
        <v>35</v>
      </c>
      <c r="H25" s="8" t="s">
        <v>37</v>
      </c>
      <c r="I25" s="8" t="s">
        <v>38</v>
      </c>
      <c r="J25" s="8" t="s">
        <v>43</v>
      </c>
      <c r="K25" s="8" t="s">
        <v>46</v>
      </c>
      <c r="L25" s="8">
        <f t="shared" si="4"/>
        <v>2</v>
      </c>
      <c r="M25" s="8" t="s">
        <v>53</v>
      </c>
      <c r="N25" s="8" t="s">
        <v>347</v>
      </c>
      <c r="O25" s="8" t="s">
        <v>347</v>
      </c>
      <c r="P25" s="8" t="s">
        <v>347</v>
      </c>
      <c r="Q25" s="8"/>
      <c r="R25" s="8" t="s">
        <v>119</v>
      </c>
      <c r="S25" s="8" t="s">
        <v>119</v>
      </c>
      <c r="T25" s="8" t="s">
        <v>120</v>
      </c>
      <c r="U25" s="8" t="s">
        <v>120</v>
      </c>
      <c r="V25" s="8" t="str">
        <f t="shared" ref="V25:V30" si="11">IF(AND(R25&lt;&gt;"",T25&lt;&gt;""),
    _xlfn.LET(
        _xlpm.ini,SUBSTITUTE(LEFT(R25,SEARCH("S",R25)+1)," ",""),
        _xlpm.fim,SUBSTITUTE(LEFT(T25,SEARCH("S",T25)+1)," ",""),
        _xlpm.rIni,VALUE(MID(_xlpm.ini,2,1)),
        _xlpm.sIni,VALUE(RIGHT(_xlpm.ini,1)),
        _xlpm.rFim,VALUE(MID(_xlpm.fim,2,1)),
        _xlpm.sFim,VALUE(RIGHT(_xlpm.fim,1)),
        _xlpm.total,((_xlpm.rFim-1)*4 + _xlpm.sFim) - ((_xlpm.rIni-1)*4 + _xlpm.sIni) + 1,
        _xlpm.total &amp; " sprint" &amp; IF(_xlpm.total&gt;1,"s","")
    ),
"")</f>
        <v>2 sprints</v>
      </c>
      <c r="W25" s="8" t="str">
        <f t="shared" ref="W25:W30" si="12">IF(AND(R25&lt;&gt;"",U25&lt;&gt;""),
    _xlfn.LET(
        _xlpm.ini,SUBSTITUTE(LEFT(R25,SEARCH("S",R25)+1)," ",""),
        _xlpm.fim,SUBSTITUTE(LEFT(U25,SEARCH("S",U25)+1)," ",""),
        _xlpm.rIni,VALUE(MID(_xlpm.ini,2,1)),
        _xlpm.sIni,VALUE(RIGHT(_xlpm.ini,1)),
        _xlpm.rFim,VALUE(MID(_xlpm.fim,2,1)),
        _xlpm.sFim,VALUE(RIGHT(_xlpm.fim,1)),
        _xlpm.total,((_xlpm.rFim-1)*4 + _xlpm.sFim) - ((_xlpm.rIni-1)*4 + _xlpm.sIni) + 1,
        _xlpm.total &amp; " sprint" &amp; IF(_xlpm.total&gt;1,"s","")
    ),
"")</f>
        <v>2 sprints</v>
      </c>
      <c r="X25" s="8" t="str">
        <f t="shared" ref="X25:X30" si="13">IF(AND(S25&lt;&gt;"",U25&lt;&gt;""),
    _xlfn.LET(
        _xlpm.ini,SUBSTITUTE(LEFT(S25,SEARCH("S",S25)+1)," ",""),
        _xlpm.fim,SUBSTITUTE(LEFT(U25,SEARCH("S",U25)+1)," ",""),
        _xlpm.rIni,VALUE(MID(_xlpm.ini,2,1)),
        _xlpm.sIni,VALUE(RIGHT(_xlpm.ini,1)),
        _xlpm.rFim,VALUE(MID(_xlpm.fim,2,1)),
        _xlpm.sFim,VALUE(RIGHT(_xlpm.fim,1)),
        _xlpm.total,((_xlpm.rFim-1)*4 + _xlpm.sFim) - ((_xlpm.rIni-1)*4 + _xlpm.sIni) + 1,
        _xlpm.total &amp; " sprint" &amp; IF(_xlpm.total&gt;1,"s","")
    ),
"")</f>
        <v>2 sprints</v>
      </c>
      <c r="Y25" s="8"/>
      <c r="Z25" s="8" t="s">
        <v>397</v>
      </c>
      <c r="AA25" s="8"/>
      <c r="AB25" s="8" t="s">
        <v>398</v>
      </c>
      <c r="AC25" s="8"/>
      <c r="AD25" s="8"/>
      <c r="AE25" s="8"/>
      <c r="AF25" s="8"/>
      <c r="AG25" s="8"/>
      <c r="AH25" s="23"/>
      <c r="AI25" s="23"/>
      <c r="AJ25" s="23"/>
      <c r="AK25" s="8"/>
      <c r="AL25" s="8"/>
      <c r="AM25" s="8"/>
      <c r="AN25" s="8"/>
      <c r="AO25" s="8"/>
      <c r="AP25" s="8"/>
      <c r="AQ25" s="8"/>
      <c r="AR25" s="8"/>
    </row>
    <row r="26" spans="1:44" ht="70.05" customHeight="1" x14ac:dyDescent="0.3">
      <c r="A26" s="8">
        <f>ROW()</f>
        <v>26</v>
      </c>
      <c r="B26" s="8" t="s">
        <v>21</v>
      </c>
      <c r="C26" s="8" t="s">
        <v>25</v>
      </c>
      <c r="D26" s="8" t="s">
        <v>29</v>
      </c>
      <c r="E26" s="8" t="s">
        <v>395</v>
      </c>
      <c r="F26" s="8" t="s">
        <v>396</v>
      </c>
      <c r="G26" s="8" t="s">
        <v>35</v>
      </c>
      <c r="H26" s="8" t="s">
        <v>37</v>
      </c>
      <c r="I26" s="8" t="s">
        <v>39</v>
      </c>
      <c r="J26" s="8" t="s">
        <v>43</v>
      </c>
      <c r="K26" s="8" t="s">
        <v>45</v>
      </c>
      <c r="L26" s="8">
        <f t="shared" si="4"/>
        <v>1</v>
      </c>
      <c r="M26" s="8" t="s">
        <v>55</v>
      </c>
      <c r="N26" s="8" t="s">
        <v>347</v>
      </c>
      <c r="O26" s="8" t="s">
        <v>347</v>
      </c>
      <c r="P26" s="8" t="s">
        <v>347</v>
      </c>
      <c r="Q26" s="8"/>
      <c r="R26" s="8" t="s">
        <v>120</v>
      </c>
      <c r="S26" s="8" t="s">
        <v>120</v>
      </c>
      <c r="T26" s="8" t="s">
        <v>140</v>
      </c>
      <c r="U26" s="8" t="s">
        <v>140</v>
      </c>
      <c r="V26" s="8" t="str">
        <f t="shared" si="11"/>
        <v>2 sprints</v>
      </c>
      <c r="W26" s="8" t="str">
        <f t="shared" si="12"/>
        <v>2 sprints</v>
      </c>
      <c r="X26" s="8" t="str">
        <f t="shared" si="13"/>
        <v>2 sprints</v>
      </c>
      <c r="Y26" s="8"/>
      <c r="Z26" s="8" t="s">
        <v>397</v>
      </c>
      <c r="AA26" s="8"/>
      <c r="AB26" s="8" t="s">
        <v>398</v>
      </c>
      <c r="AC26" s="8"/>
      <c r="AD26" s="8"/>
      <c r="AE26" s="8"/>
      <c r="AF26" s="8"/>
      <c r="AG26" s="8"/>
      <c r="AH26" s="23"/>
      <c r="AI26" s="23"/>
      <c r="AJ26" s="23"/>
      <c r="AK26" s="8"/>
      <c r="AL26" s="8"/>
      <c r="AM26" s="8"/>
      <c r="AN26" s="8"/>
      <c r="AO26" s="8"/>
      <c r="AP26" s="8"/>
      <c r="AQ26" s="8"/>
      <c r="AR26" s="8"/>
    </row>
    <row r="27" spans="1:44" ht="70.05" customHeight="1" x14ac:dyDescent="0.3">
      <c r="A27" s="8">
        <f>ROW()</f>
        <v>27</v>
      </c>
      <c r="B27" s="8" t="s">
        <v>21</v>
      </c>
      <c r="C27" s="8" t="s">
        <v>25</v>
      </c>
      <c r="D27" s="8" t="s">
        <v>30</v>
      </c>
      <c r="E27" s="8" t="s">
        <v>405</v>
      </c>
      <c r="F27" s="8" t="s">
        <v>406</v>
      </c>
      <c r="G27" s="8" t="s">
        <v>35</v>
      </c>
      <c r="H27" s="8" t="s">
        <v>37</v>
      </c>
      <c r="I27" s="8" t="s">
        <v>38</v>
      </c>
      <c r="J27" s="8" t="s">
        <v>43</v>
      </c>
      <c r="K27" s="8" t="s">
        <v>45</v>
      </c>
      <c r="L27" s="8">
        <f t="shared" ref="L27" si="14">IF(K27="Ruim",1,IF(K27="Médio",2,IF(K27="Bom",3,IF(K27="Excelente",4,""))))</f>
        <v>1</v>
      </c>
      <c r="M27" s="8" t="s">
        <v>53</v>
      </c>
      <c r="N27" s="8" t="s">
        <v>347</v>
      </c>
      <c r="O27" s="8" t="s">
        <v>347</v>
      </c>
      <c r="P27" s="8" t="s">
        <v>347</v>
      </c>
      <c r="Q27" s="8"/>
      <c r="R27" s="8" t="s">
        <v>119</v>
      </c>
      <c r="S27" s="8" t="s">
        <v>119</v>
      </c>
      <c r="T27" s="8" t="s">
        <v>140</v>
      </c>
      <c r="U27" s="8"/>
      <c r="V27" s="8" t="str">
        <f t="shared" si="11"/>
        <v>3 sprints</v>
      </c>
      <c r="W27" s="8" t="str">
        <f t="shared" si="12"/>
        <v/>
      </c>
      <c r="X27" s="8" t="str">
        <f t="shared" si="13"/>
        <v/>
      </c>
      <c r="Y27" s="8" t="s">
        <v>407</v>
      </c>
      <c r="Z27" s="8" t="s">
        <v>408</v>
      </c>
      <c r="AA27" s="8" t="s">
        <v>409</v>
      </c>
      <c r="AB27" s="8" t="s">
        <v>410</v>
      </c>
      <c r="AC27" s="8"/>
      <c r="AD27" s="8"/>
      <c r="AE27" s="8"/>
      <c r="AF27" s="8"/>
      <c r="AG27" s="8" t="s">
        <v>411</v>
      </c>
      <c r="AH27" s="8" t="s">
        <v>57</v>
      </c>
      <c r="AI27" s="23"/>
      <c r="AJ27" s="23"/>
      <c r="AK27" s="8"/>
      <c r="AL27" s="8"/>
      <c r="AM27" s="8"/>
      <c r="AN27" s="8"/>
      <c r="AO27" s="8"/>
      <c r="AP27" s="8" t="s">
        <v>295</v>
      </c>
      <c r="AQ27" s="8"/>
      <c r="AR27" s="8"/>
    </row>
    <row r="28" spans="1:44" ht="70.05" customHeight="1" x14ac:dyDescent="0.3">
      <c r="A28" s="8">
        <f>ROW()</f>
        <v>28</v>
      </c>
      <c r="B28" s="8" t="s">
        <v>21</v>
      </c>
      <c r="C28" s="8" t="s">
        <v>25</v>
      </c>
      <c r="D28" s="8" t="s">
        <v>30</v>
      </c>
      <c r="E28" s="8" t="s">
        <v>405</v>
      </c>
      <c r="F28" s="8" t="s">
        <v>441</v>
      </c>
      <c r="G28" s="8" t="s">
        <v>35</v>
      </c>
      <c r="H28" s="8" t="s">
        <v>37</v>
      </c>
      <c r="I28" s="8" t="s">
        <v>39</v>
      </c>
      <c r="J28" s="8" t="s">
        <v>43</v>
      </c>
      <c r="K28" s="8" t="s">
        <v>45</v>
      </c>
      <c r="L28" s="8">
        <f t="shared" si="4"/>
        <v>1</v>
      </c>
      <c r="M28" s="8" t="s">
        <v>52</v>
      </c>
      <c r="N28" s="8" t="s">
        <v>347</v>
      </c>
      <c r="O28" s="8" t="s">
        <v>347</v>
      </c>
      <c r="P28" s="8" t="s">
        <v>347</v>
      </c>
      <c r="Q28" s="8"/>
      <c r="R28" s="8" t="s">
        <v>120</v>
      </c>
      <c r="S28" s="8" t="s">
        <v>120</v>
      </c>
      <c r="T28" s="8" t="s">
        <v>140</v>
      </c>
      <c r="U28" s="8"/>
      <c r="V28" s="8" t="str">
        <f t="shared" si="11"/>
        <v>2 sprints</v>
      </c>
      <c r="W28" s="8" t="str">
        <f t="shared" si="12"/>
        <v/>
      </c>
      <c r="X28" s="8" t="str">
        <f t="shared" si="13"/>
        <v/>
      </c>
      <c r="Y28" s="8" t="s">
        <v>407</v>
      </c>
      <c r="Z28" s="8" t="s">
        <v>408</v>
      </c>
      <c r="AA28" s="8" t="s">
        <v>409</v>
      </c>
      <c r="AB28" s="8" t="s">
        <v>410</v>
      </c>
      <c r="AC28" s="8"/>
      <c r="AD28" s="8"/>
      <c r="AE28" s="8"/>
      <c r="AF28" s="8"/>
      <c r="AG28" s="8" t="s">
        <v>411</v>
      </c>
      <c r="AH28" s="8" t="s">
        <v>57</v>
      </c>
      <c r="AI28" s="23"/>
      <c r="AJ28" s="23"/>
      <c r="AK28" s="8"/>
      <c r="AL28" s="8"/>
      <c r="AM28" s="8"/>
      <c r="AN28" s="8"/>
      <c r="AO28" s="8"/>
      <c r="AP28" s="8" t="s">
        <v>285</v>
      </c>
      <c r="AQ28" s="8" t="s">
        <v>285</v>
      </c>
      <c r="AR28" s="8"/>
    </row>
    <row r="29" spans="1:44" ht="70.05" customHeight="1" x14ac:dyDescent="0.3">
      <c r="A29" s="8">
        <f>ROW()</f>
        <v>29</v>
      </c>
      <c r="B29" s="8" t="s">
        <v>21</v>
      </c>
      <c r="C29" s="8" t="s">
        <v>25</v>
      </c>
      <c r="D29" s="8" t="s">
        <v>27</v>
      </c>
      <c r="E29" s="8" t="s">
        <v>293</v>
      </c>
      <c r="F29" s="8" t="s">
        <v>414</v>
      </c>
      <c r="G29" s="8" t="s">
        <v>40</v>
      </c>
      <c r="H29" s="8" t="s">
        <v>36</v>
      </c>
      <c r="I29" s="8" t="s">
        <v>38</v>
      </c>
      <c r="J29" s="8" t="s">
        <v>43</v>
      </c>
      <c r="K29" s="8" t="s">
        <v>48</v>
      </c>
      <c r="L29" s="8">
        <f t="shared" ref="L29" si="15">IF(K29="Ruim",1,IF(K29="Médio",2,IF(K29="Bom",3,IF(K29="Excelente",4,""))))</f>
        <v>4</v>
      </c>
      <c r="M29" s="8" t="s">
        <v>53</v>
      </c>
      <c r="N29" s="8" t="s">
        <v>349</v>
      </c>
      <c r="O29" s="8" t="s">
        <v>349</v>
      </c>
      <c r="P29" s="8" t="s">
        <v>349</v>
      </c>
      <c r="Q29" s="8"/>
      <c r="R29" s="8" t="s">
        <v>140</v>
      </c>
      <c r="S29" s="8" t="s">
        <v>140</v>
      </c>
      <c r="T29" s="8" t="s">
        <v>140</v>
      </c>
      <c r="U29" s="8" t="s">
        <v>368</v>
      </c>
      <c r="V29" s="8" t="str">
        <f t="shared" si="11"/>
        <v>1 sprint</v>
      </c>
      <c r="W29" s="8" t="str">
        <f t="shared" si="12"/>
        <v>2 sprints</v>
      </c>
      <c r="X29" s="8" t="str">
        <f t="shared" si="13"/>
        <v>2 sprints</v>
      </c>
      <c r="Y29" s="8" t="s">
        <v>417</v>
      </c>
      <c r="Z29" s="8" t="s">
        <v>418</v>
      </c>
      <c r="AA29" s="8" t="s">
        <v>419</v>
      </c>
      <c r="AB29" s="8" t="s">
        <v>468</v>
      </c>
      <c r="AC29" s="8"/>
      <c r="AD29" s="24">
        <v>45803</v>
      </c>
      <c r="AE29" s="8"/>
      <c r="AF29" s="8" t="s">
        <v>469</v>
      </c>
      <c r="AG29" s="8" t="s">
        <v>470</v>
      </c>
      <c r="AH29" s="8" t="s">
        <v>58</v>
      </c>
      <c r="AI29" s="23"/>
      <c r="AJ29" s="23"/>
      <c r="AK29" s="8"/>
      <c r="AL29" s="8"/>
      <c r="AM29" s="8"/>
      <c r="AN29" s="8"/>
      <c r="AO29" s="8"/>
      <c r="AP29" s="8" t="s">
        <v>299</v>
      </c>
      <c r="AQ29" s="8"/>
      <c r="AR29" s="8"/>
    </row>
    <row r="30" spans="1:44" ht="70.05" customHeight="1" x14ac:dyDescent="0.3">
      <c r="A30" s="8">
        <f>ROW()</f>
        <v>30</v>
      </c>
      <c r="B30" s="8" t="s">
        <v>21</v>
      </c>
      <c r="C30" s="8" t="s">
        <v>25</v>
      </c>
      <c r="D30" s="8" t="s">
        <v>27</v>
      </c>
      <c r="E30" s="8" t="s">
        <v>293</v>
      </c>
      <c r="F30" s="8" t="s">
        <v>414</v>
      </c>
      <c r="G30" s="8" t="s">
        <v>40</v>
      </c>
      <c r="H30" s="8" t="s">
        <v>36</v>
      </c>
      <c r="I30" s="8" t="s">
        <v>39</v>
      </c>
      <c r="J30" s="8" t="s">
        <v>43</v>
      </c>
      <c r="K30" s="8" t="s">
        <v>48</v>
      </c>
      <c r="L30" s="8">
        <f t="shared" ref="L30:L31" si="16">IF(K30="Ruim",1,IF(K30="Médio",2,IF(K30="Bom",3,IF(K30="Excelente",4,""))))</f>
        <v>4</v>
      </c>
      <c r="M30" s="8" t="s">
        <v>52</v>
      </c>
      <c r="N30" s="8" t="s">
        <v>349</v>
      </c>
      <c r="O30" s="8" t="s">
        <v>349</v>
      </c>
      <c r="P30" s="8" t="s">
        <v>349</v>
      </c>
      <c r="Q30" s="8"/>
      <c r="R30" s="8" t="s">
        <v>140</v>
      </c>
      <c r="S30" s="8" t="s">
        <v>368</v>
      </c>
      <c r="T30" s="8" t="s">
        <v>368</v>
      </c>
      <c r="U30" s="8"/>
      <c r="V30" s="8" t="str">
        <f t="shared" si="11"/>
        <v>2 sprints</v>
      </c>
      <c r="W30" s="8" t="str">
        <f t="shared" si="12"/>
        <v/>
      </c>
      <c r="X30" s="8" t="str">
        <f t="shared" si="13"/>
        <v/>
      </c>
      <c r="Y30" s="8" t="s">
        <v>417</v>
      </c>
      <c r="Z30" s="8" t="s">
        <v>418</v>
      </c>
      <c r="AA30" s="8" t="s">
        <v>419</v>
      </c>
      <c r="AB30" s="8" t="s">
        <v>468</v>
      </c>
      <c r="AC30" s="8"/>
      <c r="AD30" s="24">
        <v>45803</v>
      </c>
      <c r="AE30" s="8"/>
      <c r="AF30" s="8" t="s">
        <v>469</v>
      </c>
      <c r="AG30" s="8" t="s">
        <v>471</v>
      </c>
      <c r="AH30" s="23" t="s">
        <v>58</v>
      </c>
      <c r="AI30" s="23"/>
      <c r="AJ30" s="23"/>
      <c r="AK30" s="8"/>
      <c r="AL30" s="8"/>
      <c r="AM30" s="8"/>
      <c r="AN30" s="8"/>
      <c r="AO30" s="8"/>
      <c r="AP30" s="8" t="s">
        <v>299</v>
      </c>
      <c r="AQ30" s="8" t="s">
        <v>303</v>
      </c>
      <c r="AR30" s="8"/>
    </row>
    <row r="31" spans="1:44" ht="70.05" customHeight="1" x14ac:dyDescent="0.3">
      <c r="A31" s="8">
        <f>ROW()</f>
        <v>31</v>
      </c>
      <c r="B31" s="8" t="s">
        <v>21</v>
      </c>
      <c r="C31" s="8" t="s">
        <v>25</v>
      </c>
      <c r="D31" s="8" t="s">
        <v>29</v>
      </c>
      <c r="E31" s="8" t="s">
        <v>405</v>
      </c>
      <c r="F31" s="8" t="s">
        <v>453</v>
      </c>
      <c r="G31" s="8" t="s">
        <v>34</v>
      </c>
      <c r="H31" s="8" t="s">
        <v>37</v>
      </c>
      <c r="I31" s="8" t="s">
        <v>38</v>
      </c>
      <c r="J31" s="8" t="s">
        <v>43</v>
      </c>
      <c r="K31" s="8" t="s">
        <v>47</v>
      </c>
      <c r="L31" s="8">
        <f t="shared" si="16"/>
        <v>3</v>
      </c>
      <c r="M31" s="8" t="s">
        <v>53</v>
      </c>
      <c r="N31" s="8" t="s">
        <v>348</v>
      </c>
      <c r="O31" s="8" t="s">
        <v>348</v>
      </c>
      <c r="P31" s="8" t="s">
        <v>348</v>
      </c>
      <c r="Q31" s="8" t="s">
        <v>504</v>
      </c>
      <c r="R31" s="8" t="s">
        <v>368</v>
      </c>
      <c r="S31" s="8"/>
      <c r="T31" s="8" t="s">
        <v>368</v>
      </c>
      <c r="U31" s="8"/>
      <c r="V31" s="8" t="str">
        <f>IF(AND(R31&lt;&gt;"",T31&lt;&gt;""),
    _xlfn.LET(
        _xlpm.ini,SUBSTITUTE(LEFT(R31,SEARCH("S",R31)+1)," ",""),
        _xlpm.fim,SUBSTITUTE(LEFT(T31,SEARCH("S",T31)+1)," ",""),
        _xlpm.rIni,VALUE(MID(_xlpm.ini,2,1)),
        _xlpm.sIni,VALUE(RIGHT(_xlpm.ini,1)),
        _xlpm.rFim,VALUE(MID(_xlpm.fim,2,1)),
        _xlpm.sFim,VALUE(RIGHT(_xlpm.fim,1)),
        _xlpm.total,((_xlpm.rFim-1)*4 + _xlpm.sFim) - ((_xlpm.rIni-1)*4 + _xlpm.sIni) + 1,
        _xlpm.total &amp; " sprint" &amp; IF(_xlpm.total&gt;1,"s","")
    ),
"")</f>
        <v>1 sprint</v>
      </c>
      <c r="W31" s="8" t="str">
        <f>IF(AND(R31&lt;&gt;"",U31&lt;&gt;""),
    _xlfn.LET(
        _xlpm.ini,SUBSTITUTE(LEFT(R31,SEARCH("S",R31)+1)," ",""),
        _xlpm.fim,SUBSTITUTE(LEFT(U31,SEARCH("S",U31)+1)," ",""),
        _xlpm.rIni,VALUE(MID(_xlpm.ini,2,1)),
        _xlpm.sIni,VALUE(RIGHT(_xlpm.ini,1)),
        _xlpm.rFim,VALUE(MID(_xlpm.fim,2,1)),
        _xlpm.sFim,VALUE(RIGHT(_xlpm.fim,1)),
        _xlpm.total,((_xlpm.rFim-1)*4 + _xlpm.sFim) - ((_xlpm.rIni-1)*4 + _xlpm.sIni) + 1,
        _xlpm.total &amp; " sprint" &amp; IF(_xlpm.total&gt;1,"s","")
    ),
"")</f>
        <v/>
      </c>
      <c r="X31" s="8" t="str">
        <f>IF(AND(S31&lt;&gt;"",U31&lt;&gt;""),
    _xlfn.LET(
        _xlpm.ini,SUBSTITUTE(LEFT(S31,SEARCH("S",S31)+1)," ",""),
        _xlpm.fim,SUBSTITUTE(LEFT(U31,SEARCH("S",U31)+1)," ",""),
        _xlpm.rIni,VALUE(MID(_xlpm.ini,2,1)),
        _xlpm.sIni,VALUE(RIGHT(_xlpm.ini,1)),
        _xlpm.rFim,VALUE(MID(_xlpm.fim,2,1)),
        _xlpm.sFim,VALUE(RIGHT(_xlpm.fim,1)),
        _xlpm.total,((_xlpm.rFim-1)*4 + _xlpm.sFim) - ((_xlpm.rIni-1)*4 + _xlpm.sIni) + 1,
        _xlpm.total &amp; " sprint" &amp; IF(_xlpm.total&gt;1,"s","")
    ),
"")</f>
        <v/>
      </c>
      <c r="Y31" s="8" t="s">
        <v>454</v>
      </c>
      <c r="Z31" s="8" t="s">
        <v>408</v>
      </c>
      <c r="AA31" s="8" t="s">
        <v>456</v>
      </c>
      <c r="AB31" s="8" t="s">
        <v>455</v>
      </c>
      <c r="AC31" s="8"/>
      <c r="AD31" s="8"/>
      <c r="AE31" s="8" t="s">
        <v>457</v>
      </c>
      <c r="AF31" s="8"/>
      <c r="AG31" s="8" t="s">
        <v>462</v>
      </c>
      <c r="AH31" s="23" t="s">
        <v>46</v>
      </c>
      <c r="AI31" s="23"/>
      <c r="AJ31" s="23"/>
      <c r="AK31" s="8"/>
      <c r="AL31" s="8"/>
      <c r="AM31" s="8"/>
      <c r="AN31" s="8"/>
      <c r="AO31" s="8"/>
      <c r="AP31" s="8" t="s">
        <v>292</v>
      </c>
      <c r="AQ31" s="8" t="s">
        <v>299</v>
      </c>
      <c r="AR31" s="8"/>
    </row>
    <row r="32" spans="1:44" ht="70.05" customHeight="1" x14ac:dyDescent="0.3">
      <c r="A32" s="8">
        <f>ROW()</f>
        <v>32</v>
      </c>
      <c r="B32" s="8" t="s">
        <v>21</v>
      </c>
      <c r="C32" s="8" t="s">
        <v>25</v>
      </c>
      <c r="D32" s="8" t="s">
        <v>29</v>
      </c>
      <c r="E32" s="8" t="s">
        <v>405</v>
      </c>
      <c r="F32" s="8" t="s">
        <v>453</v>
      </c>
      <c r="G32" s="8" t="s">
        <v>34</v>
      </c>
      <c r="H32" s="8" t="s">
        <v>37</v>
      </c>
      <c r="I32" s="8" t="s">
        <v>39</v>
      </c>
      <c r="J32" s="8" t="s">
        <v>43</v>
      </c>
      <c r="K32" s="25" t="s">
        <v>47</v>
      </c>
      <c r="L32" s="25">
        <f t="shared" ref="L32:L34" si="17">IF(K32="Ruim",1,IF(K32="Médio",2,IF(K32="Bom",3,IF(K32="Excelente",4,""))))</f>
        <v>3</v>
      </c>
      <c r="M32" s="8" t="s">
        <v>52</v>
      </c>
      <c r="N32" s="8"/>
      <c r="O32" s="8"/>
      <c r="P32" s="8"/>
      <c r="Q32" s="8"/>
      <c r="R32" s="8" t="s">
        <v>368</v>
      </c>
      <c r="S32" s="8"/>
      <c r="T32" s="8" t="s">
        <v>369</v>
      </c>
      <c r="U32" s="8"/>
      <c r="V32" s="8" t="str">
        <f>IF(AND(R32&lt;&gt;"",T32&lt;&gt;""),
    _xlfn.LET(
        _xlpm.ini,SUBSTITUTE(LEFT(R32,SEARCH("S",R32)+1)," ",""),
        _xlpm.fim,SUBSTITUTE(LEFT(T32,SEARCH("S",T32)+1)," ",""),
        _xlpm.rIni,VALUE(MID(_xlpm.ini,2,1)),
        _xlpm.sIni,VALUE(RIGHT(_xlpm.ini,1)),
        _xlpm.rFim,VALUE(MID(_xlpm.fim,2,1)),
        _xlpm.sFim,VALUE(RIGHT(_xlpm.fim,1)),
        _xlpm.total,((_xlpm.rFim-1)*4 + _xlpm.sFim) - ((_xlpm.rIni-1)*4 + _xlpm.sIni) + 1,
        _xlpm.total &amp; " sprint" &amp; IF(_xlpm.total&gt;1,"s","")
    ),
"")</f>
        <v>2 sprints</v>
      </c>
      <c r="W32" s="8" t="str">
        <f>IF(AND(R32&lt;&gt;"",U32&lt;&gt;""),
    _xlfn.LET(
        _xlpm.ini,SUBSTITUTE(LEFT(R32,SEARCH("S",R32)+1)," ",""),
        _xlpm.fim,SUBSTITUTE(LEFT(U32,SEARCH("S",U32)+1)," ",""),
        _xlpm.rIni,VALUE(MID(_xlpm.ini,2,1)),
        _xlpm.sIni,VALUE(RIGHT(_xlpm.ini,1)),
        _xlpm.rFim,VALUE(MID(_xlpm.fim,2,1)),
        _xlpm.sFim,VALUE(RIGHT(_xlpm.fim,1)),
        _xlpm.total,((_xlpm.rFim-1)*4 + _xlpm.sFim) - ((_xlpm.rIni-1)*4 + _xlpm.sIni) + 1,
        _xlpm.total &amp; " sprint" &amp; IF(_xlpm.total&gt;1,"s","")
    ),
"")</f>
        <v/>
      </c>
      <c r="X32" s="8" t="str">
        <f>IF(AND(S32&lt;&gt;"",U32&lt;&gt;""),
    _xlfn.LET(
        _xlpm.ini,SUBSTITUTE(LEFT(S32,SEARCH("S",S32)+1)," ",""),
        _xlpm.fim,SUBSTITUTE(LEFT(U32,SEARCH("S",U32)+1)," ",""),
        _xlpm.rIni,VALUE(MID(_xlpm.ini,2,1)),
        _xlpm.sIni,VALUE(RIGHT(_xlpm.ini,1)),
        _xlpm.rFim,VALUE(MID(_xlpm.fim,2,1)),
        _xlpm.sFim,VALUE(RIGHT(_xlpm.fim,1)),
        _xlpm.total,((_xlpm.rFim-1)*4 + _xlpm.sFim) - ((_xlpm.rIni-1)*4 + _xlpm.sIni) + 1,
        _xlpm.total &amp; " sprint" &amp; IF(_xlpm.total&gt;1,"s","")
    ),
"")</f>
        <v/>
      </c>
      <c r="Y32" s="8" t="s">
        <v>454</v>
      </c>
      <c r="Z32" s="8" t="s">
        <v>408</v>
      </c>
      <c r="AA32" s="8" t="s">
        <v>456</v>
      </c>
      <c r="AB32" s="8" t="s">
        <v>455</v>
      </c>
      <c r="AC32" s="8"/>
      <c r="AD32" s="8"/>
      <c r="AE32" s="8" t="s">
        <v>457</v>
      </c>
      <c r="AF32" s="8"/>
      <c r="AG32" s="8" t="s">
        <v>463</v>
      </c>
      <c r="AH32" s="23" t="s">
        <v>58</v>
      </c>
      <c r="AI32" s="23"/>
      <c r="AJ32" s="23"/>
      <c r="AK32" s="8"/>
      <c r="AL32" s="8"/>
      <c r="AM32" s="8"/>
      <c r="AN32" s="8"/>
      <c r="AO32" s="8"/>
      <c r="AP32" s="8"/>
      <c r="AQ32" s="8" t="s">
        <v>285</v>
      </c>
      <c r="AR32" s="8"/>
    </row>
    <row r="33" spans="1:44" ht="70.05" customHeight="1" x14ac:dyDescent="0.3">
      <c r="A33" s="8">
        <f>ROW()</f>
        <v>33</v>
      </c>
      <c r="B33" s="8" t="s">
        <v>21</v>
      </c>
      <c r="C33" s="8" t="s">
        <v>23</v>
      </c>
      <c r="D33" s="8" t="s">
        <v>440</v>
      </c>
      <c r="E33" s="8" t="s">
        <v>440</v>
      </c>
      <c r="F33" s="8" t="s">
        <v>518</v>
      </c>
      <c r="G33" s="8" t="s">
        <v>42</v>
      </c>
      <c r="H33" s="8" t="s">
        <v>36</v>
      </c>
      <c r="I33" s="8" t="s">
        <v>39</v>
      </c>
      <c r="J33" s="8" t="s">
        <v>43</v>
      </c>
      <c r="K33" s="25" t="s">
        <v>47</v>
      </c>
      <c r="L33" s="25">
        <f t="shared" ref="L33" si="18">IF(K33="Ruim",1,IF(K33="Médio",2,IF(K33="Bom",3,IF(K33="Excelente",4,""))))</f>
        <v>3</v>
      </c>
      <c r="M33" s="8" t="s">
        <v>52</v>
      </c>
      <c r="N33" s="107" t="s">
        <v>349</v>
      </c>
      <c r="O33" s="107" t="s">
        <v>349</v>
      </c>
      <c r="P33" s="107" t="s">
        <v>349</v>
      </c>
      <c r="Q33" s="107"/>
      <c r="R33" s="8" t="s">
        <v>368</v>
      </c>
      <c r="S33" s="8" t="s">
        <v>368</v>
      </c>
      <c r="T33" s="8" t="s">
        <v>368</v>
      </c>
      <c r="U33" s="8"/>
      <c r="V33" s="8" t="str">
        <f>IF(AND(R33&lt;&gt;"",T33&lt;&gt;""),
    _xlfn.LET(
        _xlpm.ini,SUBSTITUTE(LEFT(R33,SEARCH("S",R33)+1)," ",""),
        _xlpm.fim,SUBSTITUTE(LEFT(T33,SEARCH("S",T33)+1)," ",""),
        _xlpm.rIni,VALUE(MID(_xlpm.ini,2,1)),
        _xlpm.sIni,VALUE(RIGHT(_xlpm.ini,1)),
        _xlpm.rFim,VALUE(MID(_xlpm.fim,2,1)),
        _xlpm.sFim,VALUE(RIGHT(_xlpm.fim,1)),
        _xlpm.total,((_xlpm.rFim-1)*4 + _xlpm.sFim) - ((_xlpm.rIni-1)*4 + _xlpm.sIni) + 1,
        _xlpm.total &amp; " sprint" &amp; IF(_xlpm.total&gt;1,"s","")
    ),
"")</f>
        <v>1 sprint</v>
      </c>
      <c r="W33" s="8" t="str">
        <f>IF(AND(R33&lt;&gt;"",U33&lt;&gt;""),
    _xlfn.LET(
        _xlpm.ini,SUBSTITUTE(LEFT(R33,SEARCH("S",R33)+1)," ",""),
        _xlpm.fim,SUBSTITUTE(LEFT(U33,SEARCH("S",U33)+1)," ",""),
        _xlpm.rIni,VALUE(MID(_xlpm.ini,2,1)),
        _xlpm.sIni,VALUE(RIGHT(_xlpm.ini,1)),
        _xlpm.rFim,VALUE(MID(_xlpm.fim,2,1)),
        _xlpm.sFim,VALUE(RIGHT(_xlpm.fim,1)),
        _xlpm.total,((_xlpm.rFim-1)*4 + _xlpm.sFim) - ((_xlpm.rIni-1)*4 + _xlpm.sIni) + 1,
        _xlpm.total &amp; " sprint" &amp; IF(_xlpm.total&gt;1,"s","")
    ),
"")</f>
        <v/>
      </c>
      <c r="X33" s="8" t="str">
        <f>IF(AND(S33&lt;&gt;"",U33&lt;&gt;""),
    _xlfn.LET(
        _xlpm.ini,SUBSTITUTE(LEFT(S33,SEARCH("S",S33)+1)," ",""),
        _xlpm.fim,SUBSTITUTE(LEFT(U33,SEARCH("S",U33)+1)," ",""),
        _xlpm.rIni,VALUE(MID(_xlpm.ini,2,1)),
        _xlpm.sIni,VALUE(RIGHT(_xlpm.ini,1)),
        _xlpm.rFim,VALUE(MID(_xlpm.fim,2,1)),
        _xlpm.sFim,VALUE(RIGHT(_xlpm.fim,1)),
        _xlpm.total,((_xlpm.rFim-1)*4 + _xlpm.sFim) - ((_xlpm.rIni-1)*4 + _xlpm.sIni) + 1,
        _xlpm.total &amp; " sprint" &amp; IF(_xlpm.total&gt;1,"s","")
    ),
"")</f>
        <v/>
      </c>
      <c r="Y33" s="8" t="s">
        <v>512</v>
      </c>
      <c r="Z33" s="8" t="s">
        <v>508</v>
      </c>
      <c r="AA33" s="8" t="s">
        <v>513</v>
      </c>
      <c r="AB33" s="8" t="s">
        <v>514</v>
      </c>
      <c r="AC33" s="8"/>
      <c r="AD33" s="8"/>
      <c r="AE33" s="8"/>
      <c r="AF33" s="8"/>
      <c r="AG33" s="8" t="s">
        <v>516</v>
      </c>
      <c r="AH33" s="23" t="s">
        <v>57</v>
      </c>
      <c r="AI33" s="23"/>
      <c r="AJ33" s="23"/>
      <c r="AK33" s="8"/>
      <c r="AL33" s="8"/>
      <c r="AM33" s="8"/>
      <c r="AN33" s="8"/>
      <c r="AO33" s="8"/>
      <c r="AP33" s="8"/>
      <c r="AQ33" s="8" t="s">
        <v>285</v>
      </c>
      <c r="AR33" s="8"/>
    </row>
    <row r="34" spans="1:44" ht="70.05" customHeight="1" x14ac:dyDescent="0.3">
      <c r="A34" s="8">
        <f>ROW()</f>
        <v>34</v>
      </c>
      <c r="B34" s="8" t="s">
        <v>21</v>
      </c>
      <c r="C34" s="8" t="s">
        <v>23</v>
      </c>
      <c r="D34" s="8" t="s">
        <v>440</v>
      </c>
      <c r="E34" s="8" t="s">
        <v>440</v>
      </c>
      <c r="F34" s="8" t="s">
        <v>505</v>
      </c>
      <c r="G34" s="8" t="s">
        <v>42</v>
      </c>
      <c r="H34" s="8" t="s">
        <v>36</v>
      </c>
      <c r="I34" s="8" t="s">
        <v>39</v>
      </c>
      <c r="J34" s="8" t="s">
        <v>43</v>
      </c>
      <c r="K34" s="25" t="s">
        <v>47</v>
      </c>
      <c r="L34" s="25">
        <f t="shared" si="17"/>
        <v>3</v>
      </c>
      <c r="M34" s="8" t="s">
        <v>52</v>
      </c>
      <c r="N34" s="8" t="s">
        <v>349</v>
      </c>
      <c r="O34" s="8" t="s">
        <v>349</v>
      </c>
      <c r="P34" s="8" t="s">
        <v>349</v>
      </c>
      <c r="Q34" s="8"/>
      <c r="R34" s="8" t="s">
        <v>368</v>
      </c>
      <c r="S34" s="8" t="s">
        <v>368</v>
      </c>
      <c r="T34" s="8" t="s">
        <v>506</v>
      </c>
      <c r="U34" s="8"/>
      <c r="V34" s="8" t="str">
        <f>IF(AND(R34&lt;&gt;"",T34&lt;&gt;""),
    _xlfn.LET(
        _xlpm.ini,SUBSTITUTE(LEFT(R34,SEARCH("S",R34)+1)," ",""),
        _xlpm.fim,SUBSTITUTE(LEFT(T34,SEARCH("S",T34)+1)," ",""),
        _xlpm.rIni,VALUE(MID(_xlpm.ini,2,1)),
        _xlpm.sIni,VALUE(RIGHT(_xlpm.ini,1)),
        _xlpm.rFim,VALUE(MID(_xlpm.fim,2,1)),
        _xlpm.sFim,VALUE(RIGHT(_xlpm.fim,1)),
        _xlpm.total,((_xlpm.rFim-1)*4 + _xlpm.sFim) - ((_xlpm.rIni-1)*4 + _xlpm.sIni) + 1,
        _xlpm.total &amp; " sprint" &amp; IF(_xlpm.total&gt;1,"s","")
    ),
"")</f>
        <v>3 sprints</v>
      </c>
      <c r="W34" s="8" t="str">
        <f>IF(AND(R34&lt;&gt;"",U34&lt;&gt;""),
    _xlfn.LET(
        _xlpm.ini,SUBSTITUTE(LEFT(R34,SEARCH("S",R34)+1)," ",""),
        _xlpm.fim,SUBSTITUTE(LEFT(U34,SEARCH("S",U34)+1)," ",""),
        _xlpm.rIni,VALUE(MID(_xlpm.ini,2,1)),
        _xlpm.sIni,VALUE(RIGHT(_xlpm.ini,1)),
        _xlpm.rFim,VALUE(MID(_xlpm.fim,2,1)),
        _xlpm.sFim,VALUE(RIGHT(_xlpm.fim,1)),
        _xlpm.total,((_xlpm.rFim-1)*4 + _xlpm.sFim) - ((_xlpm.rIni-1)*4 + _xlpm.sIni) + 1,
        _xlpm.total &amp; " sprint" &amp; IF(_xlpm.total&gt;1,"s","")
    ),
"")</f>
        <v/>
      </c>
      <c r="X34" s="8" t="str">
        <f>IF(AND(S34&lt;&gt;"",U34&lt;&gt;""),
    _xlfn.LET(
        _xlpm.ini,SUBSTITUTE(LEFT(S34,SEARCH("S",S34)+1)," ",""),
        _xlpm.fim,SUBSTITUTE(LEFT(U34,SEARCH("S",U34)+1)," ",""),
        _xlpm.rIni,VALUE(MID(_xlpm.ini,2,1)),
        _xlpm.sIni,VALUE(RIGHT(_xlpm.ini,1)),
        _xlpm.rFim,VALUE(MID(_xlpm.fim,2,1)),
        _xlpm.sFim,VALUE(RIGHT(_xlpm.fim,1)),
        _xlpm.total,((_xlpm.rFim-1)*4 + _xlpm.sFim) - ((_xlpm.rIni-1)*4 + _xlpm.sIni) + 1,
        _xlpm.total &amp; " sprint" &amp; IF(_xlpm.total&gt;1,"s","")
    ),
"")</f>
        <v/>
      </c>
      <c r="Y34" s="8" t="s">
        <v>507</v>
      </c>
      <c r="Z34" s="8" t="s">
        <v>508</v>
      </c>
      <c r="AA34" s="8" t="s">
        <v>509</v>
      </c>
      <c r="AB34" s="8" t="s">
        <v>515</v>
      </c>
      <c r="AC34" s="8"/>
      <c r="AD34" s="8"/>
      <c r="AE34" s="8"/>
      <c r="AF34" s="8" t="s">
        <v>510</v>
      </c>
      <c r="AG34" s="8" t="s">
        <v>511</v>
      </c>
      <c r="AH34" s="23" t="s">
        <v>57</v>
      </c>
      <c r="AI34" s="23"/>
      <c r="AJ34" s="23"/>
      <c r="AK34" s="8"/>
      <c r="AL34" s="8"/>
      <c r="AM34" s="8"/>
      <c r="AN34" s="8"/>
      <c r="AO34" s="8"/>
      <c r="AP34" s="8"/>
      <c r="AQ34" s="8" t="s">
        <v>285</v>
      </c>
      <c r="AR34" s="8"/>
    </row>
  </sheetData>
  <mergeCells count="9">
    <mergeCell ref="A1:BE2"/>
    <mergeCell ref="A3:BD4"/>
    <mergeCell ref="N5:Q5"/>
    <mergeCell ref="Y5:Z5"/>
    <mergeCell ref="R5:X5"/>
    <mergeCell ref="AK5:AN5"/>
    <mergeCell ref="AO5:AR5"/>
    <mergeCell ref="AG5:AI5"/>
    <mergeCell ref="AA5:AE5"/>
  </mergeCells>
  <dataValidations count="13">
    <dataValidation type="list" allowBlank="1" showInputMessage="1" showErrorMessage="1" sqref="E21:F22 E33:E34 D7:D1048576" xr:uid="{087C0932-85E5-4AC2-AAF1-13CE8FCCF9DF}">
      <formula1>Lista_Produtos</formula1>
    </dataValidation>
    <dataValidation type="list" allowBlank="1" showInputMessage="1" showErrorMessage="1" sqref="AC7:AC15 AC18:AC1048576" xr:uid="{EBA236A2-1521-42BE-9E7E-A0B46299C41C}">
      <formula1>"Sim,Não"</formula1>
    </dataValidation>
    <dataValidation type="decimal" allowBlank="1" showInputMessage="1" showErrorMessage="1" sqref="AI7:AI34" xr:uid="{D88242BB-2D67-486C-A51B-215D19EFA25B}">
      <formula1>0</formula1>
      <formula2>100</formula2>
    </dataValidation>
    <dataValidation type="list" allowBlank="1" showInputMessage="1" showErrorMessage="1" sqref="B7:B1048576" xr:uid="{AC1498DC-EA57-4010-A300-73CF922B274B}">
      <formula1>Lista_EscolhaRenuncia</formula1>
    </dataValidation>
    <dataValidation type="list" allowBlank="1" showInputMessage="1" showErrorMessage="1" sqref="C7:C1048576" xr:uid="{D3BCFBA6-9116-4069-970B-FFC920220F67}">
      <formula1>Lista_Criticidade</formula1>
    </dataValidation>
    <dataValidation type="list" allowBlank="1" showInputMessage="1" showErrorMessage="1" sqref="G7:G1048576" xr:uid="{33F4CA66-EE3B-4958-9E52-0088BC0C2FCF}">
      <formula1>Lista_Classificação_da_Torre</formula1>
    </dataValidation>
    <dataValidation type="list" allowBlank="1" showInputMessage="1" showErrorMessage="1" sqref="H7:H1048576" xr:uid="{6881AF65-4B82-4B90-AD26-F9B32700CA94}">
      <formula1>Lista_Frente_Prioritária</formula1>
    </dataValidation>
    <dataValidation type="list" allowBlank="1" showInputMessage="1" showErrorMessage="1" sqref="I7:I1048576" xr:uid="{B7901A88-07CC-40B4-BE68-2C568F1FD79D}">
      <formula1>Lista_Discovery_Delivery</formula1>
    </dataValidation>
    <dataValidation type="list" allowBlank="1" showInputMessage="1" showErrorMessage="1" sqref="J7:J1048576" xr:uid="{1EA9E565-CE66-4D66-9CC2-DAC62D7BFFB1}">
      <formula1>Lista_Orquestrado_Envolvido</formula1>
    </dataValidation>
    <dataValidation type="list" allowBlank="1" showInputMessage="1" showErrorMessage="1" sqref="K7:K1048576" xr:uid="{F9FA5C5F-8F1D-4987-9720-E85B05836EB6}">
      <formula1>Lista_Sinaleiro</formula1>
    </dataValidation>
    <dataValidation type="list" allowBlank="1" showInputMessage="1" showErrorMessage="1" sqref="M7:M1048576" xr:uid="{6B939560-83EB-40A7-B637-28F956D39248}">
      <formula1>Lista_Status</formula1>
    </dataValidation>
    <dataValidation type="list" allowBlank="1" showInputMessage="1" showErrorMessage="1" sqref="AK7:AR1048576" xr:uid="{1BDEDDF1-4E9E-48C1-BC18-1CCE212D0539}">
      <formula1>listaDualTrack</formula1>
    </dataValidation>
    <dataValidation type="list" allowBlank="1" showInputMessage="1" showErrorMessage="1" sqref="N7:P1048576" xr:uid="{D637FD07-3959-47F5-90F6-1170C9E0ECC9}">
      <formula1>"Não,Sim,Não se aplica"</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79" id="{45365B71-BC1E-444C-B36C-D364E6B473D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K12 L7:L12 K13:L30 K31:K1048576</xm:sqref>
        </x14:conditionalFormatting>
        <x14:conditionalFormatting xmlns:xm="http://schemas.microsoft.com/office/excel/2006/main">
          <x14:cfRule type="iconSet" priority="106" id="{D75D1A7A-2AED-49D0-A7CF-56DD458B81E3}">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L31:L34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9E20044A-F3B6-4A57-BF19-CC66435EE10D}">
          <x14:formula1>
            <xm:f>'Calendário Comunidade 2025'!$A$3:$A$22</xm:f>
          </x14:formula1>
          <xm:sqref>S13:T17 S7:U12 U13:U15 R7:R19 U17:U1048576 R18:T1048576</xm:sqref>
        </x14:dataValidation>
        <x14:dataValidation type="list" allowBlank="1" showInputMessage="1" showErrorMessage="1" xr:uid="{F15801AB-C150-4FBF-8651-F6E8D4380BB2}">
          <x14:formula1>
            <xm:f>Auxiliares!$Q$2:$Q$6</xm:f>
          </x14:formula1>
          <xm:sqref>AH7:AH1048576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6DB92-AD19-4A8E-94B0-469FDEF5D408}">
  <sheetPr codeName="Planilha5"/>
  <dimension ref="A2:E45"/>
  <sheetViews>
    <sheetView showGridLines="0" topLeftCell="A21" workbookViewId="0">
      <selection activeCell="A45" sqref="A45"/>
    </sheetView>
  </sheetViews>
  <sheetFormatPr defaultRowHeight="14.4" x14ac:dyDescent="0.3"/>
  <cols>
    <col min="1" max="1" width="85.77734375" bestFit="1" customWidth="1"/>
    <col min="2" max="2" width="19" bestFit="1" customWidth="1"/>
    <col min="3" max="3" width="12.33203125" bestFit="1" customWidth="1"/>
    <col min="4" max="4" width="5.21875" bestFit="1" customWidth="1"/>
    <col min="5" max="5" width="10.44140625" bestFit="1" customWidth="1"/>
    <col min="6" max="6" width="7.109375" bestFit="1" customWidth="1"/>
    <col min="7" max="7" width="5.33203125" bestFit="1" customWidth="1"/>
    <col min="8" max="8" width="9" bestFit="1" customWidth="1"/>
    <col min="9" max="9" width="6.6640625" bestFit="1" customWidth="1"/>
    <col min="10" max="10" width="9.77734375" bestFit="1" customWidth="1"/>
    <col min="11" max="11" width="10" bestFit="1" customWidth="1"/>
  </cols>
  <sheetData>
    <row r="2" spans="1:5" ht="15.6" x14ac:dyDescent="0.3">
      <c r="A2" s="143" t="s">
        <v>483</v>
      </c>
      <c r="B2" s="143"/>
      <c r="C2" s="143"/>
      <c r="D2" s="143"/>
      <c r="E2" s="143"/>
    </row>
    <row r="3" spans="1:5" x14ac:dyDescent="0.3">
      <c r="A3" s="31" t="s">
        <v>10</v>
      </c>
      <c r="B3" t="s">
        <v>484</v>
      </c>
    </row>
    <row r="4" spans="1:5" x14ac:dyDescent="0.3">
      <c r="A4" s="31" t="s">
        <v>2</v>
      </c>
      <c r="B4" t="s">
        <v>484</v>
      </c>
    </row>
    <row r="5" spans="1:5" x14ac:dyDescent="0.3">
      <c r="A5" s="31" t="s">
        <v>1</v>
      </c>
      <c r="B5" t="s">
        <v>484</v>
      </c>
    </row>
    <row r="6" spans="1:5" x14ac:dyDescent="0.3">
      <c r="A6" s="31" t="s">
        <v>8</v>
      </c>
      <c r="B6" t="s">
        <v>484</v>
      </c>
    </row>
    <row r="7" spans="1:5" x14ac:dyDescent="0.3">
      <c r="A7" s="31" t="s">
        <v>343</v>
      </c>
      <c r="B7" t="s">
        <v>484</v>
      </c>
    </row>
    <row r="8" spans="1:5" ht="15.6" x14ac:dyDescent="0.3">
      <c r="A8" s="31" t="s">
        <v>346</v>
      </c>
      <c r="B8" t="s">
        <v>484</v>
      </c>
      <c r="C8" s="102"/>
      <c r="D8" s="102"/>
      <c r="E8" s="102"/>
    </row>
    <row r="9" spans="1:5" x14ac:dyDescent="0.3">
      <c r="A9" s="31" t="s">
        <v>345</v>
      </c>
      <c r="B9" t="s">
        <v>484</v>
      </c>
    </row>
    <row r="10" spans="1:5" x14ac:dyDescent="0.3">
      <c r="A10" s="31" t="s">
        <v>374</v>
      </c>
      <c r="B10" t="s">
        <v>484</v>
      </c>
    </row>
    <row r="11" spans="1:5" x14ac:dyDescent="0.3">
      <c r="A11" s="31" t="s">
        <v>14</v>
      </c>
      <c r="B11" t="s">
        <v>484</v>
      </c>
    </row>
    <row r="13" spans="1:5" x14ac:dyDescent="0.3">
      <c r="A13" s="31" t="s">
        <v>313</v>
      </c>
      <c r="B13" s="31" t="s">
        <v>309</v>
      </c>
    </row>
    <row r="14" spans="1:5" x14ac:dyDescent="0.3">
      <c r="A14" s="31" t="s">
        <v>311</v>
      </c>
      <c r="B14" t="s">
        <v>52</v>
      </c>
      <c r="C14" t="s">
        <v>51</v>
      </c>
      <c r="D14" t="s">
        <v>50</v>
      </c>
      <c r="E14" t="s">
        <v>310</v>
      </c>
    </row>
    <row r="15" spans="1:5" x14ac:dyDescent="0.3">
      <c r="A15" s="32" t="s">
        <v>27</v>
      </c>
      <c r="B15">
        <v>1</v>
      </c>
      <c r="C15">
        <v>1</v>
      </c>
      <c r="D15">
        <v>1</v>
      </c>
      <c r="E15">
        <v>3</v>
      </c>
    </row>
    <row r="16" spans="1:5" x14ac:dyDescent="0.3">
      <c r="A16" s="33" t="s">
        <v>293</v>
      </c>
      <c r="B16">
        <v>1</v>
      </c>
      <c r="C16">
        <v>1</v>
      </c>
      <c r="D16">
        <v>1</v>
      </c>
      <c r="E16">
        <v>3</v>
      </c>
    </row>
    <row r="17" spans="1:5" x14ac:dyDescent="0.3">
      <c r="A17" s="34" t="s">
        <v>294</v>
      </c>
      <c r="C17">
        <v>1</v>
      </c>
      <c r="D17">
        <v>1</v>
      </c>
      <c r="E17">
        <v>2</v>
      </c>
    </row>
    <row r="18" spans="1:5" x14ac:dyDescent="0.3">
      <c r="A18" s="34" t="s">
        <v>414</v>
      </c>
      <c r="B18">
        <v>1</v>
      </c>
      <c r="E18">
        <v>1</v>
      </c>
    </row>
    <row r="19" spans="1:5" x14ac:dyDescent="0.3">
      <c r="A19" s="32" t="s">
        <v>26</v>
      </c>
      <c r="B19">
        <v>1</v>
      </c>
      <c r="C19">
        <v>1</v>
      </c>
      <c r="D19">
        <v>1</v>
      </c>
      <c r="E19">
        <v>3</v>
      </c>
    </row>
    <row r="20" spans="1:5" x14ac:dyDescent="0.3">
      <c r="A20" s="33" t="s">
        <v>129</v>
      </c>
      <c r="B20">
        <v>1</v>
      </c>
      <c r="C20">
        <v>1</v>
      </c>
      <c r="E20">
        <v>2</v>
      </c>
    </row>
    <row r="21" spans="1:5" x14ac:dyDescent="0.3">
      <c r="A21" s="34" t="s">
        <v>296</v>
      </c>
      <c r="B21">
        <v>1</v>
      </c>
      <c r="C21">
        <v>1</v>
      </c>
      <c r="E21">
        <v>2</v>
      </c>
    </row>
    <row r="22" spans="1:5" x14ac:dyDescent="0.3">
      <c r="A22" s="33" t="s">
        <v>269</v>
      </c>
      <c r="D22">
        <v>1</v>
      </c>
      <c r="E22">
        <v>1</v>
      </c>
    </row>
    <row r="23" spans="1:5" x14ac:dyDescent="0.3">
      <c r="A23" s="34" t="s">
        <v>270</v>
      </c>
      <c r="D23">
        <v>1</v>
      </c>
      <c r="E23">
        <v>1</v>
      </c>
    </row>
    <row r="24" spans="1:5" x14ac:dyDescent="0.3">
      <c r="A24" s="32" t="s">
        <v>28</v>
      </c>
      <c r="C24">
        <v>1</v>
      </c>
      <c r="D24">
        <v>1</v>
      </c>
      <c r="E24">
        <v>2</v>
      </c>
    </row>
    <row r="25" spans="1:5" x14ac:dyDescent="0.3">
      <c r="A25" s="33" t="s">
        <v>360</v>
      </c>
      <c r="C25">
        <v>1</v>
      </c>
      <c r="D25">
        <v>1</v>
      </c>
      <c r="E25">
        <v>2</v>
      </c>
    </row>
    <row r="26" spans="1:5" x14ac:dyDescent="0.3">
      <c r="A26" s="34" t="s">
        <v>342</v>
      </c>
      <c r="C26">
        <v>1</v>
      </c>
      <c r="D26">
        <v>1</v>
      </c>
      <c r="E26">
        <v>2</v>
      </c>
    </row>
    <row r="27" spans="1:5" x14ac:dyDescent="0.3">
      <c r="A27" s="32" t="s">
        <v>31</v>
      </c>
      <c r="B27">
        <v>1</v>
      </c>
      <c r="E27">
        <v>1</v>
      </c>
    </row>
    <row r="28" spans="1:5" x14ac:dyDescent="0.3">
      <c r="A28" s="33" t="s">
        <v>361</v>
      </c>
      <c r="B28">
        <v>1</v>
      </c>
      <c r="E28">
        <v>1</v>
      </c>
    </row>
    <row r="29" spans="1:5" x14ac:dyDescent="0.3">
      <c r="A29" s="34" t="s">
        <v>362</v>
      </c>
      <c r="B29">
        <v>1</v>
      </c>
      <c r="E29">
        <v>1</v>
      </c>
    </row>
    <row r="30" spans="1:5" x14ac:dyDescent="0.3">
      <c r="A30" s="32" t="s">
        <v>32</v>
      </c>
      <c r="B30">
        <v>1</v>
      </c>
      <c r="E30">
        <v>1</v>
      </c>
    </row>
    <row r="31" spans="1:5" x14ac:dyDescent="0.3">
      <c r="A31" s="33" t="s">
        <v>32</v>
      </c>
      <c r="B31">
        <v>1</v>
      </c>
      <c r="E31">
        <v>1</v>
      </c>
    </row>
    <row r="32" spans="1:5" x14ac:dyDescent="0.3">
      <c r="A32" s="34" t="s">
        <v>32</v>
      </c>
      <c r="B32">
        <v>1</v>
      </c>
      <c r="E32">
        <v>1</v>
      </c>
    </row>
    <row r="33" spans="1:5" x14ac:dyDescent="0.3">
      <c r="A33" s="32" t="s">
        <v>30</v>
      </c>
      <c r="B33">
        <v>1</v>
      </c>
      <c r="C33">
        <v>1</v>
      </c>
      <c r="E33">
        <v>2</v>
      </c>
    </row>
    <row r="34" spans="1:5" x14ac:dyDescent="0.3">
      <c r="A34" s="33" t="s">
        <v>366</v>
      </c>
      <c r="C34">
        <v>1</v>
      </c>
      <c r="E34">
        <v>1</v>
      </c>
    </row>
    <row r="35" spans="1:5" x14ac:dyDescent="0.3">
      <c r="A35" s="34" t="s">
        <v>363</v>
      </c>
      <c r="C35">
        <v>1</v>
      </c>
      <c r="E35">
        <v>1</v>
      </c>
    </row>
    <row r="36" spans="1:5" x14ac:dyDescent="0.3">
      <c r="A36" s="33" t="s">
        <v>405</v>
      </c>
      <c r="B36">
        <v>1</v>
      </c>
      <c r="E36">
        <v>1</v>
      </c>
    </row>
    <row r="37" spans="1:5" x14ac:dyDescent="0.3">
      <c r="A37" s="34" t="s">
        <v>441</v>
      </c>
      <c r="B37">
        <v>1</v>
      </c>
      <c r="E37">
        <v>1</v>
      </c>
    </row>
    <row r="38" spans="1:5" x14ac:dyDescent="0.3">
      <c r="A38" s="32" t="s">
        <v>29</v>
      </c>
      <c r="B38">
        <v>1</v>
      </c>
      <c r="E38">
        <v>1</v>
      </c>
    </row>
    <row r="39" spans="1:5" x14ac:dyDescent="0.3">
      <c r="A39" s="33" t="s">
        <v>405</v>
      </c>
      <c r="B39">
        <v>1</v>
      </c>
      <c r="E39">
        <v>1</v>
      </c>
    </row>
    <row r="40" spans="1:5" x14ac:dyDescent="0.3">
      <c r="A40" s="34" t="s">
        <v>453</v>
      </c>
      <c r="B40">
        <v>1</v>
      </c>
      <c r="E40">
        <v>1</v>
      </c>
    </row>
    <row r="41" spans="1:5" x14ac:dyDescent="0.3">
      <c r="A41" s="32" t="s">
        <v>440</v>
      </c>
      <c r="B41">
        <v>2</v>
      </c>
      <c r="E41">
        <v>2</v>
      </c>
    </row>
    <row r="42" spans="1:5" x14ac:dyDescent="0.3">
      <c r="A42" s="33" t="s">
        <v>440</v>
      </c>
      <c r="B42">
        <v>2</v>
      </c>
      <c r="E42">
        <v>2</v>
      </c>
    </row>
    <row r="43" spans="1:5" x14ac:dyDescent="0.3">
      <c r="A43" s="34" t="s">
        <v>517</v>
      </c>
      <c r="B43">
        <v>1</v>
      </c>
      <c r="E43">
        <v>1</v>
      </c>
    </row>
    <row r="44" spans="1:5" x14ac:dyDescent="0.3">
      <c r="A44" s="34" t="s">
        <v>505</v>
      </c>
      <c r="B44">
        <v>1</v>
      </c>
      <c r="E44">
        <v>1</v>
      </c>
    </row>
    <row r="45" spans="1:5" x14ac:dyDescent="0.3">
      <c r="A45" s="32" t="s">
        <v>310</v>
      </c>
      <c r="B45">
        <v>8</v>
      </c>
      <c r="C45">
        <v>4</v>
      </c>
      <c r="D45">
        <v>3</v>
      </c>
      <c r="E45">
        <v>15</v>
      </c>
    </row>
  </sheetData>
  <mergeCells count="1">
    <mergeCell ref="A2:E2"/>
  </mergeCells>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E1C66-E35B-4C37-A4D5-1F00404D29F1}">
  <sheetPr codeName="Planilha6"/>
  <dimension ref="A1:BG44"/>
  <sheetViews>
    <sheetView showGridLines="0" workbookViewId="0">
      <pane xSplit="7" ySplit="6" topLeftCell="P42" activePane="bottomRight" state="frozen"/>
      <selection pane="topRight" activeCell="G1" sqref="G1"/>
      <selection pane="bottomLeft" activeCell="A7" sqref="A7"/>
      <selection pane="bottomRight" activeCell="S42" sqref="S42"/>
    </sheetView>
  </sheetViews>
  <sheetFormatPr defaultRowHeight="14.4" x14ac:dyDescent="0.3"/>
  <cols>
    <col min="1" max="1" width="9.21875" style="1" customWidth="1"/>
    <col min="2" max="2" width="16.88671875" style="1" bestFit="1" customWidth="1"/>
    <col min="3" max="4" width="16.88671875" style="1" hidden="1" customWidth="1"/>
    <col min="5" max="5" width="22.88671875" style="1" bestFit="1" customWidth="1"/>
    <col min="6" max="6" width="9.77734375" style="1" customWidth="1"/>
    <col min="7" max="7" width="20.88671875" style="1" customWidth="1"/>
    <col min="8" max="8" width="19.77734375" style="1" customWidth="1"/>
    <col min="9" max="9" width="18.6640625" style="1" customWidth="1"/>
    <col min="10" max="10" width="22.6640625" style="1" customWidth="1"/>
    <col min="11" max="11" width="12.77734375" style="1" customWidth="1"/>
    <col min="12" max="12" width="10.109375" style="1" customWidth="1"/>
    <col min="13" max="13" width="8.5546875" style="1" customWidth="1"/>
    <col min="14" max="14" width="22.77734375" style="1" bestFit="1" customWidth="1"/>
    <col min="15" max="18" width="22.77734375" style="1" customWidth="1"/>
    <col min="19" max="19" width="19.77734375" style="1" customWidth="1"/>
    <col min="20" max="23" width="22.77734375" style="1" customWidth="1"/>
    <col min="24" max="24" width="21.109375" style="1" bestFit="1" customWidth="1"/>
    <col min="25" max="25" width="21.109375" style="1" customWidth="1"/>
    <col min="26" max="26" width="24.77734375" style="1" customWidth="1"/>
    <col min="27" max="27" width="22" style="1" customWidth="1"/>
    <col min="28" max="28" width="22.5546875" style="1" customWidth="1"/>
    <col min="29" max="30" width="21.77734375" style="1" customWidth="1"/>
    <col min="31" max="31" width="29.88671875" style="1" customWidth="1"/>
    <col min="32" max="33" width="18.21875" style="1" customWidth="1"/>
    <col min="34" max="34" width="33" style="1" customWidth="1"/>
    <col min="35" max="35" width="19.5546875" style="1" customWidth="1"/>
    <col min="36" max="36" width="25.88671875" style="9" customWidth="1"/>
    <col min="37" max="37" width="28.77734375" bestFit="1" customWidth="1"/>
    <col min="38" max="38" width="28.77734375" customWidth="1"/>
    <col min="39" max="46" width="19.21875" bestFit="1" customWidth="1"/>
  </cols>
  <sheetData>
    <row r="1" spans="1:59" ht="14.4" customHeight="1" x14ac:dyDescent="0.3">
      <c r="A1" s="138" t="s">
        <v>391</v>
      </c>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row>
    <row r="2" spans="1:59" ht="14.4" customHeight="1" x14ac:dyDescent="0.3">
      <c r="A2" s="138"/>
      <c r="B2" s="138"/>
      <c r="C2" s="138"/>
      <c r="D2" s="138"/>
      <c r="E2" s="138"/>
      <c r="F2" s="138"/>
      <c r="G2" s="138"/>
      <c r="H2" s="138"/>
      <c r="I2" s="138"/>
      <c r="J2" s="138"/>
      <c r="K2" s="138"/>
      <c r="L2" s="138"/>
      <c r="M2" s="138"/>
      <c r="N2" s="138"/>
      <c r="O2" s="138"/>
      <c r="P2" s="138"/>
      <c r="Q2" s="138"/>
      <c r="R2" s="138"/>
      <c r="S2" s="138"/>
      <c r="T2" s="138"/>
      <c r="U2" s="138"/>
      <c r="V2" s="138"/>
      <c r="W2" s="138"/>
      <c r="X2" s="138"/>
      <c r="Y2" s="138"/>
      <c r="Z2" s="138"/>
      <c r="AA2" s="138"/>
      <c r="AB2" s="138"/>
      <c r="AC2" s="138"/>
      <c r="AD2" s="138"/>
      <c r="AE2" s="138"/>
      <c r="AF2" s="138"/>
      <c r="AG2" s="138"/>
      <c r="AH2" s="138"/>
      <c r="AI2" s="138"/>
      <c r="AJ2" s="138"/>
      <c r="AK2" s="138"/>
      <c r="AL2" s="138"/>
      <c r="AM2" s="138"/>
      <c r="AN2" s="138"/>
      <c r="AO2" s="138"/>
      <c r="AP2" s="138"/>
      <c r="AQ2" s="138"/>
      <c r="AR2" s="138"/>
      <c r="AS2" s="138"/>
      <c r="AT2" s="138"/>
      <c r="AU2" s="138"/>
      <c r="AV2" s="138"/>
      <c r="AW2" s="138"/>
      <c r="AX2" s="138"/>
      <c r="AY2" s="138"/>
      <c r="AZ2" s="138"/>
      <c r="BA2" s="138"/>
      <c r="BB2" s="138"/>
      <c r="BC2" s="138"/>
      <c r="BD2" s="138"/>
      <c r="BE2" s="138"/>
      <c r="BF2" s="138"/>
      <c r="BG2" s="138"/>
    </row>
    <row r="3" spans="1:59" ht="14.4" customHeight="1" x14ac:dyDescent="0.3">
      <c r="A3" s="139" t="s">
        <v>0</v>
      </c>
      <c r="B3" s="139"/>
      <c r="C3" s="139"/>
      <c r="D3" s="139"/>
      <c r="E3" s="139"/>
      <c r="F3" s="139"/>
      <c r="G3" s="139"/>
      <c r="H3" s="139"/>
      <c r="I3" s="139"/>
      <c r="J3" s="139"/>
      <c r="K3" s="139"/>
      <c r="L3" s="139"/>
      <c r="M3" s="139"/>
      <c r="N3" s="139"/>
      <c r="O3" s="139"/>
      <c r="P3" s="139"/>
      <c r="Q3" s="139"/>
      <c r="R3" s="139"/>
      <c r="S3" s="139"/>
      <c r="T3" s="139"/>
      <c r="U3" s="139"/>
      <c r="V3" s="139"/>
      <c r="W3" s="139"/>
      <c r="X3" s="139"/>
      <c r="Y3" s="139"/>
      <c r="Z3" s="139"/>
      <c r="AA3" s="139"/>
      <c r="AB3" s="139"/>
      <c r="AC3" s="139"/>
      <c r="AD3" s="139"/>
      <c r="AE3" s="139"/>
      <c r="AF3" s="139"/>
      <c r="AG3" s="139"/>
      <c r="AH3" s="139"/>
      <c r="AI3" s="139"/>
      <c r="AJ3" s="139"/>
      <c r="AK3" s="139"/>
      <c r="AL3" s="139"/>
      <c r="AM3" s="139"/>
      <c r="AN3" s="139"/>
      <c r="AO3" s="139"/>
      <c r="AP3" s="139"/>
      <c r="AQ3" s="139"/>
      <c r="AR3" s="139"/>
      <c r="AS3" s="139"/>
      <c r="AT3" s="139"/>
      <c r="AU3" s="139"/>
      <c r="AV3" s="139"/>
      <c r="AW3" s="139"/>
      <c r="AX3" s="139"/>
      <c r="AY3" s="139"/>
      <c r="AZ3" s="139"/>
      <c r="BA3" s="139"/>
      <c r="BB3" s="139"/>
      <c r="BC3" s="139"/>
      <c r="BD3" s="139"/>
      <c r="BE3" s="139"/>
      <c r="BF3" s="139"/>
    </row>
    <row r="4" spans="1:59" ht="14.4" customHeight="1" x14ac:dyDescent="0.3">
      <c r="A4" s="139"/>
      <c r="B4" s="139"/>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c r="AC4" s="139"/>
      <c r="AD4" s="139"/>
      <c r="AE4" s="139"/>
      <c r="AF4" s="139"/>
      <c r="AG4" s="139"/>
      <c r="AH4" s="139"/>
      <c r="AI4" s="139"/>
      <c r="AJ4" s="139"/>
      <c r="AK4" s="139"/>
      <c r="AL4" s="139"/>
      <c r="AM4" s="139"/>
      <c r="AN4" s="139"/>
      <c r="AO4" s="139"/>
      <c r="AP4" s="139"/>
      <c r="AQ4" s="139"/>
      <c r="AR4" s="139"/>
      <c r="AS4" s="139"/>
      <c r="AT4" s="139"/>
      <c r="AU4" s="139"/>
      <c r="AV4" s="139"/>
      <c r="AW4" s="139"/>
      <c r="AX4" s="139"/>
      <c r="AY4" s="139"/>
      <c r="AZ4" s="139"/>
      <c r="BA4" s="139"/>
      <c r="BB4" s="139"/>
      <c r="BC4" s="139"/>
      <c r="BD4" s="139"/>
      <c r="BE4" s="139"/>
      <c r="BF4" s="139"/>
    </row>
    <row r="5" spans="1:59" s="3" customFormat="1" ht="22.2" customHeight="1" x14ac:dyDescent="0.3">
      <c r="A5" s="7"/>
      <c r="B5" s="7"/>
      <c r="C5" s="7"/>
      <c r="D5" s="7"/>
      <c r="E5" s="7"/>
      <c r="F5" s="7"/>
      <c r="G5" s="7"/>
      <c r="H5" s="7"/>
      <c r="I5" s="7"/>
      <c r="J5" s="7"/>
      <c r="K5" s="7"/>
      <c r="L5" s="7"/>
      <c r="M5" s="7"/>
      <c r="O5" s="142" t="s">
        <v>192</v>
      </c>
      <c r="P5" s="142"/>
      <c r="Q5" s="142"/>
      <c r="R5" s="142"/>
      <c r="S5" s="142"/>
      <c r="T5" s="142"/>
      <c r="U5" s="142"/>
      <c r="V5" s="35"/>
      <c r="W5" s="158" t="s">
        <v>74</v>
      </c>
      <c r="X5" s="158"/>
      <c r="Y5" s="158"/>
      <c r="Z5" s="158"/>
      <c r="AA5" s="158"/>
      <c r="AB5" s="158"/>
      <c r="AC5" s="158"/>
      <c r="AD5" s="157" t="s">
        <v>127</v>
      </c>
      <c r="AE5" s="157"/>
      <c r="AF5" s="2" t="s">
        <v>16</v>
      </c>
      <c r="AG5" s="2"/>
      <c r="AH5" s="22" t="s">
        <v>129</v>
      </c>
      <c r="AI5" s="160" t="s">
        <v>17</v>
      </c>
      <c r="AJ5" s="160"/>
      <c r="AK5" s="160"/>
      <c r="AL5" s="37" t="s">
        <v>356</v>
      </c>
      <c r="AM5" s="159" t="s">
        <v>107</v>
      </c>
      <c r="AN5" s="159"/>
      <c r="AO5" s="159"/>
      <c r="AP5" s="159"/>
      <c r="AQ5" s="159" t="s">
        <v>113</v>
      </c>
      <c r="AR5" s="159"/>
      <c r="AS5" s="159"/>
      <c r="AT5" s="159"/>
      <c r="AU5" s="7"/>
      <c r="AV5" s="7"/>
      <c r="AW5" s="7"/>
      <c r="AX5" s="7"/>
      <c r="AY5" s="7"/>
      <c r="AZ5" s="7"/>
      <c r="BA5" s="7"/>
      <c r="BB5" s="7"/>
      <c r="BC5" s="7"/>
      <c r="BD5" s="7"/>
      <c r="BE5" s="7"/>
      <c r="BF5" s="7"/>
    </row>
    <row r="6" spans="1:59" s="5" customFormat="1" ht="37.200000000000003" customHeight="1" x14ac:dyDescent="0.3">
      <c r="A6" s="6" t="s">
        <v>142</v>
      </c>
      <c r="B6" s="6" t="s">
        <v>144</v>
      </c>
      <c r="C6" s="6" t="s">
        <v>3</v>
      </c>
      <c r="D6" s="6" t="s">
        <v>4</v>
      </c>
      <c r="E6" s="6" t="s">
        <v>1</v>
      </c>
      <c r="F6" s="6" t="s">
        <v>2</v>
      </c>
      <c r="G6" s="6" t="s">
        <v>143</v>
      </c>
      <c r="H6" s="6" t="s">
        <v>6</v>
      </c>
      <c r="I6" s="6" t="s">
        <v>7</v>
      </c>
      <c r="J6" s="6" t="s">
        <v>8</v>
      </c>
      <c r="K6" s="15" t="s">
        <v>9</v>
      </c>
      <c r="L6" s="6" t="s">
        <v>10</v>
      </c>
      <c r="M6" s="15" t="s">
        <v>91</v>
      </c>
      <c r="N6" s="6" t="s">
        <v>11</v>
      </c>
      <c r="O6" s="6" t="s">
        <v>319</v>
      </c>
      <c r="P6" s="6" t="s">
        <v>320</v>
      </c>
      <c r="Q6" s="6" t="s">
        <v>321</v>
      </c>
      <c r="R6" s="6" t="s">
        <v>451</v>
      </c>
      <c r="S6" s="15" t="s">
        <v>452</v>
      </c>
      <c r="T6" s="6" t="s">
        <v>340</v>
      </c>
      <c r="U6" s="6" t="s">
        <v>339</v>
      </c>
      <c r="V6" s="6" t="s">
        <v>376</v>
      </c>
      <c r="W6" s="6" t="s">
        <v>70</v>
      </c>
      <c r="X6" s="6" t="s">
        <v>72</v>
      </c>
      <c r="Y6" s="6" t="s">
        <v>71</v>
      </c>
      <c r="Z6" s="6" t="s">
        <v>73</v>
      </c>
      <c r="AA6" s="15" t="s">
        <v>141</v>
      </c>
      <c r="AB6" s="15" t="s">
        <v>121</v>
      </c>
      <c r="AC6" s="15" t="s">
        <v>122</v>
      </c>
      <c r="AD6" s="6" t="s">
        <v>15</v>
      </c>
      <c r="AE6" s="6" t="s">
        <v>126</v>
      </c>
      <c r="AF6" s="15" t="s">
        <v>12</v>
      </c>
      <c r="AG6" s="15" t="s">
        <v>370</v>
      </c>
      <c r="AH6" s="6" t="s">
        <v>129</v>
      </c>
      <c r="AI6" s="15" t="s">
        <v>18</v>
      </c>
      <c r="AJ6" s="6" t="s">
        <v>19</v>
      </c>
      <c r="AK6" s="6" t="s">
        <v>20</v>
      </c>
      <c r="AL6" s="6" t="s">
        <v>356</v>
      </c>
      <c r="AM6" s="15" t="s">
        <v>275</v>
      </c>
      <c r="AN6" s="15" t="s">
        <v>276</v>
      </c>
      <c r="AO6" s="15" t="s">
        <v>277</v>
      </c>
      <c r="AP6" s="15" t="s">
        <v>278</v>
      </c>
      <c r="AQ6" s="15" t="s">
        <v>279</v>
      </c>
      <c r="AR6" s="15" t="s">
        <v>280</v>
      </c>
      <c r="AS6" s="15" t="s">
        <v>281</v>
      </c>
      <c r="AT6" s="15" t="s">
        <v>282</v>
      </c>
    </row>
    <row r="7" spans="1:59" s="16" customFormat="1" ht="70.05" hidden="1" customHeight="1" x14ac:dyDescent="0.3">
      <c r="A7" s="8">
        <f>ROW()</f>
        <v>7</v>
      </c>
      <c r="B7" s="8">
        <v>7</v>
      </c>
      <c r="C7" s="8" t="str">
        <f>VLOOKUP(tbRoadMapTatico[[#This Row],[ID Estratégico]],'Roadmap Estratégico'!A:BE,4,0)</f>
        <v>IBS 360</v>
      </c>
      <c r="D7" s="8" t="str">
        <f>VLOOKUP(tbRoadMapTatico[[#This Row],[ID Estratégico]],'Roadmap Estratégico'!A:BE,5,0)</f>
        <v>Melhoria experiência do usuário</v>
      </c>
      <c r="E7" s="8" t="s">
        <v>21</v>
      </c>
      <c r="F7" s="8" t="s">
        <v>25</v>
      </c>
      <c r="G7" s="8" t="s">
        <v>145</v>
      </c>
      <c r="H7" s="8" t="s">
        <v>34</v>
      </c>
      <c r="I7" s="8" t="s">
        <v>36</v>
      </c>
      <c r="J7" s="8" t="s">
        <v>38</v>
      </c>
      <c r="K7" s="8" t="s">
        <v>43</v>
      </c>
      <c r="L7" s="8" t="s">
        <v>46</v>
      </c>
      <c r="M7" s="8">
        <f t="shared" ref="M7:M9" si="0">IF(L7="Ruim",1,IF(L7="Médio",2,IF(L7="Bom",3,IF(L7="Excelente",4,""))))</f>
        <v>2</v>
      </c>
      <c r="N7" s="8" t="s">
        <v>53</v>
      </c>
      <c r="O7" s="8" t="s">
        <v>327</v>
      </c>
      <c r="P7" s="8" t="s">
        <v>327</v>
      </c>
      <c r="Q7" s="8" t="s">
        <v>326</v>
      </c>
      <c r="R7" s="8"/>
      <c r="S7" s="8"/>
      <c r="T7" s="8" t="s">
        <v>337</v>
      </c>
      <c r="U7" s="8"/>
      <c r="V7" s="8"/>
      <c r="W7" s="8" t="s">
        <v>118</v>
      </c>
      <c r="X7" s="8" t="s">
        <v>119</v>
      </c>
      <c r="Y7" s="8" t="s">
        <v>118</v>
      </c>
      <c r="Z7" s="8" t="s">
        <v>120</v>
      </c>
      <c r="AA7" s="8" t="str">
        <f t="shared" ref="AA7:AA12" si="1">IF(AND(W7&lt;&gt;"",Y7&lt;&gt;""),
    _xlfn.LET(
        _xlpm.ini,SUBSTITUTE(LEFT(W7,SEARCH("S",W7)+1)," ",""),
        _xlpm.fim,SUBSTITUTE(LEFT(Y7,SEARCH("S",Y7)+1)," ",""),
        _xlpm.rIni,VALUE(MID(_xlpm.ini,2,1)),
        _xlpm.sIni,VALUE(RIGHT(_xlpm.ini,1)),
        _xlpm.rFim,VALUE(MID(_xlpm.fim,2,1)),
        _xlpm.sFim,VALUE(RIGHT(_xlpm.fim,1)),
        _xlpm.total,((_xlpm.rFim-1)*4 + _xlpm.sFim) - ((_xlpm.rIni-1)*4 + _xlpm.sIni) + 1,
        _xlpm.total &amp; " sprint" &amp; IF(_xlpm.total&gt;1,"s","")
    ),
"")</f>
        <v>1 sprint</v>
      </c>
      <c r="AB7" s="8" t="str">
        <f t="shared" ref="AB7:AB18" si="2">IF(AND(W7&lt;&gt;"",Z7&lt;&gt;""),
    _xlfn.LET(
        _xlpm.ini,SUBSTITUTE(LEFT(W7,SEARCH("S",W7)+1)," ",""),
        _xlpm.fim,SUBSTITUTE(LEFT(Z7,SEARCH("S",Z7)+1)," ",""),
        _xlpm.rIni,VALUE(MID(_xlpm.ini,2,1)),
        _xlpm.sIni,VALUE(RIGHT(_xlpm.ini,1)),
        _xlpm.rFim,VALUE(MID(_xlpm.fim,2,1)),
        _xlpm.sFim,VALUE(RIGHT(_xlpm.fim,1)),
        _xlpm.total,((_xlpm.rFim-1)*4 + _xlpm.sFim) - ((_xlpm.rIni-1)*4 + _xlpm.sIni) + 1,
        _xlpm.total &amp; " sprint" &amp; IF(_xlpm.total&gt;1,"s","")
    ),
"")</f>
        <v>3 sprints</v>
      </c>
      <c r="AC7" s="8" t="str">
        <f t="shared" ref="AC7:AC12" si="3">IF(AND(X7&lt;&gt;"",Z7&lt;&gt;""),
    _xlfn.LET(
        _xlpm.ini,SUBSTITUTE(LEFT(X7,SEARCH("S",X7)+1)," ",""),
        _xlpm.fim,SUBSTITUTE(LEFT(Z7,SEARCH("S",Z7)+1)," ",""),
        _xlpm.rIni,VALUE(MID(_xlpm.ini,2,1)),
        _xlpm.sIni,VALUE(RIGHT(_xlpm.ini,1)),
        _xlpm.rFim,VALUE(MID(_xlpm.fim,2,1)),
        _xlpm.sFim,VALUE(RIGHT(_xlpm.fim,1)),
        _xlpm.total,((_xlpm.rFim-1)*4 + _xlpm.sFim) - ((_xlpm.rIni-1)*4 + _xlpm.sIni) + 1,
        _xlpm.total &amp; " sprint" &amp; IF(_xlpm.total&gt;1,"s","")
    ),
"")</f>
        <v>2 sprints</v>
      </c>
      <c r="AD7" s="8"/>
      <c r="AE7" s="8"/>
      <c r="AF7" s="8"/>
      <c r="AG7" s="8"/>
      <c r="AH7" s="8"/>
      <c r="AI7" s="8"/>
      <c r="AJ7" s="8"/>
      <c r="AK7" s="23"/>
      <c r="AL7" s="23"/>
      <c r="AM7" s="29"/>
      <c r="AN7" s="29"/>
      <c r="AO7" s="29"/>
      <c r="AP7" s="29"/>
      <c r="AQ7" s="29"/>
      <c r="AR7" s="29"/>
      <c r="AS7" s="29"/>
      <c r="AT7" s="29"/>
    </row>
    <row r="8" spans="1:59" s="16" customFormat="1" ht="70.05" hidden="1" customHeight="1" x14ac:dyDescent="0.3">
      <c r="A8" s="8">
        <f>ROW()</f>
        <v>8</v>
      </c>
      <c r="B8" s="8">
        <v>8</v>
      </c>
      <c r="C8" s="8" t="str">
        <f>VLOOKUP(tbRoadMapTatico[[#This Row],[ID Estratégico]],'Roadmap Estratégico'!A:BE,4,0)</f>
        <v>IBS 360</v>
      </c>
      <c r="D8" s="8" t="str">
        <f>VLOOKUP(tbRoadMapTatico[[#This Row],[ID Estratégico]],'Roadmap Estratégico'!A:BE,5,0)</f>
        <v>Melhoria experiência do usuário</v>
      </c>
      <c r="E8" s="8" t="s">
        <v>21</v>
      </c>
      <c r="F8" s="8" t="s">
        <v>25</v>
      </c>
      <c r="G8" s="8" t="s">
        <v>146</v>
      </c>
      <c r="H8" s="8" t="s">
        <v>34</v>
      </c>
      <c r="I8" s="8" t="s">
        <v>36</v>
      </c>
      <c r="J8" s="8" t="s">
        <v>39</v>
      </c>
      <c r="K8" s="8" t="s">
        <v>43</v>
      </c>
      <c r="L8" s="8" t="s">
        <v>45</v>
      </c>
      <c r="M8" s="8">
        <f>IF(L8="Ruim",1,IF(L8="Médio",2,IF(L8="Bom",3,IF(L8="Excelente",4,""))))</f>
        <v>1</v>
      </c>
      <c r="N8" s="8" t="s">
        <v>53</v>
      </c>
      <c r="O8" s="8" t="s">
        <v>327</v>
      </c>
      <c r="P8" s="8" t="s">
        <v>327</v>
      </c>
      <c r="Q8" s="8" t="s">
        <v>326</v>
      </c>
      <c r="R8" s="8"/>
      <c r="S8" s="8"/>
      <c r="T8" s="8" t="s">
        <v>337</v>
      </c>
      <c r="U8" s="8"/>
      <c r="V8" s="8"/>
      <c r="W8" s="8"/>
      <c r="X8" s="8"/>
      <c r="Y8" s="8"/>
      <c r="Z8" s="8"/>
      <c r="AA8" s="8" t="str">
        <f t="shared" si="1"/>
        <v/>
      </c>
      <c r="AB8" s="8" t="str">
        <f t="shared" si="2"/>
        <v/>
      </c>
      <c r="AC8" s="8" t="str">
        <f>IF(AND(X8&lt;&gt;"",Z8&lt;&gt;""),
    _xlfn.LET(
        _xlpm.ini,SUBSTITUTE(LEFT(X8,SEARCH("S",X8)+1)," ",""),
        _xlpm.fim,SUBSTITUTE(LEFT(Z8,SEARCH("S",Z8)+1)," ",""),
        _xlpm.rIni,VALUE(MID(_xlpm.ini,2,1)),
        _xlpm.sIni,VALUE(RIGHT(_xlpm.ini,1)),
        _xlpm.rFim,VALUE(MID(_xlpm.fim,2,1)),
        _xlpm.sFim,VALUE(RIGHT(_xlpm.fim,1)),
        _xlpm.total,((_xlpm.rFim-1)*4 + _xlpm.sFim) - ((_xlpm.rIni-1)*4 + _xlpm.sIni) + 1,
        _xlpm.total &amp; " sprint" &amp; IF(_xlpm.total&gt;1,"s","")
    ),
"")</f>
        <v/>
      </c>
      <c r="AD8" s="8"/>
      <c r="AE8" s="8"/>
      <c r="AF8" s="8"/>
      <c r="AG8" s="8"/>
      <c r="AH8" s="8"/>
      <c r="AI8" s="8"/>
      <c r="AJ8" s="8"/>
      <c r="AK8" s="23"/>
      <c r="AL8" s="23"/>
      <c r="AM8" s="29"/>
      <c r="AN8" s="29"/>
      <c r="AO8" s="29"/>
      <c r="AP8" s="29"/>
      <c r="AQ8" s="29"/>
      <c r="AR8" s="29"/>
      <c r="AS8" s="29"/>
      <c r="AT8" s="29"/>
    </row>
    <row r="9" spans="1:59" s="16" customFormat="1" ht="70.05" hidden="1" customHeight="1" x14ac:dyDescent="0.3">
      <c r="A9" s="8">
        <f>ROW()</f>
        <v>9</v>
      </c>
      <c r="B9" s="8">
        <v>9</v>
      </c>
      <c r="C9" s="8" t="str">
        <f>VLOOKUP(tbRoadMapTatico[[#This Row],[ID Estratégico]],'Roadmap Estratégico'!A:BE,4,0)</f>
        <v>IBS 360</v>
      </c>
      <c r="D9" s="8" t="str">
        <f>VLOOKUP(tbRoadMapTatico[[#This Row],[ID Estratégico]],'Roadmap Estratégico'!A:BE,5,0)</f>
        <v>Arquitetura</v>
      </c>
      <c r="E9" s="8" t="s">
        <v>21</v>
      </c>
      <c r="F9" s="8" t="s">
        <v>25</v>
      </c>
      <c r="G9" s="8" t="s">
        <v>147</v>
      </c>
      <c r="H9" s="8" t="s">
        <v>34</v>
      </c>
      <c r="I9" s="8" t="s">
        <v>36</v>
      </c>
      <c r="J9" s="8" t="s">
        <v>39</v>
      </c>
      <c r="K9" s="8" t="s">
        <v>43</v>
      </c>
      <c r="L9" s="8" t="s">
        <v>45</v>
      </c>
      <c r="M9" s="8">
        <f t="shared" si="0"/>
        <v>1</v>
      </c>
      <c r="N9" s="8" t="s">
        <v>53</v>
      </c>
      <c r="O9" s="8" t="s">
        <v>325</v>
      </c>
      <c r="P9" s="8" t="s">
        <v>325</v>
      </c>
      <c r="Q9" s="8" t="s">
        <v>324</v>
      </c>
      <c r="R9" s="8" t="s">
        <v>326</v>
      </c>
      <c r="S9" s="8"/>
      <c r="T9" s="8"/>
      <c r="U9" s="8"/>
      <c r="V9" s="8"/>
      <c r="W9" s="8" t="s">
        <v>118</v>
      </c>
      <c r="X9" s="8" t="s">
        <v>119</v>
      </c>
      <c r="Y9" s="8" t="s">
        <v>118</v>
      </c>
      <c r="Z9" s="8" t="s">
        <v>120</v>
      </c>
      <c r="AA9" s="8" t="str">
        <f t="shared" si="1"/>
        <v>1 sprint</v>
      </c>
      <c r="AB9" s="8" t="str">
        <f t="shared" si="2"/>
        <v>3 sprints</v>
      </c>
      <c r="AC9" s="8" t="str">
        <f t="shared" si="3"/>
        <v>2 sprints</v>
      </c>
      <c r="AD9" s="21" t="s">
        <v>133</v>
      </c>
      <c r="AE9" s="8" t="s">
        <v>128</v>
      </c>
      <c r="AF9" s="8" t="s">
        <v>134</v>
      </c>
      <c r="AG9" s="8"/>
      <c r="AH9" s="8" t="s">
        <v>135</v>
      </c>
      <c r="AI9" s="8"/>
      <c r="AJ9" s="8"/>
      <c r="AK9" s="23"/>
      <c r="AL9" s="23"/>
      <c r="AM9" s="29"/>
      <c r="AN9" s="29"/>
      <c r="AO9" s="29"/>
      <c r="AP9" s="8" t="s">
        <v>285</v>
      </c>
      <c r="AQ9" s="8" t="s">
        <v>286</v>
      </c>
      <c r="AR9" s="8" t="s">
        <v>287</v>
      </c>
      <c r="AS9" s="29"/>
      <c r="AT9" s="29"/>
    </row>
    <row r="10" spans="1:59" s="16" customFormat="1" ht="70.05" hidden="1" customHeight="1" x14ac:dyDescent="0.3">
      <c r="A10" s="8">
        <f>ROW()</f>
        <v>10</v>
      </c>
      <c r="B10" s="8">
        <v>9</v>
      </c>
      <c r="C10" s="8" t="str">
        <f>VLOOKUP(tbRoadMapTatico[[#This Row],[ID Estratégico]],'Roadmap Estratégico'!A:BE,4,0)</f>
        <v>IBS 360</v>
      </c>
      <c r="D10" s="8" t="str">
        <f>VLOOKUP(tbRoadMapTatico[[#This Row],[ID Estratégico]],'Roadmap Estratégico'!A:BE,5,0)</f>
        <v>Arquitetura</v>
      </c>
      <c r="E10" s="8" t="s">
        <v>21</v>
      </c>
      <c r="F10" s="8" t="s">
        <v>25</v>
      </c>
      <c r="G10" s="8" t="s">
        <v>149</v>
      </c>
      <c r="H10" s="8" t="s">
        <v>34</v>
      </c>
      <c r="I10" s="8" t="s">
        <v>36</v>
      </c>
      <c r="J10" s="8" t="s">
        <v>39</v>
      </c>
      <c r="K10" s="8" t="s">
        <v>43</v>
      </c>
      <c r="L10" s="8" t="s">
        <v>45</v>
      </c>
      <c r="M10" s="8">
        <f t="shared" ref="M10:M37" si="4">IF(L10="Ruim",1,IF(L10="Médio",2,IF(L10="Bom",3,IF(L10="Excelente",4,""))))</f>
        <v>1</v>
      </c>
      <c r="N10" s="8" t="s">
        <v>53</v>
      </c>
      <c r="O10" s="8" t="s">
        <v>325</v>
      </c>
      <c r="P10" s="8" t="s">
        <v>325</v>
      </c>
      <c r="Q10" s="8" t="s">
        <v>324</v>
      </c>
      <c r="R10" s="8"/>
      <c r="S10" s="8"/>
      <c r="T10" s="8"/>
      <c r="U10" s="8"/>
      <c r="V10" s="8"/>
      <c r="W10" s="8" t="s">
        <v>118</v>
      </c>
      <c r="X10" s="8" t="s">
        <v>119</v>
      </c>
      <c r="Y10" s="8" t="s">
        <v>118</v>
      </c>
      <c r="Z10" s="8" t="s">
        <v>120</v>
      </c>
      <c r="AA10" s="8" t="str">
        <f>IF(AND(W10&lt;&gt;"",Y10&lt;&gt;""),
    _xlfn.LET(
        _xlpm.ini,SUBSTITUTE(LEFT(W10,SEARCH("S",W10)+1)," ",""),
        _xlpm.fim,SUBSTITUTE(LEFT(Y10,SEARCH("S",Y10)+1)," ",""),
        _xlpm.rIni,VALUE(MID(_xlpm.ini,2,1)),
        _xlpm.sIni,VALUE(RIGHT(_xlpm.ini,1)),
        _xlpm.rFim,VALUE(MID(_xlpm.fim,2,1)),
        _xlpm.sFim,VALUE(RIGHT(_xlpm.fim,1)),
        _xlpm.total,((_xlpm.rFim-1)*4 + _xlpm.sFim) - ((_xlpm.rIni-1)*4 + _xlpm.sIni) + 1,
        _xlpm.total &amp; " sprint" &amp; IF(_xlpm.total&gt;1,"s","")
    ),
"")</f>
        <v>1 sprint</v>
      </c>
      <c r="AB10" s="8" t="str">
        <f t="shared" si="2"/>
        <v>3 sprints</v>
      </c>
      <c r="AC10" s="8" t="str">
        <f>IF(AND(X10&lt;&gt;"",Z10&lt;&gt;""),
    _xlfn.LET(
        _xlpm.ini,SUBSTITUTE(LEFT(X10,SEARCH("S",X10)+1)," ",""),
        _xlpm.fim,SUBSTITUTE(LEFT(Z10,SEARCH("S",Z10)+1)," ",""),
        _xlpm.rIni,VALUE(MID(_xlpm.ini,2,1)),
        _xlpm.sIni,VALUE(RIGHT(_xlpm.ini,1)),
        _xlpm.rFim,VALUE(MID(_xlpm.fim,2,1)),
        _xlpm.sFim,VALUE(RIGHT(_xlpm.fim,1)),
        _xlpm.total,((_xlpm.rFim-1)*4 + _xlpm.sFim) - ((_xlpm.rIni-1)*4 + _xlpm.sIni) + 1,
        _xlpm.total &amp; " sprint" &amp; IF(_xlpm.total&gt;1,"s","")
    ),
"")</f>
        <v>2 sprints</v>
      </c>
      <c r="AD10" s="21" t="s">
        <v>150</v>
      </c>
      <c r="AE10" s="8" t="s">
        <v>151</v>
      </c>
      <c r="AF10" s="8" t="s">
        <v>152</v>
      </c>
      <c r="AG10" s="8"/>
      <c r="AH10" s="8" t="s">
        <v>153</v>
      </c>
      <c r="AI10" s="8"/>
      <c r="AJ10" s="8"/>
      <c r="AK10" s="23"/>
      <c r="AL10" s="23"/>
      <c r="AM10" s="29"/>
      <c r="AN10" s="29"/>
      <c r="AO10" s="29"/>
      <c r="AP10" s="29"/>
      <c r="AQ10" s="29"/>
      <c r="AR10" s="29" t="s">
        <v>291</v>
      </c>
      <c r="AS10" s="29"/>
      <c r="AT10" s="29"/>
    </row>
    <row r="11" spans="1:59" s="16" customFormat="1" ht="70.05" hidden="1" customHeight="1" x14ac:dyDescent="0.3">
      <c r="A11" s="8">
        <f>ROW()</f>
        <v>11</v>
      </c>
      <c r="B11" s="8">
        <v>10</v>
      </c>
      <c r="C11" s="8" t="str">
        <f>VLOOKUP(tbRoadMapTatico[[#This Row],[ID Estratégico]],'Roadmap Estratégico'!A:BE,4,0)</f>
        <v>IBS 360</v>
      </c>
      <c r="D11" s="8" t="str">
        <f>VLOOKUP(tbRoadMapTatico[[#This Row],[ID Estratégico]],'Roadmap Estratégico'!A:BE,5,0)</f>
        <v>Arquitetura</v>
      </c>
      <c r="E11" s="8" t="s">
        <v>21</v>
      </c>
      <c r="F11" s="8" t="s">
        <v>24</v>
      </c>
      <c r="G11" s="8" t="s">
        <v>148</v>
      </c>
      <c r="H11" s="8" t="s">
        <v>34</v>
      </c>
      <c r="I11" s="8" t="s">
        <v>36</v>
      </c>
      <c r="J11" s="8" t="s">
        <v>39</v>
      </c>
      <c r="K11" s="8" t="s">
        <v>43</v>
      </c>
      <c r="L11" s="8" t="s">
        <v>47</v>
      </c>
      <c r="M11" s="8">
        <f t="shared" si="4"/>
        <v>3</v>
      </c>
      <c r="N11" s="8" t="s">
        <v>53</v>
      </c>
      <c r="O11" s="8" t="s">
        <v>327</v>
      </c>
      <c r="P11" s="8" t="s">
        <v>327</v>
      </c>
      <c r="Q11" s="8" t="s">
        <v>326</v>
      </c>
      <c r="R11" s="8"/>
      <c r="S11" s="8"/>
      <c r="T11" s="8"/>
      <c r="U11" s="8"/>
      <c r="V11" s="8"/>
      <c r="W11" s="8" t="s">
        <v>120</v>
      </c>
      <c r="X11" s="8" t="s">
        <v>120</v>
      </c>
      <c r="Y11" s="8" t="s">
        <v>120</v>
      </c>
      <c r="Z11" s="8" t="s">
        <v>120</v>
      </c>
      <c r="AA11" s="8" t="str">
        <f t="shared" si="1"/>
        <v>1 sprint</v>
      </c>
      <c r="AB11" s="8" t="str">
        <f t="shared" si="2"/>
        <v>1 sprint</v>
      </c>
      <c r="AC11" s="8" t="str">
        <f t="shared" si="3"/>
        <v>1 sprint</v>
      </c>
      <c r="AD11" s="8" t="s">
        <v>136</v>
      </c>
      <c r="AE11" s="8" t="s">
        <v>128</v>
      </c>
      <c r="AF11" s="8" t="s">
        <v>137</v>
      </c>
      <c r="AG11" s="8"/>
      <c r="AH11" s="8" t="s">
        <v>138</v>
      </c>
      <c r="AI11" s="8"/>
      <c r="AJ11" s="8"/>
      <c r="AK11" s="23"/>
      <c r="AL11" s="23"/>
      <c r="AM11" s="29"/>
      <c r="AN11" s="29"/>
      <c r="AO11" s="29"/>
      <c r="AP11" s="29"/>
      <c r="AQ11" s="8" t="s">
        <v>287</v>
      </c>
      <c r="AR11" s="29"/>
      <c r="AS11" s="29"/>
      <c r="AT11" s="29"/>
    </row>
    <row r="12" spans="1:59" s="16" customFormat="1" ht="70.05" hidden="1" customHeight="1" x14ac:dyDescent="0.3">
      <c r="A12" s="8">
        <f>ROW()</f>
        <v>12</v>
      </c>
      <c r="B12" s="8">
        <v>11</v>
      </c>
      <c r="C12" s="8" t="str">
        <f>VLOOKUP(tbRoadMapTatico[[#This Row],[ID Estratégico]],'Roadmap Estratégico'!A:BE,4,0)</f>
        <v>IBS 360</v>
      </c>
      <c r="D12" s="8" t="str">
        <f>VLOOKUP(tbRoadMapTatico[[#This Row],[ID Estratégico]],'Roadmap Estratégico'!A:BE,5,0)</f>
        <v>Go To Market</v>
      </c>
      <c r="E12" s="8" t="s">
        <v>21</v>
      </c>
      <c r="F12" s="8" t="s">
        <v>25</v>
      </c>
      <c r="G12" s="8" t="s">
        <v>154</v>
      </c>
      <c r="H12" s="8" t="s">
        <v>34</v>
      </c>
      <c r="I12" s="8" t="s">
        <v>36</v>
      </c>
      <c r="J12" s="8" t="s">
        <v>38</v>
      </c>
      <c r="K12" s="8" t="s">
        <v>43</v>
      </c>
      <c r="L12" s="8" t="s">
        <v>45</v>
      </c>
      <c r="M12" s="8">
        <f t="shared" si="4"/>
        <v>1</v>
      </c>
      <c r="N12" s="8" t="s">
        <v>53</v>
      </c>
      <c r="O12" s="8" t="s">
        <v>338</v>
      </c>
      <c r="P12" s="8" t="s">
        <v>338</v>
      </c>
      <c r="Q12" s="8"/>
      <c r="R12" s="8"/>
      <c r="S12" s="8"/>
      <c r="T12" s="8" t="s">
        <v>337</v>
      </c>
      <c r="U12" s="8"/>
      <c r="V12" s="8"/>
      <c r="W12" s="8" t="s">
        <v>119</v>
      </c>
      <c r="X12" s="8" t="s">
        <v>119</v>
      </c>
      <c r="Y12" s="8" t="s">
        <v>119</v>
      </c>
      <c r="Z12" s="8" t="s">
        <v>120</v>
      </c>
      <c r="AA12" s="8" t="str">
        <f t="shared" si="1"/>
        <v>1 sprint</v>
      </c>
      <c r="AB12" s="8" t="str">
        <f t="shared" si="2"/>
        <v>2 sprints</v>
      </c>
      <c r="AC12" s="8" t="str">
        <f t="shared" si="3"/>
        <v>2 sprints</v>
      </c>
      <c r="AD12" s="8"/>
      <c r="AE12" s="8" t="s">
        <v>155</v>
      </c>
      <c r="AF12" s="21" t="s">
        <v>156</v>
      </c>
      <c r="AG12" s="21"/>
      <c r="AH12" s="8"/>
      <c r="AI12" s="8"/>
      <c r="AJ12" s="8"/>
      <c r="AK12" s="23"/>
      <c r="AL12" s="23"/>
      <c r="AM12" s="29"/>
      <c r="AN12" s="29"/>
      <c r="AO12" s="29"/>
      <c r="AP12" s="29" t="s">
        <v>295</v>
      </c>
      <c r="AQ12" s="29" t="s">
        <v>291</v>
      </c>
      <c r="AR12" s="29"/>
      <c r="AS12" s="29"/>
      <c r="AT12" s="29"/>
    </row>
    <row r="13" spans="1:59" s="16" customFormat="1" ht="70.05" hidden="1" customHeight="1" x14ac:dyDescent="0.3">
      <c r="A13" s="8">
        <f>ROW()</f>
        <v>13</v>
      </c>
      <c r="B13" s="25">
        <v>11</v>
      </c>
      <c r="C13" s="8" t="str">
        <f>VLOOKUP(tbRoadMapTatico[[#This Row],[ID Estratégico]],'Roadmap Estratégico'!A:BE,4,0)</f>
        <v>IBS 360</v>
      </c>
      <c r="D13" s="8" t="str">
        <f>VLOOKUP(tbRoadMapTatico[[#This Row],[ID Estratégico]],'Roadmap Estratégico'!A:BE,5,0)</f>
        <v>Go To Market</v>
      </c>
      <c r="E13" s="8" t="s">
        <v>21</v>
      </c>
      <c r="F13" s="8" t="s">
        <v>25</v>
      </c>
      <c r="G13" s="8" t="s">
        <v>157</v>
      </c>
      <c r="H13" s="8" t="s">
        <v>34</v>
      </c>
      <c r="I13" s="8" t="s">
        <v>36</v>
      </c>
      <c r="J13" s="8" t="s">
        <v>38</v>
      </c>
      <c r="K13" s="8" t="s">
        <v>43</v>
      </c>
      <c r="L13" s="8" t="s">
        <v>46</v>
      </c>
      <c r="M13" s="8">
        <f t="shared" si="4"/>
        <v>2</v>
      </c>
      <c r="N13" s="8" t="s">
        <v>53</v>
      </c>
      <c r="O13" s="8" t="s">
        <v>338</v>
      </c>
      <c r="P13" s="8" t="s">
        <v>338</v>
      </c>
      <c r="Q13" s="8"/>
      <c r="R13" s="8"/>
      <c r="S13" s="8"/>
      <c r="T13" s="8" t="s">
        <v>337</v>
      </c>
      <c r="U13" s="8"/>
      <c r="V13" s="8"/>
      <c r="W13" s="8" t="s">
        <v>120</v>
      </c>
      <c r="X13" s="8" t="s">
        <v>120</v>
      </c>
      <c r="Y13" s="8" t="s">
        <v>120</v>
      </c>
      <c r="Z13" s="8" t="s">
        <v>140</v>
      </c>
      <c r="AA13" s="8" t="str">
        <f t="shared" ref="AA13" si="5">IF(AND(W13&lt;&gt;"",Y13&lt;&gt;""),
    _xlfn.LET(
        _xlpm.ini,SUBSTITUTE(LEFT(W13,SEARCH("S",W13)+1)," ",""),
        _xlpm.fim,SUBSTITUTE(LEFT(Y13,SEARCH("S",Y13)+1)," ",""),
        _xlpm.rIni,VALUE(MID(_xlpm.ini,2,1)),
        _xlpm.sIni,VALUE(RIGHT(_xlpm.ini,1)),
        _xlpm.rFim,VALUE(MID(_xlpm.fim,2,1)),
        _xlpm.sFim,VALUE(RIGHT(_xlpm.fim,1)),
        _xlpm.total,((_xlpm.rFim-1)*4 + _xlpm.sFim) - ((_xlpm.rIni-1)*4 + _xlpm.sIni) + 1,
        _xlpm.total &amp; " sprint" &amp; IF(_xlpm.total&gt;1,"s","")
    ),
"")</f>
        <v>1 sprint</v>
      </c>
      <c r="AB13" s="8" t="str">
        <f t="shared" si="2"/>
        <v>2 sprints</v>
      </c>
      <c r="AC13" s="8" t="str">
        <f t="shared" ref="AC13" si="6">IF(AND(X13&lt;&gt;"",Z13&lt;&gt;""),
    _xlfn.LET(
        _xlpm.ini,SUBSTITUTE(LEFT(X13,SEARCH("S",X13)+1)," ",""),
        _xlpm.fim,SUBSTITUTE(LEFT(Z13,SEARCH("S",Z13)+1)," ",""),
        _xlpm.rIni,VALUE(MID(_xlpm.ini,2,1)),
        _xlpm.sIni,VALUE(RIGHT(_xlpm.ini,1)),
        _xlpm.rFim,VALUE(MID(_xlpm.fim,2,1)),
        _xlpm.sFim,VALUE(RIGHT(_xlpm.fim,1)),
        _xlpm.total,((_xlpm.rFim-1)*4 + _xlpm.sFim) - ((_xlpm.rIni-1)*4 + _xlpm.sIni) + 1,
        _xlpm.total &amp; " sprint" &amp; IF(_xlpm.total&gt;1,"s","")
    ),
"")</f>
        <v>2 sprints</v>
      </c>
      <c r="AD13" s="8"/>
      <c r="AE13" s="8" t="s">
        <v>158</v>
      </c>
      <c r="AF13" s="21" t="s">
        <v>159</v>
      </c>
      <c r="AG13" s="21"/>
      <c r="AH13" s="8"/>
      <c r="AI13" s="8" t="s">
        <v>160</v>
      </c>
      <c r="AJ13" s="8" t="s">
        <v>46</v>
      </c>
      <c r="AK13" s="23"/>
      <c r="AL13" s="23"/>
      <c r="AM13" s="29"/>
      <c r="AN13" s="29"/>
      <c r="AO13" s="29"/>
      <c r="AP13" s="29"/>
      <c r="AQ13" s="29" t="s">
        <v>295</v>
      </c>
      <c r="AR13" s="29" t="s">
        <v>291</v>
      </c>
      <c r="AS13" s="29"/>
      <c r="AT13" s="29"/>
    </row>
    <row r="14" spans="1:59" s="16" customFormat="1" ht="70.05" hidden="1" customHeight="1" x14ac:dyDescent="0.3">
      <c r="A14" s="8">
        <f>ROW()</f>
        <v>14</v>
      </c>
      <c r="B14" s="25">
        <v>11</v>
      </c>
      <c r="C14" s="8" t="str">
        <f>VLOOKUP(tbRoadMapTatico[[#This Row],[ID Estratégico]],'Roadmap Estratégico'!A:BE,4,0)</f>
        <v>IBS 360</v>
      </c>
      <c r="D14" s="8" t="str">
        <f>VLOOKUP(tbRoadMapTatico[[#This Row],[ID Estratégico]],'Roadmap Estratégico'!A:BE,5,0)</f>
        <v>Go To Market</v>
      </c>
      <c r="E14" s="8" t="s">
        <v>21</v>
      </c>
      <c r="F14" s="8" t="s">
        <v>25</v>
      </c>
      <c r="G14" s="8" t="s">
        <v>161</v>
      </c>
      <c r="H14" s="8" t="s">
        <v>34</v>
      </c>
      <c r="I14" s="8" t="s">
        <v>36</v>
      </c>
      <c r="J14" s="8" t="s">
        <v>39</v>
      </c>
      <c r="K14" s="8" t="s">
        <v>43</v>
      </c>
      <c r="L14" s="8" t="s">
        <v>47</v>
      </c>
      <c r="M14" s="8">
        <f t="shared" si="4"/>
        <v>3</v>
      </c>
      <c r="N14" s="8" t="s">
        <v>53</v>
      </c>
      <c r="O14" s="8" t="s">
        <v>327</v>
      </c>
      <c r="P14" s="8" t="s">
        <v>327</v>
      </c>
      <c r="Q14" s="8"/>
      <c r="R14" s="8"/>
      <c r="S14" s="8"/>
      <c r="T14" s="8" t="s">
        <v>337</v>
      </c>
      <c r="U14" s="8"/>
      <c r="V14" s="8"/>
      <c r="W14" s="25" t="s">
        <v>119</v>
      </c>
      <c r="X14" s="8" t="s">
        <v>140</v>
      </c>
      <c r="Y14" s="25" t="s">
        <v>119</v>
      </c>
      <c r="Z14" s="8" t="s">
        <v>140</v>
      </c>
      <c r="AA14" s="8" t="str">
        <f t="shared" ref="AA14" si="7">IF(AND(W14&lt;&gt;"",Y14&lt;&gt;""),
    _xlfn.LET(
        _xlpm.ini,SUBSTITUTE(LEFT(W14,SEARCH("S",W14)+1)," ",""),
        _xlpm.fim,SUBSTITUTE(LEFT(Y14,SEARCH("S",Y14)+1)," ",""),
        _xlpm.rIni,VALUE(MID(_xlpm.ini,2,1)),
        _xlpm.sIni,VALUE(RIGHT(_xlpm.ini,1)),
        _xlpm.rFim,VALUE(MID(_xlpm.fim,2,1)),
        _xlpm.sFim,VALUE(RIGHT(_xlpm.fim,1)),
        _xlpm.total,((_xlpm.rFim-1)*4 + _xlpm.sFim) - ((_xlpm.rIni-1)*4 + _xlpm.sIni) + 1,
        _xlpm.total &amp; " sprint" &amp; IF(_xlpm.total&gt;1,"s","")
    ),
"")</f>
        <v>1 sprint</v>
      </c>
      <c r="AB14" s="8" t="str">
        <f t="shared" si="2"/>
        <v>3 sprints</v>
      </c>
      <c r="AC14" s="8" t="str">
        <f t="shared" ref="AC14" si="8">IF(AND(X14&lt;&gt;"",Z14&lt;&gt;""),
    _xlfn.LET(
        _xlpm.ini,SUBSTITUTE(LEFT(X14,SEARCH("S",X14)+1)," ",""),
        _xlpm.fim,SUBSTITUTE(LEFT(Z14,SEARCH("S",Z14)+1)," ",""),
        _xlpm.rIni,VALUE(MID(_xlpm.ini,2,1)),
        _xlpm.sIni,VALUE(RIGHT(_xlpm.ini,1)),
        _xlpm.rFim,VALUE(MID(_xlpm.fim,2,1)),
        _xlpm.sFim,VALUE(RIGHT(_xlpm.fim,1)),
        _xlpm.total,((_xlpm.rFim-1)*4 + _xlpm.sFim) - ((_xlpm.rIni-1)*4 + _xlpm.sIni) + 1,
        _xlpm.total &amp; " sprint" &amp; IF(_xlpm.total&gt;1,"s","")
    ),
"")</f>
        <v>1 sprint</v>
      </c>
      <c r="AD14" s="8"/>
      <c r="AE14" s="26" t="s">
        <v>128</v>
      </c>
      <c r="AF14" s="21" t="s">
        <v>162</v>
      </c>
      <c r="AG14" s="21"/>
      <c r="AH14" s="8"/>
      <c r="AI14" s="8"/>
      <c r="AJ14" s="8"/>
      <c r="AK14" s="23"/>
      <c r="AL14" s="23"/>
      <c r="AM14" s="29"/>
      <c r="AN14" s="29"/>
      <c r="AO14" s="29"/>
      <c r="AP14" s="29"/>
      <c r="AQ14" s="29"/>
      <c r="AR14" s="29" t="s">
        <v>291</v>
      </c>
      <c r="AS14" s="29"/>
      <c r="AT14" s="29"/>
    </row>
    <row r="15" spans="1:59" s="16" customFormat="1" ht="70.05" hidden="1" customHeight="1" x14ac:dyDescent="0.3">
      <c r="A15" s="8">
        <f>ROW()</f>
        <v>15</v>
      </c>
      <c r="B15" s="26">
        <v>11</v>
      </c>
      <c r="C15" s="8" t="str">
        <f>VLOOKUP(tbRoadMapTatico[[#This Row],[ID Estratégico]],'Roadmap Estratégico'!A:BE,4,0)</f>
        <v>IBS 360</v>
      </c>
      <c r="D15" s="8" t="str">
        <f>VLOOKUP(tbRoadMapTatico[[#This Row],[ID Estratégico]],'Roadmap Estratégico'!A:BE,5,0)</f>
        <v>Go To Market</v>
      </c>
      <c r="E15" s="8" t="s">
        <v>21</v>
      </c>
      <c r="F15" s="8" t="s">
        <v>25</v>
      </c>
      <c r="G15" s="8" t="s">
        <v>163</v>
      </c>
      <c r="H15" s="8" t="s">
        <v>34</v>
      </c>
      <c r="I15" s="8" t="s">
        <v>36</v>
      </c>
      <c r="J15" s="8" t="s">
        <v>39</v>
      </c>
      <c r="K15" s="8" t="s">
        <v>43</v>
      </c>
      <c r="L15" s="8" t="s">
        <v>45</v>
      </c>
      <c r="M15" s="8">
        <f t="shared" si="4"/>
        <v>1</v>
      </c>
      <c r="N15" s="8" t="s">
        <v>53</v>
      </c>
      <c r="O15" s="8" t="s">
        <v>338</v>
      </c>
      <c r="P15" s="8" t="s">
        <v>338</v>
      </c>
      <c r="Q15" s="8"/>
      <c r="R15" s="8"/>
      <c r="S15" s="8"/>
      <c r="T15" s="8"/>
      <c r="U15" s="8"/>
      <c r="V15" s="8"/>
      <c r="W15" s="26" t="s">
        <v>120</v>
      </c>
      <c r="X15" s="26" t="s">
        <v>120</v>
      </c>
      <c r="Y15" s="26" t="s">
        <v>120</v>
      </c>
      <c r="Z15" s="8" t="s">
        <v>140</v>
      </c>
      <c r="AA15" s="8" t="str">
        <f t="shared" ref="AA15" si="9">IF(AND(W15&lt;&gt;"",Y15&lt;&gt;""),
    _xlfn.LET(
        _xlpm.ini,SUBSTITUTE(LEFT(W15,SEARCH("S",W15)+1)," ",""),
        _xlpm.fim,SUBSTITUTE(LEFT(Y15,SEARCH("S",Y15)+1)," ",""),
        _xlpm.rIni,VALUE(MID(_xlpm.ini,2,1)),
        _xlpm.sIni,VALUE(RIGHT(_xlpm.ini,1)),
        _xlpm.rFim,VALUE(MID(_xlpm.fim,2,1)),
        _xlpm.sFim,VALUE(RIGHT(_xlpm.fim,1)),
        _xlpm.total,((_xlpm.rFim-1)*4 + _xlpm.sFim) - ((_xlpm.rIni-1)*4 + _xlpm.sIni) + 1,
        _xlpm.total &amp; " sprint" &amp; IF(_xlpm.total&gt;1,"s","")
    ),
"")</f>
        <v>1 sprint</v>
      </c>
      <c r="AB15" s="8" t="str">
        <f t="shared" si="2"/>
        <v>2 sprints</v>
      </c>
      <c r="AC15" s="8" t="str">
        <f t="shared" ref="AC15" si="10">IF(AND(X15&lt;&gt;"",Z15&lt;&gt;""),
    _xlfn.LET(
        _xlpm.ini,SUBSTITUTE(LEFT(X15,SEARCH("S",X15)+1)," ",""),
        _xlpm.fim,SUBSTITUTE(LEFT(Z15,SEARCH("S",Z15)+1)," ",""),
        _xlpm.rIni,VALUE(MID(_xlpm.ini,2,1)),
        _xlpm.sIni,VALUE(RIGHT(_xlpm.ini,1)),
        _xlpm.rFim,VALUE(MID(_xlpm.fim,2,1)),
        _xlpm.sFim,VALUE(RIGHT(_xlpm.fim,1)),
        _xlpm.total,((_xlpm.rFim-1)*4 + _xlpm.sFim) - ((_xlpm.rIni-1)*4 + _xlpm.sIni) + 1,
        _xlpm.total &amp; " sprint" &amp; IF(_xlpm.total&gt;1,"s","")
    ),
"")</f>
        <v>2 sprints</v>
      </c>
      <c r="AD15" s="8"/>
      <c r="AE15" s="26" t="s">
        <v>128</v>
      </c>
      <c r="AF15" s="21"/>
      <c r="AG15" s="21"/>
      <c r="AH15" s="8" t="s">
        <v>164</v>
      </c>
      <c r="AI15" s="8"/>
      <c r="AJ15" s="8"/>
      <c r="AK15" s="30"/>
      <c r="AL15" s="30"/>
      <c r="AM15" s="29"/>
      <c r="AN15" s="29"/>
      <c r="AO15" s="29"/>
      <c r="AP15" s="29"/>
      <c r="AQ15" s="29" t="s">
        <v>295</v>
      </c>
      <c r="AR15" s="29" t="s">
        <v>291</v>
      </c>
      <c r="AS15" s="29"/>
      <c r="AT15" s="29"/>
    </row>
    <row r="16" spans="1:59" ht="70.05" hidden="1" customHeight="1" x14ac:dyDescent="0.3">
      <c r="A16" s="8">
        <f>ROW()</f>
        <v>16</v>
      </c>
      <c r="B16" s="26">
        <v>12</v>
      </c>
      <c r="C16" s="8" t="str">
        <f>VLOOKUP(tbRoadMapTatico[[#This Row],[ID Estratégico]],'Roadmap Estratégico'!A:BE,4,0)</f>
        <v>IBS 360</v>
      </c>
      <c r="D16" s="8" t="str">
        <f>VLOOKUP(tbRoadMapTatico[[#This Row],[ID Estratégico]],'Roadmap Estratégico'!A:BE,5,0)</f>
        <v>Pesquisa</v>
      </c>
      <c r="E16" s="8" t="s">
        <v>21</v>
      </c>
      <c r="F16" s="8" t="s">
        <v>25</v>
      </c>
      <c r="G16" s="8" t="s">
        <v>300</v>
      </c>
      <c r="H16" s="8" t="s">
        <v>34</v>
      </c>
      <c r="I16" s="8" t="s">
        <v>36</v>
      </c>
      <c r="J16" s="8" t="s">
        <v>38</v>
      </c>
      <c r="K16" s="8" t="s">
        <v>43</v>
      </c>
      <c r="L16" s="8" t="s">
        <v>46</v>
      </c>
      <c r="M16" s="8">
        <f t="shared" si="4"/>
        <v>2</v>
      </c>
      <c r="N16" s="8" t="s">
        <v>53</v>
      </c>
      <c r="O16" s="8" t="s">
        <v>337</v>
      </c>
      <c r="P16" s="8"/>
      <c r="Q16" s="8"/>
      <c r="R16" s="8"/>
      <c r="S16" s="8"/>
      <c r="T16" s="8" t="s">
        <v>337</v>
      </c>
      <c r="U16" s="8"/>
      <c r="V16" s="8"/>
      <c r="W16" s="8" t="s">
        <v>120</v>
      </c>
      <c r="X16" s="8" t="s">
        <v>120</v>
      </c>
      <c r="Y16" s="8" t="s">
        <v>120</v>
      </c>
      <c r="Z16" s="8" t="s">
        <v>368</v>
      </c>
      <c r="AA16" s="8" t="str">
        <f>IF(AND(W16&lt;&gt;"",Y16&lt;&gt;""),
    _xlfn.LET(
        _xlpm.ini,SUBSTITUTE(LEFT(W16,SEARCH("S",W16)+1)," ",""),
        _xlpm.fim,SUBSTITUTE(LEFT(Y16,SEARCH("S",Y16)+1)," ",""),
        _xlpm.rIni,VALUE(MID(_xlpm.ini,2,1)),
        _xlpm.sIni,VALUE(RIGHT(_xlpm.ini,1)),
        _xlpm.rFim,VALUE(MID(_xlpm.fim,2,1)),
        _xlpm.sFim,VALUE(RIGHT(_xlpm.fim,1)),
        _xlpm.total,((_xlpm.rFim-1)*4 + _xlpm.sFim) - ((_xlpm.rIni-1)*4 + _xlpm.sIni) + 1,
        _xlpm.total &amp; " sprint" &amp; IF(_xlpm.total&gt;1,"s","")
    ),
"")</f>
        <v>1 sprint</v>
      </c>
      <c r="AB16" s="8" t="str">
        <f t="shared" si="2"/>
        <v>3 sprints</v>
      </c>
      <c r="AC16" s="8" t="str">
        <f>IF(AND(X16&lt;&gt;"",Z16&lt;&gt;""),
    _xlfn.LET(
        _xlpm.ini,SUBSTITUTE(LEFT(X16,SEARCH("S",X16)+1)," ",""),
        _xlpm.fim,SUBSTITUTE(LEFT(Z16,SEARCH("S",Z16)+1)," ",""),
        _xlpm.rIni,VALUE(MID(_xlpm.ini,2,1)),
        _xlpm.sIni,VALUE(RIGHT(_xlpm.ini,1)),
        _xlpm.rFim,VALUE(MID(_xlpm.fim,2,1)),
        _xlpm.sFim,VALUE(RIGHT(_xlpm.fim,1)),
        _xlpm.total,((_xlpm.rFim-1)*4 + _xlpm.sFim) - ((_xlpm.rIni-1)*4 + _xlpm.sIni) + 1,
        _xlpm.total &amp; " sprint" &amp; IF(_xlpm.total&gt;1,"s","")
    ),
"")</f>
        <v>3 sprints</v>
      </c>
      <c r="AD16" s="8"/>
      <c r="AE16" s="8" t="s">
        <v>271</v>
      </c>
      <c r="AF16" s="8"/>
      <c r="AG16" s="8"/>
      <c r="AH16" s="8" t="s">
        <v>272</v>
      </c>
      <c r="AI16" s="8"/>
      <c r="AJ16" s="23"/>
      <c r="AK16" s="23"/>
      <c r="AL16" s="23"/>
      <c r="AM16" s="29"/>
      <c r="AN16" s="29"/>
      <c r="AO16" s="29"/>
      <c r="AP16" s="29"/>
      <c r="AQ16" s="29"/>
      <c r="AR16" s="8" t="s">
        <v>304</v>
      </c>
      <c r="AS16" s="29"/>
      <c r="AT16" s="29"/>
    </row>
    <row r="17" spans="1:46" ht="70.05" hidden="1" customHeight="1" x14ac:dyDescent="0.3">
      <c r="A17" s="8">
        <f>ROW()</f>
        <v>17</v>
      </c>
      <c r="B17" s="26">
        <v>15</v>
      </c>
      <c r="C17" s="8" t="str">
        <f>VLOOKUP(tbRoadMapTatico[[#This Row],[ID Estratégico]],'Roadmap Estratégico'!A:BE,4,0)</f>
        <v>IBS 360</v>
      </c>
      <c r="D17" s="8" t="str">
        <f>VLOOKUP(tbRoadMapTatico[[#This Row],[ID Estratégico]],'Roadmap Estratégico'!A:BE,5,0)</f>
        <v>Métricas</v>
      </c>
      <c r="E17" s="8" t="s">
        <v>21</v>
      </c>
      <c r="F17" s="8" t="s">
        <v>25</v>
      </c>
      <c r="G17" s="8" t="s">
        <v>404</v>
      </c>
      <c r="H17" s="8" t="s">
        <v>34</v>
      </c>
      <c r="I17" s="8" t="s">
        <v>36</v>
      </c>
      <c r="J17" s="8" t="s">
        <v>39</v>
      </c>
      <c r="K17" s="8" t="s">
        <v>43</v>
      </c>
      <c r="L17" s="8" t="s">
        <v>46</v>
      </c>
      <c r="M17" s="8">
        <f>IF(L17="Ruim",1,IF(L17="Médio",2,IF(L17="Bom",3,IF(L17="Excelente",4,""))))</f>
        <v>2</v>
      </c>
      <c r="N17" s="8" t="s">
        <v>52</v>
      </c>
      <c r="O17" s="8" t="s">
        <v>326</v>
      </c>
      <c r="P17" s="8" t="s">
        <v>326</v>
      </c>
      <c r="Q17" s="8" t="s">
        <v>327</v>
      </c>
      <c r="R17" s="8"/>
      <c r="S17" s="8"/>
      <c r="T17" s="8" t="s">
        <v>337</v>
      </c>
      <c r="U17" s="8" t="s">
        <v>323</v>
      </c>
      <c r="V17" s="8" t="s">
        <v>324</v>
      </c>
      <c r="W17" s="8" t="s">
        <v>120</v>
      </c>
      <c r="X17" s="8" t="s">
        <v>120</v>
      </c>
      <c r="Y17" s="8" t="s">
        <v>120</v>
      </c>
      <c r="Z17" s="8" t="s">
        <v>140</v>
      </c>
      <c r="AA17" s="8" t="str">
        <f>IF(AND(W17&lt;&gt;"",Y17&lt;&gt;""),
    _xlfn.LET(
        _xlpm.ini,SUBSTITUTE(LEFT(W17,SEARCH("S",W17)+1)," ",""),
        _xlpm.fim,SUBSTITUTE(LEFT(Y17,SEARCH("S",Y17)+1)," ",""),
        _xlpm.rIni,VALUE(MID(_xlpm.ini,2,1)),
        _xlpm.sIni,VALUE(RIGHT(_xlpm.ini,1)),
        _xlpm.rFim,VALUE(MID(_xlpm.fim,2,1)),
        _xlpm.sFim,VALUE(RIGHT(_xlpm.fim,1)),
        _xlpm.total,((_xlpm.rFim-1)*4 + _xlpm.sFim) - ((_xlpm.rIni-1)*4 + _xlpm.sIni) + 1,
        _xlpm.total &amp; " sprint" &amp; IF(_xlpm.total&gt;1,"s","")
    ),
"")</f>
        <v>1 sprint</v>
      </c>
      <c r="AB17" s="8" t="str">
        <f>IF(AND(W17&lt;&gt;"",Z17&lt;&gt;""),
    _xlfn.LET(
        _xlpm.ini,SUBSTITUTE(LEFT(W17,SEARCH("S",W17)+1)," ",""),
        _xlpm.fim,SUBSTITUTE(LEFT(Z17,SEARCH("S",Z17)+1)," ",""),
        _xlpm.rIni,VALUE(MID(_xlpm.ini,2,1)),
        _xlpm.sIni,VALUE(RIGHT(_xlpm.ini,1)),
        _xlpm.rFim,VALUE(MID(_xlpm.fim,2,1)),
        _xlpm.sFim,VALUE(RIGHT(_xlpm.fim,1)),
        _xlpm.total,((_xlpm.rFim-1)*4 + _xlpm.sFim) - ((_xlpm.rIni-1)*4 + _xlpm.sIni) + 1,
        _xlpm.total &amp; " sprint" &amp; IF(_xlpm.total&gt;1,"s","")
    ),
"")</f>
        <v>2 sprints</v>
      </c>
      <c r="AC17" s="8" t="str">
        <f>IF(AND(X17&lt;&gt;"",Z17&lt;&gt;""),
    _xlfn.LET(
        _xlpm.ini,SUBSTITUTE(LEFT(X17,SEARCH("S",X17)+1)," ",""),
        _xlpm.fim,SUBSTITUTE(LEFT(Z17,SEARCH("S",Z17)+1)," ",""),
        _xlpm.rIni,VALUE(MID(_xlpm.ini,2,1)),
        _xlpm.sIni,VALUE(RIGHT(_xlpm.ini,1)),
        _xlpm.rFim,VALUE(MID(_xlpm.fim,2,1)),
        _xlpm.sFim,VALUE(RIGHT(_xlpm.fim,1)),
        _xlpm.total,((_xlpm.rFim-1)*4 + _xlpm.sFim) - ((_xlpm.rIni-1)*4 + _xlpm.sIni) + 1,
        _xlpm.total &amp; " sprint" &amp; IF(_xlpm.total&gt;1,"s","")
    ),
"")</f>
        <v>2 sprints</v>
      </c>
      <c r="AD17" s="8"/>
      <c r="AE17" s="8" t="s">
        <v>403</v>
      </c>
      <c r="AF17" s="8"/>
      <c r="AG17" s="8"/>
      <c r="AH17" s="8"/>
      <c r="AI17" s="8"/>
      <c r="AJ17" s="23"/>
      <c r="AK17" s="23"/>
      <c r="AL17" s="23"/>
      <c r="AM17" s="29"/>
      <c r="AN17" s="29"/>
      <c r="AO17" s="29"/>
      <c r="AP17" s="29"/>
      <c r="AQ17" s="29" t="s">
        <v>303</v>
      </c>
      <c r="AR17" s="8" t="s">
        <v>286</v>
      </c>
      <c r="AS17" s="29"/>
      <c r="AT17" s="29"/>
    </row>
    <row r="18" spans="1:46" ht="70.05" hidden="1" customHeight="1" x14ac:dyDescent="0.3">
      <c r="A18" s="8">
        <f>ROW()</f>
        <v>18</v>
      </c>
      <c r="B18" s="26">
        <v>13</v>
      </c>
      <c r="C18" s="8" t="str">
        <f>VLOOKUP(tbRoadMapTatico[[#This Row],[ID Estratégico]],'Roadmap Estratégico'!A:BE,4,0)</f>
        <v>IBS 360</v>
      </c>
      <c r="D18" s="8" t="str">
        <f>VLOOKUP(tbRoadMapTatico[[#This Row],[ID Estratégico]],'Roadmap Estratégico'!A:BE,5,0)</f>
        <v>Pesquisa</v>
      </c>
      <c r="E18" s="8" t="s">
        <v>21</v>
      </c>
      <c r="F18" s="8" t="s">
        <v>25</v>
      </c>
      <c r="G18" s="8" t="s">
        <v>301</v>
      </c>
      <c r="H18" s="8" t="s">
        <v>34</v>
      </c>
      <c r="I18" s="8" t="s">
        <v>36</v>
      </c>
      <c r="J18" s="8" t="s">
        <v>39</v>
      </c>
      <c r="K18" s="8" t="s">
        <v>43</v>
      </c>
      <c r="L18" s="8" t="s">
        <v>46</v>
      </c>
      <c r="M18" s="8">
        <f t="shared" si="4"/>
        <v>2</v>
      </c>
      <c r="N18" s="8" t="s">
        <v>50</v>
      </c>
      <c r="O18" s="8" t="s">
        <v>327</v>
      </c>
      <c r="P18" s="8" t="s">
        <v>327</v>
      </c>
      <c r="Q18" s="8"/>
      <c r="R18" s="8"/>
      <c r="S18" s="8"/>
      <c r="T18" s="8" t="s">
        <v>337</v>
      </c>
      <c r="U18" s="8"/>
      <c r="V18" s="8"/>
      <c r="W18" s="8" t="s">
        <v>120</v>
      </c>
      <c r="X18" s="8"/>
      <c r="Y18" s="8" t="s">
        <v>120</v>
      </c>
      <c r="Z18" s="8"/>
      <c r="AA18" s="8" t="str">
        <f>IF(AND(W18&lt;&gt;"",Y18&lt;&gt;""),
    _xlfn.LET(
        _xlpm.ini,SUBSTITUTE(LEFT(W18,SEARCH("S",W18)+1)," ",""),
        _xlpm.fim,SUBSTITUTE(LEFT(Y18,SEARCH("S",Y18)+1)," ",""),
        _xlpm.rIni,VALUE(MID(_xlpm.ini,2,1)),
        _xlpm.sIni,VALUE(RIGHT(_xlpm.ini,1)),
        _xlpm.rFim,VALUE(MID(_xlpm.fim,2,1)),
        _xlpm.sFim,VALUE(RIGHT(_xlpm.fim,1)),
        _xlpm.total,((_xlpm.rFim-1)*4 + _xlpm.sFim) - ((_xlpm.rIni-1)*4 + _xlpm.sIni) + 1,
        _xlpm.total &amp; " sprint" &amp; IF(_xlpm.total&gt;1,"s","")
    ),
"")</f>
        <v>1 sprint</v>
      </c>
      <c r="AB18" s="8" t="str">
        <f t="shared" si="2"/>
        <v/>
      </c>
      <c r="AC18" s="8" t="str">
        <f>IF(AND(X18&lt;&gt;"",Z18&lt;&gt;""),
    _xlfn.LET(
        _xlpm.ini,SUBSTITUTE(LEFT(X18,SEARCH("S",X18)+1)," ",""),
        _xlpm.fim,SUBSTITUTE(LEFT(Z18,SEARCH("S",Z18)+1)," ",""),
        _xlpm.rIni,VALUE(MID(_xlpm.ini,2,1)),
        _xlpm.sIni,VALUE(RIGHT(_xlpm.ini,1)),
        _xlpm.rFim,VALUE(MID(_xlpm.fim,2,1)),
        _xlpm.sFim,VALUE(RIGHT(_xlpm.fim,1)),
        _xlpm.total,((_xlpm.rFim-1)*4 + _xlpm.sFim) - ((_xlpm.rIni-1)*4 + _xlpm.sIni) + 1,
        _xlpm.total &amp; " sprint" &amp; IF(_xlpm.total&gt;1,"s","")
    ),
"")</f>
        <v/>
      </c>
      <c r="AD18" s="8"/>
      <c r="AE18" s="8" t="s">
        <v>271</v>
      </c>
      <c r="AF18" s="8"/>
      <c r="AG18" s="8"/>
      <c r="AH18" s="8" t="s">
        <v>272</v>
      </c>
      <c r="AI18" s="8" t="s">
        <v>273</v>
      </c>
      <c r="AJ18" s="8" t="s">
        <v>46</v>
      </c>
      <c r="AK18" s="23"/>
      <c r="AL18" s="23"/>
      <c r="AM18" s="29"/>
      <c r="AN18" s="29"/>
      <c r="AO18" s="29"/>
      <c r="AP18" s="29"/>
      <c r="AQ18" s="29" t="s">
        <v>303</v>
      </c>
      <c r="AR18" s="29" t="s">
        <v>303</v>
      </c>
      <c r="AS18" s="29"/>
      <c r="AT18" s="29"/>
    </row>
    <row r="19" spans="1:46" ht="70.05" hidden="1" customHeight="1" x14ac:dyDescent="0.3">
      <c r="A19" s="8">
        <f>ROW()</f>
        <v>19</v>
      </c>
      <c r="B19" s="26">
        <v>16</v>
      </c>
      <c r="C19" s="8" t="str">
        <f>VLOOKUP(tbRoadMapTatico[[#This Row],[ID Estratégico]],'Roadmap Estratégico'!A:BE,4,0)</f>
        <v>Gestão do Parque</v>
      </c>
      <c r="D19" s="8" t="str">
        <f>VLOOKUP(tbRoadMapTatico[[#This Row],[ID Estratégico]],'Roadmap Estratégico'!A:BE,5,0)</f>
        <v>Base 360</v>
      </c>
      <c r="E19" s="8" t="s">
        <v>21</v>
      </c>
      <c r="F19" s="8" t="s">
        <v>25</v>
      </c>
      <c r="G19" s="8" t="s">
        <v>306</v>
      </c>
      <c r="H19" s="8" t="s">
        <v>35</v>
      </c>
      <c r="I19" s="8" t="s">
        <v>37</v>
      </c>
      <c r="J19" s="8" t="s">
        <v>38</v>
      </c>
      <c r="K19" s="8" t="s">
        <v>43</v>
      </c>
      <c r="L19" s="8" t="s">
        <v>45</v>
      </c>
      <c r="M19" s="8">
        <f t="shared" si="4"/>
        <v>1</v>
      </c>
      <c r="N19" s="8" t="s">
        <v>51</v>
      </c>
      <c r="O19" s="8" t="s">
        <v>328</v>
      </c>
      <c r="P19" s="8" t="s">
        <v>328</v>
      </c>
      <c r="Q19" s="8" t="s">
        <v>325</v>
      </c>
      <c r="R19" s="8" t="s">
        <v>326</v>
      </c>
      <c r="S19" s="8"/>
      <c r="T19" s="8"/>
      <c r="U19" s="8" t="s">
        <v>323</v>
      </c>
      <c r="V19" s="8" t="s">
        <v>324</v>
      </c>
      <c r="W19" s="8" t="s">
        <v>118</v>
      </c>
      <c r="X19" s="8" t="s">
        <v>118</v>
      </c>
      <c r="Y19" s="8" t="s">
        <v>119</v>
      </c>
      <c r="Z19" s="8"/>
      <c r="AA19" s="8" t="str">
        <f t="shared" ref="AA19:AA20" si="11">IF(AND(W19&lt;&gt;"",Y19&lt;&gt;""),
    _xlfn.LET(
        _xlpm.ini,SUBSTITUTE(LEFT(W19,SEARCH("S",W19)+1)," ",""),
        _xlpm.fim,SUBSTITUTE(LEFT(Y19,SEARCH("S",Y19)+1)," ",""),
        _xlpm.rIni,VALUE(MID(_xlpm.ini,2,1)),
        _xlpm.sIni,VALUE(RIGHT(_xlpm.ini,1)),
        _xlpm.rFim,VALUE(MID(_xlpm.fim,2,1)),
        _xlpm.sFim,VALUE(RIGHT(_xlpm.fim,1)),
        _xlpm.total,((_xlpm.rFim-1)*4 + _xlpm.sFim) - ((_xlpm.rIni-1)*4 + _xlpm.sIni) + 1,
        _xlpm.total &amp; " sprint" &amp; IF(_xlpm.total&gt;1,"s","")
    ),
"")</f>
        <v>2 sprints</v>
      </c>
      <c r="AB19" s="8" t="str">
        <f t="shared" ref="AB19:AB20" si="12">IF(AND(W19&lt;&gt;"",Z19&lt;&gt;""),
    _xlfn.LET(
        _xlpm.ini,SUBSTITUTE(LEFT(W19,SEARCH("S",W19)+1)," ",""),
        _xlpm.fim,SUBSTITUTE(LEFT(Z19,SEARCH("S",Z19)+1)," ",""),
        _xlpm.rIni,VALUE(MID(_xlpm.ini,2,1)),
        _xlpm.sIni,VALUE(RIGHT(_xlpm.ini,1)),
        _xlpm.rFim,VALUE(MID(_xlpm.fim,2,1)),
        _xlpm.sFim,VALUE(RIGHT(_xlpm.fim,1)),
        _xlpm.total,((_xlpm.rFim-1)*4 + _xlpm.sFim) - ((_xlpm.rIni-1)*4 + _xlpm.sIni) + 1,
        _xlpm.total &amp; " sprint" &amp; IF(_xlpm.total&gt;1,"s","")
    ),
"")</f>
        <v/>
      </c>
      <c r="AC19" s="8" t="str">
        <f t="shared" ref="AC19:AC20" si="13">IF(AND(X19&lt;&gt;"",Z19&lt;&gt;""),
    _xlfn.LET(
        _xlpm.ini,SUBSTITUTE(LEFT(X19,SEARCH("S",X19)+1)," ",""),
        _xlpm.fim,SUBSTITUTE(LEFT(Z19,SEARCH("S",Z19)+1)," ",""),
        _xlpm.rIni,VALUE(MID(_xlpm.ini,2,1)),
        _xlpm.sIni,VALUE(RIGHT(_xlpm.ini,1)),
        _xlpm.rFim,VALUE(MID(_xlpm.fim,2,1)),
        _xlpm.sFim,VALUE(RIGHT(_xlpm.fim,1)),
        _xlpm.total,((_xlpm.rFim-1)*4 + _xlpm.sFim) - ((_xlpm.rIni-1)*4 + _xlpm.sIni) + 1,
        _xlpm.total &amp; " sprint" &amp; IF(_xlpm.total&gt;1,"s","")
    ),
"")</f>
        <v/>
      </c>
      <c r="AD19" s="8"/>
      <c r="AE19" s="8" t="s">
        <v>298</v>
      </c>
      <c r="AF19" s="8"/>
      <c r="AG19" s="8"/>
      <c r="AH19" s="8"/>
      <c r="AI19" s="8"/>
      <c r="AJ19" s="8"/>
      <c r="AK19" s="23"/>
      <c r="AL19" s="23"/>
      <c r="AM19" s="29"/>
      <c r="AN19" s="29"/>
      <c r="AO19" s="8" t="s">
        <v>299</v>
      </c>
      <c r="AP19" s="8" t="s">
        <v>299</v>
      </c>
      <c r="AQ19" s="8" t="s">
        <v>299</v>
      </c>
      <c r="AR19" s="8" t="s">
        <v>299</v>
      </c>
      <c r="AS19" s="29"/>
      <c r="AT19" s="29"/>
    </row>
    <row r="20" spans="1:46" ht="70.05" hidden="1" customHeight="1" x14ac:dyDescent="0.3">
      <c r="A20" s="8">
        <f>ROW()</f>
        <v>20</v>
      </c>
      <c r="B20" s="26">
        <v>17</v>
      </c>
      <c r="C20" s="8" t="str">
        <f>VLOOKUP(tbRoadMapTatico[[#This Row],[ID Estratégico]],'Roadmap Estratégico'!A:BE,4,0)</f>
        <v>Gestão do Parque</v>
      </c>
      <c r="D20" s="8" t="str">
        <f>VLOOKUP(tbRoadMapTatico[[#This Row],[ID Estratégico]],'Roadmap Estratégico'!A:BE,5,0)</f>
        <v>Base 360</v>
      </c>
      <c r="E20" s="8" t="s">
        <v>21</v>
      </c>
      <c r="F20" s="8" t="s">
        <v>25</v>
      </c>
      <c r="G20" s="8" t="s">
        <v>307</v>
      </c>
      <c r="H20" s="8" t="s">
        <v>35</v>
      </c>
      <c r="I20" s="8" t="s">
        <v>37</v>
      </c>
      <c r="J20" s="8" t="s">
        <v>39</v>
      </c>
      <c r="K20" s="8" t="s">
        <v>43</v>
      </c>
      <c r="L20" s="8" t="s">
        <v>45</v>
      </c>
      <c r="M20" s="8">
        <f t="shared" si="4"/>
        <v>1</v>
      </c>
      <c r="N20" s="8" t="s">
        <v>50</v>
      </c>
      <c r="O20" s="8" t="s">
        <v>328</v>
      </c>
      <c r="P20" s="8" t="s">
        <v>328</v>
      </c>
      <c r="Q20" s="8" t="s">
        <v>325</v>
      </c>
      <c r="R20" s="8" t="s">
        <v>326</v>
      </c>
      <c r="S20" s="8"/>
      <c r="T20" s="8"/>
      <c r="U20" s="8" t="s">
        <v>323</v>
      </c>
      <c r="V20" s="8" t="s">
        <v>324</v>
      </c>
      <c r="W20" s="8" t="s">
        <v>118</v>
      </c>
      <c r="X20" s="8" t="s">
        <v>118</v>
      </c>
      <c r="Y20" s="8" t="s">
        <v>119</v>
      </c>
      <c r="Z20" s="8"/>
      <c r="AA20" s="8" t="str">
        <f t="shared" si="11"/>
        <v>2 sprints</v>
      </c>
      <c r="AB20" s="8" t="str">
        <f t="shared" si="12"/>
        <v/>
      </c>
      <c r="AC20" s="8" t="str">
        <f t="shared" si="13"/>
        <v/>
      </c>
      <c r="AD20" s="8"/>
      <c r="AE20" s="8" t="s">
        <v>298</v>
      </c>
      <c r="AF20" s="8"/>
      <c r="AG20" s="8"/>
      <c r="AH20" s="8"/>
      <c r="AI20" s="8"/>
      <c r="AJ20" s="8"/>
      <c r="AK20" s="23"/>
      <c r="AL20" s="23"/>
      <c r="AM20" s="29"/>
      <c r="AN20" s="29"/>
      <c r="AO20" s="8" t="s">
        <v>299</v>
      </c>
      <c r="AP20" s="8" t="s">
        <v>299</v>
      </c>
      <c r="AQ20" s="8" t="s">
        <v>299</v>
      </c>
      <c r="AR20" s="8" t="s">
        <v>299</v>
      </c>
      <c r="AS20" s="29"/>
      <c r="AT20" s="29"/>
    </row>
    <row r="21" spans="1:46" ht="70.05" hidden="1" customHeight="1" x14ac:dyDescent="0.3">
      <c r="A21" s="8">
        <f>ROW()</f>
        <v>21</v>
      </c>
      <c r="B21" s="8">
        <v>16</v>
      </c>
      <c r="C21" s="8" t="str">
        <f>VLOOKUP(tbRoadMapTatico[[#This Row],[ID Estratégico]],'Roadmap Estratégico'!A:BE,4,0)</f>
        <v>Gestão do Parque</v>
      </c>
      <c r="D21" s="8" t="str">
        <f>VLOOKUP(tbRoadMapTatico[[#This Row],[ID Estratégico]],'Roadmap Estratégico'!A:BE,5,0)</f>
        <v>Base 360</v>
      </c>
      <c r="E21" s="8" t="s">
        <v>21</v>
      </c>
      <c r="F21" s="8" t="s">
        <v>24</v>
      </c>
      <c r="G21" s="8" t="s">
        <v>308</v>
      </c>
      <c r="H21" s="8" t="s">
        <v>40</v>
      </c>
      <c r="I21" s="8" t="s">
        <v>36</v>
      </c>
      <c r="J21" s="8" t="s">
        <v>38</v>
      </c>
      <c r="K21" s="8" t="s">
        <v>43</v>
      </c>
      <c r="L21" s="8" t="s">
        <v>45</v>
      </c>
      <c r="M21" s="8">
        <f t="shared" si="4"/>
        <v>1</v>
      </c>
      <c r="N21" s="8" t="s">
        <v>50</v>
      </c>
      <c r="O21" s="8" t="s">
        <v>328</v>
      </c>
      <c r="P21" s="8" t="s">
        <v>328</v>
      </c>
      <c r="Q21" s="8" t="s">
        <v>332</v>
      </c>
      <c r="R21" s="8"/>
      <c r="S21" s="8"/>
      <c r="T21" s="8"/>
      <c r="U21" s="8" t="s">
        <v>323</v>
      </c>
      <c r="V21" s="8" t="s">
        <v>324</v>
      </c>
      <c r="W21" s="8" t="s">
        <v>119</v>
      </c>
      <c r="X21" s="8" t="s">
        <v>119</v>
      </c>
      <c r="Y21" s="8" t="s">
        <v>120</v>
      </c>
      <c r="Z21" s="8"/>
      <c r="AA21" s="8" t="str">
        <f t="shared" ref="AA21:AA36" si="14">IF(AND(W21&lt;&gt;"",Y21&lt;&gt;""),
    _xlfn.LET(
        _xlpm.ini,SUBSTITUTE(LEFT(W21,SEARCH("S",W21)+1)," ",""),
        _xlpm.fim,SUBSTITUTE(LEFT(Y21,SEARCH("S",Y21)+1)," ",""),
        _xlpm.rIni,VALUE(MID(_xlpm.ini,2,1)),
        _xlpm.sIni,VALUE(RIGHT(_xlpm.ini,1)),
        _xlpm.rFim,VALUE(MID(_xlpm.fim,2,1)),
        _xlpm.sFim,VALUE(RIGHT(_xlpm.fim,1)),
        _xlpm.total,((_xlpm.rFim-1)*4 + _xlpm.sFim) - ((_xlpm.rIni-1)*4 + _xlpm.sIni) + 1,
        _xlpm.total &amp; " sprint" &amp; IF(_xlpm.total&gt;1,"s","")
    ),
"")</f>
        <v>2 sprints</v>
      </c>
      <c r="AB21" s="8" t="str">
        <f t="shared" ref="AB21:AB36" si="15">IF(AND(W21&lt;&gt;"",Z21&lt;&gt;""),
    _xlfn.LET(
        _xlpm.ini,SUBSTITUTE(LEFT(W21,SEARCH("S",W21)+1)," ",""),
        _xlpm.fim,SUBSTITUTE(LEFT(Z21,SEARCH("S",Z21)+1)," ",""),
        _xlpm.rIni,VALUE(MID(_xlpm.ini,2,1)),
        _xlpm.sIni,VALUE(RIGHT(_xlpm.ini,1)),
        _xlpm.rFim,VALUE(MID(_xlpm.fim,2,1)),
        _xlpm.sFim,VALUE(RIGHT(_xlpm.fim,1)),
        _xlpm.total,((_xlpm.rFim-1)*4 + _xlpm.sFim) - ((_xlpm.rIni-1)*4 + _xlpm.sIni) + 1,
        _xlpm.total &amp; " sprint" &amp; IF(_xlpm.total&gt;1,"s","")
    ),
"")</f>
        <v/>
      </c>
      <c r="AC21" s="8" t="str">
        <f t="shared" ref="AC21:AC36" si="16">IF(AND(X21&lt;&gt;"",Z21&lt;&gt;""),
    _xlfn.LET(
        _xlpm.ini,SUBSTITUTE(LEFT(X21,SEARCH("S",X21)+1)," ",""),
        _xlpm.fim,SUBSTITUTE(LEFT(Z21,SEARCH("S",Z21)+1)," ",""),
        _xlpm.rIni,VALUE(MID(_xlpm.ini,2,1)),
        _xlpm.sIni,VALUE(RIGHT(_xlpm.ini,1)),
        _xlpm.rFim,VALUE(MID(_xlpm.fim,2,1)),
        _xlpm.sFim,VALUE(RIGHT(_xlpm.fim,1)),
        _xlpm.total,((_xlpm.rFim-1)*4 + _xlpm.sFim) - ((_xlpm.rIni-1)*4 + _xlpm.sIni) + 1,
        _xlpm.total &amp; " sprint" &amp; IF(_xlpm.total&gt;1,"s","")
    ),
"")</f>
        <v/>
      </c>
      <c r="AD21" s="8"/>
      <c r="AE21" s="8"/>
      <c r="AF21" s="8"/>
      <c r="AG21" s="8"/>
      <c r="AH21" s="8"/>
      <c r="AI21" s="8"/>
      <c r="AJ21" s="8"/>
      <c r="AK21" s="23"/>
      <c r="AL21" s="23"/>
      <c r="AM21" s="29"/>
      <c r="AN21" s="29"/>
      <c r="AO21" s="29"/>
      <c r="AP21" s="29" t="s">
        <v>302</v>
      </c>
      <c r="AQ21" s="29" t="s">
        <v>302</v>
      </c>
      <c r="AR21" s="29" t="s">
        <v>302</v>
      </c>
      <c r="AS21" s="29"/>
      <c r="AT21" s="29"/>
    </row>
    <row r="22" spans="1:46" ht="70.05" hidden="1" customHeight="1" x14ac:dyDescent="0.3">
      <c r="A22" s="8">
        <f>ROW()</f>
        <v>22</v>
      </c>
      <c r="B22" s="8">
        <v>16</v>
      </c>
      <c r="C22" s="8" t="str">
        <f>VLOOKUP(tbRoadMapTatico[[#This Row],[ID Estratégico]],'Roadmap Estratégico'!A:BE,4,0)</f>
        <v>Gestão do Parque</v>
      </c>
      <c r="D22" s="8" t="str">
        <f>VLOOKUP(tbRoadMapTatico[[#This Row],[ID Estratégico]],'Roadmap Estratégico'!A:BE,5,0)</f>
        <v>Base 360</v>
      </c>
      <c r="E22" s="8" t="s">
        <v>21</v>
      </c>
      <c r="F22" s="8" t="s">
        <v>25</v>
      </c>
      <c r="G22" s="8" t="s">
        <v>314</v>
      </c>
      <c r="H22" s="8" t="s">
        <v>42</v>
      </c>
      <c r="I22" s="8" t="s">
        <v>36</v>
      </c>
      <c r="J22" s="8" t="s">
        <v>38</v>
      </c>
      <c r="K22" s="8" t="s">
        <v>43</v>
      </c>
      <c r="L22" s="8" t="s">
        <v>46</v>
      </c>
      <c r="M22" s="8">
        <f t="shared" si="4"/>
        <v>2</v>
      </c>
      <c r="N22" s="8" t="s">
        <v>51</v>
      </c>
      <c r="O22" s="8" t="s">
        <v>328</v>
      </c>
      <c r="P22" s="8" t="s">
        <v>328</v>
      </c>
      <c r="Q22" s="8" t="s">
        <v>332</v>
      </c>
      <c r="R22" s="8"/>
      <c r="S22" s="8"/>
      <c r="T22" s="8"/>
      <c r="U22" s="8" t="s">
        <v>323</v>
      </c>
      <c r="V22" s="8" t="s">
        <v>324</v>
      </c>
      <c r="W22" s="8" t="s">
        <v>140</v>
      </c>
      <c r="X22" s="8" t="s">
        <v>140</v>
      </c>
      <c r="Y22" s="8"/>
      <c r="Z22" s="8"/>
      <c r="AA22" s="8" t="str">
        <f t="shared" si="14"/>
        <v/>
      </c>
      <c r="AB22" s="8" t="str">
        <f t="shared" si="15"/>
        <v/>
      </c>
      <c r="AC22" s="8" t="str">
        <f t="shared" si="16"/>
        <v/>
      </c>
      <c r="AD22" s="8"/>
      <c r="AE22" s="8"/>
      <c r="AF22" s="8"/>
      <c r="AG22" s="8"/>
      <c r="AH22" s="8"/>
      <c r="AI22" s="8"/>
      <c r="AJ22" s="8"/>
      <c r="AK22" s="23"/>
      <c r="AL22" s="23"/>
      <c r="AM22" s="29"/>
      <c r="AN22" s="29"/>
      <c r="AO22" s="29"/>
      <c r="AP22" s="29"/>
      <c r="AQ22" s="29"/>
      <c r="AR22" s="29" t="s">
        <v>292</v>
      </c>
      <c r="AS22" s="29"/>
      <c r="AT22" s="29"/>
    </row>
    <row r="23" spans="1:46" ht="70.05" hidden="1" customHeight="1" x14ac:dyDescent="0.3">
      <c r="A23" s="8">
        <f>ROW()</f>
        <v>23</v>
      </c>
      <c r="B23" s="8">
        <v>16</v>
      </c>
      <c r="C23" s="8" t="str">
        <f>VLOOKUP(tbRoadMapTatico[[#This Row],[ID Estratégico]],'Roadmap Estratégico'!A:BE,4,0)</f>
        <v>Gestão do Parque</v>
      </c>
      <c r="D23" s="8" t="str">
        <f>VLOOKUP(tbRoadMapTatico[[#This Row],[ID Estratégico]],'Roadmap Estratégico'!A:BE,5,0)</f>
        <v>Base 360</v>
      </c>
      <c r="E23" s="8" t="s">
        <v>21</v>
      </c>
      <c r="F23" s="8" t="s">
        <v>25</v>
      </c>
      <c r="G23" s="8" t="s">
        <v>315</v>
      </c>
      <c r="H23" s="8" t="s">
        <v>40</v>
      </c>
      <c r="I23" s="8" t="s">
        <v>36</v>
      </c>
      <c r="J23" s="8" t="s">
        <v>39</v>
      </c>
      <c r="K23" s="8" t="s">
        <v>43</v>
      </c>
      <c r="L23" s="8" t="s">
        <v>45</v>
      </c>
      <c r="M23" s="8">
        <f t="shared" si="4"/>
        <v>1</v>
      </c>
      <c r="N23" s="8" t="s">
        <v>52</v>
      </c>
      <c r="O23" s="8" t="s">
        <v>328</v>
      </c>
      <c r="P23" s="8" t="s">
        <v>328</v>
      </c>
      <c r="Q23" s="8" t="s">
        <v>332</v>
      </c>
      <c r="R23" s="8"/>
      <c r="S23" s="8"/>
      <c r="T23" s="8"/>
      <c r="U23" s="8" t="s">
        <v>323</v>
      </c>
      <c r="V23" s="8" t="s">
        <v>324</v>
      </c>
      <c r="W23" s="8" t="s">
        <v>120</v>
      </c>
      <c r="X23" s="8" t="s">
        <v>120</v>
      </c>
      <c r="Y23" s="8" t="s">
        <v>140</v>
      </c>
      <c r="Z23" s="8"/>
      <c r="AA23" s="8" t="str">
        <f t="shared" si="14"/>
        <v>2 sprints</v>
      </c>
      <c r="AB23" s="8" t="str">
        <f t="shared" si="15"/>
        <v/>
      </c>
      <c r="AC23" s="8" t="str">
        <f t="shared" si="16"/>
        <v/>
      </c>
      <c r="AD23" s="8" t="s">
        <v>316</v>
      </c>
      <c r="AE23" s="8"/>
      <c r="AF23" s="8"/>
      <c r="AG23" s="8"/>
      <c r="AH23" s="8"/>
      <c r="AI23" s="8" t="s">
        <v>317</v>
      </c>
      <c r="AJ23" s="8" t="s">
        <v>58</v>
      </c>
      <c r="AK23" s="23">
        <v>0.5</v>
      </c>
      <c r="AL23" s="23"/>
      <c r="AM23" s="29"/>
      <c r="AN23" s="29"/>
      <c r="AO23" s="29"/>
      <c r="AP23" s="29"/>
      <c r="AQ23" s="29" t="s">
        <v>292</v>
      </c>
      <c r="AR23" s="29" t="s">
        <v>303</v>
      </c>
      <c r="AS23" s="29"/>
      <c r="AT23" s="29"/>
    </row>
    <row r="24" spans="1:46" ht="70.05" hidden="1" customHeight="1" x14ac:dyDescent="0.3">
      <c r="A24" s="8">
        <f>ROW()</f>
        <v>24</v>
      </c>
      <c r="B24" s="8">
        <v>16</v>
      </c>
      <c r="C24" s="8" t="str">
        <f>VLOOKUP(tbRoadMapTatico[[#This Row],[ID Estratégico]],'Roadmap Estratégico'!A:BE,4,0)</f>
        <v>Gestão do Parque</v>
      </c>
      <c r="D24" s="8" t="str">
        <f>VLOOKUP(tbRoadMapTatico[[#This Row],[ID Estratégico]],'Roadmap Estratégico'!A:BE,5,0)</f>
        <v>Base 360</v>
      </c>
      <c r="E24" s="8" t="s">
        <v>21</v>
      </c>
      <c r="F24" s="8" t="s">
        <v>25</v>
      </c>
      <c r="G24" s="8" t="s">
        <v>318</v>
      </c>
      <c r="H24" s="8" t="s">
        <v>40</v>
      </c>
      <c r="I24" s="8" t="s">
        <v>36</v>
      </c>
      <c r="J24" s="8" t="s">
        <v>39</v>
      </c>
      <c r="K24" s="8" t="s">
        <v>43</v>
      </c>
      <c r="L24" s="8" t="s">
        <v>46</v>
      </c>
      <c r="M24" s="8">
        <f t="shared" si="4"/>
        <v>2</v>
      </c>
      <c r="N24" s="8" t="s">
        <v>52</v>
      </c>
      <c r="O24" s="8" t="s">
        <v>328</v>
      </c>
      <c r="P24" s="8" t="s">
        <v>328</v>
      </c>
      <c r="Q24" s="8" t="s">
        <v>332</v>
      </c>
      <c r="R24" s="8"/>
      <c r="S24" s="8"/>
      <c r="T24" s="8"/>
      <c r="U24" s="8" t="s">
        <v>323</v>
      </c>
      <c r="V24" s="8" t="s">
        <v>324</v>
      </c>
      <c r="W24" s="8"/>
      <c r="X24" s="8"/>
      <c r="Y24" s="8"/>
      <c r="Z24" s="8"/>
      <c r="AA24" s="8" t="str">
        <f t="shared" si="14"/>
        <v/>
      </c>
      <c r="AB24" s="8" t="str">
        <f t="shared" si="15"/>
        <v/>
      </c>
      <c r="AC24" s="8" t="str">
        <f t="shared" si="16"/>
        <v/>
      </c>
      <c r="AD24" s="8"/>
      <c r="AE24" s="8"/>
      <c r="AF24" s="8"/>
      <c r="AG24" s="8"/>
      <c r="AH24" s="8"/>
      <c r="AI24" s="8"/>
      <c r="AJ24" s="8"/>
      <c r="AK24" s="23"/>
      <c r="AL24" s="23"/>
      <c r="AM24" s="29"/>
      <c r="AN24" s="29"/>
      <c r="AO24" s="29"/>
      <c r="AP24" s="29"/>
      <c r="AQ24" s="29"/>
      <c r="AR24" s="29" t="s">
        <v>299</v>
      </c>
      <c r="AS24" s="29"/>
      <c r="AT24" s="29"/>
    </row>
    <row r="25" spans="1:46" ht="70.05" hidden="1" customHeight="1" x14ac:dyDescent="0.3">
      <c r="A25" s="8">
        <f>ROW()</f>
        <v>25</v>
      </c>
      <c r="B25" s="8">
        <v>18</v>
      </c>
      <c r="C25" s="8" t="str">
        <f>VLOOKUP(tbRoadMapTatico[[#This Row],[ID Estratégico]],'Roadmap Estratégico'!A:BE,4,0)</f>
        <v>Geocompasso</v>
      </c>
      <c r="D25" s="8" t="str">
        <f>VLOOKUP(tbRoadMapTatico[[#This Row],[ID Estratégico]],'Roadmap Estratégico'!A:BE,5,0)</f>
        <v>Novo Geocompasso com Visualização Aprimorada, Filtros Otimizados e Cálculo de Distância</v>
      </c>
      <c r="E25" s="8" t="s">
        <v>21</v>
      </c>
      <c r="F25" s="8" t="s">
        <v>25</v>
      </c>
      <c r="G25" s="8" t="s">
        <v>357</v>
      </c>
      <c r="H25" s="8" t="s">
        <v>34</v>
      </c>
      <c r="I25" s="8" t="s">
        <v>37</v>
      </c>
      <c r="J25" s="8" t="s">
        <v>38</v>
      </c>
      <c r="K25" s="8" t="s">
        <v>43</v>
      </c>
      <c r="L25" s="8" t="s">
        <v>45</v>
      </c>
      <c r="M25" s="8">
        <f t="shared" si="4"/>
        <v>1</v>
      </c>
      <c r="N25" s="8" t="s">
        <v>51</v>
      </c>
      <c r="O25" s="8" t="s">
        <v>328</v>
      </c>
      <c r="P25" s="8" t="s">
        <v>328</v>
      </c>
      <c r="Q25" s="8" t="s">
        <v>331</v>
      </c>
      <c r="R25" s="8"/>
      <c r="S25" s="8"/>
      <c r="T25" s="8" t="s">
        <v>337</v>
      </c>
      <c r="U25" s="8"/>
      <c r="V25" s="8"/>
      <c r="W25" s="8" t="s">
        <v>119</v>
      </c>
      <c r="X25" s="8" t="s">
        <v>120</v>
      </c>
      <c r="Y25" s="8" t="s">
        <v>120</v>
      </c>
      <c r="Z25" s="8"/>
      <c r="AA25" s="8" t="str">
        <f t="shared" si="14"/>
        <v>2 sprints</v>
      </c>
      <c r="AB25" s="8" t="str">
        <f t="shared" si="15"/>
        <v/>
      </c>
      <c r="AC25" s="8" t="str">
        <f t="shared" si="16"/>
        <v/>
      </c>
      <c r="AD25" s="8" t="s">
        <v>358</v>
      </c>
      <c r="AE25" s="8" t="s">
        <v>359</v>
      </c>
      <c r="AF25" s="8"/>
      <c r="AG25" s="8"/>
      <c r="AH25" s="8"/>
      <c r="AI25" s="8"/>
      <c r="AJ25" s="23"/>
      <c r="AK25" s="23"/>
      <c r="AL25" s="23"/>
      <c r="AM25" s="29"/>
      <c r="AN25" s="29"/>
      <c r="AO25" s="29"/>
      <c r="AP25" s="8" t="s">
        <v>292</v>
      </c>
      <c r="AQ25" s="8" t="s">
        <v>295</v>
      </c>
      <c r="AR25" s="8" t="s">
        <v>295</v>
      </c>
      <c r="AS25" s="29"/>
      <c r="AT25" s="29"/>
    </row>
    <row r="26" spans="1:46" ht="70.05" hidden="1" customHeight="1" x14ac:dyDescent="0.3">
      <c r="A26" s="8">
        <f>ROW()</f>
        <v>26</v>
      </c>
      <c r="B26" s="8">
        <v>19</v>
      </c>
      <c r="C26" s="8" t="str">
        <f>VLOOKUP(tbRoadMapTatico[[#This Row],[ID Estratégico]],'Roadmap Estratégico'!A:BE,4,0)</f>
        <v>Geocompasso</v>
      </c>
      <c r="D26" s="8" t="str">
        <f>VLOOKUP(tbRoadMapTatico[[#This Row],[ID Estratégico]],'Roadmap Estratégico'!A:BE,5,0)</f>
        <v>Novo Geocompasso com Visualização Aprimorada, Filtros Otimizados e Cálculo de Distância</v>
      </c>
      <c r="E26" s="8" t="s">
        <v>21</v>
      </c>
      <c r="F26" s="8" t="s">
        <v>25</v>
      </c>
      <c r="G26" s="8" t="s">
        <v>341</v>
      </c>
      <c r="H26" s="8" t="s">
        <v>34</v>
      </c>
      <c r="I26" s="8" t="s">
        <v>37</v>
      </c>
      <c r="J26" s="8" t="s">
        <v>39</v>
      </c>
      <c r="K26" s="8" t="s">
        <v>43</v>
      </c>
      <c r="L26" s="8" t="s">
        <v>45</v>
      </c>
      <c r="M26" s="8">
        <f t="shared" si="4"/>
        <v>1</v>
      </c>
      <c r="N26" s="8" t="s">
        <v>50</v>
      </c>
      <c r="O26" s="8" t="s">
        <v>328</v>
      </c>
      <c r="P26" s="8" t="s">
        <v>328</v>
      </c>
      <c r="Q26" s="8" t="s">
        <v>331</v>
      </c>
      <c r="R26" s="8"/>
      <c r="S26" s="8"/>
      <c r="T26" s="8" t="s">
        <v>337</v>
      </c>
      <c r="U26" s="8" t="s">
        <v>323</v>
      </c>
      <c r="V26" s="8"/>
      <c r="W26" s="8" t="s">
        <v>119</v>
      </c>
      <c r="X26" s="8"/>
      <c r="Y26" s="8" t="s">
        <v>120</v>
      </c>
      <c r="Z26" s="8"/>
      <c r="AA26" s="8" t="str">
        <f t="shared" si="14"/>
        <v>2 sprints</v>
      </c>
      <c r="AB26" s="8" t="str">
        <f t="shared" si="15"/>
        <v/>
      </c>
      <c r="AC26" s="8" t="str">
        <f t="shared" si="16"/>
        <v/>
      </c>
      <c r="AD26" s="8" t="s">
        <v>358</v>
      </c>
      <c r="AE26" s="8" t="s">
        <v>359</v>
      </c>
      <c r="AF26" s="8"/>
      <c r="AG26" s="8"/>
      <c r="AH26" s="8"/>
      <c r="AI26" s="8"/>
      <c r="AJ26" s="23"/>
      <c r="AK26" s="23"/>
      <c r="AL26" s="23"/>
      <c r="AM26" s="29"/>
      <c r="AN26" s="29"/>
      <c r="AO26" s="29"/>
      <c r="AP26" s="8" t="s">
        <v>292</v>
      </c>
      <c r="AQ26" s="8" t="s">
        <v>295</v>
      </c>
      <c r="AR26" s="8" t="s">
        <v>295</v>
      </c>
      <c r="AS26" s="29"/>
      <c r="AT26" s="29"/>
    </row>
    <row r="27" spans="1:46" ht="70.05" hidden="1" customHeight="1" x14ac:dyDescent="0.3">
      <c r="A27" s="8">
        <f>ROW()</f>
        <v>27</v>
      </c>
      <c r="B27" s="8">
        <v>20</v>
      </c>
      <c r="C27" s="8" t="str">
        <f>VLOOKUP(tbRoadMapTatico[[#This Row],[ID Estratégico]],'Roadmap Estratégico'!A:BE,4,0)</f>
        <v>Radar Imobiliário</v>
      </c>
      <c r="D27" s="8" t="str">
        <f>VLOOKUP(tbRoadMapTatico[[#This Row],[ID Estratégico]],'Roadmap Estratégico'!A:BE,5,0)</f>
        <v>Lançamento Radar Imobiliário na QE6</v>
      </c>
      <c r="E27" s="8" t="s">
        <v>21</v>
      </c>
      <c r="F27" s="8" t="s">
        <v>25</v>
      </c>
      <c r="G27" s="8" t="s">
        <v>387</v>
      </c>
      <c r="H27" s="8" t="s">
        <v>42</v>
      </c>
      <c r="I27" s="8" t="s">
        <v>36</v>
      </c>
      <c r="J27" s="8" t="s">
        <v>39</v>
      </c>
      <c r="K27" s="8" t="s">
        <v>44</v>
      </c>
      <c r="L27" s="8" t="s">
        <v>45</v>
      </c>
      <c r="M27" s="8">
        <f t="shared" si="4"/>
        <v>1</v>
      </c>
      <c r="N27" s="8" t="s">
        <v>52</v>
      </c>
      <c r="O27" s="8" t="s">
        <v>326</v>
      </c>
      <c r="P27" s="8" t="s">
        <v>326</v>
      </c>
      <c r="Q27" s="8" t="s">
        <v>334</v>
      </c>
      <c r="R27" s="8" t="s">
        <v>327</v>
      </c>
      <c r="S27" s="8"/>
      <c r="T27" s="8"/>
      <c r="U27" s="8"/>
      <c r="V27" s="8"/>
      <c r="W27" s="8" t="s">
        <v>367</v>
      </c>
      <c r="X27" s="8" t="s">
        <v>118</v>
      </c>
      <c r="Y27" s="8" t="s">
        <v>119</v>
      </c>
      <c r="Z27" s="8"/>
      <c r="AA27" s="8" t="str">
        <f t="shared" si="14"/>
        <v>4 sprints</v>
      </c>
      <c r="AB27" s="8" t="str">
        <f t="shared" si="15"/>
        <v/>
      </c>
      <c r="AC27" s="8" t="str">
        <f t="shared" si="16"/>
        <v/>
      </c>
      <c r="AD27" s="8" t="s">
        <v>477</v>
      </c>
      <c r="AE27" s="8"/>
      <c r="AF27" s="8"/>
      <c r="AG27" s="8" t="s">
        <v>479</v>
      </c>
      <c r="AH27" s="8" t="s">
        <v>480</v>
      </c>
      <c r="AI27" s="8" t="s">
        <v>481</v>
      </c>
      <c r="AJ27" s="23" t="s">
        <v>58</v>
      </c>
      <c r="AK27" s="23"/>
      <c r="AL27" s="23"/>
      <c r="AM27" s="29" t="s">
        <v>303</v>
      </c>
      <c r="AN27" s="29" t="s">
        <v>303</v>
      </c>
      <c r="AO27" s="29" t="s">
        <v>285</v>
      </c>
      <c r="AP27" s="29" t="s">
        <v>285</v>
      </c>
      <c r="AQ27" s="29" t="s">
        <v>285</v>
      </c>
      <c r="AR27" s="29" t="s">
        <v>285</v>
      </c>
      <c r="AS27" s="29" t="s">
        <v>285</v>
      </c>
      <c r="AT27" s="29"/>
    </row>
    <row r="28" spans="1:46" ht="70.05" hidden="1" customHeight="1" x14ac:dyDescent="0.3">
      <c r="A28" s="8">
        <f>ROW()</f>
        <v>28</v>
      </c>
      <c r="B28" s="8">
        <v>20</v>
      </c>
      <c r="C28" s="8" t="str">
        <f>VLOOKUP(tbRoadMapTatico[[#This Row],[ID Estratégico]],'Roadmap Estratégico'!A:BE,4,0)</f>
        <v>Radar Imobiliário</v>
      </c>
      <c r="D28" s="8" t="str">
        <f>VLOOKUP(tbRoadMapTatico[[#This Row],[ID Estratégico]],'Roadmap Estratégico'!A:BE,5,0)</f>
        <v>Lançamento Radar Imobiliário na QE6</v>
      </c>
      <c r="E28" s="8" t="s">
        <v>21</v>
      </c>
      <c r="F28" s="8" t="s">
        <v>25</v>
      </c>
      <c r="G28" s="8" t="s">
        <v>375</v>
      </c>
      <c r="H28" s="8" t="s">
        <v>42</v>
      </c>
      <c r="I28" s="8" t="s">
        <v>36</v>
      </c>
      <c r="J28" s="8" t="s">
        <v>39</v>
      </c>
      <c r="K28" s="8" t="s">
        <v>44</v>
      </c>
      <c r="L28" s="8" t="s">
        <v>47</v>
      </c>
      <c r="M28" s="8">
        <f t="shared" si="4"/>
        <v>3</v>
      </c>
      <c r="N28" s="8" t="s">
        <v>52</v>
      </c>
      <c r="O28" s="8" t="s">
        <v>327</v>
      </c>
      <c r="P28" s="8" t="s">
        <v>327</v>
      </c>
      <c r="Q28" s="8" t="s">
        <v>334</v>
      </c>
      <c r="R28" s="8" t="s">
        <v>326</v>
      </c>
      <c r="S28" s="8"/>
      <c r="T28" s="8"/>
      <c r="U28" s="8" t="s">
        <v>323</v>
      </c>
      <c r="V28" s="8" t="s">
        <v>324</v>
      </c>
      <c r="W28" s="8" t="s">
        <v>368</v>
      </c>
      <c r="X28" s="8" t="s">
        <v>140</v>
      </c>
      <c r="Y28" s="8" t="s">
        <v>369</v>
      </c>
      <c r="Z28" s="8"/>
      <c r="AA28" s="8" t="str">
        <f t="shared" si="14"/>
        <v>2 sprints</v>
      </c>
      <c r="AB28" s="8" t="str">
        <f t="shared" si="15"/>
        <v/>
      </c>
      <c r="AC28" s="8" t="str">
        <f t="shared" si="16"/>
        <v/>
      </c>
      <c r="AD28" s="8" t="s">
        <v>478</v>
      </c>
      <c r="AE28" s="8" t="s">
        <v>388</v>
      </c>
      <c r="AF28" s="8" t="s">
        <v>473</v>
      </c>
      <c r="AG28" s="8" t="s">
        <v>475</v>
      </c>
      <c r="AH28" s="8" t="s">
        <v>474</v>
      </c>
      <c r="AI28" s="8" t="s">
        <v>476</v>
      </c>
      <c r="AJ28" s="23" t="s">
        <v>58</v>
      </c>
      <c r="AK28" s="23"/>
      <c r="AL28" s="23"/>
      <c r="AM28" s="29"/>
      <c r="AN28" s="29"/>
      <c r="AO28" s="29"/>
      <c r="AP28" s="29"/>
      <c r="AQ28" s="29"/>
      <c r="AR28" s="29" t="s">
        <v>285</v>
      </c>
      <c r="AS28" s="29" t="s">
        <v>285</v>
      </c>
      <c r="AT28" s="29"/>
    </row>
    <row r="29" spans="1:46" ht="70.05" hidden="1" customHeight="1" x14ac:dyDescent="0.3">
      <c r="A29" s="8">
        <f>ROW()</f>
        <v>29</v>
      </c>
      <c r="B29" s="8">
        <v>21</v>
      </c>
      <c r="C29" s="8" t="str">
        <f>VLOOKUP(tbRoadMapTatico[[#This Row],[ID Estratégico]],'Roadmap Estratégico'!A:BE,4,0)</f>
        <v>Inteligência Imobiliária - Planejamento de Negociação</v>
      </c>
      <c r="D29" s="8" t="str">
        <f>VLOOKUP(tbRoadMapTatico[[#This Row],[ID Estratégico]],'Roadmap Estratégico'!A:BE,5,0)</f>
        <v>Inteligência Imobiliária - Planejamento de Negociação</v>
      </c>
      <c r="E29" s="8" t="s">
        <v>21</v>
      </c>
      <c r="F29" s="8" t="s">
        <v>25</v>
      </c>
      <c r="G29" s="8" t="s">
        <v>400</v>
      </c>
      <c r="H29" s="8" t="s">
        <v>35</v>
      </c>
      <c r="I29" s="8" t="s">
        <v>36</v>
      </c>
      <c r="J29" s="8" t="s">
        <v>38</v>
      </c>
      <c r="K29" s="8" t="s">
        <v>43</v>
      </c>
      <c r="L29" s="8" t="s">
        <v>47</v>
      </c>
      <c r="M29" s="8">
        <f t="shared" ref="M29:M34" si="17">IF(L29="Ruim",1,IF(L29="Médio",2,IF(L29="Bom",3,IF(L29="Excelente",4,""))))</f>
        <v>3</v>
      </c>
      <c r="N29" s="8" t="s">
        <v>53</v>
      </c>
      <c r="O29" s="8" t="s">
        <v>325</v>
      </c>
      <c r="P29" s="8" t="s">
        <v>325</v>
      </c>
      <c r="Q29" s="8" t="s">
        <v>326</v>
      </c>
      <c r="R29" s="8" t="s">
        <v>327</v>
      </c>
      <c r="S29" s="8"/>
      <c r="T29" s="8"/>
      <c r="U29" s="8" t="s">
        <v>323</v>
      </c>
      <c r="V29" s="8" t="s">
        <v>324</v>
      </c>
      <c r="W29" s="8" t="s">
        <v>118</v>
      </c>
      <c r="X29" s="8" t="s">
        <v>118</v>
      </c>
      <c r="Y29" s="8" t="s">
        <v>140</v>
      </c>
      <c r="Z29" s="8" t="s">
        <v>140</v>
      </c>
      <c r="AA29" s="8" t="str">
        <f t="shared" si="14"/>
        <v>4 sprints</v>
      </c>
      <c r="AB29" s="8" t="str">
        <f t="shared" si="15"/>
        <v>4 sprints</v>
      </c>
      <c r="AC29" s="8" t="str">
        <f t="shared" si="16"/>
        <v>4 sprints</v>
      </c>
      <c r="AD29" s="8"/>
      <c r="AE29" s="8"/>
      <c r="AF29" s="8"/>
      <c r="AG29" s="8" t="s">
        <v>372</v>
      </c>
      <c r="AH29" s="8"/>
      <c r="AI29" s="8"/>
      <c r="AJ29" s="23"/>
      <c r="AK29" s="23"/>
      <c r="AL29" s="23"/>
      <c r="AM29" s="29"/>
      <c r="AN29" s="29"/>
      <c r="AO29" s="8" t="s">
        <v>299</v>
      </c>
      <c r="AP29" s="8" t="s">
        <v>299</v>
      </c>
      <c r="AQ29" s="8" t="s">
        <v>299</v>
      </c>
      <c r="AR29" s="29"/>
      <c r="AS29" s="29"/>
      <c r="AT29" s="29"/>
    </row>
    <row r="30" spans="1:46" ht="70.05" hidden="1" customHeight="1" x14ac:dyDescent="0.3">
      <c r="A30" s="8">
        <f>ROW()</f>
        <v>30</v>
      </c>
      <c r="B30" s="8">
        <v>21</v>
      </c>
      <c r="C30" s="8" t="str">
        <f>VLOOKUP(tbRoadMapTatico[[#This Row],[ID Estratégico]],'Roadmap Estratégico'!A:BE,4,0)</f>
        <v>Inteligência Imobiliária - Planejamento de Negociação</v>
      </c>
      <c r="D30" s="8" t="str">
        <f>VLOOKUP(tbRoadMapTatico[[#This Row],[ID Estratégico]],'Roadmap Estratégico'!A:BE,5,0)</f>
        <v>Inteligência Imobiliária - Planejamento de Negociação</v>
      </c>
      <c r="E30" s="8" t="s">
        <v>21</v>
      </c>
      <c r="F30" s="8" t="s">
        <v>25</v>
      </c>
      <c r="G30" s="8" t="s">
        <v>399</v>
      </c>
      <c r="H30" s="8" t="s">
        <v>35</v>
      </c>
      <c r="I30" s="8" t="s">
        <v>37</v>
      </c>
      <c r="J30" s="8" t="s">
        <v>39</v>
      </c>
      <c r="K30" s="8" t="s">
        <v>43</v>
      </c>
      <c r="L30" s="8" t="s">
        <v>47</v>
      </c>
      <c r="M30" s="8">
        <f t="shared" si="17"/>
        <v>3</v>
      </c>
      <c r="N30" s="8" t="s">
        <v>52</v>
      </c>
      <c r="O30" s="8" t="s">
        <v>325</v>
      </c>
      <c r="P30" s="8" t="s">
        <v>325</v>
      </c>
      <c r="Q30" s="8" t="s">
        <v>326</v>
      </c>
      <c r="R30" s="8" t="s">
        <v>327</v>
      </c>
      <c r="S30" s="8"/>
      <c r="T30" s="8"/>
      <c r="U30" s="8" t="s">
        <v>323</v>
      </c>
      <c r="V30" s="8" t="s">
        <v>324</v>
      </c>
      <c r="W30" s="8" t="s">
        <v>140</v>
      </c>
      <c r="X30" s="8" t="s">
        <v>140</v>
      </c>
      <c r="Y30" s="8" t="s">
        <v>373</v>
      </c>
      <c r="Z30" s="8"/>
      <c r="AA30" s="8" t="str">
        <f t="shared" si="14"/>
        <v>5 sprints</v>
      </c>
      <c r="AB30" s="8" t="str">
        <f t="shared" si="15"/>
        <v/>
      </c>
      <c r="AC30" s="8" t="str">
        <f t="shared" si="16"/>
        <v/>
      </c>
      <c r="AD30" s="8"/>
      <c r="AE30" s="8"/>
      <c r="AF30" s="8"/>
      <c r="AG30" s="8" t="s">
        <v>372</v>
      </c>
      <c r="AH30" s="8"/>
      <c r="AI30" s="8"/>
      <c r="AJ30" s="23"/>
      <c r="AK30" s="23"/>
      <c r="AL30" s="23"/>
      <c r="AM30" s="29"/>
      <c r="AN30" s="29"/>
      <c r="AO30" s="29"/>
      <c r="AP30" s="29"/>
      <c r="AQ30" s="29"/>
      <c r="AR30" s="29" t="s">
        <v>285</v>
      </c>
      <c r="AS30" s="29" t="s">
        <v>389</v>
      </c>
      <c r="AT30" s="29"/>
    </row>
    <row r="31" spans="1:46" ht="70.05" hidden="1" customHeight="1" x14ac:dyDescent="0.3">
      <c r="A31" s="8">
        <f>ROW()</f>
        <v>31</v>
      </c>
      <c r="B31" s="8">
        <v>21</v>
      </c>
      <c r="C31" s="8" t="str">
        <f>VLOOKUP(tbRoadMapTatico[[#This Row],[ID Estratégico]],'Roadmap Estratégico'!A:BE,4,0)</f>
        <v>Inteligência Imobiliária - Planejamento de Negociação</v>
      </c>
      <c r="D31" s="8" t="str">
        <f>VLOOKUP(tbRoadMapTatico[[#This Row],[ID Estratégico]],'Roadmap Estratégico'!A:BE,5,0)</f>
        <v>Inteligência Imobiliária - Planejamento de Negociação</v>
      </c>
      <c r="E31" s="8" t="s">
        <v>21</v>
      </c>
      <c r="F31" s="8" t="s">
        <v>25</v>
      </c>
      <c r="G31" s="8" t="s">
        <v>401</v>
      </c>
      <c r="H31" s="8" t="s">
        <v>35</v>
      </c>
      <c r="I31" s="8" t="s">
        <v>37</v>
      </c>
      <c r="J31" s="8" t="s">
        <v>38</v>
      </c>
      <c r="K31" s="8" t="s">
        <v>43</v>
      </c>
      <c r="L31" s="8" t="s">
        <v>46</v>
      </c>
      <c r="M31" s="8">
        <f t="shared" si="17"/>
        <v>2</v>
      </c>
      <c r="N31" s="8" t="s">
        <v>51</v>
      </c>
      <c r="O31" s="8" t="s">
        <v>326</v>
      </c>
      <c r="P31" s="8" t="s">
        <v>326</v>
      </c>
      <c r="Q31" s="8" t="s">
        <v>327</v>
      </c>
      <c r="R31" s="8"/>
      <c r="S31" s="8"/>
      <c r="T31" s="8"/>
      <c r="U31" s="8" t="s">
        <v>323</v>
      </c>
      <c r="V31" s="8"/>
      <c r="W31" s="8" t="s">
        <v>118</v>
      </c>
      <c r="X31" s="8" t="s">
        <v>118</v>
      </c>
      <c r="Y31" s="8" t="s">
        <v>368</v>
      </c>
      <c r="Z31" s="8"/>
      <c r="AA31" s="8" t="str">
        <f>IF(AND(W31&lt;&gt;"",Y31&lt;&gt;""),
    _xlfn.LET(
        _xlpm.ini,SUBSTITUTE(LEFT(W31,SEARCH("S",W31)+1)," ",""),
        _xlpm.fim,SUBSTITUTE(LEFT(Y31,SEARCH("S",Y31)+1)," ",""),
        _xlpm.rIni,VALUE(MID(_xlpm.ini,2,1)),
        _xlpm.sIni,VALUE(RIGHT(_xlpm.ini,1)),
        _xlpm.rFim,VALUE(MID(_xlpm.fim,2,1)),
        _xlpm.sFim,VALUE(RIGHT(_xlpm.fim,1)),
        _xlpm.total,((_xlpm.rFim-1)*4 + _xlpm.sFim) - ((_xlpm.rIni-1)*4 + _xlpm.sIni) + 1,
        _xlpm.total &amp; " sprint" &amp; IF(_xlpm.total&gt;1,"s","")
    ),
"")</f>
        <v>5 sprints</v>
      </c>
      <c r="AB31" s="8" t="str">
        <f>IF(AND(W31&lt;&gt;"",Z31&lt;&gt;""),
    _xlfn.LET(
        _xlpm.ini,SUBSTITUTE(LEFT(W31,SEARCH("S",W31)+1)," ",""),
        _xlpm.fim,SUBSTITUTE(LEFT(Z31,SEARCH("S",Z31)+1)," ",""),
        _xlpm.rIni,VALUE(MID(_xlpm.ini,2,1)),
        _xlpm.sIni,VALUE(RIGHT(_xlpm.ini,1)),
        _xlpm.rFim,VALUE(MID(_xlpm.fim,2,1)),
        _xlpm.sFim,VALUE(RIGHT(_xlpm.fim,1)),
        _xlpm.total,((_xlpm.rFim-1)*4 + _xlpm.sFim) - ((_xlpm.rIni-1)*4 + _xlpm.sIni) + 1,
        _xlpm.total &amp; " sprint" &amp; IF(_xlpm.total&gt;1,"s","")
    ),
"")</f>
        <v/>
      </c>
      <c r="AC31" s="8" t="str">
        <f>IF(AND(X31&lt;&gt;"",Z31&lt;&gt;""),
    _xlfn.LET(
        _xlpm.ini,SUBSTITUTE(LEFT(X31,SEARCH("S",X31)+1)," ",""),
        _xlpm.fim,SUBSTITUTE(LEFT(Z31,SEARCH("S",Z31)+1)," ",""),
        _xlpm.rIni,VALUE(MID(_xlpm.ini,2,1)),
        _xlpm.sIni,VALUE(RIGHT(_xlpm.ini,1)),
        _xlpm.rFim,VALUE(MID(_xlpm.fim,2,1)),
        _xlpm.sFim,VALUE(RIGHT(_xlpm.fim,1)),
        _xlpm.total,((_xlpm.rFim-1)*4 + _xlpm.sFim) - ((_xlpm.rIni-1)*4 + _xlpm.sIni) + 1,
        _xlpm.total &amp; " sprint" &amp; IF(_xlpm.total&gt;1,"s","")
    ),
"")</f>
        <v/>
      </c>
      <c r="AD31" s="8"/>
      <c r="AE31" s="8" t="s">
        <v>386</v>
      </c>
      <c r="AF31" s="8"/>
      <c r="AG31" s="8" t="s">
        <v>372</v>
      </c>
      <c r="AH31" s="8"/>
      <c r="AI31" s="8" t="s">
        <v>402</v>
      </c>
      <c r="AJ31" s="23" t="s">
        <v>58</v>
      </c>
      <c r="AK31" s="23"/>
      <c r="AL31" s="23"/>
      <c r="AM31" s="29"/>
      <c r="AN31" s="29"/>
      <c r="AO31" s="29" t="s">
        <v>292</v>
      </c>
      <c r="AP31" s="29" t="s">
        <v>305</v>
      </c>
      <c r="AQ31" s="29" t="s">
        <v>305</v>
      </c>
      <c r="AR31" s="29" t="s">
        <v>295</v>
      </c>
      <c r="AS31" s="29"/>
      <c r="AT31" s="29"/>
    </row>
    <row r="32" spans="1:46" ht="70.05" hidden="1" customHeight="1" x14ac:dyDescent="0.3">
      <c r="A32" s="8">
        <f>ROW()</f>
        <v>32</v>
      </c>
      <c r="B32" s="8">
        <v>21</v>
      </c>
      <c r="C32" s="8" t="str">
        <f>VLOOKUP(tbRoadMapTatico[[#This Row],[ID Estratégico]],'Roadmap Estratégico'!A:BE,4,0)</f>
        <v>Inteligência Imobiliária - Planejamento de Negociação</v>
      </c>
      <c r="D32" s="8" t="str">
        <f>VLOOKUP(tbRoadMapTatico[[#This Row],[ID Estratégico]],'Roadmap Estratégico'!A:BE,5,0)</f>
        <v>Inteligência Imobiliária - Planejamento de Negociação</v>
      </c>
      <c r="E32" s="8" t="s">
        <v>21</v>
      </c>
      <c r="F32" s="8" t="s">
        <v>25</v>
      </c>
      <c r="G32" s="8" t="s">
        <v>401</v>
      </c>
      <c r="H32" s="8" t="s">
        <v>35</v>
      </c>
      <c r="I32" s="8" t="s">
        <v>37</v>
      </c>
      <c r="J32" s="8" t="s">
        <v>39</v>
      </c>
      <c r="K32" s="8" t="s">
        <v>43</v>
      </c>
      <c r="L32" s="8" t="s">
        <v>46</v>
      </c>
      <c r="M32" s="8">
        <f t="shared" si="17"/>
        <v>2</v>
      </c>
      <c r="N32" s="8" t="s">
        <v>50</v>
      </c>
      <c r="O32" s="8" t="s">
        <v>326</v>
      </c>
      <c r="P32" s="8" t="s">
        <v>326</v>
      </c>
      <c r="Q32" s="8" t="s">
        <v>327</v>
      </c>
      <c r="R32" s="8"/>
      <c r="S32" s="8"/>
      <c r="T32" s="8"/>
      <c r="U32" s="8" t="s">
        <v>323</v>
      </c>
      <c r="V32" s="8"/>
      <c r="W32" s="8" t="s">
        <v>140</v>
      </c>
      <c r="X32" s="8"/>
      <c r="Y32" s="8" t="s">
        <v>368</v>
      </c>
      <c r="Z32" s="8"/>
      <c r="AA32" s="8" t="str">
        <f>IF(AND(W32&lt;&gt;"",Y32&lt;&gt;""),
    _xlfn.LET(
        _xlpm.ini,SUBSTITUTE(LEFT(W32,SEARCH("S",W32)+1)," ",""),
        _xlpm.fim,SUBSTITUTE(LEFT(Y32,SEARCH("S",Y32)+1)," ",""),
        _xlpm.rIni,VALUE(MID(_xlpm.ini,2,1)),
        _xlpm.sIni,VALUE(RIGHT(_xlpm.ini,1)),
        _xlpm.rFim,VALUE(MID(_xlpm.fim,2,1)),
        _xlpm.sFim,VALUE(RIGHT(_xlpm.fim,1)),
        _xlpm.total,((_xlpm.rFim-1)*4 + _xlpm.sFim) - ((_xlpm.rIni-1)*4 + _xlpm.sIni) + 1,
        _xlpm.total &amp; " sprint" &amp; IF(_xlpm.total&gt;1,"s","")
    ),
"")</f>
        <v>2 sprints</v>
      </c>
      <c r="AB32" s="8" t="str">
        <f>IF(AND(W32&lt;&gt;"",Z32&lt;&gt;""),
    _xlfn.LET(
        _xlpm.ini,SUBSTITUTE(LEFT(W32,SEARCH("S",W32)+1)," ",""),
        _xlpm.fim,SUBSTITUTE(LEFT(Z32,SEARCH("S",Z32)+1)," ",""),
        _xlpm.rIni,VALUE(MID(_xlpm.ini,2,1)),
        _xlpm.sIni,VALUE(RIGHT(_xlpm.ini,1)),
        _xlpm.rFim,VALUE(MID(_xlpm.fim,2,1)),
        _xlpm.sFim,VALUE(RIGHT(_xlpm.fim,1)),
        _xlpm.total,((_xlpm.rFim-1)*4 + _xlpm.sFim) - ((_xlpm.rIni-1)*4 + _xlpm.sIni) + 1,
        _xlpm.total &amp; " sprint" &amp; IF(_xlpm.total&gt;1,"s","")
    ),
"")</f>
        <v/>
      </c>
      <c r="AC32" s="8" t="str">
        <f>IF(AND(X32&lt;&gt;"",Z32&lt;&gt;""),
    _xlfn.LET(
        _xlpm.ini,SUBSTITUTE(LEFT(X32,SEARCH("S",X32)+1)," ",""),
        _xlpm.fim,SUBSTITUTE(LEFT(Z32,SEARCH("S",Z32)+1)," ",""),
        _xlpm.rIni,VALUE(MID(_xlpm.ini,2,1)),
        _xlpm.sIni,VALUE(RIGHT(_xlpm.ini,1)),
        _xlpm.rFim,VALUE(MID(_xlpm.fim,2,1)),
        _xlpm.sFim,VALUE(RIGHT(_xlpm.fim,1)),
        _xlpm.total,((_xlpm.rFim-1)*4 + _xlpm.sFim) - ((_xlpm.rIni-1)*4 + _xlpm.sIni) + 1,
        _xlpm.total &amp; " sprint" &amp; IF(_xlpm.total&gt;1,"s","")
    ),
"")</f>
        <v/>
      </c>
      <c r="AD32" s="8"/>
      <c r="AE32" s="8" t="s">
        <v>386</v>
      </c>
      <c r="AF32" s="8"/>
      <c r="AG32" s="8" t="s">
        <v>372</v>
      </c>
      <c r="AH32" s="8"/>
      <c r="AI32" s="8" t="s">
        <v>402</v>
      </c>
      <c r="AJ32" s="23" t="s">
        <v>58</v>
      </c>
      <c r="AK32" s="23"/>
      <c r="AL32" s="23"/>
      <c r="AM32" s="29"/>
      <c r="AN32" s="29"/>
      <c r="AO32" s="29"/>
      <c r="AP32" s="29"/>
      <c r="AQ32" s="29"/>
      <c r="AR32" s="29" t="s">
        <v>303</v>
      </c>
      <c r="AS32" s="29"/>
      <c r="AT32" s="29"/>
    </row>
    <row r="33" spans="1:46" ht="70.05" hidden="1" customHeight="1" x14ac:dyDescent="0.3">
      <c r="A33" s="8">
        <f>ROW()</f>
        <v>33</v>
      </c>
      <c r="B33" s="8">
        <v>23</v>
      </c>
      <c r="C33" s="8" t="str">
        <f>VLOOKUP(tbRoadMapTatico[[#This Row],[ID Estratégico]],'Roadmap Estratégico'!A:BE,4,0)</f>
        <v>Inteligência Imobiliária - Hórus 3.0</v>
      </c>
      <c r="D33" s="8" t="str">
        <f>VLOOKUP(tbRoadMapTatico[[#This Row],[ID Estratégico]],'Roadmap Estratégico'!A:BE,5,0)</f>
        <v>IBS 360 - Integração com Hórus 3.0</v>
      </c>
      <c r="E33" s="8" t="s">
        <v>21</v>
      </c>
      <c r="F33" s="8" t="s">
        <v>23</v>
      </c>
      <c r="G33" s="8" t="s">
        <v>383</v>
      </c>
      <c r="H33" s="8" t="s">
        <v>35</v>
      </c>
      <c r="I33" s="8" t="s">
        <v>36</v>
      </c>
      <c r="J33" s="8" t="s">
        <v>38</v>
      </c>
      <c r="K33" s="8" t="s">
        <v>44</v>
      </c>
      <c r="L33" s="8" t="s">
        <v>48</v>
      </c>
      <c r="M33" s="8">
        <f t="shared" si="17"/>
        <v>4</v>
      </c>
      <c r="N33" s="8" t="s">
        <v>53</v>
      </c>
      <c r="O33" s="8" t="s">
        <v>325</v>
      </c>
      <c r="P33" s="8" t="s">
        <v>325</v>
      </c>
      <c r="Q33" s="8" t="s">
        <v>326</v>
      </c>
      <c r="R33" s="8" t="s">
        <v>327</v>
      </c>
      <c r="S33" s="8"/>
      <c r="T33" s="8"/>
      <c r="U33" s="8" t="s">
        <v>323</v>
      </c>
      <c r="V33" s="8" t="s">
        <v>324</v>
      </c>
      <c r="W33" s="8" t="s">
        <v>118</v>
      </c>
      <c r="X33" s="8" t="s">
        <v>118</v>
      </c>
      <c r="Y33" s="8" t="s">
        <v>140</v>
      </c>
      <c r="Z33" s="8" t="s">
        <v>140</v>
      </c>
      <c r="AA33" s="8" t="str">
        <f t="shared" si="14"/>
        <v>4 sprints</v>
      </c>
      <c r="AB33" s="8" t="str">
        <f t="shared" si="15"/>
        <v>4 sprints</v>
      </c>
      <c r="AC33" s="8" t="str">
        <f t="shared" si="16"/>
        <v>4 sprints</v>
      </c>
      <c r="AD33" s="8"/>
      <c r="AE33" s="8"/>
      <c r="AF33" s="8"/>
      <c r="AG33" s="8"/>
      <c r="AH33" s="8"/>
      <c r="AI33" s="8"/>
      <c r="AJ33" s="23"/>
      <c r="AK33" s="23"/>
      <c r="AL33" s="23"/>
      <c r="AM33" s="29"/>
      <c r="AN33" s="29"/>
      <c r="AO33" s="8" t="s">
        <v>299</v>
      </c>
      <c r="AP33" s="8" t="s">
        <v>299</v>
      </c>
      <c r="AQ33" s="8" t="s">
        <v>299</v>
      </c>
      <c r="AR33" s="29"/>
      <c r="AS33" s="29"/>
      <c r="AT33" s="29"/>
    </row>
    <row r="34" spans="1:46" ht="70.05" hidden="1" customHeight="1" x14ac:dyDescent="0.3">
      <c r="A34" s="8">
        <f>ROW()</f>
        <v>34</v>
      </c>
      <c r="B34" s="8">
        <v>23</v>
      </c>
      <c r="C34" s="8" t="str">
        <f>VLOOKUP(tbRoadMapTatico[[#This Row],[ID Estratégico]],'Roadmap Estratégico'!A:BE,4,0)</f>
        <v>Inteligência Imobiliária - Hórus 3.0</v>
      </c>
      <c r="D34" s="8" t="str">
        <f>VLOOKUP(tbRoadMapTatico[[#This Row],[ID Estratégico]],'Roadmap Estratégico'!A:BE,5,0)</f>
        <v>IBS 360 - Integração com Hórus 3.0</v>
      </c>
      <c r="E34" s="8" t="s">
        <v>22</v>
      </c>
      <c r="F34" s="8" t="s">
        <v>23</v>
      </c>
      <c r="G34" s="8" t="s">
        <v>384</v>
      </c>
      <c r="H34" s="8" t="s">
        <v>35</v>
      </c>
      <c r="I34" s="8" t="s">
        <v>37</v>
      </c>
      <c r="J34" s="8" t="s">
        <v>39</v>
      </c>
      <c r="K34" s="8" t="s">
        <v>44</v>
      </c>
      <c r="L34" s="8" t="s">
        <v>46</v>
      </c>
      <c r="M34" s="8">
        <f t="shared" si="17"/>
        <v>2</v>
      </c>
      <c r="N34" s="8" t="s">
        <v>54</v>
      </c>
      <c r="O34" s="8" t="s">
        <v>326</v>
      </c>
      <c r="P34" s="8" t="s">
        <v>326</v>
      </c>
      <c r="Q34" s="8" t="s">
        <v>327</v>
      </c>
      <c r="R34" s="8"/>
      <c r="S34" s="8"/>
      <c r="T34" s="8"/>
      <c r="U34" s="8" t="s">
        <v>323</v>
      </c>
      <c r="V34" s="8" t="s">
        <v>324</v>
      </c>
      <c r="W34" s="8" t="s">
        <v>140</v>
      </c>
      <c r="X34" s="8" t="s">
        <v>140</v>
      </c>
      <c r="Y34" s="8"/>
      <c r="Z34" s="8"/>
      <c r="AA34" s="8" t="str">
        <f t="shared" si="14"/>
        <v/>
      </c>
      <c r="AB34" s="8" t="str">
        <f t="shared" si="15"/>
        <v/>
      </c>
      <c r="AC34" s="8" t="str">
        <f t="shared" si="16"/>
        <v/>
      </c>
      <c r="AD34" s="8"/>
      <c r="AE34" s="8" t="s">
        <v>388</v>
      </c>
      <c r="AF34" s="8"/>
      <c r="AG34" s="8"/>
      <c r="AH34" s="8"/>
      <c r="AI34" s="8"/>
      <c r="AJ34" s="23"/>
      <c r="AK34" s="23"/>
      <c r="AL34" s="23"/>
      <c r="AM34" s="29"/>
      <c r="AN34" s="29"/>
      <c r="AO34" s="29"/>
      <c r="AP34" s="29"/>
      <c r="AQ34" s="29"/>
      <c r="AR34" s="29" t="s">
        <v>389</v>
      </c>
      <c r="AS34" s="29"/>
      <c r="AT34" s="29"/>
    </row>
    <row r="35" spans="1:46" ht="70.05" hidden="1" customHeight="1" x14ac:dyDescent="0.3">
      <c r="A35" s="8">
        <f>ROW()</f>
        <v>35</v>
      </c>
      <c r="B35" s="8">
        <v>24</v>
      </c>
      <c r="C35" s="8" t="str">
        <f>VLOOKUP(tbRoadMapTatico[[#This Row],[ID Estratégico]],'Roadmap Estratégico'!A:BE,4,0)</f>
        <v>Scorefy</v>
      </c>
      <c r="D35" s="8" t="str">
        <f>VLOOKUP(tbRoadMapTatico[[#This Row],[ID Estratégico]],'Roadmap Estratégico'!A:BE,5,0)</f>
        <v>Score Insight</v>
      </c>
      <c r="E35" s="8" t="s">
        <v>21</v>
      </c>
      <c r="F35" s="8" t="s">
        <v>23</v>
      </c>
      <c r="G35" s="8" t="s">
        <v>377</v>
      </c>
      <c r="H35" s="8" t="s">
        <v>35</v>
      </c>
      <c r="I35" s="8" t="s">
        <v>37</v>
      </c>
      <c r="J35" s="8" t="s">
        <v>39</v>
      </c>
      <c r="K35" s="8" t="s">
        <v>44</v>
      </c>
      <c r="L35" s="8" t="s">
        <v>47</v>
      </c>
      <c r="M35" s="8">
        <f t="shared" si="4"/>
        <v>3</v>
      </c>
      <c r="N35" s="8" t="s">
        <v>52</v>
      </c>
      <c r="O35" s="8" t="s">
        <v>333</v>
      </c>
      <c r="P35" s="8" t="s">
        <v>335</v>
      </c>
      <c r="Q35" s="8" t="s">
        <v>333</v>
      </c>
      <c r="R35" s="8"/>
      <c r="S35" s="8"/>
      <c r="T35" s="8"/>
      <c r="U35" s="8"/>
      <c r="V35" s="8" t="s">
        <v>324</v>
      </c>
      <c r="W35" s="8" t="s">
        <v>120</v>
      </c>
      <c r="X35" s="8" t="s">
        <v>120</v>
      </c>
      <c r="Y35" s="8"/>
      <c r="Z35" s="8"/>
      <c r="AA35" s="8" t="str">
        <f t="shared" si="14"/>
        <v/>
      </c>
      <c r="AB35" s="8" t="str">
        <f t="shared" si="15"/>
        <v/>
      </c>
      <c r="AC35" s="8" t="str">
        <f t="shared" si="16"/>
        <v/>
      </c>
      <c r="AD35" s="8" t="s">
        <v>380</v>
      </c>
      <c r="AE35" s="8" t="s">
        <v>379</v>
      </c>
      <c r="AF35" s="8"/>
      <c r="AG35" s="8"/>
      <c r="AH35" s="8"/>
      <c r="AI35" s="8"/>
      <c r="AJ35" s="23"/>
      <c r="AK35" s="23"/>
      <c r="AL35" s="23"/>
      <c r="AM35" s="29"/>
      <c r="AN35" s="29"/>
      <c r="AO35" s="29"/>
      <c r="AP35" s="29"/>
      <c r="AQ35" s="29" t="s">
        <v>302</v>
      </c>
      <c r="AR35" s="29" t="s">
        <v>292</v>
      </c>
      <c r="AS35" s="29"/>
      <c r="AT35" s="29"/>
    </row>
    <row r="36" spans="1:46" ht="70.05" hidden="1" customHeight="1" x14ac:dyDescent="0.3">
      <c r="A36" s="8">
        <f>ROW()</f>
        <v>36</v>
      </c>
      <c r="B36" s="8">
        <v>24</v>
      </c>
      <c r="C36" s="8" t="str">
        <f>VLOOKUP(tbRoadMapTatico[[#This Row],[ID Estratégico]],'Roadmap Estratégico'!A:BE,4,0)</f>
        <v>Scorefy</v>
      </c>
      <c r="D36" s="8" t="str">
        <f>VLOOKUP(tbRoadMapTatico[[#This Row],[ID Estratégico]],'Roadmap Estratégico'!A:BE,5,0)</f>
        <v>Score Insight</v>
      </c>
      <c r="E36" s="8" t="s">
        <v>21</v>
      </c>
      <c r="F36" s="8" t="s">
        <v>23</v>
      </c>
      <c r="G36" s="8" t="s">
        <v>378</v>
      </c>
      <c r="H36" s="8" t="s">
        <v>35</v>
      </c>
      <c r="I36" s="8" t="s">
        <v>37</v>
      </c>
      <c r="J36" s="8" t="s">
        <v>38</v>
      </c>
      <c r="K36" s="8" t="s">
        <v>44</v>
      </c>
      <c r="L36" s="8" t="s">
        <v>47</v>
      </c>
      <c r="M36" s="8">
        <f t="shared" si="4"/>
        <v>3</v>
      </c>
      <c r="N36" s="8" t="s">
        <v>51</v>
      </c>
      <c r="O36" s="8" t="s">
        <v>333</v>
      </c>
      <c r="P36" s="8" t="s">
        <v>335</v>
      </c>
      <c r="Q36" s="8" t="s">
        <v>333</v>
      </c>
      <c r="R36" s="8"/>
      <c r="S36" s="8"/>
      <c r="T36" s="8"/>
      <c r="U36" s="8"/>
      <c r="V36" s="8" t="s">
        <v>324</v>
      </c>
      <c r="W36" s="8" t="s">
        <v>120</v>
      </c>
      <c r="X36" s="8" t="s">
        <v>120</v>
      </c>
      <c r="Y36" s="8"/>
      <c r="Z36" s="8"/>
      <c r="AA36" s="8" t="str">
        <f t="shared" si="14"/>
        <v/>
      </c>
      <c r="AB36" s="8" t="str">
        <f t="shared" si="15"/>
        <v/>
      </c>
      <c r="AC36" s="8" t="str">
        <f t="shared" si="16"/>
        <v/>
      </c>
      <c r="AD36" s="8" t="s">
        <v>380</v>
      </c>
      <c r="AE36" s="8" t="s">
        <v>379</v>
      </c>
      <c r="AF36" s="8"/>
      <c r="AG36" s="8"/>
      <c r="AH36" s="8"/>
      <c r="AI36" s="8" t="s">
        <v>381</v>
      </c>
      <c r="AJ36" s="23"/>
      <c r="AK36" s="23"/>
      <c r="AL36" s="23"/>
      <c r="AM36" s="29"/>
      <c r="AN36" s="29"/>
      <c r="AO36" s="29"/>
      <c r="AP36" s="29"/>
      <c r="AQ36" s="29" t="s">
        <v>302</v>
      </c>
      <c r="AR36" s="29" t="s">
        <v>292</v>
      </c>
      <c r="AS36" s="29"/>
      <c r="AT36" s="29"/>
    </row>
    <row r="37" spans="1:46" ht="70.05" customHeight="1" x14ac:dyDescent="0.3">
      <c r="A37" s="8">
        <f>ROW()</f>
        <v>37</v>
      </c>
      <c r="B37" s="8">
        <v>29</v>
      </c>
      <c r="C37" s="8" t="str">
        <f>VLOOKUP(tbRoadMapTatico[[#This Row],[ID Estratégico]],'Roadmap Estratégico'!A:BE,4,0)</f>
        <v>Gestão do Parque</v>
      </c>
      <c r="D37" s="8" t="str">
        <f>VLOOKUP(tbRoadMapTatico[[#This Row],[ID Estratégico]],'Roadmap Estratégico'!A:BE,5,0)</f>
        <v>Base 360</v>
      </c>
      <c r="E37" s="8" t="s">
        <v>21</v>
      </c>
      <c r="F37" s="8" t="s">
        <v>24</v>
      </c>
      <c r="G37" s="8" t="s">
        <v>415</v>
      </c>
      <c r="H37" s="8" t="s">
        <v>40</v>
      </c>
      <c r="I37" s="8" t="s">
        <v>36</v>
      </c>
      <c r="J37" s="8" t="s">
        <v>38</v>
      </c>
      <c r="K37" s="8" t="s">
        <v>44</v>
      </c>
      <c r="L37" s="8" t="s">
        <v>48</v>
      </c>
      <c r="M37" s="8">
        <f t="shared" si="4"/>
        <v>4</v>
      </c>
      <c r="N37" s="8" t="s">
        <v>51</v>
      </c>
      <c r="O37" s="8" t="s">
        <v>328</v>
      </c>
      <c r="P37" s="8" t="s">
        <v>328</v>
      </c>
      <c r="Q37" s="8" t="s">
        <v>332</v>
      </c>
      <c r="R37" s="8"/>
      <c r="S37" s="8"/>
      <c r="T37" s="8"/>
      <c r="U37" s="8" t="s">
        <v>323</v>
      </c>
      <c r="V37" s="8" t="s">
        <v>324</v>
      </c>
      <c r="W37" s="8" t="s">
        <v>140</v>
      </c>
      <c r="X37" s="8" t="s">
        <v>140</v>
      </c>
      <c r="Y37" s="8" t="s">
        <v>140</v>
      </c>
      <c r="Z37" s="8"/>
      <c r="AA37" s="8" t="str">
        <f t="shared" ref="AA37:AA42" si="18">IF(AND(W37&lt;&gt;"",Y37&lt;&gt;""),
    _xlfn.LET(
        _xlpm.ini,SUBSTITUTE(LEFT(W37,SEARCH("S",W37)+1)," ",""),
        _xlpm.fim,SUBSTITUTE(LEFT(Y37,SEARCH("S",Y37)+1)," ",""),
        _xlpm.rIni,VALUE(MID(_xlpm.ini,2,1)),
        _xlpm.sIni,VALUE(RIGHT(_xlpm.ini,1)),
        _xlpm.rFim,VALUE(MID(_xlpm.fim,2,1)),
        _xlpm.sFim,VALUE(RIGHT(_xlpm.fim,1)),
        _xlpm.total,((_xlpm.rFim-1)*4 + _xlpm.sFim) - ((_xlpm.rIni-1)*4 + _xlpm.sIni) + 1,
        _xlpm.total &amp; " sprint" &amp; IF(_xlpm.total&gt;1,"s","")
    ),
"")</f>
        <v>1 sprint</v>
      </c>
      <c r="AB37" s="8" t="str">
        <f t="shared" ref="AB37:AB42" si="19">IF(AND(W37&lt;&gt;"",Z37&lt;&gt;""),
    _xlfn.LET(
        _xlpm.ini,SUBSTITUTE(LEFT(W37,SEARCH("S",W37)+1)," ",""),
        _xlpm.fim,SUBSTITUTE(LEFT(Z37,SEARCH("S",Z37)+1)," ",""),
        _xlpm.rIni,VALUE(MID(_xlpm.ini,2,1)),
        _xlpm.sIni,VALUE(RIGHT(_xlpm.ini,1)),
        _xlpm.rFim,VALUE(MID(_xlpm.fim,2,1)),
        _xlpm.sFim,VALUE(RIGHT(_xlpm.fim,1)),
        _xlpm.total,((_xlpm.rFim-1)*4 + _xlpm.sFim) - ((_xlpm.rIni-1)*4 + _xlpm.sIni) + 1,
        _xlpm.total &amp; " sprint" &amp; IF(_xlpm.total&gt;1,"s","")
    ),
"")</f>
        <v/>
      </c>
      <c r="AC37" s="8" t="str">
        <f t="shared" ref="AC37:AC42" si="20">IF(AND(X37&lt;&gt;"",Z37&lt;&gt;""),
    _xlfn.LET(
        _xlpm.ini,SUBSTITUTE(LEFT(X37,SEARCH("S",X37)+1)," ",""),
        _xlpm.fim,SUBSTITUTE(LEFT(Z37,SEARCH("S",Z37)+1)," ",""),
        _xlpm.rIni,VALUE(MID(_xlpm.ini,2,1)),
        _xlpm.sIni,VALUE(RIGHT(_xlpm.ini,1)),
        _xlpm.rFim,VALUE(MID(_xlpm.fim,2,1)),
        _xlpm.sFim,VALUE(RIGHT(_xlpm.fim,1)),
        _xlpm.total,((_xlpm.rFim-1)*4 + _xlpm.sFim) - ((_xlpm.rIni-1)*4 + _xlpm.sIni) + 1,
        _xlpm.total &amp; " sprint" &amp; IF(_xlpm.total&gt;1,"s","")
    ),
"")</f>
        <v/>
      </c>
      <c r="AD37" s="8"/>
      <c r="AE37" s="8" t="s">
        <v>418</v>
      </c>
      <c r="AF37" s="8"/>
      <c r="AG37" s="8"/>
      <c r="AH37" s="8"/>
      <c r="AI37" s="8"/>
      <c r="AJ37" s="23" t="s">
        <v>57</v>
      </c>
      <c r="AK37" s="23"/>
      <c r="AL37" s="23"/>
      <c r="AM37" s="29"/>
      <c r="AN37" s="29"/>
      <c r="AO37" s="29"/>
      <c r="AP37" s="29"/>
      <c r="AQ37" s="29"/>
      <c r="AR37" s="29" t="s">
        <v>295</v>
      </c>
      <c r="AS37" s="29"/>
      <c r="AT37" s="29"/>
    </row>
    <row r="38" spans="1:46" ht="70.05" customHeight="1" x14ac:dyDescent="0.3">
      <c r="A38" s="8">
        <f>ROW()</f>
        <v>38</v>
      </c>
      <c r="B38" s="8">
        <v>30</v>
      </c>
      <c r="C38" s="8" t="str">
        <f>VLOOKUP(tbRoadMapTatico[[#This Row],[ID Estratégico]],'Roadmap Estratégico'!A:BE,4,0)</f>
        <v>Gestão do Parque</v>
      </c>
      <c r="D38" s="8" t="str">
        <f>VLOOKUP(tbRoadMapTatico[[#This Row],[ID Estratégico]],'Roadmap Estratégico'!A:BE,5,0)</f>
        <v>Base 360</v>
      </c>
      <c r="E38" s="8" t="s">
        <v>21</v>
      </c>
      <c r="F38" s="8" t="s">
        <v>24</v>
      </c>
      <c r="G38" s="8" t="s">
        <v>416</v>
      </c>
      <c r="H38" s="8" t="s">
        <v>40</v>
      </c>
      <c r="I38" s="8" t="s">
        <v>36</v>
      </c>
      <c r="J38" s="8" t="s">
        <v>39</v>
      </c>
      <c r="K38" s="8" t="s">
        <v>44</v>
      </c>
      <c r="L38" s="8" t="s">
        <v>48</v>
      </c>
      <c r="M38" s="8">
        <f>IF(L38="Ruim",1,IF(L38="Médio",2,IF(L38="Bom",3,IF(L38="Excelente",4,""))))</f>
        <v>4</v>
      </c>
      <c r="N38" s="8" t="s">
        <v>50</v>
      </c>
      <c r="O38" s="8" t="s">
        <v>325</v>
      </c>
      <c r="P38" s="8" t="s">
        <v>328</v>
      </c>
      <c r="Q38" s="8" t="s">
        <v>332</v>
      </c>
      <c r="R38" s="8"/>
      <c r="S38" s="8"/>
      <c r="T38" s="8"/>
      <c r="U38" s="8" t="s">
        <v>323</v>
      </c>
      <c r="V38" s="8" t="s">
        <v>324</v>
      </c>
      <c r="W38" s="8" t="s">
        <v>140</v>
      </c>
      <c r="X38" s="8" t="s">
        <v>368</v>
      </c>
      <c r="Y38" s="8" t="s">
        <v>140</v>
      </c>
      <c r="Z38" s="8"/>
      <c r="AA38" s="8" t="str">
        <f t="shared" si="18"/>
        <v>1 sprint</v>
      </c>
      <c r="AB38" s="8" t="str">
        <f t="shared" si="19"/>
        <v/>
      </c>
      <c r="AC38" s="8" t="str">
        <f t="shared" si="20"/>
        <v/>
      </c>
      <c r="AD38" s="8" t="s">
        <v>417</v>
      </c>
      <c r="AE38" s="8" t="s">
        <v>418</v>
      </c>
      <c r="AF38" s="8" t="s">
        <v>419</v>
      </c>
      <c r="AG38" s="8" t="s">
        <v>468</v>
      </c>
      <c r="AH38" s="8" t="s">
        <v>469</v>
      </c>
      <c r="AI38" s="8" t="s">
        <v>420</v>
      </c>
      <c r="AJ38" s="23" t="s">
        <v>57</v>
      </c>
      <c r="AK38" s="23"/>
      <c r="AL38" s="23"/>
      <c r="AM38" s="29"/>
      <c r="AN38" s="29"/>
      <c r="AO38" s="29"/>
      <c r="AP38" s="29"/>
      <c r="AQ38" s="29"/>
      <c r="AR38" s="29"/>
      <c r="AS38" s="29" t="s">
        <v>303</v>
      </c>
      <c r="AT38" s="29"/>
    </row>
    <row r="39" spans="1:46" ht="70.05" customHeight="1" x14ac:dyDescent="0.3">
      <c r="A39" s="8">
        <f>ROW()</f>
        <v>39</v>
      </c>
      <c r="B39" s="8">
        <v>30</v>
      </c>
      <c r="C39" s="8" t="str">
        <f>VLOOKUP(tbRoadMapTatico[[#This Row],[ID Estratégico]],'Roadmap Estratégico'!A:BE,4,0)</f>
        <v>Gestão do Parque</v>
      </c>
      <c r="D39" s="8" t="str">
        <f>VLOOKUP(tbRoadMapTatico[[#This Row],[ID Estratégico]],'Roadmap Estratégico'!A:BE,5,0)</f>
        <v>Base 360</v>
      </c>
      <c r="E39" s="8" t="s">
        <v>21</v>
      </c>
      <c r="F39" s="8" t="s">
        <v>25</v>
      </c>
      <c r="G39" s="8" t="s">
        <v>434</v>
      </c>
      <c r="H39" s="8" t="s">
        <v>40</v>
      </c>
      <c r="I39" s="8" t="s">
        <v>36</v>
      </c>
      <c r="J39" s="8" t="s">
        <v>39</v>
      </c>
      <c r="K39" s="8" t="s">
        <v>43</v>
      </c>
      <c r="L39" s="8"/>
      <c r="M39" s="8" t="str">
        <f t="shared" ref="M39:M40" si="21">IF(L39="Ruim",1,IF(L39="Médio",2,IF(L39="Bom",3,IF(L39="Excelente",4,""))))</f>
        <v/>
      </c>
      <c r="N39" s="8" t="s">
        <v>50</v>
      </c>
      <c r="O39" s="8" t="s">
        <v>325</v>
      </c>
      <c r="P39" s="8" t="s">
        <v>325</v>
      </c>
      <c r="Q39" s="8" t="s">
        <v>328</v>
      </c>
      <c r="R39" s="8"/>
      <c r="S39" s="8"/>
      <c r="T39" s="8"/>
      <c r="U39" s="8" t="s">
        <v>323</v>
      </c>
      <c r="V39" s="8" t="s">
        <v>324</v>
      </c>
      <c r="W39" s="8" t="s">
        <v>368</v>
      </c>
      <c r="X39" s="8"/>
      <c r="Y39" s="8"/>
      <c r="Z39" s="8"/>
      <c r="AA39" s="8" t="str">
        <f t="shared" si="18"/>
        <v/>
      </c>
      <c r="AB39" s="8" t="str">
        <f t="shared" si="19"/>
        <v/>
      </c>
      <c r="AC39" s="8" t="str">
        <f t="shared" si="20"/>
        <v/>
      </c>
      <c r="AD39" s="8" t="s">
        <v>435</v>
      </c>
      <c r="AE39" s="8" t="s">
        <v>437</v>
      </c>
      <c r="AF39" s="8"/>
      <c r="AG39" s="8"/>
      <c r="AH39" s="8"/>
      <c r="AI39" s="8"/>
      <c r="AJ39" s="23"/>
      <c r="AK39" s="23"/>
      <c r="AL39" s="23"/>
      <c r="AM39" s="29"/>
      <c r="AN39" s="29"/>
      <c r="AO39" s="29"/>
      <c r="AP39" s="29"/>
      <c r="AQ39" s="29"/>
      <c r="AR39" s="29"/>
      <c r="AS39" s="29"/>
      <c r="AT39" s="29"/>
    </row>
    <row r="40" spans="1:46" ht="70.05" customHeight="1" x14ac:dyDescent="0.3">
      <c r="A40" s="8">
        <f>ROW()</f>
        <v>40</v>
      </c>
      <c r="B40" s="8">
        <v>28</v>
      </c>
      <c r="C40" s="8" t="str">
        <f>VLOOKUP(tbRoadMapTatico[[#This Row],[ID Estratégico]],'Roadmap Estratégico'!A:BE,4,0)</f>
        <v>Scorefy</v>
      </c>
      <c r="D40" s="8" t="str">
        <f>VLOOKUP(tbRoadMapTatico[[#This Row],[ID Estratégico]],'Roadmap Estratégico'!A:BE,5,0)</f>
        <v>Reincidência</v>
      </c>
      <c r="E40" s="8" t="s">
        <v>21</v>
      </c>
      <c r="F40" s="8" t="s">
        <v>25</v>
      </c>
      <c r="G40" s="8" t="s">
        <v>441</v>
      </c>
      <c r="H40" s="8" t="s">
        <v>35</v>
      </c>
      <c r="I40" s="8" t="s">
        <v>37</v>
      </c>
      <c r="J40" s="8" t="s">
        <v>38</v>
      </c>
      <c r="K40" s="8" t="s">
        <v>43</v>
      </c>
      <c r="L40" s="8" t="s">
        <v>45</v>
      </c>
      <c r="M40" s="8">
        <f t="shared" si="21"/>
        <v>1</v>
      </c>
      <c r="N40" s="8" t="s">
        <v>53</v>
      </c>
      <c r="O40" s="8" t="s">
        <v>333</v>
      </c>
      <c r="P40" s="8" t="s">
        <v>333</v>
      </c>
      <c r="Q40" s="8" t="s">
        <v>327</v>
      </c>
      <c r="R40" s="8"/>
      <c r="S40" s="8"/>
      <c r="T40" s="8"/>
      <c r="U40" s="8"/>
      <c r="V40" s="8"/>
      <c r="W40" s="8"/>
      <c r="X40" s="8"/>
      <c r="Y40" s="8"/>
      <c r="Z40" s="8"/>
      <c r="AA40" s="8" t="str">
        <f t="shared" si="18"/>
        <v/>
      </c>
      <c r="AB40" s="8" t="str">
        <f t="shared" si="19"/>
        <v/>
      </c>
      <c r="AC40" s="8" t="str">
        <f t="shared" si="20"/>
        <v/>
      </c>
      <c r="AD40" s="8"/>
      <c r="AE40" s="8"/>
      <c r="AF40" s="8"/>
      <c r="AG40" s="8"/>
      <c r="AH40" s="8"/>
      <c r="AI40" s="8"/>
      <c r="AJ40" s="23"/>
      <c r="AK40" s="23"/>
      <c r="AL40" s="23"/>
      <c r="AM40" s="29"/>
      <c r="AN40" s="29"/>
      <c r="AO40" s="29"/>
      <c r="AP40" s="29"/>
      <c r="AQ40" s="29"/>
      <c r="AR40" s="29"/>
      <c r="AS40" s="29"/>
      <c r="AT40" s="29"/>
    </row>
    <row r="41" spans="1:46" ht="70.05" customHeight="1" x14ac:dyDescent="0.3">
      <c r="A41" s="8">
        <f>ROW()</f>
        <v>41</v>
      </c>
      <c r="B41" s="8">
        <v>31</v>
      </c>
      <c r="C41" s="8" t="str">
        <f>VLOOKUP(tbRoadMapTatico[[#This Row],[ID Estratégico]],'Roadmap Estratégico'!A:BE,4,0)</f>
        <v>Score de Agências</v>
      </c>
      <c r="D41" s="8" t="str">
        <f>VLOOKUP(tbRoadMapTatico[[#This Row],[ID Estratégico]],'Roadmap Estratégico'!A:BE,5,0)</f>
        <v>Reincidência</v>
      </c>
      <c r="E41" s="8" t="s">
        <v>21</v>
      </c>
      <c r="F41" s="8" t="s">
        <v>25</v>
      </c>
      <c r="G41" s="8" t="s">
        <v>458</v>
      </c>
      <c r="H41" s="8" t="s">
        <v>34</v>
      </c>
      <c r="I41" s="8" t="s">
        <v>37</v>
      </c>
      <c r="J41" s="8" t="s">
        <v>38</v>
      </c>
      <c r="K41" s="8" t="s">
        <v>43</v>
      </c>
      <c r="L41" s="8"/>
      <c r="M41" s="8" t="str">
        <f>IF(L41="Ruim",1,IF(L41="Médio",2,IF(L41="Bom",3,IF(L41="Excelente",4,""))))</f>
        <v/>
      </c>
      <c r="N41" s="8" t="s">
        <v>50</v>
      </c>
      <c r="O41" s="8" t="s">
        <v>332</v>
      </c>
      <c r="P41" s="8"/>
      <c r="Q41" s="8"/>
      <c r="R41" s="8"/>
      <c r="S41" s="8"/>
      <c r="T41" s="8" t="s">
        <v>337</v>
      </c>
      <c r="U41" s="8" t="s">
        <v>323</v>
      </c>
      <c r="V41" s="8" t="s">
        <v>324</v>
      </c>
      <c r="W41" s="8" t="s">
        <v>368</v>
      </c>
      <c r="X41" s="8"/>
      <c r="Y41" s="8" t="s">
        <v>368</v>
      </c>
      <c r="Z41" s="8"/>
      <c r="AA41" s="8" t="str">
        <f t="shared" si="18"/>
        <v>1 sprint</v>
      </c>
      <c r="AB41" s="8" t="str">
        <f t="shared" si="19"/>
        <v/>
      </c>
      <c r="AC41" s="8" t="str">
        <f t="shared" si="20"/>
        <v/>
      </c>
      <c r="AD41" s="8" t="s">
        <v>454</v>
      </c>
      <c r="AE41" s="8" t="s">
        <v>408</v>
      </c>
      <c r="AF41" s="8" t="s">
        <v>456</v>
      </c>
      <c r="AG41" s="8" t="s">
        <v>455</v>
      </c>
      <c r="AH41" s="8"/>
      <c r="AI41" s="8"/>
      <c r="AJ41" s="23"/>
      <c r="AK41" s="23"/>
      <c r="AL41" s="23"/>
      <c r="AM41" s="29"/>
      <c r="AN41" s="29"/>
      <c r="AO41" s="29"/>
      <c r="AP41" s="29"/>
      <c r="AQ41" s="29"/>
      <c r="AR41" s="29"/>
      <c r="AS41" s="29"/>
      <c r="AT41" s="29"/>
    </row>
    <row r="42" spans="1:46" ht="70.05" customHeight="1" x14ac:dyDescent="0.3">
      <c r="A42" s="8">
        <f>ROW()</f>
        <v>42</v>
      </c>
      <c r="B42" s="8">
        <v>32</v>
      </c>
      <c r="C42" s="8" t="str">
        <f>VLOOKUP(tbRoadMapTatico[[#This Row],[ID Estratégico]],'Roadmap Estratégico'!A:BE,4,0)</f>
        <v>Score de Agências</v>
      </c>
      <c r="D42" s="8" t="str">
        <f>VLOOKUP(tbRoadMapTatico[[#This Row],[ID Estratégico]],'Roadmap Estratégico'!A:BE,5,0)</f>
        <v>Reincidência</v>
      </c>
      <c r="E42" s="8" t="s">
        <v>21</v>
      </c>
      <c r="F42" s="8" t="s">
        <v>25</v>
      </c>
      <c r="G42" s="8" t="s">
        <v>459</v>
      </c>
      <c r="H42" s="8" t="s">
        <v>34</v>
      </c>
      <c r="I42" s="8" t="s">
        <v>37</v>
      </c>
      <c r="J42" s="8" t="s">
        <v>39</v>
      </c>
      <c r="K42" s="8" t="s">
        <v>43</v>
      </c>
      <c r="L42" s="8"/>
      <c r="M42" s="8" t="str">
        <f>IF(L42="Ruim",1,IF(L42="Médio",2,IF(L42="Bom",3,IF(L42="Excelente",4,""))))</f>
        <v/>
      </c>
      <c r="N42" s="8" t="s">
        <v>50</v>
      </c>
      <c r="O42" s="8" t="s">
        <v>327</v>
      </c>
      <c r="P42" s="8" t="s">
        <v>327</v>
      </c>
      <c r="Q42" s="8" t="s">
        <v>330</v>
      </c>
      <c r="R42" s="8" t="s">
        <v>332</v>
      </c>
      <c r="S42" s="8" t="s">
        <v>331</v>
      </c>
      <c r="T42" s="8" t="s">
        <v>337</v>
      </c>
      <c r="U42" s="8" t="s">
        <v>323</v>
      </c>
      <c r="V42" s="8" t="s">
        <v>324</v>
      </c>
      <c r="W42" s="8" t="s">
        <v>368</v>
      </c>
      <c r="X42" s="8"/>
      <c r="Y42" s="8" t="s">
        <v>369</v>
      </c>
      <c r="Z42" s="8"/>
      <c r="AA42" s="8" t="str">
        <f t="shared" si="18"/>
        <v>2 sprints</v>
      </c>
      <c r="AB42" s="8" t="str">
        <f t="shared" si="19"/>
        <v/>
      </c>
      <c r="AC42" s="8" t="str">
        <f t="shared" si="20"/>
        <v/>
      </c>
      <c r="AD42" s="8" t="s">
        <v>454</v>
      </c>
      <c r="AE42" s="8" t="s">
        <v>408</v>
      </c>
      <c r="AF42" s="8" t="s">
        <v>456</v>
      </c>
      <c r="AG42" s="8" t="s">
        <v>455</v>
      </c>
      <c r="AH42" s="8"/>
      <c r="AI42" s="8"/>
      <c r="AJ42" s="23"/>
      <c r="AK42" s="23"/>
      <c r="AL42" s="23"/>
      <c r="AM42" s="29"/>
      <c r="AN42" s="29"/>
      <c r="AO42" s="29"/>
      <c r="AP42" s="29"/>
      <c r="AQ42" s="29"/>
      <c r="AR42" s="29"/>
      <c r="AS42" s="29"/>
      <c r="AT42" s="29"/>
    </row>
    <row r="43" spans="1:46" ht="70.05" customHeight="1" x14ac:dyDescent="0.3">
      <c r="A43" s="8">
        <f>ROW()</f>
        <v>43</v>
      </c>
      <c r="B43" s="8">
        <v>33</v>
      </c>
      <c r="C43" s="8" t="str">
        <f>VLOOKUP(tbRoadMapTatico[[#This Row],[ID Estratégico]],'Roadmap Estratégico'!A:BE,4,0)</f>
        <v>Quicksight</v>
      </c>
      <c r="D43" s="8" t="str">
        <f>VLOOKUP(tbRoadMapTatico[[#This Row],[ID Estratégico]],'Roadmap Estratégico'!A:BE,5,0)</f>
        <v>Quicksight</v>
      </c>
      <c r="E43" s="8" t="s">
        <v>21</v>
      </c>
      <c r="F43" s="8" t="s">
        <v>23</v>
      </c>
      <c r="G43" s="8" t="s">
        <v>519</v>
      </c>
      <c r="H43" s="8" t="s">
        <v>42</v>
      </c>
      <c r="I43" s="8" t="s">
        <v>36</v>
      </c>
      <c r="J43" s="8" t="s">
        <v>39</v>
      </c>
      <c r="K43" s="8" t="s">
        <v>43</v>
      </c>
      <c r="L43" s="25" t="s">
        <v>47</v>
      </c>
      <c r="M43" s="25">
        <f t="shared" ref="M43" si="22">IF(L43="Ruim",1,IF(L43="Médio",2,IF(L43="Bom",3,IF(L43="Excelente",4,""))))</f>
        <v>3</v>
      </c>
      <c r="N43" s="8" t="s">
        <v>52</v>
      </c>
      <c r="O43" s="8" t="s">
        <v>331</v>
      </c>
      <c r="P43" s="8" t="s">
        <v>331</v>
      </c>
      <c r="Q43" s="8" t="s">
        <v>329</v>
      </c>
      <c r="R43" s="8"/>
      <c r="S43" s="8"/>
      <c r="T43" s="8"/>
      <c r="U43" s="8" t="s">
        <v>323</v>
      </c>
      <c r="V43" s="8" t="s">
        <v>324</v>
      </c>
      <c r="W43" s="8" t="s">
        <v>368</v>
      </c>
      <c r="X43" s="8" t="s">
        <v>368</v>
      </c>
      <c r="Y43" s="8" t="s">
        <v>368</v>
      </c>
      <c r="Z43" s="8"/>
      <c r="AA43" s="8" t="str">
        <f>IF(AND(W43&lt;&gt;"",Y43&lt;&gt;""),
    _xlfn.LET(
        _xlpm.ini,SUBSTITUTE(LEFT(W43,SEARCH("S",W43)+1)," ",""),
        _xlpm.fim,SUBSTITUTE(LEFT(Y43,SEARCH("S",Y43)+1)," ",""),
        _xlpm.rIni,VALUE(MID(_xlpm.ini,2,1)),
        _xlpm.sIni,VALUE(RIGHT(_xlpm.ini,1)),
        _xlpm.rFim,VALUE(MID(_xlpm.fim,2,1)),
        _xlpm.sFim,VALUE(RIGHT(_xlpm.fim,1)),
        _xlpm.total,((_xlpm.rFim-1)*4 + _xlpm.sFim) - ((_xlpm.rIni-1)*4 + _xlpm.sIni) + 1,
        _xlpm.total &amp; " sprint" &amp; IF(_xlpm.total&gt;1,"s","")
    ),
"")</f>
        <v>1 sprint</v>
      </c>
      <c r="AB43" s="8" t="str">
        <f>IF(AND(W43&lt;&gt;"",Z43&lt;&gt;""),
    _xlfn.LET(
        _xlpm.ini,SUBSTITUTE(LEFT(W43,SEARCH("S",W43)+1)," ",""),
        _xlpm.fim,SUBSTITUTE(LEFT(Z43,SEARCH("S",Z43)+1)," ",""),
        _xlpm.rIni,VALUE(MID(_xlpm.ini,2,1)),
        _xlpm.sIni,VALUE(RIGHT(_xlpm.ini,1)),
        _xlpm.rFim,VALUE(MID(_xlpm.fim,2,1)),
        _xlpm.sFim,VALUE(RIGHT(_xlpm.fim,1)),
        _xlpm.total,((_xlpm.rFim-1)*4 + _xlpm.sFim) - ((_xlpm.rIni-1)*4 + _xlpm.sIni) + 1,
        _xlpm.total &amp; " sprint" &amp; IF(_xlpm.total&gt;1,"s","")
    ),
"")</f>
        <v/>
      </c>
      <c r="AC43" s="8" t="str">
        <f>IF(AND(X43&lt;&gt;"",Z43&lt;&gt;""),
    _xlfn.LET(
        _xlpm.ini,SUBSTITUTE(LEFT(X43,SEARCH("S",X43)+1)," ",""),
        _xlpm.fim,SUBSTITUTE(LEFT(Z43,SEARCH("S",Z43)+1)," ",""),
        _xlpm.rIni,VALUE(MID(_xlpm.ini,2,1)),
        _xlpm.sIni,VALUE(RIGHT(_xlpm.ini,1)),
        _xlpm.rFim,VALUE(MID(_xlpm.fim,2,1)),
        _xlpm.sFim,VALUE(RIGHT(_xlpm.fim,1)),
        _xlpm.total,((_xlpm.rFim-1)*4 + _xlpm.sFim) - ((_xlpm.rIni-1)*4 + _xlpm.sIni) + 1,
        _xlpm.total &amp; " sprint" &amp; IF(_xlpm.total&gt;1,"s","")
    ),
"")</f>
        <v/>
      </c>
      <c r="AD43" s="8" t="s">
        <v>512</v>
      </c>
      <c r="AE43" s="8" t="s">
        <v>508</v>
      </c>
      <c r="AF43" s="8" t="s">
        <v>513</v>
      </c>
      <c r="AG43" s="8" t="s">
        <v>514</v>
      </c>
      <c r="AH43" s="8"/>
      <c r="AI43" s="8" t="s">
        <v>516</v>
      </c>
      <c r="AJ43" s="23" t="s">
        <v>57</v>
      </c>
      <c r="AK43" s="23"/>
      <c r="AL43" s="23"/>
      <c r="AM43" s="29"/>
      <c r="AN43" s="29"/>
      <c r="AO43" s="29"/>
      <c r="AP43" s="29"/>
      <c r="AQ43" s="29"/>
      <c r="AR43" s="29"/>
      <c r="AS43" s="29" t="s">
        <v>303</v>
      </c>
      <c r="AT43" s="29"/>
    </row>
    <row r="44" spans="1:46" ht="70.05" customHeight="1" x14ac:dyDescent="0.3">
      <c r="A44" s="8">
        <f>ROW()</f>
        <v>44</v>
      </c>
      <c r="B44" s="8">
        <v>34</v>
      </c>
      <c r="C44" s="8" t="str">
        <f>VLOOKUP(tbRoadMapTatico[[#This Row],[ID Estratégico]],'Roadmap Estratégico'!A:BE,4,0)</f>
        <v>Quicksight</v>
      </c>
      <c r="D44" s="8" t="str">
        <f>VLOOKUP(tbRoadMapTatico[[#This Row],[ID Estratégico]],'Roadmap Estratégico'!A:BE,5,0)</f>
        <v>Quicksight</v>
      </c>
      <c r="E44" s="8" t="s">
        <v>21</v>
      </c>
      <c r="F44" s="8" t="s">
        <v>23</v>
      </c>
      <c r="G44" s="8" t="s">
        <v>520</v>
      </c>
      <c r="H44" s="8" t="s">
        <v>42</v>
      </c>
      <c r="I44" s="8" t="s">
        <v>36</v>
      </c>
      <c r="J44" s="8" t="s">
        <v>39</v>
      </c>
      <c r="K44" s="8" t="s">
        <v>43</v>
      </c>
      <c r="L44" s="25" t="s">
        <v>47</v>
      </c>
      <c r="M44" s="25">
        <f>IF(L44="Ruim",1,IF(L44="Médio",2,IF(L44="Bom",3,IF(L44="Excelente",4,""))))</f>
        <v>3</v>
      </c>
      <c r="N44" s="8" t="s">
        <v>52</v>
      </c>
      <c r="O44" s="8" t="s">
        <v>331</v>
      </c>
      <c r="P44" s="8" t="s">
        <v>331</v>
      </c>
      <c r="Q44" s="8" t="s">
        <v>329</v>
      </c>
      <c r="R44" s="8"/>
      <c r="S44" s="8"/>
      <c r="T44" s="8"/>
      <c r="U44" s="8" t="s">
        <v>323</v>
      </c>
      <c r="V44" s="8" t="s">
        <v>324</v>
      </c>
      <c r="W44" s="8" t="s">
        <v>368</v>
      </c>
      <c r="X44" s="8" t="s">
        <v>368</v>
      </c>
      <c r="Y44" s="8" t="s">
        <v>506</v>
      </c>
      <c r="Z44" s="8"/>
      <c r="AA44" s="8" t="str">
        <f>IF(AND(W44&lt;&gt;"",Y44&lt;&gt;""),
    _xlfn.LET(
        _xlpm.ini,SUBSTITUTE(LEFT(W44,SEARCH("S",W44)+1)," ",""),
        _xlpm.fim,SUBSTITUTE(LEFT(Y44,SEARCH("S",Y44)+1)," ",""),
        _xlpm.rIni,VALUE(MID(_xlpm.ini,2,1)),
        _xlpm.sIni,VALUE(RIGHT(_xlpm.ini,1)),
        _xlpm.rFim,VALUE(MID(_xlpm.fim,2,1)),
        _xlpm.sFim,VALUE(RIGHT(_xlpm.fim,1)),
        _xlpm.total,((_xlpm.rFim-1)*4 + _xlpm.sFim) - ((_xlpm.rIni-1)*4 + _xlpm.sIni) + 1,
        _xlpm.total &amp; " sprint" &amp; IF(_xlpm.total&gt;1,"s","")
    ),
"")</f>
        <v>3 sprints</v>
      </c>
      <c r="AB44" s="8" t="str">
        <f>IF(AND(W44&lt;&gt;"",Z44&lt;&gt;""),
    _xlfn.LET(
        _xlpm.ini,SUBSTITUTE(LEFT(W44,SEARCH("S",W44)+1)," ",""),
        _xlpm.fim,SUBSTITUTE(LEFT(Z44,SEARCH("S",Z44)+1)," ",""),
        _xlpm.rIni,VALUE(MID(_xlpm.ini,2,1)),
        _xlpm.sIni,VALUE(RIGHT(_xlpm.ini,1)),
        _xlpm.rFim,VALUE(MID(_xlpm.fim,2,1)),
        _xlpm.sFim,VALUE(RIGHT(_xlpm.fim,1)),
        _xlpm.total,((_xlpm.rFim-1)*4 + _xlpm.sFim) - ((_xlpm.rIni-1)*4 + _xlpm.sIni) + 1,
        _xlpm.total &amp; " sprint" &amp; IF(_xlpm.total&gt;1,"s","")
    ),
"")</f>
        <v/>
      </c>
      <c r="AC44" s="8" t="str">
        <f>IF(AND(X44&lt;&gt;"",Z44&lt;&gt;""),
    _xlfn.LET(
        _xlpm.ini,SUBSTITUTE(LEFT(X44,SEARCH("S",X44)+1)," ",""),
        _xlpm.fim,SUBSTITUTE(LEFT(Z44,SEARCH("S",Z44)+1)," ",""),
        _xlpm.rIni,VALUE(MID(_xlpm.ini,2,1)),
        _xlpm.sIni,VALUE(RIGHT(_xlpm.ini,1)),
        _xlpm.rFim,VALUE(MID(_xlpm.fim,2,1)),
        _xlpm.sFim,VALUE(RIGHT(_xlpm.fim,1)),
        _xlpm.total,((_xlpm.rFim-1)*4 + _xlpm.sFim) - ((_xlpm.rIni-1)*4 + _xlpm.sIni) + 1,
        _xlpm.total &amp; " sprint" &amp; IF(_xlpm.total&gt;1,"s","")
    ),
"")</f>
        <v/>
      </c>
      <c r="AD44" s="8" t="s">
        <v>507</v>
      </c>
      <c r="AE44" s="8" t="s">
        <v>508</v>
      </c>
      <c r="AF44" s="8" t="s">
        <v>509</v>
      </c>
      <c r="AG44" s="8" t="s">
        <v>515</v>
      </c>
      <c r="AH44" s="8" t="s">
        <v>510</v>
      </c>
      <c r="AI44" s="8" t="s">
        <v>511</v>
      </c>
      <c r="AJ44" s="23" t="s">
        <v>57</v>
      </c>
      <c r="AK44" s="23"/>
      <c r="AL44" s="23"/>
      <c r="AM44" s="29"/>
      <c r="AN44" s="29"/>
      <c r="AO44" s="29"/>
      <c r="AP44" s="29"/>
      <c r="AQ44" s="29"/>
      <c r="AR44" s="29"/>
      <c r="AS44" s="29" t="s">
        <v>303</v>
      </c>
      <c r="AT44" s="29"/>
    </row>
  </sheetData>
  <mergeCells count="8">
    <mergeCell ref="A1:BG2"/>
    <mergeCell ref="A3:BF4"/>
    <mergeCell ref="W5:AC5"/>
    <mergeCell ref="AD5:AE5"/>
    <mergeCell ref="AI5:AK5"/>
    <mergeCell ref="AM5:AP5"/>
    <mergeCell ref="AQ5:AT5"/>
    <mergeCell ref="O5:U5"/>
  </mergeCells>
  <phoneticPr fontId="14" type="noConversion"/>
  <dataValidations count="12">
    <dataValidation type="decimal" allowBlank="1" showInputMessage="1" showErrorMessage="1" sqref="AJ16:AJ17 AJ25 AK7:AK1048576 AL37:AL1048576" xr:uid="{3C87054F-C436-43FE-8D3F-62894C1D23B3}">
      <formula1>0</formula1>
      <formula2>100</formula2>
    </dataValidation>
    <dataValidation type="list" allowBlank="1" showInputMessage="1" showErrorMessage="1" sqref="AJ7:AJ15 AI16:AI17 AJ18:AJ24 AI25 AJ26:AJ42 AJ45:AJ1048576" xr:uid="{72AD3BE5-654C-4282-AE88-3F325FB3E9C8}">
      <formula1>Lista_Impacto</formula1>
    </dataValidation>
    <dataValidation type="list" allowBlank="1" showInputMessage="1" showErrorMessage="1" sqref="N7:N1048576" xr:uid="{AC5B48D4-B669-4AD2-B211-0F0BB41549E5}">
      <formula1>Lista_Status</formula1>
    </dataValidation>
    <dataValidation type="list" allowBlank="1" showInputMessage="1" showErrorMessage="1" sqref="L7:L1048576" xr:uid="{1C7D09AB-EAAD-470F-9C7A-F79EDBF456FE}">
      <formula1>Lista_Sinaleiro</formula1>
    </dataValidation>
    <dataValidation type="list" allowBlank="1" showInputMessage="1" showErrorMessage="1" sqref="K7:K1048576" xr:uid="{0022D075-5888-46AA-A24D-9596B7FA0955}">
      <formula1>Lista_Orquestrado_Envolvido</formula1>
    </dataValidation>
    <dataValidation type="list" allowBlank="1" showInputMessage="1" showErrorMessage="1" sqref="J7:J1048576" xr:uid="{5F29FE2F-AA28-4FF1-AD6D-FD688EFF8685}">
      <formula1>Lista_Discovery_Delivery</formula1>
    </dataValidation>
    <dataValidation type="list" allowBlank="1" showInputMessage="1" showErrorMessage="1" sqref="I7:I1048576" xr:uid="{CDDBF2B9-D8FC-4E21-8472-16B96D0228C2}">
      <formula1>Lista_Frente_Prioritária</formula1>
    </dataValidation>
    <dataValidation type="list" allowBlank="1" showInputMessage="1" showErrorMessage="1" sqref="H7:H1048576" xr:uid="{D0F71E96-A2D2-4119-9C91-0BF233621236}">
      <formula1>Lista_Classificação_da_Torre</formula1>
    </dataValidation>
    <dataValidation type="list" allowBlank="1" showInputMessage="1" showErrorMessage="1" sqref="F7:F1048576" xr:uid="{DBAFD55F-B53C-412E-AD50-06AC057B54FF}">
      <formula1>Lista_Criticidade</formula1>
    </dataValidation>
    <dataValidation type="list" allowBlank="1" showInputMessage="1" showErrorMessage="1" sqref="E7:E1048576" xr:uid="{4DBF3A8B-A72D-4497-9AA2-DE5D90E92EBD}">
      <formula1>Lista_EscolhaRenuncia</formula1>
    </dataValidation>
    <dataValidation type="list" allowBlank="1" showInputMessage="1" showErrorMessage="1" sqref="AM7:AT1048576" xr:uid="{4B6BCF9A-B14E-4D36-A9CA-63213A302B36}">
      <formula1>listaDualTrack</formula1>
    </dataValidation>
    <dataValidation type="list" allowBlank="1" showInputMessage="1" showErrorMessage="1" sqref="O7:V1048576" xr:uid="{34DE5DE2-9AB8-44CA-B3DF-B1777E4FC4CA}">
      <formula1>ListaEquipe</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7" id="{596E82CF-CCC6-45EA-B529-9CCE976B272D}">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K19:K26 M7:M18 L27:L42 L45:L1048576</xm:sqref>
        </x14:conditionalFormatting>
        <x14:conditionalFormatting xmlns:xm="http://schemas.microsoft.com/office/excel/2006/main">
          <x14:cfRule type="iconSet" priority="6" id="{1E680127-8B2A-4A02-9D2A-CD1D852516E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L19:M21</xm:sqref>
        </x14:conditionalFormatting>
        <x14:conditionalFormatting xmlns:xm="http://schemas.microsoft.com/office/excel/2006/main">
          <x14:cfRule type="iconSet" priority="5" id="{45F1C8E4-0D16-4144-BC55-0FDCB5CEFEC1}">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L22:M23</xm:sqref>
        </x14:conditionalFormatting>
        <x14:conditionalFormatting xmlns:xm="http://schemas.microsoft.com/office/excel/2006/main">
          <x14:cfRule type="iconSet" priority="4" id="{C9D9088B-2ADC-476F-86FA-7E5786C50A4B}">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L24:M25</xm:sqref>
        </x14:conditionalFormatting>
        <x14:conditionalFormatting xmlns:xm="http://schemas.microsoft.com/office/excel/2006/main">
          <x14:cfRule type="iconSet" priority="3" id="{5DEE169B-3F12-44F6-ABC4-CB0B329DB8B5}">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L26:M26 M27:M42 M45:M1048576</xm:sqref>
        </x14:conditionalFormatting>
        <x14:conditionalFormatting xmlns:xm="http://schemas.microsoft.com/office/excel/2006/main">
          <x14:cfRule type="iconSet" priority="1" id="{26D9DD4E-480A-40A4-9704-5E59082FCBAB}">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L43:L44</xm:sqref>
        </x14:conditionalFormatting>
        <x14:conditionalFormatting xmlns:xm="http://schemas.microsoft.com/office/excel/2006/main">
          <x14:cfRule type="iconSet" priority="2" id="{4515E347-8312-443A-8C84-A9BBE776C700}">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M43:M44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30C1AE4E-60AF-4144-88F9-0ED767DAB8BD}">
          <x14:formula1>
            <xm:f>'Calendário Comunidade 2025'!$A$3:$A$22</xm:f>
          </x14:formula1>
          <xm:sqref>W7:Z1048576</xm:sqref>
        </x14:dataValidation>
        <x14:dataValidation type="list" allowBlank="1" showInputMessage="1" showErrorMessage="1" xr:uid="{B3FED047-408C-4662-B296-092483F35EE0}">
          <x14:formula1>
            <xm:f>'Roadmap Estratégico'!$A$7:$A$503</xm:f>
          </x14:formula1>
          <xm:sqref>B7:B1048576</xm:sqref>
        </x14:dataValidation>
        <x14:dataValidation type="list" allowBlank="1" showInputMessage="1" showErrorMessage="1" xr:uid="{26A027D2-5046-4281-B216-EC2F70A800A4}">
          <x14:formula1>
            <xm:f>Auxiliares!$Q$2:$Q$6</xm:f>
          </x14:formula1>
          <xm:sqref>AJ43:AJ44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3F89A-3059-4025-B822-C1F74FB49D89}">
  <sheetPr codeName="Planilha7"/>
  <dimension ref="A2:E54"/>
  <sheetViews>
    <sheetView workbookViewId="0">
      <selection activeCell="A2" sqref="A2:E2"/>
    </sheetView>
  </sheetViews>
  <sheetFormatPr defaultRowHeight="14.4" x14ac:dyDescent="0.3"/>
  <cols>
    <col min="1" max="1" width="113.88671875" bestFit="1" customWidth="1"/>
    <col min="2" max="2" width="18.5546875" bestFit="1" customWidth="1"/>
    <col min="3" max="3" width="5.109375" bestFit="1" customWidth="1"/>
    <col min="4" max="4" width="10.88671875" bestFit="1" customWidth="1"/>
    <col min="5" max="5" width="10" bestFit="1" customWidth="1"/>
    <col min="6" max="6" width="10.88671875" bestFit="1" customWidth="1"/>
    <col min="7" max="7" width="12.88671875" bestFit="1" customWidth="1"/>
    <col min="8" max="8" width="81.21875" bestFit="1" customWidth="1"/>
    <col min="9" max="9" width="5.109375" bestFit="1" customWidth="1"/>
    <col min="10" max="10" width="84" bestFit="1" customWidth="1"/>
    <col min="11" max="11" width="10.33203125" bestFit="1" customWidth="1"/>
    <col min="12" max="12" width="13.109375" bestFit="1" customWidth="1"/>
    <col min="13" max="13" width="13.5546875" bestFit="1" customWidth="1"/>
    <col min="14" max="14" width="16.33203125" bestFit="1" customWidth="1"/>
    <col min="15" max="15" width="13.77734375" bestFit="1" customWidth="1"/>
    <col min="16" max="16" width="10.88671875" bestFit="1" customWidth="1"/>
    <col min="17" max="17" width="16.5546875" bestFit="1" customWidth="1"/>
    <col min="18" max="18" width="10" bestFit="1" customWidth="1"/>
    <col min="19" max="19" width="16.33203125" bestFit="1" customWidth="1"/>
    <col min="20" max="20" width="21" bestFit="1" customWidth="1"/>
    <col min="21" max="21" width="13.77734375" bestFit="1" customWidth="1"/>
    <col min="22" max="22" width="10.88671875" bestFit="1" customWidth="1"/>
    <col min="23" max="23" width="16.5546875" bestFit="1" customWidth="1"/>
    <col min="24" max="24" width="12" bestFit="1" customWidth="1"/>
    <col min="25" max="25" width="10" bestFit="1" customWidth="1"/>
  </cols>
  <sheetData>
    <row r="2" spans="1:5" ht="15.6" x14ac:dyDescent="0.3">
      <c r="A2" s="143" t="s">
        <v>483</v>
      </c>
      <c r="B2" s="143"/>
      <c r="C2" s="143"/>
      <c r="D2" s="143"/>
      <c r="E2" s="143"/>
    </row>
    <row r="3" spans="1:5" ht="15.6" x14ac:dyDescent="0.3">
      <c r="A3" s="31" t="s">
        <v>10</v>
      </c>
      <c r="B3" t="s">
        <v>484</v>
      </c>
      <c r="C3" s="103"/>
      <c r="D3" s="103"/>
      <c r="E3" s="103"/>
    </row>
    <row r="4" spans="1:5" ht="15.6" customHeight="1" x14ac:dyDescent="0.3">
      <c r="A4" s="31" t="s">
        <v>2</v>
      </c>
      <c r="B4" t="s">
        <v>484</v>
      </c>
      <c r="C4" s="102"/>
      <c r="D4" s="102"/>
      <c r="E4" s="102"/>
    </row>
    <row r="5" spans="1:5" ht="15.6" customHeight="1" x14ac:dyDescent="0.3">
      <c r="A5" s="31" t="s">
        <v>1</v>
      </c>
      <c r="B5" t="s">
        <v>484</v>
      </c>
      <c r="C5" s="102"/>
      <c r="D5" s="102"/>
      <c r="E5" s="102"/>
    </row>
    <row r="6" spans="1:5" ht="15.6" customHeight="1" x14ac:dyDescent="0.3">
      <c r="A6" s="31" t="s">
        <v>8</v>
      </c>
      <c r="B6" t="s">
        <v>484</v>
      </c>
      <c r="C6" s="102"/>
      <c r="D6" s="102"/>
      <c r="E6" s="102"/>
    </row>
    <row r="7" spans="1:5" ht="15.6" customHeight="1" x14ac:dyDescent="0.3">
      <c r="A7" s="31" t="s">
        <v>319</v>
      </c>
      <c r="B7" t="s">
        <v>484</v>
      </c>
      <c r="C7" s="102"/>
      <c r="D7" s="102"/>
      <c r="E7" s="102"/>
    </row>
    <row r="8" spans="1:5" ht="15.6" customHeight="1" x14ac:dyDescent="0.3">
      <c r="A8" s="31" t="s">
        <v>320</v>
      </c>
      <c r="B8" t="s">
        <v>484</v>
      </c>
      <c r="C8" s="102"/>
      <c r="D8" s="102"/>
      <c r="E8" s="102"/>
    </row>
    <row r="9" spans="1:5" ht="15.6" customHeight="1" x14ac:dyDescent="0.3">
      <c r="A9" s="31" t="s">
        <v>321</v>
      </c>
      <c r="B9" t="s">
        <v>484</v>
      </c>
      <c r="C9" s="102"/>
      <c r="D9" s="102"/>
      <c r="E9" s="102"/>
    </row>
    <row r="10" spans="1:5" x14ac:dyDescent="0.3">
      <c r="A10" s="31" t="s">
        <v>451</v>
      </c>
      <c r="B10" t="s">
        <v>484</v>
      </c>
    </row>
    <row r="11" spans="1:5" x14ac:dyDescent="0.3">
      <c r="A11" s="31" t="s">
        <v>452</v>
      </c>
      <c r="B11" t="s">
        <v>484</v>
      </c>
    </row>
    <row r="12" spans="1:5" x14ac:dyDescent="0.3">
      <c r="A12" s="31" t="s">
        <v>340</v>
      </c>
      <c r="B12" t="s">
        <v>484</v>
      </c>
    </row>
    <row r="13" spans="1:5" x14ac:dyDescent="0.3">
      <c r="A13" s="31" t="s">
        <v>339</v>
      </c>
      <c r="B13" t="s">
        <v>484</v>
      </c>
    </row>
    <row r="14" spans="1:5" x14ac:dyDescent="0.3">
      <c r="A14" s="31" t="s">
        <v>376</v>
      </c>
      <c r="B14" t="s">
        <v>484</v>
      </c>
    </row>
    <row r="16" spans="1:5" x14ac:dyDescent="0.3">
      <c r="A16" s="31" t="s">
        <v>312</v>
      </c>
      <c r="B16" s="31" t="s">
        <v>309</v>
      </c>
    </row>
    <row r="17" spans="1:5" x14ac:dyDescent="0.3">
      <c r="A17" s="31" t="s">
        <v>311</v>
      </c>
      <c r="B17" t="s">
        <v>51</v>
      </c>
      <c r="C17" t="s">
        <v>50</v>
      </c>
      <c r="D17" t="s">
        <v>52</v>
      </c>
      <c r="E17" t="s">
        <v>310</v>
      </c>
    </row>
    <row r="18" spans="1:5" x14ac:dyDescent="0.3">
      <c r="A18" s="32" t="s">
        <v>28</v>
      </c>
      <c r="B18">
        <v>1</v>
      </c>
      <c r="C18">
        <v>1</v>
      </c>
      <c r="E18">
        <v>2</v>
      </c>
    </row>
    <row r="19" spans="1:5" x14ac:dyDescent="0.3">
      <c r="A19" s="33" t="s">
        <v>360</v>
      </c>
      <c r="B19">
        <v>1</v>
      </c>
      <c r="C19">
        <v>1</v>
      </c>
      <c r="E19">
        <v>2</v>
      </c>
    </row>
    <row r="20" spans="1:5" x14ac:dyDescent="0.3">
      <c r="A20" s="34" t="s">
        <v>357</v>
      </c>
      <c r="B20">
        <v>1</v>
      </c>
      <c r="E20">
        <v>1</v>
      </c>
    </row>
    <row r="21" spans="1:5" x14ac:dyDescent="0.3">
      <c r="A21" s="34" t="s">
        <v>341</v>
      </c>
      <c r="C21">
        <v>1</v>
      </c>
      <c r="E21">
        <v>1</v>
      </c>
    </row>
    <row r="22" spans="1:5" x14ac:dyDescent="0.3">
      <c r="A22" s="32" t="s">
        <v>27</v>
      </c>
      <c r="B22">
        <v>3</v>
      </c>
      <c r="C22">
        <v>4</v>
      </c>
      <c r="D22">
        <v>2</v>
      </c>
      <c r="E22">
        <v>9</v>
      </c>
    </row>
    <row r="23" spans="1:5" x14ac:dyDescent="0.3">
      <c r="A23" s="33" t="s">
        <v>293</v>
      </c>
      <c r="B23">
        <v>3</v>
      </c>
      <c r="C23">
        <v>4</v>
      </c>
      <c r="D23">
        <v>2</v>
      </c>
      <c r="E23">
        <v>9</v>
      </c>
    </row>
    <row r="24" spans="1:5" x14ac:dyDescent="0.3">
      <c r="A24" s="34" t="s">
        <v>308</v>
      </c>
      <c r="C24">
        <v>1</v>
      </c>
      <c r="E24">
        <v>1</v>
      </c>
    </row>
    <row r="25" spans="1:5" x14ac:dyDescent="0.3">
      <c r="A25" s="34" t="s">
        <v>307</v>
      </c>
      <c r="C25">
        <v>1</v>
      </c>
      <c r="E25">
        <v>1</v>
      </c>
    </row>
    <row r="26" spans="1:5" x14ac:dyDescent="0.3">
      <c r="A26" s="34" t="s">
        <v>306</v>
      </c>
      <c r="B26">
        <v>1</v>
      </c>
      <c r="E26">
        <v>1</v>
      </c>
    </row>
    <row r="27" spans="1:5" x14ac:dyDescent="0.3">
      <c r="A27" s="34" t="s">
        <v>314</v>
      </c>
      <c r="B27">
        <v>1</v>
      </c>
      <c r="E27">
        <v>1</v>
      </c>
    </row>
    <row r="28" spans="1:5" x14ac:dyDescent="0.3">
      <c r="A28" s="34" t="s">
        <v>315</v>
      </c>
      <c r="D28">
        <v>1</v>
      </c>
      <c r="E28">
        <v>1</v>
      </c>
    </row>
    <row r="29" spans="1:5" x14ac:dyDescent="0.3">
      <c r="A29" s="34" t="s">
        <v>318</v>
      </c>
      <c r="D29">
        <v>1</v>
      </c>
      <c r="E29">
        <v>1</v>
      </c>
    </row>
    <row r="30" spans="1:5" x14ac:dyDescent="0.3">
      <c r="A30" s="34" t="s">
        <v>415</v>
      </c>
      <c r="B30">
        <v>1</v>
      </c>
      <c r="E30">
        <v>1</v>
      </c>
    </row>
    <row r="31" spans="1:5" x14ac:dyDescent="0.3">
      <c r="A31" s="34" t="s">
        <v>416</v>
      </c>
      <c r="C31">
        <v>1</v>
      </c>
      <c r="E31">
        <v>1</v>
      </c>
    </row>
    <row r="32" spans="1:5" x14ac:dyDescent="0.3">
      <c r="A32" s="34" t="s">
        <v>434</v>
      </c>
      <c r="C32">
        <v>1</v>
      </c>
      <c r="E32">
        <v>1</v>
      </c>
    </row>
    <row r="33" spans="1:5" x14ac:dyDescent="0.3">
      <c r="A33" s="32" t="s">
        <v>26</v>
      </c>
      <c r="C33">
        <v>1</v>
      </c>
      <c r="D33">
        <v>1</v>
      </c>
      <c r="E33">
        <v>2</v>
      </c>
    </row>
    <row r="34" spans="1:5" x14ac:dyDescent="0.3">
      <c r="A34" s="33" t="s">
        <v>129</v>
      </c>
      <c r="D34">
        <v>1</v>
      </c>
      <c r="E34">
        <v>1</v>
      </c>
    </row>
    <row r="35" spans="1:5" x14ac:dyDescent="0.3">
      <c r="A35" s="34" t="s">
        <v>404</v>
      </c>
      <c r="D35">
        <v>1</v>
      </c>
      <c r="E35">
        <v>1</v>
      </c>
    </row>
    <row r="36" spans="1:5" x14ac:dyDescent="0.3">
      <c r="A36" s="33" t="s">
        <v>269</v>
      </c>
      <c r="C36">
        <v>1</v>
      </c>
      <c r="E36">
        <v>1</v>
      </c>
    </row>
    <row r="37" spans="1:5" x14ac:dyDescent="0.3">
      <c r="A37" s="34" t="s">
        <v>301</v>
      </c>
      <c r="C37">
        <v>1</v>
      </c>
      <c r="E37">
        <v>1</v>
      </c>
    </row>
    <row r="38" spans="1:5" x14ac:dyDescent="0.3">
      <c r="A38" s="32" t="s">
        <v>32</v>
      </c>
      <c r="B38">
        <v>1</v>
      </c>
      <c r="C38">
        <v>1</v>
      </c>
      <c r="D38">
        <v>1</v>
      </c>
      <c r="E38">
        <v>3</v>
      </c>
    </row>
    <row r="39" spans="1:5" x14ac:dyDescent="0.3">
      <c r="A39" s="33" t="s">
        <v>32</v>
      </c>
      <c r="B39">
        <v>1</v>
      </c>
      <c r="C39">
        <v>1</v>
      </c>
      <c r="D39">
        <v>1</v>
      </c>
      <c r="E39">
        <v>3</v>
      </c>
    </row>
    <row r="40" spans="1:5" x14ac:dyDescent="0.3">
      <c r="A40" s="34" t="s">
        <v>399</v>
      </c>
      <c r="D40">
        <v>1</v>
      </c>
      <c r="E40">
        <v>1</v>
      </c>
    </row>
    <row r="41" spans="1:5" x14ac:dyDescent="0.3">
      <c r="A41" s="34" t="s">
        <v>401</v>
      </c>
      <c r="B41">
        <v>1</v>
      </c>
      <c r="C41">
        <v>1</v>
      </c>
      <c r="E41">
        <v>2</v>
      </c>
    </row>
    <row r="42" spans="1:5" x14ac:dyDescent="0.3">
      <c r="A42" s="32" t="s">
        <v>31</v>
      </c>
      <c r="D42">
        <v>2</v>
      </c>
      <c r="E42">
        <v>2</v>
      </c>
    </row>
    <row r="43" spans="1:5" x14ac:dyDescent="0.3">
      <c r="A43" s="33" t="s">
        <v>361</v>
      </c>
      <c r="D43">
        <v>2</v>
      </c>
      <c r="E43">
        <v>2</v>
      </c>
    </row>
    <row r="44" spans="1:5" x14ac:dyDescent="0.3">
      <c r="A44" s="34" t="s">
        <v>387</v>
      </c>
      <c r="D44">
        <v>1</v>
      </c>
      <c r="E44">
        <v>1</v>
      </c>
    </row>
    <row r="45" spans="1:5" x14ac:dyDescent="0.3">
      <c r="A45" s="34" t="s">
        <v>375</v>
      </c>
      <c r="D45">
        <v>1</v>
      </c>
      <c r="E45">
        <v>1</v>
      </c>
    </row>
    <row r="46" spans="1:5" x14ac:dyDescent="0.3">
      <c r="A46" s="32" t="s">
        <v>29</v>
      </c>
      <c r="C46">
        <v>2</v>
      </c>
      <c r="E46">
        <v>2</v>
      </c>
    </row>
    <row r="47" spans="1:5" x14ac:dyDescent="0.3">
      <c r="A47" s="33" t="s">
        <v>405</v>
      </c>
      <c r="C47">
        <v>2</v>
      </c>
      <c r="E47">
        <v>2</v>
      </c>
    </row>
    <row r="48" spans="1:5" x14ac:dyDescent="0.3">
      <c r="A48" s="34" t="s">
        <v>458</v>
      </c>
      <c r="C48">
        <v>1</v>
      </c>
      <c r="E48">
        <v>1</v>
      </c>
    </row>
    <row r="49" spans="1:5" x14ac:dyDescent="0.3">
      <c r="A49" s="34" t="s">
        <v>459</v>
      </c>
      <c r="C49">
        <v>1</v>
      </c>
      <c r="E49">
        <v>1</v>
      </c>
    </row>
    <row r="50" spans="1:5" x14ac:dyDescent="0.3">
      <c r="A50" s="32" t="s">
        <v>30</v>
      </c>
      <c r="B50">
        <v>1</v>
      </c>
      <c r="D50">
        <v>1</v>
      </c>
      <c r="E50">
        <v>2</v>
      </c>
    </row>
    <row r="51" spans="1:5" x14ac:dyDescent="0.3">
      <c r="A51" s="33" t="s">
        <v>366</v>
      </c>
      <c r="B51">
        <v>1</v>
      </c>
      <c r="D51">
        <v>1</v>
      </c>
      <c r="E51">
        <v>2</v>
      </c>
    </row>
    <row r="52" spans="1:5" x14ac:dyDescent="0.3">
      <c r="A52" s="34" t="s">
        <v>377</v>
      </c>
      <c r="D52">
        <v>1</v>
      </c>
      <c r="E52">
        <v>1</v>
      </c>
    </row>
    <row r="53" spans="1:5" x14ac:dyDescent="0.3">
      <c r="A53" s="34" t="s">
        <v>378</v>
      </c>
      <c r="B53">
        <v>1</v>
      </c>
      <c r="E53">
        <v>1</v>
      </c>
    </row>
    <row r="54" spans="1:5" x14ac:dyDescent="0.3">
      <c r="A54" s="32" t="s">
        <v>310</v>
      </c>
      <c r="B54">
        <v>6</v>
      </c>
      <c r="C54">
        <v>9</v>
      </c>
      <c r="D54">
        <v>7</v>
      </c>
      <c r="E54">
        <v>22</v>
      </c>
    </row>
  </sheetData>
  <mergeCells count="1">
    <mergeCell ref="A2:E2"/>
  </mergeCells>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D5F40-DF69-41FA-BE00-9DD522151E00}">
  <sheetPr codeName="Planilha8"/>
  <dimension ref="A1:AD18"/>
  <sheetViews>
    <sheetView workbookViewId="0">
      <selection activeCell="AC2" sqref="AC2:AD8"/>
    </sheetView>
  </sheetViews>
  <sheetFormatPr defaultRowHeight="14.4" x14ac:dyDescent="0.3"/>
  <cols>
    <col min="1" max="1" width="20.109375" style="1" customWidth="1"/>
    <col min="2" max="2" width="11.77734375" style="1" customWidth="1"/>
    <col min="3" max="3" width="45.6640625" style="1" bestFit="1" customWidth="1"/>
    <col min="4" max="4" width="5.5546875" style="1" bestFit="1" customWidth="1"/>
    <col min="5" max="5" width="8.5546875" style="1" bestFit="1" customWidth="1"/>
    <col min="6" max="6" width="20.88671875" style="1" customWidth="1"/>
    <col min="7" max="7" width="16.88671875" style="1" customWidth="1"/>
    <col min="8" max="8" width="18.6640625" style="1" customWidth="1"/>
    <col min="9" max="9" width="22.6640625" style="1" customWidth="1"/>
    <col min="10" max="10" width="12.77734375" style="1" customWidth="1"/>
    <col min="11" max="11" width="16.88671875" style="1" bestFit="1" customWidth="1"/>
    <col min="12" max="12" width="28.44140625" style="1" bestFit="1" customWidth="1"/>
    <col min="13" max="13" width="12" style="1" bestFit="1" customWidth="1"/>
    <col min="14" max="14" width="13.77734375" style="1" bestFit="1" customWidth="1"/>
    <col min="15" max="15" width="5.77734375" style="1" bestFit="1" customWidth="1"/>
    <col min="16" max="16" width="31.6640625" style="1" bestFit="1" customWidth="1"/>
    <col min="17" max="17" width="14.33203125" style="1" bestFit="1" customWidth="1"/>
    <col min="18" max="18" width="24.33203125" style="1" bestFit="1" customWidth="1"/>
    <col min="20" max="21" width="20.6640625" style="1" customWidth="1"/>
    <col min="22" max="22" width="36.77734375" style="1" bestFit="1" customWidth="1"/>
    <col min="24" max="24" width="13.44140625" style="7" bestFit="1" customWidth="1"/>
    <col min="26" max="26" width="10.5546875" bestFit="1" customWidth="1"/>
    <col min="29" max="29" width="34" style="1" customWidth="1"/>
    <col min="30" max="30" width="17.77734375" style="1" customWidth="1"/>
  </cols>
  <sheetData>
    <row r="1" spans="1:30" x14ac:dyDescent="0.3">
      <c r="A1" s="4" t="s">
        <v>1</v>
      </c>
      <c r="B1" s="4" t="s">
        <v>2</v>
      </c>
      <c r="C1" s="4" t="s">
        <v>3</v>
      </c>
      <c r="D1" s="4" t="s">
        <v>4</v>
      </c>
      <c r="E1" s="4" t="s">
        <v>5</v>
      </c>
      <c r="F1" s="4" t="s">
        <v>6</v>
      </c>
      <c r="G1" s="4" t="s">
        <v>7</v>
      </c>
      <c r="H1" s="4" t="s">
        <v>8</v>
      </c>
      <c r="I1" s="4" t="s">
        <v>9</v>
      </c>
      <c r="J1" s="4" t="s">
        <v>10</v>
      </c>
      <c r="K1" s="4" t="s">
        <v>11</v>
      </c>
      <c r="L1" s="4" t="s">
        <v>12</v>
      </c>
      <c r="M1" s="4" t="s">
        <v>13</v>
      </c>
      <c r="N1" s="4" t="s">
        <v>14</v>
      </c>
      <c r="O1" s="4" t="s">
        <v>15</v>
      </c>
      <c r="P1" s="4" t="s">
        <v>18</v>
      </c>
      <c r="Q1" s="4" t="s">
        <v>19</v>
      </c>
      <c r="R1" s="4" t="s">
        <v>20</v>
      </c>
      <c r="T1" s="142" t="s">
        <v>283</v>
      </c>
      <c r="U1" s="142"/>
      <c r="V1" s="142"/>
      <c r="X1" s="6" t="s">
        <v>322</v>
      </c>
      <c r="Z1" s="162" t="s">
        <v>421</v>
      </c>
      <c r="AA1" s="162"/>
      <c r="AC1" s="163" t="s">
        <v>569</v>
      </c>
      <c r="AD1" s="163"/>
    </row>
    <row r="2" spans="1:30" x14ac:dyDescent="0.3">
      <c r="A2" s="1" t="s">
        <v>21</v>
      </c>
      <c r="B2" s="1" t="s">
        <v>23</v>
      </c>
      <c r="C2" s="1" t="s">
        <v>26</v>
      </c>
      <c r="F2" s="1" t="s">
        <v>34</v>
      </c>
      <c r="G2" s="1" t="s">
        <v>36</v>
      </c>
      <c r="H2" s="1" t="s">
        <v>38</v>
      </c>
      <c r="I2" s="1" t="s">
        <v>43</v>
      </c>
      <c r="J2" s="1" t="s">
        <v>45</v>
      </c>
      <c r="K2" s="1" t="s">
        <v>50</v>
      </c>
      <c r="Q2" s="1" t="s">
        <v>56</v>
      </c>
      <c r="T2" s="1" t="s">
        <v>188</v>
      </c>
      <c r="U2" s="1" t="s">
        <v>189</v>
      </c>
      <c r="V2" s="1" t="s">
        <v>284</v>
      </c>
      <c r="X2" s="7" t="s">
        <v>323</v>
      </c>
      <c r="Z2" s="1" t="s">
        <v>422</v>
      </c>
      <c r="AA2" s="1" t="s">
        <v>423</v>
      </c>
      <c r="AC2" s="15" t="s">
        <v>573</v>
      </c>
      <c r="AD2" s="15" t="s">
        <v>575</v>
      </c>
    </row>
    <row r="3" spans="1:30" x14ac:dyDescent="0.3">
      <c r="A3" s="1" t="s">
        <v>22</v>
      </c>
      <c r="B3" s="1" t="s">
        <v>24</v>
      </c>
      <c r="C3" s="1" t="s">
        <v>27</v>
      </c>
      <c r="F3" s="1" t="s">
        <v>40</v>
      </c>
      <c r="G3" s="1" t="s">
        <v>37</v>
      </c>
      <c r="H3" s="1" t="s">
        <v>39</v>
      </c>
      <c r="I3" s="1" t="s">
        <v>44</v>
      </c>
      <c r="J3" s="1" t="s">
        <v>46</v>
      </c>
      <c r="K3" s="1" t="s">
        <v>51</v>
      </c>
      <c r="Q3" s="1" t="s">
        <v>57</v>
      </c>
      <c r="T3" s="15" t="s">
        <v>38</v>
      </c>
      <c r="U3" s="16" t="s">
        <v>193</v>
      </c>
      <c r="V3" s="1" t="str">
        <f>_xlfn.CONCAT(T3, " - ",U3)</f>
        <v>Discovery - Backlog de Ideias</v>
      </c>
      <c r="X3" s="7" t="s">
        <v>324</v>
      </c>
      <c r="Z3" s="38">
        <v>45907</v>
      </c>
      <c r="AA3" s="1" t="str">
        <f>CHOOSE(WEEKDAY(Z3,2),"Segunda","Terça","Quarta","Quinta","Sexta","Sábado","Domingo")</f>
        <v>Domingo</v>
      </c>
      <c r="AC3" s="16" t="s">
        <v>576</v>
      </c>
      <c r="AD3" s="16">
        <v>0.5</v>
      </c>
    </row>
    <row r="4" spans="1:30" x14ac:dyDescent="0.3">
      <c r="B4" s="1" t="s">
        <v>25</v>
      </c>
      <c r="C4" s="1" t="s">
        <v>28</v>
      </c>
      <c r="F4" s="1" t="s">
        <v>41</v>
      </c>
      <c r="J4" s="1" t="s">
        <v>47</v>
      </c>
      <c r="K4" s="1" t="s">
        <v>52</v>
      </c>
      <c r="Q4" s="1" t="s">
        <v>46</v>
      </c>
      <c r="T4" s="15" t="s">
        <v>38</v>
      </c>
      <c r="U4" s="16" t="s">
        <v>197</v>
      </c>
      <c r="V4" s="1" t="str">
        <f t="shared" ref="V4:V15" si="0">_xlfn.CONCAT(T4, " - ",U4)</f>
        <v>Discovery - Pesquisa &amp; Benchmark</v>
      </c>
      <c r="X4" s="7" t="s">
        <v>325</v>
      </c>
      <c r="Z4" s="38">
        <v>45942</v>
      </c>
      <c r="AA4" s="1" t="str">
        <f>CHOOSE(WEEKDAY(Z4,2),"Segunda","Terça","Quarta","Quinta","Sexta","Sábado","Domingo")</f>
        <v>Domingo</v>
      </c>
      <c r="AC4" s="16" t="s">
        <v>577</v>
      </c>
      <c r="AD4" s="16">
        <v>1</v>
      </c>
    </row>
    <row r="5" spans="1:30" x14ac:dyDescent="0.3">
      <c r="C5" s="1" t="s">
        <v>29</v>
      </c>
      <c r="F5" s="1" t="s">
        <v>35</v>
      </c>
      <c r="J5" s="1" t="s">
        <v>48</v>
      </c>
      <c r="K5" s="1" t="s">
        <v>53</v>
      </c>
      <c r="Q5" s="1" t="s">
        <v>58</v>
      </c>
      <c r="T5" s="15" t="s">
        <v>38</v>
      </c>
      <c r="U5" s="16" t="s">
        <v>201</v>
      </c>
      <c r="V5" s="1" t="str">
        <f t="shared" si="0"/>
        <v>Discovery - Wireframes &amp; Fluxos</v>
      </c>
      <c r="X5" s="7" t="s">
        <v>326</v>
      </c>
      <c r="Z5" s="38">
        <v>45963</v>
      </c>
      <c r="AA5" s="1" t="str">
        <f>CHOOSE(WEEKDAY(Z5,2),"Segunda","Terça","Quarta","Quinta","Sexta","Sábado","Domingo")</f>
        <v>Domingo</v>
      </c>
      <c r="AC5" s="16" t="s">
        <v>574</v>
      </c>
      <c r="AD5" s="16">
        <v>2</v>
      </c>
    </row>
    <row r="6" spans="1:30" x14ac:dyDescent="0.3">
      <c r="C6" s="1" t="s">
        <v>30</v>
      </c>
      <c r="F6" s="1" t="s">
        <v>42</v>
      </c>
      <c r="K6" s="1" t="s">
        <v>54</v>
      </c>
      <c r="Q6" s="1" t="s">
        <v>59</v>
      </c>
      <c r="T6" s="15" t="s">
        <v>38</v>
      </c>
      <c r="U6" s="16" t="s">
        <v>205</v>
      </c>
      <c r="V6" s="1" t="str">
        <f t="shared" si="0"/>
        <v>Discovery - Protótipos &amp; Testes</v>
      </c>
      <c r="X6" s="7" t="s">
        <v>327</v>
      </c>
      <c r="Z6" s="38">
        <v>45976</v>
      </c>
      <c r="AA6" s="1" t="str">
        <f>CHOOSE(WEEKDAY(Z6,2),"Segunda","Terça","Quarta","Quinta","Sexta","Sábado","Domingo")</f>
        <v>Sábado</v>
      </c>
      <c r="AC6" s="16" t="s">
        <v>578</v>
      </c>
      <c r="AD6" s="16">
        <v>4</v>
      </c>
    </row>
    <row r="7" spans="1:30" x14ac:dyDescent="0.3">
      <c r="C7" s="1" t="s">
        <v>31</v>
      </c>
      <c r="K7" s="1" t="s">
        <v>55</v>
      </c>
      <c r="T7" s="15" t="s">
        <v>38</v>
      </c>
      <c r="U7" s="16" t="s">
        <v>209</v>
      </c>
      <c r="V7" s="1" t="str">
        <f t="shared" si="0"/>
        <v>Discovery - Validação Técnica</v>
      </c>
      <c r="X7" s="7" t="s">
        <v>328</v>
      </c>
      <c r="AC7" s="16" t="s">
        <v>580</v>
      </c>
      <c r="AD7" s="16">
        <v>6</v>
      </c>
    </row>
    <row r="8" spans="1:30" ht="28.8" x14ac:dyDescent="0.3">
      <c r="C8" s="1" t="s">
        <v>32</v>
      </c>
      <c r="T8" s="15" t="s">
        <v>38</v>
      </c>
      <c r="U8" s="16" t="s">
        <v>213</v>
      </c>
      <c r="V8" s="1" t="str">
        <f t="shared" si="0"/>
        <v>Discovery - Aprovação &amp; Priorização</v>
      </c>
      <c r="X8" s="7" t="s">
        <v>329</v>
      </c>
      <c r="AC8" s="16" t="s">
        <v>581</v>
      </c>
      <c r="AD8" s="16">
        <v>8</v>
      </c>
    </row>
    <row r="9" spans="1:30" x14ac:dyDescent="0.3">
      <c r="C9" s="1" t="s">
        <v>33</v>
      </c>
      <c r="T9" s="15" t="s">
        <v>38</v>
      </c>
      <c r="U9" s="16" t="s">
        <v>54</v>
      </c>
      <c r="V9" s="1" t="str">
        <f>_xlfn.CONCAT(T9, " - ",U9)</f>
        <v>Discovery - Com impedimentos</v>
      </c>
      <c r="X9" s="7" t="s">
        <v>330</v>
      </c>
    </row>
    <row r="10" spans="1:30" x14ac:dyDescent="0.3">
      <c r="C10" s="1" t="s">
        <v>49</v>
      </c>
      <c r="T10" s="15" t="s">
        <v>38</v>
      </c>
      <c r="U10" s="16" t="s">
        <v>55</v>
      </c>
      <c r="V10" s="1" t="str">
        <f>_xlfn.CONCAT(T10, " - ",U10)</f>
        <v>Discovery - Cancelado</v>
      </c>
      <c r="X10" s="7" t="s">
        <v>331</v>
      </c>
    </row>
    <row r="11" spans="1:30" ht="28.8" x14ac:dyDescent="0.3">
      <c r="C11" s="1" t="s">
        <v>440</v>
      </c>
      <c r="T11" s="15" t="s">
        <v>39</v>
      </c>
      <c r="U11" s="16" t="s">
        <v>217</v>
      </c>
      <c r="V11" s="1" t="str">
        <f t="shared" si="0"/>
        <v>Delivery - Backlog de Desenvolvimento</v>
      </c>
      <c r="X11" s="7" t="s">
        <v>332</v>
      </c>
    </row>
    <row r="12" spans="1:30" ht="28.8" x14ac:dyDescent="0.3">
      <c r="C12" s="1" t="s">
        <v>503</v>
      </c>
      <c r="T12" s="15" t="s">
        <v>39</v>
      </c>
      <c r="U12" s="16" t="s">
        <v>221</v>
      </c>
      <c r="V12" s="1" t="str">
        <f t="shared" si="0"/>
        <v>Delivery - Desenvolvimento em Andamento</v>
      </c>
      <c r="X12" s="7" t="s">
        <v>333</v>
      </c>
    </row>
    <row r="13" spans="1:30" x14ac:dyDescent="0.3">
      <c r="T13" s="15" t="s">
        <v>39</v>
      </c>
      <c r="U13" s="16" t="s">
        <v>225</v>
      </c>
      <c r="V13" s="1" t="str">
        <f t="shared" si="0"/>
        <v>Delivery - Homologação &amp; Ajustes</v>
      </c>
      <c r="X13" s="7" t="s">
        <v>337</v>
      </c>
    </row>
    <row r="14" spans="1:30" x14ac:dyDescent="0.3">
      <c r="T14" s="15" t="s">
        <v>39</v>
      </c>
      <c r="U14" s="16" t="s">
        <v>229</v>
      </c>
      <c r="V14" s="1" t="str">
        <f t="shared" si="0"/>
        <v>Delivery - Pronto para Deploy</v>
      </c>
      <c r="X14" s="7" t="s">
        <v>338</v>
      </c>
    </row>
    <row r="15" spans="1:30" ht="28.8" x14ac:dyDescent="0.3">
      <c r="T15" s="15" t="s">
        <v>39</v>
      </c>
      <c r="U15" s="16" t="s">
        <v>233</v>
      </c>
      <c r="V15" s="1" t="str">
        <f t="shared" si="0"/>
        <v>Delivery - Deploy &amp; Monitoramento</v>
      </c>
      <c r="X15" s="7" t="s">
        <v>334</v>
      </c>
    </row>
    <row r="16" spans="1:30" x14ac:dyDescent="0.3">
      <c r="T16" s="15" t="s">
        <v>39</v>
      </c>
      <c r="U16" s="16" t="s">
        <v>290</v>
      </c>
      <c r="V16" s="1" t="str">
        <f>_xlfn.CONCAT(T16, " - ",U16)</f>
        <v>Delivery - Entrega</v>
      </c>
      <c r="X16" s="7" t="s">
        <v>335</v>
      </c>
    </row>
    <row r="17" spans="20:24" x14ac:dyDescent="0.3">
      <c r="T17" s="15" t="s">
        <v>39</v>
      </c>
      <c r="U17" s="16" t="s">
        <v>54</v>
      </c>
      <c r="V17" s="1" t="str">
        <f>_xlfn.CONCAT(T17, " - ",U17)</f>
        <v>Delivery - Com impedimentos</v>
      </c>
      <c r="X17" s="7" t="s">
        <v>336</v>
      </c>
    </row>
    <row r="18" spans="20:24" x14ac:dyDescent="0.3">
      <c r="T18" s="15" t="s">
        <v>39</v>
      </c>
      <c r="U18" s="16" t="s">
        <v>55</v>
      </c>
      <c r="V18" s="1" t="str">
        <f>_xlfn.CONCAT(T18, " - ",U18)</f>
        <v>Delivery - Cancelado</v>
      </c>
    </row>
  </sheetData>
  <mergeCells count="3">
    <mergeCell ref="T1:V1"/>
    <mergeCell ref="Z1:AA1"/>
    <mergeCell ref="AC1:AD1"/>
  </mergeCells>
  <pageMargins left="0.511811024" right="0.511811024" top="0.78740157499999996" bottom="0.78740157499999996" header="0.31496062000000002" footer="0.31496062000000002"/>
  <tableParts count="14">
    <tablePart r:id="rId1"/>
    <tablePart r:id="rId2"/>
    <tablePart r:id="rId3"/>
    <tablePart r:id="rId4"/>
    <tablePart r:id="rId5"/>
    <tablePart r:id="rId6"/>
    <tablePart r:id="rId7"/>
    <tablePart r:id="rId8"/>
    <tablePart r:id="rId9"/>
    <tablePart r:id="rId10"/>
    <tablePart r:id="rId11"/>
    <tablePart r:id="rId12"/>
    <tablePart r:id="rId13"/>
    <tablePart r:id="rId1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90F5-AEC8-4A3E-8E52-DD6713F8F219}">
  <sheetPr codeName="Planilha9"/>
  <dimension ref="A1:A36"/>
  <sheetViews>
    <sheetView showGridLines="0" workbookViewId="0">
      <selection activeCell="A22" sqref="A22"/>
    </sheetView>
  </sheetViews>
  <sheetFormatPr defaultRowHeight="14.4" x14ac:dyDescent="0.3"/>
  <cols>
    <col min="1" max="1" width="167.33203125" style="1" customWidth="1"/>
  </cols>
  <sheetData>
    <row r="1" spans="1:1" ht="21" x14ac:dyDescent="0.3">
      <c r="A1" s="13" t="s">
        <v>79</v>
      </c>
    </row>
    <row r="2" spans="1:1" x14ac:dyDescent="0.3">
      <c r="A2" s="7"/>
    </row>
    <row r="3" spans="1:1" ht="15.6" x14ac:dyDescent="0.3">
      <c r="A3" s="12" t="s">
        <v>75</v>
      </c>
    </row>
    <row r="4" spans="1:1" ht="15.6" x14ac:dyDescent="0.3">
      <c r="A4" s="11"/>
    </row>
    <row r="5" spans="1:1" ht="15.6" x14ac:dyDescent="0.3">
      <c r="A5" s="12" t="s">
        <v>62</v>
      </c>
    </row>
    <row r="6" spans="1:1" x14ac:dyDescent="0.3">
      <c r="A6" s="6" t="s">
        <v>63</v>
      </c>
    </row>
    <row r="7" spans="1:1" x14ac:dyDescent="0.3">
      <c r="A7" s="6" t="s">
        <v>64</v>
      </c>
    </row>
    <row r="8" spans="1:1" x14ac:dyDescent="0.3">
      <c r="A8" s="6" t="s">
        <v>65</v>
      </c>
    </row>
    <row r="9" spans="1:1" x14ac:dyDescent="0.3">
      <c r="A9" s="6" t="s">
        <v>66</v>
      </c>
    </row>
    <row r="10" spans="1:1" x14ac:dyDescent="0.3">
      <c r="A10" s="6" t="s">
        <v>67</v>
      </c>
    </row>
    <row r="11" spans="1:1" x14ac:dyDescent="0.3">
      <c r="A11" s="14" t="s">
        <v>85</v>
      </c>
    </row>
    <row r="12" spans="1:1" x14ac:dyDescent="0.3">
      <c r="A12" s="14" t="s">
        <v>86</v>
      </c>
    </row>
    <row r="13" spans="1:1" x14ac:dyDescent="0.3">
      <c r="A13" s="14" t="s">
        <v>87</v>
      </c>
    </row>
    <row r="14" spans="1:1" x14ac:dyDescent="0.3">
      <c r="A14" s="6"/>
    </row>
    <row r="15" spans="1:1" ht="15.6" x14ac:dyDescent="0.3">
      <c r="A15" s="12" t="s">
        <v>84</v>
      </c>
    </row>
    <row r="16" spans="1:1" x14ac:dyDescent="0.3">
      <c r="A16" s="6" t="s">
        <v>80</v>
      </c>
    </row>
    <row r="17" spans="1:1" x14ac:dyDescent="0.3">
      <c r="A17" s="6" t="s">
        <v>81</v>
      </c>
    </row>
    <row r="18" spans="1:1" x14ac:dyDescent="0.3">
      <c r="A18" s="6" t="s">
        <v>82</v>
      </c>
    </row>
    <row r="19" spans="1:1" x14ac:dyDescent="0.3">
      <c r="A19" s="6" t="s">
        <v>83</v>
      </c>
    </row>
    <row r="20" spans="1:1" x14ac:dyDescent="0.3">
      <c r="A20" s="7"/>
    </row>
    <row r="21" spans="1:1" ht="15.6" x14ac:dyDescent="0.3">
      <c r="A21" s="12" t="s">
        <v>76</v>
      </c>
    </row>
    <row r="22" spans="1:1" x14ac:dyDescent="0.3">
      <c r="A22" s="19" t="s">
        <v>103</v>
      </c>
    </row>
    <row r="23" spans="1:1" ht="15.6" x14ac:dyDescent="0.3">
      <c r="A23" s="11"/>
    </row>
    <row r="24" spans="1:1" ht="15.6" x14ac:dyDescent="0.3">
      <c r="A24" s="12" t="s">
        <v>77</v>
      </c>
    </row>
    <row r="25" spans="1:1" x14ac:dyDescent="0.3">
      <c r="A25" s="7"/>
    </row>
    <row r="26" spans="1:1" ht="15.6" x14ac:dyDescent="0.3">
      <c r="A26" s="12" t="s">
        <v>78</v>
      </c>
    </row>
    <row r="28" spans="1:1" ht="21" x14ac:dyDescent="0.3">
      <c r="A28" s="13" t="s">
        <v>165</v>
      </c>
    </row>
    <row r="29" spans="1:1" x14ac:dyDescent="0.3">
      <c r="A29" s="28" t="s">
        <v>182</v>
      </c>
    </row>
    <row r="30" spans="1:1" x14ac:dyDescent="0.3">
      <c r="A30" s="28"/>
    </row>
    <row r="31" spans="1:1" ht="18" x14ac:dyDescent="0.3">
      <c r="A31" s="10" t="s">
        <v>183</v>
      </c>
    </row>
    <row r="32" spans="1:1" x14ac:dyDescent="0.3">
      <c r="A32" s="7"/>
    </row>
    <row r="33" spans="1:1" x14ac:dyDescent="0.3">
      <c r="A33" s="6" t="s">
        <v>184</v>
      </c>
    </row>
    <row r="34" spans="1:1" x14ac:dyDescent="0.3">
      <c r="A34" s="6" t="s">
        <v>185</v>
      </c>
    </row>
    <row r="35" spans="1:1" x14ac:dyDescent="0.3">
      <c r="A35" s="6" t="s">
        <v>186</v>
      </c>
    </row>
    <row r="36" spans="1:1" x14ac:dyDescent="0.3">
      <c r="A36" s="6" t="s">
        <v>187</v>
      </c>
    </row>
  </sheetData>
  <hyperlinks>
    <hyperlink ref="A22" location="'Instruções - Sinaleiro'!A1" display="Visualizar instruções detalhadas" xr:uid="{B0463CF7-FC5B-4511-B6A7-1F7D5428C605}"/>
    <hyperlink ref="A29" location="'Instruções - Tipos de Roadmap'!A1" display="Visualizar comparativo entre roadmaps" xr:uid="{2ECB028D-3808-4A61-9306-C642E8030E6C}"/>
  </hyperlinks>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D8B9F-5651-418D-934F-8A099C6CFFFF}">
  <sheetPr codeName="Planilha10"/>
  <dimension ref="A1:C5"/>
  <sheetViews>
    <sheetView workbookViewId="0"/>
  </sheetViews>
  <sheetFormatPr defaultRowHeight="14.4" x14ac:dyDescent="0.3"/>
  <cols>
    <col min="1" max="2" width="42.88671875" style="1" customWidth="1"/>
    <col min="3" max="3" width="78.6640625" style="1" customWidth="1"/>
  </cols>
  <sheetData>
    <row r="1" spans="1:3" x14ac:dyDescent="0.3">
      <c r="A1" s="17" t="s">
        <v>10</v>
      </c>
      <c r="B1" s="17" t="s">
        <v>92</v>
      </c>
      <c r="C1" s="17" t="s">
        <v>93</v>
      </c>
    </row>
    <row r="2" spans="1:3" ht="57.6" x14ac:dyDescent="0.3">
      <c r="A2" s="16" t="s">
        <v>88</v>
      </c>
      <c r="B2" s="16" t="s">
        <v>94</v>
      </c>
      <c r="C2" s="18" t="s">
        <v>99</v>
      </c>
    </row>
    <row r="3" spans="1:3" ht="57.6" x14ac:dyDescent="0.3">
      <c r="A3" s="16" t="s">
        <v>89</v>
      </c>
      <c r="B3" s="16" t="s">
        <v>95</v>
      </c>
      <c r="C3" s="18" t="s">
        <v>100</v>
      </c>
    </row>
    <row r="4" spans="1:3" ht="43.2" x14ac:dyDescent="0.3">
      <c r="A4" s="16" t="s">
        <v>90</v>
      </c>
      <c r="B4" s="16" t="s">
        <v>96</v>
      </c>
      <c r="C4" s="18" t="s">
        <v>101</v>
      </c>
    </row>
    <row r="5" spans="1:3" ht="57.6" x14ac:dyDescent="0.3">
      <c r="A5" s="16" t="s">
        <v>97</v>
      </c>
      <c r="B5" s="16" t="s">
        <v>98</v>
      </c>
      <c r="C5" s="18" t="s">
        <v>102</v>
      </c>
    </row>
  </sheetData>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A8A46-C12E-45D9-9646-BD95E314D266}">
  <sheetPr codeName="Planilha11"/>
  <dimension ref="A1:D4"/>
  <sheetViews>
    <sheetView workbookViewId="0"/>
  </sheetViews>
  <sheetFormatPr defaultRowHeight="14.4" x14ac:dyDescent="0.3"/>
  <cols>
    <col min="1" max="4" width="50.77734375" style="1" customWidth="1"/>
  </cols>
  <sheetData>
    <row r="1" spans="1:4" x14ac:dyDescent="0.3">
      <c r="A1" s="27" t="s">
        <v>166</v>
      </c>
      <c r="B1" s="27" t="s">
        <v>167</v>
      </c>
      <c r="C1" s="27" t="s">
        <v>168</v>
      </c>
      <c r="D1" s="27" t="s">
        <v>169</v>
      </c>
    </row>
    <row r="2" spans="1:4" ht="43.2" x14ac:dyDescent="0.3">
      <c r="A2" s="15" t="s">
        <v>170</v>
      </c>
      <c r="B2" s="16" t="s">
        <v>171</v>
      </c>
      <c r="C2" s="15" t="s">
        <v>172</v>
      </c>
      <c r="D2" s="16" t="s">
        <v>173</v>
      </c>
    </row>
    <row r="3" spans="1:4" ht="43.2" x14ac:dyDescent="0.3">
      <c r="A3" s="15" t="s">
        <v>174</v>
      </c>
      <c r="B3" s="16" t="s">
        <v>175</v>
      </c>
      <c r="C3" s="15" t="s">
        <v>176</v>
      </c>
      <c r="D3" s="16" t="s">
        <v>177</v>
      </c>
    </row>
    <row r="4" spans="1:4" ht="43.2" x14ac:dyDescent="0.3">
      <c r="A4" s="15" t="s">
        <v>178</v>
      </c>
      <c r="B4" s="16" t="s">
        <v>179</v>
      </c>
      <c r="C4" s="15" t="s">
        <v>180</v>
      </c>
      <c r="D4" s="16" t="s">
        <v>181</v>
      </c>
    </row>
  </sheetData>
  <pageMargins left="0.511811024" right="0.511811024" top="0.78740157499999996" bottom="0.78740157499999996" header="0.31496062000000002" footer="0.3149606200000000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6860-FD36-4EB1-BB5C-998BE78FB58F}">
  <sheetPr codeName="Planilha12"/>
  <dimension ref="A1:D8"/>
  <sheetViews>
    <sheetView workbookViewId="0">
      <selection sqref="A1:D8"/>
    </sheetView>
  </sheetViews>
  <sheetFormatPr defaultRowHeight="14.4" x14ac:dyDescent="0.3"/>
  <cols>
    <col min="1" max="3" width="34.6640625" style="7" customWidth="1"/>
    <col min="4" max="4" width="74.88671875" style="7" customWidth="1"/>
  </cols>
  <sheetData>
    <row r="1" spans="1:4" x14ac:dyDescent="0.3">
      <c r="A1" s="27" t="s">
        <v>237</v>
      </c>
      <c r="B1" s="27" t="s">
        <v>238</v>
      </c>
      <c r="C1" s="27" t="s">
        <v>239</v>
      </c>
      <c r="D1" s="27" t="s">
        <v>240</v>
      </c>
    </row>
    <row r="2" spans="1:4" ht="28.8" x14ac:dyDescent="0.3">
      <c r="A2" s="15" t="s">
        <v>241</v>
      </c>
      <c r="B2" s="16" t="s">
        <v>242</v>
      </c>
      <c r="C2" s="16" t="s">
        <v>243</v>
      </c>
      <c r="D2" s="18" t="s">
        <v>244</v>
      </c>
    </row>
    <row r="3" spans="1:4" ht="28.8" x14ac:dyDescent="0.3">
      <c r="A3" s="15" t="s">
        <v>245</v>
      </c>
      <c r="B3" s="16" t="s">
        <v>246</v>
      </c>
      <c r="C3" s="16" t="s">
        <v>247</v>
      </c>
      <c r="D3" s="18" t="s">
        <v>248</v>
      </c>
    </row>
    <row r="4" spans="1:4" ht="43.2" x14ac:dyDescent="0.3">
      <c r="A4" s="15" t="s">
        <v>249</v>
      </c>
      <c r="B4" s="16" t="s">
        <v>250</v>
      </c>
      <c r="C4" s="16" t="s">
        <v>251</v>
      </c>
      <c r="D4" s="18" t="s">
        <v>252</v>
      </c>
    </row>
    <row r="5" spans="1:4" ht="28.8" x14ac:dyDescent="0.3">
      <c r="A5" s="15" t="s">
        <v>253</v>
      </c>
      <c r="B5" s="16" t="s">
        <v>254</v>
      </c>
      <c r="C5" s="16" t="s">
        <v>255</v>
      </c>
      <c r="D5" s="18" t="s">
        <v>256</v>
      </c>
    </row>
    <row r="6" spans="1:4" ht="43.2" x14ac:dyDescent="0.3">
      <c r="A6" s="15" t="s">
        <v>257</v>
      </c>
      <c r="B6" s="16" t="s">
        <v>258</v>
      </c>
      <c r="C6" s="16" t="s">
        <v>259</v>
      </c>
      <c r="D6" s="18" t="s">
        <v>260</v>
      </c>
    </row>
    <row r="7" spans="1:4" ht="43.2" x14ac:dyDescent="0.3">
      <c r="A7" s="15" t="s">
        <v>261</v>
      </c>
      <c r="B7" s="16" t="s">
        <v>262</v>
      </c>
      <c r="C7" s="16" t="s">
        <v>263</v>
      </c>
      <c r="D7" s="18" t="s">
        <v>264</v>
      </c>
    </row>
    <row r="8" spans="1:4" ht="57.6" x14ac:dyDescent="0.3">
      <c r="A8" s="15" t="s">
        <v>265</v>
      </c>
      <c r="B8" s="16" t="s">
        <v>266</v>
      </c>
      <c r="C8" s="16" t="s">
        <v>267</v>
      </c>
      <c r="D8" s="18" t="s">
        <v>268</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F032E-6C86-450D-A345-7C88CD0B7F2F}">
  <sheetPr codeName="Planilha13"/>
  <dimension ref="A1:E13"/>
  <sheetViews>
    <sheetView workbookViewId="0">
      <selection activeCell="C13" sqref="C13"/>
    </sheetView>
  </sheetViews>
  <sheetFormatPr defaultRowHeight="14.4" x14ac:dyDescent="0.3"/>
  <cols>
    <col min="1" max="5" width="33.44140625" style="7" customWidth="1"/>
  </cols>
  <sheetData>
    <row r="1" spans="1:5" x14ac:dyDescent="0.3">
      <c r="A1" s="27" t="s">
        <v>188</v>
      </c>
      <c r="B1" s="27" t="s">
        <v>189</v>
      </c>
      <c r="C1" s="27" t="s">
        <v>190</v>
      </c>
      <c r="D1" s="27" t="s">
        <v>191</v>
      </c>
      <c r="E1" s="27" t="s">
        <v>192</v>
      </c>
    </row>
    <row r="2" spans="1:5" ht="28.8" x14ac:dyDescent="0.3">
      <c r="A2" s="15" t="s">
        <v>38</v>
      </c>
      <c r="B2" s="16" t="s">
        <v>193</v>
      </c>
      <c r="C2" s="16" t="s">
        <v>194</v>
      </c>
      <c r="D2" s="16" t="s">
        <v>195</v>
      </c>
      <c r="E2" s="16" t="s">
        <v>196</v>
      </c>
    </row>
    <row r="3" spans="1:5" ht="28.8" x14ac:dyDescent="0.3">
      <c r="A3" s="15" t="s">
        <v>38</v>
      </c>
      <c r="B3" s="16" t="s">
        <v>197</v>
      </c>
      <c r="C3" s="16" t="s">
        <v>198</v>
      </c>
      <c r="D3" s="16" t="s">
        <v>199</v>
      </c>
      <c r="E3" s="16" t="s">
        <v>200</v>
      </c>
    </row>
    <row r="4" spans="1:5" ht="28.8" x14ac:dyDescent="0.3">
      <c r="A4" s="15" t="s">
        <v>38</v>
      </c>
      <c r="B4" s="16" t="s">
        <v>201</v>
      </c>
      <c r="C4" s="16" t="s">
        <v>202</v>
      </c>
      <c r="D4" s="16" t="s">
        <v>203</v>
      </c>
      <c r="E4" s="16" t="s">
        <v>204</v>
      </c>
    </row>
    <row r="5" spans="1:5" ht="28.8" x14ac:dyDescent="0.3">
      <c r="A5" s="15" t="s">
        <v>38</v>
      </c>
      <c r="B5" s="16" t="s">
        <v>205</v>
      </c>
      <c r="C5" s="16" t="s">
        <v>206</v>
      </c>
      <c r="D5" s="16" t="s">
        <v>207</v>
      </c>
      <c r="E5" s="16" t="s">
        <v>208</v>
      </c>
    </row>
    <row r="6" spans="1:5" ht="28.8" x14ac:dyDescent="0.3">
      <c r="A6" s="15" t="s">
        <v>38</v>
      </c>
      <c r="B6" s="16" t="s">
        <v>209</v>
      </c>
      <c r="C6" s="16" t="s">
        <v>210</v>
      </c>
      <c r="D6" s="16" t="s">
        <v>211</v>
      </c>
      <c r="E6" s="16" t="s">
        <v>212</v>
      </c>
    </row>
    <row r="7" spans="1:5" ht="28.8" x14ac:dyDescent="0.3">
      <c r="A7" s="15" t="s">
        <v>38</v>
      </c>
      <c r="B7" s="16" t="s">
        <v>213</v>
      </c>
      <c r="C7" s="16" t="s">
        <v>214</v>
      </c>
      <c r="D7" s="16" t="s">
        <v>215</v>
      </c>
      <c r="E7" s="16" t="s">
        <v>216</v>
      </c>
    </row>
    <row r="8" spans="1:5" ht="28.8" x14ac:dyDescent="0.3">
      <c r="A8" s="15" t="s">
        <v>39</v>
      </c>
      <c r="B8" s="16" t="s">
        <v>217</v>
      </c>
      <c r="C8" s="16" t="s">
        <v>218</v>
      </c>
      <c r="D8" s="16" t="s">
        <v>219</v>
      </c>
      <c r="E8" s="16" t="s">
        <v>220</v>
      </c>
    </row>
    <row r="9" spans="1:5" ht="28.8" x14ac:dyDescent="0.3">
      <c r="A9" s="15" t="s">
        <v>39</v>
      </c>
      <c r="B9" s="16" t="s">
        <v>221</v>
      </c>
      <c r="C9" s="16" t="s">
        <v>222</v>
      </c>
      <c r="D9" s="16" t="s">
        <v>223</v>
      </c>
      <c r="E9" s="16" t="s">
        <v>224</v>
      </c>
    </row>
    <row r="10" spans="1:5" ht="28.8" x14ac:dyDescent="0.3">
      <c r="A10" s="15" t="s">
        <v>39</v>
      </c>
      <c r="B10" s="16" t="s">
        <v>225</v>
      </c>
      <c r="C10" s="16" t="s">
        <v>226</v>
      </c>
      <c r="D10" s="16" t="s">
        <v>227</v>
      </c>
      <c r="E10" s="16" t="s">
        <v>228</v>
      </c>
    </row>
    <row r="11" spans="1:5" ht="28.8" x14ac:dyDescent="0.3">
      <c r="A11" s="15" t="s">
        <v>39</v>
      </c>
      <c r="B11" s="16" t="s">
        <v>229</v>
      </c>
      <c r="C11" s="16" t="s">
        <v>230</v>
      </c>
      <c r="D11" s="16" t="s">
        <v>231</v>
      </c>
      <c r="E11" s="16" t="s">
        <v>232</v>
      </c>
    </row>
    <row r="12" spans="1:5" ht="28.8" x14ac:dyDescent="0.3">
      <c r="A12" s="15" t="s">
        <v>39</v>
      </c>
      <c r="B12" s="16" t="s">
        <v>233</v>
      </c>
      <c r="C12" s="16" t="s">
        <v>234</v>
      </c>
      <c r="D12" s="16" t="s">
        <v>235</v>
      </c>
      <c r="E12" s="16" t="s">
        <v>236</v>
      </c>
    </row>
    <row r="13" spans="1:5" ht="28.8" x14ac:dyDescent="0.3">
      <c r="A13" s="7" t="s">
        <v>39</v>
      </c>
      <c r="B13" s="7" t="s">
        <v>53</v>
      </c>
      <c r="C13" s="16" t="s">
        <v>288</v>
      </c>
      <c r="D13" s="7" t="s">
        <v>289</v>
      </c>
      <c r="E13" s="7" t="s">
        <v>289</v>
      </c>
    </row>
  </sheetData>
  <pageMargins left="0.511811024" right="0.511811024" top="0.78740157499999996" bottom="0.78740157499999996" header="0.31496062000000002" footer="0.3149606200000000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BC4AC-C119-4154-A114-EBD4BC998E58}">
  <sheetPr codeName="Planilha14"/>
  <dimension ref="A1:E22"/>
  <sheetViews>
    <sheetView topLeftCell="A4" workbookViewId="0">
      <selection activeCell="B26" sqref="B26"/>
    </sheetView>
  </sheetViews>
  <sheetFormatPr defaultRowHeight="14.4" x14ac:dyDescent="0.3"/>
  <cols>
    <col min="1" max="1" width="10.21875" style="1" customWidth="1"/>
    <col min="2" max="5" width="41.33203125" style="1" customWidth="1"/>
  </cols>
  <sheetData>
    <row r="1" spans="1:5" ht="18" x14ac:dyDescent="0.35">
      <c r="A1" s="164" t="s">
        <v>104</v>
      </c>
      <c r="B1" s="164"/>
      <c r="C1" s="164"/>
      <c r="D1" s="164"/>
      <c r="E1" s="164"/>
    </row>
    <row r="2" spans="1:5" x14ac:dyDescent="0.3">
      <c r="A2" s="14" t="s">
        <v>117</v>
      </c>
      <c r="B2" s="14" t="s">
        <v>105</v>
      </c>
      <c r="C2" s="14" t="s">
        <v>106</v>
      </c>
      <c r="D2" s="14" t="s">
        <v>68</v>
      </c>
      <c r="E2" s="14" t="s">
        <v>69</v>
      </c>
    </row>
    <row r="3" spans="1:5" x14ac:dyDescent="0.3">
      <c r="A3" s="1" t="str">
        <f>_xlfn.CONCAT(B3," ",C3," ", "2025")</f>
        <v>R1 S0 2025</v>
      </c>
      <c r="B3" s="1" t="s">
        <v>107</v>
      </c>
      <c r="C3" s="1" t="s">
        <v>108</v>
      </c>
      <c r="D3" s="20">
        <v>45658</v>
      </c>
      <c r="E3" s="20">
        <v>45660</v>
      </c>
    </row>
    <row r="4" spans="1:5" x14ac:dyDescent="0.3">
      <c r="A4" s="1" t="str">
        <f t="shared" ref="A4:A22" si="0">_xlfn.CONCAT(B4," ",C4," ", "2025")</f>
        <v>R1 S1 2025</v>
      </c>
      <c r="B4" s="1" t="s">
        <v>107</v>
      </c>
      <c r="C4" s="1" t="s">
        <v>109</v>
      </c>
      <c r="D4" s="20">
        <v>45663</v>
      </c>
      <c r="E4" s="20">
        <v>45681</v>
      </c>
    </row>
    <row r="5" spans="1:5" x14ac:dyDescent="0.3">
      <c r="A5" s="1" t="str">
        <f t="shared" si="0"/>
        <v>R1 S2 2025</v>
      </c>
      <c r="B5" s="1" t="s">
        <v>107</v>
      </c>
      <c r="C5" s="1" t="s">
        <v>110</v>
      </c>
      <c r="D5" s="20">
        <v>45684</v>
      </c>
      <c r="E5" s="20">
        <v>45702</v>
      </c>
    </row>
    <row r="6" spans="1:5" x14ac:dyDescent="0.3">
      <c r="A6" s="1" t="str">
        <f t="shared" si="0"/>
        <v>R1 S3 2025</v>
      </c>
      <c r="B6" s="1" t="s">
        <v>107</v>
      </c>
      <c r="C6" s="1" t="s">
        <v>111</v>
      </c>
      <c r="D6" s="20">
        <v>45705</v>
      </c>
      <c r="E6" s="20">
        <v>45723</v>
      </c>
    </row>
    <row r="7" spans="1:5" x14ac:dyDescent="0.3">
      <c r="A7" s="1" t="str">
        <f t="shared" si="0"/>
        <v>R1 S4 2025</v>
      </c>
      <c r="B7" s="1" t="s">
        <v>107</v>
      </c>
      <c r="C7" s="1" t="s">
        <v>112</v>
      </c>
      <c r="D7" s="20">
        <v>45726</v>
      </c>
      <c r="E7" s="20">
        <v>45744</v>
      </c>
    </row>
    <row r="8" spans="1:5" x14ac:dyDescent="0.3">
      <c r="A8" s="1" t="str">
        <f t="shared" si="0"/>
        <v>R2 S0 2025</v>
      </c>
      <c r="B8" s="1" t="s">
        <v>113</v>
      </c>
      <c r="C8" s="1" t="s">
        <v>108</v>
      </c>
      <c r="D8" s="1" t="s">
        <v>114</v>
      </c>
      <c r="E8" s="20">
        <v>45751</v>
      </c>
    </row>
    <row r="9" spans="1:5" x14ac:dyDescent="0.3">
      <c r="A9" s="1" t="str">
        <f t="shared" si="0"/>
        <v>R2 S1 2025</v>
      </c>
      <c r="B9" s="1" t="s">
        <v>113</v>
      </c>
      <c r="C9" s="1" t="s">
        <v>109</v>
      </c>
      <c r="D9" s="20">
        <v>45754</v>
      </c>
      <c r="E9" s="20">
        <v>45772</v>
      </c>
    </row>
    <row r="10" spans="1:5" x14ac:dyDescent="0.3">
      <c r="A10" s="1" t="str">
        <f t="shared" si="0"/>
        <v>R2 S2 2025</v>
      </c>
      <c r="B10" s="1" t="s">
        <v>113</v>
      </c>
      <c r="C10" s="1" t="s">
        <v>110</v>
      </c>
      <c r="D10" s="20">
        <v>45775</v>
      </c>
      <c r="E10" s="20">
        <v>45793</v>
      </c>
    </row>
    <row r="11" spans="1:5" x14ac:dyDescent="0.3">
      <c r="A11" s="1" t="str">
        <f t="shared" si="0"/>
        <v>R2 S3 2025</v>
      </c>
      <c r="B11" s="1" t="s">
        <v>113</v>
      </c>
      <c r="C11" s="1" t="s">
        <v>111</v>
      </c>
      <c r="D11" s="20">
        <v>45796</v>
      </c>
      <c r="E11" s="20">
        <v>45814</v>
      </c>
    </row>
    <row r="12" spans="1:5" x14ac:dyDescent="0.3">
      <c r="A12" s="1" t="str">
        <f t="shared" si="0"/>
        <v>R2 S4 2025</v>
      </c>
      <c r="B12" s="1" t="s">
        <v>113</v>
      </c>
      <c r="C12" s="1" t="s">
        <v>112</v>
      </c>
      <c r="D12" s="20">
        <v>45817</v>
      </c>
      <c r="E12" s="20">
        <v>45835</v>
      </c>
    </row>
    <row r="13" spans="1:5" x14ac:dyDescent="0.3">
      <c r="A13" s="1" t="str">
        <f t="shared" si="0"/>
        <v>R3 S0 2025</v>
      </c>
      <c r="B13" s="1" t="s">
        <v>115</v>
      </c>
      <c r="C13" s="1" t="s">
        <v>108</v>
      </c>
      <c r="D13" s="20">
        <v>45838</v>
      </c>
      <c r="E13" s="20">
        <v>45842</v>
      </c>
    </row>
    <row r="14" spans="1:5" x14ac:dyDescent="0.3">
      <c r="A14" s="1" t="str">
        <f t="shared" si="0"/>
        <v>R3 S1 2025</v>
      </c>
      <c r="B14" s="1" t="s">
        <v>115</v>
      </c>
      <c r="C14" s="1" t="s">
        <v>109</v>
      </c>
      <c r="D14" s="20">
        <v>45845</v>
      </c>
      <c r="E14" s="20">
        <v>45863</v>
      </c>
    </row>
    <row r="15" spans="1:5" x14ac:dyDescent="0.3">
      <c r="A15" s="1" t="str">
        <f t="shared" si="0"/>
        <v>R3 S2 2025</v>
      </c>
      <c r="B15" s="1" t="s">
        <v>115</v>
      </c>
      <c r="C15" s="1" t="s">
        <v>110</v>
      </c>
      <c r="D15" s="20">
        <v>45866</v>
      </c>
      <c r="E15" s="20">
        <v>45884</v>
      </c>
    </row>
    <row r="16" spans="1:5" x14ac:dyDescent="0.3">
      <c r="A16" s="1" t="str">
        <f t="shared" si="0"/>
        <v>R3 S3 2025</v>
      </c>
      <c r="B16" s="1" t="s">
        <v>115</v>
      </c>
      <c r="C16" s="1" t="s">
        <v>111</v>
      </c>
      <c r="D16" s="20">
        <v>45887</v>
      </c>
      <c r="E16" s="20">
        <v>45905</v>
      </c>
    </row>
    <row r="17" spans="1:5" x14ac:dyDescent="0.3">
      <c r="A17" s="1" t="str">
        <f t="shared" si="0"/>
        <v>R3 S4 2025</v>
      </c>
      <c r="B17" s="1" t="s">
        <v>115</v>
      </c>
      <c r="C17" s="1" t="s">
        <v>112</v>
      </c>
      <c r="D17" s="20">
        <v>45908</v>
      </c>
      <c r="E17" s="20">
        <v>45926</v>
      </c>
    </row>
    <row r="18" spans="1:5" x14ac:dyDescent="0.3">
      <c r="A18" s="1" t="str">
        <f t="shared" si="0"/>
        <v>R4 S0 2025</v>
      </c>
      <c r="B18" s="1" t="s">
        <v>116</v>
      </c>
      <c r="C18" s="1" t="s">
        <v>108</v>
      </c>
      <c r="D18" s="20">
        <v>45929</v>
      </c>
      <c r="E18" s="20">
        <v>45933</v>
      </c>
    </row>
    <row r="19" spans="1:5" x14ac:dyDescent="0.3">
      <c r="A19" s="1" t="str">
        <f t="shared" si="0"/>
        <v>R4 S1 2025</v>
      </c>
      <c r="B19" s="1" t="s">
        <v>116</v>
      </c>
      <c r="C19" s="1" t="s">
        <v>109</v>
      </c>
      <c r="D19" s="20">
        <v>45936</v>
      </c>
      <c r="E19" s="20">
        <v>45954</v>
      </c>
    </row>
    <row r="20" spans="1:5" x14ac:dyDescent="0.3">
      <c r="A20" s="1" t="str">
        <f t="shared" si="0"/>
        <v>R4 S2 2025</v>
      </c>
      <c r="B20" s="1" t="s">
        <v>116</v>
      </c>
      <c r="C20" s="1" t="s">
        <v>110</v>
      </c>
      <c r="D20" s="20">
        <v>45957</v>
      </c>
      <c r="E20" s="20">
        <v>45975</v>
      </c>
    </row>
    <row r="21" spans="1:5" x14ac:dyDescent="0.3">
      <c r="A21" s="1" t="str">
        <f t="shared" si="0"/>
        <v>R4 S3 2025</v>
      </c>
      <c r="B21" s="1" t="s">
        <v>116</v>
      </c>
      <c r="C21" s="1" t="s">
        <v>111</v>
      </c>
      <c r="D21" s="20">
        <v>45978</v>
      </c>
      <c r="E21" s="20">
        <v>45996</v>
      </c>
    </row>
    <row r="22" spans="1:5" x14ac:dyDescent="0.3">
      <c r="A22" s="1" t="str">
        <f t="shared" si="0"/>
        <v>R4 S4 2025</v>
      </c>
      <c r="B22" s="1" t="s">
        <v>116</v>
      </c>
      <c r="C22" s="1" t="s">
        <v>112</v>
      </c>
      <c r="D22" s="20">
        <v>45999</v>
      </c>
      <c r="E22" s="20">
        <v>46017</v>
      </c>
    </row>
  </sheetData>
  <mergeCells count="1">
    <mergeCell ref="A1:E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18</vt:i4>
      </vt:variant>
    </vt:vector>
  </HeadingPairs>
  <TitlesOfParts>
    <vt:vector size="18" baseType="lpstr">
      <vt:lpstr>Menu</vt:lpstr>
      <vt:lpstr>Priorização</vt:lpstr>
      <vt:lpstr>Priorização - Impacto</vt:lpstr>
      <vt:lpstr>Priorização - Esforço</vt:lpstr>
      <vt:lpstr>Alocação</vt:lpstr>
      <vt:lpstr>Roadmap - Visão Timeline</vt:lpstr>
      <vt:lpstr>Sprint Goals</vt:lpstr>
      <vt:lpstr>Roadmap Estratégico</vt:lpstr>
      <vt:lpstr>Analytics Roadmap Estratégico</vt:lpstr>
      <vt:lpstr>Roadmap Tático</vt:lpstr>
      <vt:lpstr>Analytics Roadmap Tático</vt:lpstr>
      <vt:lpstr>Auxiliares</vt:lpstr>
      <vt:lpstr>Instruções</vt:lpstr>
      <vt:lpstr>Instruções - Sinaleiro</vt:lpstr>
      <vt:lpstr>Instruções - Tipos de Roadmap</vt:lpstr>
      <vt:lpstr>Story Points</vt:lpstr>
      <vt:lpstr>Etapas Dual Track Agile</vt:lpstr>
      <vt:lpstr>Calendário Comunidade 2025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Emerson R.</dc:creator>
  <cp:lastModifiedBy>- Emerson R.</cp:lastModifiedBy>
  <dcterms:created xsi:type="dcterms:W3CDTF">2015-06-05T18:19:34Z</dcterms:created>
  <dcterms:modified xsi:type="dcterms:W3CDTF">2025-06-03T05:38:43Z</dcterms:modified>
</cp:coreProperties>
</file>